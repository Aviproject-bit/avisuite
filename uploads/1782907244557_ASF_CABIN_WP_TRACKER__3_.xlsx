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67F4054-3110-41EE-81EB-E5D0ED0274B6}" xr6:coauthVersionLast="47" xr6:coauthVersionMax="47" xr10:uidLastSave="{00000000-0000-0000-0000-000000000000}"/>
  <bookViews>
    <workbookView xWindow="0" yWindow="0" windowWidth="28770" windowHeight="1185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<sst xmlns="http://schemas.openxmlformats.org/spreadsheetml/2006/main" count="3806" uniqueCount="910">
  <si>
    <t>POOL CABIN  ✈ HZ-ASF ✈  C7-CHECK WORK PACKAGE TRACKER</t>
  </si>
  <si>
    <t xml:space="preserve">UPDATED: 30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</si>
  <si>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</si>
  <si>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</si>
  <si>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</si>
  <si>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</si>
  <si>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</si>
  <si>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</si>
  <si>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</si>
  <si>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</si>
  <si>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</si>
  <si>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</si>
  <si>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</si>
  <si>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</si>
  <si>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</si>
  <si>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</si>
  <si>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</si>
  <si>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</si>
  <si>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</si>
  <si>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</si>
  <si>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</si>
  <si>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</si>
  <si>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</si>
  <si>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</si>
  <si>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</si>
  <si>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</si>
  <si>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</si>
  <si>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</si>
  <si>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</si>
  <si>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</si>
  <si>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</si>
  <si>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</si>
  <si>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</si>
  <si>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</si>
  <si>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</si>
  <si>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</si>
  <si>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</si>
  <si>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</si>
  <si>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</si>
  <si>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</si>
  <si>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</si>
  <si>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</si>
  <si>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</si>
  <si>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</si>
  <si>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</si>
  <si>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</si>
  <si>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</si>
  <si>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</si>
  <si>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</si>
  <si>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</si>
  <si>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</si>
  <si>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</si>
  <si>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</si>
  <si>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</si>
  <si>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</si>
  <si>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</si>
  <si>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</si>
  <si>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</si>
  <si>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</si>
  <si>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</si>
  <si>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</si>
  <si>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</si>
  <si>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</si>
  <si>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</si>
  <si>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</si>
  <si>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</si>
  <si>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</si>
  <si>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</si>
  <si>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</si>
  <si>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</si>
  <si>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</si>
  <si>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</si>
  <si>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</si>
  <si>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</si>
  <si>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</si>
  <si>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</si>
  <si>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</si>
  <si>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</si>
  <si>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</si>
  <si>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</si>
  <si>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</si>
  <si>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</si>
  <si>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</si>
  <si>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</si>
  <si>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</si>
  <si>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</si>
  <si>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</si>
  <si>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</si>
  <si>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</si>
  <si>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</si>
  <si>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</si>
  <si>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</si>
  <si>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</si>
  <si>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</si>
  <si>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</si>
  <si>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</si>
  <si>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</si>
  <si>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</si>
  <si>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</si>
  <si>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</si>
  <si>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</si>
  <si>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</si>
  <si>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</si>
  <si>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</si>
  <si>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</si>
  <si>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</si>
  <si>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</si>
  <si>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</si>
  <si>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</si>
  <si>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</si>
  <si>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</si>
  <si>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</si>
  <si>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</si>
  <si>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</si>
  <si>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</si>
  <si>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</si>
  <si>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</si>
  <si>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</si>
  <si>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</si>
  <si>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</si>
  <si>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</si>
  <si>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</si>
  <si>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</si>
  <si>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</si>
  <si>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</si>
  <si>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</si>
  <si>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</si>
  <si>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</si>
  <si>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</si>
  <si>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</si>
  <si>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</si>
  <si>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</si>
  <si>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</si>
  <si>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</si>
  <si>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</si>
  <si>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</si>
  <si>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</si>
  <si>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</si>
  <si>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</si>
  <si>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</si>
  <si>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</si>
  <si>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</si>
  <si>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</si>
  <si>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</si>
  <si>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</si>
  <si>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</si>
  <si>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</si>
  <si>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</si>
  <si>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</si>
  <si>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</si>
  <si>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</si>
  <si>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</si>
  <si>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</si>
  <si>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</si>
  <si>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</si>
  <si>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</si>
  <si>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</si>
  <si>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</si>
  <si>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</si>
  <si>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</si>
  <si>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</si>
  <si>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</si>
  <si>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</si>
  <si>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</si>
  <si>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</si>
  <si>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</si>
  <si>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</si>
  <si>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</si>
  <si>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</si>
  <si>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</si>
  <si>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</si>
  <si>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</si>
  <si>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</si>
  <si>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</si>
  <si>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</si>
  <si>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</si>
  <si>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</si>
  <si>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</si>
  <si>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</si>
  <si>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</si>
  <si>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</si>
  <si>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</si>
  <si>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</si>
  <si>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</si>
  <si>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</si>
  <si>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</si>
  <si>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</si>
  <si>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</si>
  <si>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</si>
  <si>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</si>
  <si>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</si>
  <si>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</si>
  <si>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</si>
  <si>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</si>
  <si>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</si>
  <si>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</si>
  <si>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</si>
  <si>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</si>
  <si>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</si>
  <si>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</si>
  <si>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</si>
  <si>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</si>
  <si>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</si>
  <si>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</si>
  <si>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</si>
  <si>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</si>
  <si>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</si>
  <si>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</si>
  <si>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</si>
  <si>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</si>
  <si>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</si>
  <si>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</si>
  <si>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</si>
  <si>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</si>
  <si>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</si>
  <si>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</si>
  <si>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</si>
  <si>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</si>
  <si>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</si>
  <si>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</si>
  <si>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</si>
  <si>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</si>
  <si>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</si>
  <si>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</si>
  <si>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</si>
  <si>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</si>
  <si>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</si>
  <si>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</si>
  <si>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</si>
  <si>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</si>
  <si>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</si>
  <si>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</si>
  <si>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</si>
  <si>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</si>
  <si>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</si>
  <si>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</si>
  <si>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</si>
  <si>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</si>
  <si>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</si>
  <si>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</si>
  <si>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</si>
  <si>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</si>
  <si>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</si>
  <si>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</si>
  <si>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</si>
  <si>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</si>
  <si>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</si>
  <si>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</si>
  <si>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</si>
  <si>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</si>
  <si>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</si>
  <si>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</si>
  <si>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</si>
  <si>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</si>
  <si>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</si>
  <si>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</si>
  <si>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</si>
  <si>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</si>
  <si>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</si>
  <si>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</si>
  <si>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</si>
  <si>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</si>
  <si>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</si>
  <si>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</si>
  <si>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</si>
  <si>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</si>
  <si>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</si>
  <si>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</si>
  <si>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</si>
  <si>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</si>
  <si>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</si>
  <si>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</si>
  <si>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</si>
  <si>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</si>
  <si>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</si>
  <si>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</si>
  <si>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</si>
  <si>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</si>
  <si>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</si>
  <si>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</si>
  <si>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</si>
  <si>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</si>
  <si>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</si>
  <si>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</si>
  <si>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</si>
  <si>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</si>
  <si>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</si>
  <si>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</si>
  <si>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</si>
  <si>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</si>
  <si>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</si>
  <si>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</si>
  <si>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</si>
  <si>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</si>
  <si>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</si>
  <si>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</si>
  <si>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</si>
  <si>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</si>
  <si>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</si>
  <si>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</si>
  <si>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</si>
  <si>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</si>
  <si>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</si>
  <si>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</si>
  <si>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</si>
  <si>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</si>
  <si>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</si>
  <si>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</si>
  <si>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</si>
  <si>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</si>
  <si>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</si>
  <si>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</si>
  <si>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</si>
  <si>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</si>
  <si>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</si>
  <si>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</si>
  <si>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</si>
  <si>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</si>
  <si>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</si>
  <si>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</si>
  <si>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</si>
  <si>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</si>
  <si>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</si>
  <si>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</si>
  <si>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</si>
  <si>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</si>
  <si>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</si>
  <si>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</si>
  <si>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</si>
  <si>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</si>
  <si>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</si>
  <si>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</si>
  <si>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</si>
  <si>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</si>
  <si>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</si>
  <si>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</si>
  <si>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</si>
  <si>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</si>
  <si>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</si>
  <si>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</si>
  <si>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</si>
  <si>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</si>
  <si>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</si>
  <si>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</si>
  <si>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</si>
  <si>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</si>
  <si>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</si>
  <si>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</si>
  <si>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</si>
  <si>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</si>
  <si>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</si>
  <si>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</si>
  <si>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</si>
  <si>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</si>
  <si>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</si>
  <si>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</si>
  <si>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</si>
  <si>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</si>
  <si>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</si>
  <si>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</si>
  <si>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</si>
  <si>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</si>
  <si>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</si>
  <si>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</si>
  <si>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In Progress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</si>
  <si>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</si>
  <si>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</si>
  <si>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</si>
  <si>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</si>
  <si>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</si>
  <si>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</si>
  <si>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</si>
  <si>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</si>
  <si>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</si>
  <si>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</si>
  <si>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</si>
  <si>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</si>
  <si>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</si>
  <si>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</si>
  <si>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</si>
  <si>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</si>
  <si>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</si>
  <si>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</si>
  <si>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</si>
  <si>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</si>
  <si>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</si>
  <si>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</si>
  <si>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</si>
  <si>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</si>
  <si>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</si>
  <si>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</si>
  <si>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</si>
  <si>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</si>
  <si>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</si>
  <si>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</si>
  <si>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</si>
  <si>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</si>
  <si>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</si>
  <si>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</si>
  <si>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</si>
  <si>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</si>
  <si>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</si>
  <si>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</si>
  <si>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</si>
  <si>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</si>
  <si>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</si>
  <si>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</si>
  <si>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</si>
  <si>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</si>
  <si>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</si>
  <si>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</si>
  <si>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</si>
  <si>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</si>
  <si>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</si>
  <si>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</si>
  <si>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</si>
  <si>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</si>
  <si>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</si>
  <si>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</si>
  <si>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</si>
  <si>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</si>
  <si>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</si>
  <si>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</si>
  <si>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</si>
  <si>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</si>
  <si>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</si>
  <si>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</si>
  <si>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</si>
  <si>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</si>
  <si>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</si>
  <si>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</si>
  <si>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</si>
  <si>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</si>
  <si>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</si>
  <si>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</si>
  <si>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</si>
  <si>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</si>
  <si>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</si>
  <si>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</si>
  <si>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</si>
  <si>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</si>
  <si>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</si>
  <si>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</si>
  <si>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</si>
  <si>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</si>
  <si>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</si>
  <si>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</si>
  <si>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</si>
  <si>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</si>
  <si>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</si>
  <si>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</si>
  <si>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</si>
  <si>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</si>
  <si>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</si>
  <si>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</si>
  <si>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</si>
  <si>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</si>
  <si>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</si>
  <si>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</si>
  <si>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</si>
  <si>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</si>
  <si>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</si>
  <si>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</si>
  <si>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</si>
  <si>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</si>
  <si>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</si>
  <si>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</si>
  <si>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</si>
  <si>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</si>
  <si>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</si>
  <si>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</si>
  <si>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</si>
  <si>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</si>
  <si>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</si>
  <si>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</si>
  <si>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</si>
  <si>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</si>
  <si>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</si>
  <si>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</si>
  <si>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</si>
  <si>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</si>
  <si>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</si>
  <si>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</si>
  <si>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</si>
  <si>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</si>
  <si>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</si>
  <si>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</si>
  <si>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</si>
  <si>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</si>
  <si>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</si>
  <si>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</si>
  <si>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</si>
  <si>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</si>
  <si>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</si>
  <si>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</si>
  <si>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</si>
  <si>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</si>
  <si>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</si>
  <si>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</si>
  <si>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</si>
  <si>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</si>
  <si>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</si>
  <si>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</si>
  <si>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</si>
  <si>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</si>
  <si>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</si>
  <si>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</si>
  <si>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</si>
  <si>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</si>
  <si>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</si>
  <si>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</si>
  <si>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</si>
  <si>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</si>
  <si>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</si>
  <si>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</si>
  <si>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</si>
  <si>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</si>
  <si>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</si>
  <si>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</si>
  <si>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</si>
  <si>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</si>
  <si>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 xml:space="preserve">REMOVED 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</si>
  <si>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</si>
  <si>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</si>
  <si>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</si>
  <si>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</si>
  <si>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</si>
  <si>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</si>
  <si>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</si>
  <si>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</si>
  <si>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</si>
  <si>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</si>
  <si>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</si>
  <si>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</si>
  <si>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</si>
  <si>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</si>
  <si>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</si>
  <si>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</si>
  <si>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</si>
  <si>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</si>
  <si>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</si>
  <si>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</si>
  <si>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</si>
  <si>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</si>
  <si>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</si>
  <si>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</si>
  <si>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</si>
  <si>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</si>
  <si>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</si>
  <si>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</si>
  <si>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</si>
  <si>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</si>
  <si>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</si>
  <si>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</si>
  <si>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</si>
  <si>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</si>
  <si>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</si>
  <si>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</si>
  <si>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</si>
  <si>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</si>
  <si>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</si>
  <si>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</si>
  <si>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</si>
  <si>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</si>
  <si>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</si>
  <si>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</si>
  <si>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</si>
  <si>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</si>
  <si>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</si>
  <si>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</si>
  <si>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</si>
  <si>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</si>
  <si>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</si>
  <si>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</si>
  <si>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</si>
  <si>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</si>
  <si>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</si>
  <si>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</si>
  <si>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</si>
  <si>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</si>
  <si>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</si>
  <si>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</si>
  <si>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</si>
  <si>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</si>
  <si>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</si>
  <si>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</si>
  <si>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</si>
  <si>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</si>
  <si>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</si>
  <si>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</si>
  <si>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</si>
  <si>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</si>
  <si>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</si>
  <si>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</si>
  <si>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</si>
  <si>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</si>
  <si>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</si>
  <si>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</si>
  <si>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</si>
  <si>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</si>
  <si>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</si>
  <si>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</si>
  <si>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</si>
  <si>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</si>
  <si>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</si>
  <si>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</si>
  <si>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</si>
  <si>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</si>
  <si>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</si>
  <si>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</si>
  <si>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</si>
  <si>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DUPLICATES 1011</t>
  </si>
  <si>
    <t>PAINT - NO CALLBACK - LAV E LAV E WASHBASIN PANEL PAINT SCRATCHED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</si>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</sst>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6"/>
      <color rgb="FF37474F"/>
      <name val="Calibri"/>
    </font>
    <font>
      <b/>
      <sz val="16"/>
      <color rgb="FF2E7D32"/>
      <name val="Calibri"/>
    </font>
    <font>
      <b/>
      <sz val="16"/>
      <color rgb="FF4E342E"/>
      <name val="Calibri"/>
    </font>
    <font>
      <b/>
      <sz val="16"/>
      <color rgb="FFB71C1C"/>
      <name val="Calibri"/>
    </font>
    <font>
      <b/>
      <sz val="16"/>
      <color rgb="FFE6510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1" fillId="0" borderId="0"/>
  </cellStyleXfs>
  <cellXfs count="133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6" fillId="36" borderId="4" xfId="0" applyFont="1" applyFill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65" fillId="29" borderId="9" xfId="0" applyFont="1" applyFill="1" applyBorder="1" applyAlignment="1">
      <alignment horizontal="center" vertical="center"/>
    </xf>
    <xf numFmtId="0" fontId="73" fillId="31" borderId="6" xfId="0" applyFont="1" applyFill="1" applyBorder="1" applyAlignment="1">
      <alignment horizontal="center" vertical="center"/>
    </xf>
    <xf numFmtId="0" fontId="72" fillId="30" borderId="0" xfId="0" applyFont="1" applyFill="1" applyAlignment="1">
      <alignment horizontal="center" vertical="center"/>
    </xf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56" fillId="34" borderId="4" xfId="0" applyFont="1" applyFill="1" applyBorder="1" applyAlignment="1">
      <alignment horizontal="center" vertical="center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1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>
    <filterColumn colId="6">
      <filters blank="1">
        <filter val="CAB"/>
        <filter val="PAINT"/>
        <filter val="S/M"/>
      </filters>
    </filterColumn>
  </autoFilter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300" activePane="bottomLeft" state="frozen"/>
      <selection pane="bottomLeft" activeCell="F244" sqref="F244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4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102" t="s">
        <v>0</v>
      </c>
      <c r="B1" s="128"/>
      <c r="C1" s="128"/>
      <c r="D1" s="128"/>
      <c r="E1" s="105" t="str">
        <f ca="1">"Day "&amp;TEXT(MAX(1,MIN(TODAY()-DATE(2026,6,8)+1,36)),"0")&amp;"/36"</f>
        <v>Day 24/36</v>
      </c>
      <c r="F1" s="129"/>
      <c r="G1" s="104" t="str">
        <f>"✅ "&amp;COUNTIFS(B4:B1002,"&lt;&gt;",E4:E1002,"Closed")&amp;" / "&amp;COUNTIF(B4:B1002,"&lt;&gt;")&amp;" Closed ("&amp;TEXT(IFERROR(COUNTIFS(B4:B1002,"&lt;&gt;",E4:E1002,"Closed")/COUNTIF(B4:B1002,"&lt;&gt;"),0),"0%")&amp;")"</f>
        <v>✅ 192 / 376 Closed (51%)</v>
      </c>
      <c r="H1" s="129"/>
      <c r="I1" s="129"/>
      <c r="J1" s="129"/>
      <c r="K1" s="129"/>
    </row>
    <row r="2" spans="1:11" ht="19.899999999999999" customHeight="1">
      <c r="A2" s="106" t="s">
        <v>1</v>
      </c>
      <c r="B2" s="130"/>
      <c r="C2" s="130"/>
      <c r="D2" s="130"/>
      <c r="E2" s="131"/>
      <c r="F2" s="131"/>
      <c r="G2" s="103" t="str">
        <f>"AOG/Critical: "&amp;COUNTIFS(B4:B1002,"&lt;&gt;",F4:F1002,"AOG")+COUNTIFS(B4:B1002,"&lt;&gt;",F4:F1002,"Critical")</f>
        <v>AOG/Critical: 4</v>
      </c>
      <c r="H2" s="131"/>
      <c r="I2" s="131"/>
      <c r="J2" s="131"/>
      <c r="K2" s="131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customHeight="1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hidden="1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hidden="1" customHeight="1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59</v>
      </c>
      <c r="J19" s="9" t="s">
        <v>18</v>
      </c>
      <c r="K19" s="9"/>
    </row>
    <row r="20" spans="1:11" ht="18" hidden="1" customHeight="1">
      <c r="A20" s="68">
        <v>47</v>
      </c>
      <c r="B20" s="63" t="s">
        <v>60</v>
      </c>
      <c r="C20" s="7" t="s">
        <v>61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62</v>
      </c>
      <c r="C21" s="7" t="s">
        <v>63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64</v>
      </c>
      <c r="C22" s="7" t="s">
        <v>65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hidden="1" customHeight="1">
      <c r="A23" s="68">
        <v>114</v>
      </c>
      <c r="B23" s="63" t="s">
        <v>66</v>
      </c>
      <c r="C23" s="7" t="s">
        <v>67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68</v>
      </c>
      <c r="J23" s="9" t="s">
        <v>18</v>
      </c>
      <c r="K23" s="9"/>
    </row>
    <row r="24" spans="1:11" ht="18" hidden="1" customHeight="1">
      <c r="A24" s="68">
        <v>115</v>
      </c>
      <c r="B24" s="63" t="s">
        <v>69</v>
      </c>
      <c r="C24" s="7" t="s">
        <v>70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71</v>
      </c>
      <c r="C25" s="7" t="s">
        <v>72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73</v>
      </c>
      <c r="C26" s="7" t="s">
        <v>74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customHeight="1">
      <c r="A27" s="68">
        <v>127</v>
      </c>
      <c r="B27" s="63" t="s">
        <v>75</v>
      </c>
      <c r="C27" s="7" t="s">
        <v>76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>
      <c r="A28" s="68">
        <v>128</v>
      </c>
      <c r="B28" s="63" t="s">
        <v>77</v>
      </c>
      <c r="C28" s="7" t="s">
        <v>78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customHeight="1">
      <c r="A29" s="68">
        <v>129</v>
      </c>
      <c r="B29" s="63" t="s">
        <v>79</v>
      </c>
      <c r="C29" s="7" t="s">
        <v>80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customHeight="1">
      <c r="A30" s="68">
        <v>130</v>
      </c>
      <c r="B30" s="63" t="s">
        <v>81</v>
      </c>
      <c r="C30" s="7" t="s">
        <v>82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83</v>
      </c>
    </row>
    <row r="31" spans="1:11" ht="18" hidden="1" customHeight="1">
      <c r="A31" s="68">
        <v>131</v>
      </c>
      <c r="B31" s="63" t="s">
        <v>84</v>
      </c>
      <c r="C31" s="7" t="s">
        <v>85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hidden="1" customHeight="1">
      <c r="A32" s="68">
        <v>132</v>
      </c>
      <c r="B32" s="63" t="s">
        <v>86</v>
      </c>
      <c r="C32" s="7" t="s">
        <v>87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hidden="1" customHeight="1">
      <c r="A33" s="68">
        <v>133</v>
      </c>
      <c r="B33" s="63" t="s">
        <v>88</v>
      </c>
      <c r="C33" s="7" t="s">
        <v>89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83</v>
      </c>
    </row>
    <row r="34" spans="1:11" ht="18" hidden="1" customHeight="1">
      <c r="A34" s="68">
        <v>134</v>
      </c>
      <c r="B34" s="63" t="s">
        <v>90</v>
      </c>
      <c r="C34" s="7" t="s">
        <v>91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83</v>
      </c>
    </row>
    <row r="35" spans="1:11" ht="18" customHeight="1">
      <c r="A35" s="68">
        <v>135</v>
      </c>
      <c r="B35" s="63" t="s">
        <v>92</v>
      </c>
      <c r="C35" s="7" t="s">
        <v>93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83</v>
      </c>
    </row>
    <row r="36" spans="1:11" ht="18" customHeight="1">
      <c r="A36" s="68">
        <v>136</v>
      </c>
      <c r="B36" s="63" t="s">
        <v>94</v>
      </c>
      <c r="C36" s="7" t="s">
        <v>95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hidden="1" customHeight="1">
      <c r="A37" s="68">
        <v>139</v>
      </c>
      <c r="B37" s="63" t="s">
        <v>96</v>
      </c>
      <c r="C37" s="7" t="s">
        <v>97</v>
      </c>
      <c r="D37" s="8" t="s">
        <v>14</v>
      </c>
      <c r="E37" s="9" t="s">
        <v>15</v>
      </c>
      <c r="F37" s="9" t="s">
        <v>16</v>
      </c>
      <c r="G37" s="8" t="s">
        <v>98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99</v>
      </c>
      <c r="C38" s="7" t="s">
        <v>100</v>
      </c>
      <c r="D38" s="8" t="s">
        <v>14</v>
      </c>
      <c r="E38" s="9" t="s">
        <v>47</v>
      </c>
      <c r="F38" s="9" t="s">
        <v>16</v>
      </c>
      <c r="G38" s="8" t="s">
        <v>98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101</v>
      </c>
      <c r="C39" s="7" t="s">
        <v>102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customHeight="1">
      <c r="A40" s="68">
        <v>162</v>
      </c>
      <c r="B40" s="63" t="s">
        <v>103</v>
      </c>
      <c r="C40" s="90" t="s">
        <v>104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customHeight="1">
      <c r="A41" s="68">
        <v>246</v>
      </c>
      <c r="B41" s="63" t="s">
        <v>105</v>
      </c>
      <c r="C41" s="7" t="s">
        <v>106</v>
      </c>
      <c r="D41" s="8" t="s">
        <v>14</v>
      </c>
      <c r="E41" s="9" t="s">
        <v>15</v>
      </c>
      <c r="F41" s="9" t="s">
        <v>16</v>
      </c>
      <c r="G41" s="8" t="s">
        <v>26</v>
      </c>
      <c r="H41" s="10"/>
      <c r="I41" s="9" t="s">
        <v>107</v>
      </c>
      <c r="J41" s="9" t="s">
        <v>18</v>
      </c>
      <c r="K41" s="9" t="s">
        <v>39</v>
      </c>
    </row>
    <row r="42" spans="1:11" ht="18" customHeight="1">
      <c r="A42" s="68">
        <v>260</v>
      </c>
      <c r="B42" s="63">
        <v>30970373</v>
      </c>
      <c r="C42" s="7" t="s">
        <v>108</v>
      </c>
      <c r="D42" s="8" t="s">
        <v>14</v>
      </c>
      <c r="E42" s="9" t="s">
        <v>47</v>
      </c>
      <c r="F42" s="9" t="s">
        <v>16</v>
      </c>
      <c r="G42" s="8" t="s">
        <v>26</v>
      </c>
      <c r="H42" s="10"/>
      <c r="I42" s="9"/>
      <c r="J42" s="9" t="s">
        <v>18</v>
      </c>
      <c r="K42" s="9" t="s">
        <v>29</v>
      </c>
    </row>
    <row r="43" spans="1:11" ht="18" hidden="1" customHeight="1">
      <c r="A43" s="68">
        <v>265</v>
      </c>
      <c r="B43" s="63">
        <v>29500619</v>
      </c>
      <c r="C43" s="72" t="s">
        <v>109</v>
      </c>
      <c r="D43" s="8" t="s">
        <v>14</v>
      </c>
      <c r="E43" s="9" t="s">
        <v>15</v>
      </c>
      <c r="F43" s="9" t="s">
        <v>16</v>
      </c>
      <c r="G43" s="8" t="s">
        <v>98</v>
      </c>
      <c r="H43" s="10"/>
      <c r="I43" s="71"/>
      <c r="J43" s="9" t="s">
        <v>18</v>
      </c>
      <c r="K43" s="9"/>
    </row>
    <row r="44" spans="1:11" ht="18" hidden="1" customHeight="1">
      <c r="A44" s="68">
        <v>266</v>
      </c>
      <c r="B44" s="63">
        <v>30482093</v>
      </c>
      <c r="C44" s="72" t="s">
        <v>110</v>
      </c>
      <c r="D44" s="8" t="s">
        <v>14</v>
      </c>
      <c r="E44" s="9" t="s">
        <v>47</v>
      </c>
      <c r="F44" s="9" t="s">
        <v>16</v>
      </c>
      <c r="G44" s="8" t="s">
        <v>98</v>
      </c>
      <c r="H44" s="10"/>
      <c r="I44" s="71"/>
      <c r="J44" s="9" t="s">
        <v>18</v>
      </c>
      <c r="K44" s="9"/>
    </row>
    <row r="45" spans="1:11" ht="18" hidden="1" customHeight="1">
      <c r="A45" s="68">
        <v>267</v>
      </c>
      <c r="B45" s="63">
        <v>30481967</v>
      </c>
      <c r="C45" s="72" t="s">
        <v>111</v>
      </c>
      <c r="D45" s="8" t="s">
        <v>14</v>
      </c>
      <c r="E45" s="9" t="s">
        <v>47</v>
      </c>
      <c r="F45" s="9" t="s">
        <v>16</v>
      </c>
      <c r="G45" s="8" t="s">
        <v>98</v>
      </c>
      <c r="H45" s="10"/>
      <c r="I45" s="71"/>
      <c r="J45" s="9" t="s">
        <v>18</v>
      </c>
      <c r="K45" s="9"/>
    </row>
    <row r="46" spans="1:11" ht="18" hidden="1" customHeight="1">
      <c r="A46" s="68">
        <v>268</v>
      </c>
      <c r="B46" s="63">
        <v>29155528</v>
      </c>
      <c r="C46" s="72" t="s">
        <v>112</v>
      </c>
      <c r="D46" s="8" t="s">
        <v>14</v>
      </c>
      <c r="E46" s="9" t="s">
        <v>47</v>
      </c>
      <c r="F46" s="9" t="s">
        <v>16</v>
      </c>
      <c r="G46" s="8" t="s">
        <v>98</v>
      </c>
      <c r="H46" s="10"/>
      <c r="I46" s="71"/>
      <c r="J46" s="9" t="s">
        <v>18</v>
      </c>
      <c r="K46" s="9"/>
    </row>
    <row r="47" spans="1:11" ht="18" hidden="1" customHeight="1">
      <c r="A47" s="68">
        <v>269</v>
      </c>
      <c r="B47" s="63">
        <v>29155626</v>
      </c>
      <c r="C47" s="72" t="s">
        <v>113</v>
      </c>
      <c r="D47" s="8" t="s">
        <v>14</v>
      </c>
      <c r="E47" s="9" t="s">
        <v>47</v>
      </c>
      <c r="F47" s="9" t="s">
        <v>16</v>
      </c>
      <c r="G47" s="8" t="s">
        <v>98</v>
      </c>
      <c r="H47" s="10"/>
      <c r="I47" s="71"/>
      <c r="J47" s="9" t="s">
        <v>18</v>
      </c>
      <c r="K47" s="9"/>
    </row>
    <row r="48" spans="1:11" ht="18" hidden="1" customHeight="1">
      <c r="A48" s="68">
        <v>270</v>
      </c>
      <c r="B48" s="63">
        <v>29155751</v>
      </c>
      <c r="C48" s="72" t="s">
        <v>114</v>
      </c>
      <c r="D48" s="8" t="s">
        <v>14</v>
      </c>
      <c r="E48" s="9" t="s">
        <v>47</v>
      </c>
      <c r="F48" s="9" t="s">
        <v>16</v>
      </c>
      <c r="G48" s="8" t="s">
        <v>98</v>
      </c>
      <c r="H48" s="10"/>
      <c r="I48" s="71"/>
      <c r="J48" s="9" t="s">
        <v>18</v>
      </c>
      <c r="K48" s="9"/>
    </row>
    <row r="49" spans="1:11" ht="18" hidden="1" customHeight="1">
      <c r="A49" s="68">
        <v>271</v>
      </c>
      <c r="B49" s="63">
        <v>29155866</v>
      </c>
      <c r="C49" s="72" t="s">
        <v>115</v>
      </c>
      <c r="D49" s="8" t="s">
        <v>14</v>
      </c>
      <c r="E49" s="9" t="s">
        <v>47</v>
      </c>
      <c r="F49" s="9" t="s">
        <v>16</v>
      </c>
      <c r="G49" s="8" t="s">
        <v>98</v>
      </c>
      <c r="H49" s="10"/>
      <c r="I49" s="71"/>
      <c r="J49" s="9" t="s">
        <v>18</v>
      </c>
      <c r="K49" s="9"/>
    </row>
    <row r="50" spans="1:11" ht="18" hidden="1" customHeight="1">
      <c r="A50" s="68">
        <v>274</v>
      </c>
      <c r="B50" s="63">
        <v>30817928</v>
      </c>
      <c r="C50" s="72" t="s">
        <v>116</v>
      </c>
      <c r="D50" s="8" t="s">
        <v>14</v>
      </c>
      <c r="E50" s="9" t="s">
        <v>15</v>
      </c>
      <c r="F50" s="9" t="s">
        <v>16</v>
      </c>
      <c r="G50" s="8" t="s">
        <v>98</v>
      </c>
      <c r="H50" s="10"/>
      <c r="I50" s="71"/>
      <c r="J50" s="9" t="s">
        <v>18</v>
      </c>
      <c r="K50" s="9"/>
    </row>
    <row r="51" spans="1:11" ht="18" hidden="1" customHeight="1">
      <c r="A51" s="68">
        <v>275</v>
      </c>
      <c r="B51" s="63">
        <v>30695782</v>
      </c>
      <c r="C51" s="72" t="s">
        <v>117</v>
      </c>
      <c r="D51" s="8" t="s">
        <v>14</v>
      </c>
      <c r="E51" s="9" t="s">
        <v>15</v>
      </c>
      <c r="F51" s="9" t="s">
        <v>16</v>
      </c>
      <c r="G51" s="8" t="s">
        <v>98</v>
      </c>
      <c r="H51" s="10"/>
      <c r="I51" s="71"/>
      <c r="J51" s="9" t="s">
        <v>18</v>
      </c>
      <c r="K51" s="9"/>
    </row>
    <row r="52" spans="1:11" ht="18" hidden="1" customHeight="1">
      <c r="A52" s="68">
        <v>276</v>
      </c>
      <c r="B52" s="63">
        <v>29155917</v>
      </c>
      <c r="C52" s="72" t="s">
        <v>118</v>
      </c>
      <c r="D52" s="8" t="s">
        <v>14</v>
      </c>
      <c r="E52" s="9" t="s">
        <v>15</v>
      </c>
      <c r="F52" s="9" t="s">
        <v>16</v>
      </c>
      <c r="G52" s="8" t="s">
        <v>98</v>
      </c>
      <c r="H52" s="10"/>
      <c r="I52" s="71"/>
      <c r="J52" s="9" t="s">
        <v>18</v>
      </c>
      <c r="K52" s="9"/>
    </row>
    <row r="53" spans="1:11" ht="18" hidden="1" customHeight="1">
      <c r="A53" s="68">
        <v>277</v>
      </c>
      <c r="B53" s="63">
        <v>29156041</v>
      </c>
      <c r="C53" s="72" t="s">
        <v>119</v>
      </c>
      <c r="D53" s="8" t="s">
        <v>14</v>
      </c>
      <c r="E53" s="9" t="s">
        <v>15</v>
      </c>
      <c r="F53" s="9" t="s">
        <v>16</v>
      </c>
      <c r="G53" s="8" t="s">
        <v>98</v>
      </c>
      <c r="H53" s="10"/>
      <c r="I53" s="71"/>
      <c r="J53" s="9" t="s">
        <v>18</v>
      </c>
      <c r="K53" s="9"/>
    </row>
    <row r="54" spans="1:11" ht="18" hidden="1" customHeight="1">
      <c r="A54" s="68">
        <v>278</v>
      </c>
      <c r="B54" s="63">
        <v>29156135</v>
      </c>
      <c r="C54" s="72" t="s">
        <v>120</v>
      </c>
      <c r="D54" s="8" t="s">
        <v>14</v>
      </c>
      <c r="E54" s="9" t="s">
        <v>15</v>
      </c>
      <c r="F54" s="9" t="s">
        <v>16</v>
      </c>
      <c r="G54" s="8" t="s">
        <v>98</v>
      </c>
      <c r="H54" s="10"/>
      <c r="I54" s="71"/>
      <c r="J54" s="9" t="s">
        <v>18</v>
      </c>
      <c r="K54" s="9"/>
    </row>
    <row r="55" spans="1:11" ht="18" hidden="1" customHeight="1">
      <c r="A55" s="68">
        <v>279</v>
      </c>
      <c r="B55" s="63">
        <v>29156197</v>
      </c>
      <c r="C55" s="72" t="s">
        <v>121</v>
      </c>
      <c r="D55" s="8" t="s">
        <v>14</v>
      </c>
      <c r="E55" s="9" t="s">
        <v>15</v>
      </c>
      <c r="F55" s="9" t="s">
        <v>16</v>
      </c>
      <c r="G55" s="8" t="s">
        <v>98</v>
      </c>
      <c r="H55" s="10"/>
      <c r="I55" s="71"/>
      <c r="J55" s="9" t="s">
        <v>18</v>
      </c>
      <c r="K55" s="9"/>
    </row>
    <row r="56" spans="1:11" ht="18" hidden="1" customHeight="1">
      <c r="A56" s="68">
        <v>280</v>
      </c>
      <c r="B56" s="63">
        <v>29157167</v>
      </c>
      <c r="C56" s="72" t="s">
        <v>122</v>
      </c>
      <c r="D56" s="8" t="s">
        <v>14</v>
      </c>
      <c r="E56" s="9" t="s">
        <v>15</v>
      </c>
      <c r="F56" s="9" t="s">
        <v>16</v>
      </c>
      <c r="G56" s="8" t="s">
        <v>98</v>
      </c>
      <c r="H56" s="10"/>
      <c r="I56" s="71"/>
      <c r="J56" s="9" t="s">
        <v>18</v>
      </c>
      <c r="K56" s="9"/>
    </row>
    <row r="57" spans="1:11" ht="18" hidden="1" customHeight="1">
      <c r="A57" s="68">
        <v>281</v>
      </c>
      <c r="B57" s="63">
        <v>29156251</v>
      </c>
      <c r="C57" s="72" t="s">
        <v>123</v>
      </c>
      <c r="D57" s="8" t="s">
        <v>14</v>
      </c>
      <c r="E57" s="9" t="s">
        <v>15</v>
      </c>
      <c r="F57" s="9" t="s">
        <v>16</v>
      </c>
      <c r="G57" s="8" t="s">
        <v>98</v>
      </c>
      <c r="H57" s="10"/>
      <c r="I57" s="71"/>
      <c r="J57" s="9" t="s">
        <v>18</v>
      </c>
      <c r="K57" s="9"/>
    </row>
    <row r="58" spans="1:11" ht="18" hidden="1" customHeight="1">
      <c r="A58" s="68">
        <v>287</v>
      </c>
      <c r="B58" s="63">
        <v>15969129</v>
      </c>
      <c r="C58" s="7" t="s">
        <v>124</v>
      </c>
      <c r="D58" s="8" t="s">
        <v>14</v>
      </c>
      <c r="E58" s="9" t="s">
        <v>15</v>
      </c>
      <c r="F58" s="9" t="s">
        <v>16</v>
      </c>
      <c r="G58" s="8" t="s">
        <v>17</v>
      </c>
      <c r="H58" s="10"/>
      <c r="I58" s="9" t="s">
        <v>125</v>
      </c>
      <c r="J58" s="9" t="s">
        <v>18</v>
      </c>
      <c r="K58" s="9"/>
    </row>
    <row r="59" spans="1:11" ht="18" hidden="1" customHeight="1">
      <c r="A59" s="68">
        <v>296</v>
      </c>
      <c r="B59" s="63">
        <v>27731511</v>
      </c>
      <c r="C59" s="7" t="s">
        <v>126</v>
      </c>
      <c r="D59" s="8" t="s">
        <v>14</v>
      </c>
      <c r="E59" s="9" t="s">
        <v>15</v>
      </c>
      <c r="F59" s="9" t="s">
        <v>16</v>
      </c>
      <c r="G59" s="8" t="s">
        <v>21</v>
      </c>
      <c r="H59" s="10"/>
      <c r="I59" s="9"/>
      <c r="J59" s="9" t="s">
        <v>18</v>
      </c>
      <c r="K59" s="9"/>
    </row>
    <row r="60" spans="1:11" ht="18" hidden="1" customHeight="1">
      <c r="A60" s="68">
        <v>299</v>
      </c>
      <c r="B60" s="63">
        <v>32023170</v>
      </c>
      <c r="C60" s="72" t="s">
        <v>127</v>
      </c>
      <c r="D60" s="8" t="s">
        <v>14</v>
      </c>
      <c r="E60" s="9" t="s">
        <v>15</v>
      </c>
      <c r="F60" s="9" t="s">
        <v>16</v>
      </c>
      <c r="G60" s="8" t="s">
        <v>98</v>
      </c>
      <c r="H60" s="10"/>
      <c r="I60" s="9" t="s">
        <v>128</v>
      </c>
      <c r="J60" s="9" t="s">
        <v>18</v>
      </c>
      <c r="K60" s="9"/>
    </row>
    <row r="61" spans="1:11" ht="18" hidden="1" customHeight="1">
      <c r="A61" s="68">
        <v>300</v>
      </c>
      <c r="B61" s="63">
        <v>32023140</v>
      </c>
      <c r="C61" s="72" t="s">
        <v>129</v>
      </c>
      <c r="D61" s="8" t="s">
        <v>14</v>
      </c>
      <c r="E61" s="9" t="s">
        <v>15</v>
      </c>
      <c r="F61" s="9" t="s">
        <v>16</v>
      </c>
      <c r="G61" s="8" t="s">
        <v>98</v>
      </c>
      <c r="H61" s="10"/>
      <c r="I61" s="9" t="s">
        <v>128</v>
      </c>
      <c r="J61" s="9" t="s">
        <v>18</v>
      </c>
      <c r="K61" s="9"/>
    </row>
    <row r="62" spans="1:11" ht="18" hidden="1" customHeight="1">
      <c r="A62" s="68">
        <v>301</v>
      </c>
      <c r="B62" s="63">
        <v>32023261</v>
      </c>
      <c r="C62" s="72" t="s">
        <v>130</v>
      </c>
      <c r="D62" s="8" t="s">
        <v>14</v>
      </c>
      <c r="E62" s="9" t="s">
        <v>15</v>
      </c>
      <c r="F62" s="9" t="s">
        <v>16</v>
      </c>
      <c r="G62" s="8" t="s">
        <v>98</v>
      </c>
      <c r="H62" s="10"/>
      <c r="I62" s="9" t="s">
        <v>128</v>
      </c>
      <c r="J62" s="9" t="s">
        <v>18</v>
      </c>
      <c r="K62" s="9"/>
    </row>
    <row r="63" spans="1:11" ht="18" hidden="1" customHeight="1">
      <c r="A63" s="68">
        <v>302</v>
      </c>
      <c r="B63" s="63">
        <v>32023581</v>
      </c>
      <c r="C63" s="72" t="s">
        <v>131</v>
      </c>
      <c r="D63" s="8" t="s">
        <v>14</v>
      </c>
      <c r="E63" s="9" t="s">
        <v>15</v>
      </c>
      <c r="F63" s="9" t="s">
        <v>16</v>
      </c>
      <c r="G63" s="8" t="s">
        <v>98</v>
      </c>
      <c r="H63" s="10"/>
      <c r="I63" s="9" t="s">
        <v>128</v>
      </c>
      <c r="J63" s="9" t="s">
        <v>18</v>
      </c>
      <c r="K63" s="9"/>
    </row>
    <row r="64" spans="1:11" ht="18" hidden="1" customHeight="1">
      <c r="A64" s="68">
        <v>303</v>
      </c>
      <c r="B64" s="63">
        <v>31449237</v>
      </c>
      <c r="C64" s="72" t="s">
        <v>132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 t="s">
        <v>128</v>
      </c>
      <c r="J64" s="9" t="s">
        <v>18</v>
      </c>
      <c r="K64" s="9" t="s">
        <v>18</v>
      </c>
    </row>
    <row r="65" spans="1:11" ht="18" hidden="1" customHeight="1">
      <c r="A65" s="68">
        <v>304</v>
      </c>
      <c r="B65" s="63">
        <v>27027164</v>
      </c>
      <c r="C65" s="72" t="s">
        <v>133</v>
      </c>
      <c r="D65" s="8" t="s">
        <v>14</v>
      </c>
      <c r="E65" s="9" t="s">
        <v>15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305</v>
      </c>
      <c r="B66" s="63">
        <v>29160779</v>
      </c>
      <c r="C66" s="7" t="s">
        <v>134</v>
      </c>
      <c r="D66" s="8" t="s">
        <v>14</v>
      </c>
      <c r="E66" s="9" t="s">
        <v>47</v>
      </c>
      <c r="F66" s="9" t="s">
        <v>16</v>
      </c>
      <c r="G66" s="8" t="s">
        <v>17</v>
      </c>
      <c r="H66" s="10"/>
      <c r="I66" s="9"/>
      <c r="J66" s="9" t="s">
        <v>18</v>
      </c>
      <c r="K66" s="9" t="s">
        <v>18</v>
      </c>
    </row>
    <row r="67" spans="1:11" ht="18" customHeight="1">
      <c r="A67" s="68">
        <v>306</v>
      </c>
      <c r="B67" s="63">
        <v>29540806</v>
      </c>
      <c r="C67" s="7" t="s">
        <v>135</v>
      </c>
      <c r="D67" s="8" t="s">
        <v>14</v>
      </c>
      <c r="E67" s="9" t="s">
        <v>47</v>
      </c>
      <c r="F67" s="9" t="s">
        <v>16</v>
      </c>
      <c r="G67" s="8" t="s">
        <v>26</v>
      </c>
      <c r="H67" s="10"/>
      <c r="I67" s="9"/>
      <c r="J67" s="9" t="s">
        <v>18</v>
      </c>
      <c r="K67" s="9"/>
    </row>
    <row r="68" spans="1:11" ht="18" hidden="1" customHeight="1">
      <c r="A68" s="68">
        <v>308</v>
      </c>
      <c r="B68" s="63">
        <v>21620684</v>
      </c>
      <c r="C68" s="7" t="s">
        <v>136</v>
      </c>
      <c r="D68" s="8" t="s">
        <v>14</v>
      </c>
      <c r="E68" s="9" t="s">
        <v>15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309</v>
      </c>
      <c r="B69" s="63">
        <v>21620578</v>
      </c>
      <c r="C69" s="7" t="s">
        <v>137</v>
      </c>
      <c r="D69" s="8" t="s">
        <v>14</v>
      </c>
      <c r="E69" s="9" t="s">
        <v>15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310</v>
      </c>
      <c r="B70" s="63">
        <v>21620847</v>
      </c>
      <c r="C70" s="7" t="s">
        <v>138</v>
      </c>
      <c r="D70" s="8" t="s">
        <v>14</v>
      </c>
      <c r="E70" s="9" t="s">
        <v>15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311</v>
      </c>
      <c r="B71" s="63">
        <v>21620638</v>
      </c>
      <c r="C71" s="7" t="s">
        <v>139</v>
      </c>
      <c r="D71" s="8" t="s">
        <v>14</v>
      </c>
      <c r="E71" s="9" t="s">
        <v>15</v>
      </c>
      <c r="F71" s="9" t="s">
        <v>16</v>
      </c>
      <c r="G71" s="8" t="s">
        <v>17</v>
      </c>
      <c r="H71" s="10"/>
      <c r="I71" s="9"/>
      <c r="J71" s="9" t="s">
        <v>18</v>
      </c>
      <c r="K71" s="9"/>
    </row>
    <row r="72" spans="1:11" ht="18" hidden="1" customHeight="1">
      <c r="A72" s="68">
        <v>316</v>
      </c>
      <c r="B72" s="63">
        <v>23905848</v>
      </c>
      <c r="C72" s="7" t="s">
        <v>140</v>
      </c>
      <c r="D72" s="8" t="s">
        <v>14</v>
      </c>
      <c r="E72" s="9" t="s">
        <v>15</v>
      </c>
      <c r="F72" s="9" t="s">
        <v>16</v>
      </c>
      <c r="G72" s="8" t="s">
        <v>21</v>
      </c>
      <c r="H72" s="10"/>
      <c r="I72" s="9"/>
      <c r="J72" s="9" t="s">
        <v>18</v>
      </c>
      <c r="K72" s="9"/>
    </row>
    <row r="73" spans="1:11" ht="18" customHeight="1">
      <c r="A73" s="68">
        <v>317</v>
      </c>
      <c r="B73" s="63">
        <v>32022300</v>
      </c>
      <c r="C73" s="89" t="s">
        <v>141</v>
      </c>
      <c r="D73" s="8" t="s">
        <v>142</v>
      </c>
      <c r="E73" s="9" t="s">
        <v>15</v>
      </c>
      <c r="F73" s="9" t="s">
        <v>16</v>
      </c>
      <c r="G73" s="8" t="s">
        <v>26</v>
      </c>
      <c r="H73" s="10"/>
      <c r="I73" s="9" t="s">
        <v>143</v>
      </c>
      <c r="J73" s="9" t="s">
        <v>18</v>
      </c>
      <c r="K73" s="9" t="s">
        <v>83</v>
      </c>
    </row>
    <row r="74" spans="1:11" ht="18" customHeight="1">
      <c r="A74" s="68">
        <v>319</v>
      </c>
      <c r="B74" s="63">
        <v>80794771</v>
      </c>
      <c r="C74" s="89" t="s">
        <v>144</v>
      </c>
      <c r="D74" s="8" t="s">
        <v>142</v>
      </c>
      <c r="E74" s="9" t="s">
        <v>15</v>
      </c>
      <c r="F74" s="9" t="s">
        <v>16</v>
      </c>
      <c r="G74" s="8" t="s">
        <v>26</v>
      </c>
      <c r="H74" s="10"/>
      <c r="I74" s="9" t="s">
        <v>145</v>
      </c>
      <c r="J74" s="9" t="s">
        <v>18</v>
      </c>
      <c r="K74" s="9" t="s">
        <v>83</v>
      </c>
    </row>
    <row r="75" spans="1:11" ht="18" customHeight="1">
      <c r="A75" s="68">
        <v>320</v>
      </c>
      <c r="B75" s="63">
        <v>81012325</v>
      </c>
      <c r="C75" s="7" t="s">
        <v>146</v>
      </c>
      <c r="D75" s="8" t="s">
        <v>147</v>
      </c>
      <c r="E75" s="9" t="s">
        <v>47</v>
      </c>
      <c r="F75" s="9" t="s">
        <v>16</v>
      </c>
      <c r="G75" s="8" t="s">
        <v>26</v>
      </c>
      <c r="H75" s="10" t="s">
        <v>27</v>
      </c>
      <c r="I75" s="9"/>
      <c r="J75" s="9" t="s">
        <v>18</v>
      </c>
      <c r="K75" s="9" t="s">
        <v>83</v>
      </c>
    </row>
    <row r="76" spans="1:11" ht="18" hidden="1" customHeight="1">
      <c r="A76" s="68">
        <v>322</v>
      </c>
      <c r="B76" s="63" t="s">
        <v>148</v>
      </c>
      <c r="C76" s="7" t="s">
        <v>149</v>
      </c>
      <c r="D76" s="8" t="s">
        <v>14</v>
      </c>
      <c r="E76" s="9" t="s">
        <v>47</v>
      </c>
      <c r="F76" s="9" t="s">
        <v>16</v>
      </c>
      <c r="G76" s="8" t="s">
        <v>21</v>
      </c>
      <c r="H76" s="10"/>
      <c r="I76" s="9"/>
      <c r="J76" s="9" t="s">
        <v>18</v>
      </c>
      <c r="K76" s="9"/>
    </row>
    <row r="77" spans="1:11" ht="18" hidden="1" customHeight="1">
      <c r="A77" s="68">
        <v>323</v>
      </c>
      <c r="B77" s="63" t="s">
        <v>150</v>
      </c>
      <c r="C77" s="7" t="s">
        <v>151</v>
      </c>
      <c r="D77" s="8" t="s">
        <v>14</v>
      </c>
      <c r="E77" s="9" t="s">
        <v>15</v>
      </c>
      <c r="F77" s="9" t="s">
        <v>16</v>
      </c>
      <c r="G77" s="8" t="s">
        <v>17</v>
      </c>
      <c r="H77" s="10"/>
      <c r="I77" s="9"/>
      <c r="J77" s="9" t="s">
        <v>18</v>
      </c>
      <c r="K77" s="9"/>
    </row>
    <row r="78" spans="1:11" ht="18" hidden="1" customHeight="1">
      <c r="A78" s="68">
        <v>324</v>
      </c>
      <c r="B78" s="63" t="s">
        <v>152</v>
      </c>
      <c r="C78" s="7" t="s">
        <v>153</v>
      </c>
      <c r="D78" s="8" t="s">
        <v>14</v>
      </c>
      <c r="E78" s="9" t="s">
        <v>15</v>
      </c>
      <c r="F78" s="9" t="s">
        <v>16</v>
      </c>
      <c r="G78" s="8" t="s">
        <v>154</v>
      </c>
      <c r="H78" s="10"/>
      <c r="I78" s="9"/>
      <c r="J78" s="9" t="s">
        <v>18</v>
      </c>
      <c r="K78" s="9"/>
    </row>
    <row r="79" spans="1:11" ht="18" hidden="1" customHeight="1">
      <c r="A79" s="68">
        <v>325</v>
      </c>
      <c r="B79" s="63" t="s">
        <v>155</v>
      </c>
      <c r="C79" s="7" t="s">
        <v>156</v>
      </c>
      <c r="D79" s="8" t="s">
        <v>14</v>
      </c>
      <c r="E79" s="9" t="s">
        <v>15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326</v>
      </c>
      <c r="B80" s="63" t="s">
        <v>157</v>
      </c>
      <c r="C80" s="7" t="s">
        <v>158</v>
      </c>
      <c r="D80" s="8" t="s">
        <v>14</v>
      </c>
      <c r="E80" s="9" t="s">
        <v>47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327</v>
      </c>
      <c r="B81" s="63" t="s">
        <v>159</v>
      </c>
      <c r="C81" s="7" t="s">
        <v>160</v>
      </c>
      <c r="D81" s="8" t="s">
        <v>14</v>
      </c>
      <c r="E81" s="9" t="s">
        <v>15</v>
      </c>
      <c r="F81" s="9" t="s">
        <v>16</v>
      </c>
      <c r="G81" s="8" t="s">
        <v>17</v>
      </c>
      <c r="H81" s="10"/>
      <c r="I81" s="9"/>
      <c r="J81" s="9" t="s">
        <v>18</v>
      </c>
      <c r="K81" s="9"/>
    </row>
    <row r="82" spans="1:11" ht="18" customHeight="1">
      <c r="A82" s="68">
        <v>328</v>
      </c>
      <c r="B82" s="63" t="s">
        <v>161</v>
      </c>
      <c r="C82" s="7" t="s">
        <v>162</v>
      </c>
      <c r="D82" s="8" t="s">
        <v>14</v>
      </c>
      <c r="E82" s="9" t="s">
        <v>47</v>
      </c>
      <c r="F82" s="9" t="s">
        <v>16</v>
      </c>
      <c r="G82" s="8" t="s">
        <v>26</v>
      </c>
      <c r="H82" s="10"/>
      <c r="I82" s="9"/>
      <c r="J82" s="9" t="s">
        <v>18</v>
      </c>
      <c r="K82" s="9"/>
    </row>
    <row r="83" spans="1:11" ht="18" hidden="1" customHeight="1">
      <c r="A83" s="68">
        <v>329</v>
      </c>
      <c r="B83" s="63" t="s">
        <v>163</v>
      </c>
      <c r="C83" s="7" t="s">
        <v>164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hidden="1" customHeight="1">
      <c r="A84" s="68">
        <v>330</v>
      </c>
      <c r="B84" s="63" t="s">
        <v>165</v>
      </c>
      <c r="C84" s="7" t="s">
        <v>166</v>
      </c>
      <c r="D84" s="8" t="s">
        <v>14</v>
      </c>
      <c r="E84" s="9" t="s">
        <v>15</v>
      </c>
      <c r="F84" s="9" t="s">
        <v>16</v>
      </c>
      <c r="G84" s="8" t="s">
        <v>21</v>
      </c>
      <c r="H84" s="10"/>
      <c r="I84" s="9"/>
      <c r="J84" s="9" t="s">
        <v>18</v>
      </c>
      <c r="K84" s="9"/>
    </row>
    <row r="85" spans="1:11" ht="18" hidden="1" customHeight="1">
      <c r="A85" s="68">
        <v>339</v>
      </c>
      <c r="B85" s="63" t="s">
        <v>167</v>
      </c>
      <c r="C85" s="7" t="s">
        <v>168</v>
      </c>
      <c r="D85" s="8" t="s">
        <v>14</v>
      </c>
      <c r="E85" s="9" t="s">
        <v>15</v>
      </c>
      <c r="F85" s="9" t="s">
        <v>16</v>
      </c>
      <c r="G85" s="8" t="s">
        <v>17</v>
      </c>
      <c r="H85" s="10"/>
      <c r="I85" s="9"/>
      <c r="J85" s="9" t="s">
        <v>18</v>
      </c>
      <c r="K85" s="9"/>
    </row>
    <row r="86" spans="1:11" ht="18" customHeight="1">
      <c r="A86" s="68">
        <v>341</v>
      </c>
      <c r="B86" s="63">
        <v>32787419</v>
      </c>
      <c r="C86" s="7" t="s">
        <v>169</v>
      </c>
      <c r="D86" s="8" t="s">
        <v>170</v>
      </c>
      <c r="E86" s="9" t="s">
        <v>15</v>
      </c>
      <c r="F86" s="9" t="s">
        <v>16</v>
      </c>
      <c r="G86" s="8" t="s">
        <v>171</v>
      </c>
      <c r="H86" s="10"/>
      <c r="I86" s="9"/>
      <c r="J86" s="9" t="s">
        <v>18</v>
      </c>
      <c r="K86" s="9"/>
    </row>
    <row r="87" spans="1:11" ht="18" customHeight="1">
      <c r="A87" s="68">
        <v>342</v>
      </c>
      <c r="B87" s="63">
        <v>32787446</v>
      </c>
      <c r="C87" s="89" t="s">
        <v>172</v>
      </c>
      <c r="D87" s="8" t="s">
        <v>170</v>
      </c>
      <c r="E87" s="9" t="s">
        <v>15</v>
      </c>
      <c r="F87" s="9" t="s">
        <v>16</v>
      </c>
      <c r="G87" s="8" t="s">
        <v>26</v>
      </c>
      <c r="H87" s="10"/>
      <c r="I87" s="9"/>
      <c r="J87" s="9" t="s">
        <v>18</v>
      </c>
      <c r="K87" s="9" t="s">
        <v>83</v>
      </c>
    </row>
    <row r="88" spans="1:11" ht="18" customHeight="1">
      <c r="A88" s="68">
        <v>343</v>
      </c>
      <c r="B88" s="63">
        <v>32787479</v>
      </c>
      <c r="C88" s="7" t="s">
        <v>173</v>
      </c>
      <c r="D88" s="8" t="s">
        <v>14</v>
      </c>
      <c r="E88" s="9" t="s">
        <v>47</v>
      </c>
      <c r="F88" s="9" t="s">
        <v>16</v>
      </c>
      <c r="G88" s="8" t="s">
        <v>171</v>
      </c>
      <c r="H88" s="10"/>
      <c r="I88" s="9"/>
      <c r="J88" s="9" t="s">
        <v>18</v>
      </c>
      <c r="K88" s="9"/>
    </row>
    <row r="89" spans="1:11" ht="18" hidden="1" customHeight="1">
      <c r="A89" s="68">
        <v>348</v>
      </c>
      <c r="B89" s="63">
        <v>29534232</v>
      </c>
      <c r="C89" s="7" t="s">
        <v>174</v>
      </c>
      <c r="D89" s="8" t="s">
        <v>14</v>
      </c>
      <c r="E89" s="9" t="s">
        <v>15</v>
      </c>
      <c r="F89" s="9" t="s">
        <v>16</v>
      </c>
      <c r="G89" s="8" t="s">
        <v>21</v>
      </c>
      <c r="H89" s="10"/>
      <c r="I89" s="9"/>
      <c r="J89" s="9" t="s">
        <v>18</v>
      </c>
      <c r="K89" s="9"/>
    </row>
    <row r="90" spans="1:11" ht="18" customHeight="1">
      <c r="A90" s="68">
        <v>354</v>
      </c>
      <c r="B90" s="63" t="s">
        <v>175</v>
      </c>
      <c r="C90" s="7" t="s">
        <v>176</v>
      </c>
      <c r="D90" s="8" t="s">
        <v>14</v>
      </c>
      <c r="E90" s="9" t="s">
        <v>15</v>
      </c>
      <c r="F90" s="9" t="s">
        <v>16</v>
      </c>
      <c r="G90" s="8" t="s">
        <v>26</v>
      </c>
      <c r="H90" s="10"/>
      <c r="I90" s="9"/>
      <c r="J90" s="9" t="s">
        <v>18</v>
      </c>
      <c r="K90" s="9"/>
    </row>
    <row r="91" spans="1:11" ht="18" customHeight="1">
      <c r="A91" s="68">
        <v>368</v>
      </c>
      <c r="B91" s="63">
        <v>32070218</v>
      </c>
      <c r="C91" s="7" t="s">
        <v>177</v>
      </c>
      <c r="D91" s="8" t="s">
        <v>14</v>
      </c>
      <c r="E91" s="9" t="s">
        <v>47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customHeight="1">
      <c r="A92" s="68">
        <v>372</v>
      </c>
      <c r="B92" s="63" t="s">
        <v>178</v>
      </c>
      <c r="C92" s="7" t="s">
        <v>179</v>
      </c>
      <c r="D92" s="8" t="s">
        <v>14</v>
      </c>
      <c r="E92" s="9" t="s">
        <v>47</v>
      </c>
      <c r="F92" s="9" t="s">
        <v>16</v>
      </c>
      <c r="G92" s="8" t="s">
        <v>26</v>
      </c>
      <c r="H92" s="10"/>
      <c r="I92" s="9"/>
      <c r="J92" s="9" t="s">
        <v>18</v>
      </c>
      <c r="K92" s="9" t="s">
        <v>39</v>
      </c>
    </row>
    <row r="93" spans="1:11" ht="18" customHeight="1">
      <c r="A93" s="68">
        <v>373</v>
      </c>
      <c r="B93" s="63" t="s">
        <v>180</v>
      </c>
      <c r="C93" s="7" t="s">
        <v>181</v>
      </c>
      <c r="D93" s="8" t="s">
        <v>14</v>
      </c>
      <c r="E93" s="9" t="s">
        <v>15</v>
      </c>
      <c r="F93" s="9" t="s">
        <v>16</v>
      </c>
      <c r="G93" s="8" t="s">
        <v>182</v>
      </c>
      <c r="H93" s="10"/>
      <c r="I93" s="9"/>
      <c r="J93" s="9" t="s">
        <v>18</v>
      </c>
      <c r="K93" s="9"/>
    </row>
    <row r="94" spans="1:11" ht="18" customHeight="1">
      <c r="A94" s="68">
        <v>374</v>
      </c>
      <c r="B94" s="63" t="s">
        <v>183</v>
      </c>
      <c r="C94" s="7" t="s">
        <v>184</v>
      </c>
      <c r="D94" s="8" t="s">
        <v>14</v>
      </c>
      <c r="E94" s="9" t="s">
        <v>47</v>
      </c>
      <c r="F94" s="9" t="s">
        <v>16</v>
      </c>
      <c r="G94" s="8" t="s">
        <v>26</v>
      </c>
      <c r="H94" s="10" t="s">
        <v>27</v>
      </c>
      <c r="I94" s="9"/>
      <c r="J94" s="9" t="s">
        <v>18</v>
      </c>
      <c r="K94" s="9"/>
    </row>
    <row r="95" spans="1:11" ht="18" hidden="1" customHeight="1">
      <c r="A95" s="68">
        <v>375</v>
      </c>
      <c r="B95" s="63" t="s">
        <v>185</v>
      </c>
      <c r="C95" s="72" t="s">
        <v>186</v>
      </c>
      <c r="D95" s="8" t="s">
        <v>14</v>
      </c>
      <c r="E95" s="9" t="s">
        <v>47</v>
      </c>
      <c r="F95" s="9" t="s">
        <v>16</v>
      </c>
      <c r="G95" s="8" t="s">
        <v>17</v>
      </c>
      <c r="H95" s="10"/>
      <c r="I95" s="9"/>
      <c r="J95" s="9" t="s">
        <v>18</v>
      </c>
      <c r="K95" s="9"/>
    </row>
    <row r="96" spans="1:11" ht="18" hidden="1" customHeight="1">
      <c r="A96" s="68">
        <v>376</v>
      </c>
      <c r="B96" s="63" t="s">
        <v>187</v>
      </c>
      <c r="C96" s="7" t="s">
        <v>188</v>
      </c>
      <c r="D96" s="8" t="s">
        <v>14</v>
      </c>
      <c r="E96" s="9" t="s">
        <v>47</v>
      </c>
      <c r="F96" s="9" t="s">
        <v>16</v>
      </c>
      <c r="G96" s="8" t="s">
        <v>98</v>
      </c>
      <c r="H96" s="10"/>
      <c r="I96" s="9"/>
      <c r="J96" s="9" t="s">
        <v>18</v>
      </c>
      <c r="K96" s="9"/>
    </row>
    <row r="97" spans="1:11" ht="18" hidden="1" customHeight="1">
      <c r="A97" s="68">
        <v>377</v>
      </c>
      <c r="B97" s="63" t="s">
        <v>189</v>
      </c>
      <c r="C97" s="7" t="s">
        <v>190</v>
      </c>
      <c r="D97" s="8" t="s">
        <v>14</v>
      </c>
      <c r="E97" s="9" t="s">
        <v>47</v>
      </c>
      <c r="F97" s="9" t="s">
        <v>16</v>
      </c>
      <c r="G97" s="8" t="s">
        <v>98</v>
      </c>
      <c r="H97" s="10"/>
      <c r="I97" s="9"/>
      <c r="J97" s="9" t="s">
        <v>18</v>
      </c>
      <c r="K97" s="9"/>
    </row>
    <row r="98" spans="1:11" ht="18" hidden="1" customHeight="1">
      <c r="A98" s="68">
        <v>379</v>
      </c>
      <c r="B98" s="63" t="s">
        <v>191</v>
      </c>
      <c r="C98" s="7" t="s">
        <v>192</v>
      </c>
      <c r="D98" s="8" t="s">
        <v>14</v>
      </c>
      <c r="E98" s="9" t="s">
        <v>47</v>
      </c>
      <c r="F98" s="9" t="s">
        <v>16</v>
      </c>
      <c r="G98" s="8" t="s">
        <v>98</v>
      </c>
      <c r="H98" s="10"/>
      <c r="I98" s="9"/>
      <c r="J98" s="9" t="s">
        <v>18</v>
      </c>
      <c r="K98" s="9"/>
    </row>
    <row r="99" spans="1:11" ht="18" hidden="1" customHeight="1">
      <c r="A99" s="68">
        <v>384</v>
      </c>
      <c r="B99" s="63" t="s">
        <v>193</v>
      </c>
      <c r="C99" s="7" t="s">
        <v>194</v>
      </c>
      <c r="D99" s="8" t="s">
        <v>14</v>
      </c>
      <c r="E99" s="9" t="s">
        <v>47</v>
      </c>
      <c r="F99" s="9" t="s">
        <v>16</v>
      </c>
      <c r="G99" s="8" t="s">
        <v>98</v>
      </c>
      <c r="H99" s="10"/>
      <c r="I99" s="9"/>
      <c r="J99" s="9" t="s">
        <v>18</v>
      </c>
      <c r="K99" s="9"/>
    </row>
    <row r="100" spans="1:11" ht="18" customHeight="1">
      <c r="A100" s="68">
        <v>385</v>
      </c>
      <c r="B100" s="63" t="s">
        <v>195</v>
      </c>
      <c r="C100" s="87" t="s">
        <v>196</v>
      </c>
      <c r="D100" s="8" t="s">
        <v>14</v>
      </c>
      <c r="E100" s="9" t="s">
        <v>15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customHeight="1">
      <c r="A101" s="68">
        <v>386</v>
      </c>
      <c r="B101" s="63" t="s">
        <v>197</v>
      </c>
      <c r="C101" s="7" t="s">
        <v>198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customHeight="1">
      <c r="A102" s="68">
        <v>387</v>
      </c>
      <c r="B102" s="63" t="s">
        <v>199</v>
      </c>
      <c r="C102" s="7" t="s">
        <v>200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 t="s">
        <v>29</v>
      </c>
    </row>
    <row r="103" spans="1:11" ht="18" customHeight="1">
      <c r="A103" s="68">
        <v>388</v>
      </c>
      <c r="B103" s="63" t="s">
        <v>201</v>
      </c>
      <c r="C103" s="91" t="s">
        <v>202</v>
      </c>
      <c r="D103" s="8" t="s">
        <v>14</v>
      </c>
      <c r="E103" s="9" t="s">
        <v>15</v>
      </c>
      <c r="F103" s="9" t="s">
        <v>16</v>
      </c>
      <c r="G103" s="8" t="s">
        <v>26</v>
      </c>
      <c r="H103" s="10"/>
      <c r="I103" s="9"/>
      <c r="J103" s="9" t="s">
        <v>18</v>
      </c>
      <c r="K103" s="9"/>
    </row>
    <row r="104" spans="1:11" ht="18" hidden="1" customHeight="1">
      <c r="A104" s="68">
        <v>389</v>
      </c>
      <c r="B104" s="63" t="s">
        <v>203</v>
      </c>
      <c r="C104" s="90" t="s">
        <v>204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390</v>
      </c>
      <c r="B105" s="63" t="s">
        <v>205</v>
      </c>
      <c r="C105" s="90" t="s">
        <v>206</v>
      </c>
      <c r="D105" s="8" t="s">
        <v>14</v>
      </c>
      <c r="E105" s="9" t="s">
        <v>15</v>
      </c>
      <c r="F105" s="9" t="s">
        <v>16</v>
      </c>
      <c r="G105" s="8" t="s">
        <v>50</v>
      </c>
      <c r="H105" s="10"/>
      <c r="I105" s="9"/>
      <c r="J105" s="9" t="s">
        <v>18</v>
      </c>
      <c r="K105" s="9"/>
    </row>
    <row r="106" spans="1:11" ht="18" customHeight="1">
      <c r="A106" s="68">
        <v>391</v>
      </c>
      <c r="B106" s="63" t="s">
        <v>207</v>
      </c>
      <c r="C106" s="87" t="s">
        <v>208</v>
      </c>
      <c r="D106" s="8" t="s">
        <v>14</v>
      </c>
      <c r="E106" s="9" t="s">
        <v>15</v>
      </c>
      <c r="F106" s="9" t="s">
        <v>16</v>
      </c>
      <c r="G106" s="8" t="s">
        <v>26</v>
      </c>
      <c r="H106" s="10"/>
      <c r="I106" s="9"/>
      <c r="J106" s="9" t="s">
        <v>18</v>
      </c>
      <c r="K106" s="9"/>
    </row>
    <row r="107" spans="1:11" ht="18" hidden="1" customHeight="1">
      <c r="A107" s="68">
        <v>392</v>
      </c>
      <c r="B107" s="63" t="s">
        <v>209</v>
      </c>
      <c r="C107" s="7" t="s">
        <v>210</v>
      </c>
      <c r="D107" s="8" t="s">
        <v>14</v>
      </c>
      <c r="E107" s="9" t="s">
        <v>47</v>
      </c>
      <c r="F107" s="9" t="s">
        <v>16</v>
      </c>
      <c r="G107" s="8" t="s">
        <v>21</v>
      </c>
      <c r="H107" s="10"/>
      <c r="I107" s="9"/>
      <c r="J107" s="9" t="s">
        <v>18</v>
      </c>
      <c r="K107" s="9"/>
    </row>
    <row r="108" spans="1:11" ht="18" customHeight="1">
      <c r="A108" s="68">
        <v>393</v>
      </c>
      <c r="B108" s="63" t="s">
        <v>211</v>
      </c>
      <c r="C108" s="7" t="s">
        <v>212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 t="s">
        <v>27</v>
      </c>
      <c r="I108" s="9" t="s">
        <v>213</v>
      </c>
      <c r="J108" s="9" t="s">
        <v>18</v>
      </c>
      <c r="K108" s="9" t="s">
        <v>39</v>
      </c>
    </row>
    <row r="109" spans="1:11" ht="18" customHeight="1">
      <c r="A109" s="68">
        <v>394</v>
      </c>
      <c r="B109" s="63" t="s">
        <v>214</v>
      </c>
      <c r="C109" s="7" t="s">
        <v>215</v>
      </c>
      <c r="D109" s="8" t="s">
        <v>14</v>
      </c>
      <c r="E109" s="9" t="s">
        <v>15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customHeight="1">
      <c r="A110" s="68">
        <v>395</v>
      </c>
      <c r="B110" s="63" t="s">
        <v>216</v>
      </c>
      <c r="C110" s="7" t="s">
        <v>217</v>
      </c>
      <c r="D110" s="8" t="s">
        <v>14</v>
      </c>
      <c r="E110" s="9" t="s">
        <v>47</v>
      </c>
      <c r="F110" s="9" t="s">
        <v>16</v>
      </c>
      <c r="G110" s="8" t="s">
        <v>26</v>
      </c>
      <c r="H110" s="10"/>
      <c r="I110" s="9"/>
      <c r="J110" s="9" t="s">
        <v>18</v>
      </c>
      <c r="K110" s="9" t="s">
        <v>39</v>
      </c>
    </row>
    <row r="111" spans="1:11" ht="18" customHeight="1">
      <c r="A111" s="68">
        <v>396</v>
      </c>
      <c r="B111" s="63" t="s">
        <v>218</v>
      </c>
      <c r="C111" s="87" t="s">
        <v>219</v>
      </c>
      <c r="D111" s="8" t="s">
        <v>14</v>
      </c>
      <c r="E111" s="9" t="s">
        <v>15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customHeight="1">
      <c r="A112" s="68">
        <v>397</v>
      </c>
      <c r="B112" s="63" t="s">
        <v>220</v>
      </c>
      <c r="C112" s="87" t="s">
        <v>221</v>
      </c>
      <c r="D112" s="8" t="s">
        <v>14</v>
      </c>
      <c r="E112" s="9" t="s">
        <v>15</v>
      </c>
      <c r="F112" s="9" t="s">
        <v>16</v>
      </c>
      <c r="G112" s="8" t="s">
        <v>26</v>
      </c>
      <c r="H112" s="10"/>
      <c r="I112" s="9"/>
      <c r="J112" s="9" t="s">
        <v>18</v>
      </c>
      <c r="K112" s="9"/>
    </row>
    <row r="113" spans="1:11" ht="18" hidden="1" customHeight="1">
      <c r="A113" s="68">
        <v>398</v>
      </c>
      <c r="B113" s="63" t="s">
        <v>222</v>
      </c>
      <c r="C113" s="7" t="s">
        <v>223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399</v>
      </c>
      <c r="B114" s="63" t="s">
        <v>224</v>
      </c>
      <c r="C114" s="7" t="s">
        <v>225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400</v>
      </c>
      <c r="B115" s="63" t="s">
        <v>226</v>
      </c>
      <c r="C115" s="7" t="s">
        <v>227</v>
      </c>
      <c r="D115" s="8" t="s">
        <v>14</v>
      </c>
      <c r="E115" s="9" t="s">
        <v>47</v>
      </c>
      <c r="F115" s="9" t="s">
        <v>16</v>
      </c>
      <c r="G115" s="8" t="s">
        <v>21</v>
      </c>
      <c r="H115" s="10"/>
      <c r="I115" s="9"/>
      <c r="J115" s="9" t="s">
        <v>18</v>
      </c>
      <c r="K115" s="9"/>
    </row>
    <row r="116" spans="1:11" ht="18" customHeight="1">
      <c r="A116" s="68">
        <v>401</v>
      </c>
      <c r="B116" s="63" t="s">
        <v>228</v>
      </c>
      <c r="C116" s="7" t="s">
        <v>229</v>
      </c>
      <c r="D116" s="8" t="s">
        <v>14</v>
      </c>
      <c r="E116" s="9" t="s">
        <v>47</v>
      </c>
      <c r="F116" s="9" t="s">
        <v>16</v>
      </c>
      <c r="G116" s="8" t="s">
        <v>26</v>
      </c>
      <c r="H116" s="10" t="s">
        <v>27</v>
      </c>
      <c r="I116" s="9"/>
      <c r="J116" s="9" t="s">
        <v>18</v>
      </c>
      <c r="K116" s="9" t="s">
        <v>39</v>
      </c>
    </row>
    <row r="117" spans="1:11" ht="18" customHeight="1">
      <c r="A117" s="68">
        <v>402</v>
      </c>
      <c r="B117" s="63" t="s">
        <v>230</v>
      </c>
      <c r="C117" s="7" t="s">
        <v>231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customHeight="1">
      <c r="A118" s="68">
        <v>403</v>
      </c>
      <c r="B118" s="63" t="s">
        <v>232</v>
      </c>
      <c r="C118" s="7" t="s">
        <v>233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customHeight="1">
      <c r="A119" s="68">
        <v>406</v>
      </c>
      <c r="B119" s="63" t="s">
        <v>234</v>
      </c>
      <c r="C119" s="7" t="s">
        <v>235</v>
      </c>
      <c r="D119" s="8" t="s">
        <v>14</v>
      </c>
      <c r="E119" s="9" t="s">
        <v>47</v>
      </c>
      <c r="F119" s="9" t="s">
        <v>16</v>
      </c>
      <c r="G119" s="8" t="s">
        <v>26</v>
      </c>
      <c r="H119" s="10"/>
      <c r="I119" s="9"/>
      <c r="J119" s="9" t="s">
        <v>18</v>
      </c>
      <c r="K119" s="9" t="s">
        <v>39</v>
      </c>
    </row>
    <row r="120" spans="1:11" ht="18" hidden="1" customHeight="1">
      <c r="A120" s="68">
        <v>411</v>
      </c>
      <c r="B120" s="63" t="s">
        <v>236</v>
      </c>
      <c r="C120" s="7" t="s">
        <v>237</v>
      </c>
      <c r="D120" s="8" t="s">
        <v>14</v>
      </c>
      <c r="E120" s="9" t="s">
        <v>47</v>
      </c>
      <c r="F120" s="9" t="s">
        <v>16</v>
      </c>
      <c r="G120" s="8" t="s">
        <v>21</v>
      </c>
      <c r="H120" s="10"/>
      <c r="I120" s="9"/>
      <c r="J120" s="9" t="s">
        <v>18</v>
      </c>
      <c r="K120" s="9"/>
    </row>
    <row r="121" spans="1:11" ht="18" hidden="1" customHeight="1">
      <c r="A121" s="68">
        <v>434</v>
      </c>
      <c r="B121" s="63" t="s">
        <v>238</v>
      </c>
      <c r="C121" s="7" t="s">
        <v>239</v>
      </c>
      <c r="D121" s="8" t="s">
        <v>14</v>
      </c>
      <c r="E121" s="9" t="s">
        <v>47</v>
      </c>
      <c r="F121" s="9" t="s">
        <v>16</v>
      </c>
      <c r="G121" s="8" t="s">
        <v>98</v>
      </c>
      <c r="H121" s="10"/>
      <c r="I121" s="9"/>
      <c r="J121" s="9" t="s">
        <v>18</v>
      </c>
      <c r="K121" s="9" t="s">
        <v>29</v>
      </c>
    </row>
    <row r="122" spans="1:11" ht="18" hidden="1" customHeight="1">
      <c r="A122" s="68">
        <v>448</v>
      </c>
      <c r="B122" s="63" t="s">
        <v>240</v>
      </c>
      <c r="C122" s="7" t="s">
        <v>241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449</v>
      </c>
      <c r="B123" s="63" t="s">
        <v>242</v>
      </c>
      <c r="C123" s="7" t="s">
        <v>243</v>
      </c>
      <c r="D123" s="8" t="s">
        <v>14</v>
      </c>
      <c r="E123" s="9" t="s">
        <v>47</v>
      </c>
      <c r="F123" s="9" t="s">
        <v>16</v>
      </c>
      <c r="G123" s="8" t="s">
        <v>21</v>
      </c>
      <c r="H123" s="10"/>
      <c r="I123" s="9"/>
      <c r="J123" s="9" t="s">
        <v>18</v>
      </c>
      <c r="K123" s="9"/>
    </row>
    <row r="124" spans="1:11" ht="18" hidden="1" customHeight="1">
      <c r="A124" s="68">
        <v>454</v>
      </c>
      <c r="B124" s="63" t="s">
        <v>244</v>
      </c>
      <c r="C124" s="7" t="s">
        <v>245</v>
      </c>
      <c r="D124" s="8" t="s">
        <v>14</v>
      </c>
      <c r="E124" s="9" t="s">
        <v>15</v>
      </c>
      <c r="F124" s="9" t="s">
        <v>16</v>
      </c>
      <c r="G124" s="8" t="s">
        <v>17</v>
      </c>
      <c r="H124" s="10"/>
      <c r="I124" s="9"/>
      <c r="J124" s="9" t="s">
        <v>18</v>
      </c>
      <c r="K124" s="9"/>
    </row>
    <row r="125" spans="1:11" ht="18" customHeight="1">
      <c r="A125" s="68">
        <v>455</v>
      </c>
      <c r="B125" s="63" t="s">
        <v>246</v>
      </c>
      <c r="C125" s="7" t="s">
        <v>247</v>
      </c>
      <c r="D125" s="8" t="s">
        <v>14</v>
      </c>
      <c r="E125" s="9" t="s">
        <v>47</v>
      </c>
      <c r="F125" s="9" t="s">
        <v>16</v>
      </c>
      <c r="G125" s="8" t="s">
        <v>26</v>
      </c>
      <c r="H125" s="10"/>
      <c r="I125" s="9"/>
      <c r="J125" s="9" t="s">
        <v>18</v>
      </c>
      <c r="K125" s="9" t="s">
        <v>39</v>
      </c>
    </row>
    <row r="126" spans="1:11" ht="18" hidden="1" customHeight="1">
      <c r="A126" s="68">
        <v>464</v>
      </c>
      <c r="B126" s="63" t="s">
        <v>248</v>
      </c>
      <c r="C126" s="89" t="s">
        <v>249</v>
      </c>
      <c r="D126" s="8" t="s">
        <v>14</v>
      </c>
      <c r="E126" s="9" t="s">
        <v>15</v>
      </c>
      <c r="F126" s="9" t="s">
        <v>16</v>
      </c>
      <c r="G126" s="8" t="s">
        <v>39</v>
      </c>
      <c r="H126" s="10"/>
      <c r="I126" s="9"/>
      <c r="J126" s="9" t="s">
        <v>18</v>
      </c>
      <c r="K126" s="9" t="s">
        <v>29</v>
      </c>
    </row>
    <row r="127" spans="1:11" ht="18" hidden="1" customHeight="1">
      <c r="A127" s="68">
        <v>498</v>
      </c>
      <c r="B127" s="63">
        <v>32788737</v>
      </c>
      <c r="C127" s="7" t="s">
        <v>250</v>
      </c>
      <c r="D127" s="8" t="s">
        <v>142</v>
      </c>
      <c r="E127" s="9" t="s">
        <v>47</v>
      </c>
      <c r="F127" s="9" t="s">
        <v>16</v>
      </c>
      <c r="G127" s="8" t="s">
        <v>98</v>
      </c>
      <c r="H127" s="10"/>
      <c r="I127" s="9"/>
      <c r="J127" s="9"/>
      <c r="K127" s="9" t="s">
        <v>83</v>
      </c>
    </row>
    <row r="128" spans="1:11" ht="18" customHeight="1">
      <c r="A128" s="68">
        <v>499</v>
      </c>
      <c r="B128" s="63">
        <v>32788738</v>
      </c>
      <c r="C128" s="89" t="s">
        <v>251</v>
      </c>
      <c r="D128" s="8" t="s">
        <v>142</v>
      </c>
      <c r="E128" s="9" t="s">
        <v>15</v>
      </c>
      <c r="F128" s="9" t="s">
        <v>252</v>
      </c>
      <c r="G128" s="8" t="s">
        <v>26</v>
      </c>
      <c r="H128" s="10"/>
      <c r="I128" s="9" t="s">
        <v>253</v>
      </c>
      <c r="J128" s="9"/>
      <c r="K128" s="9" t="s">
        <v>29</v>
      </c>
    </row>
    <row r="129" spans="1:11" ht="18" hidden="1" customHeight="1">
      <c r="A129" s="68">
        <v>500</v>
      </c>
      <c r="B129" s="63">
        <v>32788746</v>
      </c>
      <c r="C129" s="7" t="s">
        <v>254</v>
      </c>
      <c r="D129" s="8" t="s">
        <v>142</v>
      </c>
      <c r="E129" s="9" t="s">
        <v>47</v>
      </c>
      <c r="F129" s="9" t="s">
        <v>16</v>
      </c>
      <c r="G129" s="8" t="s">
        <v>255</v>
      </c>
      <c r="H129" s="10"/>
      <c r="I129" s="9"/>
      <c r="J129" s="9" t="s">
        <v>256</v>
      </c>
      <c r="K129" s="9" t="s">
        <v>29</v>
      </c>
    </row>
    <row r="130" spans="1:11" ht="18" customHeight="1">
      <c r="A130" s="68">
        <v>502</v>
      </c>
      <c r="B130" s="63">
        <v>32788761</v>
      </c>
      <c r="C130" s="7" t="s">
        <v>257</v>
      </c>
      <c r="D130" s="8" t="s">
        <v>142</v>
      </c>
      <c r="E130" s="9" t="s">
        <v>47</v>
      </c>
      <c r="F130" s="9" t="s">
        <v>16</v>
      </c>
      <c r="G130" s="8" t="s">
        <v>26</v>
      </c>
      <c r="H130" s="10"/>
      <c r="I130" s="9"/>
      <c r="J130" s="9" t="s">
        <v>256</v>
      </c>
      <c r="K130" s="9" t="s">
        <v>29</v>
      </c>
    </row>
    <row r="131" spans="1:11" ht="15.6" customHeight="1">
      <c r="A131" s="68" t="s">
        <v>258</v>
      </c>
      <c r="B131" s="63" t="s">
        <v>259</v>
      </c>
      <c r="C131" s="7" t="s">
        <v>260</v>
      </c>
      <c r="D131" s="8" t="s">
        <v>142</v>
      </c>
      <c r="E131" s="9" t="s">
        <v>15</v>
      </c>
      <c r="F131" s="9" t="s">
        <v>16</v>
      </c>
      <c r="G131" s="8" t="s">
        <v>182</v>
      </c>
      <c r="H131" s="10"/>
      <c r="I131" s="9"/>
      <c r="J131" s="9"/>
      <c r="K131" s="9"/>
    </row>
    <row r="132" spans="1:11" ht="18" customHeight="1">
      <c r="A132" s="68">
        <v>503</v>
      </c>
      <c r="B132" s="63">
        <v>32788793</v>
      </c>
      <c r="C132" s="7" t="s">
        <v>261</v>
      </c>
      <c r="D132" s="8" t="s">
        <v>142</v>
      </c>
      <c r="E132" s="9" t="s">
        <v>15</v>
      </c>
      <c r="F132" s="9" t="s">
        <v>16</v>
      </c>
      <c r="G132" s="8" t="s">
        <v>26</v>
      </c>
      <c r="H132" s="10"/>
      <c r="I132" s="9" t="s">
        <v>262</v>
      </c>
      <c r="J132" s="9"/>
      <c r="K132" s="9" t="s">
        <v>29</v>
      </c>
    </row>
    <row r="133" spans="1:11" ht="18" customHeight="1">
      <c r="A133" s="68">
        <v>504</v>
      </c>
      <c r="B133" s="63">
        <v>32788801</v>
      </c>
      <c r="C133" s="7" t="s">
        <v>263</v>
      </c>
      <c r="D133" s="8" t="s">
        <v>142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256</v>
      </c>
      <c r="K133" s="9" t="s">
        <v>83</v>
      </c>
    </row>
    <row r="134" spans="1:11" ht="18" customHeight="1">
      <c r="A134" s="68">
        <v>505</v>
      </c>
      <c r="B134" s="63">
        <v>32788806</v>
      </c>
      <c r="C134" s="7" t="s">
        <v>264</v>
      </c>
      <c r="D134" s="8" t="s">
        <v>142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256</v>
      </c>
      <c r="K134" s="9" t="s">
        <v>83</v>
      </c>
    </row>
    <row r="135" spans="1:11" ht="18" customHeight="1">
      <c r="A135" s="68">
        <v>508</v>
      </c>
      <c r="B135" s="63">
        <v>32788811</v>
      </c>
      <c r="C135" s="7" t="s">
        <v>265</v>
      </c>
      <c r="D135" s="8" t="s">
        <v>142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256</v>
      </c>
      <c r="K135" s="9" t="s">
        <v>83</v>
      </c>
    </row>
    <row r="136" spans="1:11" ht="18" customHeight="1">
      <c r="A136" s="68">
        <v>509</v>
      </c>
      <c r="B136" s="63">
        <v>32788813</v>
      </c>
      <c r="C136" s="7" t="s">
        <v>266</v>
      </c>
      <c r="D136" s="8" t="s">
        <v>142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256</v>
      </c>
      <c r="K136" s="9" t="s">
        <v>83</v>
      </c>
    </row>
    <row r="137" spans="1:11" ht="18" customHeight="1">
      <c r="A137" s="68">
        <v>510</v>
      </c>
      <c r="B137" s="63">
        <v>32788815</v>
      </c>
      <c r="C137" s="7" t="s">
        <v>267</v>
      </c>
      <c r="D137" s="8" t="s">
        <v>142</v>
      </c>
      <c r="E137" s="9" t="s">
        <v>47</v>
      </c>
      <c r="F137" s="9" t="s">
        <v>16</v>
      </c>
      <c r="G137" s="8" t="s">
        <v>26</v>
      </c>
      <c r="H137" s="10"/>
      <c r="I137" s="9"/>
      <c r="J137" s="9" t="s">
        <v>256</v>
      </c>
      <c r="K137" s="9" t="s">
        <v>83</v>
      </c>
    </row>
    <row r="138" spans="1:11" ht="15.6" customHeight="1">
      <c r="A138" s="68" t="s">
        <v>268</v>
      </c>
      <c r="B138" s="63" t="s">
        <v>269</v>
      </c>
      <c r="C138" s="89" t="s">
        <v>270</v>
      </c>
      <c r="D138" s="8" t="s">
        <v>142</v>
      </c>
      <c r="E138" s="9" t="s">
        <v>15</v>
      </c>
      <c r="F138" s="9" t="s">
        <v>16</v>
      </c>
      <c r="G138" s="8" t="s">
        <v>171</v>
      </c>
      <c r="H138" s="10"/>
      <c r="I138" s="85" t="s">
        <v>271</v>
      </c>
      <c r="J138" s="9"/>
      <c r="K138" s="9"/>
    </row>
    <row r="139" spans="1:11" ht="15.6" customHeight="1">
      <c r="A139" s="68" t="s">
        <v>272</v>
      </c>
      <c r="B139" s="63" t="s">
        <v>273</v>
      </c>
      <c r="C139" s="89" t="s">
        <v>274</v>
      </c>
      <c r="D139" s="8" t="s">
        <v>142</v>
      </c>
      <c r="E139" s="9" t="s">
        <v>15</v>
      </c>
      <c r="F139" s="9" t="s">
        <v>16</v>
      </c>
      <c r="G139" s="8" t="s">
        <v>26</v>
      </c>
      <c r="H139" s="10"/>
      <c r="I139" s="85" t="s">
        <v>275</v>
      </c>
      <c r="J139" s="9"/>
      <c r="K139" s="9"/>
    </row>
    <row r="140" spans="1:11" ht="18" customHeight="1">
      <c r="A140" s="68">
        <v>511</v>
      </c>
      <c r="B140" s="63">
        <v>32788817</v>
      </c>
      <c r="C140" s="89" t="s">
        <v>276</v>
      </c>
      <c r="D140" s="8" t="s">
        <v>142</v>
      </c>
      <c r="E140" s="9" t="s">
        <v>15</v>
      </c>
      <c r="F140" s="9" t="s">
        <v>252</v>
      </c>
      <c r="G140" s="8" t="s">
        <v>26</v>
      </c>
      <c r="H140" s="10" t="s">
        <v>27</v>
      </c>
      <c r="I140" s="9"/>
      <c r="J140" s="9"/>
      <c r="K140" s="9" t="s">
        <v>83</v>
      </c>
    </row>
    <row r="141" spans="1:11" ht="18" customHeight="1">
      <c r="A141" s="68">
        <v>512</v>
      </c>
      <c r="B141" s="63">
        <v>32788819</v>
      </c>
      <c r="C141" s="7" t="s">
        <v>277</v>
      </c>
      <c r="D141" s="8" t="s">
        <v>142</v>
      </c>
      <c r="E141" s="9" t="s">
        <v>47</v>
      </c>
      <c r="F141" s="9" t="s">
        <v>16</v>
      </c>
      <c r="G141" s="8" t="s">
        <v>26</v>
      </c>
      <c r="H141" s="10"/>
      <c r="I141" s="9"/>
      <c r="J141" s="9" t="s">
        <v>256</v>
      </c>
      <c r="K141" s="9" t="s">
        <v>83</v>
      </c>
    </row>
    <row r="142" spans="1:11" ht="18" customHeight="1">
      <c r="A142" s="68">
        <v>538</v>
      </c>
      <c r="B142" s="63">
        <v>32791503</v>
      </c>
      <c r="C142" s="7" t="s">
        <v>278</v>
      </c>
      <c r="D142" s="8" t="s">
        <v>142</v>
      </c>
      <c r="E142" s="9" t="s">
        <v>47</v>
      </c>
      <c r="F142" s="9" t="s">
        <v>16</v>
      </c>
      <c r="G142" s="8" t="s">
        <v>182</v>
      </c>
      <c r="H142" s="10"/>
      <c r="I142" s="9"/>
      <c r="J142" s="9" t="s">
        <v>256</v>
      </c>
      <c r="K142" s="9" t="s">
        <v>29</v>
      </c>
    </row>
    <row r="143" spans="1:11" ht="18" hidden="1" customHeight="1">
      <c r="A143" s="68">
        <v>564</v>
      </c>
      <c r="B143" s="63">
        <v>32401880</v>
      </c>
      <c r="C143" s="7" t="s">
        <v>279</v>
      </c>
      <c r="D143" s="8" t="s">
        <v>14</v>
      </c>
      <c r="E143" s="9" t="s">
        <v>15</v>
      </c>
      <c r="F143" s="9" t="s">
        <v>16</v>
      </c>
      <c r="G143" s="8" t="s">
        <v>98</v>
      </c>
      <c r="H143" s="10"/>
      <c r="I143" s="9"/>
      <c r="J143" s="9"/>
      <c r="K143" s="9"/>
    </row>
    <row r="144" spans="1:11" ht="18" customHeight="1">
      <c r="A144" s="68">
        <v>565</v>
      </c>
      <c r="B144" s="63">
        <v>32395971</v>
      </c>
      <c r="C144" s="7" t="s">
        <v>280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/>
      <c r="K144" s="9"/>
    </row>
    <row r="145" spans="1:11" ht="18" customHeight="1">
      <c r="A145" s="68">
        <v>566</v>
      </c>
      <c r="B145" s="63">
        <v>32349954</v>
      </c>
      <c r="C145" s="7" t="s">
        <v>281</v>
      </c>
      <c r="D145" s="8" t="s">
        <v>14</v>
      </c>
      <c r="E145" s="9" t="s">
        <v>15</v>
      </c>
      <c r="F145" s="9" t="s">
        <v>16</v>
      </c>
      <c r="G145" s="8" t="s">
        <v>26</v>
      </c>
      <c r="H145" s="10"/>
      <c r="I145" s="9"/>
      <c r="J145" s="9"/>
      <c r="K145" s="9"/>
    </row>
    <row r="146" spans="1:11" ht="18" hidden="1" customHeight="1">
      <c r="A146" s="68">
        <v>567</v>
      </c>
      <c r="B146" s="63">
        <v>32384091</v>
      </c>
      <c r="C146" s="7" t="s">
        <v>282</v>
      </c>
      <c r="D146" s="8" t="s">
        <v>14</v>
      </c>
      <c r="E146" s="9" t="s">
        <v>15</v>
      </c>
      <c r="F146" s="9" t="s">
        <v>16</v>
      </c>
      <c r="G146" s="8" t="s">
        <v>17</v>
      </c>
      <c r="H146" s="10"/>
      <c r="I146" s="9"/>
      <c r="J146" s="9"/>
      <c r="K146" s="9"/>
    </row>
    <row r="147" spans="1:11" ht="18" hidden="1" customHeight="1">
      <c r="A147" s="68">
        <v>570</v>
      </c>
      <c r="B147" s="63">
        <v>32721788</v>
      </c>
      <c r="C147" s="7" t="s">
        <v>283</v>
      </c>
      <c r="D147" s="8" t="s">
        <v>14</v>
      </c>
      <c r="E147" s="9" t="s">
        <v>15</v>
      </c>
      <c r="F147" s="9" t="s">
        <v>16</v>
      </c>
      <c r="G147" s="8" t="s">
        <v>98</v>
      </c>
      <c r="H147" s="10"/>
      <c r="I147" s="9"/>
      <c r="J147" s="9"/>
      <c r="K147" s="9"/>
    </row>
    <row r="148" spans="1:11" ht="18" hidden="1" customHeight="1">
      <c r="A148" s="68">
        <v>571</v>
      </c>
      <c r="B148" s="63">
        <v>32258914</v>
      </c>
      <c r="C148" s="7" t="s">
        <v>284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/>
      <c r="K148" s="9"/>
    </row>
    <row r="149" spans="1:11" ht="18" hidden="1" customHeight="1">
      <c r="A149" s="68">
        <v>579</v>
      </c>
      <c r="B149" s="63" t="s">
        <v>285</v>
      </c>
      <c r="C149" s="7" t="s">
        <v>286</v>
      </c>
      <c r="D149" s="8" t="s">
        <v>14</v>
      </c>
      <c r="E149" s="9" t="s">
        <v>15</v>
      </c>
      <c r="F149" s="9" t="s">
        <v>16</v>
      </c>
      <c r="G149" s="8" t="s">
        <v>39</v>
      </c>
      <c r="H149" s="10"/>
      <c r="I149" s="9"/>
      <c r="J149" s="9"/>
      <c r="K149" s="9"/>
    </row>
    <row r="150" spans="1:11" ht="18" customHeight="1">
      <c r="A150" s="68">
        <v>580</v>
      </c>
      <c r="B150" s="63">
        <v>32793815</v>
      </c>
      <c r="C150" s="89" t="s">
        <v>287</v>
      </c>
      <c r="D150" s="8" t="s">
        <v>142</v>
      </c>
      <c r="E150" s="9" t="s">
        <v>15</v>
      </c>
      <c r="F150" s="9" t="s">
        <v>16</v>
      </c>
      <c r="G150" s="8" t="s">
        <v>26</v>
      </c>
      <c r="H150" s="10"/>
      <c r="I150" s="9"/>
      <c r="J150" s="9"/>
      <c r="K150" s="9" t="s">
        <v>29</v>
      </c>
    </row>
    <row r="151" spans="1:11" ht="18" customHeight="1">
      <c r="A151" s="68">
        <v>581</v>
      </c>
      <c r="B151" s="63">
        <v>32795576</v>
      </c>
      <c r="C151" s="89" t="s">
        <v>288</v>
      </c>
      <c r="D151" s="8" t="s">
        <v>142</v>
      </c>
      <c r="E151" s="9" t="s">
        <v>15</v>
      </c>
      <c r="F151" s="9" t="s">
        <v>16</v>
      </c>
      <c r="G151" s="8" t="s">
        <v>26</v>
      </c>
      <c r="H151" s="10"/>
      <c r="I151" s="9"/>
      <c r="J151" s="9"/>
      <c r="K151" s="9" t="s">
        <v>83</v>
      </c>
    </row>
    <row r="152" spans="1:11" ht="18" customHeight="1">
      <c r="A152" s="68">
        <v>583</v>
      </c>
      <c r="B152" s="63">
        <v>32795656</v>
      </c>
      <c r="C152" s="7" t="s">
        <v>289</v>
      </c>
      <c r="D152" s="8" t="s">
        <v>142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256</v>
      </c>
      <c r="K152" s="9" t="s">
        <v>29</v>
      </c>
    </row>
    <row r="153" spans="1:11" ht="18" customHeight="1">
      <c r="A153" s="68">
        <v>584</v>
      </c>
      <c r="B153" s="63">
        <v>32796462</v>
      </c>
      <c r="C153" s="7" t="s">
        <v>290</v>
      </c>
      <c r="D153" s="8" t="s">
        <v>142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256</v>
      </c>
      <c r="K153" s="9" t="s">
        <v>29</v>
      </c>
    </row>
    <row r="154" spans="1:11" ht="18" customHeight="1">
      <c r="A154" s="68">
        <v>585</v>
      </c>
      <c r="B154" s="63">
        <v>32796473</v>
      </c>
      <c r="C154" s="7" t="s">
        <v>291</v>
      </c>
      <c r="D154" s="8" t="s">
        <v>142</v>
      </c>
      <c r="E154" s="9" t="s">
        <v>47</v>
      </c>
      <c r="F154" s="9" t="s">
        <v>16</v>
      </c>
      <c r="G154" s="8" t="s">
        <v>26</v>
      </c>
      <c r="H154" s="10"/>
      <c r="I154" s="9"/>
      <c r="J154" s="9" t="s">
        <v>256</v>
      </c>
      <c r="K154" s="9" t="s">
        <v>83</v>
      </c>
    </row>
    <row r="155" spans="1:11" ht="18" hidden="1" customHeight="1">
      <c r="A155" s="68">
        <v>586</v>
      </c>
      <c r="B155" s="63" t="s">
        <v>292</v>
      </c>
      <c r="C155" s="7" t="s">
        <v>293</v>
      </c>
      <c r="D155" s="8" t="s">
        <v>14</v>
      </c>
      <c r="E155" s="9" t="s">
        <v>15</v>
      </c>
      <c r="F155" s="9" t="s">
        <v>16</v>
      </c>
      <c r="G155" s="8" t="s">
        <v>39</v>
      </c>
      <c r="H155" s="10"/>
      <c r="I155" s="9"/>
      <c r="J155" s="9"/>
      <c r="K155" s="9"/>
    </row>
    <row r="156" spans="1:11" ht="18" customHeight="1">
      <c r="A156" s="68">
        <v>587</v>
      </c>
      <c r="B156" s="63">
        <v>32796515</v>
      </c>
      <c r="C156" s="7" t="s">
        <v>294</v>
      </c>
      <c r="D156" s="8" t="s">
        <v>142</v>
      </c>
      <c r="E156" s="9" t="s">
        <v>15</v>
      </c>
      <c r="F156" s="9" t="s">
        <v>16</v>
      </c>
      <c r="G156" s="8" t="s">
        <v>171</v>
      </c>
      <c r="H156" s="10"/>
      <c r="I156" s="9" t="s">
        <v>295</v>
      </c>
      <c r="J156" s="9" t="s">
        <v>18</v>
      </c>
      <c r="K156" s="9" t="s">
        <v>83</v>
      </c>
    </row>
    <row r="157" spans="1:11" ht="18" customHeight="1">
      <c r="A157" s="68">
        <v>589</v>
      </c>
      <c r="B157" s="63">
        <v>32796954</v>
      </c>
      <c r="C157" s="7" t="s">
        <v>296</v>
      </c>
      <c r="D157" s="8" t="s">
        <v>170</v>
      </c>
      <c r="E157" s="9" t="s">
        <v>47</v>
      </c>
      <c r="F157" s="9" t="s">
        <v>16</v>
      </c>
      <c r="G157" s="8" t="s">
        <v>26</v>
      </c>
      <c r="H157" s="10" t="s">
        <v>27</v>
      </c>
      <c r="I157" s="9"/>
      <c r="J157" s="9" t="s">
        <v>256</v>
      </c>
      <c r="K157" s="9" t="s">
        <v>29</v>
      </c>
    </row>
    <row r="158" spans="1:11" ht="18" customHeight="1">
      <c r="A158" s="68">
        <v>591</v>
      </c>
      <c r="B158" s="63">
        <v>32796966</v>
      </c>
      <c r="C158" s="7" t="s">
        <v>297</v>
      </c>
      <c r="D158" s="8" t="s">
        <v>170</v>
      </c>
      <c r="E158" s="9" t="s">
        <v>47</v>
      </c>
      <c r="F158" s="9" t="s">
        <v>16</v>
      </c>
      <c r="G158" s="8" t="s">
        <v>26</v>
      </c>
      <c r="H158" s="10" t="s">
        <v>298</v>
      </c>
      <c r="I158" s="9"/>
      <c r="J158" s="9" t="s">
        <v>256</v>
      </c>
      <c r="K158" s="9" t="s">
        <v>29</v>
      </c>
    </row>
    <row r="159" spans="1:11" ht="18" hidden="1" customHeight="1">
      <c r="A159" s="68">
        <v>593</v>
      </c>
      <c r="B159" s="63">
        <v>32796982</v>
      </c>
      <c r="C159" s="7" t="s">
        <v>299</v>
      </c>
      <c r="D159" s="8" t="s">
        <v>170</v>
      </c>
      <c r="E159" s="9" t="s">
        <v>15</v>
      </c>
      <c r="F159" s="9" t="s">
        <v>16</v>
      </c>
      <c r="G159" s="8" t="s">
        <v>39</v>
      </c>
      <c r="H159" s="10" t="s">
        <v>27</v>
      </c>
      <c r="I159" s="85" t="s">
        <v>295</v>
      </c>
      <c r="J159" s="9" t="s">
        <v>256</v>
      </c>
      <c r="K159" s="9" t="s">
        <v>29</v>
      </c>
    </row>
    <row r="160" spans="1:11" ht="18" customHeight="1">
      <c r="A160" s="68">
        <v>594</v>
      </c>
      <c r="B160" s="63">
        <v>32796995</v>
      </c>
      <c r="C160" s="7" t="s">
        <v>300</v>
      </c>
      <c r="D160" s="8" t="s">
        <v>170</v>
      </c>
      <c r="E160" s="9" t="s">
        <v>47</v>
      </c>
      <c r="F160" s="9" t="s">
        <v>16</v>
      </c>
      <c r="G160" s="8" t="s">
        <v>182</v>
      </c>
      <c r="H160" s="10"/>
      <c r="I160" s="9"/>
      <c r="J160" s="9" t="s">
        <v>256</v>
      </c>
      <c r="K160" s="9" t="s">
        <v>29</v>
      </c>
    </row>
    <row r="161" spans="1:11" ht="18" hidden="1" customHeight="1">
      <c r="A161" s="68">
        <v>596</v>
      </c>
      <c r="B161" s="63">
        <v>32796996</v>
      </c>
      <c r="C161" s="7" t="s">
        <v>301</v>
      </c>
      <c r="D161" s="8" t="s">
        <v>170</v>
      </c>
      <c r="E161" s="9" t="s">
        <v>15</v>
      </c>
      <c r="F161" s="9" t="s">
        <v>16</v>
      </c>
      <c r="G161" s="8" t="s">
        <v>39</v>
      </c>
      <c r="H161" s="10" t="s">
        <v>27</v>
      </c>
      <c r="I161" s="9"/>
      <c r="J161" s="9" t="s">
        <v>256</v>
      </c>
      <c r="K161" s="9" t="s">
        <v>83</v>
      </c>
    </row>
    <row r="162" spans="1:11" ht="18" customHeight="1">
      <c r="A162" s="68">
        <v>597</v>
      </c>
      <c r="B162" s="63">
        <v>32797001</v>
      </c>
      <c r="C162" s="7" t="s">
        <v>302</v>
      </c>
      <c r="D162" s="8" t="s">
        <v>170</v>
      </c>
      <c r="E162" s="9" t="s">
        <v>15</v>
      </c>
      <c r="F162" s="9" t="s">
        <v>16</v>
      </c>
      <c r="G162" s="8" t="s">
        <v>182</v>
      </c>
      <c r="H162" s="10"/>
      <c r="I162" s="9"/>
      <c r="J162" s="9"/>
      <c r="K162" s="9" t="s">
        <v>83</v>
      </c>
    </row>
    <row r="163" spans="1:11" ht="18" customHeight="1">
      <c r="A163" s="68">
        <v>598</v>
      </c>
      <c r="B163" s="63">
        <v>32797014</v>
      </c>
      <c r="C163" s="7" t="s">
        <v>303</v>
      </c>
      <c r="D163" s="8" t="s">
        <v>170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256</v>
      </c>
      <c r="K163" s="9" t="s">
        <v>83</v>
      </c>
    </row>
    <row r="164" spans="1:11" ht="18" customHeight="1">
      <c r="A164" s="68">
        <v>599</v>
      </c>
      <c r="B164" s="63">
        <v>32797104</v>
      </c>
      <c r="C164" s="7" t="s">
        <v>304</v>
      </c>
      <c r="D164" s="8" t="s">
        <v>170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256</v>
      </c>
      <c r="K164" s="9" t="s">
        <v>83</v>
      </c>
    </row>
    <row r="165" spans="1:11" ht="18" customHeight="1">
      <c r="A165" s="68">
        <v>600</v>
      </c>
      <c r="B165" s="63">
        <v>32797124</v>
      </c>
      <c r="C165" s="7" t="s">
        <v>305</v>
      </c>
      <c r="D165" s="8" t="s">
        <v>170</v>
      </c>
      <c r="E165" s="9" t="s">
        <v>15</v>
      </c>
      <c r="F165" s="9" t="s">
        <v>16</v>
      </c>
      <c r="G165" s="8" t="s">
        <v>26</v>
      </c>
      <c r="H165" s="10" t="s">
        <v>27</v>
      </c>
      <c r="I165" s="9"/>
      <c r="J165" s="9" t="s">
        <v>256</v>
      </c>
      <c r="K165" s="9" t="s">
        <v>83</v>
      </c>
    </row>
    <row r="166" spans="1:11" ht="18" customHeight="1">
      <c r="A166" s="68">
        <v>601</v>
      </c>
      <c r="B166" s="63">
        <v>32797137</v>
      </c>
      <c r="C166" s="7" t="s">
        <v>306</v>
      </c>
      <c r="D166" s="8" t="s">
        <v>170</v>
      </c>
      <c r="E166" s="9" t="s">
        <v>47</v>
      </c>
      <c r="F166" s="9" t="s">
        <v>16</v>
      </c>
      <c r="G166" s="8" t="s">
        <v>26</v>
      </c>
      <c r="H166" s="10" t="s">
        <v>27</v>
      </c>
      <c r="I166" s="9"/>
      <c r="J166" s="9" t="s">
        <v>256</v>
      </c>
      <c r="K166" s="9" t="s">
        <v>83</v>
      </c>
    </row>
    <row r="167" spans="1:11" ht="18" customHeight="1">
      <c r="A167" s="68">
        <v>602</v>
      </c>
      <c r="B167" s="63">
        <v>32797145</v>
      </c>
      <c r="C167" s="7" t="s">
        <v>307</v>
      </c>
      <c r="D167" s="8" t="s">
        <v>170</v>
      </c>
      <c r="E167" s="9" t="s">
        <v>47</v>
      </c>
      <c r="F167" s="9" t="s">
        <v>16</v>
      </c>
      <c r="G167" s="8" t="s">
        <v>26</v>
      </c>
      <c r="H167" s="10" t="s">
        <v>298</v>
      </c>
      <c r="I167" s="9"/>
      <c r="J167" s="9" t="s">
        <v>256</v>
      </c>
      <c r="K167" s="9" t="s">
        <v>83</v>
      </c>
    </row>
    <row r="168" spans="1:11" ht="18" customHeight="1">
      <c r="A168" s="68">
        <v>603</v>
      </c>
      <c r="B168" s="63">
        <v>32797156</v>
      </c>
      <c r="C168" s="7" t="s">
        <v>308</v>
      </c>
      <c r="D168" s="8" t="s">
        <v>170</v>
      </c>
      <c r="E168" s="9" t="s">
        <v>47</v>
      </c>
      <c r="F168" s="9" t="s">
        <v>16</v>
      </c>
      <c r="G168" s="8" t="s">
        <v>26</v>
      </c>
      <c r="H168" s="10" t="s">
        <v>298</v>
      </c>
      <c r="I168" s="9"/>
      <c r="J168" s="9" t="s">
        <v>256</v>
      </c>
      <c r="K168" s="9" t="s">
        <v>83</v>
      </c>
    </row>
    <row r="169" spans="1:11" ht="18" customHeight="1">
      <c r="A169" s="68">
        <v>604</v>
      </c>
      <c r="B169" s="63">
        <v>32797165</v>
      </c>
      <c r="C169" s="7" t="s">
        <v>309</v>
      </c>
      <c r="D169" s="8" t="s">
        <v>170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256</v>
      </c>
      <c r="K169" s="9" t="s">
        <v>83</v>
      </c>
    </row>
    <row r="170" spans="1:11" ht="18" customHeight="1">
      <c r="A170" s="68">
        <v>605</v>
      </c>
      <c r="B170" s="63">
        <v>32797176</v>
      </c>
      <c r="C170" s="7" t="s">
        <v>310</v>
      </c>
      <c r="D170" s="8" t="s">
        <v>311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256</v>
      </c>
      <c r="K170" s="9" t="s">
        <v>29</v>
      </c>
    </row>
    <row r="171" spans="1:11" ht="18" customHeight="1">
      <c r="A171" s="68">
        <v>606</v>
      </c>
      <c r="B171" s="63">
        <v>32797185</v>
      </c>
      <c r="C171" s="7" t="s">
        <v>312</v>
      </c>
      <c r="D171" s="8" t="s">
        <v>311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256</v>
      </c>
      <c r="K171" s="9" t="s">
        <v>29</v>
      </c>
    </row>
    <row r="172" spans="1:11" ht="18" customHeight="1">
      <c r="A172" s="68">
        <v>607</v>
      </c>
      <c r="B172" s="63">
        <v>32797195</v>
      </c>
      <c r="C172" s="7" t="s">
        <v>313</v>
      </c>
      <c r="D172" s="8" t="s">
        <v>311</v>
      </c>
      <c r="E172" s="9" t="s">
        <v>47</v>
      </c>
      <c r="F172" s="9" t="s">
        <v>16</v>
      </c>
      <c r="G172" s="8" t="s">
        <v>26</v>
      </c>
      <c r="H172" s="10" t="s">
        <v>27</v>
      </c>
      <c r="I172" s="9"/>
      <c r="J172" s="9" t="s">
        <v>256</v>
      </c>
      <c r="K172" s="9" t="s">
        <v>29</v>
      </c>
    </row>
    <row r="173" spans="1:11" ht="18" customHeight="1">
      <c r="A173" s="68">
        <v>608</v>
      </c>
      <c r="B173" s="63">
        <v>32797223</v>
      </c>
      <c r="C173" s="7" t="s">
        <v>314</v>
      </c>
      <c r="D173" s="8" t="s">
        <v>311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256</v>
      </c>
      <c r="K173" s="9" t="s">
        <v>29</v>
      </c>
    </row>
    <row r="174" spans="1:11" ht="18" customHeight="1">
      <c r="A174" s="68">
        <v>609</v>
      </c>
      <c r="B174" s="63">
        <v>32797267</v>
      </c>
      <c r="C174" s="7" t="s">
        <v>315</v>
      </c>
      <c r="D174" s="8" t="s">
        <v>311</v>
      </c>
      <c r="E174" s="9" t="s">
        <v>47</v>
      </c>
      <c r="F174" s="9" t="s">
        <v>16</v>
      </c>
      <c r="G174" s="8" t="s">
        <v>26</v>
      </c>
      <c r="H174" s="10" t="s">
        <v>27</v>
      </c>
      <c r="I174" s="9"/>
      <c r="J174" s="9" t="s">
        <v>256</v>
      </c>
      <c r="K174" s="9" t="s">
        <v>29</v>
      </c>
    </row>
    <row r="175" spans="1:11" ht="18" customHeight="1">
      <c r="A175" s="68">
        <v>610</v>
      </c>
      <c r="B175" s="63">
        <v>32797278</v>
      </c>
      <c r="C175" s="7" t="s">
        <v>316</v>
      </c>
      <c r="D175" s="8" t="s">
        <v>311</v>
      </c>
      <c r="E175" s="9" t="s">
        <v>47</v>
      </c>
      <c r="F175" s="9" t="s">
        <v>16</v>
      </c>
      <c r="G175" s="8" t="s">
        <v>26</v>
      </c>
      <c r="H175" s="10" t="s">
        <v>298</v>
      </c>
      <c r="I175" s="9"/>
      <c r="J175" s="9" t="s">
        <v>256</v>
      </c>
      <c r="K175" s="9" t="s">
        <v>29</v>
      </c>
    </row>
    <row r="176" spans="1:11" ht="18" customHeight="1">
      <c r="A176" s="68">
        <v>611</v>
      </c>
      <c r="B176" s="63">
        <v>32797284</v>
      </c>
      <c r="C176" s="7" t="s">
        <v>317</v>
      </c>
      <c r="D176" s="8" t="s">
        <v>311</v>
      </c>
      <c r="E176" s="9" t="s">
        <v>15</v>
      </c>
      <c r="F176" s="9" t="s">
        <v>16</v>
      </c>
      <c r="G176" s="8" t="s">
        <v>26</v>
      </c>
      <c r="H176" s="10" t="s">
        <v>27</v>
      </c>
      <c r="I176" s="9"/>
      <c r="J176" s="9"/>
      <c r="K176" s="9" t="s">
        <v>83</v>
      </c>
    </row>
    <row r="177" spans="1:11" ht="18" customHeight="1">
      <c r="A177" s="68">
        <v>612</v>
      </c>
      <c r="B177" s="63">
        <v>32797296</v>
      </c>
      <c r="C177" s="7" t="s">
        <v>318</v>
      </c>
      <c r="D177" s="8" t="s">
        <v>311</v>
      </c>
      <c r="E177" s="9" t="s">
        <v>15</v>
      </c>
      <c r="F177" s="9" t="s">
        <v>16</v>
      </c>
      <c r="G177" s="8" t="s">
        <v>182</v>
      </c>
      <c r="H177" s="10"/>
      <c r="I177" s="9"/>
      <c r="J177" s="9"/>
      <c r="K177" s="9" t="s">
        <v>83</v>
      </c>
    </row>
    <row r="178" spans="1:11" ht="18" customHeight="1">
      <c r="A178" s="68">
        <v>613</v>
      </c>
      <c r="B178" s="63">
        <v>32797302</v>
      </c>
      <c r="C178" s="7" t="s">
        <v>319</v>
      </c>
      <c r="D178" s="8" t="s">
        <v>311</v>
      </c>
      <c r="E178" s="9" t="s">
        <v>15</v>
      </c>
      <c r="F178" s="9" t="s">
        <v>16</v>
      </c>
      <c r="G178" s="8" t="s">
        <v>182</v>
      </c>
      <c r="H178" s="10"/>
      <c r="I178" s="9"/>
      <c r="J178" s="9"/>
      <c r="K178" s="9" t="s">
        <v>29</v>
      </c>
    </row>
    <row r="179" spans="1:11" ht="18" customHeight="1">
      <c r="A179" s="68">
        <v>614</v>
      </c>
      <c r="B179" s="63">
        <v>32797315</v>
      </c>
      <c r="C179" s="7" t="s">
        <v>320</v>
      </c>
      <c r="D179" s="8" t="s">
        <v>142</v>
      </c>
      <c r="E179" s="9" t="s">
        <v>47</v>
      </c>
      <c r="F179" s="9" t="s">
        <v>16</v>
      </c>
      <c r="G179" s="8" t="s">
        <v>26</v>
      </c>
      <c r="H179" s="10" t="s">
        <v>298</v>
      </c>
      <c r="I179" s="9"/>
      <c r="J179" s="9" t="s">
        <v>256</v>
      </c>
      <c r="K179" s="9" t="s">
        <v>29</v>
      </c>
    </row>
    <row r="180" spans="1:11" ht="18" customHeight="1">
      <c r="A180" s="68">
        <v>615</v>
      </c>
      <c r="B180" s="63">
        <v>32797329</v>
      </c>
      <c r="C180" s="7" t="s">
        <v>321</v>
      </c>
      <c r="D180" s="8" t="s">
        <v>142</v>
      </c>
      <c r="E180" s="9" t="s">
        <v>47</v>
      </c>
      <c r="F180" s="9" t="s">
        <v>16</v>
      </c>
      <c r="G180" s="8" t="s">
        <v>26</v>
      </c>
      <c r="H180" s="10" t="s">
        <v>298</v>
      </c>
      <c r="I180" s="9"/>
      <c r="J180" s="9" t="s">
        <v>256</v>
      </c>
      <c r="K180" s="9" t="s">
        <v>29</v>
      </c>
    </row>
    <row r="181" spans="1:11" ht="18" customHeight="1">
      <c r="A181" s="68">
        <v>616</v>
      </c>
      <c r="B181" s="63">
        <v>32797333</v>
      </c>
      <c r="C181" s="7" t="s">
        <v>322</v>
      </c>
      <c r="D181" s="8" t="s">
        <v>142</v>
      </c>
      <c r="E181" s="9" t="s">
        <v>15</v>
      </c>
      <c r="F181" s="9" t="s">
        <v>16</v>
      </c>
      <c r="G181" s="8" t="s">
        <v>26</v>
      </c>
      <c r="H181" s="10"/>
      <c r="I181" s="9" t="s">
        <v>323</v>
      </c>
      <c r="J181" s="9"/>
      <c r="K181" s="9" t="s">
        <v>39</v>
      </c>
    </row>
    <row r="182" spans="1:11" ht="18" customHeight="1">
      <c r="A182" s="68">
        <v>617</v>
      </c>
      <c r="B182" s="63">
        <v>32797337</v>
      </c>
      <c r="C182" s="7" t="s">
        <v>324</v>
      </c>
      <c r="D182" s="8" t="s">
        <v>142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256</v>
      </c>
      <c r="K182" s="9" t="s">
        <v>39</v>
      </c>
    </row>
    <row r="183" spans="1:11" ht="18" customHeight="1">
      <c r="A183" s="68">
        <v>618</v>
      </c>
      <c r="B183" s="63">
        <v>32797381</v>
      </c>
      <c r="C183" s="7" t="s">
        <v>325</v>
      </c>
      <c r="D183" s="8" t="s">
        <v>142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256</v>
      </c>
      <c r="K183" s="9" t="s">
        <v>39</v>
      </c>
    </row>
    <row r="184" spans="1:11" ht="18" customHeight="1">
      <c r="A184" s="68">
        <v>619</v>
      </c>
      <c r="B184" s="63">
        <v>32797382</v>
      </c>
      <c r="C184" s="7" t="s">
        <v>326</v>
      </c>
      <c r="D184" s="8" t="s">
        <v>142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256</v>
      </c>
      <c r="K184" s="9" t="s">
        <v>39</v>
      </c>
    </row>
    <row r="185" spans="1:11" ht="18" customHeight="1">
      <c r="A185" s="68">
        <v>620</v>
      </c>
      <c r="B185" s="63">
        <v>32797384</v>
      </c>
      <c r="C185" s="7" t="s">
        <v>327</v>
      </c>
      <c r="D185" s="8" t="s">
        <v>142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256</v>
      </c>
      <c r="K185" s="9" t="s">
        <v>83</v>
      </c>
    </row>
    <row r="186" spans="1:11" ht="18" customHeight="1">
      <c r="A186" s="68">
        <v>621</v>
      </c>
      <c r="B186" s="63">
        <v>32797396</v>
      </c>
      <c r="C186" s="7" t="s">
        <v>328</v>
      </c>
      <c r="D186" s="8" t="s">
        <v>142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256</v>
      </c>
      <c r="K186" s="9" t="s">
        <v>83</v>
      </c>
    </row>
    <row r="187" spans="1:11" ht="18" customHeight="1">
      <c r="A187" s="68">
        <v>622</v>
      </c>
      <c r="B187" s="63">
        <v>32797399</v>
      </c>
      <c r="C187" s="7" t="s">
        <v>329</v>
      </c>
      <c r="D187" s="8" t="s">
        <v>142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256</v>
      </c>
      <c r="K187" s="9" t="s">
        <v>29</v>
      </c>
    </row>
    <row r="188" spans="1:11" ht="18" customHeight="1">
      <c r="A188" s="68">
        <v>623</v>
      </c>
      <c r="B188" s="63">
        <v>32797402</v>
      </c>
      <c r="C188" s="7" t="s">
        <v>330</v>
      </c>
      <c r="D188" s="8" t="s">
        <v>142</v>
      </c>
      <c r="E188" s="9" t="s">
        <v>47</v>
      </c>
      <c r="F188" s="9" t="s">
        <v>16</v>
      </c>
      <c r="G188" s="8" t="s">
        <v>26</v>
      </c>
      <c r="H188" s="10" t="s">
        <v>27</v>
      </c>
      <c r="I188" s="9"/>
      <c r="J188" s="9" t="s">
        <v>256</v>
      </c>
      <c r="K188" s="9" t="s">
        <v>83</v>
      </c>
    </row>
    <row r="189" spans="1:11" ht="18" customHeight="1">
      <c r="A189" s="68">
        <v>624</v>
      </c>
      <c r="B189" s="63">
        <v>32797436</v>
      </c>
      <c r="C189" s="7" t="s">
        <v>331</v>
      </c>
      <c r="D189" s="8" t="s">
        <v>142</v>
      </c>
      <c r="E189" s="9" t="s">
        <v>47</v>
      </c>
      <c r="F189" s="9" t="s">
        <v>16</v>
      </c>
      <c r="G189" s="8" t="s">
        <v>26</v>
      </c>
      <c r="H189" s="10" t="s">
        <v>27</v>
      </c>
      <c r="I189" s="9"/>
      <c r="J189" s="9" t="s">
        <v>256</v>
      </c>
      <c r="K189" s="9" t="s">
        <v>83</v>
      </c>
    </row>
    <row r="190" spans="1:11" ht="18" customHeight="1">
      <c r="A190" s="68">
        <v>645</v>
      </c>
      <c r="B190" s="63">
        <v>32798020</v>
      </c>
      <c r="C190" s="7" t="s">
        <v>332</v>
      </c>
      <c r="D190" s="8" t="s">
        <v>333</v>
      </c>
      <c r="E190" s="9" t="s">
        <v>15</v>
      </c>
      <c r="F190" s="9" t="s">
        <v>16</v>
      </c>
      <c r="G190" s="8" t="s">
        <v>182</v>
      </c>
      <c r="H190" s="10"/>
      <c r="I190" s="9"/>
      <c r="J190" s="9"/>
      <c r="K190" s="9" t="s">
        <v>29</v>
      </c>
    </row>
    <row r="191" spans="1:11" ht="18" customHeight="1">
      <c r="A191" s="68">
        <v>646</v>
      </c>
      <c r="B191" s="63">
        <v>32798034</v>
      </c>
      <c r="C191" s="7" t="s">
        <v>334</v>
      </c>
      <c r="D191" s="8" t="s">
        <v>333</v>
      </c>
      <c r="E191" s="9" t="s">
        <v>15</v>
      </c>
      <c r="F191" s="9" t="s">
        <v>16</v>
      </c>
      <c r="G191" s="8" t="s">
        <v>182</v>
      </c>
      <c r="H191" s="10"/>
      <c r="I191" s="9"/>
      <c r="J191" s="9"/>
      <c r="K191" s="9" t="s">
        <v>29</v>
      </c>
    </row>
    <row r="192" spans="1:11" ht="18" customHeight="1">
      <c r="A192" s="68">
        <v>648</v>
      </c>
      <c r="B192" s="63">
        <v>32798035</v>
      </c>
      <c r="C192" s="7" t="s">
        <v>335</v>
      </c>
      <c r="D192" s="8" t="s">
        <v>333</v>
      </c>
      <c r="E192" s="9" t="s">
        <v>15</v>
      </c>
      <c r="F192" s="9" t="s">
        <v>16</v>
      </c>
      <c r="G192" s="8" t="s">
        <v>182</v>
      </c>
      <c r="H192" s="10"/>
      <c r="I192" s="9"/>
      <c r="J192" s="9"/>
      <c r="K192" s="9" t="s">
        <v>83</v>
      </c>
    </row>
    <row r="193" spans="1:11" ht="18" customHeight="1">
      <c r="A193" s="68">
        <v>649</v>
      </c>
      <c r="B193" s="63">
        <v>32798041</v>
      </c>
      <c r="C193" s="7" t="s">
        <v>336</v>
      </c>
      <c r="D193" s="8" t="s">
        <v>333</v>
      </c>
      <c r="E193" s="9" t="s">
        <v>15</v>
      </c>
      <c r="F193" s="9" t="s">
        <v>16</v>
      </c>
      <c r="G193" s="8" t="s">
        <v>182</v>
      </c>
      <c r="H193" s="10"/>
      <c r="I193" s="9"/>
      <c r="J193" s="9"/>
      <c r="K193" s="9" t="s">
        <v>83</v>
      </c>
    </row>
    <row r="194" spans="1:11" ht="18" customHeight="1">
      <c r="A194" s="68">
        <v>650</v>
      </c>
      <c r="B194" s="63">
        <v>32798047</v>
      </c>
      <c r="C194" s="7" t="s">
        <v>337</v>
      </c>
      <c r="D194" s="8" t="s">
        <v>333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256</v>
      </c>
      <c r="K194" s="9" t="s">
        <v>29</v>
      </c>
    </row>
    <row r="195" spans="1:11" ht="18" customHeight="1">
      <c r="A195" s="68">
        <v>653</v>
      </c>
      <c r="B195" s="63">
        <v>32798059</v>
      </c>
      <c r="C195" s="7" t="s">
        <v>338</v>
      </c>
      <c r="D195" s="8" t="s">
        <v>333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256</v>
      </c>
      <c r="K195" s="9" t="s">
        <v>29</v>
      </c>
    </row>
    <row r="196" spans="1:11" ht="18" customHeight="1">
      <c r="A196" s="68">
        <v>655</v>
      </c>
      <c r="B196" s="63">
        <v>32798062</v>
      </c>
      <c r="C196" s="7" t="s">
        <v>339</v>
      </c>
      <c r="D196" s="8" t="s">
        <v>333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256</v>
      </c>
      <c r="K196" s="9" t="s">
        <v>29</v>
      </c>
    </row>
    <row r="197" spans="1:11" ht="18" customHeight="1">
      <c r="A197" s="68">
        <v>656</v>
      </c>
      <c r="B197" s="63">
        <v>32798069</v>
      </c>
      <c r="C197" s="7" t="s">
        <v>340</v>
      </c>
      <c r="D197" s="8" t="s">
        <v>333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256</v>
      </c>
      <c r="K197" s="9" t="s">
        <v>29</v>
      </c>
    </row>
    <row r="198" spans="1:11" ht="18" customHeight="1">
      <c r="A198" s="68">
        <v>657</v>
      </c>
      <c r="B198" s="63">
        <v>32798105</v>
      </c>
      <c r="C198" s="7" t="s">
        <v>341</v>
      </c>
      <c r="D198" s="8" t="s">
        <v>333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256</v>
      </c>
      <c r="K198" s="9" t="s">
        <v>29</v>
      </c>
    </row>
    <row r="199" spans="1:11" ht="18" customHeight="1">
      <c r="A199" s="68">
        <v>658</v>
      </c>
      <c r="B199" s="63">
        <v>32798107</v>
      </c>
      <c r="C199" s="7" t="s">
        <v>342</v>
      </c>
      <c r="D199" s="8" t="s">
        <v>333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256</v>
      </c>
      <c r="K199" s="9" t="s">
        <v>29</v>
      </c>
    </row>
    <row r="200" spans="1:11" ht="18" customHeight="1">
      <c r="A200" s="68">
        <v>659</v>
      </c>
      <c r="B200" s="63">
        <v>32798117</v>
      </c>
      <c r="C200" s="7" t="s">
        <v>343</v>
      </c>
      <c r="D200" s="8" t="s">
        <v>333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256</v>
      </c>
      <c r="K200" s="9" t="s">
        <v>29</v>
      </c>
    </row>
    <row r="201" spans="1:11" ht="18" customHeight="1">
      <c r="A201" s="68">
        <v>660</v>
      </c>
      <c r="B201" s="63">
        <v>32798118</v>
      </c>
      <c r="C201" s="7" t="s">
        <v>344</v>
      </c>
      <c r="D201" s="8" t="s">
        <v>333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256</v>
      </c>
      <c r="K201" s="9" t="s">
        <v>29</v>
      </c>
    </row>
    <row r="202" spans="1:11" ht="18" customHeight="1">
      <c r="A202" s="68">
        <v>661</v>
      </c>
      <c r="B202" s="63">
        <v>32798119</v>
      </c>
      <c r="C202" s="7" t="s">
        <v>345</v>
      </c>
      <c r="D202" s="8" t="s">
        <v>333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256</v>
      </c>
      <c r="K202" s="9" t="s">
        <v>29</v>
      </c>
    </row>
    <row r="203" spans="1:11" ht="18" customHeight="1">
      <c r="A203" s="68">
        <v>662</v>
      </c>
      <c r="B203" s="63">
        <v>32798140</v>
      </c>
      <c r="C203" s="7" t="s">
        <v>346</v>
      </c>
      <c r="D203" s="8" t="s">
        <v>333</v>
      </c>
      <c r="E203" s="9" t="s">
        <v>47</v>
      </c>
      <c r="F203" s="9" t="s">
        <v>16</v>
      </c>
      <c r="G203" s="8" t="s">
        <v>26</v>
      </c>
      <c r="H203" s="10" t="s">
        <v>27</v>
      </c>
      <c r="I203" s="9"/>
      <c r="J203" s="9" t="s">
        <v>256</v>
      </c>
      <c r="K203" s="9" t="s">
        <v>29</v>
      </c>
    </row>
    <row r="204" spans="1:11" ht="18" customHeight="1">
      <c r="A204" s="68">
        <v>663</v>
      </c>
      <c r="B204" s="63">
        <v>32798159</v>
      </c>
      <c r="C204" s="7" t="s">
        <v>347</v>
      </c>
      <c r="D204" s="8" t="s">
        <v>333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256</v>
      </c>
      <c r="K204" s="9" t="s">
        <v>29</v>
      </c>
    </row>
    <row r="205" spans="1:11" ht="18" customHeight="1">
      <c r="A205" s="68">
        <v>664</v>
      </c>
      <c r="B205" s="63">
        <v>32798183</v>
      </c>
      <c r="C205" s="7" t="s">
        <v>348</v>
      </c>
      <c r="D205" s="8" t="s">
        <v>333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256</v>
      </c>
      <c r="K205" s="9" t="s">
        <v>83</v>
      </c>
    </row>
    <row r="206" spans="1:11" ht="18" customHeight="1">
      <c r="A206" s="68">
        <v>665</v>
      </c>
      <c r="B206" s="63">
        <v>32798189</v>
      </c>
      <c r="C206" s="7" t="s">
        <v>349</v>
      </c>
      <c r="D206" s="8" t="s">
        <v>333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256</v>
      </c>
      <c r="K206" s="9" t="s">
        <v>83</v>
      </c>
    </row>
    <row r="207" spans="1:11" ht="18" customHeight="1">
      <c r="A207" s="68">
        <v>666</v>
      </c>
      <c r="B207" s="63">
        <v>32798191</v>
      </c>
      <c r="C207" s="7" t="s">
        <v>350</v>
      </c>
      <c r="D207" s="8" t="s">
        <v>333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256</v>
      </c>
      <c r="K207" s="9" t="s">
        <v>83</v>
      </c>
    </row>
    <row r="208" spans="1:11" ht="18" customHeight="1">
      <c r="A208" s="68">
        <v>667</v>
      </c>
      <c r="B208" s="63">
        <v>32798204</v>
      </c>
      <c r="C208" s="7" t="s">
        <v>351</v>
      </c>
      <c r="D208" s="8" t="s">
        <v>333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256</v>
      </c>
      <c r="K208" s="9" t="s">
        <v>83</v>
      </c>
    </row>
    <row r="209" spans="1:11" ht="18" customHeight="1">
      <c r="A209" s="68">
        <v>668</v>
      </c>
      <c r="B209" s="63">
        <v>32798205</v>
      </c>
      <c r="C209" s="7" t="s">
        <v>352</v>
      </c>
      <c r="D209" s="8" t="s">
        <v>333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256</v>
      </c>
      <c r="K209" s="9" t="s">
        <v>83</v>
      </c>
    </row>
    <row r="210" spans="1:11" ht="18" customHeight="1">
      <c r="A210" s="68">
        <v>669</v>
      </c>
      <c r="B210" s="63">
        <v>32798221</v>
      </c>
      <c r="C210" s="7" t="s">
        <v>353</v>
      </c>
      <c r="D210" s="8" t="s">
        <v>333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256</v>
      </c>
      <c r="K210" s="9" t="s">
        <v>83</v>
      </c>
    </row>
    <row r="211" spans="1:11" ht="18" customHeight="1">
      <c r="A211" s="68">
        <v>680</v>
      </c>
      <c r="B211" s="63">
        <v>32798602</v>
      </c>
      <c r="C211" s="7" t="s">
        <v>354</v>
      </c>
      <c r="D211" s="8" t="s">
        <v>170</v>
      </c>
      <c r="E211" s="9" t="s">
        <v>15</v>
      </c>
      <c r="F211" s="9" t="s">
        <v>16</v>
      </c>
      <c r="G211" s="8" t="s">
        <v>26</v>
      </c>
      <c r="H211" s="10" t="s">
        <v>27</v>
      </c>
      <c r="I211" s="9"/>
      <c r="J211" s="9"/>
      <c r="K211" s="9" t="s">
        <v>39</v>
      </c>
    </row>
    <row r="212" spans="1:11" ht="18" customHeight="1">
      <c r="A212" s="68">
        <v>681</v>
      </c>
      <c r="B212" s="63">
        <v>32798604</v>
      </c>
      <c r="C212" s="7" t="s">
        <v>355</v>
      </c>
      <c r="D212" s="8" t="s">
        <v>170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256</v>
      </c>
      <c r="K212" s="9" t="s">
        <v>29</v>
      </c>
    </row>
    <row r="213" spans="1:11" ht="18" customHeight="1">
      <c r="A213" s="68">
        <v>682</v>
      </c>
      <c r="B213" s="63">
        <v>32798606</v>
      </c>
      <c r="C213" s="7" t="s">
        <v>356</v>
      </c>
      <c r="D213" s="8" t="s">
        <v>170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256</v>
      </c>
      <c r="K213" s="9" t="s">
        <v>83</v>
      </c>
    </row>
    <row r="214" spans="1:11" ht="18" customHeight="1">
      <c r="A214" s="68">
        <v>683</v>
      </c>
      <c r="B214" s="63">
        <v>32798626</v>
      </c>
      <c r="C214" s="7" t="s">
        <v>357</v>
      </c>
      <c r="D214" s="8" t="s">
        <v>170</v>
      </c>
      <c r="E214" s="9" t="s">
        <v>47</v>
      </c>
      <c r="F214" s="9" t="s">
        <v>16</v>
      </c>
      <c r="G214" s="8" t="s">
        <v>26</v>
      </c>
      <c r="H214" s="10" t="s">
        <v>27</v>
      </c>
      <c r="I214" s="9"/>
      <c r="J214" s="9" t="s">
        <v>256</v>
      </c>
      <c r="K214" s="9" t="s">
        <v>83</v>
      </c>
    </row>
    <row r="215" spans="1:11" ht="18" customHeight="1">
      <c r="A215" s="68">
        <v>684</v>
      </c>
      <c r="B215" s="63">
        <v>32798683</v>
      </c>
      <c r="C215" s="7" t="s">
        <v>358</v>
      </c>
      <c r="D215" s="8" t="s">
        <v>170</v>
      </c>
      <c r="E215" s="9" t="s">
        <v>47</v>
      </c>
      <c r="F215" s="9" t="s">
        <v>16</v>
      </c>
      <c r="G215" s="8" t="s">
        <v>182</v>
      </c>
      <c r="H215" s="10"/>
      <c r="I215" s="9"/>
      <c r="J215" s="9" t="s">
        <v>256</v>
      </c>
      <c r="K215" s="9" t="s">
        <v>29</v>
      </c>
    </row>
    <row r="216" spans="1:11" ht="18" hidden="1" customHeight="1">
      <c r="A216" s="68">
        <v>685</v>
      </c>
      <c r="B216" s="63">
        <v>32798689</v>
      </c>
      <c r="C216" s="7" t="s">
        <v>359</v>
      </c>
      <c r="D216" s="8" t="s">
        <v>170</v>
      </c>
      <c r="E216" s="9" t="s">
        <v>15</v>
      </c>
      <c r="F216" s="9" t="s">
        <v>16</v>
      </c>
      <c r="G216" s="8" t="s">
        <v>255</v>
      </c>
      <c r="H216" s="10"/>
      <c r="I216" s="9"/>
      <c r="J216" s="9"/>
      <c r="K216" s="9" t="s">
        <v>39</v>
      </c>
    </row>
    <row r="217" spans="1:11" ht="18" customHeight="1">
      <c r="A217" s="68">
        <v>686</v>
      </c>
      <c r="B217" s="63">
        <v>32798787</v>
      </c>
      <c r="C217" s="7" t="s">
        <v>360</v>
      </c>
      <c r="D217" s="8" t="s">
        <v>170</v>
      </c>
      <c r="E217" s="9" t="s">
        <v>47</v>
      </c>
      <c r="F217" s="9" t="s">
        <v>16</v>
      </c>
      <c r="G217" s="8" t="s">
        <v>26</v>
      </c>
      <c r="H217" s="10" t="s">
        <v>361</v>
      </c>
      <c r="I217" s="9"/>
      <c r="J217" s="9" t="s">
        <v>256</v>
      </c>
      <c r="K217" s="9" t="s">
        <v>29</v>
      </c>
    </row>
    <row r="218" spans="1:11" ht="35.25" customHeight="1">
      <c r="A218" s="68">
        <v>687</v>
      </c>
      <c r="B218" s="63">
        <v>32798821</v>
      </c>
      <c r="C218" s="86" t="s">
        <v>362</v>
      </c>
      <c r="D218" s="8" t="s">
        <v>142</v>
      </c>
      <c r="E218" s="9" t="s">
        <v>47</v>
      </c>
      <c r="F218" s="9" t="s">
        <v>16</v>
      </c>
      <c r="G218" s="8" t="s">
        <v>26</v>
      </c>
      <c r="H218" s="10"/>
      <c r="I218" s="9"/>
      <c r="J218" s="9" t="s">
        <v>256</v>
      </c>
      <c r="K218" s="9"/>
    </row>
    <row r="219" spans="1:11" ht="18" customHeight="1">
      <c r="A219" s="68">
        <v>688</v>
      </c>
      <c r="B219" s="63">
        <v>32798972</v>
      </c>
      <c r="C219" s="101" t="s">
        <v>363</v>
      </c>
      <c r="D219" s="8" t="s">
        <v>142</v>
      </c>
      <c r="E219" s="9" t="s">
        <v>364</v>
      </c>
      <c r="F219" s="9" t="s">
        <v>16</v>
      </c>
      <c r="G219" s="8" t="s">
        <v>26</v>
      </c>
      <c r="H219" s="10" t="s">
        <v>361</v>
      </c>
      <c r="I219" s="88" t="s">
        <v>365</v>
      </c>
      <c r="J219" s="9"/>
      <c r="K219" s="9"/>
    </row>
    <row r="220" spans="1:11" ht="18" customHeight="1">
      <c r="A220" s="68">
        <v>689</v>
      </c>
      <c r="B220" s="63">
        <v>32798977</v>
      </c>
      <c r="C220" s="101" t="s">
        <v>366</v>
      </c>
      <c r="D220" s="8" t="s">
        <v>142</v>
      </c>
      <c r="E220" s="9" t="s">
        <v>364</v>
      </c>
      <c r="F220" s="9" t="s">
        <v>16</v>
      </c>
      <c r="G220" s="8" t="s">
        <v>26</v>
      </c>
      <c r="H220" s="10" t="s">
        <v>361</v>
      </c>
      <c r="I220" s="88" t="s">
        <v>365</v>
      </c>
      <c r="J220" s="9"/>
      <c r="K220" s="9"/>
    </row>
    <row r="221" spans="1:11" ht="18" customHeight="1">
      <c r="A221" s="68">
        <v>690</v>
      </c>
      <c r="B221" s="63">
        <v>32798980</v>
      </c>
      <c r="C221" s="101" t="s">
        <v>367</v>
      </c>
      <c r="D221" s="8" t="s">
        <v>142</v>
      </c>
      <c r="E221" s="9" t="s">
        <v>364</v>
      </c>
      <c r="F221" s="9" t="s">
        <v>16</v>
      </c>
      <c r="G221" s="8" t="s">
        <v>26</v>
      </c>
      <c r="H221" s="10" t="s">
        <v>361</v>
      </c>
      <c r="I221" s="88" t="s">
        <v>365</v>
      </c>
      <c r="J221" s="9"/>
      <c r="K221" s="9"/>
    </row>
    <row r="222" spans="1:11" ht="18" customHeight="1">
      <c r="A222" s="68">
        <v>691</v>
      </c>
      <c r="B222" s="63">
        <v>32798982</v>
      </c>
      <c r="C222" s="101" t="s">
        <v>368</v>
      </c>
      <c r="D222" s="8" t="s">
        <v>142</v>
      </c>
      <c r="E222" s="9" t="s">
        <v>364</v>
      </c>
      <c r="F222" s="9" t="s">
        <v>16</v>
      </c>
      <c r="G222" s="8" t="s">
        <v>26</v>
      </c>
      <c r="H222" s="10" t="s">
        <v>361</v>
      </c>
      <c r="I222" s="88" t="s">
        <v>365</v>
      </c>
      <c r="J222" s="9"/>
      <c r="K222" s="9"/>
    </row>
    <row r="223" spans="1:11" ht="18" customHeight="1">
      <c r="A223" s="68">
        <v>692</v>
      </c>
      <c r="B223" s="63">
        <v>32798987</v>
      </c>
      <c r="C223" s="101" t="s">
        <v>369</v>
      </c>
      <c r="D223" s="8" t="s">
        <v>142</v>
      </c>
      <c r="E223" s="9" t="s">
        <v>364</v>
      </c>
      <c r="F223" s="9" t="s">
        <v>16</v>
      </c>
      <c r="G223" s="8" t="s">
        <v>26</v>
      </c>
      <c r="H223" s="10" t="s">
        <v>361</v>
      </c>
      <c r="I223" s="88" t="s">
        <v>365</v>
      </c>
      <c r="J223" s="9"/>
      <c r="K223" s="9"/>
    </row>
    <row r="224" spans="1:11" ht="18" customHeight="1">
      <c r="A224" s="68">
        <v>693</v>
      </c>
      <c r="B224" s="63">
        <v>32799012</v>
      </c>
      <c r="C224" s="101" t="s">
        <v>370</v>
      </c>
      <c r="D224" s="8" t="s">
        <v>142</v>
      </c>
      <c r="E224" s="9" t="s">
        <v>364</v>
      </c>
      <c r="F224" s="9" t="s">
        <v>16</v>
      </c>
      <c r="G224" s="8" t="s">
        <v>26</v>
      </c>
      <c r="H224" s="10" t="s">
        <v>361</v>
      </c>
      <c r="I224" s="88" t="s">
        <v>365</v>
      </c>
      <c r="J224" s="9"/>
      <c r="K224" s="9"/>
    </row>
    <row r="225" spans="1:11" ht="18" customHeight="1">
      <c r="A225" s="68">
        <v>695</v>
      </c>
      <c r="B225" s="63">
        <v>32799029</v>
      </c>
      <c r="C225" s="101" t="s">
        <v>371</v>
      </c>
      <c r="D225" s="8" t="s">
        <v>142</v>
      </c>
      <c r="E225" s="9" t="s">
        <v>364</v>
      </c>
      <c r="F225" s="9" t="s">
        <v>16</v>
      </c>
      <c r="G225" s="8" t="s">
        <v>26</v>
      </c>
      <c r="H225" s="10" t="s">
        <v>361</v>
      </c>
      <c r="I225" s="88" t="s">
        <v>365</v>
      </c>
      <c r="J225" s="9"/>
      <c r="K225" s="9"/>
    </row>
    <row r="226" spans="1:11" ht="18" customHeight="1">
      <c r="A226" s="68">
        <v>696</v>
      </c>
      <c r="B226" s="63">
        <v>32799031</v>
      </c>
      <c r="C226" s="101" t="s">
        <v>372</v>
      </c>
      <c r="D226" s="8" t="s">
        <v>142</v>
      </c>
      <c r="E226" s="9" t="s">
        <v>364</v>
      </c>
      <c r="F226" s="9" t="s">
        <v>16</v>
      </c>
      <c r="G226" s="8" t="s">
        <v>26</v>
      </c>
      <c r="H226" s="10" t="s">
        <v>361</v>
      </c>
      <c r="I226" s="88" t="s">
        <v>365</v>
      </c>
      <c r="J226" s="9"/>
      <c r="K226" s="9"/>
    </row>
    <row r="227" spans="1:11" ht="18" customHeight="1">
      <c r="A227" s="68">
        <v>697</v>
      </c>
      <c r="B227" s="63">
        <v>32799033</v>
      </c>
      <c r="C227" s="101" t="s">
        <v>373</v>
      </c>
      <c r="D227" s="8" t="s">
        <v>142</v>
      </c>
      <c r="E227" s="9" t="s">
        <v>364</v>
      </c>
      <c r="F227" s="9" t="s">
        <v>16</v>
      </c>
      <c r="G227" s="8" t="s">
        <v>26</v>
      </c>
      <c r="H227" s="10" t="s">
        <v>361</v>
      </c>
      <c r="I227" s="88" t="s">
        <v>365</v>
      </c>
      <c r="J227" s="9"/>
      <c r="K227" s="9"/>
    </row>
    <row r="228" spans="1:11" ht="18" customHeight="1">
      <c r="A228" s="68">
        <v>698</v>
      </c>
      <c r="B228" s="63">
        <v>32799036</v>
      </c>
      <c r="C228" s="101" t="s">
        <v>374</v>
      </c>
      <c r="D228" s="8" t="s">
        <v>142</v>
      </c>
      <c r="E228" s="9" t="s">
        <v>364</v>
      </c>
      <c r="F228" s="9" t="s">
        <v>16</v>
      </c>
      <c r="G228" s="8" t="s">
        <v>26</v>
      </c>
      <c r="H228" s="10" t="s">
        <v>361</v>
      </c>
      <c r="I228" s="88" t="s">
        <v>365</v>
      </c>
      <c r="J228" s="9"/>
      <c r="K228" s="9"/>
    </row>
    <row r="229" spans="1:11" ht="18" customHeight="1">
      <c r="A229" s="68">
        <v>699</v>
      </c>
      <c r="B229" s="63">
        <v>32799038</v>
      </c>
      <c r="C229" s="101" t="s">
        <v>375</v>
      </c>
      <c r="D229" s="8" t="s">
        <v>142</v>
      </c>
      <c r="E229" s="9" t="s">
        <v>364</v>
      </c>
      <c r="F229" s="9" t="s">
        <v>16</v>
      </c>
      <c r="G229" s="8" t="s">
        <v>26</v>
      </c>
      <c r="H229" s="10" t="s">
        <v>361</v>
      </c>
      <c r="I229" s="88" t="s">
        <v>365</v>
      </c>
      <c r="J229" s="9"/>
      <c r="K229" s="9"/>
    </row>
    <row r="230" spans="1:11" ht="18" customHeight="1">
      <c r="A230" s="68">
        <v>700</v>
      </c>
      <c r="B230" s="63">
        <v>32799049</v>
      </c>
      <c r="C230" s="101" t="s">
        <v>376</v>
      </c>
      <c r="D230" s="8" t="s">
        <v>142</v>
      </c>
      <c r="E230" s="9" t="s">
        <v>364</v>
      </c>
      <c r="F230" s="9" t="s">
        <v>16</v>
      </c>
      <c r="G230" s="8" t="s">
        <v>26</v>
      </c>
      <c r="H230" s="10" t="s">
        <v>361</v>
      </c>
      <c r="I230" s="88" t="s">
        <v>365</v>
      </c>
      <c r="J230" s="9"/>
      <c r="K230" s="9"/>
    </row>
    <row r="231" spans="1:11" ht="18" customHeight="1">
      <c r="A231" s="68">
        <v>701</v>
      </c>
      <c r="B231" s="63">
        <v>32799051</v>
      </c>
      <c r="C231" s="101" t="s">
        <v>377</v>
      </c>
      <c r="D231" s="8" t="s">
        <v>142</v>
      </c>
      <c r="E231" s="9" t="s">
        <v>364</v>
      </c>
      <c r="F231" s="9" t="s">
        <v>16</v>
      </c>
      <c r="G231" s="8" t="s">
        <v>26</v>
      </c>
      <c r="H231" s="10" t="s">
        <v>361</v>
      </c>
      <c r="I231" s="88" t="s">
        <v>365</v>
      </c>
      <c r="J231" s="9"/>
      <c r="K231" s="9"/>
    </row>
    <row r="232" spans="1:11" ht="18" customHeight="1">
      <c r="A232" s="68">
        <v>702</v>
      </c>
      <c r="B232" s="63">
        <v>32799053</v>
      </c>
      <c r="C232" s="101" t="s">
        <v>378</v>
      </c>
      <c r="D232" s="8" t="s">
        <v>142</v>
      </c>
      <c r="E232" s="9" t="s">
        <v>364</v>
      </c>
      <c r="F232" s="9" t="s">
        <v>16</v>
      </c>
      <c r="G232" s="8" t="s">
        <v>26</v>
      </c>
      <c r="H232" s="10" t="s">
        <v>361</v>
      </c>
      <c r="I232" s="88" t="s">
        <v>365</v>
      </c>
      <c r="J232" s="9"/>
      <c r="K232" s="9"/>
    </row>
    <row r="233" spans="1:11" ht="18" customHeight="1">
      <c r="A233" s="68">
        <v>703</v>
      </c>
      <c r="B233" s="63">
        <v>32799054</v>
      </c>
      <c r="C233" s="101" t="s">
        <v>379</v>
      </c>
      <c r="D233" s="8" t="s">
        <v>142</v>
      </c>
      <c r="E233" s="9" t="s">
        <v>364</v>
      </c>
      <c r="F233" s="9" t="s">
        <v>16</v>
      </c>
      <c r="G233" s="8" t="s">
        <v>26</v>
      </c>
      <c r="H233" s="10" t="s">
        <v>361</v>
      </c>
      <c r="I233" s="88" t="s">
        <v>365</v>
      </c>
      <c r="J233" s="9"/>
      <c r="K233" s="9"/>
    </row>
    <row r="234" spans="1:11" ht="18" customHeight="1">
      <c r="A234" s="68">
        <v>704</v>
      </c>
      <c r="B234" s="63">
        <v>32799060</v>
      </c>
      <c r="C234" s="101" t="s">
        <v>380</v>
      </c>
      <c r="D234" s="8" t="s">
        <v>142</v>
      </c>
      <c r="E234" s="9" t="s">
        <v>364</v>
      </c>
      <c r="F234" s="9" t="s">
        <v>16</v>
      </c>
      <c r="G234" s="8" t="s">
        <v>26</v>
      </c>
      <c r="H234" s="10" t="s">
        <v>361</v>
      </c>
      <c r="I234" s="88" t="s">
        <v>365</v>
      </c>
      <c r="J234" s="9"/>
      <c r="K234" s="9"/>
    </row>
    <row r="235" spans="1:11" ht="18" customHeight="1">
      <c r="A235" s="68">
        <v>705</v>
      </c>
      <c r="B235" s="63">
        <v>32799062</v>
      </c>
      <c r="C235" s="101" t="s">
        <v>381</v>
      </c>
      <c r="D235" s="8" t="s">
        <v>142</v>
      </c>
      <c r="E235" s="9" t="s">
        <v>364</v>
      </c>
      <c r="F235" s="9" t="s">
        <v>16</v>
      </c>
      <c r="G235" s="8" t="s">
        <v>26</v>
      </c>
      <c r="H235" s="10" t="s">
        <v>361</v>
      </c>
      <c r="I235" s="88" t="s">
        <v>365</v>
      </c>
      <c r="J235" s="9"/>
      <c r="K235" s="9"/>
    </row>
    <row r="236" spans="1:11" ht="18" customHeight="1">
      <c r="A236" s="68">
        <v>706</v>
      </c>
      <c r="B236" s="63">
        <v>32799063</v>
      </c>
      <c r="C236" s="101" t="s">
        <v>382</v>
      </c>
      <c r="D236" s="8" t="s">
        <v>142</v>
      </c>
      <c r="E236" s="9" t="s">
        <v>364</v>
      </c>
      <c r="F236" s="9" t="s">
        <v>16</v>
      </c>
      <c r="G236" s="8" t="s">
        <v>26</v>
      </c>
      <c r="H236" s="10" t="s">
        <v>361</v>
      </c>
      <c r="I236" s="88" t="s">
        <v>365</v>
      </c>
      <c r="J236" s="9"/>
      <c r="K236" s="9"/>
    </row>
    <row r="237" spans="1:11" ht="18" customHeight="1">
      <c r="A237" s="68">
        <v>707</v>
      </c>
      <c r="B237" s="63">
        <v>32799064</v>
      </c>
      <c r="C237" s="101" t="s">
        <v>383</v>
      </c>
      <c r="D237" s="8" t="s">
        <v>142</v>
      </c>
      <c r="E237" s="9" t="s">
        <v>364</v>
      </c>
      <c r="F237" s="9" t="s">
        <v>16</v>
      </c>
      <c r="G237" s="8" t="s">
        <v>26</v>
      </c>
      <c r="H237" s="10" t="s">
        <v>361</v>
      </c>
      <c r="I237" s="88" t="s">
        <v>365</v>
      </c>
      <c r="J237" s="9"/>
      <c r="K237" s="9"/>
    </row>
    <row r="238" spans="1:11" ht="18" customHeight="1">
      <c r="A238" s="68">
        <v>708</v>
      </c>
      <c r="B238" s="63">
        <v>32799065</v>
      </c>
      <c r="C238" s="101" t="s">
        <v>384</v>
      </c>
      <c r="D238" s="8" t="s">
        <v>142</v>
      </c>
      <c r="E238" s="9" t="s">
        <v>364</v>
      </c>
      <c r="F238" s="9" t="s">
        <v>16</v>
      </c>
      <c r="G238" s="8" t="s">
        <v>26</v>
      </c>
      <c r="H238" s="10" t="s">
        <v>361</v>
      </c>
      <c r="I238" s="88" t="s">
        <v>365</v>
      </c>
      <c r="J238" s="9"/>
      <c r="K238" s="9"/>
    </row>
    <row r="239" spans="1:11" ht="18" customHeight="1">
      <c r="A239" s="68">
        <v>709</v>
      </c>
      <c r="B239" s="63">
        <v>32799066</v>
      </c>
      <c r="C239" s="101" t="s">
        <v>385</v>
      </c>
      <c r="D239" s="8" t="s">
        <v>142</v>
      </c>
      <c r="E239" s="9" t="s">
        <v>364</v>
      </c>
      <c r="F239" s="9" t="s">
        <v>16</v>
      </c>
      <c r="G239" s="8" t="s">
        <v>26</v>
      </c>
      <c r="H239" s="10" t="s">
        <v>361</v>
      </c>
      <c r="I239" s="88" t="s">
        <v>365</v>
      </c>
      <c r="J239" s="9"/>
      <c r="K239" s="9"/>
    </row>
    <row r="240" spans="1:11" ht="18" customHeight="1">
      <c r="A240" s="68">
        <v>710</v>
      </c>
      <c r="B240" s="63">
        <v>32799069</v>
      </c>
      <c r="C240" s="101" t="s">
        <v>386</v>
      </c>
      <c r="D240" s="8" t="s">
        <v>142</v>
      </c>
      <c r="E240" s="9" t="s">
        <v>364</v>
      </c>
      <c r="F240" s="9" t="s">
        <v>16</v>
      </c>
      <c r="G240" s="8" t="s">
        <v>26</v>
      </c>
      <c r="H240" s="10" t="s">
        <v>361</v>
      </c>
      <c r="I240" s="88" t="s">
        <v>365</v>
      </c>
      <c r="J240" s="9"/>
      <c r="K240" s="9" t="s">
        <v>29</v>
      </c>
    </row>
    <row r="241" spans="1:11" ht="18" customHeight="1">
      <c r="A241" s="68">
        <v>711</v>
      </c>
      <c r="B241" s="63">
        <v>32799071</v>
      </c>
      <c r="C241" s="101" t="s">
        <v>387</v>
      </c>
      <c r="D241" s="8" t="s">
        <v>142</v>
      </c>
      <c r="E241" s="9" t="s">
        <v>364</v>
      </c>
      <c r="F241" s="9" t="s">
        <v>16</v>
      </c>
      <c r="G241" s="8" t="s">
        <v>26</v>
      </c>
      <c r="H241" s="10" t="s">
        <v>361</v>
      </c>
      <c r="I241" s="88" t="s">
        <v>365</v>
      </c>
      <c r="J241" s="9"/>
      <c r="K241" s="9" t="s">
        <v>83</v>
      </c>
    </row>
    <row r="242" spans="1:11" ht="18" customHeight="1">
      <c r="A242" s="68">
        <v>712</v>
      </c>
      <c r="B242" s="63">
        <v>32799080</v>
      </c>
      <c r="C242" s="101" t="s">
        <v>388</v>
      </c>
      <c r="D242" s="8" t="s">
        <v>142</v>
      </c>
      <c r="E242" s="9" t="s">
        <v>364</v>
      </c>
      <c r="F242" s="9" t="s">
        <v>16</v>
      </c>
      <c r="G242" s="8" t="s">
        <v>26</v>
      </c>
      <c r="H242" s="10" t="s">
        <v>361</v>
      </c>
      <c r="I242" s="88" t="s">
        <v>365</v>
      </c>
      <c r="J242" s="9"/>
      <c r="K242" s="9" t="s">
        <v>83</v>
      </c>
    </row>
    <row r="243" spans="1:11" ht="18" customHeight="1">
      <c r="A243" s="68">
        <v>713</v>
      </c>
      <c r="B243" s="63">
        <v>32799332</v>
      </c>
      <c r="C243" s="7" t="s">
        <v>389</v>
      </c>
      <c r="D243" s="8" t="s">
        <v>311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256</v>
      </c>
      <c r="K243" s="9" t="s">
        <v>83</v>
      </c>
    </row>
    <row r="244" spans="1:11" ht="18" customHeight="1">
      <c r="A244" s="68">
        <v>714</v>
      </c>
      <c r="B244" s="63">
        <v>32799335</v>
      </c>
      <c r="C244" s="7" t="s">
        <v>389</v>
      </c>
      <c r="D244" s="8" t="s">
        <v>311</v>
      </c>
      <c r="E244" s="9" t="s">
        <v>15</v>
      </c>
      <c r="F244" s="9" t="s">
        <v>16</v>
      </c>
      <c r="G244" s="8" t="s">
        <v>26</v>
      </c>
      <c r="H244" s="10" t="s">
        <v>27</v>
      </c>
      <c r="I244" s="9"/>
      <c r="J244" s="9" t="s">
        <v>256</v>
      </c>
      <c r="K244" s="9" t="s">
        <v>83</v>
      </c>
    </row>
    <row r="245" spans="1:11" ht="18" customHeight="1">
      <c r="A245" s="68">
        <v>715</v>
      </c>
      <c r="B245" s="63">
        <v>32799336</v>
      </c>
      <c r="C245" s="7" t="s">
        <v>390</v>
      </c>
      <c r="D245" s="8" t="s">
        <v>311</v>
      </c>
      <c r="E245" s="9" t="s">
        <v>47</v>
      </c>
      <c r="F245" s="9" t="s">
        <v>16</v>
      </c>
      <c r="G245" s="8" t="s">
        <v>26</v>
      </c>
      <c r="H245" s="10" t="s">
        <v>27</v>
      </c>
      <c r="I245" s="9"/>
      <c r="J245" s="9" t="s">
        <v>256</v>
      </c>
      <c r="K245" s="9" t="s">
        <v>83</v>
      </c>
    </row>
    <row r="246" spans="1:11" ht="18" customHeight="1">
      <c r="A246" s="68">
        <v>716</v>
      </c>
      <c r="B246" s="63">
        <v>32799338</v>
      </c>
      <c r="C246" s="7" t="s">
        <v>391</v>
      </c>
      <c r="D246" s="8" t="s">
        <v>311</v>
      </c>
      <c r="E246" s="9" t="s">
        <v>47</v>
      </c>
      <c r="F246" s="9" t="s">
        <v>16</v>
      </c>
      <c r="G246" s="8" t="s">
        <v>26</v>
      </c>
      <c r="H246" s="10" t="s">
        <v>298</v>
      </c>
      <c r="I246" s="9"/>
      <c r="J246" s="9" t="s">
        <v>256</v>
      </c>
      <c r="K246" s="9" t="s">
        <v>83</v>
      </c>
    </row>
    <row r="247" spans="1:11" ht="18" customHeight="1">
      <c r="A247" s="68">
        <v>717</v>
      </c>
      <c r="B247" s="63">
        <v>32799344</v>
      </c>
      <c r="C247" s="7" t="s">
        <v>392</v>
      </c>
      <c r="D247" s="8" t="s">
        <v>311</v>
      </c>
      <c r="E247" s="9" t="s">
        <v>47</v>
      </c>
      <c r="F247" s="9" t="s">
        <v>16</v>
      </c>
      <c r="G247" s="8" t="s">
        <v>26</v>
      </c>
      <c r="H247" s="10" t="s">
        <v>27</v>
      </c>
      <c r="I247" s="9"/>
      <c r="J247" s="9" t="s">
        <v>256</v>
      </c>
      <c r="K247" s="9" t="s">
        <v>29</v>
      </c>
    </row>
    <row r="248" spans="1:11" ht="18" customHeight="1">
      <c r="A248" s="68">
        <v>718</v>
      </c>
      <c r="B248" s="63">
        <v>32799347</v>
      </c>
      <c r="C248" s="7" t="s">
        <v>393</v>
      </c>
      <c r="D248" s="8" t="s">
        <v>311</v>
      </c>
      <c r="E248" s="9" t="s">
        <v>15</v>
      </c>
      <c r="F248" s="9" t="s">
        <v>16</v>
      </c>
      <c r="G248" s="8" t="s">
        <v>26</v>
      </c>
      <c r="H248" s="10"/>
      <c r="I248" s="9"/>
      <c r="J248" s="9"/>
      <c r="K248" s="9" t="s">
        <v>83</v>
      </c>
    </row>
    <row r="249" spans="1:11" ht="18" customHeight="1">
      <c r="A249" s="68">
        <v>719</v>
      </c>
      <c r="B249" s="63">
        <v>32799351</v>
      </c>
      <c r="C249" s="7" t="s">
        <v>394</v>
      </c>
      <c r="D249" s="8" t="s">
        <v>311</v>
      </c>
      <c r="E249" s="9" t="s">
        <v>47</v>
      </c>
      <c r="F249" s="9" t="s">
        <v>16</v>
      </c>
      <c r="G249" s="8" t="s">
        <v>26</v>
      </c>
      <c r="H249" s="10" t="s">
        <v>27</v>
      </c>
      <c r="I249" s="9"/>
      <c r="J249" s="9" t="s">
        <v>256</v>
      </c>
      <c r="K249" s="9" t="s">
        <v>83</v>
      </c>
    </row>
    <row r="250" spans="1:11" ht="18" customHeight="1">
      <c r="A250" s="68">
        <v>720</v>
      </c>
      <c r="B250" s="63">
        <v>32799639</v>
      </c>
      <c r="C250" s="7" t="s">
        <v>395</v>
      </c>
      <c r="D250" s="8" t="s">
        <v>170</v>
      </c>
      <c r="E250" s="9" t="s">
        <v>15</v>
      </c>
      <c r="F250" s="9" t="s">
        <v>16</v>
      </c>
      <c r="G250" s="8" t="s">
        <v>26</v>
      </c>
      <c r="H250" s="10" t="s">
        <v>361</v>
      </c>
      <c r="I250" s="9" t="s">
        <v>396</v>
      </c>
      <c r="J250" s="9"/>
      <c r="K250" s="9" t="s">
        <v>83</v>
      </c>
    </row>
    <row r="251" spans="1:11" ht="18" customHeight="1">
      <c r="A251" s="68">
        <v>721</v>
      </c>
      <c r="B251" s="63">
        <v>32799641</v>
      </c>
      <c r="C251" s="7" t="s">
        <v>397</v>
      </c>
      <c r="D251" s="8" t="s">
        <v>170</v>
      </c>
      <c r="E251" s="9" t="s">
        <v>47</v>
      </c>
      <c r="F251" s="9" t="s">
        <v>16</v>
      </c>
      <c r="G251" s="8" t="s">
        <v>26</v>
      </c>
      <c r="H251" s="10" t="s">
        <v>398</v>
      </c>
      <c r="I251" s="9"/>
      <c r="J251" s="9" t="s">
        <v>256</v>
      </c>
      <c r="K251" s="9" t="s">
        <v>83</v>
      </c>
    </row>
    <row r="252" spans="1:11" ht="18" customHeight="1">
      <c r="A252" s="68">
        <v>722</v>
      </c>
      <c r="B252" s="63">
        <v>32799647</v>
      </c>
      <c r="C252" s="7" t="s">
        <v>399</v>
      </c>
      <c r="D252" s="8" t="s">
        <v>170</v>
      </c>
      <c r="E252" s="9" t="s">
        <v>47</v>
      </c>
      <c r="F252" s="9" t="s">
        <v>16</v>
      </c>
      <c r="G252" s="8" t="s">
        <v>182</v>
      </c>
      <c r="H252" s="10"/>
      <c r="I252" s="9"/>
      <c r="J252" s="9" t="s">
        <v>256</v>
      </c>
      <c r="K252" s="9" t="s">
        <v>29</v>
      </c>
    </row>
    <row r="253" spans="1:11" ht="18" hidden="1" customHeight="1">
      <c r="A253" s="68">
        <v>723</v>
      </c>
      <c r="B253" s="63">
        <v>32800126</v>
      </c>
      <c r="C253" s="7" t="s">
        <v>400</v>
      </c>
      <c r="D253" s="8" t="s">
        <v>142</v>
      </c>
      <c r="E253" s="9" t="s">
        <v>47</v>
      </c>
      <c r="F253" s="9" t="s">
        <v>16</v>
      </c>
      <c r="G253" s="8" t="s">
        <v>98</v>
      </c>
      <c r="H253" s="10"/>
      <c r="I253" s="9"/>
      <c r="J253" s="9" t="s">
        <v>256</v>
      </c>
      <c r="K253" s="9" t="s">
        <v>29</v>
      </c>
    </row>
    <row r="254" spans="1:11" ht="18" customHeight="1">
      <c r="A254" s="68">
        <v>724</v>
      </c>
      <c r="B254" s="63">
        <v>32800141</v>
      </c>
      <c r="C254" s="7" t="s">
        <v>401</v>
      </c>
      <c r="D254" s="8" t="s">
        <v>142</v>
      </c>
      <c r="E254" s="9" t="s">
        <v>47</v>
      </c>
      <c r="F254" s="9" t="s">
        <v>16</v>
      </c>
      <c r="G254" s="8" t="s">
        <v>26</v>
      </c>
      <c r="H254" s="10"/>
      <c r="I254" s="9"/>
      <c r="J254" s="9" t="s">
        <v>256</v>
      </c>
      <c r="K254" s="9" t="s">
        <v>29</v>
      </c>
    </row>
    <row r="255" spans="1:11" ht="18" customHeight="1">
      <c r="A255" s="68">
        <v>725</v>
      </c>
      <c r="B255" s="63">
        <v>32800163</v>
      </c>
      <c r="C255" s="7" t="s">
        <v>402</v>
      </c>
      <c r="D255" s="8" t="s">
        <v>142</v>
      </c>
      <c r="E255" s="9" t="s">
        <v>47</v>
      </c>
      <c r="F255" s="9" t="s">
        <v>16</v>
      </c>
      <c r="G255" s="8" t="s">
        <v>26</v>
      </c>
      <c r="H255" s="10" t="s">
        <v>27</v>
      </c>
      <c r="I255" s="9"/>
      <c r="J255" s="9" t="s">
        <v>256</v>
      </c>
      <c r="K255" s="9" t="s">
        <v>29</v>
      </c>
    </row>
    <row r="256" spans="1:11" ht="18" customHeight="1">
      <c r="A256" s="68">
        <v>726</v>
      </c>
      <c r="B256" s="63">
        <v>32800175</v>
      </c>
      <c r="C256" s="7" t="s">
        <v>403</v>
      </c>
      <c r="D256" s="8" t="s">
        <v>142</v>
      </c>
      <c r="E256" s="9" t="s">
        <v>15</v>
      </c>
      <c r="F256" s="9" t="s">
        <v>16</v>
      </c>
      <c r="G256" s="8" t="s">
        <v>171</v>
      </c>
      <c r="H256" s="10"/>
      <c r="I256" s="9"/>
      <c r="J256" s="9"/>
      <c r="K256" s="9" t="s">
        <v>83</v>
      </c>
    </row>
    <row r="257" spans="1:11" ht="18" customHeight="1">
      <c r="A257" s="68">
        <v>728</v>
      </c>
      <c r="B257" s="63">
        <v>32800196</v>
      </c>
      <c r="C257" s="7" t="s">
        <v>404</v>
      </c>
      <c r="D257" s="8" t="s">
        <v>142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256</v>
      </c>
      <c r="K257" s="9" t="s">
        <v>83</v>
      </c>
    </row>
    <row r="258" spans="1:11" ht="18" customHeight="1">
      <c r="A258" s="68">
        <v>729</v>
      </c>
      <c r="B258" s="63">
        <v>32800225</v>
      </c>
      <c r="C258" s="7" t="s">
        <v>405</v>
      </c>
      <c r="D258" s="8" t="s">
        <v>142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256</v>
      </c>
      <c r="K258" s="9" t="s">
        <v>83</v>
      </c>
    </row>
    <row r="259" spans="1:11" ht="18" customHeight="1">
      <c r="A259" s="68">
        <v>742</v>
      </c>
      <c r="B259" s="63">
        <v>32801170</v>
      </c>
      <c r="C259" s="7" t="s">
        <v>406</v>
      </c>
      <c r="D259" s="8" t="s">
        <v>311</v>
      </c>
      <c r="E259" s="9" t="s">
        <v>47</v>
      </c>
      <c r="F259" s="9" t="s">
        <v>16</v>
      </c>
      <c r="G259" s="8" t="s">
        <v>26</v>
      </c>
      <c r="H259" s="10" t="s">
        <v>27</v>
      </c>
      <c r="I259" s="9"/>
      <c r="J259" s="9" t="s">
        <v>256</v>
      </c>
      <c r="K259" s="9" t="s">
        <v>29</v>
      </c>
    </row>
    <row r="260" spans="1:11" ht="18" customHeight="1">
      <c r="A260" s="68">
        <v>743</v>
      </c>
      <c r="B260" s="63">
        <v>32801193</v>
      </c>
      <c r="C260" s="7" t="s">
        <v>407</v>
      </c>
      <c r="D260" s="8" t="s">
        <v>311</v>
      </c>
      <c r="E260" s="9" t="s">
        <v>47</v>
      </c>
      <c r="F260" s="9" t="s">
        <v>16</v>
      </c>
      <c r="G260" s="8" t="s">
        <v>26</v>
      </c>
      <c r="H260" s="10" t="s">
        <v>298</v>
      </c>
      <c r="I260" s="9"/>
      <c r="J260" s="9" t="s">
        <v>256</v>
      </c>
      <c r="K260" s="9" t="s">
        <v>29</v>
      </c>
    </row>
    <row r="261" spans="1:11" ht="18" customHeight="1">
      <c r="A261" s="68">
        <v>744</v>
      </c>
      <c r="B261" s="63">
        <v>32801209</v>
      </c>
      <c r="C261" s="7" t="s">
        <v>408</v>
      </c>
      <c r="D261" s="8" t="s">
        <v>311</v>
      </c>
      <c r="E261" s="9" t="s">
        <v>15</v>
      </c>
      <c r="F261" s="9" t="s">
        <v>16</v>
      </c>
      <c r="G261" s="8" t="s">
        <v>26</v>
      </c>
      <c r="H261" s="10" t="s">
        <v>27</v>
      </c>
      <c r="I261" s="9" t="s">
        <v>409</v>
      </c>
      <c r="J261" s="9"/>
      <c r="K261" s="9" t="s">
        <v>29</v>
      </c>
    </row>
    <row r="262" spans="1:11" ht="18" customHeight="1">
      <c r="A262" s="68">
        <v>748</v>
      </c>
      <c r="B262" s="63">
        <v>32801440</v>
      </c>
      <c r="C262" s="7" t="s">
        <v>410</v>
      </c>
      <c r="D262" s="8" t="s">
        <v>411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256</v>
      </c>
      <c r="K262" s="9" t="s">
        <v>29</v>
      </c>
    </row>
    <row r="263" spans="1:11" ht="18" customHeight="1">
      <c r="A263" s="68">
        <v>749</v>
      </c>
      <c r="B263" s="63">
        <v>32801510</v>
      </c>
      <c r="C263" s="7" t="s">
        <v>412</v>
      </c>
      <c r="D263" s="8" t="s">
        <v>411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256</v>
      </c>
      <c r="K263" s="9" t="s">
        <v>29</v>
      </c>
    </row>
    <row r="264" spans="1:11" ht="18" customHeight="1">
      <c r="A264" s="68">
        <v>751</v>
      </c>
      <c r="B264" s="63">
        <v>32801511</v>
      </c>
      <c r="C264" s="7" t="s">
        <v>413</v>
      </c>
      <c r="D264" s="8" t="s">
        <v>311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256</v>
      </c>
      <c r="K264" s="9" t="s">
        <v>29</v>
      </c>
    </row>
    <row r="265" spans="1:11" ht="18" customHeight="1">
      <c r="A265" s="68">
        <v>752</v>
      </c>
      <c r="B265" s="63">
        <v>32801532</v>
      </c>
      <c r="C265" s="7" t="s">
        <v>414</v>
      </c>
      <c r="D265" s="8" t="s">
        <v>311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256</v>
      </c>
      <c r="K265" s="9" t="s">
        <v>29</v>
      </c>
    </row>
    <row r="266" spans="1:11" ht="18" customHeight="1">
      <c r="A266" s="68">
        <v>753</v>
      </c>
      <c r="B266" s="63">
        <v>32801634</v>
      </c>
      <c r="C266" s="7" t="s">
        <v>415</v>
      </c>
      <c r="D266" s="8" t="s">
        <v>142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256</v>
      </c>
      <c r="K266" s="9" t="s">
        <v>29</v>
      </c>
    </row>
    <row r="267" spans="1:11" ht="18" customHeight="1">
      <c r="A267" s="68">
        <v>754</v>
      </c>
      <c r="B267" s="63">
        <v>32801637</v>
      </c>
      <c r="C267" s="7" t="s">
        <v>416</v>
      </c>
      <c r="D267" s="8" t="s">
        <v>142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256</v>
      </c>
      <c r="K267" s="9" t="s">
        <v>29</v>
      </c>
    </row>
    <row r="268" spans="1:11" ht="18" customHeight="1">
      <c r="A268" s="68">
        <v>755</v>
      </c>
      <c r="B268" s="63">
        <v>32801640</v>
      </c>
      <c r="C268" s="7" t="s">
        <v>417</v>
      </c>
      <c r="D268" s="8" t="s">
        <v>142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256</v>
      </c>
      <c r="K268" s="9" t="s">
        <v>29</v>
      </c>
    </row>
    <row r="269" spans="1:11" ht="18" customHeight="1">
      <c r="A269" s="68">
        <v>756</v>
      </c>
      <c r="B269" s="63">
        <v>32801651</v>
      </c>
      <c r="C269" s="7" t="s">
        <v>418</v>
      </c>
      <c r="D269" s="8" t="s">
        <v>419</v>
      </c>
      <c r="E269" s="9" t="s">
        <v>47</v>
      </c>
      <c r="F269" s="9" t="s">
        <v>16</v>
      </c>
      <c r="G269" s="8" t="s">
        <v>26</v>
      </c>
      <c r="H269" s="10" t="s">
        <v>27</v>
      </c>
      <c r="I269" s="9"/>
      <c r="J269" s="9" t="s">
        <v>256</v>
      </c>
      <c r="K269" s="9" t="s">
        <v>29</v>
      </c>
    </row>
    <row r="270" spans="1:11" ht="18" customHeight="1">
      <c r="A270" s="68" t="s">
        <v>420</v>
      </c>
      <c r="B270" s="63" t="s">
        <v>421</v>
      </c>
      <c r="C270" s="7" t="s">
        <v>422</v>
      </c>
      <c r="D270" s="8" t="s">
        <v>147</v>
      </c>
      <c r="E270" s="9" t="s">
        <v>364</v>
      </c>
      <c r="F270" s="9" t="s">
        <v>16</v>
      </c>
      <c r="G270" s="8" t="s">
        <v>26</v>
      </c>
      <c r="H270" s="10"/>
      <c r="I270" s="9" t="s">
        <v>423</v>
      </c>
      <c r="J270" s="9"/>
      <c r="K270" s="9" t="s">
        <v>29</v>
      </c>
    </row>
    <row r="271" spans="1:11" ht="18" customHeight="1">
      <c r="A271" s="68" t="s">
        <v>424</v>
      </c>
      <c r="B271" s="63" t="s">
        <v>425</v>
      </c>
      <c r="C271" s="7" t="s">
        <v>426</v>
      </c>
      <c r="D271" s="8" t="s">
        <v>147</v>
      </c>
      <c r="E271" s="9" t="s">
        <v>364</v>
      </c>
      <c r="F271" s="9" t="s">
        <v>16</v>
      </c>
      <c r="G271" s="8" t="s">
        <v>26</v>
      </c>
      <c r="H271" s="10"/>
      <c r="I271" s="9" t="s">
        <v>423</v>
      </c>
      <c r="J271" s="9"/>
      <c r="K271" s="9" t="s">
        <v>29</v>
      </c>
    </row>
    <row r="272" spans="1:11" ht="18" customHeight="1">
      <c r="A272" s="68" t="s">
        <v>427</v>
      </c>
      <c r="B272" s="63" t="s">
        <v>428</v>
      </c>
      <c r="C272" s="7" t="s">
        <v>429</v>
      </c>
      <c r="D272" s="8" t="s">
        <v>419</v>
      </c>
      <c r="E272" s="9" t="s">
        <v>47</v>
      </c>
      <c r="F272" s="9" t="s">
        <v>16</v>
      </c>
      <c r="G272" s="8" t="s">
        <v>26</v>
      </c>
      <c r="H272" s="10" t="s">
        <v>27</v>
      </c>
      <c r="I272" s="9"/>
      <c r="J272" s="9" t="s">
        <v>256</v>
      </c>
      <c r="K272" s="9" t="s">
        <v>29</v>
      </c>
    </row>
    <row r="273" spans="1:11" ht="18" customHeight="1">
      <c r="A273" s="68" t="s">
        <v>430</v>
      </c>
      <c r="B273" s="63" t="s">
        <v>431</v>
      </c>
      <c r="C273" s="7" t="s">
        <v>432</v>
      </c>
      <c r="D273" s="8" t="s">
        <v>147</v>
      </c>
      <c r="E273" s="9" t="s">
        <v>364</v>
      </c>
      <c r="F273" s="9" t="s">
        <v>16</v>
      </c>
      <c r="G273" s="8" t="s">
        <v>26</v>
      </c>
      <c r="H273" s="10"/>
      <c r="I273" s="9" t="s">
        <v>433</v>
      </c>
      <c r="J273" s="9"/>
      <c r="K273" s="9" t="s">
        <v>83</v>
      </c>
    </row>
    <row r="274" spans="1:11" ht="18" customHeight="1">
      <c r="A274" s="68" t="s">
        <v>434</v>
      </c>
      <c r="B274" s="63" t="s">
        <v>435</v>
      </c>
      <c r="C274" s="7" t="s">
        <v>436</v>
      </c>
      <c r="D274" s="8" t="s">
        <v>147</v>
      </c>
      <c r="E274" s="9" t="s">
        <v>364</v>
      </c>
      <c r="F274" s="9" t="s">
        <v>16</v>
      </c>
      <c r="G274" s="8" t="s">
        <v>26</v>
      </c>
      <c r="H274" s="10"/>
      <c r="I274" s="9" t="s">
        <v>433</v>
      </c>
      <c r="J274" s="9"/>
      <c r="K274" s="9" t="s">
        <v>83</v>
      </c>
    </row>
    <row r="275" spans="1:11" ht="18" customHeight="1">
      <c r="A275" s="68" t="s">
        <v>437</v>
      </c>
      <c r="B275" s="63" t="s">
        <v>438</v>
      </c>
      <c r="C275" s="7" t="s">
        <v>439</v>
      </c>
      <c r="D275" s="8" t="s">
        <v>170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256</v>
      </c>
      <c r="K275" s="9" t="s">
        <v>29</v>
      </c>
    </row>
    <row r="276" spans="1:11" ht="18" customHeight="1">
      <c r="A276" s="68" t="s">
        <v>440</v>
      </c>
      <c r="B276" s="63" t="s">
        <v>441</v>
      </c>
      <c r="C276" s="7" t="s">
        <v>442</v>
      </c>
      <c r="D276" s="8" t="s">
        <v>170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256</v>
      </c>
      <c r="K276" s="9" t="s">
        <v>83</v>
      </c>
    </row>
    <row r="277" spans="1:11" ht="18" customHeight="1">
      <c r="A277" s="68" t="s">
        <v>443</v>
      </c>
      <c r="B277" s="63" t="s">
        <v>444</v>
      </c>
      <c r="C277" s="7" t="s">
        <v>445</v>
      </c>
      <c r="D277" s="8" t="s">
        <v>170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256</v>
      </c>
      <c r="K277" s="9" t="s">
        <v>83</v>
      </c>
    </row>
    <row r="278" spans="1:11" ht="18" customHeight="1">
      <c r="A278" s="68" t="s">
        <v>446</v>
      </c>
      <c r="B278" s="63" t="s">
        <v>447</v>
      </c>
      <c r="C278" s="7" t="s">
        <v>448</v>
      </c>
      <c r="D278" s="8" t="s">
        <v>311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 t="s">
        <v>256</v>
      </c>
      <c r="K278" s="9" t="s">
        <v>29</v>
      </c>
    </row>
    <row r="279" spans="1:11" ht="18" customHeight="1">
      <c r="A279" s="68" t="s">
        <v>449</v>
      </c>
      <c r="B279" s="63" t="s">
        <v>450</v>
      </c>
      <c r="C279" s="7" t="s">
        <v>451</v>
      </c>
      <c r="D279" s="8" t="s">
        <v>311</v>
      </c>
      <c r="E279" s="9" t="s">
        <v>47</v>
      </c>
      <c r="F279" s="9" t="s">
        <v>16</v>
      </c>
      <c r="G279" s="8" t="s">
        <v>26</v>
      </c>
      <c r="H279" s="10" t="s">
        <v>27</v>
      </c>
      <c r="I279" s="9"/>
      <c r="J279" s="9" t="s">
        <v>256</v>
      </c>
      <c r="K279" s="9" t="s">
        <v>29</v>
      </c>
    </row>
    <row r="280" spans="1:11" ht="18" customHeight="1">
      <c r="A280" s="68" t="s">
        <v>452</v>
      </c>
      <c r="B280" s="63" t="s">
        <v>453</v>
      </c>
      <c r="C280" s="7" t="s">
        <v>454</v>
      </c>
      <c r="D280" s="8" t="s">
        <v>311</v>
      </c>
      <c r="E280" s="9" t="s">
        <v>47</v>
      </c>
      <c r="F280" s="9" t="s">
        <v>16</v>
      </c>
      <c r="G280" s="8" t="s">
        <v>26</v>
      </c>
      <c r="H280" s="10" t="s">
        <v>361</v>
      </c>
      <c r="I280" s="9"/>
      <c r="J280" s="9" t="s">
        <v>256</v>
      </c>
      <c r="K280" s="9" t="s">
        <v>29</v>
      </c>
    </row>
    <row r="281" spans="1:11" ht="18" customHeight="1">
      <c r="A281" s="68" t="s">
        <v>455</v>
      </c>
      <c r="B281" s="63" t="s">
        <v>456</v>
      </c>
      <c r="C281" s="7" t="s">
        <v>457</v>
      </c>
      <c r="D281" s="8" t="s">
        <v>311</v>
      </c>
      <c r="E281" s="9" t="s">
        <v>47</v>
      </c>
      <c r="F281" s="9" t="s">
        <v>16</v>
      </c>
      <c r="G281" s="8" t="s">
        <v>26</v>
      </c>
      <c r="H281" s="10" t="s">
        <v>27</v>
      </c>
      <c r="I281" s="9"/>
      <c r="J281" s="9" t="s">
        <v>256</v>
      </c>
      <c r="K281" s="9" t="s">
        <v>29</v>
      </c>
    </row>
    <row r="282" spans="1:11" ht="18" customHeight="1">
      <c r="A282" s="68" t="s">
        <v>458</v>
      </c>
      <c r="B282" s="63" t="s">
        <v>459</v>
      </c>
      <c r="C282" s="7" t="s">
        <v>460</v>
      </c>
      <c r="D282" s="8" t="s">
        <v>311</v>
      </c>
      <c r="E282" s="9" t="s">
        <v>15</v>
      </c>
      <c r="F282" s="9" t="s">
        <v>16</v>
      </c>
      <c r="G282" s="8" t="s">
        <v>26</v>
      </c>
      <c r="H282" s="10"/>
      <c r="I282" s="85"/>
      <c r="J282" s="9"/>
      <c r="K282" s="9" t="s">
        <v>29</v>
      </c>
    </row>
    <row r="283" spans="1:11" ht="18" customHeight="1">
      <c r="A283" s="68" t="s">
        <v>461</v>
      </c>
      <c r="B283" s="63" t="s">
        <v>462</v>
      </c>
      <c r="C283" s="7" t="s">
        <v>463</v>
      </c>
      <c r="D283" s="8" t="s">
        <v>419</v>
      </c>
      <c r="E283" s="9" t="s">
        <v>47</v>
      </c>
      <c r="F283" s="9" t="s">
        <v>16</v>
      </c>
      <c r="G283" s="8" t="s">
        <v>26</v>
      </c>
      <c r="H283" s="10" t="s">
        <v>27</v>
      </c>
      <c r="I283" s="9"/>
      <c r="J283" s="9" t="s">
        <v>256</v>
      </c>
      <c r="K283" s="9" t="s">
        <v>29</v>
      </c>
    </row>
    <row r="284" spans="1:11" ht="18" customHeight="1">
      <c r="A284" s="68" t="s">
        <v>464</v>
      </c>
      <c r="B284" s="63" t="s">
        <v>465</v>
      </c>
      <c r="C284" s="7" t="s">
        <v>466</v>
      </c>
      <c r="D284" s="8" t="s">
        <v>419</v>
      </c>
      <c r="E284" s="9" t="s">
        <v>15</v>
      </c>
      <c r="F284" s="9" t="s">
        <v>16</v>
      </c>
      <c r="G284" s="8" t="s">
        <v>182</v>
      </c>
      <c r="H284" s="10"/>
      <c r="I284" s="9"/>
      <c r="J284" s="9"/>
      <c r="K284" s="9" t="s">
        <v>29</v>
      </c>
    </row>
    <row r="285" spans="1:11" ht="18" customHeight="1">
      <c r="A285" s="68" t="s">
        <v>467</v>
      </c>
      <c r="B285" s="63" t="s">
        <v>468</v>
      </c>
      <c r="C285" s="7" t="s">
        <v>469</v>
      </c>
      <c r="D285" s="8" t="s">
        <v>419</v>
      </c>
      <c r="E285" s="9" t="s">
        <v>47</v>
      </c>
      <c r="F285" s="9" t="s">
        <v>16</v>
      </c>
      <c r="G285" s="8" t="s">
        <v>26</v>
      </c>
      <c r="H285" s="10" t="s">
        <v>298</v>
      </c>
      <c r="I285" s="9"/>
      <c r="J285" s="9" t="s">
        <v>256</v>
      </c>
      <c r="K285" s="9" t="s">
        <v>29</v>
      </c>
    </row>
    <row r="286" spans="1:11" ht="18" customHeight="1">
      <c r="A286" s="68" t="s">
        <v>470</v>
      </c>
      <c r="B286" s="63" t="s">
        <v>471</v>
      </c>
      <c r="C286" s="7" t="s">
        <v>472</v>
      </c>
      <c r="D286" s="8" t="s">
        <v>419</v>
      </c>
      <c r="E286" s="9" t="s">
        <v>47</v>
      </c>
      <c r="F286" s="9" t="s">
        <v>16</v>
      </c>
      <c r="G286" s="8" t="s">
        <v>26</v>
      </c>
      <c r="H286" s="10" t="s">
        <v>298</v>
      </c>
      <c r="I286" s="9"/>
      <c r="J286" s="9" t="s">
        <v>256</v>
      </c>
      <c r="K286" s="9" t="s">
        <v>29</v>
      </c>
    </row>
    <row r="287" spans="1:11" ht="18" customHeight="1">
      <c r="A287" s="68" t="s">
        <v>473</v>
      </c>
      <c r="B287" s="63" t="s">
        <v>474</v>
      </c>
      <c r="C287" s="7" t="s">
        <v>475</v>
      </c>
      <c r="D287" s="8" t="s">
        <v>419</v>
      </c>
      <c r="E287" s="9" t="s">
        <v>47</v>
      </c>
      <c r="F287" s="9" t="s">
        <v>16</v>
      </c>
      <c r="G287" s="8" t="s">
        <v>26</v>
      </c>
      <c r="H287" s="10" t="s">
        <v>398</v>
      </c>
      <c r="I287" s="9"/>
      <c r="J287" s="9" t="s">
        <v>256</v>
      </c>
      <c r="K287" s="9" t="s">
        <v>29</v>
      </c>
    </row>
    <row r="288" spans="1:11" ht="18" customHeight="1">
      <c r="A288" s="68" t="s">
        <v>476</v>
      </c>
      <c r="B288" s="63" t="s">
        <v>477</v>
      </c>
      <c r="C288" s="7" t="s">
        <v>478</v>
      </c>
      <c r="D288" s="8" t="s">
        <v>419</v>
      </c>
      <c r="E288" s="9" t="s">
        <v>47</v>
      </c>
      <c r="F288" s="9" t="s">
        <v>16</v>
      </c>
      <c r="G288" s="8" t="s">
        <v>26</v>
      </c>
      <c r="H288" s="10" t="s">
        <v>298</v>
      </c>
      <c r="I288" s="9"/>
      <c r="J288" s="9" t="s">
        <v>256</v>
      </c>
      <c r="K288" s="9" t="s">
        <v>29</v>
      </c>
    </row>
    <row r="289" spans="1:11" ht="18" customHeight="1">
      <c r="A289" s="68" t="s">
        <v>479</v>
      </c>
      <c r="B289" s="63" t="s">
        <v>480</v>
      </c>
      <c r="C289" s="7" t="s">
        <v>481</v>
      </c>
      <c r="D289" s="8" t="s">
        <v>419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256</v>
      </c>
      <c r="K289" s="9" t="s">
        <v>29</v>
      </c>
    </row>
    <row r="290" spans="1:11" ht="18" customHeight="1">
      <c r="A290" s="68" t="s">
        <v>482</v>
      </c>
      <c r="B290" s="63" t="s">
        <v>483</v>
      </c>
      <c r="C290" s="7" t="s">
        <v>484</v>
      </c>
      <c r="D290" s="8" t="s">
        <v>419</v>
      </c>
      <c r="E290" s="9" t="s">
        <v>47</v>
      </c>
      <c r="F290" s="9" t="s">
        <v>16</v>
      </c>
      <c r="G290" s="8" t="s">
        <v>26</v>
      </c>
      <c r="H290" s="10" t="s">
        <v>27</v>
      </c>
      <c r="I290" s="9"/>
      <c r="J290" s="9" t="s">
        <v>256</v>
      </c>
      <c r="K290" s="9" t="s">
        <v>29</v>
      </c>
    </row>
    <row r="291" spans="1:11" ht="18" customHeight="1">
      <c r="A291" s="68" t="s">
        <v>485</v>
      </c>
      <c r="B291" s="63" t="s">
        <v>486</v>
      </c>
      <c r="C291" s="7" t="s">
        <v>487</v>
      </c>
      <c r="D291" s="8" t="s">
        <v>419</v>
      </c>
      <c r="E291" s="9" t="s">
        <v>15</v>
      </c>
      <c r="F291" s="9" t="s">
        <v>16</v>
      </c>
      <c r="G291" s="8" t="s">
        <v>182</v>
      </c>
      <c r="H291" s="10" t="s">
        <v>398</v>
      </c>
      <c r="I291" s="9"/>
      <c r="J291" s="9"/>
      <c r="K291" s="9" t="s">
        <v>29</v>
      </c>
    </row>
    <row r="292" spans="1:11" ht="18" customHeight="1">
      <c r="A292" s="68" t="s">
        <v>488</v>
      </c>
      <c r="B292" s="63" t="s">
        <v>489</v>
      </c>
      <c r="C292" s="7" t="s">
        <v>490</v>
      </c>
      <c r="D292" s="8" t="s">
        <v>419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256</v>
      </c>
      <c r="K292" s="9" t="s">
        <v>29</v>
      </c>
    </row>
    <row r="293" spans="1:11" ht="18" customHeight="1">
      <c r="A293" s="68" t="s">
        <v>491</v>
      </c>
      <c r="B293" s="63" t="s">
        <v>492</v>
      </c>
      <c r="C293" s="7" t="s">
        <v>493</v>
      </c>
      <c r="D293" s="8" t="s">
        <v>419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256</v>
      </c>
      <c r="K293" s="9" t="s">
        <v>29</v>
      </c>
    </row>
    <row r="294" spans="1:11" ht="18" customHeight="1">
      <c r="A294" s="68" t="s">
        <v>494</v>
      </c>
      <c r="B294" s="63" t="s">
        <v>495</v>
      </c>
      <c r="C294" s="7" t="s">
        <v>496</v>
      </c>
      <c r="D294" s="8" t="s">
        <v>419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256</v>
      </c>
      <c r="K294" s="9" t="s">
        <v>29</v>
      </c>
    </row>
    <row r="295" spans="1:11" ht="18" customHeight="1">
      <c r="A295" s="68" t="s">
        <v>497</v>
      </c>
      <c r="B295" s="63" t="s">
        <v>498</v>
      </c>
      <c r="C295" s="7" t="s">
        <v>499</v>
      </c>
      <c r="D295" s="8" t="s">
        <v>419</v>
      </c>
      <c r="E295" s="9" t="s">
        <v>47</v>
      </c>
      <c r="F295" s="9" t="s">
        <v>16</v>
      </c>
      <c r="G295" s="8" t="s">
        <v>26</v>
      </c>
      <c r="H295" s="10" t="s">
        <v>27</v>
      </c>
      <c r="I295" s="9"/>
      <c r="J295" s="9" t="s">
        <v>256</v>
      </c>
      <c r="K295" s="9" t="s">
        <v>29</v>
      </c>
    </row>
    <row r="296" spans="1:11" ht="18" customHeight="1">
      <c r="A296" s="68" t="s">
        <v>500</v>
      </c>
      <c r="B296" s="63" t="s">
        <v>501</v>
      </c>
      <c r="C296" s="7" t="s">
        <v>502</v>
      </c>
      <c r="D296" s="8" t="s">
        <v>419</v>
      </c>
      <c r="E296" s="9" t="s">
        <v>47</v>
      </c>
      <c r="F296" s="9" t="s">
        <v>16</v>
      </c>
      <c r="G296" s="8" t="s">
        <v>26</v>
      </c>
      <c r="H296" s="10" t="s">
        <v>298</v>
      </c>
      <c r="I296" s="9"/>
      <c r="J296" s="9" t="s">
        <v>256</v>
      </c>
      <c r="K296" s="9" t="s">
        <v>29</v>
      </c>
    </row>
    <row r="297" spans="1:11" ht="18" customHeight="1">
      <c r="A297" s="68" t="s">
        <v>503</v>
      </c>
      <c r="B297" s="63" t="s">
        <v>504</v>
      </c>
      <c r="C297" s="7" t="s">
        <v>505</v>
      </c>
      <c r="D297" s="8" t="s">
        <v>419</v>
      </c>
      <c r="E297" s="9" t="s">
        <v>47</v>
      </c>
      <c r="F297" s="9" t="s">
        <v>16</v>
      </c>
      <c r="G297" s="8" t="s">
        <v>26</v>
      </c>
      <c r="H297" s="10" t="s">
        <v>27</v>
      </c>
      <c r="I297" s="9"/>
      <c r="J297" s="9" t="s">
        <v>256</v>
      </c>
      <c r="K297" s="9" t="s">
        <v>29</v>
      </c>
    </row>
    <row r="298" spans="1:11" ht="18" customHeight="1">
      <c r="A298" s="68" t="s">
        <v>506</v>
      </c>
      <c r="B298" s="63" t="s">
        <v>507</v>
      </c>
      <c r="C298" s="7" t="s">
        <v>508</v>
      </c>
      <c r="D298" s="8" t="s">
        <v>147</v>
      </c>
      <c r="E298" s="9" t="s">
        <v>15</v>
      </c>
      <c r="F298" s="9" t="s">
        <v>16</v>
      </c>
      <c r="G298" s="8" t="s">
        <v>182</v>
      </c>
      <c r="H298" s="10"/>
      <c r="I298" s="9"/>
      <c r="J298" s="9"/>
      <c r="K298" s="9" t="s">
        <v>29</v>
      </c>
    </row>
    <row r="299" spans="1:11" ht="18" customHeight="1">
      <c r="A299" s="68" t="s">
        <v>509</v>
      </c>
      <c r="B299" s="63" t="s">
        <v>510</v>
      </c>
      <c r="C299" s="7" t="s">
        <v>511</v>
      </c>
      <c r="D299" s="8" t="s">
        <v>147</v>
      </c>
      <c r="E299" s="9" t="s">
        <v>15</v>
      </c>
      <c r="F299" s="9" t="s">
        <v>16</v>
      </c>
      <c r="G299" s="8" t="s">
        <v>182</v>
      </c>
      <c r="H299" s="10"/>
      <c r="I299" s="9"/>
      <c r="J299" s="9"/>
      <c r="K299" s="9" t="s">
        <v>29</v>
      </c>
    </row>
    <row r="300" spans="1:11" ht="18" customHeight="1">
      <c r="A300" s="68" t="s">
        <v>512</v>
      </c>
      <c r="B300" s="63" t="s">
        <v>513</v>
      </c>
      <c r="C300" s="7" t="s">
        <v>514</v>
      </c>
      <c r="D300" s="8" t="s">
        <v>147</v>
      </c>
      <c r="E300" s="9" t="s">
        <v>15</v>
      </c>
      <c r="F300" s="9" t="s">
        <v>16</v>
      </c>
      <c r="G300" s="8" t="s">
        <v>182</v>
      </c>
      <c r="H300" s="10"/>
      <c r="I300" s="9"/>
      <c r="J300" s="9"/>
      <c r="K300" s="9" t="s">
        <v>83</v>
      </c>
    </row>
    <row r="301" spans="1:11" ht="18" customHeight="1">
      <c r="A301" s="68" t="s">
        <v>515</v>
      </c>
      <c r="B301" s="63" t="s">
        <v>516</v>
      </c>
      <c r="C301" s="7" t="s">
        <v>517</v>
      </c>
      <c r="D301" s="8" t="s">
        <v>147</v>
      </c>
      <c r="E301" s="9" t="s">
        <v>15</v>
      </c>
      <c r="F301" s="9" t="s">
        <v>16</v>
      </c>
      <c r="G301" s="8" t="s">
        <v>182</v>
      </c>
      <c r="H301" s="10"/>
      <c r="I301" s="9"/>
      <c r="J301" s="9"/>
      <c r="K301" s="9" t="s">
        <v>39</v>
      </c>
    </row>
    <row r="302" spans="1:11" ht="18" customHeight="1">
      <c r="A302" s="68" t="s">
        <v>518</v>
      </c>
      <c r="B302" s="63" t="s">
        <v>519</v>
      </c>
      <c r="C302" s="7" t="s">
        <v>520</v>
      </c>
      <c r="D302" s="8" t="s">
        <v>333</v>
      </c>
      <c r="E302" s="9" t="s">
        <v>15</v>
      </c>
      <c r="F302" s="9" t="s">
        <v>16</v>
      </c>
      <c r="G302" s="8" t="s">
        <v>26</v>
      </c>
      <c r="H302" s="10"/>
      <c r="I302" s="9" t="s">
        <v>521</v>
      </c>
      <c r="J302" s="9"/>
      <c r="K302" s="9" t="s">
        <v>83</v>
      </c>
    </row>
    <row r="303" spans="1:11" ht="18" hidden="1" customHeight="1">
      <c r="A303" s="68" t="s">
        <v>522</v>
      </c>
      <c r="B303" s="63" t="s">
        <v>523</v>
      </c>
      <c r="C303" s="7" t="s">
        <v>524</v>
      </c>
      <c r="D303" s="8" t="s">
        <v>525</v>
      </c>
      <c r="E303" s="9" t="s">
        <v>15</v>
      </c>
      <c r="F303" s="9" t="s">
        <v>16</v>
      </c>
      <c r="G303" s="8" t="s">
        <v>98</v>
      </c>
      <c r="H303" s="10"/>
      <c r="I303" s="9"/>
      <c r="J303" s="9"/>
      <c r="K303" s="9" t="s">
        <v>39</v>
      </c>
    </row>
    <row r="304" spans="1:11" ht="18" hidden="1" customHeight="1">
      <c r="A304" s="68" t="s">
        <v>526</v>
      </c>
      <c r="B304" s="63" t="s">
        <v>527</v>
      </c>
      <c r="C304" s="7" t="s">
        <v>528</v>
      </c>
      <c r="D304" s="8" t="s">
        <v>525</v>
      </c>
      <c r="E304" s="9" t="s">
        <v>15</v>
      </c>
      <c r="F304" s="9" t="s">
        <v>16</v>
      </c>
      <c r="G304" s="8" t="s">
        <v>98</v>
      </c>
      <c r="H304" s="10"/>
      <c r="I304" s="9"/>
      <c r="J304" s="9"/>
      <c r="K304" s="9" t="s">
        <v>39</v>
      </c>
    </row>
    <row r="305" spans="1:11" ht="18" hidden="1" customHeight="1">
      <c r="A305" s="68" t="s">
        <v>529</v>
      </c>
      <c r="B305" s="63" t="s">
        <v>530</v>
      </c>
      <c r="C305" s="7" t="s">
        <v>531</v>
      </c>
      <c r="D305" s="8" t="s">
        <v>525</v>
      </c>
      <c r="E305" s="9" t="s">
        <v>15</v>
      </c>
      <c r="F305" s="9" t="s">
        <v>16</v>
      </c>
      <c r="G305" s="8" t="s">
        <v>98</v>
      </c>
      <c r="H305" s="10"/>
      <c r="I305" s="9"/>
      <c r="J305" s="9"/>
      <c r="K305" s="9" t="s">
        <v>39</v>
      </c>
    </row>
    <row r="306" spans="1:11" ht="36.75" customHeight="1">
      <c r="A306" s="68" t="s">
        <v>532</v>
      </c>
      <c r="B306" s="63" t="s">
        <v>533</v>
      </c>
      <c r="C306" s="86" t="s">
        <v>534</v>
      </c>
      <c r="D306" s="8" t="s">
        <v>525</v>
      </c>
      <c r="E306" s="9" t="s">
        <v>47</v>
      </c>
      <c r="F306" s="9" t="s">
        <v>16</v>
      </c>
      <c r="G306" s="8" t="s">
        <v>26</v>
      </c>
      <c r="H306" s="10"/>
      <c r="I306" s="85" t="s">
        <v>365</v>
      </c>
      <c r="J306" s="9" t="s">
        <v>256</v>
      </c>
      <c r="K306" s="9" t="s">
        <v>39</v>
      </c>
    </row>
    <row r="307" spans="1:11" ht="18" customHeight="1">
      <c r="A307" s="68">
        <v>852</v>
      </c>
      <c r="B307" s="63">
        <v>32824863</v>
      </c>
      <c r="C307" s="7" t="s">
        <v>535</v>
      </c>
      <c r="D307" s="8" t="s">
        <v>411</v>
      </c>
      <c r="E307" s="9" t="s">
        <v>47</v>
      </c>
      <c r="F307" s="9" t="s">
        <v>16</v>
      </c>
      <c r="G307" s="8" t="s">
        <v>26</v>
      </c>
      <c r="H307" s="10" t="s">
        <v>298</v>
      </c>
      <c r="I307" s="9"/>
      <c r="J307" s="9" t="s">
        <v>256</v>
      </c>
      <c r="K307" s="9" t="s">
        <v>29</v>
      </c>
    </row>
    <row r="308" spans="1:11" ht="18" customHeight="1">
      <c r="A308" s="68">
        <v>866</v>
      </c>
      <c r="B308" s="63">
        <v>32825358</v>
      </c>
      <c r="C308" s="7" t="s">
        <v>536</v>
      </c>
      <c r="D308" s="8" t="s">
        <v>147</v>
      </c>
      <c r="E308" s="9" t="s">
        <v>15</v>
      </c>
      <c r="F308" s="9" t="s">
        <v>16</v>
      </c>
      <c r="G308" s="8" t="s">
        <v>182</v>
      </c>
      <c r="H308" s="10"/>
      <c r="I308" s="9"/>
      <c r="J308" s="9"/>
      <c r="K308" s="9" t="s">
        <v>29</v>
      </c>
    </row>
    <row r="309" spans="1:11" ht="18" customHeight="1">
      <c r="A309" s="68">
        <v>867</v>
      </c>
      <c r="B309" s="63">
        <v>32825368</v>
      </c>
      <c r="C309" s="7" t="s">
        <v>537</v>
      </c>
      <c r="D309" s="8" t="s">
        <v>147</v>
      </c>
      <c r="E309" s="9" t="s">
        <v>15</v>
      </c>
      <c r="F309" s="9" t="s">
        <v>16</v>
      </c>
      <c r="G309" s="8" t="s">
        <v>182</v>
      </c>
      <c r="H309" s="10"/>
      <c r="I309" s="9"/>
      <c r="J309" s="9"/>
      <c r="K309" s="9" t="s">
        <v>83</v>
      </c>
    </row>
    <row r="310" spans="1:11" ht="18" hidden="1" customHeight="1">
      <c r="A310" s="68">
        <v>869</v>
      </c>
      <c r="B310" s="63">
        <v>32825361</v>
      </c>
      <c r="C310" s="7" t="s">
        <v>538</v>
      </c>
      <c r="D310" s="8" t="s">
        <v>525</v>
      </c>
      <c r="E310" s="9" t="s">
        <v>15</v>
      </c>
      <c r="F310" s="9" t="s">
        <v>16</v>
      </c>
      <c r="G310" s="8" t="s">
        <v>50</v>
      </c>
      <c r="H310" s="10"/>
      <c r="I310" s="9"/>
      <c r="J310" s="9"/>
      <c r="K310" s="9"/>
    </row>
    <row r="311" spans="1:11" ht="18" hidden="1" customHeight="1">
      <c r="A311" s="68">
        <v>870</v>
      </c>
      <c r="B311" s="63">
        <v>32825385</v>
      </c>
      <c r="C311" s="7" t="s">
        <v>539</v>
      </c>
      <c r="D311" s="8" t="s">
        <v>525</v>
      </c>
      <c r="E311" s="9" t="s">
        <v>15</v>
      </c>
      <c r="F311" s="9" t="s">
        <v>16</v>
      </c>
      <c r="G311" s="8" t="s">
        <v>50</v>
      </c>
      <c r="H311" s="10"/>
      <c r="I311" s="9"/>
      <c r="J311" s="9"/>
      <c r="K311" s="9"/>
    </row>
    <row r="312" spans="1:11" ht="18" hidden="1" customHeight="1">
      <c r="A312" s="68">
        <v>871</v>
      </c>
      <c r="B312" s="63">
        <v>32825434</v>
      </c>
      <c r="C312" s="7" t="s">
        <v>540</v>
      </c>
      <c r="D312" s="8" t="s">
        <v>525</v>
      </c>
      <c r="E312" s="9" t="s">
        <v>15</v>
      </c>
      <c r="F312" s="9" t="s">
        <v>16</v>
      </c>
      <c r="G312" s="8" t="s">
        <v>50</v>
      </c>
      <c r="H312" s="10"/>
      <c r="I312" s="9"/>
      <c r="J312" s="9"/>
      <c r="K312" s="9"/>
    </row>
    <row r="313" spans="1:11" ht="18" customHeight="1">
      <c r="A313" s="68">
        <v>875</v>
      </c>
      <c r="B313" s="63">
        <v>32825488</v>
      </c>
      <c r="C313" s="7" t="s">
        <v>541</v>
      </c>
      <c r="D313" s="8" t="s">
        <v>311</v>
      </c>
      <c r="E313" s="9" t="s">
        <v>47</v>
      </c>
      <c r="F313" s="9" t="s">
        <v>16</v>
      </c>
      <c r="G313" s="8" t="s">
        <v>26</v>
      </c>
      <c r="H313" s="10" t="s">
        <v>298</v>
      </c>
      <c r="I313" s="9"/>
      <c r="J313" s="9" t="s">
        <v>256</v>
      </c>
      <c r="K313" s="9" t="s">
        <v>29</v>
      </c>
    </row>
    <row r="314" spans="1:11" ht="18" hidden="1" customHeight="1">
      <c r="A314" s="68">
        <v>876</v>
      </c>
      <c r="B314" s="63">
        <v>32825451</v>
      </c>
      <c r="C314" s="7" t="s">
        <v>542</v>
      </c>
      <c r="D314" s="8" t="s">
        <v>525</v>
      </c>
      <c r="E314" s="9" t="s">
        <v>15</v>
      </c>
      <c r="F314" s="9" t="s">
        <v>16</v>
      </c>
      <c r="G314" s="8" t="s">
        <v>50</v>
      </c>
      <c r="H314" s="10"/>
      <c r="I314" s="9"/>
      <c r="J314" s="9"/>
      <c r="K314" s="9"/>
    </row>
    <row r="315" spans="1:11" ht="18" hidden="1" customHeight="1">
      <c r="A315" s="68">
        <v>877</v>
      </c>
      <c r="B315" s="63">
        <v>32825594</v>
      </c>
      <c r="C315" s="7" t="s">
        <v>543</v>
      </c>
      <c r="D315" s="8" t="s">
        <v>525</v>
      </c>
      <c r="E315" s="9" t="s">
        <v>15</v>
      </c>
      <c r="F315" s="9" t="s">
        <v>16</v>
      </c>
      <c r="G315" s="8" t="s">
        <v>50</v>
      </c>
      <c r="H315" s="10"/>
      <c r="I315" s="9"/>
      <c r="J315" s="9"/>
      <c r="K315" s="9"/>
    </row>
    <row r="316" spans="1:11" ht="18" hidden="1" customHeight="1">
      <c r="A316" s="68">
        <v>878</v>
      </c>
      <c r="B316" s="63">
        <v>32825599</v>
      </c>
      <c r="C316" s="7" t="s">
        <v>544</v>
      </c>
      <c r="D316" s="8" t="s">
        <v>525</v>
      </c>
      <c r="E316" s="9" t="s">
        <v>15</v>
      </c>
      <c r="F316" s="9" t="s">
        <v>16</v>
      </c>
      <c r="G316" s="8" t="s">
        <v>50</v>
      </c>
      <c r="H316" s="10"/>
      <c r="I316" s="9"/>
      <c r="J316" s="9"/>
      <c r="K316" s="9"/>
    </row>
    <row r="317" spans="1:11" ht="18" customHeight="1">
      <c r="A317" s="68">
        <v>879</v>
      </c>
      <c r="B317" s="63">
        <v>32825631</v>
      </c>
      <c r="C317" s="7" t="s">
        <v>545</v>
      </c>
      <c r="D317" s="8" t="s">
        <v>170</v>
      </c>
      <c r="E317" s="9" t="s">
        <v>47</v>
      </c>
      <c r="F317" s="9" t="s">
        <v>16</v>
      </c>
      <c r="G317" s="8" t="s">
        <v>26</v>
      </c>
      <c r="H317" s="10" t="s">
        <v>27</v>
      </c>
      <c r="I317" s="9"/>
      <c r="J317" s="9" t="s">
        <v>256</v>
      </c>
      <c r="K317" s="9" t="s">
        <v>29</v>
      </c>
    </row>
    <row r="318" spans="1:11" ht="18" hidden="1" customHeight="1">
      <c r="A318" s="68">
        <v>880</v>
      </c>
      <c r="B318" s="63">
        <v>32825612</v>
      </c>
      <c r="C318" s="7" t="s">
        <v>546</v>
      </c>
      <c r="D318" s="8" t="s">
        <v>525</v>
      </c>
      <c r="E318" s="9" t="s">
        <v>15</v>
      </c>
      <c r="F318" s="9" t="s">
        <v>16</v>
      </c>
      <c r="G318" s="8" t="s">
        <v>50</v>
      </c>
      <c r="H318" s="10"/>
      <c r="I318" s="9"/>
      <c r="J318" s="9"/>
      <c r="K318" s="9"/>
    </row>
    <row r="319" spans="1:11" ht="18" hidden="1" customHeight="1">
      <c r="A319" s="68">
        <v>881</v>
      </c>
      <c r="B319" s="63">
        <v>32825658</v>
      </c>
      <c r="C319" s="7" t="s">
        <v>547</v>
      </c>
      <c r="D319" s="8" t="s">
        <v>525</v>
      </c>
      <c r="E319" s="9" t="s">
        <v>15</v>
      </c>
      <c r="F319" s="9" t="s">
        <v>16</v>
      </c>
      <c r="G319" s="8" t="s">
        <v>50</v>
      </c>
      <c r="H319" s="10"/>
      <c r="I319" s="9"/>
      <c r="J319" s="9"/>
      <c r="K319" s="9"/>
    </row>
    <row r="320" spans="1:11" ht="18" hidden="1" customHeight="1">
      <c r="A320" s="68">
        <v>882</v>
      </c>
      <c r="B320" s="63">
        <v>32825968</v>
      </c>
      <c r="C320" s="7" t="s">
        <v>548</v>
      </c>
      <c r="D320" s="8" t="s">
        <v>525</v>
      </c>
      <c r="E320" s="9" t="s">
        <v>15</v>
      </c>
      <c r="F320" s="9" t="s">
        <v>16</v>
      </c>
      <c r="G320" s="8" t="s">
        <v>50</v>
      </c>
      <c r="H320" s="10"/>
      <c r="I320" s="9"/>
      <c r="J320" s="9"/>
      <c r="K320" s="9"/>
    </row>
    <row r="321" spans="1:11" ht="18" hidden="1" customHeight="1">
      <c r="A321" s="68">
        <v>883</v>
      </c>
      <c r="B321" s="63">
        <v>32825978</v>
      </c>
      <c r="C321" s="7" t="s">
        <v>549</v>
      </c>
      <c r="D321" s="8" t="s">
        <v>525</v>
      </c>
      <c r="E321" s="9" t="s">
        <v>15</v>
      </c>
      <c r="F321" s="9" t="s">
        <v>16</v>
      </c>
      <c r="G321" s="8" t="s">
        <v>50</v>
      </c>
      <c r="H321" s="10"/>
      <c r="I321" s="9"/>
      <c r="J321" s="9"/>
      <c r="K321" s="9"/>
    </row>
    <row r="322" spans="1:11" ht="18" hidden="1" customHeight="1">
      <c r="A322" s="68">
        <v>884</v>
      </c>
      <c r="B322" s="63">
        <v>32825996</v>
      </c>
      <c r="C322" s="7" t="s">
        <v>550</v>
      </c>
      <c r="D322" s="8" t="s">
        <v>525</v>
      </c>
      <c r="E322" s="9" t="s">
        <v>15</v>
      </c>
      <c r="F322" s="9" t="s">
        <v>16</v>
      </c>
      <c r="G322" s="8" t="s">
        <v>50</v>
      </c>
      <c r="H322" s="10"/>
      <c r="I322" s="9"/>
      <c r="J322" s="9"/>
      <c r="K322" s="9"/>
    </row>
    <row r="323" spans="1:11" ht="18" hidden="1" customHeight="1">
      <c r="A323" s="68">
        <v>885</v>
      </c>
      <c r="B323" s="63">
        <v>32826054</v>
      </c>
      <c r="C323" s="7" t="s">
        <v>551</v>
      </c>
      <c r="D323" s="8" t="s">
        <v>525</v>
      </c>
      <c r="E323" s="9" t="s">
        <v>15</v>
      </c>
      <c r="F323" s="9" t="s">
        <v>16</v>
      </c>
      <c r="G323" s="8" t="s">
        <v>50</v>
      </c>
      <c r="H323" s="10"/>
      <c r="I323" s="9"/>
      <c r="J323" s="9"/>
      <c r="K323" s="9"/>
    </row>
    <row r="324" spans="1:11" ht="18" hidden="1" customHeight="1">
      <c r="A324" s="68">
        <v>886</v>
      </c>
      <c r="B324" s="63">
        <v>32826162</v>
      </c>
      <c r="C324" s="7" t="s">
        <v>552</v>
      </c>
      <c r="D324" s="8" t="s">
        <v>525</v>
      </c>
      <c r="E324" s="9" t="s">
        <v>15</v>
      </c>
      <c r="F324" s="9" t="s">
        <v>16</v>
      </c>
      <c r="G324" s="8" t="s">
        <v>50</v>
      </c>
      <c r="H324" s="10"/>
      <c r="I324" s="9"/>
      <c r="J324" s="9"/>
      <c r="K324" s="9"/>
    </row>
    <row r="325" spans="1:11" ht="18" hidden="1" customHeight="1">
      <c r="A325" s="68">
        <v>887</v>
      </c>
      <c r="B325" s="63">
        <v>32826217</v>
      </c>
      <c r="C325" s="7" t="s">
        <v>553</v>
      </c>
      <c r="D325" s="8" t="s">
        <v>525</v>
      </c>
      <c r="E325" s="9" t="s">
        <v>15</v>
      </c>
      <c r="F325" s="9" t="s">
        <v>16</v>
      </c>
      <c r="G325" s="8" t="s">
        <v>50</v>
      </c>
      <c r="H325" s="10"/>
      <c r="I325" s="9"/>
      <c r="J325" s="9"/>
      <c r="K325" s="9"/>
    </row>
    <row r="326" spans="1:11" ht="18" hidden="1" customHeight="1">
      <c r="A326" s="68">
        <v>888</v>
      </c>
      <c r="B326" s="63">
        <v>32826246</v>
      </c>
      <c r="C326" s="7" t="s">
        <v>554</v>
      </c>
      <c r="D326" s="8" t="s">
        <v>525</v>
      </c>
      <c r="E326" s="9" t="s">
        <v>15</v>
      </c>
      <c r="F326" s="9" t="s">
        <v>16</v>
      </c>
      <c r="G326" s="8" t="s">
        <v>50</v>
      </c>
      <c r="H326" s="10"/>
      <c r="I326" s="9"/>
      <c r="J326" s="9"/>
      <c r="K326" s="9"/>
    </row>
    <row r="327" spans="1:11" ht="18" hidden="1" customHeight="1">
      <c r="A327" s="68">
        <v>908</v>
      </c>
      <c r="B327" s="63">
        <v>32827664</v>
      </c>
      <c r="C327" s="7" t="s">
        <v>555</v>
      </c>
      <c r="D327" s="8" t="s">
        <v>525</v>
      </c>
      <c r="E327" s="9" t="s">
        <v>15</v>
      </c>
      <c r="F327" s="9" t="s">
        <v>16</v>
      </c>
      <c r="G327" s="8" t="s">
        <v>50</v>
      </c>
      <c r="H327" s="10"/>
      <c r="I327" s="9"/>
      <c r="J327" s="9"/>
      <c r="K327" s="9"/>
    </row>
    <row r="328" spans="1:11" ht="18" hidden="1" customHeight="1">
      <c r="A328" s="68">
        <v>909</v>
      </c>
      <c r="B328" s="63">
        <v>32827686</v>
      </c>
      <c r="C328" s="7" t="s">
        <v>556</v>
      </c>
      <c r="D328" s="8" t="s">
        <v>525</v>
      </c>
      <c r="E328" s="9" t="s">
        <v>15</v>
      </c>
      <c r="F328" s="9" t="s">
        <v>16</v>
      </c>
      <c r="G328" s="8" t="s">
        <v>50</v>
      </c>
      <c r="H328" s="10"/>
      <c r="I328" s="9"/>
      <c r="J328" s="9"/>
      <c r="K328" s="9"/>
    </row>
    <row r="329" spans="1:11" ht="18" hidden="1" customHeight="1">
      <c r="A329" s="68">
        <v>913</v>
      </c>
      <c r="B329" s="63">
        <v>32827700</v>
      </c>
      <c r="C329" s="7" t="s">
        <v>557</v>
      </c>
      <c r="D329" s="8" t="s">
        <v>525</v>
      </c>
      <c r="E329" s="9" t="s">
        <v>15</v>
      </c>
      <c r="F329" s="9" t="s">
        <v>16</v>
      </c>
      <c r="G329" s="8" t="s">
        <v>50</v>
      </c>
      <c r="H329" s="10"/>
      <c r="I329" s="9"/>
      <c r="J329" s="9"/>
      <c r="K329" s="9"/>
    </row>
    <row r="330" spans="1:11" ht="18" hidden="1" customHeight="1">
      <c r="A330" s="68">
        <v>914</v>
      </c>
      <c r="B330" s="63">
        <v>32827716</v>
      </c>
      <c r="C330" s="7" t="s">
        <v>558</v>
      </c>
      <c r="D330" s="8" t="s">
        <v>525</v>
      </c>
      <c r="E330" s="9" t="s">
        <v>15</v>
      </c>
      <c r="F330" s="9" t="s">
        <v>16</v>
      </c>
      <c r="G330" s="8" t="s">
        <v>50</v>
      </c>
      <c r="H330" s="10"/>
      <c r="I330" s="9"/>
      <c r="J330" s="9"/>
      <c r="K330" s="9"/>
    </row>
    <row r="331" spans="1:11" ht="18" hidden="1" customHeight="1">
      <c r="A331" s="68">
        <v>915</v>
      </c>
      <c r="B331" s="63">
        <v>32827826</v>
      </c>
      <c r="C331" s="7" t="s">
        <v>559</v>
      </c>
      <c r="D331" s="8" t="s">
        <v>525</v>
      </c>
      <c r="E331" s="9" t="s">
        <v>15</v>
      </c>
      <c r="F331" s="9" t="s">
        <v>16</v>
      </c>
      <c r="G331" s="8" t="s">
        <v>50</v>
      </c>
      <c r="H331" s="10"/>
      <c r="I331" s="9"/>
      <c r="J331" s="9"/>
      <c r="K331" s="9"/>
    </row>
    <row r="332" spans="1:11" ht="18" hidden="1" customHeight="1">
      <c r="A332" s="68">
        <v>916</v>
      </c>
      <c r="B332" s="63">
        <v>32828287</v>
      </c>
      <c r="C332" s="7" t="s">
        <v>560</v>
      </c>
      <c r="D332" s="8" t="s">
        <v>411</v>
      </c>
      <c r="E332" s="9" t="s">
        <v>15</v>
      </c>
      <c r="F332" s="9" t="s">
        <v>16</v>
      </c>
      <c r="G332" s="8" t="s">
        <v>255</v>
      </c>
      <c r="H332" s="10"/>
      <c r="I332" s="9"/>
      <c r="J332" s="9"/>
      <c r="K332" s="9"/>
    </row>
    <row r="333" spans="1:11" ht="18" hidden="1" customHeight="1">
      <c r="A333" s="68">
        <v>917</v>
      </c>
      <c r="B333" s="63">
        <v>32828299</v>
      </c>
      <c r="C333" s="7" t="s">
        <v>561</v>
      </c>
      <c r="D333" s="8" t="s">
        <v>411</v>
      </c>
      <c r="E333" s="9" t="s">
        <v>15</v>
      </c>
      <c r="F333" s="9" t="s">
        <v>16</v>
      </c>
      <c r="G333" s="8" t="s">
        <v>255</v>
      </c>
      <c r="H333" s="10"/>
      <c r="I333" s="9"/>
      <c r="J333" s="9"/>
      <c r="K333" s="9"/>
    </row>
    <row r="334" spans="1:11" ht="18" hidden="1" customHeight="1">
      <c r="A334" s="68">
        <v>918</v>
      </c>
      <c r="B334" s="63">
        <v>32828375</v>
      </c>
      <c r="C334" s="7" t="s">
        <v>562</v>
      </c>
      <c r="D334" s="8" t="s">
        <v>411</v>
      </c>
      <c r="E334" s="9" t="s">
        <v>47</v>
      </c>
      <c r="F334" s="9" t="s">
        <v>16</v>
      </c>
      <c r="G334" s="8" t="s">
        <v>255</v>
      </c>
      <c r="H334" s="10"/>
      <c r="I334" s="9"/>
      <c r="J334" s="9" t="s">
        <v>256</v>
      </c>
      <c r="K334" s="9"/>
    </row>
    <row r="335" spans="1:11" ht="18" hidden="1" customHeight="1">
      <c r="A335" s="68">
        <v>919</v>
      </c>
      <c r="B335" s="63">
        <v>32828382</v>
      </c>
      <c r="C335" s="7" t="s">
        <v>563</v>
      </c>
      <c r="D335" s="8" t="s">
        <v>411</v>
      </c>
      <c r="E335" s="9" t="s">
        <v>47</v>
      </c>
      <c r="F335" s="9" t="s">
        <v>16</v>
      </c>
      <c r="G335" s="8" t="s">
        <v>255</v>
      </c>
      <c r="H335" s="10"/>
      <c r="I335" s="9"/>
      <c r="J335" s="9" t="s">
        <v>256</v>
      </c>
      <c r="K335" s="9"/>
    </row>
    <row r="336" spans="1:11" ht="18" hidden="1" customHeight="1">
      <c r="A336" s="68">
        <v>920</v>
      </c>
      <c r="B336" s="63">
        <v>32828383</v>
      </c>
      <c r="C336" s="7" t="s">
        <v>564</v>
      </c>
      <c r="D336" s="8" t="s">
        <v>411</v>
      </c>
      <c r="E336" s="9" t="s">
        <v>15</v>
      </c>
      <c r="F336" s="9" t="s">
        <v>16</v>
      </c>
      <c r="G336" s="8" t="s">
        <v>255</v>
      </c>
      <c r="H336" s="10"/>
      <c r="I336" s="9"/>
      <c r="J336" s="9"/>
      <c r="K336" s="9"/>
    </row>
    <row r="337" spans="1:11" ht="18" customHeight="1">
      <c r="A337" s="68">
        <v>921</v>
      </c>
      <c r="B337" s="63">
        <v>32828385</v>
      </c>
      <c r="C337" s="7" t="s">
        <v>565</v>
      </c>
      <c r="D337" s="8" t="s">
        <v>311</v>
      </c>
      <c r="E337" s="9" t="s">
        <v>47</v>
      </c>
      <c r="F337" s="9" t="s">
        <v>16</v>
      </c>
      <c r="G337" s="8" t="s">
        <v>171</v>
      </c>
      <c r="H337" s="10"/>
      <c r="I337" s="9"/>
      <c r="J337" s="9" t="s">
        <v>256</v>
      </c>
      <c r="K337" s="9" t="s">
        <v>39</v>
      </c>
    </row>
    <row r="338" spans="1:11" ht="34.5" hidden="1" customHeight="1">
      <c r="A338" s="68">
        <v>922</v>
      </c>
      <c r="B338" s="63">
        <v>32828386</v>
      </c>
      <c r="C338" s="86" t="s">
        <v>566</v>
      </c>
      <c r="D338" s="8" t="s">
        <v>411</v>
      </c>
      <c r="E338" s="9" t="s">
        <v>15</v>
      </c>
      <c r="F338" s="9" t="s">
        <v>16</v>
      </c>
      <c r="G338" s="8" t="s">
        <v>255</v>
      </c>
      <c r="H338" s="10"/>
      <c r="I338" s="9" t="s">
        <v>365</v>
      </c>
      <c r="J338" s="9"/>
      <c r="K338" s="9" t="s">
        <v>39</v>
      </c>
    </row>
    <row r="339" spans="1:11" ht="18" hidden="1" customHeight="1">
      <c r="A339" s="68">
        <v>923</v>
      </c>
      <c r="B339" s="63">
        <v>32828395</v>
      </c>
      <c r="C339" s="7" t="s">
        <v>567</v>
      </c>
      <c r="D339" s="8" t="s">
        <v>411</v>
      </c>
      <c r="E339" s="9" t="s">
        <v>47</v>
      </c>
      <c r="F339" s="9" t="s">
        <v>16</v>
      </c>
      <c r="G339" s="8" t="s">
        <v>255</v>
      </c>
      <c r="H339" s="10"/>
      <c r="I339" s="9"/>
      <c r="J339" s="9" t="s">
        <v>256</v>
      </c>
      <c r="K339" s="9"/>
    </row>
    <row r="340" spans="1:11" ht="18" hidden="1" customHeight="1">
      <c r="A340" s="68">
        <v>924</v>
      </c>
      <c r="B340" s="63">
        <v>32828415</v>
      </c>
      <c r="C340" s="7" t="s">
        <v>568</v>
      </c>
      <c r="D340" s="8" t="s">
        <v>411</v>
      </c>
      <c r="E340" s="9" t="s">
        <v>15</v>
      </c>
      <c r="F340" s="9" t="s">
        <v>16</v>
      </c>
      <c r="G340" s="8" t="s">
        <v>255</v>
      </c>
      <c r="H340" s="10"/>
      <c r="I340" s="9"/>
      <c r="J340" s="9"/>
      <c r="K340" s="9"/>
    </row>
    <row r="341" spans="1:11" ht="18" customHeight="1">
      <c r="A341" s="68">
        <v>925</v>
      </c>
      <c r="B341" s="63">
        <v>32829036</v>
      </c>
      <c r="C341" s="7" t="s">
        <v>569</v>
      </c>
      <c r="D341" s="8" t="s">
        <v>311</v>
      </c>
      <c r="E341" s="9" t="s">
        <v>47</v>
      </c>
      <c r="F341" s="9" t="s">
        <v>16</v>
      </c>
      <c r="G341" s="8" t="s">
        <v>26</v>
      </c>
      <c r="H341" s="10" t="s">
        <v>27</v>
      </c>
      <c r="I341" s="9"/>
      <c r="J341" s="9" t="s">
        <v>256</v>
      </c>
      <c r="K341" s="9" t="s">
        <v>83</v>
      </c>
    </row>
    <row r="342" spans="1:11" ht="18" customHeight="1">
      <c r="A342" s="68">
        <v>929</v>
      </c>
      <c r="B342" s="63">
        <v>32830299</v>
      </c>
      <c r="C342" s="7" t="s">
        <v>570</v>
      </c>
      <c r="D342" s="8" t="s">
        <v>147</v>
      </c>
      <c r="E342" s="9" t="s">
        <v>47</v>
      </c>
      <c r="F342" s="9" t="s">
        <v>16</v>
      </c>
      <c r="G342" s="8" t="s">
        <v>26</v>
      </c>
      <c r="H342" s="10"/>
      <c r="I342" s="9"/>
      <c r="J342" s="9" t="s">
        <v>256</v>
      </c>
      <c r="K342" s="9" t="s">
        <v>83</v>
      </c>
    </row>
    <row r="343" spans="1:11" ht="18" customHeight="1">
      <c r="A343" s="68">
        <v>931</v>
      </c>
      <c r="B343" s="63">
        <v>32830452</v>
      </c>
      <c r="C343" s="7" t="s">
        <v>571</v>
      </c>
      <c r="D343" s="8" t="s">
        <v>411</v>
      </c>
      <c r="E343" s="9" t="s">
        <v>47</v>
      </c>
      <c r="F343" s="9" t="s">
        <v>16</v>
      </c>
      <c r="G343" s="8" t="s">
        <v>26</v>
      </c>
      <c r="H343" s="10"/>
      <c r="I343" s="9"/>
      <c r="J343" s="9" t="s">
        <v>256</v>
      </c>
      <c r="K343" s="9" t="s">
        <v>29</v>
      </c>
    </row>
    <row r="344" spans="1:11" ht="18" hidden="1" customHeight="1">
      <c r="A344" s="68">
        <v>932</v>
      </c>
      <c r="B344" s="63">
        <v>32830902</v>
      </c>
      <c r="C344" s="7" t="s">
        <v>572</v>
      </c>
      <c r="D344" s="8" t="s">
        <v>525</v>
      </c>
      <c r="E344" s="9" t="s">
        <v>15</v>
      </c>
      <c r="F344" s="9" t="s">
        <v>16</v>
      </c>
      <c r="G344" s="8" t="s">
        <v>50</v>
      </c>
      <c r="H344" s="10"/>
      <c r="I344" s="9"/>
      <c r="J344" s="9"/>
      <c r="K344" s="9"/>
    </row>
    <row r="345" spans="1:11" ht="18" hidden="1" customHeight="1">
      <c r="A345" s="68">
        <v>933</v>
      </c>
      <c r="B345" s="63">
        <v>32831610</v>
      </c>
      <c r="C345" s="7" t="s">
        <v>573</v>
      </c>
      <c r="D345" s="8" t="s">
        <v>525</v>
      </c>
      <c r="E345" s="9" t="s">
        <v>15</v>
      </c>
      <c r="F345" s="9" t="s">
        <v>16</v>
      </c>
      <c r="G345" s="8" t="s">
        <v>50</v>
      </c>
      <c r="H345" s="10"/>
      <c r="I345" s="9"/>
      <c r="J345" s="9"/>
      <c r="K345" s="9"/>
    </row>
    <row r="346" spans="1:11" ht="18" customHeight="1">
      <c r="A346" s="68">
        <v>938</v>
      </c>
      <c r="B346" s="63">
        <v>32832622</v>
      </c>
      <c r="C346" s="7" t="s">
        <v>574</v>
      </c>
      <c r="D346" s="8" t="s">
        <v>419</v>
      </c>
      <c r="E346" s="9" t="s">
        <v>15</v>
      </c>
      <c r="F346" s="9" t="s">
        <v>16</v>
      </c>
      <c r="G346" s="8" t="s">
        <v>182</v>
      </c>
      <c r="H346" s="10"/>
      <c r="I346" s="9"/>
      <c r="J346" s="9"/>
      <c r="K346" s="9"/>
    </row>
    <row r="347" spans="1:11" ht="18" customHeight="1">
      <c r="A347" s="68">
        <v>941</v>
      </c>
      <c r="B347" s="63">
        <v>32835180</v>
      </c>
      <c r="C347" s="7" t="s">
        <v>575</v>
      </c>
      <c r="D347" s="8" t="s">
        <v>147</v>
      </c>
      <c r="E347" s="9" t="s">
        <v>47</v>
      </c>
      <c r="F347" s="9" t="s">
        <v>16</v>
      </c>
      <c r="G347" s="8" t="s">
        <v>26</v>
      </c>
      <c r="H347" s="10" t="s">
        <v>361</v>
      </c>
      <c r="I347" s="9"/>
      <c r="J347" s="9" t="s">
        <v>256</v>
      </c>
      <c r="K347" s="9"/>
    </row>
    <row r="348" spans="1:11" ht="18" customHeight="1">
      <c r="A348" s="68">
        <v>947</v>
      </c>
      <c r="B348" s="63">
        <v>32836864</v>
      </c>
      <c r="C348" s="7" t="s">
        <v>576</v>
      </c>
      <c r="D348" s="8" t="s">
        <v>333</v>
      </c>
      <c r="E348" s="9" t="s">
        <v>15</v>
      </c>
      <c r="F348" s="9" t="s">
        <v>16</v>
      </c>
      <c r="G348" s="8" t="s">
        <v>26</v>
      </c>
      <c r="H348" s="10"/>
      <c r="I348" s="9"/>
      <c r="J348" s="9"/>
      <c r="K348" s="9"/>
    </row>
    <row r="349" spans="1:11" ht="18" customHeight="1">
      <c r="A349" s="68">
        <v>954</v>
      </c>
      <c r="B349" s="63">
        <v>32849864</v>
      </c>
      <c r="C349" s="7" t="s">
        <v>577</v>
      </c>
      <c r="D349" s="8" t="s">
        <v>311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256</v>
      </c>
      <c r="K349" s="9"/>
    </row>
    <row r="350" spans="1:11" ht="18" customHeight="1">
      <c r="A350" s="68">
        <v>955</v>
      </c>
      <c r="B350" s="63">
        <v>32849891</v>
      </c>
      <c r="C350" s="7" t="s">
        <v>578</v>
      </c>
      <c r="D350" s="8" t="s">
        <v>311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256</v>
      </c>
      <c r="K350" s="9"/>
    </row>
    <row r="351" spans="1:11" ht="18" customHeight="1">
      <c r="A351" s="68">
        <v>956</v>
      </c>
      <c r="B351" s="63">
        <v>32849898</v>
      </c>
      <c r="C351" s="7" t="s">
        <v>579</v>
      </c>
      <c r="D351" s="8" t="s">
        <v>311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256</v>
      </c>
      <c r="K351" s="9"/>
    </row>
    <row r="352" spans="1:11" ht="18" customHeight="1">
      <c r="A352" s="68">
        <v>957</v>
      </c>
      <c r="B352" s="63">
        <v>32849904</v>
      </c>
      <c r="C352" s="7" t="s">
        <v>580</v>
      </c>
      <c r="D352" s="8" t="s">
        <v>311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256</v>
      </c>
      <c r="K352" s="9"/>
    </row>
    <row r="353" spans="1:11" ht="18" customHeight="1">
      <c r="A353" s="68">
        <v>958</v>
      </c>
      <c r="B353" s="63">
        <v>32849910</v>
      </c>
      <c r="C353" s="7" t="s">
        <v>581</v>
      </c>
      <c r="D353" s="8" t="s">
        <v>311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256</v>
      </c>
      <c r="K353" s="9"/>
    </row>
    <row r="354" spans="1:11" ht="18" customHeight="1">
      <c r="A354" s="68">
        <v>959</v>
      </c>
      <c r="B354" s="63">
        <v>32849919</v>
      </c>
      <c r="C354" s="7" t="s">
        <v>582</v>
      </c>
      <c r="D354" s="8" t="s">
        <v>311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256</v>
      </c>
      <c r="K354" s="9"/>
    </row>
    <row r="355" spans="1:11" ht="18" customHeight="1">
      <c r="A355" s="68">
        <v>960</v>
      </c>
      <c r="B355" s="63">
        <v>32849934</v>
      </c>
      <c r="C355" s="7" t="s">
        <v>583</v>
      </c>
      <c r="D355" s="8" t="s">
        <v>311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256</v>
      </c>
      <c r="K355" s="9"/>
    </row>
    <row r="356" spans="1:11" ht="18" customHeight="1">
      <c r="A356" s="68">
        <v>961</v>
      </c>
      <c r="B356" s="63">
        <v>32849935</v>
      </c>
      <c r="C356" s="7" t="s">
        <v>584</v>
      </c>
      <c r="D356" s="8" t="s">
        <v>311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/>
      <c r="J356" s="9" t="s">
        <v>256</v>
      </c>
      <c r="K356" s="9"/>
    </row>
    <row r="357" spans="1:11" ht="18" customHeight="1">
      <c r="A357" s="68">
        <v>962</v>
      </c>
      <c r="B357" s="63">
        <v>32849936</v>
      </c>
      <c r="C357" s="7" t="s">
        <v>585</v>
      </c>
      <c r="D357" s="8" t="s">
        <v>311</v>
      </c>
      <c r="E357" s="9" t="s">
        <v>15</v>
      </c>
      <c r="F357" s="9" t="s">
        <v>16</v>
      </c>
      <c r="G357" s="8" t="s">
        <v>26</v>
      </c>
      <c r="H357" s="10" t="s">
        <v>27</v>
      </c>
      <c r="I357" s="9" t="s">
        <v>586</v>
      </c>
      <c r="J357" s="9"/>
      <c r="K357" s="9"/>
    </row>
    <row r="358" spans="1:11" ht="18" customHeight="1">
      <c r="A358" s="68">
        <v>963</v>
      </c>
      <c r="B358" s="63">
        <v>32849940</v>
      </c>
      <c r="C358" s="7" t="s">
        <v>587</v>
      </c>
      <c r="D358" s="8" t="s">
        <v>142</v>
      </c>
      <c r="E358" s="9" t="s">
        <v>47</v>
      </c>
      <c r="F358" s="9" t="s">
        <v>16</v>
      </c>
      <c r="G358" s="8" t="s">
        <v>26</v>
      </c>
      <c r="H358" s="10" t="s">
        <v>27</v>
      </c>
      <c r="I358" s="9"/>
      <c r="J358" s="9" t="s">
        <v>256</v>
      </c>
      <c r="K358" s="9"/>
    </row>
    <row r="359" spans="1:11" ht="18" customHeight="1">
      <c r="A359" s="68">
        <v>964</v>
      </c>
      <c r="B359" s="63">
        <v>32849947</v>
      </c>
      <c r="C359" s="7" t="s">
        <v>588</v>
      </c>
      <c r="D359" s="8" t="s">
        <v>170</v>
      </c>
      <c r="E359" s="9" t="s">
        <v>15</v>
      </c>
      <c r="F359" s="9" t="s">
        <v>16</v>
      </c>
      <c r="G359" s="8" t="s">
        <v>182</v>
      </c>
      <c r="H359" s="10"/>
      <c r="I359" s="9"/>
      <c r="J359" s="9"/>
      <c r="K359" s="9"/>
    </row>
    <row r="360" spans="1:11" ht="18" customHeight="1">
      <c r="A360" s="68">
        <v>965</v>
      </c>
      <c r="B360" s="63">
        <v>32849950</v>
      </c>
      <c r="C360" s="7" t="s">
        <v>589</v>
      </c>
      <c r="D360" s="8" t="s">
        <v>170</v>
      </c>
      <c r="E360" s="9" t="s">
        <v>15</v>
      </c>
      <c r="F360" s="9" t="s">
        <v>252</v>
      </c>
      <c r="G360" s="8" t="s">
        <v>26</v>
      </c>
      <c r="H360" s="10" t="s">
        <v>27</v>
      </c>
      <c r="I360" s="9" t="s">
        <v>590</v>
      </c>
      <c r="J360" s="9"/>
      <c r="K360" s="9"/>
    </row>
    <row r="361" spans="1:11" ht="18" customHeight="1">
      <c r="A361" s="68">
        <v>967</v>
      </c>
      <c r="B361" s="63">
        <v>32849953</v>
      </c>
      <c r="C361" s="7" t="s">
        <v>591</v>
      </c>
      <c r="D361" s="8" t="s">
        <v>419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256</v>
      </c>
      <c r="K361" s="9"/>
    </row>
    <row r="362" spans="1:11" ht="18" customHeight="1">
      <c r="A362" s="68">
        <v>968</v>
      </c>
      <c r="B362" s="63">
        <v>32849961</v>
      </c>
      <c r="C362" s="7" t="s">
        <v>592</v>
      </c>
      <c r="D362" s="8" t="s">
        <v>419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256</v>
      </c>
      <c r="K362" s="9"/>
    </row>
    <row r="363" spans="1:11" ht="18" customHeight="1">
      <c r="A363" s="68">
        <v>971</v>
      </c>
      <c r="B363" s="63">
        <v>32850062</v>
      </c>
      <c r="C363" s="7" t="s">
        <v>593</v>
      </c>
      <c r="D363" s="8" t="s">
        <v>170</v>
      </c>
      <c r="E363" s="9" t="s">
        <v>15</v>
      </c>
      <c r="F363" s="9" t="s">
        <v>252</v>
      </c>
      <c r="G363" s="8" t="s">
        <v>26</v>
      </c>
      <c r="H363" s="10" t="s">
        <v>27</v>
      </c>
      <c r="I363" s="9"/>
      <c r="J363" s="9"/>
      <c r="K363" s="9"/>
    </row>
    <row r="364" spans="1:11" ht="18" customHeight="1">
      <c r="A364" s="68">
        <v>972</v>
      </c>
      <c r="B364" s="63">
        <v>32850080</v>
      </c>
      <c r="C364" s="7" t="s">
        <v>594</v>
      </c>
      <c r="D364" s="8" t="s">
        <v>419</v>
      </c>
      <c r="E364" s="9" t="s">
        <v>47</v>
      </c>
      <c r="F364" s="9" t="s">
        <v>16</v>
      </c>
      <c r="G364" s="8" t="s">
        <v>26</v>
      </c>
      <c r="H364" s="10"/>
      <c r="I364" s="9"/>
      <c r="J364" s="9" t="s">
        <v>256</v>
      </c>
      <c r="K364" s="9"/>
    </row>
    <row r="365" spans="1:11" ht="18" customHeight="1">
      <c r="A365" s="68">
        <v>973</v>
      </c>
      <c r="B365" s="63">
        <v>32850114</v>
      </c>
      <c r="C365" s="7" t="s">
        <v>595</v>
      </c>
      <c r="D365" s="8" t="s">
        <v>142</v>
      </c>
      <c r="E365" s="9" t="s">
        <v>47</v>
      </c>
      <c r="F365" s="9" t="s">
        <v>16</v>
      </c>
      <c r="G365" s="8" t="s">
        <v>26</v>
      </c>
      <c r="H365" s="10" t="s">
        <v>27</v>
      </c>
      <c r="I365" s="9"/>
      <c r="J365" s="9" t="s">
        <v>256</v>
      </c>
      <c r="K365" s="9"/>
    </row>
    <row r="366" spans="1:11" ht="18" customHeight="1">
      <c r="A366" s="68">
        <v>978</v>
      </c>
      <c r="B366" s="63">
        <v>32850652</v>
      </c>
      <c r="C366" s="7" t="s">
        <v>596</v>
      </c>
      <c r="D366" s="8" t="s">
        <v>311</v>
      </c>
      <c r="E366" s="9" t="s">
        <v>47</v>
      </c>
      <c r="F366" s="9" t="s">
        <v>16</v>
      </c>
      <c r="G366" s="8" t="s">
        <v>182</v>
      </c>
      <c r="H366" s="10"/>
      <c r="I366" s="9"/>
      <c r="J366" s="9" t="s">
        <v>256</v>
      </c>
      <c r="K366" s="9"/>
    </row>
    <row r="367" spans="1:11" ht="36" customHeight="1">
      <c r="A367" s="68" t="s">
        <v>597</v>
      </c>
      <c r="B367" s="63">
        <v>32854724</v>
      </c>
      <c r="C367" s="86" t="s">
        <v>598</v>
      </c>
      <c r="D367" s="8" t="s">
        <v>419</v>
      </c>
      <c r="E367" s="9" t="s">
        <v>15</v>
      </c>
      <c r="F367" s="9" t="s">
        <v>16</v>
      </c>
      <c r="G367" s="8" t="s">
        <v>26</v>
      </c>
      <c r="H367" s="10" t="s">
        <v>298</v>
      </c>
      <c r="I367" s="9" t="s">
        <v>521</v>
      </c>
      <c r="J367" s="9"/>
      <c r="K367" s="9"/>
    </row>
    <row r="368" spans="1:11" ht="18" customHeight="1">
      <c r="A368" s="68">
        <v>993</v>
      </c>
      <c r="B368" s="63">
        <v>32867377</v>
      </c>
      <c r="C368" s="86" t="s">
        <v>599</v>
      </c>
      <c r="D368" s="8" t="s">
        <v>333</v>
      </c>
      <c r="E368" s="9" t="s">
        <v>15</v>
      </c>
      <c r="F368" s="9" t="s">
        <v>16</v>
      </c>
      <c r="G368" s="8" t="s">
        <v>26</v>
      </c>
      <c r="H368" s="10" t="s">
        <v>27</v>
      </c>
      <c r="I368" s="9"/>
      <c r="J368" s="9"/>
      <c r="K368" s="9"/>
    </row>
    <row r="369" spans="1:11" ht="18" customHeight="1">
      <c r="A369" s="68">
        <v>994</v>
      </c>
      <c r="B369" s="63">
        <v>32867426</v>
      </c>
      <c r="C369" s="86" t="s">
        <v>600</v>
      </c>
      <c r="D369" s="8" t="s">
        <v>333</v>
      </c>
      <c r="E369" s="9" t="s">
        <v>15</v>
      </c>
      <c r="F369" s="9" t="s">
        <v>16</v>
      </c>
      <c r="G369" s="8" t="s">
        <v>26</v>
      </c>
      <c r="H369" s="10" t="s">
        <v>27</v>
      </c>
      <c r="I369" s="9"/>
      <c r="J369" s="9"/>
      <c r="K369" s="9"/>
    </row>
    <row r="370" spans="1:11" ht="18" customHeight="1">
      <c r="A370" s="68">
        <v>995</v>
      </c>
      <c r="B370" s="63" t="s">
        <v>105</v>
      </c>
      <c r="C370" s="86" t="s">
        <v>601</v>
      </c>
      <c r="D370" s="8" t="s">
        <v>142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602</v>
      </c>
      <c r="J370" s="9"/>
      <c r="K370" s="9"/>
    </row>
    <row r="371" spans="1:11" ht="18" customHeight="1">
      <c r="A371" s="68">
        <v>996</v>
      </c>
      <c r="B371" s="63">
        <v>32867568</v>
      </c>
      <c r="C371" s="86" t="s">
        <v>603</v>
      </c>
      <c r="D371" s="8" t="s">
        <v>333</v>
      </c>
      <c r="E371" s="9" t="s">
        <v>15</v>
      </c>
      <c r="F371" s="9" t="s">
        <v>16</v>
      </c>
      <c r="G371" s="8" t="s">
        <v>26</v>
      </c>
      <c r="H371" s="10" t="s">
        <v>27</v>
      </c>
      <c r="I371" s="9"/>
      <c r="J371" s="9"/>
      <c r="K371" s="9"/>
    </row>
    <row r="372" spans="1:11" ht="18" customHeight="1">
      <c r="A372" s="68">
        <v>997</v>
      </c>
      <c r="B372" s="63">
        <v>32867643</v>
      </c>
      <c r="C372" s="86" t="s">
        <v>604</v>
      </c>
      <c r="D372" s="8" t="s">
        <v>333</v>
      </c>
      <c r="E372" s="9" t="s">
        <v>15</v>
      </c>
      <c r="F372" s="9" t="s">
        <v>16</v>
      </c>
      <c r="G372" s="8" t="s">
        <v>26</v>
      </c>
      <c r="H372" s="10" t="s">
        <v>27</v>
      </c>
      <c r="I372" s="9"/>
      <c r="J372" s="9"/>
      <c r="K372" s="9"/>
    </row>
    <row r="373" spans="1:11" ht="18" customHeight="1">
      <c r="A373" s="68">
        <v>998</v>
      </c>
      <c r="B373" s="63">
        <v>32867427</v>
      </c>
      <c r="C373" s="86" t="s">
        <v>605</v>
      </c>
      <c r="D373" s="8" t="s">
        <v>419</v>
      </c>
      <c r="E373" s="9" t="s">
        <v>15</v>
      </c>
      <c r="F373" s="9" t="s">
        <v>16</v>
      </c>
      <c r="G373" s="8" t="s">
        <v>26</v>
      </c>
      <c r="H373" s="10" t="s">
        <v>361</v>
      </c>
      <c r="I373" s="9" t="s">
        <v>602</v>
      </c>
      <c r="J373" s="9"/>
      <c r="K373" s="9"/>
    </row>
    <row r="374" spans="1:11" ht="18" customHeight="1">
      <c r="A374" s="68">
        <v>999</v>
      </c>
      <c r="B374" s="63">
        <v>32867877</v>
      </c>
      <c r="C374" s="86" t="s">
        <v>606</v>
      </c>
      <c r="D374" s="8" t="s">
        <v>419</v>
      </c>
      <c r="E374" s="9" t="s">
        <v>15</v>
      </c>
      <c r="F374" s="9" t="s">
        <v>16</v>
      </c>
      <c r="G374" s="8" t="s">
        <v>26</v>
      </c>
      <c r="H374" s="10" t="s">
        <v>361</v>
      </c>
      <c r="I374" s="9" t="s">
        <v>602</v>
      </c>
      <c r="J374" s="9"/>
      <c r="K374" s="9"/>
    </row>
    <row r="375" spans="1:11" ht="18" customHeight="1">
      <c r="A375" s="68">
        <v>1000</v>
      </c>
      <c r="B375" s="63">
        <v>32867879</v>
      </c>
      <c r="C375" s="86" t="s">
        <v>607</v>
      </c>
      <c r="D375" s="8" t="s">
        <v>419</v>
      </c>
      <c r="E375" s="9" t="s">
        <v>47</v>
      </c>
      <c r="F375" s="9" t="s">
        <v>16</v>
      </c>
      <c r="G375" s="8" t="s">
        <v>26</v>
      </c>
      <c r="H375" s="10" t="s">
        <v>27</v>
      </c>
      <c r="I375" s="9"/>
      <c r="J375" s="9"/>
      <c r="K375" s="9"/>
    </row>
    <row r="376" spans="1:11" ht="18" hidden="1" customHeight="1">
      <c r="A376" s="68">
        <v>1010</v>
      </c>
      <c r="B376" s="63">
        <v>32888552</v>
      </c>
      <c r="C376" s="86" t="s">
        <v>608</v>
      </c>
      <c r="D376" s="8" t="s">
        <v>525</v>
      </c>
      <c r="E376" s="9" t="s">
        <v>15</v>
      </c>
      <c r="F376" s="9" t="s">
        <v>16</v>
      </c>
      <c r="G376" s="8" t="s">
        <v>50</v>
      </c>
      <c r="H376" s="10"/>
      <c r="I376" s="9"/>
      <c r="J376" s="9"/>
      <c r="K376" s="9"/>
    </row>
    <row r="377" spans="1:11" ht="18" customHeight="1">
      <c r="A377" s="68">
        <v>1011</v>
      </c>
      <c r="B377" s="63">
        <v>32890903</v>
      </c>
      <c r="C377" s="86" t="s">
        <v>609</v>
      </c>
      <c r="D377" s="8" t="s">
        <v>170</v>
      </c>
      <c r="E377" s="9" t="s">
        <v>15</v>
      </c>
      <c r="F377" s="9" t="s">
        <v>16</v>
      </c>
      <c r="G377" s="8" t="s">
        <v>26</v>
      </c>
      <c r="H377" s="10" t="s">
        <v>27</v>
      </c>
      <c r="I377" s="9"/>
      <c r="J377" s="9"/>
      <c r="K377" s="9"/>
    </row>
    <row r="378" spans="1:11" ht="18" customHeight="1">
      <c r="A378" s="68">
        <v>1012</v>
      </c>
      <c r="B378" s="63">
        <v>32898948</v>
      </c>
      <c r="C378" s="127" t="s">
        <v>610</v>
      </c>
      <c r="D378" s="8" t="s">
        <v>170</v>
      </c>
      <c r="E378" s="9" t="s">
        <v>15</v>
      </c>
      <c r="F378" s="9" t="s">
        <v>16</v>
      </c>
      <c r="G378" s="8" t="s">
        <v>26</v>
      </c>
      <c r="H378" s="10"/>
      <c r="I378" s="9" t="s">
        <v>611</v>
      </c>
      <c r="J378" s="9"/>
      <c r="K378" s="9"/>
    </row>
    <row r="379" spans="1:11" ht="18" customHeight="1">
      <c r="A379" s="68">
        <v>1014</v>
      </c>
      <c r="B379" s="63">
        <v>32904467</v>
      </c>
      <c r="C379" s="68" t="s">
        <v>612</v>
      </c>
      <c r="D379" s="8" t="s">
        <v>170</v>
      </c>
      <c r="E379" s="9" t="s">
        <v>15</v>
      </c>
      <c r="F379" s="9" t="s">
        <v>16</v>
      </c>
      <c r="G379" s="8" t="s">
        <v>182</v>
      </c>
      <c r="H379" s="10"/>
      <c r="I379" s="9"/>
      <c r="J379" s="9"/>
      <c r="K379" s="9"/>
    </row>
    <row r="380" spans="1:11" ht="18" customHeight="1">
      <c r="A380" s="5"/>
      <c r="B380" s="6"/>
      <c r="C380" s="7"/>
      <c r="D380" s="8"/>
      <c r="E380" s="9" t="s">
        <v>15</v>
      </c>
      <c r="F380" s="9" t="s">
        <v>16</v>
      </c>
      <c r="G380" s="8"/>
      <c r="H380" s="10"/>
      <c r="I380" s="9"/>
      <c r="J380" s="9"/>
      <c r="K380" s="9"/>
    </row>
    <row r="381" spans="1:11" ht="18" customHeight="1">
      <c r="A381" s="5"/>
      <c r="B381" s="6"/>
      <c r="C381" s="7"/>
      <c r="D381" s="8"/>
      <c r="E381" s="9" t="s">
        <v>15</v>
      </c>
      <c r="F381" s="9" t="s">
        <v>16</v>
      </c>
      <c r="G381" s="8"/>
      <c r="H381" s="10"/>
      <c r="I381" s="9"/>
      <c r="J381" s="9"/>
      <c r="K381" s="9"/>
    </row>
    <row r="382" spans="1:11" ht="18" customHeight="1">
      <c r="A382" s="5"/>
      <c r="B382" s="6"/>
      <c r="C382" s="7"/>
      <c r="D382" s="8"/>
      <c r="E382" s="9" t="s">
        <v>15</v>
      </c>
      <c r="F382" s="9" t="s">
        <v>16</v>
      </c>
      <c r="G382" s="8"/>
      <c r="H382" s="10"/>
      <c r="I382" s="9"/>
      <c r="J382" s="9"/>
      <c r="K382" s="9"/>
    </row>
    <row r="383" spans="1:11" ht="18" customHeight="1">
      <c r="A383" s="5"/>
      <c r="B383" s="6"/>
      <c r="C383" s="7"/>
      <c r="D383" s="8"/>
      <c r="E383" s="9" t="s">
        <v>15</v>
      </c>
      <c r="F383" s="9" t="s">
        <v>16</v>
      </c>
      <c r="G383" s="8"/>
      <c r="H383" s="10"/>
      <c r="I383" s="9"/>
      <c r="J383" s="9"/>
      <c r="K383" s="9"/>
    </row>
    <row r="384" spans="1:11" ht="18" customHeight="1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3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/>
      <c r="F503" s="9"/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/>
      <c r="F504" s="9"/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3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68"/>
      <c r="B665" s="63"/>
      <c r="C665" s="7"/>
      <c r="D665" s="8"/>
      <c r="E665" s="9"/>
      <c r="F665" s="9"/>
      <c r="G665" s="8"/>
      <c r="H665" s="61"/>
      <c r="I665" s="9"/>
      <c r="J665" s="9"/>
      <c r="K665" s="9"/>
    </row>
    <row r="666" spans="1:11" ht="18" customHeight="1">
      <c r="A666" s="68"/>
      <c r="B666" s="63"/>
      <c r="C666" s="7"/>
      <c r="D666" s="8"/>
      <c r="E666" s="9"/>
      <c r="F666" s="9"/>
      <c r="G666" s="8"/>
      <c r="H666" s="61"/>
      <c r="I666" s="9"/>
      <c r="J666" s="9"/>
      <c r="K666" s="9"/>
    </row>
    <row r="667" spans="1:11" ht="18" customHeight="1">
      <c r="A667" s="68"/>
      <c r="B667" s="63"/>
      <c r="C667" s="7"/>
      <c r="D667" s="61"/>
      <c r="E667" s="9"/>
      <c r="F667" s="9"/>
      <c r="G667" s="61"/>
      <c r="H667" s="61"/>
      <c r="I667" s="9"/>
      <c r="J667" s="9"/>
      <c r="K667" s="9"/>
    </row>
    <row r="668" spans="1:11" ht="18" customHeight="1">
      <c r="A668" s="68"/>
      <c r="B668" s="63"/>
      <c r="C668" s="7"/>
      <c r="D668" s="61"/>
      <c r="E668" s="9"/>
      <c r="F668" s="9"/>
      <c r="G668" s="61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61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61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61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61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2"/>
      <c r="B687" s="62"/>
      <c r="C687" s="62"/>
      <c r="D687" s="61"/>
      <c r="E687" s="61"/>
      <c r="F687" s="61"/>
      <c r="G687" s="61"/>
      <c r="H687" s="61"/>
      <c r="I687" s="61"/>
      <c r="J687" s="61"/>
    </row>
    <row r="688" spans="1:11" ht="18" customHeight="1">
      <c r="A688" s="62"/>
      <c r="B688" s="62"/>
      <c r="C688" s="62"/>
      <c r="D688" s="61"/>
      <c r="E688" s="61"/>
      <c r="F688" s="61"/>
      <c r="G688" s="61"/>
      <c r="H688" s="61"/>
      <c r="I688" s="61"/>
      <c r="J688" s="61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5.75" customHeight="1">
      <c r="A1002" s="5"/>
      <c r="B1002" s="6"/>
      <c r="C1002" s="7"/>
      <c r="D1002" s="8"/>
      <c r="E1002" s="9"/>
      <c r="F1002" s="9"/>
      <c r="G1002" s="8"/>
      <c r="H1002" s="10"/>
      <c r="I1002" s="5"/>
      <c r="J1002" s="9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100" priority="5">
      <formula>$F4="AOG"</formula>
    </cfRule>
    <cfRule type="expression" dxfId="99" priority="114">
      <formula>$F4="Critical"</formula>
    </cfRule>
  </conditionalFormatting>
  <conditionalFormatting sqref="B4:B1002">
    <cfRule type="expression" dxfId="98" priority="9">
      <formula>$F4="AOG"</formula>
    </cfRule>
    <cfRule type="expression" dxfId="97" priority="115">
      <formula>$F4="Critical"</formula>
    </cfRule>
  </conditionalFormatting>
  <conditionalFormatting sqref="C4:C1002">
    <cfRule type="expression" dxfId="96" priority="116">
      <formula>$F4="Critical"</formula>
    </cfRule>
  </conditionalFormatting>
  <conditionalFormatting sqref="C253:C347">
    <cfRule type="expression" dxfId="95" priority="11">
      <formula>$F253="AOG"</formula>
    </cfRule>
  </conditionalFormatting>
  <conditionalFormatting sqref="D4:D1002">
    <cfRule type="cellIs" dxfId="94" priority="43" operator="equal">
      <formula>"GENERAL CABIN"</formula>
    </cfRule>
    <cfRule type="cellIs" dxfId="93" priority="44" operator="equal">
      <formula>"GALLEY"</formula>
    </cfRule>
    <cfRule type="cellIs" dxfId="92" priority="45" operator="equal">
      <formula>"LAVATORY"</formula>
    </cfRule>
    <cfRule type="cellIs" dxfId="91" priority="46" operator="equal">
      <formula>"PAX DOORS"</formula>
    </cfRule>
    <cfRule type="cellIs" dxfId="90" priority="47" operator="equal">
      <formula>"F/A SEAT"</formula>
    </cfRule>
    <cfRule type="cellIs" dxfId="89" priority="48" operator="equal">
      <formula>"PAX SEAT"</formula>
    </cfRule>
    <cfRule type="cellIs" dxfId="88" priority="49" operator="equal">
      <formula>"FLIGHT DECK"</formula>
    </cfRule>
    <cfRule type="cellIs" dxfId="87" priority="50" operator="equal">
      <formula>"OFAR/OFCR"</formula>
    </cfRule>
    <cfRule type="cellIs" dxfId="86" priority="51" operator="equal">
      <formula>"TEDLAR/SIDEWALL"</formula>
    </cfRule>
    <cfRule type="cellIs" dxfId="85" priority="52" operator="equal">
      <formula>"PAINT"</formula>
    </cfRule>
    <cfRule type="cellIs" dxfId="84" priority="53" operator="equal">
      <formula>"TASK CARD"</formula>
    </cfRule>
  </conditionalFormatting>
  <conditionalFormatting sqref="E4:E1002">
    <cfRule type="cellIs" dxfId="83" priority="55" operator="equal">
      <formula>"Open"</formula>
    </cfRule>
    <cfRule type="cellIs" dxfId="82" priority="56" operator="equal">
      <formula>"In Progress"</formula>
    </cfRule>
    <cfRule type="cellIs" dxfId="81" priority="59" operator="equal">
      <formula>"N/A"</formula>
    </cfRule>
    <cfRule type="expression" dxfId="80" priority="117">
      <formula>$F4="Critical"</formula>
    </cfRule>
    <cfRule type="cellIs" dxfId="79" priority="117" operator="equal">
      <formula>"On Hold"</formula>
    </cfRule>
    <cfRule type="expression" dxfId="78" priority="117">
      <formula>$F4="AOG"</formula>
    </cfRule>
    <cfRule type="cellIs" dxfId="77" priority="117" operator="equal">
      <formula>"Deferred"</formula>
    </cfRule>
    <cfRule type="cellIs" dxfId="76" priority="117" operator="equal">
      <formula>"Closed"</formula>
    </cfRule>
  </conditionalFormatting>
  <conditionalFormatting sqref="F4:F1002">
    <cfRule type="cellIs" dxfId="75" priority="60" operator="equal">
      <formula>"AOG"</formula>
    </cfRule>
    <cfRule type="cellIs" dxfId="74" priority="61" operator="equal">
      <formula>"Critical"</formula>
    </cfRule>
    <cfRule type="cellIs" dxfId="73" priority="62" operator="equal">
      <formula>"High"</formula>
    </cfRule>
    <cfRule type="cellIs" dxfId="72" priority="63" operator="equal">
      <formula>"Normal"</formula>
    </cfRule>
    <cfRule type="cellIs" dxfId="71" priority="64" operator="equal">
      <formula>"Low"</formula>
    </cfRule>
  </conditionalFormatting>
  <conditionalFormatting sqref="G4:G1002">
    <cfRule type="cellIs" dxfId="70" priority="103" operator="equal">
      <formula>"CAB"</formula>
    </cfRule>
    <cfRule type="cellIs" dxfId="69" priority="104" operator="equal">
      <formula>"SEAT"</formula>
    </cfRule>
    <cfRule type="cellIs" dxfId="68" priority="105" operator="equal">
      <formula>"AV"</formula>
    </cfRule>
    <cfRule type="cellIs" dxfId="67" priority="106" operator="equal">
      <formula>"S/W"</formula>
    </cfRule>
    <cfRule type="cellIs" dxfId="66" priority="107" operator="equal">
      <formula>"S/M"</formula>
    </cfRule>
    <cfRule type="cellIs" dxfId="65" priority="108" operator="equal">
      <formula>"PAINT"</formula>
    </cfRule>
    <cfRule type="cellIs" dxfId="64" priority="109" operator="equal">
      <formula>"JOINT"</formula>
    </cfRule>
    <cfRule type="cellIs" dxfId="63" priority="110" operator="equal">
      <formula>"INSP"</formula>
    </cfRule>
  </conditionalFormatting>
  <conditionalFormatting sqref="H4:H1002">
    <cfRule type="cellIs" dxfId="62" priority="91" operator="equal">
      <formula>"N/R"</formula>
    </cfRule>
    <cfRule type="cellIs" dxfId="61" priority="92" operator="equal">
      <formula>"Requested"</formula>
    </cfRule>
    <cfRule type="cellIs" dxfId="60" priority="94" operator="equal">
      <formula>"Requested - R"</formula>
    </cfRule>
    <cfRule type="cellIs" dxfId="59" priority="99" operator="equal">
      <formula>"Requested - CR"</formula>
    </cfRule>
    <cfRule type="cellIs" dxfId="58" priority="101" operator="equal">
      <formula>"Pending EVAL"</formula>
    </cfRule>
    <cfRule type="cellIs" dxfId="57" priority="102" operator="equal">
      <formula>"N/A"</formula>
    </cfRule>
  </conditionalFormatting>
  <conditionalFormatting sqref="I4:I1002">
    <cfRule type="expression" dxfId="56" priority="86">
      <formula>OR(TRIM(I4)="C/W",TRIM(I4)="CW")</formula>
    </cfRule>
  </conditionalFormatting>
  <conditionalFormatting sqref="J4:J1002">
    <cfRule type="cellIs" dxfId="55" priority="111" operator="equal">
      <formula>"Yes"</formula>
    </cfRule>
    <cfRule type="cellIs" dxfId="54" priority="112" operator="equal">
      <formula>"No"</formula>
    </cfRule>
    <cfRule type="cellIs" dxfId="53" priority="113" operator="equal">
      <formula>"N/A"</formula>
    </cfRule>
  </conditionalFormatting>
  <conditionalFormatting sqref="K4:K1002">
    <cfRule type="cellIs" dxfId="52" priority="82" operator="equal">
      <formula>"FWD"</formula>
    </cfRule>
    <cfRule type="cellIs" dxfId="51" priority="83" operator="equal">
      <formula>"AFT"</formula>
    </cfRule>
    <cfRule type="cellIs" dxfId="50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H41" sqref="H41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3" t="s">
        <v>613</v>
      </c>
      <c r="B1" s="129"/>
      <c r="C1" s="129"/>
      <c r="D1" s="129"/>
      <c r="E1" s="129"/>
      <c r="F1" s="129"/>
      <c r="G1" s="129"/>
      <c r="H1" s="129"/>
      <c r="I1" s="107" t="str">
        <f ca="1">"Day "&amp;TEXT(MAX(1,MIN(TODAY()-DATE(2026,6,8)+1,36)),"0")&amp;"/36"</f>
        <v>Day 24/36</v>
      </c>
      <c r="J1" s="129"/>
    </row>
    <row r="2" spans="1:10" ht="13.9" customHeight="1">
      <c r="A2" s="121" t="s">
        <v>614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18" customHeight="1">
      <c r="A3" s="115" t="s">
        <v>615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0" ht="4.1500000000000004" customHeight="1"/>
    <row r="5" spans="1:10" ht="31.9" customHeight="1">
      <c r="B5" s="64" t="s">
        <v>616</v>
      </c>
      <c r="C5" s="12">
        <f>COUNTIF('ASF Tracker'!B4:B1002,"&lt;&gt;")</f>
        <v>376</v>
      </c>
      <c r="E5" s="13" t="s">
        <v>47</v>
      </c>
      <c r="F5" s="14">
        <f>COUNTIFS('ASF Tracker'!B4:B1002,"&lt;&gt;",'ASF Tracker'!E4:E1002,"Closed")</f>
        <v>192</v>
      </c>
      <c r="H5" s="15" t="s">
        <v>617</v>
      </c>
      <c r="I5" s="16" t="str">
        <f>TEXT(IFERROR(COUNTIFS('ASF Tracker'!B4:B1002,"&lt;&gt;",'ASF Tracker'!E4:E1002,"Closed")/COUNTIF('ASF Tracker'!B4:B1002,"&lt;&gt;"),0),"0%")</f>
        <v>51%</v>
      </c>
    </row>
    <row r="6" spans="1:10" ht="4.1500000000000004" customHeight="1"/>
    <row r="7" spans="1:10" ht="31.9" customHeight="1">
      <c r="B7" s="65" t="s">
        <v>15</v>
      </c>
      <c r="C7" s="17">
        <f>COUNTIFS('ASF Tracker'!B4:B1002,"&lt;&gt;",'ASF Tracker'!E4:E1002,"Open")</f>
        <v>156</v>
      </c>
      <c r="E7" s="18" t="s">
        <v>364</v>
      </c>
      <c r="F7" s="19">
        <f>COUNTIFS('ASF Tracker'!B4:B1002,"&lt;&gt;",'ASF Tracker'!E4:E1002,"In Progress")</f>
        <v>28</v>
      </c>
      <c r="H7" s="20" t="s">
        <v>618</v>
      </c>
      <c r="I7" s="21">
        <f>COUNTIFS('ASF Tracker'!B4:B1002,"&lt;&gt;",'ASF Tracker'!E4:E1002,"Deferred")+COUNTIFS('ASF Tracker'!B4:B1002,"&lt;&gt;",'ASF Tracker'!E4:E1002,"On Hold")</f>
        <v>0</v>
      </c>
    </row>
    <row r="8" spans="1:10" ht="4.1500000000000004" customHeight="1"/>
    <row r="9" spans="1:10" ht="18" customHeight="1">
      <c r="A9" s="117" t="s">
        <v>619</v>
      </c>
      <c r="B9" s="129"/>
      <c r="C9" s="129"/>
      <c r="D9" s="129"/>
      <c r="E9" s="129"/>
      <c r="F9" s="129"/>
      <c r="G9" s="129"/>
      <c r="H9" s="129"/>
      <c r="I9" s="129"/>
      <c r="J9" s="129"/>
    </row>
    <row r="10" spans="1:10" ht="4.1500000000000004" customHeight="1"/>
    <row r="11" spans="1:10" ht="31.9" customHeight="1">
      <c r="B11" s="66" t="s">
        <v>252</v>
      </c>
      <c r="C11" s="22">
        <f>COUNTIFS('ASF Tracker'!B4:B1002,"&lt;&gt;",'ASF Tracker'!F4:F1002,"AOG")</f>
        <v>4</v>
      </c>
      <c r="E11" s="18" t="s">
        <v>620</v>
      </c>
      <c r="F11" s="19">
        <f>COUNTIFS('ASF Tracker'!B4:B1002,"&lt;&gt;",'ASF Tracker'!F4:F1002,"Critical")</f>
        <v>0</v>
      </c>
      <c r="H11" s="23" t="s">
        <v>621</v>
      </c>
      <c r="I11" s="24">
        <f>COUNTIFS('ASF Tracker'!B4:B1002,"&lt;&gt;",'ASF Tracker'!F4:F1002,"High")</f>
        <v>0</v>
      </c>
    </row>
    <row r="12" spans="1:10" ht="4.1500000000000004" customHeight="1"/>
    <row r="13" spans="1:10" ht="18" customHeight="1">
      <c r="A13" s="115" t="s">
        <v>622</v>
      </c>
      <c r="B13" s="129"/>
      <c r="C13" s="129"/>
      <c r="D13" s="129"/>
      <c r="E13" s="129"/>
      <c r="F13" s="129"/>
      <c r="G13" s="129"/>
      <c r="H13" s="129"/>
      <c r="I13" s="129"/>
      <c r="J13" s="129"/>
    </row>
    <row r="14" spans="1:10" ht="4.1500000000000004" customHeight="1"/>
    <row r="15" spans="1:10" ht="31.9" customHeight="1">
      <c r="B15" s="25" t="s">
        <v>27</v>
      </c>
      <c r="C15" s="26">
        <f>COUNTIFS('ASF Tracker'!B4:B1002,"&lt;&gt;",'ASF Tracker'!H4:H1002,"Requested")</f>
        <v>111</v>
      </c>
      <c r="E15" s="27" t="s">
        <v>623</v>
      </c>
      <c r="F15" s="28">
        <f>COUNTIFS('ASF Tracker'!B4:B1002,"&lt;&gt;",'ASF Tracker'!H4:H1002,"Requested - CR")</f>
        <v>3</v>
      </c>
      <c r="H15" s="29" t="s">
        <v>624</v>
      </c>
      <c r="I15" s="30">
        <f>COUNTIFS('ASF Tracker'!B4:B1002,"&lt;&gt;",'ASF Tracker'!H4:H1002,"Requested - R")</f>
        <v>30</v>
      </c>
    </row>
    <row r="16" spans="1:10" ht="4.1500000000000004" customHeight="1"/>
    <row r="17" spans="1:10" ht="31.9" customHeight="1">
      <c r="B17" s="69" t="s">
        <v>625</v>
      </c>
      <c r="C17" s="31">
        <f>COUNTIFS('ASF Tracker'!B4:B1002,"&lt;&gt;",'ASF Tracker'!H4:H1002,"Pending EVAL")</f>
        <v>0</v>
      </c>
      <c r="E17" s="13" t="s">
        <v>626</v>
      </c>
      <c r="F17" s="14">
        <f>COUNTIFS('ASF Tracker'!B4:B1002,"&lt;&gt;",'ASF Tracker'!H4:H1002,"N/R")</f>
        <v>15</v>
      </c>
      <c r="H17" s="32" t="s">
        <v>627</v>
      </c>
      <c r="I17" s="33">
        <f>COUNTIFS('ASF Tracker'!B4:B1002,"&lt;&gt;",'ASF Tracker'!H4:H1002,"N/A")</f>
        <v>0</v>
      </c>
    </row>
    <row r="18" spans="1:10" ht="4.1500000000000004" customHeight="1"/>
    <row r="19" spans="1:10" ht="18" customHeight="1">
      <c r="A19" s="115" t="s">
        <v>628</v>
      </c>
      <c r="B19" s="129"/>
      <c r="C19" s="129"/>
      <c r="D19" s="129"/>
      <c r="E19" s="129"/>
      <c r="F19" s="129"/>
      <c r="G19" s="129"/>
      <c r="H19" s="129"/>
      <c r="I19" s="129"/>
      <c r="J19" s="129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Tracker'!$B$4:$B$1002,"&lt;&gt;",'ASF Tracker'!$D$4:$D$1002,"TASK CARD",'ASF Tracker'!$E$4:$E$1002,"Closed")&amp;" / "&amp;COUNTIFS('ASF Tracker'!$B$4:$B$1002,"&lt;&gt;",'ASF Tracker'!$D$4:$D$1002,"TASK CARD"),"-")</f>
        <v>60 / 126</v>
      </c>
      <c r="E21" s="36" t="s">
        <v>170</v>
      </c>
      <c r="F21" s="37" t="str">
        <f>IFERROR(COUNTIFS('ASF Tracker'!$B$4:$B$1002,"&lt;&gt;",'ASF Tracker'!$D$4:$D$1002,"LAVATORY",'ASF Tracker'!$E$4:$E$1002,"Closed")&amp;" / "&amp;COUNTIFS('ASF Tracker'!$B$4:$B$1002,"&lt;&gt;",'ASF Tracker'!$D$4:$D$1002,"LAVATORY"),"-")</f>
        <v>20 / 35</v>
      </c>
      <c r="H21" s="38" t="s">
        <v>311</v>
      </c>
      <c r="I21" s="39" t="str">
        <f>IFERROR(COUNTIFS('ASF Tracker'!$B$4:$B$1002,"&lt;&gt;",'ASF Tracker'!$D$4:$D$1002,"GALLEY",'ASF Tracker'!$E$4:$E$1002,"Closed")&amp;" / "&amp;COUNTIFS('ASF Tracker'!$B$4:$B$1002,"&lt;&gt;",'ASF Tracker'!$D$4:$D$1002,"GALLEY"),"-")</f>
        <v>31 / 39</v>
      </c>
    </row>
    <row r="22" spans="1:10" ht="14.45" customHeight="1">
      <c r="B22" s="111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48%</v>
      </c>
      <c r="C22" s="132"/>
      <c r="E22" s="120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57%</v>
      </c>
      <c r="F22" s="132"/>
      <c r="H22" s="123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79%</v>
      </c>
      <c r="I22" s="132"/>
    </row>
    <row r="23" spans="1:10" ht="4.1500000000000004" customHeight="1">
      <c r="B23" s="54"/>
      <c r="E23" s="54"/>
      <c r="H23" s="54"/>
    </row>
    <row r="24" spans="1:10" ht="31.9" customHeight="1">
      <c r="B24" s="40" t="s">
        <v>142</v>
      </c>
      <c r="C24" s="41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34 / 72</v>
      </c>
      <c r="E24" s="42" t="s">
        <v>411</v>
      </c>
      <c r="F24" s="43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7 / 12</v>
      </c>
      <c r="H24" s="67" t="s">
        <v>525</v>
      </c>
      <c r="I24" s="44" t="str">
        <f>IFERROR(COUNTIFS('ASF Tracker'!$B$4:$B$1002,"&lt;&gt;",'ASF Tracker'!$D$4:$D$1002,"PAX SEAT",'ASF Tracker'!$E$4:$E$1002,"Closed")&amp;" / "&amp;COUNTIFS('ASF Tracker'!$B$4:$B$1002,"&lt;&gt;",'ASF Tracker'!$D$4:$D$1002,"PAX SEAT"),"-")</f>
        <v>1 / 27</v>
      </c>
    </row>
    <row r="25" spans="1:10" ht="14.45" customHeight="1">
      <c r="B25" s="109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47%</v>
      </c>
      <c r="C25" s="132"/>
      <c r="E25" s="108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58%</v>
      </c>
      <c r="F25" s="132"/>
      <c r="H25" s="112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4%</v>
      </c>
      <c r="I25" s="132"/>
    </row>
    <row r="26" spans="1:10" ht="4.1500000000000004" customHeight="1">
      <c r="B26" s="54"/>
      <c r="E26" s="54"/>
      <c r="H26" s="54"/>
    </row>
    <row r="27" spans="1:10" ht="31.9" customHeight="1">
      <c r="B27" s="45" t="s">
        <v>147</v>
      </c>
      <c r="C27" s="46" t="str">
        <f>IFERROR(COUNTIFS('ASF Tracker'!$B$4:$B$1002,"&lt;&gt;",'ASF Tracker'!$D$4:$D$1002,"PAX DOORS",'ASF Tracker'!$E$4:$E$1002,"Closed")&amp;" / "&amp;COUNTIFS('ASF Tracker'!$B$4:$B$1002,"&lt;&gt;",'ASF Tracker'!$D$4:$D$1002,"PAX DOORS"),"-")</f>
        <v>3 / 13</v>
      </c>
      <c r="E27" s="47" t="s">
        <v>333</v>
      </c>
      <c r="F27" s="48" t="str">
        <f>IFERROR(COUNTIFS('ASF Tracker'!$B$4:$B$1002,"&lt;&gt;",'ASF Tracker'!$D$4:$D$1002,"F/A SEAT",'ASF Tracker'!$E$4:$E$1002,"Closed")&amp;" / "&amp;COUNTIFS('ASF Tracker'!$B$4:$B$1002,"&lt;&gt;",'ASF Tracker'!$D$4:$D$1002,"F/A SEAT"),"-")</f>
        <v>17 / 27</v>
      </c>
      <c r="H27" s="55" t="s">
        <v>629</v>
      </c>
      <c r="I27" s="56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5" customHeight="1">
      <c r="B28" s="122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23%</v>
      </c>
      <c r="C28" s="132"/>
      <c r="E28" s="118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63%</v>
      </c>
      <c r="F28" s="132"/>
      <c r="H28" s="124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32"/>
    </row>
    <row r="29" spans="1:10" ht="4.1500000000000004" customHeight="1">
      <c r="B29" s="54"/>
      <c r="E29" s="54"/>
    </row>
    <row r="30" spans="1:10" ht="31.9" customHeight="1">
      <c r="B30" s="49" t="s">
        <v>419</v>
      </c>
      <c r="C30" s="50" t="str">
        <f>IFERROR(COUNTIFS('ASF Tracker'!$B$4:$B$1002,"&lt;&gt;",'ASF Tracker'!$D$4:$D$1002,"FLIGHT DECK",'ASF Tracker'!$E$4:$E$1002,"Closed")&amp;" / "&amp;COUNTIFS('ASF Tracker'!$B$4:$B$1002,"&lt;&gt;",'ASF Tracker'!$D$4:$D$1002,"FLIGHT DECK"),"-")</f>
        <v>19 / 25</v>
      </c>
    </row>
    <row r="31" spans="1:10">
      <c r="B31" s="112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76%</v>
      </c>
      <c r="C31" s="132"/>
    </row>
    <row r="32" spans="1:10" ht="4.1500000000000004" customHeight="1"/>
    <row r="33" spans="1:10" ht="18" customHeight="1">
      <c r="A33" s="115" t="s">
        <v>630</v>
      </c>
      <c r="B33" s="129"/>
      <c r="C33" s="129"/>
      <c r="D33" s="129"/>
      <c r="E33" s="129"/>
      <c r="F33" s="129"/>
      <c r="G33" s="129"/>
      <c r="H33" s="129"/>
      <c r="I33" s="129"/>
      <c r="J33" s="129"/>
    </row>
    <row r="34" spans="1:10" ht="4.1500000000000004" customHeight="1"/>
    <row r="35" spans="1:10" ht="32.1" customHeight="1">
      <c r="B35" s="36" t="s">
        <v>631</v>
      </c>
      <c r="C35" s="92" t="str">
        <f>IFERROR(COUNTIFS('ASF Tracker'!$B$4:$B$1002,"&lt;&gt;",'ASF Tracker'!$G$4:$G$1002,"CAB",'ASF Tracker'!$E$4:$E$1002,"Closed")&amp;" / "&amp;COUNTIFS('ASF Tracker'!$B$4:$B$1002,"&lt;&gt;",'ASF Tracker'!$G$4:$G$1002,"CAB"),"-")</f>
        <v>143 / 222</v>
      </c>
      <c r="E35" s="45" t="s">
        <v>632</v>
      </c>
      <c r="F35" s="93" t="str">
        <f>IFERROR(COUNTIFS('ASF Tracker'!$B$4:$B$1002,"&lt;&gt;",'ASF Tracker'!$G$4:$G$1002,"SEAT",'ASF Tracker'!$E$4:$E$1002,"Closed")&amp;" / "&amp;COUNTIFS('ASF Tracker'!$B$4:$B$1002,"&lt;&gt;",'ASF Tracker'!$G$4:$G$1002,"SEAT"),"-")</f>
        <v>0 / 26</v>
      </c>
      <c r="H35" s="29" t="s">
        <v>633</v>
      </c>
      <c r="I35" s="94" t="str">
        <f>IFERROR(COUNTIFS('ASF Tracker'!$B$4:$B$1002,"&lt;&gt;",'ASF Tracker'!$G$4:$G$1002,"AV",'ASF Tracker'!$E$4:$E$1002,"Closed")&amp;" / "&amp;COUNTIFS('ASF Tracker'!$B$4:$B$1002,"&lt;&gt;",'ASF Tracker'!$G$4:$G$1002,"AV"),"-")</f>
        <v>14 / 33</v>
      </c>
    </row>
    <row r="36" spans="1:10" ht="14.45" customHeight="1">
      <c r="B36" s="120" t="str">
        <f>IFERROR("Completion: "&amp;TEXT(COUNTIFS('ASF Tracker'!$B$4:$B$1002,"&lt;&gt;",'ASF Tracker'!$G$4:$G$1002,"CAB",'ASF Tracker'!$E$4:$E$1002,"Closed")/COUNTIFS('ASF Tracker'!$B$4:$B$1002,"&lt;&gt;",'ASF Tracker'!$G$4:$G$1002,"CAB"),"0%"),"-")</f>
        <v>Completion: 64%</v>
      </c>
      <c r="C36" s="132"/>
      <c r="E36" s="122" t="str">
        <f>IFERROR("Completion: "&amp;TEXT(COUNTIFS('ASF Tracker'!$B$4:$B$1002,"&lt;&gt;",'ASF Tracker'!$G$4:$G$1002,"SEAT",'ASF Tracker'!$E$4:$E$1002,"Closed")/COUNTIFS('ASF Tracker'!$B$4:$B$1002,"&lt;&gt;",'ASF Tracker'!$G$4:$G$1002,"SEAT"),"0%"),"-")</f>
        <v>Completion: 0%</v>
      </c>
      <c r="F36" s="132"/>
      <c r="H36" s="109" t="str">
        <f>IFERROR("Completion: "&amp;TEXT(COUNTIFS('ASF Tracker'!$B$4:$B$1002,"&lt;&gt;",'ASF Tracker'!$G$4:$G$1002,"AV",'ASF Tracker'!$E$4:$E$1002,"Closed")/COUNTIFS('ASF Tracker'!$B$4:$B$1002,"&lt;&gt;",'ASF Tracker'!$G$4:$G$1002,"AV"),"0%"),"-")</f>
        <v>Completion: 42%</v>
      </c>
      <c r="I36" s="132"/>
    </row>
    <row r="37" spans="1:10" ht="3.75" customHeight="1">
      <c r="B37" s="54"/>
      <c r="E37" s="54"/>
      <c r="H37" s="54"/>
    </row>
    <row r="38" spans="1:10" ht="32.1" customHeight="1">
      <c r="B38" s="42" t="s">
        <v>634</v>
      </c>
      <c r="C38" s="95" t="str">
        <f>IFERROR(COUNTIFS('ASF Tracker'!$B$4:$B$1002,"&lt;&gt;",'ASF Tracker'!$G$4:$G$1002,"S/W",'ASF Tracker'!$E$4:$E$1002,"Closed")&amp;" / "&amp;COUNTIFS('ASF Tracker'!$B$4:$B$1002,"&lt;&gt;",'ASF Tracker'!$G$4:$G$1002,"S/W"),"-")</f>
        <v>4 / 10</v>
      </c>
      <c r="E38" s="51" t="s">
        <v>171</v>
      </c>
      <c r="F38" s="96" t="str">
        <f>IFERROR(COUNTIFS('ASF Tracker'!$B$4:$B$1002,"&lt;&gt;",'ASF Tracker'!$G$4:$G$1002,"S/M",'ASF Tracker'!$E$4:$E$1002,"Closed")&amp;" / "&amp;COUNTIFS('ASF Tracker'!$B$4:$B$1002,"&lt;&gt;",'ASF Tracker'!$G$4:$G$1002,"S/M"),"-")</f>
        <v>2 / 6</v>
      </c>
      <c r="H38" s="57" t="s">
        <v>182</v>
      </c>
      <c r="I38" s="97" t="str">
        <f>IFERROR(COUNTIFS('ASF Tracker'!$B$4:$B$1002,"&lt;&gt;",'ASF Tracker'!$G$4:$G$1002,"PAINT",'ASF Tracker'!$E$4:$E$1002,"Closed")&amp;" / "&amp;COUNTIFS('ASF Tracker'!$B$4:$B$1002,"&lt;&gt;",'ASF Tracker'!$G$4:$G$1002,"PAINT"),"-")</f>
        <v>5 / 25</v>
      </c>
    </row>
    <row r="39" spans="1:10" ht="14.45" customHeight="1">
      <c r="B39" s="108" t="str">
        <f>IFERROR("Completion: "&amp;TEXT(COUNTIFS('ASF Tracker'!$B$4:$B$1002,"&lt;&gt;",'ASF Tracker'!$G$4:$G$1002,"S/W",'ASF Tracker'!$E$4:$E$1002,"Closed")/COUNTIFS('ASF Tracker'!$B$4:$B$1002,"&lt;&gt;",'ASF Tracker'!$G$4:$G$1002,"S/W"),"0%"),"-")</f>
        <v>Completion: 40%</v>
      </c>
      <c r="C39" s="132"/>
      <c r="E39" s="114" t="str">
        <f>IFERROR("Completion: "&amp;TEXT(COUNTIFS('ASF Tracker'!$B$4:$B$1002,"&lt;&gt;",'ASF Tracker'!$G$4:$G$1002,"S/M",'ASF Tracker'!$E$4:$E$1002,"Closed")/COUNTIFS('ASF Tracker'!$B$4:$B$1002,"&lt;&gt;",'ASF Tracker'!$G$4:$G$1002,"S/M"),"0%"),"-")</f>
        <v>Completion: 33%</v>
      </c>
      <c r="F39" s="132"/>
      <c r="H39" s="116" t="str">
        <f>IFERROR("Completion: "&amp;TEXT(COUNTIFS('ASF Tracker'!$B$4:$B$1002,"&lt;&gt;",'ASF Tracker'!$G$4:$G$1002,"PAINT",'ASF Tracker'!$E$4:$E$1002,"Closed")/COUNTIFS('ASF Tracker'!$B$4:$B$1002,"&lt;&gt;",'ASF Tracker'!$G$4:$G$1002,"PAINT"),"0%"),"-")</f>
        <v>Completion: 20%</v>
      </c>
      <c r="I39" s="132"/>
    </row>
    <row r="40" spans="1:10" ht="3.75" customHeight="1">
      <c r="B40" s="54"/>
      <c r="E40" s="54"/>
      <c r="H40" s="54"/>
    </row>
    <row r="41" spans="1:10" ht="32.1" customHeight="1">
      <c r="B41" s="52" t="s">
        <v>39</v>
      </c>
      <c r="C41" s="98" t="str">
        <f>IFERROR(COUNTIFS('ASF Tracker'!$B$4:$B$1002,"&lt;&gt;",'ASF Tracker'!$G$4:$G$1002,"JOINT",'ASF Tracker'!$E$4:$E$1002,"Closed")&amp;" / "&amp;COUNTIFS('ASF Tracker'!$B$4:$B$1002,"&lt;&gt;",'ASF Tracker'!$G$4:$G$1002,"JOINT"),"-")</f>
        <v>12 / 20</v>
      </c>
      <c r="E41" s="2" t="s">
        <v>21</v>
      </c>
      <c r="F41" s="99" t="str">
        <f>IFERROR(COUNTIFS('ASF Tracker'!$B$4:$B$1002,"&lt;&gt;",'ASF Tracker'!$G$4:$G$1002,"INSP",'ASF Tracker'!$E$4:$E$1002,"Closed")&amp;" / "&amp;COUNTIFS('ASF Tracker'!$B$4:$B$1002,"&lt;&gt;",'ASF Tracker'!$G$4:$G$1002,"INSP"),"-")</f>
        <v>8 / 14</v>
      </c>
      <c r="H41" s="58" t="s">
        <v>635</v>
      </c>
      <c r="I41" s="100" t="str">
        <f>IFERROR(COUNTIFS('ASF Tracker'!$B$4:$B$1002,"&lt;&gt;",'ASF Tracker'!$G$4:$G$1002,"AP",'ASF Tracker'!$E$4:$E$1002,"Closed")&amp;" / "&amp;COUNTIFS('ASF Tracker'!$B$4:$B$1002,"&lt;&gt;",'ASF Tracker'!$G$4:$G$1002,"AP"),"-")</f>
        <v>4 / 19</v>
      </c>
    </row>
    <row r="42" spans="1:10" ht="14.45" customHeight="1">
      <c r="B42" s="114" t="str">
        <f>IFERROR("Completion: "&amp;TEXT(COUNTIFS('ASF Tracker'!$B$4:$B$1002,"&lt;&gt;",'ASF Tracker'!$G$4:$G$1002,"JOINT",'ASF Tracker'!$E$4:$E$1002,"Closed")/COUNTIFS('ASF Tracker'!$B$4:$B$1002,"&lt;&gt;",'ASF Tracker'!$G$4:$G$1002,"JOINT"),"0%"),"-")</f>
        <v>Completion: 60%</v>
      </c>
      <c r="C42" s="132"/>
      <c r="E42" s="110" t="str">
        <f>IFERROR("Completion: "&amp;TEXT(COUNTIFS('ASF Tracker'!$B$4:$B$1002,"&lt;&gt;",'ASF Tracker'!$G$4:$G$1002,"INSP",'ASF Tracker'!$E$4:$E$1002,"Closed")/COUNTIFS('ASF Tracker'!$B$4:$B$1002,"&lt;&gt;",'ASF Tracker'!$G$4:$G$1002,"INSP"),"0%"),"-")</f>
        <v>Completion: 57%</v>
      </c>
      <c r="F42" s="132"/>
      <c r="H42" s="119" t="str">
        <f>IFERROR("Completion: "&amp;TEXT(COUNTIFS('ASF Tracker'!$B$4:$B$1002,"&lt;&gt;",'ASF Tracker'!$G$4:$G$1002,"AP",'ASF Tracker'!$E$4:$E$1002,"Closed")/COUNTIFS('ASF Tracker'!$B$4:$B$1002,"&lt;&gt;",'ASF Tracker'!$G$4:$G$1002,"AP"),"0%"),"-")</f>
        <v>Completion: 21%</v>
      </c>
      <c r="I42" s="132"/>
    </row>
    <row r="43" spans="1:10" ht="32.1" customHeight="1"/>
  </sheetData>
  <mergeCells count="27"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  <mergeCell ref="I1:J1"/>
    <mergeCell ref="E25:F25"/>
    <mergeCell ref="B25:C25"/>
    <mergeCell ref="E42:F42"/>
    <mergeCell ref="B22:C22"/>
    <mergeCell ref="B31:C31"/>
    <mergeCell ref="A1:H1"/>
    <mergeCell ref="E39:F39"/>
    <mergeCell ref="A13:J13"/>
    <mergeCell ref="A19:J19"/>
    <mergeCell ref="B39:C39"/>
    <mergeCell ref="H39:I39"/>
    <mergeCell ref="H25:I25"/>
    <mergeCell ref="A9:J9"/>
    <mergeCell ref="B42:C42"/>
    <mergeCell ref="E28:F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6" t="s">
        <v>636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</row>
    <row r="2" spans="1:11" ht="16.149999999999999" customHeight="1" thickBot="1">
      <c r="A2" s="125" t="s">
        <v>637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</row>
    <row r="3" spans="1:11" ht="27.75" customHeight="1" thickBot="1">
      <c r="A3" s="59" t="s">
        <v>638</v>
      </c>
      <c r="B3" s="59" t="s">
        <v>639</v>
      </c>
      <c r="C3" s="59" t="s">
        <v>5</v>
      </c>
      <c r="D3" s="59" t="s">
        <v>640</v>
      </c>
      <c r="E3" s="59" t="s">
        <v>641</v>
      </c>
      <c r="F3" s="59" t="s">
        <v>10</v>
      </c>
      <c r="G3" s="59" t="s">
        <v>642</v>
      </c>
      <c r="H3" s="59" t="s">
        <v>643</v>
      </c>
      <c r="I3" s="59" t="s">
        <v>644</v>
      </c>
      <c r="J3" s="59" t="s">
        <v>645</v>
      </c>
      <c r="K3" s="59" t="s">
        <v>646</v>
      </c>
    </row>
    <row r="4" spans="1:11" ht="19.5" customHeight="1">
      <c r="A4" s="60">
        <v>1</v>
      </c>
      <c r="B4" s="77" t="s">
        <v>647</v>
      </c>
      <c r="C4" s="8" t="s">
        <v>170</v>
      </c>
      <c r="D4" s="62" t="s">
        <v>648</v>
      </c>
      <c r="E4" s="11" t="s">
        <v>649</v>
      </c>
      <c r="F4" s="8"/>
      <c r="G4" s="62"/>
      <c r="H4" s="53" t="s">
        <v>650</v>
      </c>
      <c r="I4" s="61"/>
      <c r="J4" s="61"/>
      <c r="K4" s="61"/>
    </row>
    <row r="5" spans="1:11" ht="19.5" customHeight="1">
      <c r="A5" s="60">
        <v>2</v>
      </c>
      <c r="B5" s="77" t="s">
        <v>647</v>
      </c>
      <c r="C5" s="8" t="s">
        <v>170</v>
      </c>
      <c r="D5" s="62"/>
      <c r="E5" s="11" t="s">
        <v>651</v>
      </c>
      <c r="F5" s="8" t="s">
        <v>182</v>
      </c>
      <c r="G5" s="62"/>
      <c r="H5" s="53" t="s">
        <v>652</v>
      </c>
      <c r="I5" s="61"/>
      <c r="J5" s="61"/>
      <c r="K5" s="61"/>
    </row>
    <row r="6" spans="1:11" ht="19.5" customHeight="1">
      <c r="A6" s="60">
        <v>3</v>
      </c>
      <c r="B6" s="77" t="s">
        <v>647</v>
      </c>
      <c r="C6" s="8" t="s">
        <v>170</v>
      </c>
      <c r="D6" s="62"/>
      <c r="E6" s="11" t="s">
        <v>653</v>
      </c>
      <c r="F6" s="8"/>
      <c r="G6" s="62"/>
      <c r="H6" s="53" t="s">
        <v>650</v>
      </c>
      <c r="I6" s="61"/>
      <c r="J6" s="61"/>
      <c r="K6" s="61"/>
    </row>
    <row r="7" spans="1:11" ht="19.5" customHeight="1">
      <c r="A7" s="60">
        <v>4</v>
      </c>
      <c r="B7" s="77" t="s">
        <v>647</v>
      </c>
      <c r="C7" s="8" t="s">
        <v>170</v>
      </c>
      <c r="D7" s="62"/>
      <c r="E7" s="11" t="s">
        <v>654</v>
      </c>
      <c r="F7" s="8"/>
      <c r="G7" s="62"/>
      <c r="H7" s="53" t="s">
        <v>650</v>
      </c>
      <c r="I7" s="61"/>
      <c r="J7" s="61"/>
      <c r="K7" s="61"/>
    </row>
    <row r="8" spans="1:11" ht="19.5" customHeight="1">
      <c r="A8" s="60">
        <v>5</v>
      </c>
      <c r="B8" s="77" t="s">
        <v>647</v>
      </c>
      <c r="C8" s="8" t="s">
        <v>170</v>
      </c>
      <c r="D8" s="62"/>
      <c r="E8" s="11" t="s">
        <v>655</v>
      </c>
      <c r="F8" s="8"/>
      <c r="G8" s="62"/>
      <c r="H8" s="53" t="s">
        <v>650</v>
      </c>
      <c r="I8" s="61"/>
      <c r="J8" s="61"/>
      <c r="K8" s="61"/>
    </row>
    <row r="9" spans="1:11" ht="19.5" customHeight="1">
      <c r="A9" s="60">
        <v>6</v>
      </c>
      <c r="B9" s="77" t="s">
        <v>647</v>
      </c>
      <c r="C9" s="8" t="s">
        <v>170</v>
      </c>
      <c r="D9" s="62"/>
      <c r="E9" s="11" t="s">
        <v>656</v>
      </c>
      <c r="F9" s="8"/>
      <c r="G9" s="62"/>
      <c r="H9" s="53" t="s">
        <v>650</v>
      </c>
      <c r="I9" s="61"/>
      <c r="J9" s="61"/>
      <c r="K9" s="61"/>
    </row>
    <row r="10" spans="1:11" ht="19.5" customHeight="1">
      <c r="A10" s="60">
        <v>7</v>
      </c>
      <c r="B10" s="77" t="s">
        <v>647</v>
      </c>
      <c r="C10" s="8" t="s">
        <v>170</v>
      </c>
      <c r="D10" s="62" t="s">
        <v>657</v>
      </c>
      <c r="E10" s="11" t="s">
        <v>658</v>
      </c>
      <c r="F10" s="8"/>
      <c r="G10" s="62"/>
      <c r="H10" s="53" t="s">
        <v>650</v>
      </c>
      <c r="I10" s="61"/>
      <c r="J10" s="61"/>
      <c r="K10" s="61"/>
    </row>
    <row r="11" spans="1:11" ht="19.5" customHeight="1">
      <c r="A11" s="60">
        <v>8</v>
      </c>
      <c r="B11" s="77" t="s">
        <v>647</v>
      </c>
      <c r="C11" s="8" t="s">
        <v>170</v>
      </c>
      <c r="D11" s="62"/>
      <c r="E11" s="70" t="s">
        <v>659</v>
      </c>
      <c r="F11" s="8"/>
      <c r="G11" s="62"/>
      <c r="H11" s="53" t="s">
        <v>652</v>
      </c>
      <c r="I11" s="61"/>
      <c r="J11" s="61"/>
      <c r="K11" s="61"/>
    </row>
    <row r="12" spans="1:11" ht="19.5" customHeight="1">
      <c r="A12" s="60">
        <v>9</v>
      </c>
      <c r="B12" s="77" t="s">
        <v>647</v>
      </c>
      <c r="C12" s="8" t="s">
        <v>170</v>
      </c>
      <c r="D12" s="62"/>
      <c r="E12" s="11" t="s">
        <v>660</v>
      </c>
      <c r="F12" s="8" t="s">
        <v>182</v>
      </c>
      <c r="G12" s="62"/>
      <c r="H12" s="53" t="s">
        <v>650</v>
      </c>
      <c r="I12" s="61"/>
      <c r="J12" s="61"/>
      <c r="K12" s="61"/>
    </row>
    <row r="13" spans="1:11" ht="19.5" customHeight="1">
      <c r="A13" s="60">
        <v>10</v>
      </c>
      <c r="B13" s="77" t="s">
        <v>647</v>
      </c>
      <c r="C13" s="8" t="s">
        <v>170</v>
      </c>
      <c r="D13" s="62"/>
      <c r="E13" s="11" t="s">
        <v>661</v>
      </c>
      <c r="F13" s="8"/>
      <c r="G13" s="62"/>
      <c r="H13" s="53" t="s">
        <v>650</v>
      </c>
      <c r="I13" s="61"/>
      <c r="J13" s="61"/>
      <c r="K13" s="61"/>
    </row>
    <row r="14" spans="1:11" ht="19.5" customHeight="1">
      <c r="A14" s="60">
        <v>11</v>
      </c>
      <c r="B14" s="77" t="s">
        <v>647</v>
      </c>
      <c r="C14" s="8" t="s">
        <v>170</v>
      </c>
      <c r="D14" s="62"/>
      <c r="E14" s="11" t="s">
        <v>662</v>
      </c>
      <c r="F14" s="8"/>
      <c r="G14" s="62"/>
      <c r="H14" s="53" t="s">
        <v>650</v>
      </c>
      <c r="I14" s="61"/>
      <c r="J14" s="61"/>
      <c r="K14" s="61"/>
    </row>
    <row r="15" spans="1:11" ht="19.5" customHeight="1">
      <c r="A15" s="60">
        <v>12</v>
      </c>
      <c r="B15" s="77" t="s">
        <v>647</v>
      </c>
      <c r="C15" s="8" t="s">
        <v>170</v>
      </c>
      <c r="D15" s="62"/>
      <c r="E15" s="11" t="s">
        <v>663</v>
      </c>
      <c r="F15" s="8"/>
      <c r="G15" s="62"/>
      <c r="H15" s="53" t="s">
        <v>650</v>
      </c>
      <c r="I15" s="61"/>
      <c r="J15" s="61"/>
      <c r="K15" s="61"/>
    </row>
    <row r="16" spans="1:11" ht="19.5" customHeight="1">
      <c r="A16" s="60">
        <v>13</v>
      </c>
      <c r="B16" s="77" t="s">
        <v>647</v>
      </c>
      <c r="C16" s="8" t="s">
        <v>170</v>
      </c>
      <c r="D16" s="62"/>
      <c r="E16" s="11" t="s">
        <v>664</v>
      </c>
      <c r="F16" s="8"/>
      <c r="G16" s="62"/>
      <c r="H16" s="53" t="s">
        <v>650</v>
      </c>
      <c r="I16" s="61"/>
      <c r="J16" s="61"/>
      <c r="K16" s="61"/>
    </row>
    <row r="17" spans="1:11" ht="19.5" customHeight="1">
      <c r="A17" s="60">
        <v>14</v>
      </c>
      <c r="B17" s="77" t="s">
        <v>647</v>
      </c>
      <c r="C17" s="8" t="s">
        <v>170</v>
      </c>
      <c r="D17" s="62" t="s">
        <v>665</v>
      </c>
      <c r="E17" s="11" t="s">
        <v>666</v>
      </c>
      <c r="F17" s="8"/>
      <c r="G17" s="62"/>
      <c r="H17" s="53" t="s">
        <v>650</v>
      </c>
      <c r="I17" s="61"/>
      <c r="J17" s="61"/>
      <c r="K17" s="61"/>
    </row>
    <row r="18" spans="1:11" ht="19.5" customHeight="1">
      <c r="A18" s="60">
        <v>15</v>
      </c>
      <c r="B18" s="77" t="s">
        <v>647</v>
      </c>
      <c r="C18" s="8" t="s">
        <v>170</v>
      </c>
      <c r="D18" s="62"/>
      <c r="E18" s="70" t="s">
        <v>667</v>
      </c>
      <c r="F18" s="8"/>
      <c r="G18" s="62"/>
      <c r="H18" s="53" t="s">
        <v>652</v>
      </c>
      <c r="I18" s="61"/>
      <c r="J18" s="61"/>
      <c r="K18" s="61"/>
    </row>
    <row r="19" spans="1:11" ht="19.5" customHeight="1">
      <c r="A19" s="60">
        <v>16</v>
      </c>
      <c r="B19" s="77" t="s">
        <v>647</v>
      </c>
      <c r="C19" s="8" t="s">
        <v>170</v>
      </c>
      <c r="D19" s="62"/>
      <c r="E19" s="11" t="s">
        <v>668</v>
      </c>
      <c r="F19" s="8"/>
      <c r="G19" s="62"/>
      <c r="H19" s="53" t="s">
        <v>650</v>
      </c>
      <c r="I19" s="61"/>
      <c r="J19" s="61"/>
      <c r="K19" s="61"/>
    </row>
    <row r="20" spans="1:11" ht="19.5" customHeight="1">
      <c r="A20" s="60">
        <v>17</v>
      </c>
      <c r="B20" s="77" t="s">
        <v>647</v>
      </c>
      <c r="C20" s="8" t="s">
        <v>170</v>
      </c>
      <c r="D20" s="62"/>
      <c r="E20" s="70" t="s">
        <v>669</v>
      </c>
      <c r="F20" s="8"/>
      <c r="G20" s="62"/>
      <c r="H20" s="53" t="s">
        <v>652</v>
      </c>
      <c r="I20" s="61"/>
      <c r="J20" s="61"/>
      <c r="K20" s="61"/>
    </row>
    <row r="21" spans="1:11" ht="19.5" customHeight="1">
      <c r="A21" s="60">
        <v>18</v>
      </c>
      <c r="B21" s="77" t="s">
        <v>647</v>
      </c>
      <c r="C21" s="8" t="s">
        <v>170</v>
      </c>
      <c r="D21" s="62"/>
      <c r="E21" s="11" t="s">
        <v>670</v>
      </c>
      <c r="F21" s="8"/>
      <c r="G21" s="62"/>
      <c r="H21" s="53" t="s">
        <v>650</v>
      </c>
      <c r="I21" s="61"/>
      <c r="J21" s="61"/>
      <c r="K21" s="61"/>
    </row>
    <row r="22" spans="1:11" ht="19.5" customHeight="1">
      <c r="A22" s="60">
        <v>19</v>
      </c>
      <c r="B22" s="77" t="s">
        <v>647</v>
      </c>
      <c r="C22" s="8" t="s">
        <v>170</v>
      </c>
      <c r="D22" s="62"/>
      <c r="E22" s="11" t="s">
        <v>671</v>
      </c>
      <c r="F22" s="8"/>
      <c r="G22" s="62"/>
      <c r="H22" s="53" t="s">
        <v>650</v>
      </c>
      <c r="I22" s="61"/>
      <c r="J22" s="61"/>
      <c r="K22" s="61"/>
    </row>
    <row r="23" spans="1:11" ht="19.5" customHeight="1">
      <c r="A23" s="60">
        <v>20</v>
      </c>
      <c r="B23" s="77" t="s">
        <v>647</v>
      </c>
      <c r="C23" s="8" t="s">
        <v>170</v>
      </c>
      <c r="D23" s="62"/>
      <c r="E23" s="11" t="s">
        <v>672</v>
      </c>
      <c r="F23" s="8"/>
      <c r="G23" s="62"/>
      <c r="H23" s="53" t="s">
        <v>650</v>
      </c>
      <c r="I23" s="61"/>
      <c r="J23" s="61"/>
      <c r="K23" s="61"/>
    </row>
    <row r="24" spans="1:11" ht="19.5" customHeight="1">
      <c r="A24" s="60">
        <v>21</v>
      </c>
      <c r="B24" s="77" t="s">
        <v>647</v>
      </c>
      <c r="C24" s="8" t="s">
        <v>170</v>
      </c>
      <c r="D24" s="62"/>
      <c r="E24" s="11" t="s">
        <v>673</v>
      </c>
      <c r="F24" s="8" t="s">
        <v>674</v>
      </c>
      <c r="G24" s="62"/>
      <c r="H24" s="53" t="s">
        <v>652</v>
      </c>
      <c r="I24" s="61"/>
      <c r="J24" s="61"/>
      <c r="K24" s="61"/>
    </row>
    <row r="25" spans="1:11" ht="19.5" customHeight="1">
      <c r="A25" s="60">
        <v>22</v>
      </c>
      <c r="B25" s="77" t="s">
        <v>647</v>
      </c>
      <c r="C25" s="8" t="s">
        <v>311</v>
      </c>
      <c r="D25" s="62"/>
      <c r="E25" s="11" t="s">
        <v>675</v>
      </c>
      <c r="F25" s="8"/>
      <c r="G25" s="62"/>
      <c r="H25" s="53" t="s">
        <v>650</v>
      </c>
      <c r="I25" s="61"/>
      <c r="J25" s="61"/>
      <c r="K25" s="61"/>
    </row>
    <row r="26" spans="1:11" ht="19.5" customHeight="1">
      <c r="A26" s="60">
        <v>23</v>
      </c>
      <c r="B26" s="77" t="s">
        <v>647</v>
      </c>
      <c r="C26" s="8" t="s">
        <v>311</v>
      </c>
      <c r="D26" s="62"/>
      <c r="E26" s="11" t="s">
        <v>676</v>
      </c>
      <c r="F26" s="8"/>
      <c r="G26" s="62"/>
      <c r="H26" s="53" t="s">
        <v>650</v>
      </c>
      <c r="I26" s="61"/>
      <c r="J26" s="61"/>
      <c r="K26" s="61"/>
    </row>
    <row r="27" spans="1:11" ht="19.5" customHeight="1">
      <c r="A27" s="60">
        <v>24</v>
      </c>
      <c r="B27" s="77" t="s">
        <v>647</v>
      </c>
      <c r="C27" s="8" t="s">
        <v>311</v>
      </c>
      <c r="D27" s="62"/>
      <c r="E27" s="11" t="s">
        <v>677</v>
      </c>
      <c r="F27" s="8" t="s">
        <v>678</v>
      </c>
      <c r="G27" s="62"/>
      <c r="H27" s="53" t="s">
        <v>650</v>
      </c>
      <c r="I27" s="61"/>
      <c r="J27" s="61"/>
      <c r="K27" s="61"/>
    </row>
    <row r="28" spans="1:11" ht="19.5" customHeight="1">
      <c r="A28" s="60">
        <v>25</v>
      </c>
      <c r="B28" s="77" t="s">
        <v>647</v>
      </c>
      <c r="C28" s="8" t="s">
        <v>311</v>
      </c>
      <c r="D28" s="62"/>
      <c r="E28" s="11" t="s">
        <v>679</v>
      </c>
      <c r="F28" s="8"/>
      <c r="G28" s="62"/>
      <c r="H28" s="53" t="s">
        <v>652</v>
      </c>
      <c r="I28" s="61"/>
      <c r="J28" s="61"/>
      <c r="K28" s="61"/>
    </row>
    <row r="29" spans="1:11" ht="19.5" customHeight="1">
      <c r="A29" s="60">
        <v>26</v>
      </c>
      <c r="B29" s="77" t="s">
        <v>647</v>
      </c>
      <c r="C29" s="8" t="s">
        <v>311</v>
      </c>
      <c r="D29" s="62"/>
      <c r="E29" s="70" t="s">
        <v>680</v>
      </c>
      <c r="F29" s="73" t="s">
        <v>681</v>
      </c>
      <c r="G29" s="62"/>
      <c r="H29" s="53" t="s">
        <v>652</v>
      </c>
      <c r="I29" s="61"/>
      <c r="J29" s="61"/>
      <c r="K29" s="61"/>
    </row>
    <row r="30" spans="1:11" ht="19.5" customHeight="1">
      <c r="A30" s="60">
        <v>27</v>
      </c>
      <c r="B30" s="77" t="s">
        <v>647</v>
      </c>
      <c r="C30" s="8" t="s">
        <v>311</v>
      </c>
      <c r="D30" s="62"/>
      <c r="E30" s="11" t="s">
        <v>682</v>
      </c>
      <c r="F30" s="8"/>
      <c r="G30" s="62"/>
      <c r="H30" s="53" t="s">
        <v>650</v>
      </c>
      <c r="I30" s="61"/>
      <c r="J30" s="61"/>
      <c r="K30" s="61"/>
    </row>
    <row r="31" spans="1:11" ht="19.5" customHeight="1">
      <c r="A31" s="60">
        <v>28</v>
      </c>
      <c r="B31" s="77" t="s">
        <v>647</v>
      </c>
      <c r="C31" s="8" t="s">
        <v>311</v>
      </c>
      <c r="D31" s="62"/>
      <c r="E31" s="11" t="s">
        <v>683</v>
      </c>
      <c r="F31" s="8"/>
      <c r="G31" s="62"/>
      <c r="H31" s="53" t="s">
        <v>652</v>
      </c>
      <c r="I31" s="61"/>
      <c r="J31" s="61"/>
      <c r="K31" s="61"/>
    </row>
    <row r="32" spans="1:11" ht="19.5" customHeight="1">
      <c r="A32" s="60">
        <v>29</v>
      </c>
      <c r="B32" s="77" t="s">
        <v>647</v>
      </c>
      <c r="C32" s="8" t="s">
        <v>311</v>
      </c>
      <c r="D32" s="62"/>
      <c r="E32" s="70" t="s">
        <v>684</v>
      </c>
      <c r="F32" s="73" t="s">
        <v>681</v>
      </c>
      <c r="G32" s="62"/>
      <c r="H32" s="53" t="s">
        <v>652</v>
      </c>
      <c r="I32" s="61"/>
      <c r="J32" s="61"/>
      <c r="K32" s="61"/>
    </row>
    <row r="33" spans="1:11" ht="19.5" customHeight="1">
      <c r="A33" s="60">
        <v>30</v>
      </c>
      <c r="B33" s="77" t="s">
        <v>647</v>
      </c>
      <c r="C33" s="8" t="s">
        <v>311</v>
      </c>
      <c r="D33" s="62"/>
      <c r="E33" s="11" t="s">
        <v>685</v>
      </c>
      <c r="F33" s="8"/>
      <c r="G33" s="62"/>
      <c r="H33" s="53" t="s">
        <v>650</v>
      </c>
      <c r="I33" s="61"/>
      <c r="J33" s="61"/>
      <c r="K33" s="61"/>
    </row>
    <row r="34" spans="1:11" ht="19.5" customHeight="1">
      <c r="A34" s="60">
        <v>31</v>
      </c>
      <c r="B34" s="77" t="s">
        <v>647</v>
      </c>
      <c r="C34" s="8" t="s">
        <v>311</v>
      </c>
      <c r="D34" s="62"/>
      <c r="E34" s="11" t="s">
        <v>686</v>
      </c>
      <c r="F34" s="8"/>
      <c r="G34" s="62"/>
      <c r="H34" s="53" t="s">
        <v>650</v>
      </c>
      <c r="I34" s="61"/>
      <c r="J34" s="61"/>
      <c r="K34" s="61"/>
    </row>
    <row r="35" spans="1:11" ht="19.5" customHeight="1">
      <c r="A35" s="60">
        <v>32</v>
      </c>
      <c r="B35" s="77" t="s">
        <v>647</v>
      </c>
      <c r="C35" s="8" t="s">
        <v>311</v>
      </c>
      <c r="D35" s="62"/>
      <c r="E35" s="11" t="s">
        <v>687</v>
      </c>
      <c r="F35" s="8"/>
      <c r="G35" s="62"/>
      <c r="H35" s="53" t="s">
        <v>650</v>
      </c>
      <c r="I35" s="61"/>
      <c r="J35" s="61"/>
      <c r="K35" s="61"/>
    </row>
    <row r="36" spans="1:11" ht="19.5" customHeight="1">
      <c r="A36" s="60">
        <v>33</v>
      </c>
      <c r="B36" s="77" t="s">
        <v>647</v>
      </c>
      <c r="C36" s="8" t="s">
        <v>311</v>
      </c>
      <c r="D36" s="62"/>
      <c r="E36" s="70" t="s">
        <v>688</v>
      </c>
      <c r="F36" s="8" t="s">
        <v>689</v>
      </c>
      <c r="G36" s="62"/>
      <c r="H36" s="53" t="s">
        <v>652</v>
      </c>
      <c r="I36" s="61"/>
      <c r="J36" s="61"/>
      <c r="K36" s="61"/>
    </row>
    <row r="37" spans="1:11" ht="19.5" customHeight="1">
      <c r="A37" s="60">
        <v>34</v>
      </c>
      <c r="B37" s="77" t="s">
        <v>647</v>
      </c>
      <c r="C37" s="8" t="s">
        <v>311</v>
      </c>
      <c r="D37" s="62"/>
      <c r="E37" s="70" t="s">
        <v>690</v>
      </c>
      <c r="F37" s="8"/>
      <c r="G37" s="62"/>
      <c r="H37" s="53" t="s">
        <v>652</v>
      </c>
      <c r="I37" s="61"/>
      <c r="J37" s="61"/>
      <c r="K37" s="61"/>
    </row>
    <row r="38" spans="1:11" ht="19.5" customHeight="1">
      <c r="A38" s="60">
        <v>35</v>
      </c>
      <c r="B38" s="77" t="s">
        <v>647</v>
      </c>
      <c r="C38" s="8" t="s">
        <v>311</v>
      </c>
      <c r="D38" s="62"/>
      <c r="E38" s="11" t="s">
        <v>691</v>
      </c>
      <c r="F38" s="8"/>
      <c r="G38" s="62"/>
      <c r="H38" s="53" t="s">
        <v>650</v>
      </c>
      <c r="I38" s="61"/>
      <c r="J38" s="61"/>
      <c r="K38" s="61"/>
    </row>
    <row r="39" spans="1:11" ht="19.5" customHeight="1">
      <c r="A39" s="60">
        <v>36</v>
      </c>
      <c r="B39" s="77" t="s">
        <v>647</v>
      </c>
      <c r="C39" s="8" t="s">
        <v>311</v>
      </c>
      <c r="D39" s="62"/>
      <c r="E39" s="11" t="s">
        <v>692</v>
      </c>
      <c r="F39" s="8"/>
      <c r="G39" s="62"/>
      <c r="H39" s="53" t="s">
        <v>652</v>
      </c>
      <c r="I39" s="61"/>
      <c r="J39" s="61"/>
      <c r="K39" s="61"/>
    </row>
    <row r="40" spans="1:11" ht="19.5" customHeight="1">
      <c r="A40" s="60">
        <v>37</v>
      </c>
      <c r="B40" s="77" t="s">
        <v>647</v>
      </c>
      <c r="C40" s="8" t="s">
        <v>311</v>
      </c>
      <c r="D40" s="62"/>
      <c r="E40" s="11" t="s">
        <v>693</v>
      </c>
      <c r="F40" s="8"/>
      <c r="G40" s="62"/>
      <c r="H40" s="53" t="s">
        <v>652</v>
      </c>
      <c r="I40" s="61"/>
      <c r="J40" s="61"/>
      <c r="K40" s="61"/>
    </row>
    <row r="41" spans="1:11" ht="19.5" customHeight="1">
      <c r="A41" s="60">
        <v>38</v>
      </c>
      <c r="B41" s="77" t="s">
        <v>647</v>
      </c>
      <c r="C41" s="8" t="s">
        <v>311</v>
      </c>
      <c r="D41" s="62"/>
      <c r="E41" s="11" t="s">
        <v>694</v>
      </c>
      <c r="F41" s="8"/>
      <c r="G41" s="62"/>
      <c r="H41" s="53" t="s">
        <v>652</v>
      </c>
      <c r="I41" s="61"/>
      <c r="J41" s="61"/>
      <c r="K41" s="61"/>
    </row>
    <row r="42" spans="1:11" ht="19.5" customHeight="1">
      <c r="A42" s="60">
        <v>39</v>
      </c>
      <c r="B42" s="77" t="s">
        <v>647</v>
      </c>
      <c r="C42" s="8" t="s">
        <v>311</v>
      </c>
      <c r="D42" s="62"/>
      <c r="E42" s="11" t="s">
        <v>695</v>
      </c>
      <c r="F42" s="8"/>
      <c r="G42" s="62"/>
      <c r="H42" s="53" t="s">
        <v>652</v>
      </c>
      <c r="I42" s="61"/>
      <c r="J42" s="61"/>
      <c r="K42" s="61"/>
    </row>
    <row r="43" spans="1:11" ht="19.5" customHeight="1">
      <c r="A43" s="60">
        <v>40</v>
      </c>
      <c r="B43" s="77" t="s">
        <v>647</v>
      </c>
      <c r="C43" s="8" t="s">
        <v>142</v>
      </c>
      <c r="D43" s="62"/>
      <c r="E43" s="11" t="s">
        <v>696</v>
      </c>
      <c r="F43" s="8"/>
      <c r="G43" s="62"/>
      <c r="H43" s="53" t="s">
        <v>650</v>
      </c>
      <c r="I43" s="61"/>
      <c r="J43" s="61"/>
      <c r="K43" s="61"/>
    </row>
    <row r="44" spans="1:11" ht="19.5" customHeight="1">
      <c r="A44" s="60">
        <v>41</v>
      </c>
      <c r="B44" s="77" t="s">
        <v>647</v>
      </c>
      <c r="C44" s="8" t="s">
        <v>142</v>
      </c>
      <c r="D44" s="62"/>
      <c r="E44" s="11" t="s">
        <v>697</v>
      </c>
      <c r="F44" s="8"/>
      <c r="G44" s="62"/>
      <c r="H44" s="53" t="s">
        <v>650</v>
      </c>
      <c r="I44" s="61"/>
      <c r="J44" s="61"/>
      <c r="K44" s="61"/>
    </row>
    <row r="45" spans="1:11" ht="19.5" customHeight="1">
      <c r="A45" s="60">
        <v>42</v>
      </c>
      <c r="B45" s="77" t="s">
        <v>647</v>
      </c>
      <c r="C45" s="8" t="s">
        <v>142</v>
      </c>
      <c r="D45" s="62"/>
      <c r="E45" s="11" t="s">
        <v>698</v>
      </c>
      <c r="F45" s="8"/>
      <c r="G45" s="62"/>
      <c r="H45" s="53" t="s">
        <v>650</v>
      </c>
      <c r="I45" s="61"/>
      <c r="J45" s="61"/>
      <c r="K45" s="61"/>
    </row>
    <row r="46" spans="1:11" ht="19.5" customHeight="1">
      <c r="A46" s="60">
        <v>43</v>
      </c>
      <c r="B46" s="77" t="s">
        <v>647</v>
      </c>
      <c r="C46" s="8" t="s">
        <v>142</v>
      </c>
      <c r="D46" s="62"/>
      <c r="E46" s="11" t="s">
        <v>699</v>
      </c>
      <c r="F46" s="8"/>
      <c r="G46" s="62"/>
      <c r="H46" s="53" t="s">
        <v>650</v>
      </c>
      <c r="I46" s="61"/>
      <c r="J46" s="61"/>
      <c r="K46" s="61"/>
    </row>
    <row r="47" spans="1:11" ht="19.5" customHeight="1">
      <c r="A47" s="60">
        <v>44</v>
      </c>
      <c r="B47" s="77" t="s">
        <v>647</v>
      </c>
      <c r="C47" s="8" t="s">
        <v>142</v>
      </c>
      <c r="D47" s="62"/>
      <c r="E47" s="11" t="s">
        <v>700</v>
      </c>
      <c r="F47" s="8"/>
      <c r="G47" s="62"/>
      <c r="H47" s="53" t="s">
        <v>650</v>
      </c>
      <c r="I47" s="61"/>
      <c r="J47" s="61"/>
      <c r="K47" s="61"/>
    </row>
    <row r="48" spans="1:11" ht="19.5" customHeight="1">
      <c r="A48" s="60">
        <v>45</v>
      </c>
      <c r="B48" s="77" t="s">
        <v>647</v>
      </c>
      <c r="C48" s="8" t="s">
        <v>142</v>
      </c>
      <c r="D48" s="62"/>
      <c r="E48" s="11" t="s">
        <v>701</v>
      </c>
      <c r="F48" s="8"/>
      <c r="G48" s="62"/>
      <c r="H48" s="53" t="s">
        <v>650</v>
      </c>
      <c r="I48" s="61"/>
      <c r="J48" s="61"/>
      <c r="K48" s="61"/>
    </row>
    <row r="49" spans="1:11" ht="19.5" customHeight="1">
      <c r="A49" s="60">
        <v>46</v>
      </c>
      <c r="B49" s="77" t="s">
        <v>647</v>
      </c>
      <c r="C49" s="8" t="s">
        <v>142</v>
      </c>
      <c r="D49" s="62"/>
      <c r="E49" s="11" t="s">
        <v>702</v>
      </c>
      <c r="F49" s="8"/>
      <c r="G49" s="62"/>
      <c r="H49" s="53" t="s">
        <v>650</v>
      </c>
      <c r="I49" s="61"/>
      <c r="J49" s="61"/>
      <c r="K49" s="61"/>
    </row>
    <row r="50" spans="1:11" ht="19.5" customHeight="1">
      <c r="A50" s="60">
        <v>47</v>
      </c>
      <c r="B50" s="77" t="s">
        <v>647</v>
      </c>
      <c r="C50" s="8" t="s">
        <v>142</v>
      </c>
      <c r="D50" s="62"/>
      <c r="E50" s="11" t="s">
        <v>703</v>
      </c>
      <c r="F50" s="8"/>
      <c r="G50" s="62"/>
      <c r="H50" s="53" t="s">
        <v>650</v>
      </c>
      <c r="I50" s="61"/>
      <c r="J50" s="61"/>
      <c r="K50" s="61"/>
    </row>
    <row r="51" spans="1:11" ht="19.5" customHeight="1">
      <c r="A51" s="60">
        <v>48</v>
      </c>
      <c r="B51" s="77" t="s">
        <v>647</v>
      </c>
      <c r="C51" s="8" t="s">
        <v>142</v>
      </c>
      <c r="D51" s="62"/>
      <c r="E51" s="11" t="s">
        <v>704</v>
      </c>
      <c r="F51" s="8"/>
      <c r="G51" s="62"/>
      <c r="H51" s="53" t="s">
        <v>650</v>
      </c>
      <c r="I51" s="61"/>
      <c r="J51" s="61"/>
      <c r="K51" s="61"/>
    </row>
    <row r="52" spans="1:11" ht="19.5" customHeight="1">
      <c r="A52" s="60">
        <v>49</v>
      </c>
      <c r="B52" s="77" t="s">
        <v>647</v>
      </c>
      <c r="C52" s="8" t="s">
        <v>142</v>
      </c>
      <c r="D52" s="62"/>
      <c r="E52" s="11" t="s">
        <v>705</v>
      </c>
      <c r="F52" s="8"/>
      <c r="G52" s="62"/>
      <c r="H52" s="53" t="s">
        <v>650</v>
      </c>
      <c r="I52" s="61"/>
      <c r="J52" s="61"/>
      <c r="K52" s="61"/>
    </row>
    <row r="53" spans="1:11" ht="19.5" customHeight="1">
      <c r="A53" s="60">
        <v>50</v>
      </c>
      <c r="B53" s="77" t="s">
        <v>647</v>
      </c>
      <c r="C53" s="8" t="s">
        <v>142</v>
      </c>
      <c r="D53" s="62"/>
      <c r="E53" s="11" t="s">
        <v>706</v>
      </c>
      <c r="F53" s="8"/>
      <c r="G53" s="62"/>
      <c r="H53" s="53" t="s">
        <v>650</v>
      </c>
      <c r="I53" s="61"/>
      <c r="J53" s="61"/>
      <c r="K53" s="61"/>
    </row>
    <row r="54" spans="1:11" ht="19.5" customHeight="1">
      <c r="A54" s="60">
        <v>51</v>
      </c>
      <c r="B54" s="77" t="s">
        <v>647</v>
      </c>
      <c r="C54" s="8" t="s">
        <v>419</v>
      </c>
      <c r="D54" s="62"/>
      <c r="E54" s="11" t="s">
        <v>707</v>
      </c>
      <c r="F54" s="8"/>
      <c r="G54" s="62"/>
      <c r="H54" s="53" t="s">
        <v>650</v>
      </c>
      <c r="I54" s="61"/>
      <c r="J54" s="61"/>
      <c r="K54" s="61"/>
    </row>
    <row r="55" spans="1:11" ht="19.5" customHeight="1">
      <c r="A55" s="60">
        <v>52</v>
      </c>
      <c r="B55" s="77" t="s">
        <v>647</v>
      </c>
      <c r="C55" s="8" t="s">
        <v>419</v>
      </c>
      <c r="D55" s="62"/>
      <c r="E55" s="11" t="s">
        <v>708</v>
      </c>
      <c r="F55" s="8"/>
      <c r="G55" s="62"/>
      <c r="H55" s="53" t="s">
        <v>652</v>
      </c>
      <c r="I55" s="61"/>
      <c r="J55" s="61"/>
      <c r="K55" s="61"/>
    </row>
    <row r="56" spans="1:11" ht="19.5" customHeight="1">
      <c r="A56" s="60">
        <v>53</v>
      </c>
      <c r="B56" s="77" t="s">
        <v>647</v>
      </c>
      <c r="C56" s="8" t="s">
        <v>419</v>
      </c>
      <c r="D56" s="62"/>
      <c r="E56" s="70" t="s">
        <v>709</v>
      </c>
      <c r="F56" s="8"/>
      <c r="G56" s="62"/>
      <c r="H56" s="53" t="s">
        <v>652</v>
      </c>
      <c r="I56" s="61"/>
      <c r="J56" s="61"/>
      <c r="K56" s="61"/>
    </row>
    <row r="57" spans="1:11" ht="19.5" customHeight="1">
      <c r="A57" s="60">
        <v>54</v>
      </c>
      <c r="B57" s="77" t="s">
        <v>647</v>
      </c>
      <c r="C57" s="8" t="s">
        <v>419</v>
      </c>
      <c r="D57" s="62"/>
      <c r="E57" s="11" t="s">
        <v>710</v>
      </c>
      <c r="F57" s="8"/>
      <c r="G57" s="62"/>
      <c r="H57" s="53" t="s">
        <v>652</v>
      </c>
      <c r="I57" s="61"/>
      <c r="J57" s="61"/>
      <c r="K57" s="61"/>
    </row>
    <row r="58" spans="1:11" ht="19.5" customHeight="1">
      <c r="A58" s="60">
        <v>55</v>
      </c>
      <c r="B58" s="77" t="s">
        <v>647</v>
      </c>
      <c r="C58" s="8" t="s">
        <v>419</v>
      </c>
      <c r="D58" s="62"/>
      <c r="E58" s="11" t="s">
        <v>711</v>
      </c>
      <c r="F58" s="8"/>
      <c r="G58" s="62"/>
      <c r="H58" s="53" t="s">
        <v>652</v>
      </c>
      <c r="I58" s="61"/>
      <c r="J58" s="61"/>
      <c r="K58" s="61"/>
    </row>
    <row r="59" spans="1:11" ht="19.5" customHeight="1">
      <c r="A59" s="60">
        <v>56</v>
      </c>
      <c r="B59" s="77" t="s">
        <v>647</v>
      </c>
      <c r="C59" s="8" t="s">
        <v>419</v>
      </c>
      <c r="D59" s="62"/>
      <c r="E59" s="70" t="s">
        <v>712</v>
      </c>
      <c r="F59" s="8"/>
      <c r="G59" s="62"/>
      <c r="H59" s="53" t="s">
        <v>652</v>
      </c>
      <c r="I59" s="61"/>
      <c r="J59" s="61"/>
      <c r="K59" s="61"/>
    </row>
    <row r="60" spans="1:11" ht="19.5" customHeight="1">
      <c r="A60" s="60">
        <v>57</v>
      </c>
      <c r="B60" s="77" t="s">
        <v>647</v>
      </c>
      <c r="C60" s="8" t="s">
        <v>419</v>
      </c>
      <c r="D60" s="62"/>
      <c r="E60" s="11" t="s">
        <v>713</v>
      </c>
      <c r="F60" s="8"/>
      <c r="G60" s="62"/>
      <c r="H60" s="53" t="s">
        <v>652</v>
      </c>
      <c r="I60" s="61"/>
      <c r="J60" s="61"/>
      <c r="K60" s="61"/>
    </row>
    <row r="61" spans="1:11" ht="19.5" customHeight="1">
      <c r="A61" s="60">
        <v>58</v>
      </c>
      <c r="B61" s="77" t="s">
        <v>647</v>
      </c>
      <c r="C61" s="8" t="s">
        <v>419</v>
      </c>
      <c r="D61" s="62"/>
      <c r="E61" s="70" t="s">
        <v>714</v>
      </c>
      <c r="F61" s="8"/>
      <c r="G61" s="62"/>
      <c r="H61" s="53" t="s">
        <v>652</v>
      </c>
      <c r="I61" s="61"/>
      <c r="J61" s="61"/>
      <c r="K61" s="61"/>
    </row>
    <row r="62" spans="1:11" ht="19.5" customHeight="1">
      <c r="A62" s="60">
        <v>59</v>
      </c>
      <c r="B62" s="77" t="s">
        <v>647</v>
      </c>
      <c r="C62" s="8" t="s">
        <v>419</v>
      </c>
      <c r="D62" s="62"/>
      <c r="E62" s="11" t="s">
        <v>715</v>
      </c>
      <c r="F62" s="8"/>
      <c r="G62" s="62"/>
      <c r="H62" s="53" t="s">
        <v>652</v>
      </c>
      <c r="I62" s="61"/>
      <c r="J62" s="61"/>
      <c r="K62" s="61"/>
    </row>
    <row r="63" spans="1:11" ht="19.5" customHeight="1">
      <c r="A63" s="60">
        <v>60</v>
      </c>
      <c r="B63" s="77" t="s">
        <v>647</v>
      </c>
      <c r="C63" s="8" t="s">
        <v>419</v>
      </c>
      <c r="D63" s="62"/>
      <c r="E63" s="70" t="s">
        <v>716</v>
      </c>
      <c r="F63" s="8"/>
      <c r="G63" s="62"/>
      <c r="H63" s="53" t="s">
        <v>652</v>
      </c>
      <c r="I63" s="61"/>
      <c r="J63" s="61"/>
      <c r="K63" s="61"/>
    </row>
    <row r="64" spans="1:11" ht="19.5" customHeight="1">
      <c r="A64" s="60">
        <v>61</v>
      </c>
      <c r="B64" s="77" t="s">
        <v>647</v>
      </c>
      <c r="C64" s="8" t="s">
        <v>419</v>
      </c>
      <c r="D64" s="62"/>
      <c r="E64" s="11" t="s">
        <v>717</v>
      </c>
      <c r="F64" s="8"/>
      <c r="G64" s="62"/>
      <c r="H64" s="53" t="s">
        <v>652</v>
      </c>
      <c r="I64" s="61"/>
      <c r="J64" s="61"/>
      <c r="K64" s="61"/>
    </row>
    <row r="65" spans="1:11" ht="19.5" customHeight="1">
      <c r="A65" s="60">
        <v>62</v>
      </c>
      <c r="B65" s="77" t="s">
        <v>647</v>
      </c>
      <c r="C65" s="8" t="s">
        <v>419</v>
      </c>
      <c r="D65" s="62"/>
      <c r="E65" s="11" t="s">
        <v>718</v>
      </c>
      <c r="F65" s="8"/>
      <c r="G65" s="62"/>
      <c r="H65" s="53" t="s">
        <v>652</v>
      </c>
      <c r="I65" s="61"/>
      <c r="J65" s="61"/>
      <c r="K65" s="61"/>
    </row>
    <row r="66" spans="1:11" ht="19.5" customHeight="1">
      <c r="A66" s="60">
        <v>63</v>
      </c>
      <c r="B66" s="77" t="s">
        <v>647</v>
      </c>
      <c r="C66" s="8" t="s">
        <v>419</v>
      </c>
      <c r="D66" s="62"/>
      <c r="E66" s="11" t="s">
        <v>719</v>
      </c>
      <c r="F66" s="8"/>
      <c r="G66" s="62"/>
      <c r="H66" s="53" t="s">
        <v>652</v>
      </c>
      <c r="I66" s="61"/>
      <c r="J66" s="61"/>
      <c r="K66" s="61"/>
    </row>
    <row r="67" spans="1:11" ht="19.5" customHeight="1">
      <c r="A67" s="60">
        <v>64</v>
      </c>
      <c r="B67" s="77" t="s">
        <v>720</v>
      </c>
      <c r="C67" s="8" t="s">
        <v>411</v>
      </c>
      <c r="D67" s="11" t="s">
        <v>721</v>
      </c>
      <c r="E67" s="11" t="s">
        <v>722</v>
      </c>
      <c r="F67" s="8"/>
      <c r="G67" s="83" t="s">
        <v>723</v>
      </c>
      <c r="H67" s="53" t="s">
        <v>652</v>
      </c>
      <c r="I67" s="61"/>
      <c r="J67" s="61"/>
      <c r="K67" s="61"/>
    </row>
    <row r="68" spans="1:11" ht="19.5" customHeight="1">
      <c r="A68" s="60">
        <v>65</v>
      </c>
      <c r="B68" s="77" t="s">
        <v>720</v>
      </c>
      <c r="C68" s="8" t="s">
        <v>142</v>
      </c>
      <c r="D68" s="11" t="s">
        <v>721</v>
      </c>
      <c r="E68" s="11" t="s">
        <v>724</v>
      </c>
      <c r="F68" s="8"/>
      <c r="G68" s="83" t="s">
        <v>725</v>
      </c>
      <c r="H68" s="53" t="s">
        <v>652</v>
      </c>
      <c r="I68" s="61"/>
      <c r="J68" s="61"/>
      <c r="K68" s="61"/>
    </row>
    <row r="69" spans="1:11" ht="19.5" customHeight="1">
      <c r="A69" s="60">
        <v>66</v>
      </c>
      <c r="B69" s="77" t="s">
        <v>720</v>
      </c>
      <c r="C69" s="8" t="s">
        <v>142</v>
      </c>
      <c r="D69" s="11" t="s">
        <v>721</v>
      </c>
      <c r="E69" s="11" t="s">
        <v>726</v>
      </c>
      <c r="F69" s="8"/>
      <c r="G69" s="83" t="s">
        <v>727</v>
      </c>
      <c r="H69" s="53" t="s">
        <v>652</v>
      </c>
      <c r="I69" s="61"/>
      <c r="J69" s="61"/>
      <c r="K69" s="61"/>
    </row>
    <row r="70" spans="1:11" ht="19.5" customHeight="1">
      <c r="A70" s="60">
        <v>67</v>
      </c>
      <c r="B70" s="77" t="s">
        <v>720</v>
      </c>
      <c r="C70" s="8" t="s">
        <v>142</v>
      </c>
      <c r="D70" s="11" t="s">
        <v>728</v>
      </c>
      <c r="E70" s="11" t="s">
        <v>729</v>
      </c>
      <c r="F70" s="8"/>
      <c r="G70" s="83" t="s">
        <v>730</v>
      </c>
      <c r="H70" s="53" t="s">
        <v>652</v>
      </c>
      <c r="I70" s="61"/>
      <c r="J70" s="61"/>
      <c r="K70" s="61"/>
    </row>
    <row r="71" spans="1:11" ht="19.5" customHeight="1">
      <c r="A71" s="60">
        <v>68</v>
      </c>
      <c r="B71" s="77" t="s">
        <v>720</v>
      </c>
      <c r="C71" s="8" t="s">
        <v>142</v>
      </c>
      <c r="D71" s="11" t="s">
        <v>721</v>
      </c>
      <c r="E71" s="11" t="s">
        <v>731</v>
      </c>
      <c r="F71" s="8"/>
      <c r="G71" s="83" t="s">
        <v>732</v>
      </c>
      <c r="H71" s="53" t="s">
        <v>652</v>
      </c>
      <c r="I71" s="61"/>
      <c r="J71" s="61"/>
      <c r="K71" s="61"/>
    </row>
    <row r="72" spans="1:11" ht="19.5" customHeight="1">
      <c r="A72" s="60">
        <v>69</v>
      </c>
      <c r="B72" s="77" t="s">
        <v>720</v>
      </c>
      <c r="C72" s="8" t="s">
        <v>142</v>
      </c>
      <c r="D72" s="11" t="s">
        <v>721</v>
      </c>
      <c r="E72" s="11" t="s">
        <v>733</v>
      </c>
      <c r="F72" s="8"/>
      <c r="G72" s="83" t="s">
        <v>734</v>
      </c>
      <c r="H72" s="53" t="s">
        <v>652</v>
      </c>
      <c r="I72" s="61"/>
      <c r="J72" s="61"/>
      <c r="K72" s="61"/>
    </row>
    <row r="73" spans="1:11" ht="19.5" customHeight="1">
      <c r="A73" s="60">
        <v>70</v>
      </c>
      <c r="B73" s="77" t="s">
        <v>720</v>
      </c>
      <c r="C73" s="8" t="s">
        <v>142</v>
      </c>
      <c r="D73" s="11" t="s">
        <v>721</v>
      </c>
      <c r="E73" s="11" t="s">
        <v>735</v>
      </c>
      <c r="F73" s="8"/>
      <c r="G73" s="83" t="s">
        <v>736</v>
      </c>
      <c r="H73" s="53" t="s">
        <v>652</v>
      </c>
      <c r="I73" s="61"/>
      <c r="J73" s="61"/>
      <c r="K73" s="61"/>
    </row>
    <row r="74" spans="1:11" ht="19.5" customHeight="1">
      <c r="A74" s="60">
        <v>71</v>
      </c>
      <c r="B74" s="77" t="s">
        <v>720</v>
      </c>
      <c r="C74" s="8" t="s">
        <v>142</v>
      </c>
      <c r="D74" s="11" t="s">
        <v>721</v>
      </c>
      <c r="E74" s="11" t="s">
        <v>737</v>
      </c>
      <c r="F74" s="8"/>
      <c r="G74" s="83" t="s">
        <v>738</v>
      </c>
      <c r="H74" s="53" t="s">
        <v>652</v>
      </c>
      <c r="I74" s="61"/>
      <c r="J74" s="61"/>
      <c r="K74" s="61"/>
    </row>
    <row r="75" spans="1:11" ht="19.5" customHeight="1">
      <c r="A75" s="60">
        <v>72</v>
      </c>
      <c r="B75" s="77" t="s">
        <v>720</v>
      </c>
      <c r="C75" s="8" t="s">
        <v>142</v>
      </c>
      <c r="D75" s="11" t="s">
        <v>721</v>
      </c>
      <c r="E75" s="11" t="s">
        <v>737</v>
      </c>
      <c r="F75" s="8"/>
      <c r="G75" s="83" t="s">
        <v>738</v>
      </c>
      <c r="H75" s="53" t="s">
        <v>652</v>
      </c>
      <c r="I75" s="61"/>
      <c r="J75" s="61"/>
      <c r="K75" s="61"/>
    </row>
    <row r="76" spans="1:11" ht="19.5" customHeight="1">
      <c r="A76" s="60">
        <v>73</v>
      </c>
      <c r="B76" s="77" t="s">
        <v>720</v>
      </c>
      <c r="C76" s="8" t="s">
        <v>142</v>
      </c>
      <c r="D76" s="11" t="s">
        <v>739</v>
      </c>
      <c r="E76" s="11" t="s">
        <v>740</v>
      </c>
      <c r="F76" s="8"/>
      <c r="G76" s="62"/>
      <c r="H76" s="53" t="s">
        <v>652</v>
      </c>
      <c r="I76" s="61"/>
      <c r="J76" s="61"/>
      <c r="K76" s="61"/>
    </row>
    <row r="77" spans="1:11" ht="19.5" customHeight="1">
      <c r="A77" s="60">
        <v>74</v>
      </c>
      <c r="B77" s="77" t="s">
        <v>720</v>
      </c>
      <c r="C77" s="8" t="s">
        <v>411</v>
      </c>
      <c r="D77" s="11" t="s">
        <v>728</v>
      </c>
      <c r="E77" s="11" t="s">
        <v>741</v>
      </c>
      <c r="F77" s="8"/>
      <c r="G77" s="62"/>
      <c r="H77" s="53" t="s">
        <v>652</v>
      </c>
      <c r="I77" s="61"/>
      <c r="J77" s="61"/>
      <c r="K77" s="61"/>
    </row>
    <row r="78" spans="1:11" ht="19.5" customHeight="1">
      <c r="A78" s="60">
        <v>75</v>
      </c>
      <c r="B78" s="77" t="s">
        <v>720</v>
      </c>
      <c r="C78" s="8" t="s">
        <v>142</v>
      </c>
      <c r="D78" s="11" t="s">
        <v>742</v>
      </c>
      <c r="E78" s="11" t="s">
        <v>743</v>
      </c>
      <c r="F78" s="8"/>
      <c r="G78" s="62"/>
      <c r="H78" s="53" t="s">
        <v>652</v>
      </c>
      <c r="I78" s="61"/>
      <c r="J78" s="61"/>
      <c r="K78" s="61"/>
    </row>
    <row r="79" spans="1:11" ht="19.5" customHeight="1">
      <c r="A79" s="60">
        <v>76</v>
      </c>
      <c r="B79" s="77" t="s">
        <v>720</v>
      </c>
      <c r="C79" s="8" t="s">
        <v>142</v>
      </c>
      <c r="D79" s="11" t="s">
        <v>744</v>
      </c>
      <c r="E79" s="11" t="s">
        <v>745</v>
      </c>
      <c r="F79" s="8"/>
      <c r="G79" s="62"/>
      <c r="H79" s="53" t="s">
        <v>652</v>
      </c>
      <c r="I79" s="61"/>
      <c r="J79" s="61"/>
      <c r="K79" s="61"/>
    </row>
    <row r="80" spans="1:11" ht="19.5" customHeight="1">
      <c r="A80" s="60">
        <v>77</v>
      </c>
      <c r="B80" s="77" t="s">
        <v>720</v>
      </c>
      <c r="C80" s="8" t="s">
        <v>142</v>
      </c>
      <c r="D80" s="11" t="s">
        <v>744</v>
      </c>
      <c r="E80" s="11" t="s">
        <v>746</v>
      </c>
      <c r="F80" s="8"/>
      <c r="G80" s="62"/>
      <c r="H80" s="53" t="s">
        <v>652</v>
      </c>
      <c r="I80" s="61"/>
      <c r="J80" s="61"/>
      <c r="K80" s="61"/>
    </row>
    <row r="81" spans="1:11" ht="19.5" customHeight="1">
      <c r="A81" s="60">
        <v>78</v>
      </c>
      <c r="B81" s="77" t="s">
        <v>720</v>
      </c>
      <c r="C81" s="8" t="s">
        <v>142</v>
      </c>
      <c r="D81" s="11" t="s">
        <v>728</v>
      </c>
      <c r="E81" s="11" t="s">
        <v>747</v>
      </c>
      <c r="F81" s="8"/>
      <c r="G81" s="62"/>
      <c r="H81" s="53" t="s">
        <v>652</v>
      </c>
      <c r="I81" s="61"/>
      <c r="J81" s="61"/>
      <c r="K81" s="61"/>
    </row>
    <row r="82" spans="1:11" ht="19.5" customHeight="1">
      <c r="A82" s="60">
        <v>79</v>
      </c>
      <c r="B82" s="77" t="s">
        <v>748</v>
      </c>
      <c r="C82" s="8" t="s">
        <v>419</v>
      </c>
      <c r="D82" s="11" t="s">
        <v>749</v>
      </c>
      <c r="E82" s="11" t="s">
        <v>750</v>
      </c>
      <c r="F82" s="8"/>
      <c r="G82" s="83" t="s">
        <v>751</v>
      </c>
      <c r="H82" s="53" t="s">
        <v>652</v>
      </c>
      <c r="I82" s="61"/>
      <c r="J82" s="61"/>
      <c r="K82" s="61"/>
    </row>
    <row r="83" spans="1:11" ht="19.5" customHeight="1">
      <c r="A83" s="60">
        <v>80</v>
      </c>
      <c r="B83" s="77" t="s">
        <v>748</v>
      </c>
      <c r="C83" s="8" t="s">
        <v>419</v>
      </c>
      <c r="D83" s="11" t="s">
        <v>752</v>
      </c>
      <c r="E83" s="11" t="s">
        <v>753</v>
      </c>
      <c r="F83" s="8"/>
      <c r="G83" s="83" t="s">
        <v>754</v>
      </c>
      <c r="H83" s="53" t="s">
        <v>652</v>
      </c>
      <c r="I83" s="61"/>
      <c r="J83" s="61"/>
      <c r="K83" s="61"/>
    </row>
    <row r="84" spans="1:11" ht="15" customHeight="1">
      <c r="A84" s="60">
        <v>81</v>
      </c>
      <c r="B84" s="77" t="s">
        <v>748</v>
      </c>
      <c r="C84" s="8" t="s">
        <v>419</v>
      </c>
      <c r="D84" s="11" t="s">
        <v>755</v>
      </c>
      <c r="E84" s="11" t="s">
        <v>756</v>
      </c>
      <c r="F84" s="8"/>
      <c r="G84" s="83" t="s">
        <v>757</v>
      </c>
      <c r="H84" s="53" t="s">
        <v>652</v>
      </c>
      <c r="I84" s="61"/>
      <c r="J84" s="61"/>
      <c r="K84" s="61"/>
    </row>
    <row r="85" spans="1:11" ht="26.45" customHeight="1">
      <c r="A85" s="60">
        <v>82</v>
      </c>
      <c r="B85" s="77" t="s">
        <v>748</v>
      </c>
      <c r="C85" s="8" t="s">
        <v>419</v>
      </c>
      <c r="D85" s="11" t="s">
        <v>758</v>
      </c>
      <c r="E85" s="11" t="s">
        <v>759</v>
      </c>
      <c r="F85" s="8"/>
      <c r="G85" s="84" t="s">
        <v>760</v>
      </c>
      <c r="H85" s="53" t="s">
        <v>652</v>
      </c>
      <c r="I85" s="61"/>
      <c r="J85" s="61"/>
      <c r="K85" s="61"/>
    </row>
    <row r="86" spans="1:11" ht="26.45" customHeight="1">
      <c r="A86" s="60">
        <v>83</v>
      </c>
      <c r="B86" s="77" t="s">
        <v>748</v>
      </c>
      <c r="C86" s="8" t="s">
        <v>419</v>
      </c>
      <c r="D86" s="11" t="s">
        <v>761</v>
      </c>
      <c r="E86" s="11" t="s">
        <v>762</v>
      </c>
      <c r="F86" s="8"/>
      <c r="G86" s="84" t="s">
        <v>763</v>
      </c>
      <c r="H86" s="53" t="s">
        <v>652</v>
      </c>
      <c r="I86" s="61"/>
      <c r="J86" s="61"/>
      <c r="K86" s="61"/>
    </row>
    <row r="87" spans="1:11" ht="19.5" customHeight="1">
      <c r="A87" s="60">
        <v>84</v>
      </c>
      <c r="B87" s="77" t="s">
        <v>720</v>
      </c>
      <c r="C87" s="8" t="s">
        <v>142</v>
      </c>
      <c r="D87" s="11" t="s">
        <v>742</v>
      </c>
      <c r="E87" s="11" t="s">
        <v>764</v>
      </c>
      <c r="F87" s="8"/>
      <c r="G87" s="83" t="s">
        <v>765</v>
      </c>
      <c r="H87" s="53" t="s">
        <v>652</v>
      </c>
      <c r="I87" s="61"/>
      <c r="J87" s="61"/>
      <c r="K87" s="61"/>
    </row>
    <row r="88" spans="1:11" ht="19.5" customHeight="1">
      <c r="A88" s="60">
        <v>85</v>
      </c>
      <c r="B88" s="77" t="s">
        <v>720</v>
      </c>
      <c r="C88" s="8" t="s">
        <v>142</v>
      </c>
      <c r="D88" s="11" t="s">
        <v>742</v>
      </c>
      <c r="E88" s="11" t="s">
        <v>766</v>
      </c>
      <c r="F88" s="8"/>
      <c r="G88" s="62"/>
      <c r="H88" s="53" t="s">
        <v>652</v>
      </c>
      <c r="I88" s="61"/>
      <c r="J88" s="61"/>
      <c r="K88" s="61"/>
    </row>
    <row r="89" spans="1:11" ht="19.5" customHeight="1">
      <c r="A89" s="60">
        <v>86</v>
      </c>
      <c r="B89" s="77" t="s">
        <v>720</v>
      </c>
      <c r="C89" s="8" t="s">
        <v>142</v>
      </c>
      <c r="D89" s="11" t="s">
        <v>767</v>
      </c>
      <c r="E89" s="11" t="s">
        <v>768</v>
      </c>
      <c r="F89" s="8"/>
      <c r="G89" s="83" t="s">
        <v>769</v>
      </c>
      <c r="H89" s="53" t="s">
        <v>652</v>
      </c>
      <c r="I89" s="61"/>
      <c r="J89" s="61"/>
      <c r="K89" s="61"/>
    </row>
    <row r="90" spans="1:11" ht="19.5" customHeight="1">
      <c r="A90" s="60">
        <v>87</v>
      </c>
      <c r="B90" s="77" t="s">
        <v>748</v>
      </c>
      <c r="C90" s="8" t="s">
        <v>419</v>
      </c>
      <c r="D90" s="11" t="s">
        <v>770</v>
      </c>
      <c r="E90" s="11" t="s">
        <v>771</v>
      </c>
      <c r="F90" s="8"/>
      <c r="G90" s="83" t="s">
        <v>772</v>
      </c>
      <c r="H90" s="53" t="s">
        <v>652</v>
      </c>
      <c r="I90" s="61"/>
      <c r="J90" s="61"/>
      <c r="K90" s="61"/>
    </row>
    <row r="91" spans="1:11" ht="19.5" customHeight="1">
      <c r="A91" s="60">
        <v>88</v>
      </c>
      <c r="B91" s="77" t="s">
        <v>748</v>
      </c>
      <c r="C91" s="8" t="s">
        <v>419</v>
      </c>
      <c r="D91" s="11" t="s">
        <v>773</v>
      </c>
      <c r="E91" s="11" t="s">
        <v>774</v>
      </c>
      <c r="F91" s="8"/>
      <c r="G91" s="83" t="s">
        <v>775</v>
      </c>
      <c r="H91" s="53" t="s">
        <v>652</v>
      </c>
      <c r="I91" s="61"/>
      <c r="J91" s="61"/>
      <c r="K91" s="61"/>
    </row>
    <row r="92" spans="1:11" ht="19.5" customHeight="1">
      <c r="A92" s="60">
        <v>89</v>
      </c>
      <c r="B92" s="77" t="s">
        <v>748</v>
      </c>
      <c r="C92" s="8" t="s">
        <v>419</v>
      </c>
      <c r="D92" s="11" t="s">
        <v>773</v>
      </c>
      <c r="E92" s="11" t="s">
        <v>776</v>
      </c>
      <c r="F92" s="8"/>
      <c r="G92" s="83" t="s">
        <v>777</v>
      </c>
      <c r="H92" s="53" t="s">
        <v>652</v>
      </c>
      <c r="I92" s="61"/>
      <c r="J92" s="61"/>
      <c r="K92" s="61"/>
    </row>
    <row r="93" spans="1:11" ht="19.5" customHeight="1">
      <c r="A93" s="60">
        <v>90</v>
      </c>
      <c r="B93" s="77" t="s">
        <v>720</v>
      </c>
      <c r="C93" s="8" t="s">
        <v>142</v>
      </c>
      <c r="D93" s="11" t="s">
        <v>778</v>
      </c>
      <c r="E93" s="11" t="s">
        <v>779</v>
      </c>
      <c r="F93" s="8"/>
      <c r="G93" s="62"/>
      <c r="H93" s="53" t="s">
        <v>652</v>
      </c>
      <c r="I93" s="61"/>
      <c r="J93" s="61"/>
      <c r="K93" s="61"/>
    </row>
    <row r="94" spans="1:11" ht="19.5" customHeight="1">
      <c r="A94" s="60">
        <v>91</v>
      </c>
      <c r="B94" s="77" t="s">
        <v>748</v>
      </c>
      <c r="C94" s="8" t="s">
        <v>419</v>
      </c>
      <c r="D94" s="11" t="s">
        <v>755</v>
      </c>
      <c r="E94" s="11" t="s">
        <v>780</v>
      </c>
      <c r="F94" s="8"/>
      <c r="G94" s="83" t="s">
        <v>781</v>
      </c>
      <c r="H94" s="53" t="s">
        <v>652</v>
      </c>
      <c r="I94" s="61"/>
      <c r="J94" s="61"/>
      <c r="K94" s="61"/>
    </row>
    <row r="95" spans="1:11" ht="19.5" customHeight="1">
      <c r="A95" s="60">
        <v>92</v>
      </c>
      <c r="B95" s="77" t="s">
        <v>720</v>
      </c>
      <c r="C95" s="8" t="s">
        <v>411</v>
      </c>
      <c r="D95" s="11" t="s">
        <v>778</v>
      </c>
      <c r="E95" s="11" t="s">
        <v>782</v>
      </c>
      <c r="F95" s="8"/>
      <c r="G95" s="83" t="s">
        <v>783</v>
      </c>
      <c r="H95" s="53" t="s">
        <v>652</v>
      </c>
      <c r="I95" s="61"/>
      <c r="J95" s="61"/>
      <c r="K95" s="61"/>
    </row>
    <row r="96" spans="1:11" ht="19.5" customHeight="1">
      <c r="A96" s="60">
        <v>93</v>
      </c>
      <c r="B96" s="77" t="s">
        <v>748</v>
      </c>
      <c r="C96" s="8" t="s">
        <v>419</v>
      </c>
      <c r="D96" s="11" t="s">
        <v>755</v>
      </c>
      <c r="E96" s="11" t="s">
        <v>784</v>
      </c>
      <c r="F96" s="8"/>
      <c r="G96" s="83" t="s">
        <v>785</v>
      </c>
      <c r="H96" s="53" t="s">
        <v>652</v>
      </c>
      <c r="I96" s="61"/>
      <c r="J96" s="61"/>
      <c r="K96" s="61"/>
    </row>
    <row r="97" spans="1:11" ht="19.5" customHeight="1">
      <c r="A97" s="60">
        <v>94</v>
      </c>
      <c r="B97" s="77" t="s">
        <v>748</v>
      </c>
      <c r="C97" s="8" t="s">
        <v>419</v>
      </c>
      <c r="D97" s="11" t="s">
        <v>755</v>
      </c>
      <c r="E97" s="11" t="s">
        <v>786</v>
      </c>
      <c r="F97" s="8"/>
      <c r="G97" s="83" t="s">
        <v>787</v>
      </c>
      <c r="H97" s="53" t="s">
        <v>652</v>
      </c>
      <c r="I97" s="61"/>
      <c r="J97" s="61"/>
      <c r="K97" s="61"/>
    </row>
    <row r="98" spans="1:11" ht="19.5" customHeight="1">
      <c r="A98" s="60">
        <v>95</v>
      </c>
      <c r="B98" s="77" t="s">
        <v>720</v>
      </c>
      <c r="C98" s="8" t="s">
        <v>411</v>
      </c>
      <c r="D98" s="11" t="s">
        <v>778</v>
      </c>
      <c r="E98" s="11" t="s">
        <v>782</v>
      </c>
      <c r="F98" s="8"/>
      <c r="G98" s="62"/>
      <c r="H98" s="53" t="s">
        <v>652</v>
      </c>
      <c r="I98" s="61"/>
      <c r="J98" s="61"/>
      <c r="K98" s="61"/>
    </row>
    <row r="99" spans="1:11" ht="19.5" customHeight="1">
      <c r="A99" s="60">
        <v>96</v>
      </c>
      <c r="B99" s="77" t="s">
        <v>720</v>
      </c>
      <c r="C99" s="8" t="s">
        <v>411</v>
      </c>
      <c r="D99" s="11" t="s">
        <v>778</v>
      </c>
      <c r="E99" s="11" t="s">
        <v>782</v>
      </c>
      <c r="F99" s="8"/>
      <c r="G99" s="62"/>
      <c r="H99" s="53" t="s">
        <v>652</v>
      </c>
      <c r="I99" s="61"/>
      <c r="J99" s="61"/>
      <c r="K99" s="61"/>
    </row>
    <row r="100" spans="1:11" ht="19.5" customHeight="1">
      <c r="A100" s="60">
        <v>97</v>
      </c>
      <c r="B100" s="77" t="s">
        <v>748</v>
      </c>
      <c r="C100" s="8" t="s">
        <v>419</v>
      </c>
      <c r="D100" s="11" t="s">
        <v>788</v>
      </c>
      <c r="E100" s="11" t="s">
        <v>789</v>
      </c>
      <c r="F100" s="8"/>
      <c r="G100" s="83" t="s">
        <v>790</v>
      </c>
      <c r="H100" s="53" t="s">
        <v>652</v>
      </c>
      <c r="I100" s="61"/>
      <c r="J100" s="61"/>
      <c r="K100" s="61"/>
    </row>
    <row r="101" spans="1:11" ht="19.5" customHeight="1">
      <c r="A101" s="60">
        <v>98</v>
      </c>
      <c r="B101" s="77" t="s">
        <v>748</v>
      </c>
      <c r="C101" s="8" t="s">
        <v>419</v>
      </c>
      <c r="D101" s="11" t="s">
        <v>791</v>
      </c>
      <c r="E101" s="11" t="s">
        <v>792</v>
      </c>
      <c r="F101" s="8"/>
      <c r="G101" s="83" t="s">
        <v>793</v>
      </c>
      <c r="H101" s="53" t="s">
        <v>652</v>
      </c>
      <c r="I101" s="61"/>
      <c r="J101" s="61"/>
      <c r="K101" s="61"/>
    </row>
    <row r="102" spans="1:11" ht="19.5" customHeight="1">
      <c r="A102" s="60">
        <v>99</v>
      </c>
      <c r="B102" s="77" t="s">
        <v>720</v>
      </c>
      <c r="C102" s="8" t="s">
        <v>411</v>
      </c>
      <c r="D102" s="11" t="s">
        <v>778</v>
      </c>
      <c r="E102" s="11" t="s">
        <v>794</v>
      </c>
      <c r="F102" s="8"/>
      <c r="G102" s="83" t="s">
        <v>795</v>
      </c>
      <c r="H102" s="53" t="s">
        <v>652</v>
      </c>
      <c r="I102" s="61"/>
      <c r="J102" s="61"/>
      <c r="K102" s="61"/>
    </row>
    <row r="103" spans="1:11" ht="19.5" customHeight="1">
      <c r="A103" s="60">
        <v>100</v>
      </c>
      <c r="B103" s="77" t="s">
        <v>796</v>
      </c>
      <c r="C103" s="8" t="s">
        <v>419</v>
      </c>
      <c r="D103" s="11" t="s">
        <v>755</v>
      </c>
      <c r="E103" s="11" t="s">
        <v>797</v>
      </c>
      <c r="F103" s="8"/>
      <c r="G103" s="83" t="s">
        <v>798</v>
      </c>
      <c r="H103" s="53" t="s">
        <v>652</v>
      </c>
      <c r="I103" s="61"/>
      <c r="J103" s="61"/>
      <c r="K103" s="61"/>
    </row>
    <row r="104" spans="1:11" ht="15.6" customHeight="1">
      <c r="A104" s="60">
        <v>101</v>
      </c>
      <c r="B104" s="77">
        <v>30001451</v>
      </c>
      <c r="C104" s="8" t="s">
        <v>311</v>
      </c>
      <c r="D104" s="75" t="s">
        <v>799</v>
      </c>
      <c r="E104" s="11" t="s">
        <v>800</v>
      </c>
      <c r="F104" s="8"/>
      <c r="G104" s="83" t="s">
        <v>801</v>
      </c>
      <c r="H104" s="53" t="s">
        <v>652</v>
      </c>
      <c r="I104" s="76"/>
      <c r="J104" s="76"/>
      <c r="K104" s="76"/>
    </row>
    <row r="105" spans="1:11" ht="15.6" customHeight="1">
      <c r="A105" s="60">
        <v>102</v>
      </c>
      <c r="B105" s="77">
        <v>30001451</v>
      </c>
      <c r="C105" s="8" t="s">
        <v>311</v>
      </c>
      <c r="D105" s="75" t="s">
        <v>799</v>
      </c>
      <c r="E105" s="11" t="s">
        <v>802</v>
      </c>
      <c r="F105" s="8"/>
      <c r="G105" s="83" t="s">
        <v>803</v>
      </c>
      <c r="H105" s="53" t="s">
        <v>652</v>
      </c>
      <c r="I105" s="76"/>
      <c r="J105" s="76"/>
      <c r="K105" s="76"/>
    </row>
    <row r="106" spans="1:11" ht="15.6" customHeight="1">
      <c r="A106" s="60">
        <v>103</v>
      </c>
      <c r="B106" s="77">
        <v>30001451</v>
      </c>
      <c r="C106" s="8" t="s">
        <v>311</v>
      </c>
      <c r="D106" s="75" t="s">
        <v>799</v>
      </c>
      <c r="E106" s="11" t="s">
        <v>804</v>
      </c>
      <c r="F106" s="8"/>
      <c r="G106" s="83" t="s">
        <v>805</v>
      </c>
      <c r="H106" s="53" t="s">
        <v>652</v>
      </c>
      <c r="I106" s="76"/>
      <c r="J106" s="76"/>
      <c r="K106" s="76"/>
    </row>
    <row r="107" spans="1:11" ht="15.6" customHeight="1">
      <c r="A107" s="60">
        <v>104</v>
      </c>
      <c r="B107" s="77">
        <v>30001451</v>
      </c>
      <c r="C107" s="8" t="s">
        <v>311</v>
      </c>
      <c r="D107" s="75" t="s">
        <v>799</v>
      </c>
      <c r="E107" s="11" t="s">
        <v>806</v>
      </c>
      <c r="F107" s="8"/>
      <c r="G107" s="83" t="s">
        <v>807</v>
      </c>
      <c r="H107" s="53" t="s">
        <v>652</v>
      </c>
      <c r="I107" s="76"/>
      <c r="J107" s="76"/>
      <c r="K107" s="76"/>
    </row>
    <row r="108" spans="1:11" ht="15.6" customHeight="1">
      <c r="A108" s="60">
        <v>105</v>
      </c>
      <c r="B108" s="77">
        <v>30001451</v>
      </c>
      <c r="C108" s="8" t="s">
        <v>311</v>
      </c>
      <c r="D108" s="75" t="s">
        <v>799</v>
      </c>
      <c r="E108" s="11" t="s">
        <v>808</v>
      </c>
      <c r="F108" s="8"/>
      <c r="G108" s="83" t="s">
        <v>809</v>
      </c>
      <c r="H108" s="53" t="s">
        <v>652</v>
      </c>
      <c r="I108" s="76"/>
      <c r="J108" s="76"/>
      <c r="K108" s="76"/>
    </row>
    <row r="109" spans="1:11" ht="15.6" customHeight="1">
      <c r="A109" s="60">
        <v>106</v>
      </c>
      <c r="B109" s="77">
        <v>30001451</v>
      </c>
      <c r="C109" s="8" t="s">
        <v>311</v>
      </c>
      <c r="D109" s="75" t="s">
        <v>799</v>
      </c>
      <c r="E109" s="11" t="s">
        <v>810</v>
      </c>
      <c r="F109" s="8"/>
      <c r="G109" s="83" t="s">
        <v>811</v>
      </c>
      <c r="H109" s="53" t="s">
        <v>652</v>
      </c>
      <c r="I109" s="76"/>
      <c r="J109" s="76"/>
      <c r="K109" s="76"/>
    </row>
    <row r="110" spans="1:11" ht="15.6" customHeight="1">
      <c r="A110" s="60">
        <v>107</v>
      </c>
      <c r="B110" s="77">
        <v>30001451</v>
      </c>
      <c r="C110" s="8" t="s">
        <v>311</v>
      </c>
      <c r="D110" s="75" t="s">
        <v>799</v>
      </c>
      <c r="E110" s="11" t="s">
        <v>812</v>
      </c>
      <c r="F110" s="8"/>
      <c r="G110" s="83" t="s">
        <v>813</v>
      </c>
      <c r="H110" s="53" t="s">
        <v>652</v>
      </c>
      <c r="I110" s="76"/>
      <c r="J110" s="76"/>
      <c r="K110" s="76"/>
    </row>
    <row r="111" spans="1:11" ht="15.6" customHeight="1">
      <c r="A111" s="60">
        <v>108</v>
      </c>
      <c r="B111" s="77">
        <v>30001451</v>
      </c>
      <c r="C111" s="8" t="s">
        <v>311</v>
      </c>
      <c r="D111" s="75" t="s">
        <v>799</v>
      </c>
      <c r="E111" s="11" t="s">
        <v>814</v>
      </c>
      <c r="F111" s="8"/>
      <c r="G111" s="83" t="s">
        <v>815</v>
      </c>
      <c r="H111" s="53" t="s">
        <v>652</v>
      </c>
      <c r="I111" s="76"/>
      <c r="J111" s="76"/>
      <c r="K111" s="76"/>
    </row>
    <row r="112" spans="1:11" ht="15.6" customHeight="1">
      <c r="A112" s="60">
        <v>109</v>
      </c>
      <c r="B112" s="77">
        <v>30001451</v>
      </c>
      <c r="C112" s="8" t="s">
        <v>311</v>
      </c>
      <c r="D112" s="75" t="s">
        <v>799</v>
      </c>
      <c r="E112" s="11" t="s">
        <v>816</v>
      </c>
      <c r="F112" s="8"/>
      <c r="G112" s="83" t="s">
        <v>817</v>
      </c>
      <c r="H112" s="53" t="s">
        <v>652</v>
      </c>
      <c r="I112" s="76"/>
      <c r="J112" s="76"/>
      <c r="K112" s="76"/>
    </row>
    <row r="113" spans="1:11" ht="15" customHeight="1">
      <c r="A113" s="60">
        <v>110</v>
      </c>
      <c r="B113" s="77">
        <v>30001451</v>
      </c>
      <c r="C113" s="8" t="s">
        <v>311</v>
      </c>
      <c r="D113" s="62" t="s">
        <v>799</v>
      </c>
      <c r="E113" s="11" t="s">
        <v>818</v>
      </c>
      <c r="F113" s="8"/>
      <c r="G113" s="83" t="s">
        <v>819</v>
      </c>
      <c r="H113" s="53" t="s">
        <v>652</v>
      </c>
      <c r="I113" s="76"/>
      <c r="J113" s="76"/>
      <c r="K113" s="76"/>
    </row>
    <row r="114" spans="1:11" ht="15" customHeight="1">
      <c r="A114" s="60">
        <v>111</v>
      </c>
      <c r="B114" s="77">
        <v>30001451</v>
      </c>
      <c r="C114" s="8" t="s">
        <v>311</v>
      </c>
      <c r="D114" s="62" t="s">
        <v>799</v>
      </c>
      <c r="E114" s="11" t="s">
        <v>820</v>
      </c>
      <c r="F114" s="8"/>
      <c r="G114" s="83" t="s">
        <v>821</v>
      </c>
      <c r="H114" s="53" t="s">
        <v>652</v>
      </c>
      <c r="I114" s="76"/>
      <c r="J114" s="76"/>
      <c r="K114" s="76"/>
    </row>
    <row r="115" spans="1:11" ht="15.6" customHeight="1">
      <c r="A115" s="60">
        <v>112</v>
      </c>
      <c r="B115" s="77">
        <v>30001451</v>
      </c>
      <c r="C115" s="8" t="s">
        <v>311</v>
      </c>
      <c r="D115" s="62" t="s">
        <v>799</v>
      </c>
      <c r="E115" s="11" t="s">
        <v>822</v>
      </c>
      <c r="F115" s="8"/>
      <c r="G115" s="83" t="s">
        <v>823</v>
      </c>
      <c r="H115" s="53" t="s">
        <v>652</v>
      </c>
      <c r="I115" s="76"/>
      <c r="J115" s="76"/>
      <c r="K115" s="76"/>
    </row>
    <row r="116" spans="1:11" ht="15.6" customHeight="1">
      <c r="A116" s="60">
        <v>113</v>
      </c>
      <c r="B116" s="77">
        <v>30001451</v>
      </c>
      <c r="C116" s="8" t="s">
        <v>311</v>
      </c>
      <c r="D116" s="62" t="s">
        <v>824</v>
      </c>
      <c r="E116" s="11" t="s">
        <v>825</v>
      </c>
      <c r="F116" s="8"/>
      <c r="G116" s="62"/>
      <c r="H116" s="53" t="s">
        <v>652</v>
      </c>
      <c r="I116" s="76"/>
      <c r="J116" s="76"/>
      <c r="K116" s="76"/>
    </row>
    <row r="117" spans="1:11" ht="15.6" customHeight="1">
      <c r="A117" s="60">
        <v>114</v>
      </c>
      <c r="B117" s="77" t="s">
        <v>826</v>
      </c>
      <c r="C117" s="8" t="s">
        <v>411</v>
      </c>
      <c r="D117" s="62" t="s">
        <v>18</v>
      </c>
      <c r="E117" s="11" t="s">
        <v>827</v>
      </c>
      <c r="F117" s="8"/>
      <c r="G117" s="83" t="s">
        <v>828</v>
      </c>
      <c r="H117" s="53" t="s">
        <v>652</v>
      </c>
      <c r="I117" s="76"/>
      <c r="J117" s="76"/>
      <c r="K117" s="76"/>
    </row>
    <row r="118" spans="1:11" ht="15.6" customHeight="1">
      <c r="A118" s="60">
        <v>115</v>
      </c>
      <c r="B118" s="77" t="s">
        <v>796</v>
      </c>
      <c r="C118" s="8" t="s">
        <v>419</v>
      </c>
      <c r="D118" s="62" t="s">
        <v>755</v>
      </c>
      <c r="E118" s="11" t="s">
        <v>829</v>
      </c>
      <c r="F118" s="8"/>
      <c r="G118" s="62"/>
      <c r="H118" s="53" t="s">
        <v>652</v>
      </c>
      <c r="I118" s="76"/>
      <c r="J118" s="76"/>
      <c r="K118" s="76"/>
    </row>
    <row r="119" spans="1:11" ht="15.6" customHeight="1">
      <c r="A119" s="60">
        <v>116</v>
      </c>
      <c r="B119" s="77" t="s">
        <v>826</v>
      </c>
      <c r="C119" s="8" t="s">
        <v>411</v>
      </c>
      <c r="D119" s="62" t="s">
        <v>18</v>
      </c>
      <c r="E119" s="11" t="s">
        <v>830</v>
      </c>
      <c r="F119" s="8"/>
      <c r="G119" s="83" t="s">
        <v>831</v>
      </c>
      <c r="H119" s="53" t="s">
        <v>652</v>
      </c>
      <c r="I119" s="76"/>
      <c r="J119" s="76"/>
      <c r="K119" s="76"/>
    </row>
    <row r="120" spans="1:11" ht="15" customHeight="1">
      <c r="A120" s="60">
        <v>117</v>
      </c>
      <c r="B120" s="77" t="s">
        <v>796</v>
      </c>
      <c r="C120" s="8" t="s">
        <v>419</v>
      </c>
      <c r="D120" s="62" t="s">
        <v>758</v>
      </c>
      <c r="E120" s="11" t="s">
        <v>832</v>
      </c>
      <c r="F120" s="8"/>
      <c r="G120" s="62"/>
      <c r="H120" s="53" t="s">
        <v>652</v>
      </c>
      <c r="I120" s="76"/>
      <c r="J120" s="76"/>
      <c r="K120" s="76"/>
    </row>
    <row r="121" spans="1:11" ht="15" customHeight="1">
      <c r="A121" s="60">
        <v>118</v>
      </c>
      <c r="B121" s="77" t="s">
        <v>720</v>
      </c>
      <c r="C121" s="8" t="s">
        <v>142</v>
      </c>
      <c r="D121" s="62" t="s">
        <v>833</v>
      </c>
      <c r="E121" s="11" t="s">
        <v>834</v>
      </c>
      <c r="F121" s="8"/>
      <c r="G121" s="62"/>
      <c r="H121" s="53" t="s">
        <v>652</v>
      </c>
      <c r="I121" s="76"/>
      <c r="J121" s="76"/>
      <c r="K121" s="76"/>
    </row>
    <row r="122" spans="1:11" ht="26.45" customHeight="1">
      <c r="A122" s="60">
        <v>119</v>
      </c>
      <c r="B122" s="77" t="s">
        <v>826</v>
      </c>
      <c r="C122" s="8" t="s">
        <v>411</v>
      </c>
      <c r="D122" s="62" t="s">
        <v>18</v>
      </c>
      <c r="E122" s="11" t="s">
        <v>835</v>
      </c>
      <c r="F122" s="8"/>
      <c r="G122" s="84" t="s">
        <v>836</v>
      </c>
      <c r="H122" s="53" t="s">
        <v>652</v>
      </c>
      <c r="I122" s="76"/>
      <c r="J122" s="76"/>
      <c r="K122" s="76"/>
    </row>
    <row r="123" spans="1:11" ht="15" customHeight="1">
      <c r="A123" s="60">
        <v>120</v>
      </c>
      <c r="B123" s="77" t="s">
        <v>796</v>
      </c>
      <c r="C123" s="8" t="s">
        <v>419</v>
      </c>
      <c r="D123" s="62" t="s">
        <v>755</v>
      </c>
      <c r="E123" s="11" t="s">
        <v>837</v>
      </c>
      <c r="F123" s="8"/>
      <c r="G123" s="83" t="s">
        <v>838</v>
      </c>
      <c r="H123" s="53" t="s">
        <v>652</v>
      </c>
      <c r="I123" s="76"/>
      <c r="J123" s="76"/>
      <c r="K123" s="76"/>
    </row>
    <row r="124" spans="1:11" ht="15" customHeight="1">
      <c r="A124" s="60">
        <v>121</v>
      </c>
      <c r="B124" s="77" t="s">
        <v>796</v>
      </c>
      <c r="C124" s="8" t="s">
        <v>419</v>
      </c>
      <c r="D124" s="62" t="s">
        <v>755</v>
      </c>
      <c r="E124" s="11" t="s">
        <v>839</v>
      </c>
      <c r="F124" s="8"/>
      <c r="G124" s="83" t="s">
        <v>840</v>
      </c>
      <c r="H124" s="53" t="s">
        <v>652</v>
      </c>
      <c r="I124" s="76"/>
      <c r="J124" s="76"/>
      <c r="K124" s="76"/>
    </row>
    <row r="125" spans="1:11" ht="15" customHeight="1">
      <c r="A125" s="60">
        <v>122</v>
      </c>
      <c r="B125" s="77" t="s">
        <v>826</v>
      </c>
      <c r="C125" s="8" t="s">
        <v>411</v>
      </c>
      <c r="D125" s="62" t="s">
        <v>18</v>
      </c>
      <c r="E125" s="11" t="s">
        <v>841</v>
      </c>
      <c r="F125" s="8"/>
      <c r="G125" s="83" t="s">
        <v>842</v>
      </c>
      <c r="H125" s="53" t="s">
        <v>652</v>
      </c>
      <c r="I125" s="76"/>
      <c r="J125" s="76"/>
      <c r="K125" s="76"/>
    </row>
    <row r="126" spans="1:11" ht="15" customHeight="1">
      <c r="A126" s="60">
        <v>123</v>
      </c>
      <c r="B126" s="77" t="s">
        <v>720</v>
      </c>
      <c r="C126" s="8" t="s">
        <v>142</v>
      </c>
      <c r="D126" s="62" t="s">
        <v>843</v>
      </c>
      <c r="E126" s="11" t="s">
        <v>844</v>
      </c>
      <c r="F126" s="8"/>
      <c r="G126" s="62"/>
      <c r="H126" s="53" t="s">
        <v>652</v>
      </c>
      <c r="I126" s="76"/>
      <c r="J126" s="76"/>
      <c r="K126" s="76"/>
    </row>
    <row r="127" spans="1:11" ht="15" customHeight="1">
      <c r="A127" s="60">
        <v>124</v>
      </c>
      <c r="B127" s="77" t="s">
        <v>720</v>
      </c>
      <c r="C127" s="8" t="s">
        <v>142</v>
      </c>
      <c r="D127" s="62" t="s">
        <v>843</v>
      </c>
      <c r="E127" s="11" t="s">
        <v>845</v>
      </c>
      <c r="F127" s="8"/>
      <c r="G127" s="62"/>
      <c r="H127" s="53" t="s">
        <v>652</v>
      </c>
      <c r="I127" s="76"/>
      <c r="J127" s="76"/>
      <c r="K127" s="76"/>
    </row>
    <row r="128" spans="1:11" ht="15" customHeight="1">
      <c r="A128" s="60">
        <v>125</v>
      </c>
      <c r="B128" s="77" t="s">
        <v>796</v>
      </c>
      <c r="C128" s="8" t="s">
        <v>419</v>
      </c>
      <c r="D128" s="62" t="s">
        <v>846</v>
      </c>
      <c r="E128" s="11" t="s">
        <v>847</v>
      </c>
      <c r="F128" s="8"/>
      <c r="G128" s="83" t="s">
        <v>848</v>
      </c>
      <c r="H128" s="53" t="s">
        <v>652</v>
      </c>
      <c r="I128" s="76"/>
      <c r="J128" s="76"/>
      <c r="K128" s="76"/>
    </row>
    <row r="129" spans="1:11" ht="26.45" customHeight="1">
      <c r="A129" s="60">
        <v>126</v>
      </c>
      <c r="B129" s="77" t="s">
        <v>796</v>
      </c>
      <c r="C129" s="8" t="s">
        <v>419</v>
      </c>
      <c r="D129" s="62" t="s">
        <v>846</v>
      </c>
      <c r="E129" s="11" t="s">
        <v>849</v>
      </c>
      <c r="F129" s="8"/>
      <c r="G129" s="84" t="s">
        <v>850</v>
      </c>
      <c r="H129" s="53" t="s">
        <v>652</v>
      </c>
      <c r="I129" s="76"/>
      <c r="J129" s="76"/>
      <c r="K129" s="76"/>
    </row>
    <row r="130" spans="1:11" ht="15" customHeight="1">
      <c r="A130" s="60">
        <v>127</v>
      </c>
      <c r="B130" s="77" t="s">
        <v>720</v>
      </c>
      <c r="C130" s="8" t="s">
        <v>411</v>
      </c>
      <c r="D130" s="62" t="s">
        <v>851</v>
      </c>
      <c r="E130" s="11" t="s">
        <v>852</v>
      </c>
      <c r="F130" s="8"/>
      <c r="G130" s="83" t="s">
        <v>853</v>
      </c>
      <c r="H130" s="53" t="s">
        <v>652</v>
      </c>
      <c r="I130" s="76"/>
      <c r="J130" s="76"/>
      <c r="K130" s="76"/>
    </row>
    <row r="131" spans="1:11" ht="15" customHeight="1">
      <c r="A131" s="60">
        <v>128</v>
      </c>
      <c r="B131" s="77" t="s">
        <v>826</v>
      </c>
      <c r="C131" s="8" t="s">
        <v>411</v>
      </c>
      <c r="D131" s="62" t="s">
        <v>18</v>
      </c>
      <c r="E131" s="11" t="s">
        <v>854</v>
      </c>
      <c r="F131" s="8"/>
      <c r="G131" s="83" t="s">
        <v>855</v>
      </c>
      <c r="H131" s="53" t="s">
        <v>652</v>
      </c>
      <c r="I131" s="76"/>
      <c r="J131" s="76"/>
      <c r="K131" s="76"/>
    </row>
    <row r="132" spans="1:11" ht="15" customHeight="1">
      <c r="A132" s="60">
        <v>129</v>
      </c>
      <c r="B132" s="77" t="s">
        <v>720</v>
      </c>
      <c r="C132" s="8" t="s">
        <v>411</v>
      </c>
      <c r="D132" s="62" t="s">
        <v>851</v>
      </c>
      <c r="E132" s="11" t="s">
        <v>856</v>
      </c>
      <c r="F132" s="8"/>
      <c r="G132" s="83" t="s">
        <v>857</v>
      </c>
      <c r="H132" s="53" t="s">
        <v>652</v>
      </c>
      <c r="I132" s="76"/>
      <c r="J132" s="76"/>
      <c r="K132" s="76"/>
    </row>
    <row r="133" spans="1:11" ht="15" customHeight="1">
      <c r="A133" s="60">
        <v>130</v>
      </c>
      <c r="B133" s="77" t="s">
        <v>826</v>
      </c>
      <c r="C133" s="8" t="s">
        <v>411</v>
      </c>
      <c r="D133" s="62" t="s">
        <v>18</v>
      </c>
      <c r="E133" s="11" t="s">
        <v>858</v>
      </c>
      <c r="F133" s="8"/>
      <c r="G133" s="83" t="s">
        <v>859</v>
      </c>
      <c r="H133" s="53" t="s">
        <v>652</v>
      </c>
      <c r="I133" s="76"/>
      <c r="J133" s="76"/>
      <c r="K133" s="76"/>
    </row>
    <row r="134" spans="1:11" ht="15" customHeight="1">
      <c r="A134" s="60">
        <v>131</v>
      </c>
      <c r="B134" s="77" t="s">
        <v>720</v>
      </c>
      <c r="C134" s="8" t="s">
        <v>142</v>
      </c>
      <c r="D134" s="62" t="s">
        <v>860</v>
      </c>
      <c r="E134" s="11" t="s">
        <v>861</v>
      </c>
      <c r="F134" s="8"/>
      <c r="G134" s="83" t="s">
        <v>862</v>
      </c>
      <c r="H134" s="53" t="s">
        <v>652</v>
      </c>
      <c r="I134" s="76"/>
      <c r="J134" s="76"/>
      <c r="K134" s="76"/>
    </row>
    <row r="135" spans="1:11" ht="15" customHeight="1">
      <c r="A135" s="60">
        <v>132</v>
      </c>
      <c r="B135" s="77" t="s">
        <v>720</v>
      </c>
      <c r="C135" s="8" t="s">
        <v>142</v>
      </c>
      <c r="D135" s="62" t="s">
        <v>860</v>
      </c>
      <c r="E135" s="11" t="s">
        <v>863</v>
      </c>
      <c r="F135" s="8"/>
      <c r="G135" s="83" t="s">
        <v>864</v>
      </c>
      <c r="H135" s="53" t="s">
        <v>652</v>
      </c>
      <c r="I135" s="76"/>
      <c r="J135" s="76"/>
      <c r="K135" s="76"/>
    </row>
    <row r="136" spans="1:11" ht="15" customHeight="1">
      <c r="A136" s="60">
        <v>133</v>
      </c>
      <c r="B136" s="77" t="s">
        <v>720</v>
      </c>
      <c r="C136" s="8" t="s">
        <v>142</v>
      </c>
      <c r="D136" s="62" t="s">
        <v>860</v>
      </c>
      <c r="E136" s="11" t="s">
        <v>865</v>
      </c>
      <c r="F136" s="8"/>
      <c r="G136" s="83" t="s">
        <v>866</v>
      </c>
      <c r="H136" s="53" t="s">
        <v>652</v>
      </c>
      <c r="I136" s="76"/>
      <c r="J136" s="76"/>
      <c r="K136" s="76"/>
    </row>
    <row r="137" spans="1:11" ht="39.6" customHeight="1">
      <c r="A137" s="60">
        <v>134</v>
      </c>
      <c r="B137" s="77" t="s">
        <v>826</v>
      </c>
      <c r="C137" s="8" t="s">
        <v>411</v>
      </c>
      <c r="D137" s="62" t="s">
        <v>18</v>
      </c>
      <c r="E137" s="11" t="s">
        <v>867</v>
      </c>
      <c r="F137" s="8"/>
      <c r="G137" s="84" t="s">
        <v>868</v>
      </c>
      <c r="H137" s="53" t="s">
        <v>652</v>
      </c>
      <c r="I137" s="76"/>
      <c r="J137" s="76"/>
      <c r="K137" s="76"/>
    </row>
    <row r="138" spans="1:11" ht="15" customHeight="1">
      <c r="A138" s="60">
        <v>135</v>
      </c>
      <c r="B138" s="77" t="s">
        <v>826</v>
      </c>
      <c r="C138" s="8" t="s">
        <v>411</v>
      </c>
      <c r="D138" s="62" t="s">
        <v>18</v>
      </c>
      <c r="E138" s="11" t="s">
        <v>869</v>
      </c>
      <c r="F138" s="8"/>
      <c r="G138" s="62" t="s">
        <v>870</v>
      </c>
      <c r="H138" s="53" t="s">
        <v>652</v>
      </c>
      <c r="I138" s="76"/>
      <c r="J138" s="76"/>
      <c r="K138" s="76"/>
    </row>
    <row r="139" spans="1:11" ht="26.45" customHeight="1">
      <c r="A139" s="60">
        <v>136</v>
      </c>
      <c r="B139" s="77" t="s">
        <v>826</v>
      </c>
      <c r="C139" s="8" t="s">
        <v>411</v>
      </c>
      <c r="D139" s="62" t="s">
        <v>18</v>
      </c>
      <c r="E139" s="11" t="s">
        <v>871</v>
      </c>
      <c r="F139" s="8"/>
      <c r="G139" s="84" t="s">
        <v>872</v>
      </c>
      <c r="H139" s="53" t="s">
        <v>652</v>
      </c>
      <c r="I139" s="76"/>
      <c r="J139" s="76"/>
      <c r="K139" s="76"/>
    </row>
    <row r="140" spans="1:11" ht="15" customHeight="1">
      <c r="A140" s="60">
        <v>137</v>
      </c>
      <c r="B140" s="77" t="s">
        <v>826</v>
      </c>
      <c r="C140" s="8" t="s">
        <v>411</v>
      </c>
      <c r="D140" s="62" t="s">
        <v>18</v>
      </c>
      <c r="E140" s="11" t="s">
        <v>873</v>
      </c>
      <c r="F140" s="8"/>
      <c r="G140" s="83" t="s">
        <v>874</v>
      </c>
      <c r="H140" s="53" t="s">
        <v>652</v>
      </c>
      <c r="I140" s="76"/>
      <c r="J140" s="76"/>
      <c r="K140" s="76"/>
    </row>
    <row r="141" spans="1:11" ht="15" customHeight="1">
      <c r="A141" s="60">
        <v>138</v>
      </c>
      <c r="B141" s="77" t="s">
        <v>826</v>
      </c>
      <c r="C141" s="8" t="s">
        <v>411</v>
      </c>
      <c r="D141" s="62" t="s">
        <v>18</v>
      </c>
      <c r="E141" s="11" t="s">
        <v>875</v>
      </c>
      <c r="F141" s="8"/>
      <c r="G141" s="83" t="s">
        <v>876</v>
      </c>
      <c r="H141" s="53" t="s">
        <v>652</v>
      </c>
      <c r="I141" s="76"/>
      <c r="J141" s="76"/>
      <c r="K141" s="76"/>
    </row>
    <row r="142" spans="1:11" ht="26.45" customHeight="1">
      <c r="A142" s="60">
        <v>139</v>
      </c>
      <c r="B142" s="77" t="s">
        <v>826</v>
      </c>
      <c r="C142" s="8" t="s">
        <v>411</v>
      </c>
      <c r="D142" s="62" t="s">
        <v>18</v>
      </c>
      <c r="E142" s="11" t="s">
        <v>877</v>
      </c>
      <c r="F142" s="8"/>
      <c r="G142" s="84" t="s">
        <v>878</v>
      </c>
      <c r="H142" s="53" t="s">
        <v>652</v>
      </c>
      <c r="I142" s="76"/>
      <c r="J142" s="76"/>
      <c r="K142" s="76"/>
    </row>
    <row r="143" spans="1:11" ht="15" customHeight="1">
      <c r="A143" s="60">
        <v>140</v>
      </c>
      <c r="B143" s="77" t="s">
        <v>826</v>
      </c>
      <c r="C143" s="8" t="s">
        <v>411</v>
      </c>
      <c r="D143" s="62" t="s">
        <v>18</v>
      </c>
      <c r="E143" s="11" t="s">
        <v>879</v>
      </c>
      <c r="F143" s="8"/>
      <c r="G143" s="83" t="s">
        <v>880</v>
      </c>
      <c r="H143" s="53" t="s">
        <v>652</v>
      </c>
      <c r="I143" s="76"/>
      <c r="J143" s="76"/>
      <c r="K143" s="76"/>
    </row>
    <row r="144" spans="1:11" ht="105" customHeight="1">
      <c r="A144" s="60">
        <v>141</v>
      </c>
      <c r="B144" s="77">
        <v>30001452</v>
      </c>
      <c r="C144" s="8" t="s">
        <v>147</v>
      </c>
      <c r="D144" s="62" t="s">
        <v>881</v>
      </c>
      <c r="E144" s="78" t="s">
        <v>882</v>
      </c>
      <c r="F144" s="8"/>
      <c r="G144" s="84" t="s">
        <v>883</v>
      </c>
      <c r="H144" s="53" t="s">
        <v>652</v>
      </c>
      <c r="I144" s="76"/>
      <c r="J144" s="76"/>
      <c r="K144" s="76"/>
    </row>
    <row r="145" spans="1:11" ht="15" customHeight="1">
      <c r="A145" s="60">
        <v>142</v>
      </c>
      <c r="B145" s="77">
        <v>30001452</v>
      </c>
      <c r="C145" s="8" t="s">
        <v>147</v>
      </c>
      <c r="D145" s="62" t="s">
        <v>884</v>
      </c>
      <c r="E145" s="11" t="s">
        <v>885</v>
      </c>
      <c r="F145" s="8"/>
      <c r="G145" s="83" t="s">
        <v>886</v>
      </c>
      <c r="H145" s="53" t="s">
        <v>652</v>
      </c>
      <c r="I145" s="76"/>
      <c r="J145" s="76"/>
      <c r="K145" s="76"/>
    </row>
    <row r="146" spans="1:11" ht="58.15" customHeight="1">
      <c r="A146" s="60">
        <v>143</v>
      </c>
      <c r="B146" s="77">
        <v>30001452</v>
      </c>
      <c r="C146" s="8" t="s">
        <v>147</v>
      </c>
      <c r="D146" s="62" t="s">
        <v>887</v>
      </c>
      <c r="E146" s="11" t="s">
        <v>888</v>
      </c>
      <c r="F146" s="8"/>
      <c r="G146" s="84" t="s">
        <v>889</v>
      </c>
      <c r="H146" s="53" t="s">
        <v>652</v>
      </c>
      <c r="I146" s="76"/>
      <c r="J146" s="76"/>
      <c r="K146" s="76"/>
    </row>
    <row r="147" spans="1:11" ht="26.45" customHeight="1">
      <c r="A147" s="60">
        <v>144</v>
      </c>
      <c r="B147" s="77" t="s">
        <v>826</v>
      </c>
      <c r="C147" s="8" t="s">
        <v>411</v>
      </c>
      <c r="D147" s="62" t="s">
        <v>18</v>
      </c>
      <c r="E147" s="11" t="s">
        <v>890</v>
      </c>
      <c r="F147" s="8"/>
      <c r="G147" s="84" t="s">
        <v>891</v>
      </c>
      <c r="H147" s="53" t="s">
        <v>652</v>
      </c>
      <c r="I147" s="76"/>
      <c r="J147" s="76"/>
      <c r="K147" s="76"/>
    </row>
    <row r="148" spans="1:11" ht="15" customHeight="1">
      <c r="A148" s="60">
        <v>145</v>
      </c>
      <c r="B148" s="77" t="s">
        <v>826</v>
      </c>
      <c r="C148" s="8" t="s">
        <v>411</v>
      </c>
      <c r="D148" s="62" t="s">
        <v>18</v>
      </c>
      <c r="E148" s="11" t="s">
        <v>892</v>
      </c>
      <c r="F148" s="8"/>
      <c r="G148" s="83" t="s">
        <v>893</v>
      </c>
      <c r="H148" s="53" t="s">
        <v>652</v>
      </c>
      <c r="I148" s="76"/>
      <c r="J148" s="76"/>
      <c r="K148" s="76"/>
    </row>
    <row r="149" spans="1:11" ht="15" customHeight="1">
      <c r="A149" s="60">
        <v>146</v>
      </c>
      <c r="B149" s="77" t="s">
        <v>826</v>
      </c>
      <c r="C149" s="8" t="s">
        <v>411</v>
      </c>
      <c r="D149" s="62" t="s">
        <v>18</v>
      </c>
      <c r="E149" s="11" t="s">
        <v>894</v>
      </c>
      <c r="F149" s="8"/>
      <c r="G149" s="83" t="s">
        <v>895</v>
      </c>
      <c r="H149" s="53" t="s">
        <v>652</v>
      </c>
      <c r="I149" s="76"/>
      <c r="J149" s="76"/>
      <c r="K149" s="76"/>
    </row>
    <row r="150" spans="1:11" ht="15" customHeight="1">
      <c r="A150" s="60">
        <v>147</v>
      </c>
      <c r="B150" s="77" t="s">
        <v>826</v>
      </c>
      <c r="C150" s="8" t="s">
        <v>411</v>
      </c>
      <c r="D150" s="62" t="s">
        <v>18</v>
      </c>
      <c r="E150" s="11" t="s">
        <v>896</v>
      </c>
      <c r="F150" s="8"/>
      <c r="G150" s="83" t="s">
        <v>897</v>
      </c>
      <c r="H150" s="53" t="s">
        <v>652</v>
      </c>
      <c r="I150" s="76"/>
      <c r="J150" s="76"/>
      <c r="K150" s="76"/>
    </row>
    <row r="151" spans="1:11" ht="52.9" customHeight="1">
      <c r="A151" s="60">
        <v>148</v>
      </c>
      <c r="B151" s="77" t="s">
        <v>826</v>
      </c>
      <c r="C151" s="8" t="s">
        <v>411</v>
      </c>
      <c r="D151" s="62" t="s">
        <v>18</v>
      </c>
      <c r="E151" s="11" t="s">
        <v>898</v>
      </c>
      <c r="F151" s="8"/>
      <c r="G151" s="84" t="s">
        <v>899</v>
      </c>
      <c r="H151" s="53" t="s">
        <v>652</v>
      </c>
      <c r="I151" s="76"/>
      <c r="J151" s="76"/>
      <c r="K151" s="76"/>
    </row>
    <row r="152" spans="1:11" ht="15" customHeight="1">
      <c r="A152" s="60">
        <v>149</v>
      </c>
      <c r="B152" s="77">
        <v>30001452</v>
      </c>
      <c r="C152" s="8" t="s">
        <v>147</v>
      </c>
      <c r="D152" s="62" t="s">
        <v>900</v>
      </c>
      <c r="E152" s="11" t="s">
        <v>901</v>
      </c>
      <c r="F152" s="8"/>
      <c r="G152" s="62"/>
      <c r="H152" s="53" t="s">
        <v>652</v>
      </c>
      <c r="I152" s="76"/>
      <c r="J152" s="76"/>
      <c r="K152" s="76"/>
    </row>
    <row r="153" spans="1:11" ht="15" customHeight="1">
      <c r="A153" s="60">
        <v>150</v>
      </c>
      <c r="B153" s="77">
        <v>30001452</v>
      </c>
      <c r="C153" s="8" t="s">
        <v>147</v>
      </c>
      <c r="D153" s="62" t="s">
        <v>902</v>
      </c>
      <c r="E153" s="11" t="s">
        <v>903</v>
      </c>
      <c r="F153" s="8"/>
      <c r="G153" s="62"/>
      <c r="H153" s="53" t="s">
        <v>652</v>
      </c>
      <c r="I153" s="76"/>
      <c r="J153" s="76"/>
      <c r="K153" s="76"/>
    </row>
    <row r="154" spans="1:11" ht="15" customHeight="1">
      <c r="A154" s="60">
        <v>151</v>
      </c>
      <c r="B154" s="77">
        <v>30001452</v>
      </c>
      <c r="C154" s="8" t="s">
        <v>147</v>
      </c>
      <c r="D154" s="62" t="s">
        <v>904</v>
      </c>
      <c r="E154" s="11" t="s">
        <v>905</v>
      </c>
      <c r="F154" s="8"/>
      <c r="G154" s="62"/>
      <c r="H154" s="53" t="s">
        <v>652</v>
      </c>
      <c r="I154" s="76"/>
      <c r="J154" s="76"/>
      <c r="K154" s="76"/>
    </row>
    <row r="155" spans="1:11" ht="15" customHeight="1">
      <c r="A155" s="60">
        <v>152</v>
      </c>
      <c r="B155" s="77">
        <v>30001452</v>
      </c>
      <c r="C155" s="8" t="s">
        <v>147</v>
      </c>
      <c r="D155" s="62" t="s">
        <v>906</v>
      </c>
      <c r="E155" s="11" t="s">
        <v>907</v>
      </c>
      <c r="F155" s="8"/>
      <c r="G155" s="62"/>
      <c r="H155" s="53" t="s">
        <v>652</v>
      </c>
      <c r="I155" s="76"/>
      <c r="J155" s="76"/>
      <c r="K155" s="76"/>
    </row>
    <row r="156" spans="1:11" ht="15" customHeight="1">
      <c r="A156" s="60">
        <v>153</v>
      </c>
      <c r="B156" s="77">
        <v>30001452</v>
      </c>
      <c r="C156" s="8" t="s">
        <v>147</v>
      </c>
      <c r="D156" s="62" t="s">
        <v>908</v>
      </c>
      <c r="E156" s="11" t="s">
        <v>909</v>
      </c>
      <c r="F156" s="8"/>
      <c r="G156" s="62"/>
      <c r="H156" s="53" t="s">
        <v>652</v>
      </c>
      <c r="I156" s="76"/>
      <c r="J156" s="76"/>
      <c r="K156" s="76"/>
    </row>
    <row r="157" spans="1:11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2026-07-01T11:59:23Z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