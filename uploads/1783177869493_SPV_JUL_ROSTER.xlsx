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5E713858-752A-4996-B5CB-91E226E8FD18}" xr6:coauthVersionLast="47" xr6:coauthVersionMax="47" xr10:uidLastSave="{00000000-0000-0000-0000-000000000000}"/>
  <bookViews>
    <workbookView xWindow="-108" yWindow="-108" windowWidth="23256" windowHeight="12456" xr2:uid="{37A90B42-ECE5-4D1A-8C65-FD05B7B594C9}"/>
  </bookViews>
  <sheets>
    <sheet name="JUL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82" i="1" l="1"/>
  <c r="AI76" i="1"/>
  <c r="AI77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8" i="1" l="1"/>
  <c r="E77" i="1"/>
  <c r="E76" i="1"/>
</calcChain>
</file>

<file path=xl/sharedStrings.xml><?xml version="1.0" encoding="utf-8"?>
<sst xmlns="http://schemas.openxmlformats.org/spreadsheetml/2006/main" count="1418" uniqueCount="78">
  <si>
    <t>PRN</t>
  </si>
  <si>
    <t>NAME</t>
  </si>
  <si>
    <t>Posn</t>
  </si>
  <si>
    <t>CC: 264</t>
  </si>
  <si>
    <t>CREW 1</t>
  </si>
  <si>
    <t>WED</t>
  </si>
  <si>
    <t>THU</t>
  </si>
  <si>
    <t>FRI</t>
  </si>
  <si>
    <t>SAT</t>
  </si>
  <si>
    <t>SUN</t>
  </si>
  <si>
    <t>MON</t>
  </si>
  <si>
    <t>TUE</t>
  </si>
  <si>
    <t>HOMAID ALJAHDALI</t>
  </si>
  <si>
    <t>ACT/SUPV</t>
  </si>
  <si>
    <t>T</t>
  </si>
  <si>
    <t>R</t>
  </si>
  <si>
    <t>RONILO NOGADAS AMEN</t>
  </si>
  <si>
    <t>NAIF ALANEZI</t>
  </si>
  <si>
    <t>V</t>
  </si>
  <si>
    <t>RODEL CLEMENTE</t>
  </si>
  <si>
    <t>TECH</t>
  </si>
  <si>
    <t>FYSAL M. ALEDAINI</t>
  </si>
  <si>
    <t>OJT</t>
  </si>
  <si>
    <t>MASHHOUR ALSULAIMANI</t>
  </si>
  <si>
    <t>JEHAD M. HAKAMI</t>
  </si>
  <si>
    <t>ABDULAZIZ ZAKOUR</t>
  </si>
  <si>
    <t>MUHAMMED ALSHAIKH</t>
  </si>
  <si>
    <t>AHMED M. ALYAMANI</t>
  </si>
  <si>
    <t>SYAHLENDRA SYAMSOE</t>
  </si>
  <si>
    <t>FITTER</t>
  </si>
  <si>
    <t>MOHAMMAD KAIFI</t>
  </si>
  <si>
    <t>ALI ALAHMADI</t>
  </si>
  <si>
    <t>HOSSAM ALGHAMDI</t>
  </si>
  <si>
    <t>JIMRICKS AQINO</t>
  </si>
  <si>
    <t>CREW 2</t>
  </si>
  <si>
    <t>AHMED AL-GHAMDI</t>
  </si>
  <si>
    <t>D</t>
  </si>
  <si>
    <t>MOHAMMED BAROOM</t>
  </si>
  <si>
    <t>ABDULAZIZ F. ALBOUQ</t>
  </si>
  <si>
    <t>YOUSEF BARIFAH</t>
  </si>
  <si>
    <t>FOUAD A. MOJALLY</t>
  </si>
  <si>
    <t>AHMED ALSHARIF</t>
  </si>
  <si>
    <t>MUHAMMED ALHARBI</t>
  </si>
  <si>
    <t>SAAD ALDOSARI</t>
  </si>
  <si>
    <t>HUSSAM ALTHUBAITI</t>
  </si>
  <si>
    <t>KHALID ALSHUBRAMI</t>
  </si>
  <si>
    <t>FADUL A. FADUL</t>
  </si>
  <si>
    <t>RAKAN AGILY</t>
  </si>
  <si>
    <t>OLANDRES JR BEINVENIDO</t>
  </si>
  <si>
    <t>JASON C. GUEVARRA</t>
  </si>
  <si>
    <t>SAMEER ALDUSUQI</t>
  </si>
  <si>
    <t>SPECIAL SHIFTING</t>
  </si>
  <si>
    <t>KHALID FAISAL AL-ALAWI</t>
  </si>
  <si>
    <t>SUPV</t>
  </si>
  <si>
    <t>SULTAN ALMASRI</t>
  </si>
  <si>
    <t>MANSOUR ALHARBI</t>
  </si>
  <si>
    <t>AYMAN HAMED</t>
  </si>
  <si>
    <t>HAZEM ALSUBHI</t>
  </si>
  <si>
    <t>SIRAJ KHAYAT</t>
  </si>
  <si>
    <t>EID ALRIFAI</t>
  </si>
  <si>
    <t>MUAED MEERA</t>
  </si>
  <si>
    <t>TOTAL DAILY CREWS MANPOWER</t>
  </si>
  <si>
    <t>SHIFT</t>
  </si>
  <si>
    <t>G</t>
  </si>
  <si>
    <t>#</t>
  </si>
  <si>
    <t>?</t>
  </si>
  <si>
    <t>TRANSFERRED-IN MANPOWER</t>
  </si>
  <si>
    <t>SALMAN ALJAADANI</t>
  </si>
  <si>
    <t>AHMED S. ALGHAMDI</t>
  </si>
  <si>
    <t>AHMED M. ALWAHBI</t>
  </si>
  <si>
    <t>SAAD A. ALQAHTANI</t>
  </si>
  <si>
    <t>MOHAMMED ALOQBA</t>
  </si>
  <si>
    <t>SPV Cabin Employee Roster</t>
  </si>
  <si>
    <t>DAY (07:00 - 15:00)</t>
  </si>
  <si>
    <t>TWI (15:00 - 23:00)</t>
  </si>
  <si>
    <t>SPV CABIN SEC MGR</t>
  </si>
  <si>
    <t>DATE</t>
  </si>
  <si>
    <t>ABDULLAH A. ALSHEHRY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</si>
</sst>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1" x14ac:knownFonts="1">
    <font>
      <sz val="11"/>
      <color theme="1"/>
      <name val="Aptos Narrow"/>
      <family val="2"/>
      <scheme val="minor"/>
    </font>
    <font>
      <b/>
      <sz val="16"/>
      <color rgb="FFFFFFFF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6"/>
      <color theme="0"/>
      <name val="Times New Roman"/>
      <family val="1"/>
    </font>
    <font>
      <b/>
      <sz val="24"/>
      <color theme="0"/>
      <name val="Times New Roman"/>
      <family val="1"/>
    </font>
    <font>
      <sz val="8"/>
      <name val="Aptos Narrow"/>
      <family val="2"/>
      <scheme val="minor"/>
    </font>
    <font>
      <b/>
      <sz val="1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6" fillId="10" borderId="28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7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</cellXfs>
  <cellStyles count="1">
    <cellStyle name="عادي" xfId="0" builtinId="0"/>
  </cellStyles>
  <dxfs count="12"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40EE-9987-43B3-B91F-AEB1A15E51E6}">
  <dimension ref="A1:AI83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Z14" sqref="Z14"/>
    </sheetView>
  </sheetViews>
  <sheetFormatPr defaultRowHeight="14.4" x14ac:dyDescent="0.3"/>
  <cols>
    <col min="1" max="1" width="7" customWidth="1"/>
    <col min="2" max="2" width="13" customWidth="1"/>
    <col min="3" max="3" width="34.6640625" customWidth="1"/>
    <col min="4" max="4" width="13.44140625" customWidth="1"/>
    <col min="5" max="35" width="4.5546875" customWidth="1"/>
    <col min="37" max="37" width="14.33203125" customWidth="1"/>
    <col min="38" max="38" width="28.33203125" customWidth="1"/>
  </cols>
  <sheetData>
    <row r="1" spans="1:35" ht="21" thickBot="1" x14ac:dyDescent="0.35">
      <c r="A1" s="71" t="s">
        <v>64</v>
      </c>
      <c r="B1" s="73" t="s">
        <v>0</v>
      </c>
      <c r="C1" s="73" t="s">
        <v>1</v>
      </c>
      <c r="D1" s="73" t="s">
        <v>2</v>
      </c>
      <c r="E1" s="74" t="s">
        <v>72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6"/>
      <c r="AD1" s="47" t="s">
        <v>3</v>
      </c>
      <c r="AE1" s="48"/>
      <c r="AF1" s="48"/>
      <c r="AG1" s="48"/>
      <c r="AH1" s="48"/>
      <c r="AI1" s="48"/>
    </row>
    <row r="2" spans="1:35" ht="21" thickBot="1" x14ac:dyDescent="0.35">
      <c r="A2" s="72"/>
      <c r="B2" s="72"/>
      <c r="C2" s="72"/>
      <c r="D2" s="72"/>
      <c r="E2" s="97">
        <v>46204</v>
      </c>
      <c r="F2" s="98"/>
      <c r="G2" s="99"/>
      <c r="H2" s="99"/>
      <c r="I2" s="99"/>
      <c r="J2" s="99"/>
      <c r="K2" s="99"/>
      <c r="L2" s="98"/>
      <c r="M2" s="98"/>
      <c r="N2" s="99"/>
      <c r="O2" s="99"/>
      <c r="P2" s="99"/>
      <c r="Q2" s="99"/>
      <c r="R2" s="98"/>
      <c r="S2" s="99"/>
      <c r="T2" s="99"/>
      <c r="U2" s="99"/>
      <c r="V2" s="99"/>
      <c r="W2" s="98"/>
      <c r="X2" s="99"/>
      <c r="Y2" s="99"/>
      <c r="Z2" s="99"/>
      <c r="AA2" s="99"/>
      <c r="AB2" s="99"/>
      <c r="AC2" s="100"/>
      <c r="AD2" s="80"/>
      <c r="AE2" s="81"/>
      <c r="AF2" s="81"/>
      <c r="AG2" s="81"/>
      <c r="AH2" s="81"/>
      <c r="AI2" s="81"/>
    </row>
    <row r="3" spans="1:35" ht="15" thickBot="1" x14ac:dyDescent="0.35">
      <c r="A3" s="47" t="s">
        <v>4</v>
      </c>
      <c r="B3" s="48"/>
      <c r="C3" s="48"/>
      <c r="D3" s="48"/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5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10</v>
      </c>
      <c r="R3" s="1" t="s">
        <v>11</v>
      </c>
      <c r="S3" s="1" t="s">
        <v>5</v>
      </c>
      <c r="T3" s="1" t="s">
        <v>6</v>
      </c>
      <c r="U3" s="1" t="s">
        <v>7</v>
      </c>
      <c r="V3" s="1" t="s">
        <v>8</v>
      </c>
      <c r="W3" s="1" t="s">
        <v>9</v>
      </c>
      <c r="X3" s="1" t="s">
        <v>10</v>
      </c>
      <c r="Y3" s="1" t="s">
        <v>11</v>
      </c>
      <c r="Z3" s="1" t="s">
        <v>5</v>
      </c>
      <c r="AA3" s="1" t="s">
        <v>6</v>
      </c>
      <c r="AB3" s="1" t="s">
        <v>7</v>
      </c>
      <c r="AC3" s="1" t="s">
        <v>8</v>
      </c>
      <c r="AD3" s="1" t="s">
        <v>9</v>
      </c>
      <c r="AE3" s="1" t="s">
        <v>10</v>
      </c>
      <c r="AF3" s="1" t="s">
        <v>11</v>
      </c>
      <c r="AG3" s="1" t="s">
        <v>5</v>
      </c>
      <c r="AH3" s="24" t="s">
        <v>6</v>
      </c>
      <c r="AI3" s="21" t="s">
        <v>7</v>
      </c>
    </row>
    <row r="4" spans="1:35" ht="16.2" thickBot="1" x14ac:dyDescent="0.35">
      <c r="A4" s="47"/>
      <c r="B4" s="48"/>
      <c r="C4" s="48"/>
      <c r="D4" s="48"/>
      <c r="E4" s="2">
        <v>1</v>
      </c>
      <c r="F4" s="2">
        <v>2</v>
      </c>
      <c r="G4" s="2">
        <v>3</v>
      </c>
      <c r="H4" s="2">
        <v>4</v>
      </c>
      <c r="I4" s="3">
        <v>5</v>
      </c>
      <c r="J4" s="4">
        <v>6</v>
      </c>
      <c r="K4" s="4">
        <v>7</v>
      </c>
      <c r="L4" s="3">
        <v>8</v>
      </c>
      <c r="M4" s="4">
        <v>9</v>
      </c>
      <c r="N4" s="2">
        <v>10</v>
      </c>
      <c r="O4" s="2">
        <v>11</v>
      </c>
      <c r="P4" s="2">
        <v>12</v>
      </c>
      <c r="Q4" s="2">
        <v>13</v>
      </c>
      <c r="R4" s="2">
        <v>14</v>
      </c>
      <c r="S4" s="2">
        <v>15</v>
      </c>
      <c r="T4" s="2">
        <v>16</v>
      </c>
      <c r="U4" s="2">
        <v>17</v>
      </c>
      <c r="V4" s="2">
        <v>18</v>
      </c>
      <c r="W4" s="2">
        <v>19</v>
      </c>
      <c r="X4" s="2">
        <v>20</v>
      </c>
      <c r="Y4" s="2">
        <v>21</v>
      </c>
      <c r="Z4" s="2">
        <v>22</v>
      </c>
      <c r="AA4" s="2">
        <v>23</v>
      </c>
      <c r="AB4" s="2">
        <v>24</v>
      </c>
      <c r="AC4" s="2">
        <v>25</v>
      </c>
      <c r="AD4" s="2">
        <v>26</v>
      </c>
      <c r="AE4" s="2">
        <v>27</v>
      </c>
      <c r="AF4" s="2">
        <v>28</v>
      </c>
      <c r="AG4" s="2">
        <v>29</v>
      </c>
      <c r="AH4" s="25">
        <v>30</v>
      </c>
      <c r="AI4" s="22">
        <v>31</v>
      </c>
    </row>
    <row r="5" spans="1:35" ht="16.2" thickBot="1" x14ac:dyDescent="0.35">
      <c r="A5" s="5">
        <v>1</v>
      </c>
      <c r="B5" s="33">
        <v>13006435</v>
      </c>
      <c r="C5" s="33" t="s">
        <v>12</v>
      </c>
      <c r="D5" s="34" t="s">
        <v>13</v>
      </c>
      <c r="E5" s="6" t="s">
        <v>14</v>
      </c>
      <c r="F5" s="6" t="s">
        <v>14</v>
      </c>
      <c r="G5" s="7" t="s">
        <v>15</v>
      </c>
      <c r="H5" s="6" t="s">
        <v>15</v>
      </c>
      <c r="I5" s="6" t="s">
        <v>14</v>
      </c>
      <c r="J5" s="6" t="s">
        <v>14</v>
      </c>
      <c r="K5" s="6" t="s">
        <v>14</v>
      </c>
      <c r="L5" s="6" t="s">
        <v>14</v>
      </c>
      <c r="M5" s="6" t="s">
        <v>14</v>
      </c>
      <c r="N5" s="6" t="s">
        <v>15</v>
      </c>
      <c r="O5" s="6" t="s">
        <v>15</v>
      </c>
      <c r="P5" s="6" t="s">
        <v>14</v>
      </c>
      <c r="Q5" s="6" t="s">
        <v>14</v>
      </c>
      <c r="R5" s="6" t="s">
        <v>14</v>
      </c>
      <c r="S5" s="6" t="s">
        <v>14</v>
      </c>
      <c r="T5" s="6" t="s">
        <v>14</v>
      </c>
      <c r="U5" s="6" t="s">
        <v>15</v>
      </c>
      <c r="V5" s="6" t="s">
        <v>15</v>
      </c>
      <c r="W5" s="6" t="s">
        <v>14</v>
      </c>
      <c r="X5" s="6" t="s">
        <v>14</v>
      </c>
      <c r="Y5" s="6" t="s">
        <v>14</v>
      </c>
      <c r="Z5" s="6" t="s">
        <v>14</v>
      </c>
      <c r="AA5" s="6" t="s">
        <v>14</v>
      </c>
      <c r="AB5" s="6" t="s">
        <v>15</v>
      </c>
      <c r="AC5" s="6" t="s">
        <v>15</v>
      </c>
      <c r="AD5" s="6" t="s">
        <v>14</v>
      </c>
      <c r="AE5" s="6" t="s">
        <v>14</v>
      </c>
      <c r="AF5" s="6" t="s">
        <v>14</v>
      </c>
      <c r="AG5" s="6" t="s">
        <v>14</v>
      </c>
      <c r="AH5" s="26" t="s">
        <v>14</v>
      </c>
      <c r="AI5" s="23" t="s">
        <v>15</v>
      </c>
    </row>
    <row r="6" spans="1:35" ht="16.2" thickBot="1" x14ac:dyDescent="0.35">
      <c r="A6" s="5">
        <v>2</v>
      </c>
      <c r="B6" s="33">
        <v>13008931</v>
      </c>
      <c r="C6" s="33" t="s">
        <v>16</v>
      </c>
      <c r="D6" s="33" t="s">
        <v>13</v>
      </c>
      <c r="E6" s="6" t="s">
        <v>14</v>
      </c>
      <c r="F6" s="6" t="s">
        <v>14</v>
      </c>
      <c r="G6" s="7" t="s">
        <v>15</v>
      </c>
      <c r="H6" s="6" t="s">
        <v>15</v>
      </c>
      <c r="I6" s="6" t="s">
        <v>14</v>
      </c>
      <c r="J6" s="6" t="s">
        <v>14</v>
      </c>
      <c r="K6" s="6" t="s">
        <v>14</v>
      </c>
      <c r="L6" s="6" t="s">
        <v>14</v>
      </c>
      <c r="M6" s="6" t="s">
        <v>14</v>
      </c>
      <c r="N6" s="6" t="s">
        <v>15</v>
      </c>
      <c r="O6" s="6" t="s">
        <v>15</v>
      </c>
      <c r="P6" s="6" t="s">
        <v>14</v>
      </c>
      <c r="Q6" s="6" t="s">
        <v>14</v>
      </c>
      <c r="R6" s="6" t="s">
        <v>14</v>
      </c>
      <c r="S6" s="6" t="s">
        <v>14</v>
      </c>
      <c r="T6" s="6" t="s">
        <v>14</v>
      </c>
      <c r="U6" s="6" t="s">
        <v>15</v>
      </c>
      <c r="V6" s="6" t="s">
        <v>15</v>
      </c>
      <c r="W6" s="6" t="s">
        <v>14</v>
      </c>
      <c r="X6" s="6" t="s">
        <v>14</v>
      </c>
      <c r="Y6" s="6" t="s">
        <v>14</v>
      </c>
      <c r="Z6" s="6" t="s">
        <v>14</v>
      </c>
      <c r="AA6" s="6" t="s">
        <v>14</v>
      </c>
      <c r="AB6" s="6" t="s">
        <v>15</v>
      </c>
      <c r="AC6" s="6" t="s">
        <v>15</v>
      </c>
      <c r="AD6" s="6" t="s">
        <v>14</v>
      </c>
      <c r="AE6" s="6" t="s">
        <v>14</v>
      </c>
      <c r="AF6" s="6" t="s">
        <v>14</v>
      </c>
      <c r="AG6" s="6" t="s">
        <v>14</v>
      </c>
      <c r="AH6" s="26" t="s">
        <v>14</v>
      </c>
      <c r="AI6" s="23" t="s">
        <v>15</v>
      </c>
    </row>
    <row r="7" spans="1:35" ht="16.2" thickBot="1" x14ac:dyDescent="0.35">
      <c r="A7" s="5">
        <v>3</v>
      </c>
      <c r="B7" s="35">
        <v>13010279</v>
      </c>
      <c r="C7" s="33" t="s">
        <v>69</v>
      </c>
      <c r="D7" s="33" t="s">
        <v>13</v>
      </c>
      <c r="E7" s="6" t="s">
        <v>14</v>
      </c>
      <c r="F7" s="6" t="s">
        <v>14</v>
      </c>
      <c r="G7" s="7" t="s">
        <v>15</v>
      </c>
      <c r="H7" s="6" t="s">
        <v>15</v>
      </c>
      <c r="I7" s="6" t="s">
        <v>14</v>
      </c>
      <c r="J7" s="6" t="s">
        <v>14</v>
      </c>
      <c r="K7" s="6" t="s">
        <v>14</v>
      </c>
      <c r="L7" s="6" t="s">
        <v>14</v>
      </c>
      <c r="M7" s="6" t="s">
        <v>14</v>
      </c>
      <c r="N7" s="6" t="s">
        <v>15</v>
      </c>
      <c r="O7" s="6" t="s">
        <v>15</v>
      </c>
      <c r="P7" s="6" t="s">
        <v>14</v>
      </c>
      <c r="Q7" s="6" t="s">
        <v>14</v>
      </c>
      <c r="R7" s="6" t="s">
        <v>14</v>
      </c>
      <c r="S7" s="6" t="s">
        <v>14</v>
      </c>
      <c r="T7" s="6" t="s">
        <v>14</v>
      </c>
      <c r="U7" s="6" t="s">
        <v>15</v>
      </c>
      <c r="V7" s="6" t="s">
        <v>15</v>
      </c>
      <c r="W7" s="6" t="s">
        <v>14</v>
      </c>
      <c r="X7" s="6" t="s">
        <v>14</v>
      </c>
      <c r="Y7" s="6" t="s">
        <v>14</v>
      </c>
      <c r="Z7" s="6" t="s">
        <v>14</v>
      </c>
      <c r="AA7" s="6" t="s">
        <v>14</v>
      </c>
      <c r="AB7" s="6" t="s">
        <v>15</v>
      </c>
      <c r="AC7" s="6" t="s">
        <v>15</v>
      </c>
      <c r="AD7" s="6" t="s">
        <v>14</v>
      </c>
      <c r="AE7" s="6" t="s">
        <v>14</v>
      </c>
      <c r="AF7" s="6" t="s">
        <v>14</v>
      </c>
      <c r="AG7" s="6" t="s">
        <v>14</v>
      </c>
      <c r="AH7" s="26" t="s">
        <v>14</v>
      </c>
      <c r="AI7" s="23" t="s">
        <v>15</v>
      </c>
    </row>
    <row r="8" spans="1:35" ht="16.2" thickBot="1" x14ac:dyDescent="0.35">
      <c r="A8" s="5">
        <v>4</v>
      </c>
      <c r="B8" s="33">
        <v>13007568</v>
      </c>
      <c r="C8" s="33" t="s">
        <v>17</v>
      </c>
      <c r="D8" s="33" t="s">
        <v>13</v>
      </c>
      <c r="E8" s="6" t="s">
        <v>18</v>
      </c>
      <c r="F8" s="6" t="s">
        <v>18</v>
      </c>
      <c r="G8" s="7" t="s">
        <v>15</v>
      </c>
      <c r="H8" s="6" t="s">
        <v>15</v>
      </c>
      <c r="I8" s="6" t="s">
        <v>14</v>
      </c>
      <c r="J8" s="6" t="s">
        <v>14</v>
      </c>
      <c r="K8" s="6" t="s">
        <v>14</v>
      </c>
      <c r="L8" s="6" t="s">
        <v>14</v>
      </c>
      <c r="M8" s="6" t="s">
        <v>14</v>
      </c>
      <c r="N8" s="6" t="s">
        <v>15</v>
      </c>
      <c r="O8" s="6" t="s">
        <v>15</v>
      </c>
      <c r="P8" s="6" t="s">
        <v>14</v>
      </c>
      <c r="Q8" s="6" t="s">
        <v>14</v>
      </c>
      <c r="R8" s="6" t="s">
        <v>14</v>
      </c>
      <c r="S8" s="6" t="s">
        <v>14</v>
      </c>
      <c r="T8" s="6" t="s">
        <v>14</v>
      </c>
      <c r="U8" s="6" t="s">
        <v>15</v>
      </c>
      <c r="V8" s="6" t="s">
        <v>15</v>
      </c>
      <c r="W8" s="6" t="s">
        <v>14</v>
      </c>
      <c r="X8" s="6" t="s">
        <v>14</v>
      </c>
      <c r="Y8" s="6" t="s">
        <v>14</v>
      </c>
      <c r="Z8" s="6" t="s">
        <v>14</v>
      </c>
      <c r="AA8" s="6" t="s">
        <v>14</v>
      </c>
      <c r="AB8" s="6" t="s">
        <v>15</v>
      </c>
      <c r="AC8" s="6" t="s">
        <v>15</v>
      </c>
      <c r="AD8" s="6" t="s">
        <v>14</v>
      </c>
      <c r="AE8" s="6" t="s">
        <v>14</v>
      </c>
      <c r="AF8" s="6" t="s">
        <v>14</v>
      </c>
      <c r="AG8" s="6" t="s">
        <v>14</v>
      </c>
      <c r="AH8" s="26" t="s">
        <v>14</v>
      </c>
      <c r="AI8" s="23" t="s">
        <v>15</v>
      </c>
    </row>
    <row r="9" spans="1:35" ht="16.2" thickBot="1" x14ac:dyDescent="0.35">
      <c r="A9" s="5">
        <v>5</v>
      </c>
      <c r="B9" s="36">
        <v>30005295</v>
      </c>
      <c r="C9" s="36" t="s">
        <v>19</v>
      </c>
      <c r="D9" s="37" t="s">
        <v>20</v>
      </c>
      <c r="E9" s="6" t="s">
        <v>14</v>
      </c>
      <c r="F9" s="6" t="s">
        <v>14</v>
      </c>
      <c r="G9" s="7" t="s">
        <v>15</v>
      </c>
      <c r="H9" s="6" t="s">
        <v>15</v>
      </c>
      <c r="I9" s="6" t="s">
        <v>14</v>
      </c>
      <c r="J9" s="6" t="s">
        <v>14</v>
      </c>
      <c r="K9" s="6" t="s">
        <v>14</v>
      </c>
      <c r="L9" s="6" t="s">
        <v>14</v>
      </c>
      <c r="M9" s="6" t="s">
        <v>14</v>
      </c>
      <c r="N9" s="6" t="s">
        <v>15</v>
      </c>
      <c r="O9" s="6" t="s">
        <v>15</v>
      </c>
      <c r="P9" s="6" t="s">
        <v>14</v>
      </c>
      <c r="Q9" s="6" t="s">
        <v>14</v>
      </c>
      <c r="R9" s="6" t="s">
        <v>14</v>
      </c>
      <c r="S9" s="6" t="s">
        <v>14</v>
      </c>
      <c r="T9" s="6" t="s">
        <v>14</v>
      </c>
      <c r="U9" s="6" t="s">
        <v>15</v>
      </c>
      <c r="V9" s="6" t="s">
        <v>15</v>
      </c>
      <c r="W9" s="6" t="s">
        <v>14</v>
      </c>
      <c r="X9" s="6" t="s">
        <v>14</v>
      </c>
      <c r="Y9" s="6" t="s">
        <v>14</v>
      </c>
      <c r="Z9" s="6" t="s">
        <v>14</v>
      </c>
      <c r="AA9" s="6" t="s">
        <v>14</v>
      </c>
      <c r="AB9" s="6" t="s">
        <v>15</v>
      </c>
      <c r="AC9" s="6" t="s">
        <v>15</v>
      </c>
      <c r="AD9" s="6" t="s">
        <v>14</v>
      </c>
      <c r="AE9" s="6" t="s">
        <v>14</v>
      </c>
      <c r="AF9" s="6" t="s">
        <v>14</v>
      </c>
      <c r="AG9" s="6" t="s">
        <v>14</v>
      </c>
      <c r="AH9" s="26" t="s">
        <v>14</v>
      </c>
      <c r="AI9" s="23" t="s">
        <v>15</v>
      </c>
    </row>
    <row r="10" spans="1:35" ht="16.2" thickBot="1" x14ac:dyDescent="0.35">
      <c r="A10" s="10">
        <v>6</v>
      </c>
      <c r="B10" s="38">
        <v>30001593</v>
      </c>
      <c r="C10" s="38" t="s">
        <v>21</v>
      </c>
      <c r="D10" s="38" t="s">
        <v>22</v>
      </c>
      <c r="E10" s="6" t="s">
        <v>14</v>
      </c>
      <c r="F10" s="6" t="s">
        <v>14</v>
      </c>
      <c r="G10" s="7" t="s">
        <v>15</v>
      </c>
      <c r="H10" s="6" t="s">
        <v>15</v>
      </c>
      <c r="I10" s="6" t="s">
        <v>14</v>
      </c>
      <c r="J10" s="6" t="s">
        <v>14</v>
      </c>
      <c r="K10" s="6" t="s">
        <v>14</v>
      </c>
      <c r="L10" s="6" t="s">
        <v>14</v>
      </c>
      <c r="M10" s="6" t="s">
        <v>14</v>
      </c>
      <c r="N10" s="6" t="s">
        <v>15</v>
      </c>
      <c r="O10" s="6" t="s">
        <v>15</v>
      </c>
      <c r="P10" s="6" t="s">
        <v>14</v>
      </c>
      <c r="Q10" s="6" t="s">
        <v>14</v>
      </c>
      <c r="R10" s="6" t="s">
        <v>14</v>
      </c>
      <c r="S10" s="6" t="s">
        <v>14</v>
      </c>
      <c r="T10" s="6" t="s">
        <v>14</v>
      </c>
      <c r="U10" s="6" t="s">
        <v>15</v>
      </c>
      <c r="V10" s="6" t="s">
        <v>15</v>
      </c>
      <c r="W10" s="6" t="s">
        <v>14</v>
      </c>
      <c r="X10" s="6" t="s">
        <v>14</v>
      </c>
      <c r="Y10" s="6" t="s">
        <v>14</v>
      </c>
      <c r="Z10" s="6" t="s">
        <v>14</v>
      </c>
      <c r="AA10" s="6" t="s">
        <v>14</v>
      </c>
      <c r="AB10" s="6" t="s">
        <v>15</v>
      </c>
      <c r="AC10" s="6" t="s">
        <v>15</v>
      </c>
      <c r="AD10" s="6" t="s">
        <v>14</v>
      </c>
      <c r="AE10" s="6" t="s">
        <v>14</v>
      </c>
      <c r="AF10" s="6" t="s">
        <v>14</v>
      </c>
      <c r="AG10" s="6" t="s">
        <v>14</v>
      </c>
      <c r="AH10" s="26" t="s">
        <v>14</v>
      </c>
      <c r="AI10" s="23" t="s">
        <v>15</v>
      </c>
    </row>
    <row r="11" spans="1:35" ht="16.2" thickBot="1" x14ac:dyDescent="0.35">
      <c r="A11" s="10">
        <v>7</v>
      </c>
      <c r="B11" s="38">
        <v>30001338</v>
      </c>
      <c r="C11" s="38" t="s">
        <v>23</v>
      </c>
      <c r="D11" s="38" t="s">
        <v>22</v>
      </c>
      <c r="E11" s="6" t="s">
        <v>18</v>
      </c>
      <c r="F11" s="6" t="s">
        <v>18</v>
      </c>
      <c r="G11" s="7" t="s">
        <v>15</v>
      </c>
      <c r="H11" s="6" t="s">
        <v>15</v>
      </c>
      <c r="I11" s="6" t="s">
        <v>14</v>
      </c>
      <c r="J11" s="6" t="s">
        <v>14</v>
      </c>
      <c r="K11" s="6" t="s">
        <v>14</v>
      </c>
      <c r="L11" s="6" t="s">
        <v>14</v>
      </c>
      <c r="M11" s="6" t="s">
        <v>14</v>
      </c>
      <c r="N11" s="6" t="s">
        <v>15</v>
      </c>
      <c r="O11" s="6" t="s">
        <v>15</v>
      </c>
      <c r="P11" s="6" t="s">
        <v>14</v>
      </c>
      <c r="Q11" s="6" t="s">
        <v>14</v>
      </c>
      <c r="R11" s="6" t="s">
        <v>14</v>
      </c>
      <c r="S11" s="6" t="s">
        <v>14</v>
      </c>
      <c r="T11" s="6" t="s">
        <v>14</v>
      </c>
      <c r="U11" s="6" t="s">
        <v>15</v>
      </c>
      <c r="V11" s="6" t="s">
        <v>15</v>
      </c>
      <c r="W11" s="6" t="s">
        <v>14</v>
      </c>
      <c r="X11" s="6" t="s">
        <v>14</v>
      </c>
      <c r="Y11" s="6" t="s">
        <v>14</v>
      </c>
      <c r="Z11" s="6" t="s">
        <v>14</v>
      </c>
      <c r="AA11" s="6" t="s">
        <v>14</v>
      </c>
      <c r="AB11" s="6" t="s">
        <v>15</v>
      </c>
      <c r="AC11" s="6" t="s">
        <v>15</v>
      </c>
      <c r="AD11" s="6" t="s">
        <v>14</v>
      </c>
      <c r="AE11" s="6" t="s">
        <v>14</v>
      </c>
      <c r="AF11" s="6" t="s">
        <v>14</v>
      </c>
      <c r="AG11" s="6" t="s">
        <v>14</v>
      </c>
      <c r="AH11" s="26" t="s">
        <v>14</v>
      </c>
      <c r="AI11" s="23" t="s">
        <v>15</v>
      </c>
    </row>
    <row r="12" spans="1:35" ht="16.2" thickBot="1" x14ac:dyDescent="0.35">
      <c r="A12" s="10">
        <v>8</v>
      </c>
      <c r="B12" s="38">
        <v>30001573</v>
      </c>
      <c r="C12" s="38" t="s">
        <v>24</v>
      </c>
      <c r="D12" s="38" t="s">
        <v>22</v>
      </c>
      <c r="E12" s="6" t="s">
        <v>14</v>
      </c>
      <c r="F12" s="6" t="s">
        <v>14</v>
      </c>
      <c r="G12" s="7" t="s">
        <v>15</v>
      </c>
      <c r="H12" s="6" t="s">
        <v>15</v>
      </c>
      <c r="I12" s="6" t="s">
        <v>14</v>
      </c>
      <c r="J12" s="6" t="s">
        <v>14</v>
      </c>
      <c r="K12" s="6" t="s">
        <v>14</v>
      </c>
      <c r="L12" s="6" t="s">
        <v>14</v>
      </c>
      <c r="M12" s="6" t="s">
        <v>14</v>
      </c>
      <c r="N12" s="6" t="s">
        <v>15</v>
      </c>
      <c r="O12" s="6" t="s">
        <v>15</v>
      </c>
      <c r="P12" s="6" t="s">
        <v>14</v>
      </c>
      <c r="Q12" s="6" t="s">
        <v>14</v>
      </c>
      <c r="R12" s="6" t="s">
        <v>14</v>
      </c>
      <c r="S12" s="6" t="s">
        <v>14</v>
      </c>
      <c r="T12" s="6" t="s">
        <v>14</v>
      </c>
      <c r="U12" s="6" t="s">
        <v>15</v>
      </c>
      <c r="V12" s="6" t="s">
        <v>15</v>
      </c>
      <c r="W12" s="6" t="s">
        <v>14</v>
      </c>
      <c r="X12" s="6" t="s">
        <v>14</v>
      </c>
      <c r="Y12" s="6" t="s">
        <v>14</v>
      </c>
      <c r="Z12" s="6" t="s">
        <v>14</v>
      </c>
      <c r="AA12" s="6" t="s">
        <v>14</v>
      </c>
      <c r="AB12" s="6" t="s">
        <v>15</v>
      </c>
      <c r="AC12" s="6" t="s">
        <v>15</v>
      </c>
      <c r="AD12" s="6" t="s">
        <v>14</v>
      </c>
      <c r="AE12" s="6" t="s">
        <v>14</v>
      </c>
      <c r="AF12" s="6" t="s">
        <v>14</v>
      </c>
      <c r="AG12" s="6" t="s">
        <v>14</v>
      </c>
      <c r="AH12" s="26" t="s">
        <v>14</v>
      </c>
      <c r="AI12" s="23" t="s">
        <v>15</v>
      </c>
    </row>
    <row r="13" spans="1:35" ht="16.2" thickBot="1" x14ac:dyDescent="0.35">
      <c r="A13" s="10">
        <v>9</v>
      </c>
      <c r="B13" s="38">
        <v>30001366</v>
      </c>
      <c r="C13" s="38" t="s">
        <v>25</v>
      </c>
      <c r="D13" s="38" t="s">
        <v>22</v>
      </c>
      <c r="E13" s="6" t="s">
        <v>14</v>
      </c>
      <c r="F13" s="6" t="s">
        <v>14</v>
      </c>
      <c r="G13" s="7" t="s">
        <v>15</v>
      </c>
      <c r="H13" s="6" t="s">
        <v>15</v>
      </c>
      <c r="I13" s="6" t="s">
        <v>14</v>
      </c>
      <c r="J13" s="6" t="s">
        <v>14</v>
      </c>
      <c r="K13" s="6" t="s">
        <v>14</v>
      </c>
      <c r="L13" s="6" t="s">
        <v>14</v>
      </c>
      <c r="M13" s="6" t="s">
        <v>14</v>
      </c>
      <c r="N13" s="6" t="s">
        <v>15</v>
      </c>
      <c r="O13" s="6" t="s">
        <v>15</v>
      </c>
      <c r="P13" s="6" t="s">
        <v>14</v>
      </c>
      <c r="Q13" s="6" t="s">
        <v>14</v>
      </c>
      <c r="R13" s="6" t="s">
        <v>14</v>
      </c>
      <c r="S13" s="6" t="s">
        <v>14</v>
      </c>
      <c r="T13" s="6" t="s">
        <v>14</v>
      </c>
      <c r="U13" s="6" t="s">
        <v>15</v>
      </c>
      <c r="V13" s="6" t="s">
        <v>15</v>
      </c>
      <c r="W13" s="6" t="s">
        <v>14</v>
      </c>
      <c r="X13" s="6" t="s">
        <v>14</v>
      </c>
      <c r="Y13" s="6" t="s">
        <v>14</v>
      </c>
      <c r="Z13" s="6" t="s">
        <v>14</v>
      </c>
      <c r="AA13" s="6" t="s">
        <v>14</v>
      </c>
      <c r="AB13" s="6" t="s">
        <v>15</v>
      </c>
      <c r="AC13" s="6" t="s">
        <v>15</v>
      </c>
      <c r="AD13" s="6" t="s">
        <v>14</v>
      </c>
      <c r="AE13" s="6" t="s">
        <v>14</v>
      </c>
      <c r="AF13" s="6" t="s">
        <v>14</v>
      </c>
      <c r="AG13" s="6" t="s">
        <v>14</v>
      </c>
      <c r="AH13" s="26" t="s">
        <v>14</v>
      </c>
      <c r="AI13" s="23" t="s">
        <v>15</v>
      </c>
    </row>
    <row r="14" spans="1:35" ht="16.2" thickBot="1" x14ac:dyDescent="0.35">
      <c r="A14" s="10">
        <v>10</v>
      </c>
      <c r="B14" s="38">
        <v>30001450</v>
      </c>
      <c r="C14" s="38" t="s">
        <v>26</v>
      </c>
      <c r="D14" s="38" t="s">
        <v>22</v>
      </c>
      <c r="E14" s="11" t="s">
        <v>65</v>
      </c>
      <c r="F14" s="11" t="s">
        <v>65</v>
      </c>
      <c r="G14" s="11" t="s">
        <v>65</v>
      </c>
      <c r="H14" s="11" t="s">
        <v>65</v>
      </c>
      <c r="I14" s="11" t="s">
        <v>65</v>
      </c>
      <c r="J14" s="11" t="s">
        <v>65</v>
      </c>
      <c r="K14" s="11" t="s">
        <v>65</v>
      </c>
      <c r="L14" s="11" t="s">
        <v>65</v>
      </c>
      <c r="M14" s="11" t="s">
        <v>65</v>
      </c>
      <c r="N14" s="11" t="s">
        <v>65</v>
      </c>
      <c r="O14" s="11" t="s">
        <v>65</v>
      </c>
      <c r="P14" s="11" t="s">
        <v>65</v>
      </c>
      <c r="Q14" s="11" t="s">
        <v>65</v>
      </c>
      <c r="R14" s="11" t="s">
        <v>65</v>
      </c>
      <c r="S14" s="11" t="s">
        <v>65</v>
      </c>
      <c r="T14" s="11" t="s">
        <v>65</v>
      </c>
      <c r="U14" s="11" t="s">
        <v>65</v>
      </c>
      <c r="V14" s="11" t="s">
        <v>65</v>
      </c>
      <c r="W14" s="11" t="s">
        <v>65</v>
      </c>
      <c r="X14" s="11" t="s">
        <v>65</v>
      </c>
      <c r="Y14" s="11" t="s">
        <v>65</v>
      </c>
      <c r="Z14" s="11" t="s">
        <v>65</v>
      </c>
      <c r="AA14" s="11" t="s">
        <v>65</v>
      </c>
      <c r="AB14" s="11" t="s">
        <v>65</v>
      </c>
      <c r="AC14" s="11" t="s">
        <v>65</v>
      </c>
      <c r="AD14" s="11" t="s">
        <v>65</v>
      </c>
      <c r="AE14" s="11" t="s">
        <v>65</v>
      </c>
      <c r="AF14" s="11" t="s">
        <v>65</v>
      </c>
      <c r="AG14" s="11" t="s">
        <v>65</v>
      </c>
      <c r="AH14" s="11" t="s">
        <v>65</v>
      </c>
      <c r="AI14" s="23" t="s">
        <v>65</v>
      </c>
    </row>
    <row r="15" spans="1:35" ht="16.2" thickBot="1" x14ac:dyDescent="0.35">
      <c r="A15" s="10">
        <v>11</v>
      </c>
      <c r="B15" s="38">
        <v>30001602</v>
      </c>
      <c r="C15" s="38" t="s">
        <v>27</v>
      </c>
      <c r="D15" s="38" t="s">
        <v>22</v>
      </c>
      <c r="E15" s="6" t="s">
        <v>14</v>
      </c>
      <c r="F15" s="6" t="s">
        <v>14</v>
      </c>
      <c r="G15" s="7" t="s">
        <v>15</v>
      </c>
      <c r="H15" s="6" t="s">
        <v>15</v>
      </c>
      <c r="I15" s="6" t="s">
        <v>18</v>
      </c>
      <c r="J15" s="6" t="s">
        <v>18</v>
      </c>
      <c r="K15" s="6" t="s">
        <v>18</v>
      </c>
      <c r="L15" s="6" t="s">
        <v>18</v>
      </c>
      <c r="M15" s="6" t="s">
        <v>18</v>
      </c>
      <c r="N15" s="6" t="s">
        <v>18</v>
      </c>
      <c r="O15" s="6" t="s">
        <v>18</v>
      </c>
      <c r="P15" s="6" t="s">
        <v>18</v>
      </c>
      <c r="Q15" s="6" t="s">
        <v>18</v>
      </c>
      <c r="R15" s="6" t="s">
        <v>18</v>
      </c>
      <c r="S15" s="6" t="s">
        <v>18</v>
      </c>
      <c r="T15" s="6" t="s">
        <v>18</v>
      </c>
      <c r="U15" s="6" t="s">
        <v>15</v>
      </c>
      <c r="V15" s="6" t="s">
        <v>15</v>
      </c>
      <c r="W15" s="6" t="s">
        <v>14</v>
      </c>
      <c r="X15" s="6" t="s">
        <v>14</v>
      </c>
      <c r="Y15" s="6" t="s">
        <v>14</v>
      </c>
      <c r="Z15" s="6" t="s">
        <v>14</v>
      </c>
      <c r="AA15" s="6" t="s">
        <v>14</v>
      </c>
      <c r="AB15" s="6" t="s">
        <v>15</v>
      </c>
      <c r="AC15" s="6" t="s">
        <v>15</v>
      </c>
      <c r="AD15" s="6" t="s">
        <v>14</v>
      </c>
      <c r="AE15" s="6" t="s">
        <v>14</v>
      </c>
      <c r="AF15" s="6" t="s">
        <v>14</v>
      </c>
      <c r="AG15" s="6" t="s">
        <v>14</v>
      </c>
      <c r="AH15" s="26" t="s">
        <v>14</v>
      </c>
      <c r="AI15" s="23" t="s">
        <v>15</v>
      </c>
    </row>
    <row r="16" spans="1:35" ht="16.2" thickBot="1" x14ac:dyDescent="0.35">
      <c r="A16" s="8">
        <v>12</v>
      </c>
      <c r="B16" s="36">
        <v>40001135</v>
      </c>
      <c r="C16" s="36" t="s">
        <v>28</v>
      </c>
      <c r="D16" s="39" t="s">
        <v>29</v>
      </c>
      <c r="E16" s="6" t="s">
        <v>14</v>
      </c>
      <c r="F16" s="6" t="s">
        <v>14</v>
      </c>
      <c r="G16" s="7" t="s">
        <v>15</v>
      </c>
      <c r="H16" s="6" t="s">
        <v>15</v>
      </c>
      <c r="I16" s="6" t="s">
        <v>14</v>
      </c>
      <c r="J16" s="6" t="s">
        <v>14</v>
      </c>
      <c r="K16" s="6" t="s">
        <v>14</v>
      </c>
      <c r="L16" s="6" t="s">
        <v>14</v>
      </c>
      <c r="M16" s="6" t="s">
        <v>14</v>
      </c>
      <c r="N16" s="6" t="s">
        <v>15</v>
      </c>
      <c r="O16" s="6" t="s">
        <v>15</v>
      </c>
      <c r="P16" s="6" t="s">
        <v>14</v>
      </c>
      <c r="Q16" s="6" t="s">
        <v>14</v>
      </c>
      <c r="R16" s="6" t="s">
        <v>14</v>
      </c>
      <c r="S16" s="6" t="s">
        <v>14</v>
      </c>
      <c r="T16" s="6" t="s">
        <v>14</v>
      </c>
      <c r="U16" s="6" t="s">
        <v>15</v>
      </c>
      <c r="V16" s="6" t="s">
        <v>15</v>
      </c>
      <c r="W16" s="6" t="s">
        <v>14</v>
      </c>
      <c r="X16" s="6" t="s">
        <v>14</v>
      </c>
      <c r="Y16" s="6" t="s">
        <v>14</v>
      </c>
      <c r="Z16" s="6" t="s">
        <v>14</v>
      </c>
      <c r="AA16" s="6" t="s">
        <v>14</v>
      </c>
      <c r="AB16" s="6" t="s">
        <v>15</v>
      </c>
      <c r="AC16" s="6" t="s">
        <v>15</v>
      </c>
      <c r="AD16" s="6" t="s">
        <v>14</v>
      </c>
      <c r="AE16" s="6" t="s">
        <v>14</v>
      </c>
      <c r="AF16" s="6" t="s">
        <v>14</v>
      </c>
      <c r="AG16" s="6" t="s">
        <v>14</v>
      </c>
      <c r="AH16" s="26" t="s">
        <v>14</v>
      </c>
      <c r="AI16" s="23" t="s">
        <v>15</v>
      </c>
    </row>
    <row r="17" spans="1:35" ht="16.2" thickBot="1" x14ac:dyDescent="0.35">
      <c r="A17" s="8">
        <v>13</v>
      </c>
      <c r="B17" s="36">
        <v>70010082</v>
      </c>
      <c r="C17" s="36" t="s">
        <v>30</v>
      </c>
      <c r="D17" s="37" t="s">
        <v>29</v>
      </c>
      <c r="E17" s="6" t="s">
        <v>14</v>
      </c>
      <c r="F17" s="6" t="s">
        <v>14</v>
      </c>
      <c r="G17" s="7" t="s">
        <v>15</v>
      </c>
      <c r="H17" s="6" t="s">
        <v>15</v>
      </c>
      <c r="I17" s="6" t="s">
        <v>14</v>
      </c>
      <c r="J17" s="6" t="s">
        <v>14</v>
      </c>
      <c r="K17" s="6" t="s">
        <v>14</v>
      </c>
      <c r="L17" s="6" t="s">
        <v>14</v>
      </c>
      <c r="M17" s="6" t="s">
        <v>14</v>
      </c>
      <c r="N17" s="6" t="s">
        <v>15</v>
      </c>
      <c r="O17" s="6" t="s">
        <v>15</v>
      </c>
      <c r="P17" s="6" t="s">
        <v>14</v>
      </c>
      <c r="Q17" s="6" t="s">
        <v>14</v>
      </c>
      <c r="R17" s="6" t="s">
        <v>14</v>
      </c>
      <c r="S17" s="6" t="s">
        <v>14</v>
      </c>
      <c r="T17" s="6" t="s">
        <v>14</v>
      </c>
      <c r="U17" s="6" t="s">
        <v>15</v>
      </c>
      <c r="V17" s="6" t="s">
        <v>15</v>
      </c>
      <c r="W17" s="6" t="s">
        <v>14</v>
      </c>
      <c r="X17" s="6" t="s">
        <v>14</v>
      </c>
      <c r="Y17" s="6" t="s">
        <v>14</v>
      </c>
      <c r="Z17" s="6" t="s">
        <v>14</v>
      </c>
      <c r="AA17" s="6" t="s">
        <v>14</v>
      </c>
      <c r="AB17" s="6" t="s">
        <v>15</v>
      </c>
      <c r="AC17" s="6" t="s">
        <v>15</v>
      </c>
      <c r="AD17" s="6" t="s">
        <v>14</v>
      </c>
      <c r="AE17" s="6" t="s">
        <v>14</v>
      </c>
      <c r="AF17" s="6" t="s">
        <v>14</v>
      </c>
      <c r="AG17" s="6" t="s">
        <v>14</v>
      </c>
      <c r="AH17" s="26" t="s">
        <v>14</v>
      </c>
      <c r="AI17" s="23" t="s">
        <v>15</v>
      </c>
    </row>
    <row r="18" spans="1:35" ht="16.2" thickBot="1" x14ac:dyDescent="0.35">
      <c r="A18" s="8">
        <v>14</v>
      </c>
      <c r="B18" s="36">
        <v>13009258</v>
      </c>
      <c r="C18" s="36" t="s">
        <v>31</v>
      </c>
      <c r="D18" s="39" t="s">
        <v>29</v>
      </c>
      <c r="E18" s="6" t="s">
        <v>14</v>
      </c>
      <c r="F18" s="6" t="s">
        <v>14</v>
      </c>
      <c r="G18" s="7" t="s">
        <v>15</v>
      </c>
      <c r="H18" s="6" t="s">
        <v>15</v>
      </c>
      <c r="I18" s="6" t="s">
        <v>14</v>
      </c>
      <c r="J18" s="6" t="s">
        <v>14</v>
      </c>
      <c r="K18" s="6" t="s">
        <v>14</v>
      </c>
      <c r="L18" s="6" t="s">
        <v>14</v>
      </c>
      <c r="M18" s="6" t="s">
        <v>14</v>
      </c>
      <c r="N18" s="6" t="s">
        <v>15</v>
      </c>
      <c r="O18" s="6" t="s">
        <v>15</v>
      </c>
      <c r="P18" s="6" t="s">
        <v>14</v>
      </c>
      <c r="Q18" s="6" t="s">
        <v>14</v>
      </c>
      <c r="R18" s="6" t="s">
        <v>14</v>
      </c>
      <c r="S18" s="6" t="s">
        <v>14</v>
      </c>
      <c r="T18" s="6" t="s">
        <v>14</v>
      </c>
      <c r="U18" s="6" t="s">
        <v>15</v>
      </c>
      <c r="V18" s="6" t="s">
        <v>15</v>
      </c>
      <c r="W18" s="6" t="s">
        <v>14</v>
      </c>
      <c r="X18" s="6" t="s">
        <v>14</v>
      </c>
      <c r="Y18" s="6" t="s">
        <v>14</v>
      </c>
      <c r="Z18" s="6" t="s">
        <v>14</v>
      </c>
      <c r="AA18" s="6" t="s">
        <v>14</v>
      </c>
      <c r="AB18" s="6" t="s">
        <v>15</v>
      </c>
      <c r="AC18" s="6" t="s">
        <v>15</v>
      </c>
      <c r="AD18" s="6" t="s">
        <v>14</v>
      </c>
      <c r="AE18" s="6" t="s">
        <v>14</v>
      </c>
      <c r="AF18" s="6" t="s">
        <v>14</v>
      </c>
      <c r="AG18" s="6" t="s">
        <v>14</v>
      </c>
      <c r="AH18" s="26" t="s">
        <v>14</v>
      </c>
      <c r="AI18" s="23" t="s">
        <v>15</v>
      </c>
    </row>
    <row r="19" spans="1:35" ht="16.2" thickBot="1" x14ac:dyDescent="0.35">
      <c r="A19" s="8">
        <v>15</v>
      </c>
      <c r="B19" s="36">
        <v>13009255</v>
      </c>
      <c r="C19" s="36" t="s">
        <v>32</v>
      </c>
      <c r="D19" s="37" t="s">
        <v>29</v>
      </c>
      <c r="E19" s="6" t="s">
        <v>14</v>
      </c>
      <c r="F19" s="6" t="s">
        <v>14</v>
      </c>
      <c r="G19" s="7" t="s">
        <v>15</v>
      </c>
      <c r="H19" s="6" t="s">
        <v>15</v>
      </c>
      <c r="I19" s="6" t="s">
        <v>14</v>
      </c>
      <c r="J19" s="6" t="s">
        <v>14</v>
      </c>
      <c r="K19" s="6" t="s">
        <v>14</v>
      </c>
      <c r="L19" s="6" t="s">
        <v>14</v>
      </c>
      <c r="M19" s="6" t="s">
        <v>14</v>
      </c>
      <c r="N19" s="6" t="s">
        <v>15</v>
      </c>
      <c r="O19" s="6" t="s">
        <v>15</v>
      </c>
      <c r="P19" s="6" t="s">
        <v>14</v>
      </c>
      <c r="Q19" s="6" t="s">
        <v>14</v>
      </c>
      <c r="R19" s="6" t="s">
        <v>14</v>
      </c>
      <c r="S19" s="6" t="s">
        <v>14</v>
      </c>
      <c r="T19" s="6" t="s">
        <v>14</v>
      </c>
      <c r="U19" s="6" t="s">
        <v>15</v>
      </c>
      <c r="V19" s="6" t="s">
        <v>15</v>
      </c>
      <c r="W19" s="6" t="s">
        <v>14</v>
      </c>
      <c r="X19" s="6" t="s">
        <v>14</v>
      </c>
      <c r="Y19" s="6" t="s">
        <v>14</v>
      </c>
      <c r="Z19" s="6" t="s">
        <v>14</v>
      </c>
      <c r="AA19" s="6" t="s">
        <v>14</v>
      </c>
      <c r="AB19" s="6" t="s">
        <v>15</v>
      </c>
      <c r="AC19" s="6" t="s">
        <v>15</v>
      </c>
      <c r="AD19" s="6" t="s">
        <v>14</v>
      </c>
      <c r="AE19" s="6" t="s">
        <v>14</v>
      </c>
      <c r="AF19" s="6" t="s">
        <v>14</v>
      </c>
      <c r="AG19" s="6" t="s">
        <v>14</v>
      </c>
      <c r="AH19" s="26" t="s">
        <v>14</v>
      </c>
      <c r="AI19" s="23" t="s">
        <v>15</v>
      </c>
    </row>
    <row r="20" spans="1:35" ht="16.2" thickBot="1" x14ac:dyDescent="0.35">
      <c r="A20" s="8">
        <v>16</v>
      </c>
      <c r="B20" s="36">
        <v>13009047</v>
      </c>
      <c r="C20" s="36" t="s">
        <v>33</v>
      </c>
      <c r="D20" s="37" t="s">
        <v>29</v>
      </c>
      <c r="E20" s="27" t="s">
        <v>14</v>
      </c>
      <c r="F20" s="27" t="s">
        <v>14</v>
      </c>
      <c r="G20" s="28" t="s">
        <v>15</v>
      </c>
      <c r="H20" s="27" t="s">
        <v>15</v>
      </c>
      <c r="I20" s="27" t="s">
        <v>14</v>
      </c>
      <c r="J20" s="27" t="s">
        <v>14</v>
      </c>
      <c r="K20" s="27" t="s">
        <v>14</v>
      </c>
      <c r="L20" s="27" t="s">
        <v>14</v>
      </c>
      <c r="M20" s="27" t="s">
        <v>14</v>
      </c>
      <c r="N20" s="27" t="s">
        <v>15</v>
      </c>
      <c r="O20" s="27" t="s">
        <v>15</v>
      </c>
      <c r="P20" s="27" t="s">
        <v>14</v>
      </c>
      <c r="Q20" s="27" t="s">
        <v>14</v>
      </c>
      <c r="R20" s="27" t="s">
        <v>14</v>
      </c>
      <c r="S20" s="27" t="s">
        <v>14</v>
      </c>
      <c r="T20" s="27" t="s">
        <v>14</v>
      </c>
      <c r="U20" s="27" t="s">
        <v>15</v>
      </c>
      <c r="V20" s="27" t="s">
        <v>15</v>
      </c>
      <c r="W20" s="27" t="s">
        <v>14</v>
      </c>
      <c r="X20" s="27" t="s">
        <v>14</v>
      </c>
      <c r="Y20" s="27" t="s">
        <v>14</v>
      </c>
      <c r="Z20" s="27" t="s">
        <v>14</v>
      </c>
      <c r="AA20" s="27" t="s">
        <v>14</v>
      </c>
      <c r="AB20" s="27" t="s">
        <v>15</v>
      </c>
      <c r="AC20" s="27" t="s">
        <v>15</v>
      </c>
      <c r="AD20" s="27" t="s">
        <v>14</v>
      </c>
      <c r="AE20" s="27" t="s">
        <v>14</v>
      </c>
      <c r="AF20" s="27" t="s">
        <v>14</v>
      </c>
      <c r="AG20" s="27" t="s">
        <v>14</v>
      </c>
      <c r="AH20" s="29" t="s">
        <v>14</v>
      </c>
      <c r="AI20" s="23" t="s">
        <v>15</v>
      </c>
    </row>
    <row r="21" spans="1:35" ht="16.2" thickBot="1" x14ac:dyDescent="0.35">
      <c r="A21" s="12"/>
      <c r="C21" s="13"/>
      <c r="D21" s="13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35" ht="15" thickBot="1" x14ac:dyDescent="0.35">
      <c r="A22" s="49" t="s">
        <v>34</v>
      </c>
      <c r="B22" s="50"/>
      <c r="C22" s="50"/>
      <c r="D22" s="50"/>
      <c r="E22" s="30" t="s">
        <v>5</v>
      </c>
      <c r="F22" s="30" t="s">
        <v>6</v>
      </c>
      <c r="G22" s="30" t="s">
        <v>7</v>
      </c>
      <c r="H22" s="30" t="s">
        <v>8</v>
      </c>
      <c r="I22" s="30" t="s">
        <v>9</v>
      </c>
      <c r="J22" s="30" t="s">
        <v>10</v>
      </c>
      <c r="K22" s="30" t="s">
        <v>11</v>
      </c>
      <c r="L22" s="30" t="s">
        <v>5</v>
      </c>
      <c r="M22" s="30" t="s">
        <v>6</v>
      </c>
      <c r="N22" s="30" t="s">
        <v>7</v>
      </c>
      <c r="O22" s="30" t="s">
        <v>8</v>
      </c>
      <c r="P22" s="30" t="s">
        <v>9</v>
      </c>
      <c r="Q22" s="30" t="s">
        <v>10</v>
      </c>
      <c r="R22" s="30" t="s">
        <v>11</v>
      </c>
      <c r="S22" s="30" t="s">
        <v>5</v>
      </c>
      <c r="T22" s="30" t="s">
        <v>6</v>
      </c>
      <c r="U22" s="30" t="s">
        <v>7</v>
      </c>
      <c r="V22" s="30" t="s">
        <v>8</v>
      </c>
      <c r="W22" s="30" t="s">
        <v>9</v>
      </c>
      <c r="X22" s="30" t="s">
        <v>10</v>
      </c>
      <c r="Y22" s="30" t="s">
        <v>11</v>
      </c>
      <c r="Z22" s="30" t="s">
        <v>5</v>
      </c>
      <c r="AA22" s="30" t="s">
        <v>6</v>
      </c>
      <c r="AB22" s="30" t="s">
        <v>7</v>
      </c>
      <c r="AC22" s="30" t="s">
        <v>8</v>
      </c>
      <c r="AD22" s="30" t="s">
        <v>9</v>
      </c>
      <c r="AE22" s="30" t="s">
        <v>10</v>
      </c>
      <c r="AF22" s="30" t="s">
        <v>11</v>
      </c>
      <c r="AG22" s="30" t="s">
        <v>5</v>
      </c>
      <c r="AH22" s="30" t="s">
        <v>6</v>
      </c>
      <c r="AI22" s="31" t="s">
        <v>7</v>
      </c>
    </row>
    <row r="23" spans="1:35" ht="16.2" thickBot="1" x14ac:dyDescent="0.35">
      <c r="A23" s="51"/>
      <c r="B23" s="52"/>
      <c r="C23" s="52"/>
      <c r="D23" s="52"/>
      <c r="E23" s="2">
        <v>1</v>
      </c>
      <c r="F23" s="2">
        <v>2</v>
      </c>
      <c r="G23" s="2">
        <v>3</v>
      </c>
      <c r="H23" s="2">
        <v>4</v>
      </c>
      <c r="I23" s="3">
        <v>5</v>
      </c>
      <c r="J23" s="4">
        <v>6</v>
      </c>
      <c r="K23" s="4">
        <v>7</v>
      </c>
      <c r="L23" s="3">
        <v>8</v>
      </c>
      <c r="M23" s="4">
        <v>9</v>
      </c>
      <c r="N23" s="2">
        <v>10</v>
      </c>
      <c r="O23" s="2">
        <v>11</v>
      </c>
      <c r="P23" s="2">
        <v>12</v>
      </c>
      <c r="Q23" s="2">
        <v>13</v>
      </c>
      <c r="R23" s="2">
        <v>14</v>
      </c>
      <c r="S23" s="2">
        <v>15</v>
      </c>
      <c r="T23" s="2">
        <v>16</v>
      </c>
      <c r="U23" s="2">
        <v>17</v>
      </c>
      <c r="V23" s="2">
        <v>18</v>
      </c>
      <c r="W23" s="2">
        <v>19</v>
      </c>
      <c r="X23" s="2">
        <v>20</v>
      </c>
      <c r="Y23" s="2">
        <v>21</v>
      </c>
      <c r="Z23" s="2">
        <v>22</v>
      </c>
      <c r="AA23" s="2">
        <v>23</v>
      </c>
      <c r="AB23" s="2">
        <v>24</v>
      </c>
      <c r="AC23" s="2">
        <v>25</v>
      </c>
      <c r="AD23" s="2">
        <v>26</v>
      </c>
      <c r="AE23" s="2">
        <v>27</v>
      </c>
      <c r="AF23" s="2">
        <v>28</v>
      </c>
      <c r="AG23" s="2">
        <v>29</v>
      </c>
      <c r="AH23" s="2">
        <v>30</v>
      </c>
      <c r="AI23" s="25">
        <v>31</v>
      </c>
    </row>
    <row r="24" spans="1:35" ht="16.2" thickBot="1" x14ac:dyDescent="0.35">
      <c r="A24" s="5">
        <v>1</v>
      </c>
      <c r="B24" s="33">
        <v>13006567</v>
      </c>
      <c r="C24" s="33" t="s">
        <v>35</v>
      </c>
      <c r="D24" s="33" t="s">
        <v>13</v>
      </c>
      <c r="E24" s="6" t="s">
        <v>36</v>
      </c>
      <c r="F24" s="6" t="s">
        <v>36</v>
      </c>
      <c r="G24" s="6" t="s">
        <v>15</v>
      </c>
      <c r="H24" s="6" t="s">
        <v>15</v>
      </c>
      <c r="I24" s="6" t="s">
        <v>36</v>
      </c>
      <c r="J24" s="6" t="s">
        <v>36</v>
      </c>
      <c r="K24" s="6" t="s">
        <v>36</v>
      </c>
      <c r="L24" s="6" t="s">
        <v>36</v>
      </c>
      <c r="M24" s="6" t="s">
        <v>36</v>
      </c>
      <c r="N24" s="6" t="s">
        <v>15</v>
      </c>
      <c r="O24" s="6" t="s">
        <v>15</v>
      </c>
      <c r="P24" s="6" t="s">
        <v>36</v>
      </c>
      <c r="Q24" s="6" t="s">
        <v>36</v>
      </c>
      <c r="R24" s="6" t="s">
        <v>36</v>
      </c>
      <c r="S24" s="6" t="s">
        <v>36</v>
      </c>
      <c r="T24" s="6" t="s">
        <v>36</v>
      </c>
      <c r="U24" s="6" t="s">
        <v>15</v>
      </c>
      <c r="V24" s="6" t="s">
        <v>15</v>
      </c>
      <c r="W24" s="6" t="s">
        <v>36</v>
      </c>
      <c r="X24" s="6" t="s">
        <v>36</v>
      </c>
      <c r="Y24" s="6" t="s">
        <v>36</v>
      </c>
      <c r="Z24" s="6" t="s">
        <v>36</v>
      </c>
      <c r="AA24" s="6" t="s">
        <v>36</v>
      </c>
      <c r="AB24" s="6" t="s">
        <v>15</v>
      </c>
      <c r="AC24" s="6" t="s">
        <v>15</v>
      </c>
      <c r="AD24" s="6" t="s">
        <v>36</v>
      </c>
      <c r="AE24" s="6" t="s">
        <v>36</v>
      </c>
      <c r="AF24" s="6" t="s">
        <v>36</v>
      </c>
      <c r="AG24" s="6" t="s">
        <v>36</v>
      </c>
      <c r="AH24" s="6" t="s">
        <v>36</v>
      </c>
      <c r="AI24" s="26" t="s">
        <v>15</v>
      </c>
    </row>
    <row r="25" spans="1:35" ht="16.2" thickBot="1" x14ac:dyDescent="0.35">
      <c r="A25" s="5">
        <v>2</v>
      </c>
      <c r="B25" s="33">
        <v>13010253</v>
      </c>
      <c r="C25" s="33" t="s">
        <v>68</v>
      </c>
      <c r="D25" s="33" t="s">
        <v>13</v>
      </c>
      <c r="E25" s="6" t="s">
        <v>36</v>
      </c>
      <c r="F25" s="6" t="s">
        <v>36</v>
      </c>
      <c r="G25" s="6" t="s">
        <v>15</v>
      </c>
      <c r="H25" s="6" t="s">
        <v>15</v>
      </c>
      <c r="I25" s="6" t="s">
        <v>36</v>
      </c>
      <c r="J25" s="6" t="s">
        <v>36</v>
      </c>
      <c r="K25" s="6" t="s">
        <v>36</v>
      </c>
      <c r="L25" s="6" t="s">
        <v>36</v>
      </c>
      <c r="M25" s="6" t="s">
        <v>36</v>
      </c>
      <c r="N25" s="6" t="s">
        <v>15</v>
      </c>
      <c r="O25" s="6" t="s">
        <v>15</v>
      </c>
      <c r="P25" s="6" t="s">
        <v>36</v>
      </c>
      <c r="Q25" s="6" t="s">
        <v>36</v>
      </c>
      <c r="R25" s="6" t="s">
        <v>36</v>
      </c>
      <c r="S25" s="6" t="s">
        <v>36</v>
      </c>
      <c r="T25" s="6" t="s">
        <v>36</v>
      </c>
      <c r="U25" s="6" t="s">
        <v>15</v>
      </c>
      <c r="V25" s="6" t="s">
        <v>15</v>
      </c>
      <c r="W25" s="6" t="s">
        <v>36</v>
      </c>
      <c r="X25" s="6" t="s">
        <v>36</v>
      </c>
      <c r="Y25" s="6" t="s">
        <v>36</v>
      </c>
      <c r="Z25" s="6" t="s">
        <v>36</v>
      </c>
      <c r="AA25" s="6" t="s">
        <v>36</v>
      </c>
      <c r="AB25" s="6" t="s">
        <v>15</v>
      </c>
      <c r="AC25" s="6" t="s">
        <v>15</v>
      </c>
      <c r="AD25" s="6" t="s">
        <v>36</v>
      </c>
      <c r="AE25" s="6" t="s">
        <v>36</v>
      </c>
      <c r="AF25" s="6" t="s">
        <v>36</v>
      </c>
      <c r="AG25" s="6" t="s">
        <v>36</v>
      </c>
      <c r="AH25" s="6" t="s">
        <v>36</v>
      </c>
      <c r="AI25" s="26" t="s">
        <v>15</v>
      </c>
    </row>
    <row r="26" spans="1:35" ht="16.2" thickBot="1" x14ac:dyDescent="0.35">
      <c r="A26" s="5">
        <v>3</v>
      </c>
      <c r="B26" s="36">
        <v>13007276</v>
      </c>
      <c r="C26" s="36" t="s">
        <v>37</v>
      </c>
      <c r="D26" s="40" t="s">
        <v>20</v>
      </c>
      <c r="E26" s="6" t="s">
        <v>18</v>
      </c>
      <c r="F26" s="6" t="s">
        <v>18</v>
      </c>
      <c r="G26" s="6" t="s">
        <v>15</v>
      </c>
      <c r="H26" s="6" t="s">
        <v>15</v>
      </c>
      <c r="I26" s="6" t="s">
        <v>36</v>
      </c>
      <c r="J26" s="6" t="s">
        <v>36</v>
      </c>
      <c r="K26" s="6" t="s">
        <v>36</v>
      </c>
      <c r="L26" s="6" t="s">
        <v>36</v>
      </c>
      <c r="M26" s="6" t="s">
        <v>36</v>
      </c>
      <c r="N26" s="6" t="s">
        <v>15</v>
      </c>
      <c r="O26" s="6" t="s">
        <v>15</v>
      </c>
      <c r="P26" s="6" t="s">
        <v>36</v>
      </c>
      <c r="Q26" s="6" t="s">
        <v>36</v>
      </c>
      <c r="R26" s="6" t="s">
        <v>36</v>
      </c>
      <c r="S26" s="6" t="s">
        <v>36</v>
      </c>
      <c r="T26" s="6" t="s">
        <v>36</v>
      </c>
      <c r="U26" s="6" t="s">
        <v>15</v>
      </c>
      <c r="V26" s="6" t="s">
        <v>15</v>
      </c>
      <c r="W26" s="6" t="s">
        <v>36</v>
      </c>
      <c r="X26" s="6" t="s">
        <v>36</v>
      </c>
      <c r="Y26" s="6" t="s">
        <v>36</v>
      </c>
      <c r="Z26" s="6" t="s">
        <v>36</v>
      </c>
      <c r="AA26" s="6" t="s">
        <v>36</v>
      </c>
      <c r="AB26" s="6" t="s">
        <v>15</v>
      </c>
      <c r="AC26" s="6" t="s">
        <v>15</v>
      </c>
      <c r="AD26" s="6" t="s">
        <v>36</v>
      </c>
      <c r="AE26" s="6" t="s">
        <v>36</v>
      </c>
      <c r="AF26" s="6" t="s">
        <v>36</v>
      </c>
      <c r="AG26" s="6" t="s">
        <v>36</v>
      </c>
      <c r="AH26" s="6" t="s">
        <v>36</v>
      </c>
      <c r="AI26" s="26" t="s">
        <v>15</v>
      </c>
    </row>
    <row r="27" spans="1:35" ht="16.2" thickBot="1" x14ac:dyDescent="0.35">
      <c r="A27" s="5">
        <v>4</v>
      </c>
      <c r="B27" s="36">
        <v>13010286</v>
      </c>
      <c r="C27" s="36" t="s">
        <v>38</v>
      </c>
      <c r="D27" s="40" t="s">
        <v>20</v>
      </c>
      <c r="E27" s="6" t="s">
        <v>36</v>
      </c>
      <c r="F27" s="6" t="s">
        <v>36</v>
      </c>
      <c r="G27" s="6" t="s">
        <v>15</v>
      </c>
      <c r="H27" s="6" t="s">
        <v>15</v>
      </c>
      <c r="I27" s="6" t="s">
        <v>36</v>
      </c>
      <c r="J27" s="6" t="s">
        <v>36</v>
      </c>
      <c r="K27" s="6" t="s">
        <v>36</v>
      </c>
      <c r="L27" s="6" t="s">
        <v>36</v>
      </c>
      <c r="M27" s="6" t="s">
        <v>36</v>
      </c>
      <c r="N27" s="6" t="s">
        <v>15</v>
      </c>
      <c r="O27" s="6" t="s">
        <v>15</v>
      </c>
      <c r="P27" s="6" t="s">
        <v>36</v>
      </c>
      <c r="Q27" s="6" t="s">
        <v>36</v>
      </c>
      <c r="R27" s="6" t="s">
        <v>36</v>
      </c>
      <c r="S27" s="6" t="s">
        <v>36</v>
      </c>
      <c r="T27" s="6" t="s">
        <v>36</v>
      </c>
      <c r="U27" s="6" t="s">
        <v>15</v>
      </c>
      <c r="V27" s="6" t="s">
        <v>15</v>
      </c>
      <c r="W27" s="6" t="s">
        <v>36</v>
      </c>
      <c r="X27" s="6" t="s">
        <v>36</v>
      </c>
      <c r="Y27" s="6" t="s">
        <v>36</v>
      </c>
      <c r="Z27" s="6" t="s">
        <v>36</v>
      </c>
      <c r="AA27" s="6" t="s">
        <v>36</v>
      </c>
      <c r="AB27" s="6" t="s">
        <v>15</v>
      </c>
      <c r="AC27" s="6" t="s">
        <v>15</v>
      </c>
      <c r="AD27" s="6" t="s">
        <v>36</v>
      </c>
      <c r="AE27" s="6" t="s">
        <v>36</v>
      </c>
      <c r="AF27" s="6" t="s">
        <v>36</v>
      </c>
      <c r="AG27" s="6" t="s">
        <v>36</v>
      </c>
      <c r="AH27" s="6" t="s">
        <v>36</v>
      </c>
      <c r="AI27" s="26" t="s">
        <v>15</v>
      </c>
    </row>
    <row r="28" spans="1:35" ht="16.2" thickBot="1" x14ac:dyDescent="0.35">
      <c r="A28" s="5">
        <v>5</v>
      </c>
      <c r="B28" s="36">
        <v>30004221</v>
      </c>
      <c r="C28" s="36" t="s">
        <v>39</v>
      </c>
      <c r="D28" s="40" t="s">
        <v>20</v>
      </c>
      <c r="E28" s="6" t="s">
        <v>36</v>
      </c>
      <c r="F28" s="6" t="s">
        <v>36</v>
      </c>
      <c r="G28" s="6" t="s">
        <v>15</v>
      </c>
      <c r="H28" s="6" t="s">
        <v>15</v>
      </c>
      <c r="I28" s="6" t="s">
        <v>18</v>
      </c>
      <c r="J28" s="6" t="s">
        <v>18</v>
      </c>
      <c r="K28" s="6" t="s">
        <v>18</v>
      </c>
      <c r="L28" s="6" t="s">
        <v>18</v>
      </c>
      <c r="M28" s="6" t="s">
        <v>18</v>
      </c>
      <c r="N28" s="6" t="s">
        <v>18</v>
      </c>
      <c r="O28" s="6" t="s">
        <v>18</v>
      </c>
      <c r="P28" s="6" t="s">
        <v>18</v>
      </c>
      <c r="Q28" s="6" t="s">
        <v>18</v>
      </c>
      <c r="R28" s="6" t="s">
        <v>18</v>
      </c>
      <c r="S28" s="6" t="s">
        <v>18</v>
      </c>
      <c r="T28" s="6" t="s">
        <v>18</v>
      </c>
      <c r="U28" s="6" t="s">
        <v>15</v>
      </c>
      <c r="V28" s="6" t="s">
        <v>15</v>
      </c>
      <c r="W28" s="6" t="s">
        <v>36</v>
      </c>
      <c r="X28" s="6" t="s">
        <v>36</v>
      </c>
      <c r="Y28" s="6" t="s">
        <v>36</v>
      </c>
      <c r="Z28" s="6" t="s">
        <v>36</v>
      </c>
      <c r="AA28" s="6" t="s">
        <v>36</v>
      </c>
      <c r="AB28" s="6" t="s">
        <v>15</v>
      </c>
      <c r="AC28" s="6" t="s">
        <v>15</v>
      </c>
      <c r="AD28" s="6" t="s">
        <v>36</v>
      </c>
      <c r="AE28" s="6" t="s">
        <v>36</v>
      </c>
      <c r="AF28" s="6" t="s">
        <v>36</v>
      </c>
      <c r="AG28" s="6" t="s">
        <v>36</v>
      </c>
      <c r="AH28" s="6" t="s">
        <v>36</v>
      </c>
      <c r="AI28" s="26" t="s">
        <v>15</v>
      </c>
    </row>
    <row r="29" spans="1:35" ht="16.2" thickBot="1" x14ac:dyDescent="0.35">
      <c r="A29" s="10">
        <v>6</v>
      </c>
      <c r="B29" s="38">
        <v>30001345</v>
      </c>
      <c r="C29" s="38" t="s">
        <v>41</v>
      </c>
      <c r="D29" s="38" t="s">
        <v>22</v>
      </c>
      <c r="E29" s="6" t="s">
        <v>36</v>
      </c>
      <c r="F29" s="6" t="s">
        <v>36</v>
      </c>
      <c r="G29" s="6" t="s">
        <v>15</v>
      </c>
      <c r="H29" s="6" t="s">
        <v>15</v>
      </c>
      <c r="I29" s="6" t="s">
        <v>36</v>
      </c>
      <c r="J29" s="6" t="s">
        <v>36</v>
      </c>
      <c r="K29" s="6" t="s">
        <v>36</v>
      </c>
      <c r="L29" s="6" t="s">
        <v>36</v>
      </c>
      <c r="M29" s="6" t="s">
        <v>36</v>
      </c>
      <c r="N29" s="6" t="s">
        <v>15</v>
      </c>
      <c r="O29" s="6" t="s">
        <v>15</v>
      </c>
      <c r="P29" s="6" t="s">
        <v>36</v>
      </c>
      <c r="Q29" s="6" t="s">
        <v>36</v>
      </c>
      <c r="R29" s="6" t="s">
        <v>36</v>
      </c>
      <c r="S29" s="6" t="s">
        <v>36</v>
      </c>
      <c r="T29" s="6" t="s">
        <v>36</v>
      </c>
      <c r="U29" s="6" t="s">
        <v>15</v>
      </c>
      <c r="V29" s="6" t="s">
        <v>15</v>
      </c>
      <c r="W29" s="6" t="s">
        <v>36</v>
      </c>
      <c r="X29" s="6" t="s">
        <v>36</v>
      </c>
      <c r="Y29" s="6" t="s">
        <v>36</v>
      </c>
      <c r="Z29" s="6" t="s">
        <v>36</v>
      </c>
      <c r="AA29" s="6" t="s">
        <v>36</v>
      </c>
      <c r="AB29" s="6" t="s">
        <v>15</v>
      </c>
      <c r="AC29" s="6" t="s">
        <v>15</v>
      </c>
      <c r="AD29" s="6" t="s">
        <v>36</v>
      </c>
      <c r="AE29" s="6" t="s">
        <v>36</v>
      </c>
      <c r="AF29" s="6" t="s">
        <v>36</v>
      </c>
      <c r="AG29" s="6" t="s">
        <v>36</v>
      </c>
      <c r="AH29" s="6" t="s">
        <v>36</v>
      </c>
      <c r="AI29" s="26" t="s">
        <v>15</v>
      </c>
    </row>
    <row r="30" spans="1:35" ht="16.2" thickBot="1" x14ac:dyDescent="0.35">
      <c r="A30" s="10">
        <v>7</v>
      </c>
      <c r="B30" s="38">
        <v>30001351</v>
      </c>
      <c r="C30" s="38" t="s">
        <v>45</v>
      </c>
      <c r="D30" s="38" t="s">
        <v>22</v>
      </c>
      <c r="E30" s="6" t="s">
        <v>36</v>
      </c>
      <c r="F30" s="6" t="s">
        <v>36</v>
      </c>
      <c r="G30" s="6" t="s">
        <v>15</v>
      </c>
      <c r="H30" s="6" t="s">
        <v>15</v>
      </c>
      <c r="I30" s="6" t="s">
        <v>36</v>
      </c>
      <c r="J30" s="6" t="s">
        <v>36</v>
      </c>
      <c r="K30" s="6" t="s">
        <v>36</v>
      </c>
      <c r="L30" s="6" t="s">
        <v>36</v>
      </c>
      <c r="M30" s="6" t="s">
        <v>36</v>
      </c>
      <c r="N30" s="6" t="s">
        <v>15</v>
      </c>
      <c r="O30" s="6" t="s">
        <v>15</v>
      </c>
      <c r="P30" s="6" t="s">
        <v>36</v>
      </c>
      <c r="Q30" s="6" t="s">
        <v>36</v>
      </c>
      <c r="R30" s="6" t="s">
        <v>36</v>
      </c>
      <c r="S30" s="6" t="s">
        <v>36</v>
      </c>
      <c r="T30" s="6" t="s">
        <v>36</v>
      </c>
      <c r="U30" s="6" t="s">
        <v>15</v>
      </c>
      <c r="V30" s="6" t="s">
        <v>15</v>
      </c>
      <c r="W30" s="6" t="s">
        <v>36</v>
      </c>
      <c r="X30" s="6" t="s">
        <v>36</v>
      </c>
      <c r="Y30" s="6" t="s">
        <v>36</v>
      </c>
      <c r="Z30" s="6" t="s">
        <v>36</v>
      </c>
      <c r="AA30" s="6" t="s">
        <v>36</v>
      </c>
      <c r="AB30" s="6" t="s">
        <v>15</v>
      </c>
      <c r="AC30" s="6" t="s">
        <v>15</v>
      </c>
      <c r="AD30" s="6" t="s">
        <v>36</v>
      </c>
      <c r="AE30" s="6" t="s">
        <v>36</v>
      </c>
      <c r="AF30" s="6" t="s">
        <v>36</v>
      </c>
      <c r="AG30" s="6" t="s">
        <v>36</v>
      </c>
      <c r="AH30" s="6" t="s">
        <v>36</v>
      </c>
      <c r="AI30" s="26" t="s">
        <v>15</v>
      </c>
    </row>
    <row r="31" spans="1:35" ht="16.2" thickBot="1" x14ac:dyDescent="0.35">
      <c r="A31" s="10">
        <v>8</v>
      </c>
      <c r="B31" s="38">
        <v>30001451</v>
      </c>
      <c r="C31" s="38" t="s">
        <v>42</v>
      </c>
      <c r="D31" s="38" t="s">
        <v>22</v>
      </c>
      <c r="E31" s="6" t="s">
        <v>36</v>
      </c>
      <c r="F31" s="6" t="s">
        <v>36</v>
      </c>
      <c r="G31" s="6" t="s">
        <v>15</v>
      </c>
      <c r="H31" s="6" t="s">
        <v>15</v>
      </c>
      <c r="I31" s="6" t="s">
        <v>36</v>
      </c>
      <c r="J31" s="6" t="s">
        <v>36</v>
      </c>
      <c r="K31" s="6" t="s">
        <v>36</v>
      </c>
      <c r="L31" s="6" t="s">
        <v>36</v>
      </c>
      <c r="M31" s="6" t="s">
        <v>36</v>
      </c>
      <c r="N31" s="6" t="s">
        <v>15</v>
      </c>
      <c r="O31" s="6" t="s">
        <v>15</v>
      </c>
      <c r="P31" s="6" t="s">
        <v>36</v>
      </c>
      <c r="Q31" s="6" t="s">
        <v>36</v>
      </c>
      <c r="R31" s="6" t="s">
        <v>36</v>
      </c>
      <c r="S31" s="6" t="s">
        <v>36</v>
      </c>
      <c r="T31" s="6" t="s">
        <v>36</v>
      </c>
      <c r="U31" s="6" t="s">
        <v>15</v>
      </c>
      <c r="V31" s="6" t="s">
        <v>15</v>
      </c>
      <c r="W31" s="6" t="s">
        <v>36</v>
      </c>
      <c r="X31" s="6" t="s">
        <v>36</v>
      </c>
      <c r="Y31" s="6" t="s">
        <v>36</v>
      </c>
      <c r="Z31" s="6" t="s">
        <v>36</v>
      </c>
      <c r="AA31" s="6" t="s">
        <v>36</v>
      </c>
      <c r="AB31" s="6" t="s">
        <v>15</v>
      </c>
      <c r="AC31" s="6" t="s">
        <v>15</v>
      </c>
      <c r="AD31" s="6" t="s">
        <v>36</v>
      </c>
      <c r="AE31" s="6" t="s">
        <v>36</v>
      </c>
      <c r="AF31" s="6" t="s">
        <v>36</v>
      </c>
      <c r="AG31" s="6" t="s">
        <v>36</v>
      </c>
      <c r="AH31" s="6" t="s">
        <v>36</v>
      </c>
      <c r="AI31" s="26" t="s">
        <v>15</v>
      </c>
    </row>
    <row r="32" spans="1:35" ht="16.2" thickBot="1" x14ac:dyDescent="0.35">
      <c r="A32" s="10">
        <v>9</v>
      </c>
      <c r="B32" s="38">
        <v>30001452</v>
      </c>
      <c r="C32" s="38" t="s">
        <v>43</v>
      </c>
      <c r="D32" s="38" t="s">
        <v>22</v>
      </c>
      <c r="E32" s="6" t="s">
        <v>36</v>
      </c>
      <c r="F32" s="6" t="s">
        <v>36</v>
      </c>
      <c r="G32" s="6" t="s">
        <v>15</v>
      </c>
      <c r="H32" s="6" t="s">
        <v>15</v>
      </c>
      <c r="I32" s="6" t="s">
        <v>36</v>
      </c>
      <c r="J32" s="6" t="s">
        <v>36</v>
      </c>
      <c r="K32" s="6" t="s">
        <v>36</v>
      </c>
      <c r="L32" s="6" t="s">
        <v>36</v>
      </c>
      <c r="M32" s="6" t="s">
        <v>36</v>
      </c>
      <c r="N32" s="6" t="s">
        <v>15</v>
      </c>
      <c r="O32" s="6" t="s">
        <v>15</v>
      </c>
      <c r="P32" s="6" t="s">
        <v>36</v>
      </c>
      <c r="Q32" s="6" t="s">
        <v>36</v>
      </c>
      <c r="R32" s="6" t="s">
        <v>36</v>
      </c>
      <c r="S32" s="6" t="s">
        <v>36</v>
      </c>
      <c r="T32" s="6" t="s">
        <v>36</v>
      </c>
      <c r="U32" s="6" t="s">
        <v>15</v>
      </c>
      <c r="V32" s="6" t="s">
        <v>15</v>
      </c>
      <c r="W32" s="6" t="s">
        <v>36</v>
      </c>
      <c r="X32" s="6" t="s">
        <v>36</v>
      </c>
      <c r="Y32" s="6" t="s">
        <v>36</v>
      </c>
      <c r="Z32" s="6" t="s">
        <v>36</v>
      </c>
      <c r="AA32" s="6" t="s">
        <v>36</v>
      </c>
      <c r="AB32" s="6" t="s">
        <v>15</v>
      </c>
      <c r="AC32" s="6" t="s">
        <v>15</v>
      </c>
      <c r="AD32" s="6" t="s">
        <v>36</v>
      </c>
      <c r="AE32" s="6" t="s">
        <v>36</v>
      </c>
      <c r="AF32" s="6" t="s">
        <v>36</v>
      </c>
      <c r="AG32" s="6" t="s">
        <v>36</v>
      </c>
      <c r="AH32" s="6" t="s">
        <v>36</v>
      </c>
      <c r="AI32" s="26" t="s">
        <v>15</v>
      </c>
    </row>
    <row r="33" spans="1:35" ht="16.2" thickBot="1" x14ac:dyDescent="0.35">
      <c r="A33" s="10">
        <v>10</v>
      </c>
      <c r="B33" s="38">
        <v>30001461</v>
      </c>
      <c r="C33" s="38" t="s">
        <v>44</v>
      </c>
      <c r="D33" s="38" t="s">
        <v>22</v>
      </c>
      <c r="E33" s="6" t="s">
        <v>36</v>
      </c>
      <c r="F33" s="6" t="s">
        <v>36</v>
      </c>
      <c r="G33" s="6" t="s">
        <v>15</v>
      </c>
      <c r="H33" s="6" t="s">
        <v>15</v>
      </c>
      <c r="I33" s="6" t="s">
        <v>36</v>
      </c>
      <c r="J33" s="6" t="s">
        <v>36</v>
      </c>
      <c r="K33" s="6" t="s">
        <v>36</v>
      </c>
      <c r="L33" s="6" t="s">
        <v>36</v>
      </c>
      <c r="M33" s="6" t="s">
        <v>36</v>
      </c>
      <c r="N33" s="6" t="s">
        <v>15</v>
      </c>
      <c r="O33" s="6" t="s">
        <v>15</v>
      </c>
      <c r="P33" s="6" t="s">
        <v>36</v>
      </c>
      <c r="Q33" s="6" t="s">
        <v>36</v>
      </c>
      <c r="R33" s="6" t="s">
        <v>36</v>
      </c>
      <c r="S33" s="6" t="s">
        <v>36</v>
      </c>
      <c r="T33" s="6" t="s">
        <v>36</v>
      </c>
      <c r="U33" s="6" t="s">
        <v>15</v>
      </c>
      <c r="V33" s="6" t="s">
        <v>15</v>
      </c>
      <c r="W33" s="6" t="s">
        <v>36</v>
      </c>
      <c r="X33" s="6" t="s">
        <v>36</v>
      </c>
      <c r="Y33" s="6" t="s">
        <v>36</v>
      </c>
      <c r="Z33" s="6" t="s">
        <v>36</v>
      </c>
      <c r="AA33" s="6" t="s">
        <v>36</v>
      </c>
      <c r="AB33" s="6" t="s">
        <v>15</v>
      </c>
      <c r="AC33" s="6" t="s">
        <v>15</v>
      </c>
      <c r="AD33" s="6" t="s">
        <v>36</v>
      </c>
      <c r="AE33" s="6" t="s">
        <v>36</v>
      </c>
      <c r="AF33" s="6" t="s">
        <v>36</v>
      </c>
      <c r="AG33" s="6" t="s">
        <v>36</v>
      </c>
      <c r="AH33" s="6" t="s">
        <v>36</v>
      </c>
      <c r="AI33" s="26" t="s">
        <v>15</v>
      </c>
    </row>
    <row r="34" spans="1:35" ht="16.2" thickBot="1" x14ac:dyDescent="0.35">
      <c r="A34" s="10">
        <v>11</v>
      </c>
      <c r="B34" s="38">
        <v>30001575</v>
      </c>
      <c r="C34" s="38" t="s">
        <v>46</v>
      </c>
      <c r="D34" s="38" t="s">
        <v>22</v>
      </c>
      <c r="E34" s="6" t="s">
        <v>36</v>
      </c>
      <c r="F34" s="6" t="s">
        <v>36</v>
      </c>
      <c r="G34" s="6" t="s">
        <v>15</v>
      </c>
      <c r="H34" s="6" t="s">
        <v>15</v>
      </c>
      <c r="I34" s="6" t="s">
        <v>18</v>
      </c>
      <c r="J34" s="6" t="s">
        <v>18</v>
      </c>
      <c r="K34" s="6" t="s">
        <v>18</v>
      </c>
      <c r="L34" s="6" t="s">
        <v>18</v>
      </c>
      <c r="M34" s="6" t="s">
        <v>18</v>
      </c>
      <c r="N34" s="6" t="s">
        <v>18</v>
      </c>
      <c r="O34" s="6" t="s">
        <v>18</v>
      </c>
      <c r="P34" s="6" t="s">
        <v>18</v>
      </c>
      <c r="Q34" s="6" t="s">
        <v>18</v>
      </c>
      <c r="R34" s="6" t="s">
        <v>18</v>
      </c>
      <c r="S34" s="6" t="s">
        <v>18</v>
      </c>
      <c r="T34" s="6" t="s">
        <v>18</v>
      </c>
      <c r="U34" s="6" t="s">
        <v>15</v>
      </c>
      <c r="V34" s="6" t="s">
        <v>15</v>
      </c>
      <c r="W34" s="6" t="s">
        <v>36</v>
      </c>
      <c r="X34" s="6" t="s">
        <v>36</v>
      </c>
      <c r="Y34" s="6" t="s">
        <v>36</v>
      </c>
      <c r="Z34" s="6" t="s">
        <v>36</v>
      </c>
      <c r="AA34" s="6" t="s">
        <v>36</v>
      </c>
      <c r="AB34" s="6" t="s">
        <v>15</v>
      </c>
      <c r="AC34" s="6" t="s">
        <v>15</v>
      </c>
      <c r="AD34" s="6" t="s">
        <v>36</v>
      </c>
      <c r="AE34" s="6" t="s">
        <v>36</v>
      </c>
      <c r="AF34" s="6" t="s">
        <v>36</v>
      </c>
      <c r="AG34" s="6" t="s">
        <v>36</v>
      </c>
      <c r="AH34" s="6" t="s">
        <v>36</v>
      </c>
      <c r="AI34" s="26" t="s">
        <v>15</v>
      </c>
    </row>
    <row r="35" spans="1:35" ht="16.2" thickBot="1" x14ac:dyDescent="0.35">
      <c r="A35" s="10">
        <v>12</v>
      </c>
      <c r="B35" s="38">
        <v>30001577</v>
      </c>
      <c r="C35" s="38" t="s">
        <v>40</v>
      </c>
      <c r="D35" s="38" t="s">
        <v>22</v>
      </c>
      <c r="E35" s="6" t="s">
        <v>18</v>
      </c>
      <c r="F35" s="6" t="s">
        <v>18</v>
      </c>
      <c r="G35" s="6" t="s">
        <v>15</v>
      </c>
      <c r="H35" s="6" t="s">
        <v>15</v>
      </c>
      <c r="I35" s="6" t="s">
        <v>36</v>
      </c>
      <c r="J35" s="6" t="s">
        <v>36</v>
      </c>
      <c r="K35" s="6" t="s">
        <v>36</v>
      </c>
      <c r="L35" s="6" t="s">
        <v>36</v>
      </c>
      <c r="M35" s="6" t="s">
        <v>36</v>
      </c>
      <c r="N35" s="6" t="s">
        <v>15</v>
      </c>
      <c r="O35" s="6" t="s">
        <v>15</v>
      </c>
      <c r="P35" s="6" t="s">
        <v>36</v>
      </c>
      <c r="Q35" s="6" t="s">
        <v>36</v>
      </c>
      <c r="R35" s="6" t="s">
        <v>36</v>
      </c>
      <c r="S35" s="6" t="s">
        <v>36</v>
      </c>
      <c r="T35" s="6" t="s">
        <v>36</v>
      </c>
      <c r="U35" s="6" t="s">
        <v>15</v>
      </c>
      <c r="V35" s="6" t="s">
        <v>15</v>
      </c>
      <c r="W35" s="6" t="s">
        <v>36</v>
      </c>
      <c r="X35" s="6" t="s">
        <v>36</v>
      </c>
      <c r="Y35" s="6" t="s">
        <v>36</v>
      </c>
      <c r="Z35" s="6" t="s">
        <v>36</v>
      </c>
      <c r="AA35" s="6" t="s">
        <v>36</v>
      </c>
      <c r="AB35" s="6" t="s">
        <v>15</v>
      </c>
      <c r="AC35" s="6" t="s">
        <v>15</v>
      </c>
      <c r="AD35" s="6" t="s">
        <v>36</v>
      </c>
      <c r="AE35" s="6" t="s">
        <v>36</v>
      </c>
      <c r="AF35" s="6" t="s">
        <v>36</v>
      </c>
      <c r="AG35" s="6" t="s">
        <v>36</v>
      </c>
      <c r="AH35" s="6" t="s">
        <v>36</v>
      </c>
      <c r="AI35" s="26" t="s">
        <v>15</v>
      </c>
    </row>
    <row r="36" spans="1:35" ht="16.2" thickBot="1" x14ac:dyDescent="0.35">
      <c r="A36" s="10">
        <v>13</v>
      </c>
      <c r="B36" s="38">
        <v>30001774</v>
      </c>
      <c r="C36" s="38" t="s">
        <v>70</v>
      </c>
      <c r="D36" s="38" t="s">
        <v>22</v>
      </c>
      <c r="E36" s="6" t="s">
        <v>36</v>
      </c>
      <c r="F36" s="6" t="s">
        <v>36</v>
      </c>
      <c r="G36" s="6" t="s">
        <v>15</v>
      </c>
      <c r="H36" s="6" t="s">
        <v>15</v>
      </c>
      <c r="I36" s="6" t="s">
        <v>36</v>
      </c>
      <c r="J36" s="6" t="s">
        <v>36</v>
      </c>
      <c r="K36" s="6" t="s">
        <v>36</v>
      </c>
      <c r="L36" s="6" t="s">
        <v>36</v>
      </c>
      <c r="M36" s="6" t="s">
        <v>36</v>
      </c>
      <c r="N36" s="6" t="s">
        <v>15</v>
      </c>
      <c r="O36" s="6" t="s">
        <v>15</v>
      </c>
      <c r="P36" s="6" t="s">
        <v>36</v>
      </c>
      <c r="Q36" s="6" t="s">
        <v>36</v>
      </c>
      <c r="R36" s="6" t="s">
        <v>36</v>
      </c>
      <c r="S36" s="6" t="s">
        <v>36</v>
      </c>
      <c r="T36" s="6" t="s">
        <v>36</v>
      </c>
      <c r="U36" s="6" t="s">
        <v>15</v>
      </c>
      <c r="V36" s="6" t="s">
        <v>15</v>
      </c>
      <c r="W36" s="6" t="s">
        <v>36</v>
      </c>
      <c r="X36" s="6" t="s">
        <v>36</v>
      </c>
      <c r="Y36" s="6" t="s">
        <v>36</v>
      </c>
      <c r="Z36" s="6" t="s">
        <v>36</v>
      </c>
      <c r="AA36" s="6" t="s">
        <v>36</v>
      </c>
      <c r="AB36" s="6" t="s">
        <v>15</v>
      </c>
      <c r="AC36" s="6" t="s">
        <v>15</v>
      </c>
      <c r="AD36" s="6" t="s">
        <v>36</v>
      </c>
      <c r="AE36" s="6" t="s">
        <v>36</v>
      </c>
      <c r="AF36" s="6" t="s">
        <v>36</v>
      </c>
      <c r="AG36" s="6" t="s">
        <v>36</v>
      </c>
      <c r="AH36" s="6" t="s">
        <v>36</v>
      </c>
      <c r="AI36" s="26" t="s">
        <v>15</v>
      </c>
    </row>
    <row r="37" spans="1:35" ht="16.2" thickBot="1" x14ac:dyDescent="0.35">
      <c r="A37" s="8">
        <v>14</v>
      </c>
      <c r="B37" s="36">
        <v>40000188</v>
      </c>
      <c r="C37" s="36" t="s">
        <v>47</v>
      </c>
      <c r="D37" s="36" t="s">
        <v>29</v>
      </c>
      <c r="E37" s="6" t="s">
        <v>36</v>
      </c>
      <c r="F37" s="6" t="s">
        <v>36</v>
      </c>
      <c r="G37" s="6" t="s">
        <v>15</v>
      </c>
      <c r="H37" s="6" t="s">
        <v>15</v>
      </c>
      <c r="I37" s="6" t="s">
        <v>36</v>
      </c>
      <c r="J37" s="6" t="s">
        <v>36</v>
      </c>
      <c r="K37" s="6" t="s">
        <v>36</v>
      </c>
      <c r="L37" s="6" t="s">
        <v>36</v>
      </c>
      <c r="M37" s="6" t="s">
        <v>36</v>
      </c>
      <c r="N37" s="6" t="s">
        <v>15</v>
      </c>
      <c r="O37" s="6" t="s">
        <v>15</v>
      </c>
      <c r="P37" s="6" t="s">
        <v>36</v>
      </c>
      <c r="Q37" s="6" t="s">
        <v>36</v>
      </c>
      <c r="R37" s="6" t="s">
        <v>36</v>
      </c>
      <c r="S37" s="6" t="s">
        <v>36</v>
      </c>
      <c r="T37" s="6" t="s">
        <v>36</v>
      </c>
      <c r="U37" s="6" t="s">
        <v>15</v>
      </c>
      <c r="V37" s="6" t="s">
        <v>15</v>
      </c>
      <c r="W37" s="6" t="s">
        <v>36</v>
      </c>
      <c r="X37" s="6" t="s">
        <v>36</v>
      </c>
      <c r="Y37" s="6" t="s">
        <v>36</v>
      </c>
      <c r="Z37" s="6" t="s">
        <v>36</v>
      </c>
      <c r="AA37" s="6" t="s">
        <v>36</v>
      </c>
      <c r="AB37" s="6" t="s">
        <v>15</v>
      </c>
      <c r="AC37" s="6" t="s">
        <v>15</v>
      </c>
      <c r="AD37" s="6" t="s">
        <v>36</v>
      </c>
      <c r="AE37" s="6" t="s">
        <v>36</v>
      </c>
      <c r="AF37" s="6" t="s">
        <v>36</v>
      </c>
      <c r="AG37" s="6" t="s">
        <v>36</v>
      </c>
      <c r="AH37" s="6" t="s">
        <v>36</v>
      </c>
      <c r="AI37" s="26" t="s">
        <v>15</v>
      </c>
    </row>
    <row r="38" spans="1:35" ht="16.2" thickBot="1" x14ac:dyDescent="0.35">
      <c r="A38" s="8">
        <v>15</v>
      </c>
      <c r="B38" s="36">
        <v>13009042</v>
      </c>
      <c r="C38" s="36" t="s">
        <v>48</v>
      </c>
      <c r="D38" s="36" t="s">
        <v>29</v>
      </c>
      <c r="E38" s="6" t="s">
        <v>36</v>
      </c>
      <c r="F38" s="6" t="s">
        <v>36</v>
      </c>
      <c r="G38" s="6" t="s">
        <v>15</v>
      </c>
      <c r="H38" s="6" t="s">
        <v>15</v>
      </c>
      <c r="I38" s="6" t="s">
        <v>36</v>
      </c>
      <c r="J38" s="6" t="s">
        <v>36</v>
      </c>
      <c r="K38" s="6" t="s">
        <v>36</v>
      </c>
      <c r="L38" s="6" t="s">
        <v>36</v>
      </c>
      <c r="M38" s="6" t="s">
        <v>36</v>
      </c>
      <c r="N38" s="6" t="s">
        <v>15</v>
      </c>
      <c r="O38" s="6" t="s">
        <v>15</v>
      </c>
      <c r="P38" s="6" t="s">
        <v>36</v>
      </c>
      <c r="Q38" s="6" t="s">
        <v>36</v>
      </c>
      <c r="R38" s="6" t="s">
        <v>36</v>
      </c>
      <c r="S38" s="6" t="s">
        <v>36</v>
      </c>
      <c r="T38" s="6" t="s">
        <v>36</v>
      </c>
      <c r="U38" s="6" t="s">
        <v>15</v>
      </c>
      <c r="V38" s="6" t="s">
        <v>15</v>
      </c>
      <c r="W38" s="6" t="s">
        <v>36</v>
      </c>
      <c r="X38" s="6" t="s">
        <v>36</v>
      </c>
      <c r="Y38" s="6" t="s">
        <v>36</v>
      </c>
      <c r="Z38" s="6" t="s">
        <v>36</v>
      </c>
      <c r="AA38" s="6" t="s">
        <v>36</v>
      </c>
      <c r="AB38" s="6" t="s">
        <v>15</v>
      </c>
      <c r="AC38" s="6" t="s">
        <v>15</v>
      </c>
      <c r="AD38" s="6" t="s">
        <v>36</v>
      </c>
      <c r="AE38" s="6" t="s">
        <v>36</v>
      </c>
      <c r="AF38" s="6" t="s">
        <v>36</v>
      </c>
      <c r="AG38" s="6" t="s">
        <v>36</v>
      </c>
      <c r="AH38" s="6" t="s">
        <v>36</v>
      </c>
      <c r="AI38" s="26" t="s">
        <v>15</v>
      </c>
    </row>
    <row r="39" spans="1:35" ht="16.2" thickBot="1" x14ac:dyDescent="0.35">
      <c r="A39" s="8">
        <v>16</v>
      </c>
      <c r="B39" s="36">
        <v>40000706</v>
      </c>
      <c r="C39" s="36" t="s">
        <v>49</v>
      </c>
      <c r="D39" s="36" t="s">
        <v>29</v>
      </c>
      <c r="E39" s="6" t="s">
        <v>36</v>
      </c>
      <c r="F39" s="6" t="s">
        <v>36</v>
      </c>
      <c r="G39" s="6" t="s">
        <v>15</v>
      </c>
      <c r="H39" s="6" t="s">
        <v>15</v>
      </c>
      <c r="I39" s="6" t="s">
        <v>36</v>
      </c>
      <c r="J39" s="6" t="s">
        <v>36</v>
      </c>
      <c r="K39" s="6" t="s">
        <v>36</v>
      </c>
      <c r="L39" s="6" t="s">
        <v>36</v>
      </c>
      <c r="M39" s="6" t="s">
        <v>36</v>
      </c>
      <c r="N39" s="6" t="s">
        <v>15</v>
      </c>
      <c r="O39" s="6" t="s">
        <v>15</v>
      </c>
      <c r="P39" s="6" t="s">
        <v>36</v>
      </c>
      <c r="Q39" s="6" t="s">
        <v>36</v>
      </c>
      <c r="R39" s="6" t="s">
        <v>36</v>
      </c>
      <c r="S39" s="6" t="s">
        <v>36</v>
      </c>
      <c r="T39" s="6" t="s">
        <v>36</v>
      </c>
      <c r="U39" s="6" t="s">
        <v>15</v>
      </c>
      <c r="V39" s="6" t="s">
        <v>15</v>
      </c>
      <c r="W39" s="6" t="s">
        <v>36</v>
      </c>
      <c r="X39" s="6" t="s">
        <v>36</v>
      </c>
      <c r="Y39" s="6" t="s">
        <v>36</v>
      </c>
      <c r="Z39" s="6" t="s">
        <v>36</v>
      </c>
      <c r="AA39" s="6" t="s">
        <v>36</v>
      </c>
      <c r="AB39" s="6" t="s">
        <v>15</v>
      </c>
      <c r="AC39" s="6" t="s">
        <v>15</v>
      </c>
      <c r="AD39" s="6" t="s">
        <v>36</v>
      </c>
      <c r="AE39" s="6" t="s">
        <v>36</v>
      </c>
      <c r="AF39" s="6" t="s">
        <v>36</v>
      </c>
      <c r="AG39" s="6" t="s">
        <v>36</v>
      </c>
      <c r="AH39" s="6" t="s">
        <v>36</v>
      </c>
      <c r="AI39" s="26" t="s">
        <v>15</v>
      </c>
    </row>
    <row r="40" spans="1:35" ht="16.2" thickBot="1" x14ac:dyDescent="0.35">
      <c r="A40" s="8">
        <v>17</v>
      </c>
      <c r="B40" s="36">
        <v>13009023</v>
      </c>
      <c r="C40" s="36" t="s">
        <v>50</v>
      </c>
      <c r="D40" s="36" t="s">
        <v>29</v>
      </c>
      <c r="E40" s="27" t="s">
        <v>36</v>
      </c>
      <c r="F40" s="27" t="s">
        <v>36</v>
      </c>
      <c r="G40" s="27" t="s">
        <v>15</v>
      </c>
      <c r="H40" s="27" t="s">
        <v>15</v>
      </c>
      <c r="I40" s="27" t="s">
        <v>36</v>
      </c>
      <c r="J40" s="27" t="s">
        <v>36</v>
      </c>
      <c r="K40" s="27" t="s">
        <v>36</v>
      </c>
      <c r="L40" s="27" t="s">
        <v>36</v>
      </c>
      <c r="M40" s="27" t="s">
        <v>36</v>
      </c>
      <c r="N40" s="27" t="s">
        <v>15</v>
      </c>
      <c r="O40" s="27" t="s">
        <v>15</v>
      </c>
      <c r="P40" s="27" t="s">
        <v>36</v>
      </c>
      <c r="Q40" s="27" t="s">
        <v>36</v>
      </c>
      <c r="R40" s="27" t="s">
        <v>36</v>
      </c>
      <c r="S40" s="27" t="s">
        <v>36</v>
      </c>
      <c r="T40" s="27" t="s">
        <v>36</v>
      </c>
      <c r="U40" s="27" t="s">
        <v>15</v>
      </c>
      <c r="V40" s="27" t="s">
        <v>15</v>
      </c>
      <c r="W40" s="27" t="s">
        <v>36</v>
      </c>
      <c r="X40" s="27" t="s">
        <v>36</v>
      </c>
      <c r="Y40" s="27" t="s">
        <v>36</v>
      </c>
      <c r="Z40" s="27" t="s">
        <v>36</v>
      </c>
      <c r="AA40" s="27" t="s">
        <v>36</v>
      </c>
      <c r="AB40" s="27" t="s">
        <v>15</v>
      </c>
      <c r="AC40" s="27" t="s">
        <v>15</v>
      </c>
      <c r="AD40" s="27" t="s">
        <v>36</v>
      </c>
      <c r="AE40" s="27" t="s">
        <v>36</v>
      </c>
      <c r="AF40" s="27" t="s">
        <v>36</v>
      </c>
      <c r="AG40" s="27" t="s">
        <v>36</v>
      </c>
      <c r="AH40" s="27" t="s">
        <v>36</v>
      </c>
      <c r="AI40" s="29" t="s">
        <v>15</v>
      </c>
    </row>
    <row r="41" spans="1:35" ht="15" thickBot="1" x14ac:dyDescent="0.35"/>
    <row r="42" spans="1:35" ht="15" thickBot="1" x14ac:dyDescent="0.35">
      <c r="A42" s="53" t="s">
        <v>51</v>
      </c>
      <c r="B42" s="54"/>
      <c r="C42" s="54"/>
      <c r="D42" s="54"/>
      <c r="E42" s="1" t="s">
        <v>5</v>
      </c>
      <c r="F42" s="1" t="s">
        <v>6</v>
      </c>
      <c r="G42" s="1" t="s">
        <v>7</v>
      </c>
      <c r="H42" s="1" t="s">
        <v>8</v>
      </c>
      <c r="I42" s="1" t="s">
        <v>9</v>
      </c>
      <c r="J42" s="1" t="s">
        <v>10</v>
      </c>
      <c r="K42" s="1" t="s">
        <v>11</v>
      </c>
      <c r="L42" s="1" t="s">
        <v>5</v>
      </c>
      <c r="M42" s="1" t="s">
        <v>6</v>
      </c>
      <c r="N42" s="1" t="s">
        <v>7</v>
      </c>
      <c r="O42" s="1" t="s">
        <v>8</v>
      </c>
      <c r="P42" s="1" t="s">
        <v>9</v>
      </c>
      <c r="Q42" s="1" t="s">
        <v>10</v>
      </c>
      <c r="R42" s="1" t="s">
        <v>11</v>
      </c>
      <c r="S42" s="1" t="s">
        <v>5</v>
      </c>
      <c r="T42" s="1" t="s">
        <v>6</v>
      </c>
      <c r="U42" s="1" t="s">
        <v>7</v>
      </c>
      <c r="V42" s="1" t="s">
        <v>8</v>
      </c>
      <c r="W42" s="1" t="s">
        <v>9</v>
      </c>
      <c r="X42" s="1" t="s">
        <v>10</v>
      </c>
      <c r="Y42" s="1" t="s">
        <v>11</v>
      </c>
      <c r="Z42" s="1" t="s">
        <v>5</v>
      </c>
      <c r="AA42" s="1" t="s">
        <v>6</v>
      </c>
      <c r="AB42" s="1" t="s">
        <v>7</v>
      </c>
      <c r="AC42" s="1" t="s">
        <v>8</v>
      </c>
      <c r="AD42" s="1" t="s">
        <v>9</v>
      </c>
      <c r="AE42" s="1" t="s">
        <v>10</v>
      </c>
      <c r="AF42" s="1" t="s">
        <v>11</v>
      </c>
      <c r="AG42" s="1" t="s">
        <v>5</v>
      </c>
      <c r="AH42" s="1" t="s">
        <v>6</v>
      </c>
      <c r="AI42" s="1" t="s">
        <v>7</v>
      </c>
    </row>
    <row r="43" spans="1:35" ht="16.2" thickBot="1" x14ac:dyDescent="0.35">
      <c r="A43" s="55"/>
      <c r="B43" s="56"/>
      <c r="C43" s="56"/>
      <c r="D43" s="57"/>
      <c r="E43" s="2">
        <v>1</v>
      </c>
      <c r="F43" s="2">
        <v>2</v>
      </c>
      <c r="G43" s="2">
        <v>3</v>
      </c>
      <c r="H43" s="2">
        <v>4</v>
      </c>
      <c r="I43" s="3">
        <v>5</v>
      </c>
      <c r="J43" s="4">
        <v>6</v>
      </c>
      <c r="K43" s="4">
        <v>7</v>
      </c>
      <c r="L43" s="3">
        <v>8</v>
      </c>
      <c r="M43" s="4">
        <v>9</v>
      </c>
      <c r="N43" s="2">
        <v>10</v>
      </c>
      <c r="O43" s="2">
        <v>11</v>
      </c>
      <c r="P43" s="2">
        <v>12</v>
      </c>
      <c r="Q43" s="2">
        <v>13</v>
      </c>
      <c r="R43" s="2">
        <v>14</v>
      </c>
      <c r="S43" s="2">
        <v>15</v>
      </c>
      <c r="T43" s="2">
        <v>16</v>
      </c>
      <c r="U43" s="2">
        <v>17</v>
      </c>
      <c r="V43" s="2">
        <v>18</v>
      </c>
      <c r="W43" s="2">
        <v>19</v>
      </c>
      <c r="X43" s="2">
        <v>20</v>
      </c>
      <c r="Y43" s="2">
        <v>21</v>
      </c>
      <c r="Z43" s="2">
        <v>22</v>
      </c>
      <c r="AA43" s="2">
        <v>23</v>
      </c>
      <c r="AB43" s="2">
        <v>24</v>
      </c>
      <c r="AC43" s="2">
        <v>25</v>
      </c>
      <c r="AD43" s="2">
        <v>26</v>
      </c>
      <c r="AE43" s="2">
        <v>27</v>
      </c>
      <c r="AF43" s="2">
        <v>28</v>
      </c>
      <c r="AG43" s="2">
        <v>29</v>
      </c>
      <c r="AH43" s="2">
        <v>30</v>
      </c>
      <c r="AI43" s="2">
        <v>31</v>
      </c>
    </row>
    <row r="44" spans="1:35" ht="16.2" thickBot="1" x14ac:dyDescent="0.35">
      <c r="A44" s="5">
        <v>1</v>
      </c>
      <c r="B44" s="37">
        <v>13004037</v>
      </c>
      <c r="C44" s="37" t="s">
        <v>52</v>
      </c>
      <c r="D44" s="37" t="s">
        <v>53</v>
      </c>
      <c r="E44" s="6" t="s">
        <v>36</v>
      </c>
      <c r="F44" s="6" t="s">
        <v>36</v>
      </c>
      <c r="G44" s="6" t="s">
        <v>15</v>
      </c>
      <c r="H44" s="6" t="s">
        <v>15</v>
      </c>
      <c r="I44" s="6" t="s">
        <v>36</v>
      </c>
      <c r="J44" s="6" t="s">
        <v>36</v>
      </c>
      <c r="K44" s="6" t="s">
        <v>36</v>
      </c>
      <c r="L44" s="6" t="s">
        <v>36</v>
      </c>
      <c r="M44" s="6" t="s">
        <v>36</v>
      </c>
      <c r="N44" s="6" t="s">
        <v>15</v>
      </c>
      <c r="O44" s="6" t="s">
        <v>15</v>
      </c>
      <c r="P44" s="6" t="s">
        <v>36</v>
      </c>
      <c r="Q44" s="6" t="s">
        <v>36</v>
      </c>
      <c r="R44" s="6" t="s">
        <v>36</v>
      </c>
      <c r="S44" s="6" t="s">
        <v>36</v>
      </c>
      <c r="T44" s="6" t="s">
        <v>36</v>
      </c>
      <c r="U44" s="6" t="s">
        <v>15</v>
      </c>
      <c r="V44" s="6" t="s">
        <v>15</v>
      </c>
      <c r="W44" s="6" t="s">
        <v>36</v>
      </c>
      <c r="X44" s="6" t="s">
        <v>36</v>
      </c>
      <c r="Y44" s="6" t="s">
        <v>36</v>
      </c>
      <c r="Z44" s="6" t="s">
        <v>36</v>
      </c>
      <c r="AA44" s="6" t="s">
        <v>36</v>
      </c>
      <c r="AB44" s="6" t="s">
        <v>15</v>
      </c>
      <c r="AC44" s="6" t="s">
        <v>15</v>
      </c>
      <c r="AD44" s="6" t="s">
        <v>36</v>
      </c>
      <c r="AE44" s="6" t="s">
        <v>36</v>
      </c>
      <c r="AF44" s="6" t="s">
        <v>36</v>
      </c>
      <c r="AG44" s="6" t="s">
        <v>36</v>
      </c>
      <c r="AH44" s="6" t="s">
        <v>36</v>
      </c>
      <c r="AI44" s="29" t="s">
        <v>15</v>
      </c>
    </row>
    <row r="45" spans="1:35" ht="16.2" thickBot="1" x14ac:dyDescent="0.35">
      <c r="A45" s="12"/>
      <c r="B45" s="13"/>
      <c r="C45" s="13"/>
      <c r="D45" s="13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35" ht="15" thickBot="1" x14ac:dyDescent="0.35">
      <c r="A46" s="53" t="s">
        <v>66</v>
      </c>
      <c r="B46" s="54"/>
      <c r="C46" s="54"/>
      <c r="D46" s="58"/>
      <c r="E46" s="1" t="s">
        <v>5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10</v>
      </c>
      <c r="K46" s="1" t="s">
        <v>11</v>
      </c>
      <c r="L46" s="1" t="s">
        <v>5</v>
      </c>
      <c r="M46" s="1" t="s">
        <v>6</v>
      </c>
      <c r="N46" s="1" t="s">
        <v>7</v>
      </c>
      <c r="O46" s="1" t="s">
        <v>8</v>
      </c>
      <c r="P46" s="1" t="s">
        <v>9</v>
      </c>
      <c r="Q46" s="1" t="s">
        <v>10</v>
      </c>
      <c r="R46" s="1" t="s">
        <v>11</v>
      </c>
      <c r="S46" s="1" t="s">
        <v>5</v>
      </c>
      <c r="T46" s="1" t="s">
        <v>6</v>
      </c>
      <c r="U46" s="1" t="s">
        <v>7</v>
      </c>
      <c r="V46" s="1" t="s">
        <v>8</v>
      </c>
      <c r="W46" s="1" t="s">
        <v>9</v>
      </c>
      <c r="X46" s="1" t="s">
        <v>10</v>
      </c>
      <c r="Y46" s="1" t="s">
        <v>11</v>
      </c>
      <c r="Z46" s="1" t="s">
        <v>5</v>
      </c>
      <c r="AA46" s="1" t="s">
        <v>6</v>
      </c>
      <c r="AB46" s="1" t="s">
        <v>7</v>
      </c>
      <c r="AC46" s="1" t="s">
        <v>8</v>
      </c>
      <c r="AD46" s="1" t="s">
        <v>9</v>
      </c>
      <c r="AE46" s="1" t="s">
        <v>10</v>
      </c>
      <c r="AF46" s="1" t="s">
        <v>11</v>
      </c>
      <c r="AG46" s="1" t="s">
        <v>5</v>
      </c>
      <c r="AH46" s="1" t="s">
        <v>6</v>
      </c>
      <c r="AI46" s="1" t="s">
        <v>7</v>
      </c>
    </row>
    <row r="47" spans="1:35" ht="16.2" thickBot="1" x14ac:dyDescent="0.35">
      <c r="A47" s="59"/>
      <c r="B47" s="60"/>
      <c r="C47" s="60"/>
      <c r="D47" s="57"/>
      <c r="E47" s="2">
        <v>1</v>
      </c>
      <c r="F47" s="2">
        <v>2</v>
      </c>
      <c r="G47" s="2">
        <v>3</v>
      </c>
      <c r="H47" s="2">
        <v>4</v>
      </c>
      <c r="I47" s="3">
        <v>5</v>
      </c>
      <c r="J47" s="4">
        <v>6</v>
      </c>
      <c r="K47" s="4">
        <v>7</v>
      </c>
      <c r="L47" s="3">
        <v>8</v>
      </c>
      <c r="M47" s="4">
        <v>9</v>
      </c>
      <c r="N47" s="2">
        <v>10</v>
      </c>
      <c r="O47" s="2">
        <v>11</v>
      </c>
      <c r="P47" s="2">
        <v>12</v>
      </c>
      <c r="Q47" s="2">
        <v>13</v>
      </c>
      <c r="R47" s="2">
        <v>14</v>
      </c>
      <c r="S47" s="2">
        <v>15</v>
      </c>
      <c r="T47" s="2">
        <v>16</v>
      </c>
      <c r="U47" s="2">
        <v>17</v>
      </c>
      <c r="V47" s="2">
        <v>18</v>
      </c>
      <c r="W47" s="2">
        <v>19</v>
      </c>
      <c r="X47" s="2">
        <v>20</v>
      </c>
      <c r="Y47" s="2">
        <v>21</v>
      </c>
      <c r="Z47" s="2">
        <v>22</v>
      </c>
      <c r="AA47" s="2">
        <v>23</v>
      </c>
      <c r="AB47" s="2">
        <v>24</v>
      </c>
      <c r="AC47" s="2">
        <v>25</v>
      </c>
      <c r="AD47" s="2">
        <v>26</v>
      </c>
      <c r="AE47" s="2">
        <v>27</v>
      </c>
      <c r="AF47" s="2">
        <v>28</v>
      </c>
      <c r="AG47" s="2">
        <v>29</v>
      </c>
      <c r="AH47" s="2">
        <v>30</v>
      </c>
      <c r="AI47" s="2">
        <v>31</v>
      </c>
    </row>
    <row r="48" spans="1:35" ht="16.2" thickBot="1" x14ac:dyDescent="0.35">
      <c r="A48" s="9">
        <v>1</v>
      </c>
      <c r="B48" s="37">
        <v>13010931</v>
      </c>
      <c r="C48" s="37" t="s">
        <v>54</v>
      </c>
      <c r="D48" s="37" t="s">
        <v>20</v>
      </c>
      <c r="E48" s="6" t="s">
        <v>36</v>
      </c>
      <c r="F48" s="6" t="s">
        <v>36</v>
      </c>
      <c r="G48" s="6" t="s">
        <v>15</v>
      </c>
      <c r="H48" s="6" t="s">
        <v>15</v>
      </c>
      <c r="I48" s="6" t="s">
        <v>36</v>
      </c>
      <c r="J48" s="6" t="s">
        <v>36</v>
      </c>
      <c r="K48" s="6" t="s">
        <v>36</v>
      </c>
      <c r="L48" s="6" t="s">
        <v>36</v>
      </c>
      <c r="M48" s="6" t="s">
        <v>36</v>
      </c>
      <c r="N48" s="6" t="s">
        <v>15</v>
      </c>
      <c r="O48" s="6" t="s">
        <v>15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6.2" thickBot="1" x14ac:dyDescent="0.35">
      <c r="A49" s="9">
        <v>2</v>
      </c>
      <c r="B49" s="37">
        <v>30003319</v>
      </c>
      <c r="C49" s="37" t="s">
        <v>55</v>
      </c>
      <c r="D49" s="37" t="s">
        <v>20</v>
      </c>
      <c r="E49" s="6" t="s">
        <v>36</v>
      </c>
      <c r="F49" s="6" t="s">
        <v>36</v>
      </c>
      <c r="G49" s="6" t="s">
        <v>15</v>
      </c>
      <c r="H49" s="6" t="s">
        <v>15</v>
      </c>
      <c r="I49" s="6" t="s">
        <v>36</v>
      </c>
      <c r="J49" s="6" t="s">
        <v>36</v>
      </c>
      <c r="K49" s="6" t="s">
        <v>36</v>
      </c>
      <c r="L49" s="6" t="s">
        <v>36</v>
      </c>
      <c r="M49" s="6" t="s">
        <v>36</v>
      </c>
      <c r="N49" s="6" t="s">
        <v>15</v>
      </c>
      <c r="O49" s="6" t="s">
        <v>15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6.2" thickBot="1" x14ac:dyDescent="0.35">
      <c r="A50" s="9">
        <v>3</v>
      </c>
      <c r="B50" s="37">
        <v>30003362</v>
      </c>
      <c r="C50" s="37" t="s">
        <v>56</v>
      </c>
      <c r="D50" s="37" t="s">
        <v>20</v>
      </c>
      <c r="E50" s="6" t="s">
        <v>36</v>
      </c>
      <c r="F50" s="6" t="s">
        <v>36</v>
      </c>
      <c r="G50" s="6" t="s">
        <v>15</v>
      </c>
      <c r="H50" s="6" t="s">
        <v>15</v>
      </c>
      <c r="I50" s="6" t="s">
        <v>14</v>
      </c>
      <c r="J50" s="6" t="s">
        <v>14</v>
      </c>
      <c r="K50" s="6" t="s">
        <v>14</v>
      </c>
      <c r="L50" s="6" t="s">
        <v>14</v>
      </c>
      <c r="M50" s="6" t="s">
        <v>14</v>
      </c>
      <c r="N50" s="6" t="s">
        <v>15</v>
      </c>
      <c r="O50" s="6" t="s">
        <v>15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6.2" thickBot="1" x14ac:dyDescent="0.35">
      <c r="A51" s="9">
        <v>4</v>
      </c>
      <c r="B51" s="37">
        <v>30003449</v>
      </c>
      <c r="C51" s="37" t="s">
        <v>57</v>
      </c>
      <c r="D51" s="37" t="s">
        <v>20</v>
      </c>
      <c r="E51" s="6" t="s">
        <v>36</v>
      </c>
      <c r="F51" s="6" t="s">
        <v>36</v>
      </c>
      <c r="G51" s="6" t="s">
        <v>15</v>
      </c>
      <c r="H51" s="6" t="s">
        <v>15</v>
      </c>
      <c r="I51" s="6" t="s">
        <v>36</v>
      </c>
      <c r="J51" s="6" t="s">
        <v>36</v>
      </c>
      <c r="K51" s="6" t="s">
        <v>36</v>
      </c>
      <c r="L51" s="6" t="s">
        <v>36</v>
      </c>
      <c r="M51" s="6" t="s">
        <v>36</v>
      </c>
      <c r="N51" s="6" t="s">
        <v>15</v>
      </c>
      <c r="O51" s="6" t="s">
        <v>15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6.2" thickBot="1" x14ac:dyDescent="0.35">
      <c r="A52" s="9">
        <v>5</v>
      </c>
      <c r="B52" s="37">
        <v>30003471</v>
      </c>
      <c r="C52" s="37" t="s">
        <v>71</v>
      </c>
      <c r="D52" s="37" t="s">
        <v>20</v>
      </c>
      <c r="E52" s="6" t="s">
        <v>36</v>
      </c>
      <c r="F52" s="6" t="s">
        <v>36</v>
      </c>
      <c r="G52" s="6" t="s">
        <v>15</v>
      </c>
      <c r="H52" s="6" t="s">
        <v>15</v>
      </c>
      <c r="I52" s="6" t="s">
        <v>36</v>
      </c>
      <c r="J52" s="6" t="s">
        <v>36</v>
      </c>
      <c r="K52" s="6" t="s">
        <v>36</v>
      </c>
      <c r="L52" s="6" t="s">
        <v>36</v>
      </c>
      <c r="M52" s="6" t="s">
        <v>36</v>
      </c>
      <c r="N52" s="6" t="s">
        <v>15</v>
      </c>
      <c r="O52" s="6" t="s">
        <v>15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6.2" thickBot="1" x14ac:dyDescent="0.35">
      <c r="A53" s="9">
        <v>6</v>
      </c>
      <c r="B53" s="37">
        <v>30003607</v>
      </c>
      <c r="C53" s="37" t="s">
        <v>58</v>
      </c>
      <c r="D53" s="37" t="s">
        <v>20</v>
      </c>
      <c r="E53" s="6" t="s">
        <v>36</v>
      </c>
      <c r="F53" s="6" t="s">
        <v>36</v>
      </c>
      <c r="G53" s="6" t="s">
        <v>15</v>
      </c>
      <c r="H53" s="6" t="s">
        <v>15</v>
      </c>
      <c r="I53" s="6" t="s">
        <v>36</v>
      </c>
      <c r="J53" s="6" t="s">
        <v>36</v>
      </c>
      <c r="K53" s="6" t="s">
        <v>36</v>
      </c>
      <c r="L53" s="6" t="s">
        <v>36</v>
      </c>
      <c r="M53" s="6" t="s">
        <v>36</v>
      </c>
      <c r="N53" s="6" t="s">
        <v>15</v>
      </c>
      <c r="O53" s="6" t="s">
        <v>15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6.2" thickBot="1" x14ac:dyDescent="0.35">
      <c r="A54" s="9">
        <v>7</v>
      </c>
      <c r="B54" s="37">
        <v>30004358</v>
      </c>
      <c r="C54" s="37" t="s">
        <v>67</v>
      </c>
      <c r="D54" s="37" t="s">
        <v>20</v>
      </c>
      <c r="E54" s="6" t="s">
        <v>36</v>
      </c>
      <c r="F54" s="6" t="s">
        <v>36</v>
      </c>
      <c r="G54" s="6" t="s">
        <v>15</v>
      </c>
      <c r="H54" s="6" t="s">
        <v>15</v>
      </c>
      <c r="I54" s="6" t="s">
        <v>36</v>
      </c>
      <c r="J54" s="6" t="s">
        <v>36</v>
      </c>
      <c r="K54" s="6" t="s">
        <v>36</v>
      </c>
      <c r="L54" s="6" t="s">
        <v>36</v>
      </c>
      <c r="M54" s="6" t="s">
        <v>36</v>
      </c>
      <c r="N54" s="6" t="s">
        <v>15</v>
      </c>
      <c r="O54" s="6" t="s">
        <v>15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6.2" thickBot="1" x14ac:dyDescent="0.35">
      <c r="A55" s="9">
        <v>8</v>
      </c>
      <c r="B55" s="37">
        <v>30004434</v>
      </c>
      <c r="C55" s="37" t="s">
        <v>59</v>
      </c>
      <c r="D55" s="37" t="s">
        <v>20</v>
      </c>
      <c r="E55" s="6" t="s">
        <v>36</v>
      </c>
      <c r="F55" s="6" t="s">
        <v>36</v>
      </c>
      <c r="G55" s="6" t="s">
        <v>15</v>
      </c>
      <c r="H55" s="6" t="s">
        <v>15</v>
      </c>
      <c r="I55" s="6" t="s">
        <v>36</v>
      </c>
      <c r="J55" s="6" t="s">
        <v>36</v>
      </c>
      <c r="K55" s="6" t="s">
        <v>36</v>
      </c>
      <c r="L55" s="6" t="s">
        <v>36</v>
      </c>
      <c r="M55" s="6" t="s">
        <v>36</v>
      </c>
      <c r="N55" s="6" t="s">
        <v>15</v>
      </c>
      <c r="O55" s="6" t="s">
        <v>15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6.2" thickBot="1" x14ac:dyDescent="0.35">
      <c r="A56" s="9">
        <v>9</v>
      </c>
      <c r="B56" s="37">
        <v>30004838</v>
      </c>
      <c r="C56" s="37" t="s">
        <v>60</v>
      </c>
      <c r="D56" s="37" t="s">
        <v>20</v>
      </c>
      <c r="E56" s="32" t="s">
        <v>36</v>
      </c>
      <c r="F56" s="32" t="s">
        <v>36</v>
      </c>
      <c r="G56" s="32" t="s">
        <v>15</v>
      </c>
      <c r="H56" s="32" t="s">
        <v>15</v>
      </c>
      <c r="I56" s="6" t="s">
        <v>36</v>
      </c>
      <c r="J56" s="6" t="s">
        <v>36</v>
      </c>
      <c r="K56" s="6" t="s">
        <v>36</v>
      </c>
      <c r="L56" s="6" t="s">
        <v>36</v>
      </c>
      <c r="M56" s="6" t="s">
        <v>36</v>
      </c>
      <c r="N56" s="6" t="s">
        <v>15</v>
      </c>
      <c r="O56" s="6" t="s">
        <v>15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16.2" thickBot="1" x14ac:dyDescent="0.35">
      <c r="A57" s="9">
        <v>10</v>
      </c>
      <c r="B57" s="37"/>
      <c r="C57" s="37"/>
      <c r="D57" s="40"/>
      <c r="E57" s="77"/>
      <c r="F57" s="78"/>
      <c r="G57" s="78"/>
      <c r="H57" s="79"/>
      <c r="I57" s="23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6.2" thickBot="1" x14ac:dyDescent="0.35">
      <c r="A58" s="9">
        <v>11</v>
      </c>
      <c r="B58" s="37"/>
      <c r="C58" s="37"/>
      <c r="D58" s="40"/>
      <c r="E58" s="77"/>
      <c r="F58" s="78"/>
      <c r="G58" s="78"/>
      <c r="H58" s="79"/>
      <c r="I58" s="23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16.2" thickBot="1" x14ac:dyDescent="0.35">
      <c r="A59" s="9">
        <v>12</v>
      </c>
      <c r="B59" s="37"/>
      <c r="C59" s="37"/>
      <c r="D59" s="40"/>
      <c r="E59" s="77"/>
      <c r="F59" s="78"/>
      <c r="G59" s="78"/>
      <c r="H59" s="79"/>
      <c r="I59" s="23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6.2" thickBot="1" x14ac:dyDescent="0.35">
      <c r="A60" s="9">
        <v>13</v>
      </c>
      <c r="B60" s="37"/>
      <c r="C60" s="37"/>
      <c r="D60" s="40"/>
      <c r="E60" s="77"/>
      <c r="F60" s="78"/>
      <c r="G60" s="78"/>
      <c r="H60" s="79"/>
      <c r="I60" s="23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6.2" thickBot="1" x14ac:dyDescent="0.35">
      <c r="A61" s="9">
        <v>14</v>
      </c>
      <c r="B61" s="37"/>
      <c r="C61" s="37"/>
      <c r="D61" s="40"/>
      <c r="E61" s="77"/>
      <c r="F61" s="78"/>
      <c r="G61" s="78"/>
      <c r="H61" s="79"/>
      <c r="I61" s="23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16.2" thickBot="1" x14ac:dyDescent="0.35">
      <c r="A62" s="9">
        <v>15</v>
      </c>
      <c r="B62" s="37"/>
      <c r="C62" s="37"/>
      <c r="D62" s="40"/>
      <c r="E62" s="77"/>
      <c r="F62" s="78"/>
      <c r="G62" s="78"/>
      <c r="H62" s="79"/>
      <c r="I62" s="23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16.2" thickBot="1" x14ac:dyDescent="0.35">
      <c r="A63" s="9">
        <v>16</v>
      </c>
      <c r="B63" s="37"/>
      <c r="C63" s="37"/>
      <c r="D63" s="40"/>
      <c r="E63" s="77"/>
      <c r="F63" s="78"/>
      <c r="G63" s="78"/>
      <c r="H63" s="79"/>
      <c r="I63" s="23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6.2" thickBot="1" x14ac:dyDescent="0.35">
      <c r="A64" s="9">
        <v>17</v>
      </c>
      <c r="B64" s="37"/>
      <c r="C64" s="37"/>
      <c r="D64" s="40"/>
      <c r="E64" s="77"/>
      <c r="F64" s="78"/>
      <c r="G64" s="78"/>
      <c r="H64" s="79"/>
      <c r="I64" s="23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6.2" thickBot="1" x14ac:dyDescent="0.35">
      <c r="A65" s="9">
        <v>18</v>
      </c>
      <c r="B65" s="37"/>
      <c r="C65" s="37"/>
      <c r="D65" s="40"/>
      <c r="E65" s="77"/>
      <c r="F65" s="78"/>
      <c r="G65" s="78"/>
      <c r="H65" s="79"/>
      <c r="I65" s="23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6.2" thickBot="1" x14ac:dyDescent="0.35">
      <c r="A66" s="9">
        <v>19</v>
      </c>
      <c r="B66" s="37"/>
      <c r="C66" s="37"/>
      <c r="D66" s="40"/>
      <c r="E66" s="41"/>
      <c r="F66" s="42"/>
      <c r="G66" s="42"/>
      <c r="H66" s="43"/>
      <c r="I66" s="23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6.2" thickBot="1" x14ac:dyDescent="0.35">
      <c r="A67" s="9">
        <v>20</v>
      </c>
      <c r="B67" s="37"/>
      <c r="C67" s="37"/>
      <c r="D67" s="40"/>
      <c r="E67" s="41"/>
      <c r="F67" s="42"/>
      <c r="G67" s="42"/>
      <c r="H67" s="43"/>
      <c r="I67" s="23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6.2" thickBot="1" x14ac:dyDescent="0.35">
      <c r="A68" s="9">
        <v>21</v>
      </c>
      <c r="B68" s="37"/>
      <c r="C68" s="37"/>
      <c r="D68" s="40"/>
      <c r="E68" s="41"/>
      <c r="F68" s="42"/>
      <c r="G68" s="42"/>
      <c r="H68" s="43"/>
      <c r="I68" s="23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6.2" thickBot="1" x14ac:dyDescent="0.35">
      <c r="A69" s="9">
        <v>22</v>
      </c>
      <c r="B69" s="37"/>
      <c r="C69" s="37"/>
      <c r="D69" s="40"/>
      <c r="E69" s="41"/>
      <c r="F69" s="42"/>
      <c r="G69" s="42"/>
      <c r="H69" s="43"/>
      <c r="I69" s="23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6.2" thickBot="1" x14ac:dyDescent="0.35">
      <c r="A70" s="9">
        <v>23</v>
      </c>
      <c r="B70" s="37"/>
      <c r="C70" s="37"/>
      <c r="D70" s="40"/>
      <c r="E70" s="41"/>
      <c r="F70" s="42"/>
      <c r="G70" s="42"/>
      <c r="H70" s="43"/>
      <c r="I70" s="23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6.2" thickBot="1" x14ac:dyDescent="0.35">
      <c r="A71" s="9">
        <v>24</v>
      </c>
      <c r="B71" s="37"/>
      <c r="C71" s="37"/>
      <c r="D71" s="40"/>
      <c r="E71" s="41"/>
      <c r="F71" s="42"/>
      <c r="G71" s="42"/>
      <c r="H71" s="43"/>
      <c r="I71" s="23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6.2" thickBot="1" x14ac:dyDescent="0.35">
      <c r="A72" s="9">
        <v>25</v>
      </c>
      <c r="B72" s="37"/>
      <c r="C72" s="37"/>
      <c r="D72" s="40"/>
      <c r="E72" s="77"/>
      <c r="F72" s="78"/>
      <c r="G72" s="78"/>
      <c r="H72" s="79"/>
      <c r="I72" s="23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6.2" thickBot="1" x14ac:dyDescent="0.35">
      <c r="A73" s="13"/>
      <c r="B73" s="13"/>
      <c r="C73" s="13"/>
      <c r="D73" s="13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35" ht="15" thickBot="1" x14ac:dyDescent="0.35">
      <c r="A74" s="61" t="s">
        <v>61</v>
      </c>
      <c r="B74" s="62"/>
      <c r="C74" s="63"/>
      <c r="D74" s="53" t="s">
        <v>62</v>
      </c>
      <c r="E74" s="1" t="s">
        <v>5</v>
      </c>
      <c r="F74" s="1" t="s">
        <v>6</v>
      </c>
      <c r="G74" s="1" t="s">
        <v>7</v>
      </c>
      <c r="H74" s="1" t="s">
        <v>8</v>
      </c>
      <c r="I74" s="1" t="s">
        <v>9</v>
      </c>
      <c r="J74" s="1" t="s">
        <v>10</v>
      </c>
      <c r="K74" s="1" t="s">
        <v>11</v>
      </c>
      <c r="L74" s="1" t="s">
        <v>5</v>
      </c>
      <c r="M74" s="1" t="s">
        <v>6</v>
      </c>
      <c r="N74" s="1" t="s">
        <v>7</v>
      </c>
      <c r="O74" s="1" t="s">
        <v>8</v>
      </c>
      <c r="P74" s="1" t="s">
        <v>9</v>
      </c>
      <c r="Q74" s="1" t="s">
        <v>10</v>
      </c>
      <c r="R74" s="1" t="s">
        <v>11</v>
      </c>
      <c r="S74" s="1" t="s">
        <v>5</v>
      </c>
      <c r="T74" s="1" t="s">
        <v>6</v>
      </c>
      <c r="U74" s="1" t="s">
        <v>7</v>
      </c>
      <c r="V74" s="1" t="s">
        <v>8</v>
      </c>
      <c r="W74" s="1" t="s">
        <v>9</v>
      </c>
      <c r="X74" s="1" t="s">
        <v>10</v>
      </c>
      <c r="Y74" s="1" t="s">
        <v>11</v>
      </c>
      <c r="Z74" s="1" t="s">
        <v>5</v>
      </c>
      <c r="AA74" s="1" t="s">
        <v>6</v>
      </c>
      <c r="AB74" s="1" t="s">
        <v>7</v>
      </c>
      <c r="AC74" s="1" t="s">
        <v>8</v>
      </c>
      <c r="AD74" s="1" t="s">
        <v>9</v>
      </c>
      <c r="AE74" s="1" t="s">
        <v>10</v>
      </c>
      <c r="AF74" s="1" t="s">
        <v>11</v>
      </c>
      <c r="AG74" s="1" t="s">
        <v>5</v>
      </c>
      <c r="AH74" s="1" t="s">
        <v>6</v>
      </c>
      <c r="AI74" s="1" t="s">
        <v>7</v>
      </c>
    </row>
    <row r="75" spans="1:35" ht="16.2" thickBot="1" x14ac:dyDescent="0.35">
      <c r="A75" s="64"/>
      <c r="B75" s="65"/>
      <c r="C75" s="66"/>
      <c r="D75" s="70"/>
      <c r="E75" s="2">
        <v>1</v>
      </c>
      <c r="F75" s="2">
        <v>2</v>
      </c>
      <c r="G75" s="2">
        <v>3</v>
      </c>
      <c r="H75" s="2">
        <v>4</v>
      </c>
      <c r="I75" s="3">
        <v>5</v>
      </c>
      <c r="J75" s="4">
        <v>6</v>
      </c>
      <c r="K75" s="4">
        <v>7</v>
      </c>
      <c r="L75" s="3">
        <v>8</v>
      </c>
      <c r="M75" s="4">
        <v>9</v>
      </c>
      <c r="N75" s="2">
        <v>10</v>
      </c>
      <c r="O75" s="2">
        <v>11</v>
      </c>
      <c r="P75" s="2">
        <v>12</v>
      </c>
      <c r="Q75" s="2">
        <v>13</v>
      </c>
      <c r="R75" s="2">
        <v>14</v>
      </c>
      <c r="S75" s="2">
        <v>15</v>
      </c>
      <c r="T75" s="2">
        <v>16</v>
      </c>
      <c r="U75" s="2">
        <v>17</v>
      </c>
      <c r="V75" s="2">
        <v>18</v>
      </c>
      <c r="W75" s="2">
        <v>19</v>
      </c>
      <c r="X75" s="2">
        <v>20</v>
      </c>
      <c r="Y75" s="2">
        <v>21</v>
      </c>
      <c r="Z75" s="2">
        <v>22</v>
      </c>
      <c r="AA75" s="2">
        <v>23</v>
      </c>
      <c r="AB75" s="2">
        <v>24</v>
      </c>
      <c r="AC75" s="2">
        <v>25</v>
      </c>
      <c r="AD75" s="2">
        <v>26</v>
      </c>
      <c r="AE75" s="2">
        <v>27</v>
      </c>
      <c r="AF75" s="2">
        <v>28</v>
      </c>
      <c r="AG75" s="2">
        <v>29</v>
      </c>
      <c r="AH75" s="2">
        <v>30</v>
      </c>
      <c r="AI75" s="2">
        <v>31</v>
      </c>
    </row>
    <row r="76" spans="1:35" ht="16.2" thickBot="1" x14ac:dyDescent="0.35">
      <c r="A76" s="64"/>
      <c r="B76" s="65"/>
      <c r="C76" s="66"/>
      <c r="D76" s="15" t="s">
        <v>36</v>
      </c>
      <c r="E76" s="16">
        <f t="shared" ref="E76:AI76" si="0">COUNTIF(E1:E73,"D")</f>
        <v>25</v>
      </c>
      <c r="F76" s="16">
        <f t="shared" si="0"/>
        <v>25</v>
      </c>
      <c r="G76" s="16">
        <f t="shared" si="0"/>
        <v>0</v>
      </c>
      <c r="H76" s="16">
        <f t="shared" si="0"/>
        <v>0</v>
      </c>
      <c r="I76" s="16">
        <f t="shared" si="0"/>
        <v>24</v>
      </c>
      <c r="J76" s="16">
        <f t="shared" si="0"/>
        <v>24</v>
      </c>
      <c r="K76" s="16">
        <f t="shared" si="0"/>
        <v>24</v>
      </c>
      <c r="L76" s="16">
        <f t="shared" si="0"/>
        <v>24</v>
      </c>
      <c r="M76" s="16">
        <f t="shared" si="0"/>
        <v>24</v>
      </c>
      <c r="N76" s="16">
        <f t="shared" si="0"/>
        <v>0</v>
      </c>
      <c r="O76" s="16">
        <f t="shared" si="0"/>
        <v>0</v>
      </c>
      <c r="P76" s="16">
        <f t="shared" si="0"/>
        <v>16</v>
      </c>
      <c r="Q76" s="16">
        <f t="shared" si="0"/>
        <v>16</v>
      </c>
      <c r="R76" s="16">
        <f t="shared" si="0"/>
        <v>16</v>
      </c>
      <c r="S76" s="16">
        <f t="shared" si="0"/>
        <v>16</v>
      </c>
      <c r="T76" s="16">
        <f t="shared" si="0"/>
        <v>16</v>
      </c>
      <c r="U76" s="16">
        <f t="shared" si="0"/>
        <v>0</v>
      </c>
      <c r="V76" s="16">
        <f t="shared" si="0"/>
        <v>0</v>
      </c>
      <c r="W76" s="16">
        <f t="shared" si="0"/>
        <v>18</v>
      </c>
      <c r="X76" s="16">
        <f t="shared" si="0"/>
        <v>18</v>
      </c>
      <c r="Y76" s="16">
        <f t="shared" si="0"/>
        <v>18</v>
      </c>
      <c r="Z76" s="16">
        <f t="shared" si="0"/>
        <v>18</v>
      </c>
      <c r="AA76" s="16">
        <f t="shared" si="0"/>
        <v>18</v>
      </c>
      <c r="AB76" s="16">
        <f t="shared" si="0"/>
        <v>0</v>
      </c>
      <c r="AC76" s="16">
        <f t="shared" si="0"/>
        <v>0</v>
      </c>
      <c r="AD76" s="16">
        <f t="shared" si="0"/>
        <v>18</v>
      </c>
      <c r="AE76" s="16">
        <f t="shared" si="0"/>
        <v>18</v>
      </c>
      <c r="AF76" s="16">
        <f t="shared" si="0"/>
        <v>18</v>
      </c>
      <c r="AG76" s="16">
        <f t="shared" si="0"/>
        <v>18</v>
      </c>
      <c r="AH76" s="16">
        <f t="shared" si="0"/>
        <v>18</v>
      </c>
      <c r="AI76" s="16">
        <f t="shared" si="0"/>
        <v>0</v>
      </c>
    </row>
    <row r="77" spans="1:35" ht="16.2" thickBot="1" x14ac:dyDescent="0.35">
      <c r="A77" s="64"/>
      <c r="B77" s="65"/>
      <c r="C77" s="66"/>
      <c r="D77" s="17" t="s">
        <v>14</v>
      </c>
      <c r="E77" s="18">
        <f t="shared" ref="E77:AI77" si="1">COUNTIF(E1:E73,"T")</f>
        <v>13</v>
      </c>
      <c r="F77" s="18">
        <f t="shared" si="1"/>
        <v>13</v>
      </c>
      <c r="G77" s="18">
        <f t="shared" si="1"/>
        <v>0</v>
      </c>
      <c r="H77" s="18">
        <f t="shared" si="1"/>
        <v>0</v>
      </c>
      <c r="I77" s="18">
        <f t="shared" si="1"/>
        <v>15</v>
      </c>
      <c r="J77" s="18">
        <f t="shared" si="1"/>
        <v>15</v>
      </c>
      <c r="K77" s="18">
        <f t="shared" si="1"/>
        <v>15</v>
      </c>
      <c r="L77" s="18">
        <f t="shared" si="1"/>
        <v>15</v>
      </c>
      <c r="M77" s="18">
        <f t="shared" si="1"/>
        <v>15</v>
      </c>
      <c r="N77" s="18">
        <f t="shared" si="1"/>
        <v>0</v>
      </c>
      <c r="O77" s="18">
        <f t="shared" si="1"/>
        <v>0</v>
      </c>
      <c r="P77" s="18">
        <f t="shared" si="1"/>
        <v>14</v>
      </c>
      <c r="Q77" s="18">
        <f t="shared" si="1"/>
        <v>14</v>
      </c>
      <c r="R77" s="18">
        <f t="shared" si="1"/>
        <v>14</v>
      </c>
      <c r="S77" s="18">
        <f t="shared" si="1"/>
        <v>14</v>
      </c>
      <c r="T77" s="18">
        <f t="shared" si="1"/>
        <v>14</v>
      </c>
      <c r="U77" s="18">
        <f t="shared" si="1"/>
        <v>0</v>
      </c>
      <c r="V77" s="18">
        <f t="shared" si="1"/>
        <v>0</v>
      </c>
      <c r="W77" s="18">
        <f t="shared" si="1"/>
        <v>15</v>
      </c>
      <c r="X77" s="18">
        <f t="shared" si="1"/>
        <v>15</v>
      </c>
      <c r="Y77" s="18">
        <f t="shared" si="1"/>
        <v>15</v>
      </c>
      <c r="Z77" s="18">
        <f t="shared" si="1"/>
        <v>15</v>
      </c>
      <c r="AA77" s="18">
        <f t="shared" si="1"/>
        <v>15</v>
      </c>
      <c r="AB77" s="18">
        <f t="shared" si="1"/>
        <v>0</v>
      </c>
      <c r="AC77" s="18">
        <f t="shared" si="1"/>
        <v>0</v>
      </c>
      <c r="AD77" s="18">
        <f t="shared" si="1"/>
        <v>15</v>
      </c>
      <c r="AE77" s="18">
        <f t="shared" si="1"/>
        <v>15</v>
      </c>
      <c r="AF77" s="18">
        <f t="shared" si="1"/>
        <v>15</v>
      </c>
      <c r="AG77" s="18">
        <f t="shared" si="1"/>
        <v>15</v>
      </c>
      <c r="AH77" s="18">
        <f t="shared" si="1"/>
        <v>15</v>
      </c>
      <c r="AI77" s="18">
        <f t="shared" si="1"/>
        <v>0</v>
      </c>
    </row>
    <row r="78" spans="1:35" ht="16.2" thickBot="1" x14ac:dyDescent="0.35">
      <c r="A78" s="67"/>
      <c r="B78" s="68"/>
      <c r="C78" s="69"/>
      <c r="D78" s="19" t="s">
        <v>63</v>
      </c>
      <c r="E78" s="20">
        <f t="shared" ref="E78:AI78" si="2">COUNTIF(E1:E73,"G")</f>
        <v>0</v>
      </c>
      <c r="F78" s="20">
        <f t="shared" si="2"/>
        <v>0</v>
      </c>
      <c r="G78" s="20">
        <f t="shared" si="2"/>
        <v>0</v>
      </c>
      <c r="H78" s="20">
        <f t="shared" si="2"/>
        <v>0</v>
      </c>
      <c r="I78" s="20">
        <f t="shared" si="2"/>
        <v>0</v>
      </c>
      <c r="J78" s="20">
        <f t="shared" si="2"/>
        <v>0</v>
      </c>
      <c r="K78" s="20">
        <f t="shared" si="2"/>
        <v>0</v>
      </c>
      <c r="L78" s="20">
        <f t="shared" si="2"/>
        <v>0</v>
      </c>
      <c r="M78" s="20">
        <f t="shared" si="2"/>
        <v>0</v>
      </c>
      <c r="N78" s="20">
        <f t="shared" si="2"/>
        <v>0</v>
      </c>
      <c r="O78" s="20">
        <f t="shared" si="2"/>
        <v>0</v>
      </c>
      <c r="P78" s="20">
        <f t="shared" si="2"/>
        <v>0</v>
      </c>
      <c r="Q78" s="20">
        <f t="shared" si="2"/>
        <v>0</v>
      </c>
      <c r="R78" s="20">
        <f t="shared" si="2"/>
        <v>0</v>
      </c>
      <c r="S78" s="20">
        <f t="shared" si="2"/>
        <v>0</v>
      </c>
      <c r="T78" s="20">
        <f t="shared" si="2"/>
        <v>0</v>
      </c>
      <c r="U78" s="20">
        <f t="shared" si="2"/>
        <v>0</v>
      </c>
      <c r="V78" s="20">
        <f t="shared" si="2"/>
        <v>0</v>
      </c>
      <c r="W78" s="20">
        <f t="shared" si="2"/>
        <v>0</v>
      </c>
      <c r="X78" s="20">
        <f t="shared" si="2"/>
        <v>0</v>
      </c>
      <c r="Y78" s="20">
        <f t="shared" si="2"/>
        <v>0</v>
      </c>
      <c r="Z78" s="20">
        <f t="shared" si="2"/>
        <v>0</v>
      </c>
      <c r="AA78" s="20">
        <f t="shared" si="2"/>
        <v>0</v>
      </c>
      <c r="AB78" s="20">
        <f t="shared" si="2"/>
        <v>0</v>
      </c>
      <c r="AC78" s="20">
        <f t="shared" si="2"/>
        <v>0</v>
      </c>
      <c r="AD78" s="20">
        <f t="shared" si="2"/>
        <v>0</v>
      </c>
      <c r="AE78" s="20">
        <f t="shared" si="2"/>
        <v>0</v>
      </c>
      <c r="AF78" s="20">
        <f t="shared" si="2"/>
        <v>0</v>
      </c>
      <c r="AG78" s="20">
        <f t="shared" si="2"/>
        <v>0</v>
      </c>
      <c r="AH78" s="20">
        <f t="shared" si="2"/>
        <v>0</v>
      </c>
      <c r="AI78" s="20">
        <f t="shared" si="2"/>
        <v>0</v>
      </c>
    </row>
    <row r="79" spans="1:35" ht="15" thickBot="1" x14ac:dyDescent="0.35"/>
    <row r="80" spans="1:35" ht="21" thickBot="1" x14ac:dyDescent="0.35">
      <c r="E80" s="82" t="s">
        <v>62</v>
      </c>
      <c r="F80" s="83"/>
      <c r="G80" s="83"/>
      <c r="H80" s="83"/>
      <c r="I80" s="83"/>
      <c r="J80" s="84"/>
    </row>
    <row r="81" spans="5:29" ht="16.2" thickBot="1" x14ac:dyDescent="0.35">
      <c r="E81" s="44" t="s">
        <v>36</v>
      </c>
      <c r="F81" s="85" t="s">
        <v>73</v>
      </c>
      <c r="G81" s="86"/>
      <c r="H81" s="86"/>
      <c r="I81" s="86"/>
      <c r="J81" s="87"/>
    </row>
    <row r="82" spans="5:29" ht="16.2" customHeight="1" thickBot="1" x14ac:dyDescent="0.35">
      <c r="E82" s="45" t="s">
        <v>14</v>
      </c>
      <c r="F82" s="88" t="s">
        <v>74</v>
      </c>
      <c r="G82" s="89"/>
      <c r="H82" s="89"/>
      <c r="I82" s="89"/>
      <c r="J82" s="90"/>
      <c r="M82" s="95" t="s">
        <v>77</v>
      </c>
      <c r="N82" s="95"/>
      <c r="O82" s="95"/>
      <c r="P82" s="95"/>
      <c r="Q82" s="95"/>
      <c r="R82" s="95"/>
      <c r="S82" s="95"/>
      <c r="W82" s="96" t="str">
        <f ca="1">UPPER(TEXT(TODAY(),"DDDD dd/mm/yyyy"))</f>
        <v>SATURDAY 04/07/2026</v>
      </c>
      <c r="X82" s="96"/>
      <c r="Y82" s="96"/>
      <c r="Z82" s="96"/>
      <c r="AA82" s="96"/>
      <c r="AB82" s="96"/>
      <c r="AC82" s="96"/>
    </row>
    <row r="83" spans="5:29" ht="16.2" customHeight="1" thickBot="1" x14ac:dyDescent="0.35">
      <c r="E83" s="46" t="s">
        <v>63</v>
      </c>
      <c r="F83" s="91"/>
      <c r="G83" s="92"/>
      <c r="H83" s="92"/>
      <c r="I83" s="92"/>
      <c r="J83" s="93"/>
      <c r="M83" s="94" t="s">
        <v>75</v>
      </c>
      <c r="N83" s="94"/>
      <c r="O83" s="94"/>
      <c r="P83" s="94"/>
      <c r="Q83" s="94"/>
      <c r="R83" s="94"/>
      <c r="S83" s="94"/>
      <c r="W83" s="94" t="s">
        <v>76</v>
      </c>
      <c r="X83" s="94"/>
      <c r="Y83" s="94"/>
      <c r="Z83" s="94"/>
      <c r="AA83" s="94"/>
      <c r="AB83" s="94"/>
      <c r="AC83" s="94"/>
    </row>
  </sheetData>
  <mergeCells count="31">
    <mergeCell ref="W83:AC83"/>
    <mergeCell ref="W82:AC82"/>
    <mergeCell ref="M82:S82"/>
    <mergeCell ref="M83:S83"/>
    <mergeCell ref="E80:J80"/>
    <mergeCell ref="F81:J81"/>
    <mergeCell ref="F82:J82"/>
    <mergeCell ref="F83:J83"/>
    <mergeCell ref="E65:H65"/>
    <mergeCell ref="E72:H72"/>
    <mergeCell ref="AD1:AI2"/>
    <mergeCell ref="E60:H60"/>
    <mergeCell ref="E61:H61"/>
    <mergeCell ref="E62:H62"/>
    <mergeCell ref="E63:H63"/>
    <mergeCell ref="E64:H64"/>
    <mergeCell ref="E2:AC2"/>
    <mergeCell ref="E57:H57"/>
    <mergeCell ref="E58:H58"/>
    <mergeCell ref="E59:H59"/>
    <mergeCell ref="A1:A2"/>
    <mergeCell ref="B1:B2"/>
    <mergeCell ref="C1:C2"/>
    <mergeCell ref="D1:D2"/>
    <mergeCell ref="E1:AC1"/>
    <mergeCell ref="A3:D4"/>
    <mergeCell ref="A22:D23"/>
    <mergeCell ref="A42:D43"/>
    <mergeCell ref="A46:D47"/>
    <mergeCell ref="A74:C78"/>
    <mergeCell ref="D74:D75"/>
  </mergeCells>
  <phoneticPr fontId="9" type="noConversion"/>
  <conditionalFormatting sqref="E21:O21 E24:AI40 E44:AI44 E45:O45 E48:AI56 E57:E72 I57:AI72 E73:O73">
    <cfRule type="containsText" dxfId="11" priority="13" operator="containsText" text="TR">
      <formula>NOT(ISERROR(SEARCH("TR",E21)))</formula>
    </cfRule>
    <cfRule type="containsText" dxfId="10" priority="14" operator="containsText" text="V">
      <formula>NOT(ISERROR(SEARCH("V",E21)))</formula>
    </cfRule>
    <cfRule type="containsText" dxfId="9" priority="15" operator="containsText" text="R">
      <formula>NOT(ISERROR(SEARCH("R",E21)))</formula>
    </cfRule>
    <cfRule type="containsText" dxfId="8" priority="16" operator="containsText" text="G">
      <formula>NOT(ISERROR(SEARCH("G",E21)))</formula>
    </cfRule>
    <cfRule type="containsText" dxfId="7" priority="17" operator="containsText" text="T">
      <formula>NOT(ISERROR(SEARCH("T",E21)))</formula>
    </cfRule>
    <cfRule type="containsText" dxfId="6" priority="18" operator="containsText" text="D">
      <formula>NOT(ISERROR(SEARCH("D",E21)))</formula>
    </cfRule>
  </conditionalFormatting>
  <conditionalFormatting sqref="E5:AI20">
    <cfRule type="containsText" dxfId="5" priority="1" operator="containsText" text="TR">
      <formula>NOT(ISERROR(SEARCH("TR",E5)))</formula>
    </cfRule>
    <cfRule type="containsText" dxfId="4" priority="2" operator="containsText" text="V">
      <formula>NOT(ISERROR(SEARCH("V",E5)))</formula>
    </cfRule>
    <cfRule type="containsText" dxfId="3" priority="3" operator="containsText" text="R">
      <formula>NOT(ISERROR(SEARCH("R",E5)))</formula>
    </cfRule>
    <cfRule type="containsText" dxfId="2" priority="4" operator="containsText" text="G">
      <formula>NOT(ISERROR(SEARCH("G",E5)))</formula>
    </cfRule>
    <cfRule type="containsText" dxfId="1" priority="5" operator="containsText" text="T">
      <formula>NOT(ISERROR(SEARCH("T",E5)))</formula>
    </cfRule>
    <cfRule type="containsText" dxfId="0" priority="6" operator="containsText" text="D">
      <formula>NOT(ISERROR(SEARCH("D",E5)))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JUL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Alghamdi</dc:creator>
  <cp:lastModifiedBy>Ahmed Saeed Alghamdi</cp:lastModifiedBy>
  <dcterms:created xsi:type="dcterms:W3CDTF">2026-07-02T08:03:38Z</dcterms:created>
  <dcterms:modified xsi:type="dcterms:W3CDTF">2026-07-04T14:34:46Z</dcterms:modified>
</cp:coreProperties>
</file>