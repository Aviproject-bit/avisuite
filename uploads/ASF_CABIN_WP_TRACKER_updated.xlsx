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i val="1"/>
      <color rgb="00666666"/>
      <sz val="8"/>
    </font>
    <font>
      <name val="Arial"/>
      <i val="1"/>
      <color rgb="FF555555"/>
      <sz val="8"/>
    </font>
  </fonts>
  <fills count="43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F5F5F5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5" fillId="41" borderId="4" applyAlignment="1" pivotButton="0" quotePrefix="0" xfId="0">
      <alignment vertical="center"/>
    </xf>
    <xf numFmtId="0" fontId="81" fillId="0" borderId="4" applyAlignment="1" pivotButton="0" quotePrefix="0" xfId="0">
      <alignment vertical="center"/>
    </xf>
    <xf numFmtId="0" fontId="81" fillId="36" borderId="4" applyAlignment="1" pivotButton="0" quotePrefix="0" xfId="0">
      <alignment vertical="center"/>
    </xf>
    <xf numFmtId="0" fontId="70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78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77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79" fillId="37" borderId="7" applyAlignment="1" pivotButton="0" quotePrefix="0" xfId="0">
      <alignment horizontal="center" vertical="center"/>
    </xf>
    <xf numFmtId="0" fontId="80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68" fillId="29" borderId="0" applyAlignment="1" pivotButton="0" quotePrefix="0" xfId="0">
      <alignment horizontal="center" vertical="center" indent="1"/>
    </xf>
    <xf numFmtId="0" fontId="62" fillId="32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69" fillId="35" borderId="0" applyAlignment="1" pivotButton="0" quotePrefix="0" xfId="0">
      <alignment horizontal="center" vertical="center"/>
    </xf>
    <xf numFmtId="0" fontId="59" fillId="24" borderId="4" applyAlignment="1" pivotButton="0" quotePrefix="0" xfId="0">
      <alignment horizontal="center" vertical="center"/>
    </xf>
    <xf numFmtId="0" fontId="59" fillId="22" borderId="4" applyAlignment="1" pivotButton="0" quotePrefix="0" xfId="0">
      <alignment horizontal="center" vertical="center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14" fillId="6" borderId="0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59" fillId="20" borderId="4" applyAlignment="1" pivotButton="0" quotePrefix="0" xfId="0">
      <alignment horizontal="center" vertical="center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82" fillId="42" borderId="0" applyAlignment="1" pivotButton="0" quotePrefix="0" xfId="0">
      <alignment horizontal="center" vertical="center"/>
    </xf>
    <xf numFmtId="0" fontId="83" fillId="0" borderId="0" applyAlignment="1" pivotButton="0" quotePrefix="0" xfId="0">
      <alignment horizontal="center" vertical="center"/>
    </xf>
    <xf numFmtId="0" fontId="83" fillId="42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1"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/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100"/>
    <tableColumn id="9" name="Remarks" dataDxfId="99"/>
    <tableColumn id="10" name="Time EVAL?" dataDxfId="98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97"/>
    <tableColumn id="2" name="Category" dataDxfId="96"/>
    <tableColumn id="4" name="Sub-Category" dataDxfId="95"/>
    <tableColumn id="3" name="Finding Description" dataDxfId="94"/>
    <tableColumn id="7" name="Remarks" dataDxfId="93"/>
    <tableColumn id="10" name="Photo URL"/>
    <tableColumn id="5" name="AMOS Status" dataDxfId="92"/>
    <tableColumn id="6" name="WO No." dataDxfId="91"/>
    <tableColumn id="8" name="P/N Required" dataDxfId="90"/>
    <tableColumn id="11" name="Qty" dataDxfId="89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4" activePane="bottomLeft" state="frozen"/>
      <selection activeCell="H1" sqref="H1"/>
      <selection pane="bottomLeft" activeCell="B141" sqref="B141"/>
    </sheetView>
  </sheetViews>
  <sheetFormatPr baseColWidth="8" defaultColWidth="8.6640625" defaultRowHeight="14.4"/>
  <cols>
    <col width="7.33203125" customWidth="1" style="104" min="1" max="1"/>
    <col width="13" customWidth="1" style="104" min="2" max="2"/>
    <col width="144.88671875" customWidth="1" style="104" min="3" max="3"/>
    <col width="21.6640625" bestFit="1" customWidth="1" style="80" min="4" max="4"/>
    <col width="18.6640625" bestFit="1" customWidth="1" style="104" min="5" max="5"/>
    <col width="11.6640625" bestFit="1" customWidth="1" style="104" min="6" max="6"/>
    <col width="10" customWidth="1" style="104" min="7" max="7"/>
    <col width="18.5546875" customWidth="1" style="104" min="8" max="8"/>
    <col width="53.44140625" customWidth="1" style="104" min="9" max="9"/>
    <col width="10" customWidth="1" style="104" min="10" max="10"/>
    <col width="9" customWidth="1" style="104" min="11" max="11"/>
  </cols>
  <sheetData>
    <row r="1" ht="34.2" customHeight="1" s="104">
      <c r="A1" s="99" t="inlineStr">
        <is>
          <t>POOL CABIN  ✈ HZ-ASF ✈  C7-CHECK WORK PACKAGE TRACKER</t>
        </is>
      </c>
      <c r="B1" s="100" t="n"/>
      <c r="C1" s="100" t="n"/>
      <c r="D1" s="100" t="n"/>
      <c r="E1" s="105">
        <f>"Day "&amp;TEXT(MAX(1,MIN(TODAY()-DATE(2026,6,8)+1,36)),"0")&amp;"/36"</f>
        <v/>
      </c>
      <c r="G1" s="103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5" customHeight="1" s="104">
      <c r="A2" s="106" t="inlineStr">
        <is>
          <t xml:space="preserve">UPDATED: 25 MAY -- DAY SHIFT </t>
        </is>
      </c>
      <c r="B2" s="107" t="n"/>
      <c r="C2" s="107" t="n"/>
      <c r="D2" s="107" t="n"/>
      <c r="E2" s="102" t="n"/>
      <c r="F2" s="102" t="n"/>
      <c r="G2" s="101">
        <f>"AOG/Critical: "&amp;COUNTIFS(B4:B1002,"&lt;&gt;",F4:F1002,"AOG")+COUNTIFS(B4:B1002,"&lt;&gt;",F4:F1002,"Critical")</f>
        <v/>
      </c>
      <c r="H2" s="102" t="n"/>
      <c r="I2" s="102" t="n"/>
      <c r="J2" s="102" t="n"/>
      <c r="K2" s="102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04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04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04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04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AFTER COCKPIT CLOSE UP</t>
        </is>
      </c>
      <c r="J7" s="10" t="inlineStr">
        <is>
          <t>N/A</t>
        </is>
      </c>
      <c r="K7" s="10" t="inlineStr">
        <is>
          <t>FWD</t>
        </is>
      </c>
    </row>
    <row r="8" ht="18" customHeight="1" s="104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AFTER COCKPIT CLOSE UP</t>
        </is>
      </c>
      <c r="J8" s="10" t="inlineStr">
        <is>
          <t>N/A</t>
        </is>
      </c>
      <c r="K8" s="10" t="inlineStr">
        <is>
          <t>FWD</t>
        </is>
      </c>
    </row>
    <row r="9" ht="18" customHeight="1" s="104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AFTER COCKPIT CLOSE UP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04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AFTER COCKPIT CLOSE UP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04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04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04">
      <c r="A13" s="74" t="n">
        <v>30</v>
      </c>
      <c r="B13" s="69" t="inlineStr">
        <is>
          <t>25-SVA-01</t>
        </is>
      </c>
      <c r="C13" s="93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04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04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04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04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04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04">
      <c r="A19" s="74" t="n">
        <v>42</v>
      </c>
      <c r="B19" s="69" t="inlineStr">
        <is>
          <t>256652-01-1-SVA</t>
        </is>
      </c>
      <c r="C19" s="95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04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04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04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04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inlineStr">
        <is>
          <t>AFTER OXY CLOSE UP</t>
        </is>
      </c>
      <c r="J23" s="10" t="inlineStr">
        <is>
          <t>N/A</t>
        </is>
      </c>
      <c r="K23" s="10" t="n"/>
    </row>
    <row r="24" ht="18" customHeight="1" s="104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04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04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04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04">
      <c r="A28" s="74" t="n">
        <v>128</v>
      </c>
      <c r="B28" s="69" t="inlineStr">
        <is>
          <t>521000-02-1</t>
        </is>
      </c>
      <c r="C28" s="93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Closed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04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04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04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Closed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04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Closed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04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Closed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04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Closed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04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04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04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04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04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04">
      <c r="A40" s="74" t="n">
        <v>162</v>
      </c>
      <c r="B40" s="69" t="inlineStr">
        <is>
          <t>561200-02-1</t>
        </is>
      </c>
      <c r="C40" s="97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04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inlineStr">
        <is>
          <t>REQ DE-ASSIGN</t>
        </is>
      </c>
      <c r="J41" s="10" t="inlineStr">
        <is>
          <t>N/A</t>
        </is>
      </c>
      <c r="K41" s="10" t="inlineStr">
        <is>
          <t>JOINT</t>
        </is>
      </c>
    </row>
    <row r="42" ht="18" customHeight="1" s="104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Closed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04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04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04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04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04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04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04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04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04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04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04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04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04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04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04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04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04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04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04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04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04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04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04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04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04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04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04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04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04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04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04">
      <c r="A73" s="74" t="n">
        <v>317</v>
      </c>
      <c r="B73" s="69" t="n">
        <v>32022300</v>
      </c>
      <c r="C73" s="95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inlineStr">
        <is>
          <t>R/R FROM CATRION</t>
        </is>
      </c>
      <c r="J73" s="10" t="inlineStr">
        <is>
          <t>N/A</t>
        </is>
      </c>
      <c r="K73" s="10" t="inlineStr">
        <is>
          <t>AFT</t>
        </is>
      </c>
    </row>
    <row r="74" ht="18" customHeight="1" s="104">
      <c r="A74" s="74" t="n">
        <v>319</v>
      </c>
      <c r="B74" s="69" t="n">
        <v>80794771</v>
      </c>
      <c r="C74" s="95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04">
      <c r="A75" s="74" t="n">
        <v>320</v>
      </c>
      <c r="B75" s="69" t="n">
        <v>81012325</v>
      </c>
      <c r="C75" s="95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Closed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C/W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04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04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04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04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04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04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04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04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04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04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04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LAVATORY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04">
      <c r="A87" s="74" t="n">
        <v>342</v>
      </c>
      <c r="B87" s="69" t="n">
        <v>32787446</v>
      </c>
      <c r="C87" s="95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04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04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04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04">
      <c r="A91" s="74" t="n">
        <v>368</v>
      </c>
      <c r="B91" s="69" t="n">
        <v>32070218</v>
      </c>
      <c r="C91" s="95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04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04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04">
      <c r="A94" s="74" t="n">
        <v>374</v>
      </c>
      <c r="B94" s="69" t="inlineStr">
        <is>
          <t>212300-02-1</t>
        </is>
      </c>
      <c r="C94" s="93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04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04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04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04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04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04">
      <c r="A100" s="74" t="n">
        <v>385</v>
      </c>
      <c r="B100" s="69" t="inlineStr">
        <is>
          <t>25-10-00-00-SVA</t>
        </is>
      </c>
      <c r="C100" s="93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04">
      <c r="A101" s="74" t="n">
        <v>386</v>
      </c>
      <c r="B101" s="69" t="inlineStr">
        <is>
          <t>25-11-00-07-0-SVA-001</t>
        </is>
      </c>
      <c r="C101" s="93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04">
      <c r="A102" s="74" t="n">
        <v>387</v>
      </c>
      <c r="B102" s="69" t="inlineStr">
        <is>
          <t>25-11-00-19-0-SVA</t>
        </is>
      </c>
      <c r="C102" s="93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04">
      <c r="A103" s="74" t="n">
        <v>388</v>
      </c>
      <c r="B103" s="69" t="inlineStr">
        <is>
          <t>25-20-00-00-SVA</t>
        </is>
      </c>
      <c r="C103" s="9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04">
      <c r="A104" s="74" t="n">
        <v>389</v>
      </c>
      <c r="B104" s="69" t="inlineStr">
        <is>
          <t>25-21-00-00-SVA</t>
        </is>
      </c>
      <c r="C104" s="97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04">
      <c r="A105" s="74" t="n">
        <v>390</v>
      </c>
      <c r="B105" s="69" t="inlineStr">
        <is>
          <t>25-21-01-00-SVA</t>
        </is>
      </c>
      <c r="C105" s="97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04">
      <c r="A106" s="74" t="n">
        <v>391</v>
      </c>
      <c r="B106" s="69" t="inlineStr">
        <is>
          <t>25-22-00-00-SVA</t>
        </is>
      </c>
      <c r="C106" s="93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04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04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04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04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04">
      <c r="A111" s="74" t="n">
        <v>396</v>
      </c>
      <c r="B111" s="69" t="inlineStr">
        <is>
          <t>25-32-00-00-SVA</t>
        </is>
      </c>
      <c r="C111" s="93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04">
      <c r="A112" s="74" t="n">
        <v>397</v>
      </c>
      <c r="B112" s="69" t="inlineStr">
        <is>
          <t>25-40-00-00-SVA</t>
        </is>
      </c>
      <c r="C112" s="93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04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04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04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04">
      <c r="A116" s="74" t="n">
        <v>401</v>
      </c>
      <c r="B116" s="69" t="inlineStr">
        <is>
          <t>253000-02-1</t>
        </is>
      </c>
      <c r="C116" s="95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04">
      <c r="A117" s="74" t="n">
        <v>402</v>
      </c>
      <c r="B117" s="69" t="inlineStr">
        <is>
          <t>253400-01-1.</t>
        </is>
      </c>
      <c r="C117" s="95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Closed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04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04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04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04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Closed</t>
        </is>
      </c>
      <c r="F121" s="10" t="inlineStr">
        <is>
          <t>Normal</t>
        </is>
      </c>
      <c r="G121" s="9" t="inlineStr">
        <is>
          <t>AV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04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04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04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04">
      <c r="A125" s="74" t="n">
        <v>455</v>
      </c>
      <c r="B125" s="69" t="inlineStr">
        <is>
          <t>383200-01-1</t>
        </is>
      </c>
      <c r="C125" s="95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04">
      <c r="A126" s="74" t="n">
        <v>464</v>
      </c>
      <c r="B126" s="69" t="inlineStr">
        <is>
          <t>525111-06-2</t>
        </is>
      </c>
      <c r="C126" s="95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04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04">
      <c r="A128" s="74" t="n">
        <v>499</v>
      </c>
      <c r="B128" s="69" t="n">
        <v>32788738</v>
      </c>
      <c r="C128" s="95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inlineStr">
        <is>
          <t>SPLTY CAB - REQ S/M</t>
        </is>
      </c>
      <c r="J128" s="10" t="n"/>
      <c r="K128" s="10" t="inlineStr">
        <is>
          <t>FWD</t>
        </is>
      </c>
    </row>
    <row r="129" ht="18" customHeight="1" s="104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04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inlineStr">
        <is>
          <t>Yes</t>
        </is>
      </c>
      <c r="K130" s="10" t="inlineStr">
        <is>
          <t>FWD</t>
        </is>
      </c>
    </row>
    <row r="131" ht="15.6" customHeight="1" s="104">
      <c r="A131" s="74" t="inlineStr">
        <is>
          <t>501</t>
        </is>
      </c>
      <c r="B131" s="69" t="inlineStr">
        <is>
          <t>32788747</t>
        </is>
      </c>
      <c r="C131" s="8" t="inlineStr">
        <is>
          <t>PAINT - CABIN FWD CABINET -  NO CALL     /      25-SVA-02 COMPARTMENT  C102 ,  ID DECAL TORN , MEGAPHONE DECAL TORN , DESCRIPTION " EMER. EQUIP. ONLY "   DECAL  TORN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PAINT</t>
        </is>
      </c>
      <c r="H131" s="11" t="n"/>
      <c r="I131" s="10" t="n"/>
      <c r="J131" s="10" t="n"/>
      <c r="K131" s="10" t="n"/>
    </row>
    <row r="132" ht="18" customHeight="1" s="104">
      <c r="A132" s="74" t="n">
        <v>503</v>
      </c>
      <c r="B132" s="69" t="n">
        <v>32788793</v>
      </c>
      <c r="C132" s="8" t="inlineStr">
        <is>
          <t>CABIN - MID CABIN CARPET -  NO CALL     /      25-SVA-02 FRAYED CARPET , JUST BELOW MID PATITIONS AFT SIDE .</t>
        </is>
      </c>
      <c r="D132" s="9" t="inlineStr">
        <is>
          <t>GENERAL CABIN</t>
        </is>
      </c>
      <c r="E132" s="10" t="inlineStr">
        <is>
          <t>Open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inlineStr">
        <is>
          <t>CARPET R/R</t>
        </is>
      </c>
      <c r="J132" s="10" t="n"/>
      <c r="K132" s="10" t="inlineStr">
        <is>
          <t>FWD</t>
        </is>
      </c>
    </row>
    <row r="133" ht="18" customHeight="1" s="104">
      <c r="A133" s="74" t="n">
        <v>504</v>
      </c>
      <c r="B133" s="69" t="n">
        <v>32788801</v>
      </c>
      <c r="C133" s="8" t="inlineStr">
        <is>
          <t>CABIN - AFT LH CABINET -  NO CALL     /      25-SVA-02 COMPARTMENT  S302  , INNER BOTTOM RED LATCH LOOSE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04">
      <c r="A134" s="74" t="n">
        <v>505</v>
      </c>
      <c r="B134" s="69" t="n">
        <v>32788806</v>
      </c>
      <c r="C134" s="8" t="inlineStr">
        <is>
          <t>CABIN - AFT LH CABINET -  NO CALL     /      25-SVA-02 INSIDE COMPARTMENT  S303  , CART FOLDING RAMP HINGE PIN MIGRATED OUT ., + 1EA MISSING SCREW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04">
      <c r="A135" s="74" t="n">
        <v>508</v>
      </c>
      <c r="B135" s="69" t="n">
        <v>32788811</v>
      </c>
      <c r="C135" s="8" t="inlineStr">
        <is>
          <t>CABIN - AFT LH CABINET -  NO CALL     /      25-SVA-02 INSIDE OF  S303, AFT MID AREA RUB STRIP LOOSE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04">
      <c r="A136" s="74" t="n">
        <v>509</v>
      </c>
      <c r="B136" s="69" t="n">
        <v>32788813</v>
      </c>
      <c r="C136" s="8" t="inlineStr">
        <is>
          <t>CABIN - AFT LH CABINET -  NO CALL     /      25-SVA-02 COMPARTMENT  S304  ,  LATCH NOT LOCKING ON TABLE CART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04">
      <c r="A137" s="74" t="n">
        <v>510</v>
      </c>
      <c r="B137" s="69" t="n">
        <v>32788815</v>
      </c>
      <c r="C137" s="8" t="inlineStr">
        <is>
          <t>CABIN - AFT CABINETS LATCHES  -  NO CALL     /      25-SVA-02 COMPARTMENT DOORS  S303 &amp; C202  BOTTOM LOCKS , INNER PLATE  EACH WITH MISSING SCREW  .</t>
        </is>
      </c>
      <c r="D137" s="9" t="inlineStr">
        <is>
          <t>GENERAL CABIN</t>
        </is>
      </c>
      <c r="E137" s="10" t="inlineStr">
        <is>
          <t>Closed</t>
        </is>
      </c>
      <c r="F137" s="10" t="inlineStr">
        <is>
          <t>Normal</t>
        </is>
      </c>
      <c r="G137" s="9" t="inlineStr">
        <is>
          <t>CAB</t>
        </is>
      </c>
      <c r="H137" s="11" t="n"/>
      <c r="I137" s="10" t="n"/>
      <c r="J137" s="10" t="inlineStr">
        <is>
          <t>Yes</t>
        </is>
      </c>
      <c r="K137" s="10" t="inlineStr">
        <is>
          <t>AFT</t>
        </is>
      </c>
    </row>
    <row r="138" ht="15.6" customHeight="1" s="104">
      <c r="A138" s="74" t="inlineStr">
        <is>
          <t>506</t>
        </is>
      </c>
      <c r="B138" s="69" t="inlineStr">
        <is>
          <t>32788809</t>
        </is>
      </c>
      <c r="C138" s="95" t="inlineStr">
        <is>
          <t>S/M - AFT LH CABINET -    RII         /      25-SVA-02 COMPARTMENT S303, AFT POST , LOWER AREA  TRIM MISSING , &amp; WITH DELAMINATION AND MISSING HONEYCOMB . L=  3"    W=  0.3" 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S/M</t>
        </is>
      </c>
      <c r="H138" s="11" t="n"/>
      <c r="I138" s="91" t="inlineStr">
        <is>
          <t>REQ EVAL IF NEEDS PARTS</t>
        </is>
      </c>
      <c r="J138" s="10" t="n"/>
      <c r="K138" s="10" t="n"/>
    </row>
    <row r="139" ht="15.6" customHeight="1" s="104">
      <c r="A139" s="74" t="inlineStr">
        <is>
          <t>507</t>
        </is>
      </c>
      <c r="B139" s="69" t="inlineStr">
        <is>
          <t>32788810</t>
        </is>
      </c>
      <c r="C139" s="95" t="inlineStr">
        <is>
          <t>S/M - AFT LH CABINET -    RII         /      25-SVA-02 INSIDE COMPARTMENT  S303 , BULGE UNDER LOWER AFT RUB STRIP.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91" t="inlineStr">
        <is>
          <t>REQ R/R BY CABIN</t>
        </is>
      </c>
      <c r="J139" s="10" t="n"/>
      <c r="K139" s="10" t="n"/>
    </row>
    <row r="140" ht="18" customHeight="1" s="104">
      <c r="A140" s="74" t="n">
        <v>511</v>
      </c>
      <c r="B140" s="69" t="n">
        <v>32788817</v>
      </c>
      <c r="C140" s="95" t="inlineStr">
        <is>
          <t>CABIN - AFT  RH CABINET -  NO CALL     /      25-SVA-02 INSIDE OF COMPARTMENT  C202  , BOTTOM AREA , 3EA MOUNT COVERS MISSING .</t>
        </is>
      </c>
      <c r="D140" s="9" t="inlineStr">
        <is>
          <t>GENERAL CABIN</t>
        </is>
      </c>
      <c r="E140" s="10" t="inlineStr">
        <is>
          <t>Open</t>
        </is>
      </c>
      <c r="F140" s="10" t="inlineStr">
        <is>
          <t>AOG</t>
        </is>
      </c>
      <c r="G140" s="9" t="inlineStr">
        <is>
          <t>CAB</t>
        </is>
      </c>
      <c r="H140" s="11" t="inlineStr">
        <is>
          <t>Requested</t>
        </is>
      </c>
      <c r="I140" s="10" t="n"/>
      <c r="J140" s="10" t="n"/>
      <c r="K140" s="10" t="inlineStr">
        <is>
          <t>AFT</t>
        </is>
      </c>
    </row>
    <row r="141" ht="18" customHeight="1" s="104">
      <c r="A141" s="74" t="n">
        <v>512</v>
      </c>
      <c r="B141" s="69" t="n">
        <v>32788819</v>
      </c>
      <c r="C141" s="95" t="inlineStr">
        <is>
          <t>CABIN - AFT CURTAIN -  NO CALL     /      25-SVA-02 AFT CURTAIN RAIL LOOSE ON RH END .</t>
        </is>
      </c>
      <c r="D141" s="9" t="inlineStr">
        <is>
          <t>GENERAL CABIN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inlineStr">
        <is>
          <t>AFT</t>
        </is>
      </c>
    </row>
    <row r="142" ht="18" customHeight="1" s="104">
      <c r="A142" s="74" t="n">
        <v>538</v>
      </c>
      <c r="B142" s="69" t="n">
        <v>32791503</v>
      </c>
      <c r="C142" s="8" t="inlineStr">
        <is>
          <t>FINDING (NRC) JOBCARD STJC-20-00-00-01-GA-GO L1 DOOR LWR SIDE PNT FOUND FADED &amp; BLACK STAINS.</t>
        </is>
      </c>
      <c r="D142" s="9" t="inlineStr">
        <is>
          <t>GENERAL CABIN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PAINT</t>
        </is>
      </c>
      <c r="H142" s="11" t="n"/>
      <c r="I142" s="10" t="n"/>
      <c r="J142" s="10" t="n"/>
      <c r="K142" s="10" t="inlineStr">
        <is>
          <t>FWD</t>
        </is>
      </c>
    </row>
    <row r="143" ht="18" customHeight="1" s="104">
      <c r="A143" s="74" t="n">
        <v>564</v>
      </c>
      <c r="B143" s="69" t="n">
        <v>32401880</v>
      </c>
      <c r="C143" s="8" t="inlineStr">
        <is>
          <t>44-SVA-01 (00) / PANASONIC LEVEL 1 CHECK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AV</t>
        </is>
      </c>
      <c r="H143" s="11" t="n"/>
      <c r="I143" s="10" t="n"/>
      <c r="J143" s="10" t="n"/>
      <c r="K143" s="10" t="n"/>
    </row>
    <row r="144" ht="18" customHeight="1" s="104">
      <c r="A144" s="74" t="n">
        <v>565</v>
      </c>
      <c r="B144" s="69" t="n">
        <v>32395971</v>
      </c>
      <c r="C144" s="8" t="inlineStr">
        <is>
          <t>CCC-32S (03) / A32S CABIN CRITICAL CHECK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CAB</t>
        </is>
      </c>
      <c r="H144" s="11" t="n"/>
      <c r="I144" s="10" t="n"/>
      <c r="J144" s="10" t="n"/>
      <c r="K144" s="10" t="n"/>
    </row>
    <row r="145" ht="18" customHeight="1" s="104">
      <c r="A145" s="74" t="n">
        <v>566</v>
      </c>
      <c r="B145" s="69" t="n">
        <v>32349954</v>
      </c>
      <c r="C145" s="8" t="inlineStr">
        <is>
          <t>DCC-32S (11) / DCC A32S DAILY CABIN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CAB</t>
        </is>
      </c>
      <c r="H145" s="11" t="n"/>
      <c r="I145" s="10" t="n"/>
      <c r="J145" s="10" t="n"/>
      <c r="K145" s="10" t="n"/>
    </row>
    <row r="146" ht="18" customHeight="1" s="104">
      <c r="A146" s="74" t="n">
        <v>567</v>
      </c>
      <c r="B146" s="69" t="n">
        <v>32384091</v>
      </c>
      <c r="C146" s="8" t="inlineStr">
        <is>
          <t>ISC/IN SERVCE CHECK_N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AP</t>
        </is>
      </c>
      <c r="H146" s="11" t="n"/>
      <c r="I146" s="10" t="n"/>
      <c r="J146" s="10" t="n"/>
      <c r="K146" s="10" t="n"/>
    </row>
    <row r="147" ht="18" customHeight="1" s="104">
      <c r="A147" s="74" t="n">
        <v>570</v>
      </c>
      <c r="B147" s="69" t="n">
        <v>32721788</v>
      </c>
      <c r="C147" s="8" t="inlineStr">
        <is>
          <t>S44-R10249/PANASONIC JUNE 26 CYCLE</t>
        </is>
      </c>
      <c r="D147" s="9" t="inlineStr">
        <is>
          <t>TASK CARD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AV</t>
        </is>
      </c>
      <c r="H147" s="11" t="n"/>
      <c r="I147" s="10" t="n"/>
      <c r="J147" s="10" t="n"/>
      <c r="K147" s="10" t="n"/>
    </row>
    <row r="148" ht="18" customHeight="1" s="104">
      <c r="A148" s="74" t="n">
        <v>571</v>
      </c>
      <c r="B148" s="69" t="n">
        <v>32258914</v>
      </c>
      <c r="C148" s="8" t="inlineStr">
        <is>
          <t>W_N/WEEKLY CHECK</t>
        </is>
      </c>
      <c r="D148" s="9" t="inlineStr">
        <is>
          <t>TASK CARD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JOINT</t>
        </is>
      </c>
      <c r="H148" s="11" t="n"/>
      <c r="I148" s="10" t="n"/>
      <c r="J148" s="10" t="n"/>
      <c r="K148" s="10" t="n"/>
    </row>
    <row r="149" ht="18" customHeight="1" s="104">
      <c r="A149" s="74" t="n">
        <v>579</v>
      </c>
      <c r="B149" s="69" t="inlineStr">
        <is>
          <t>ISC-32S</t>
        </is>
      </c>
      <c r="C149" s="8" t="inlineStr">
        <is>
          <t>ISC-32S (13) / 32S IN-SERVEICE-CHECK (ISC)</t>
        </is>
      </c>
      <c r="D149" s="9" t="inlineStr">
        <is>
          <t>TASK CARD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JOINT</t>
        </is>
      </c>
      <c r="H149" s="11" t="n"/>
      <c r="I149" s="10" t="n"/>
      <c r="J149" s="10" t="n"/>
      <c r="K149" s="10" t="n"/>
    </row>
    <row r="150" ht="18" customHeight="1" s="104">
      <c r="A150" s="74" t="n">
        <v>580</v>
      </c>
      <c r="B150" s="69" t="n">
        <v>32793815</v>
      </c>
      <c r="C150" s="95" t="inlineStr">
        <is>
          <t>CAB-FWD RH FIRST AID KIT- RII FIRST AID KIT FWD RH, EXPIRT DATE IS WITHIN 6 MONTH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04">
      <c r="A151" s="74" t="n">
        <v>581</v>
      </c>
      <c r="B151" s="69" t="n">
        <v>32795576</v>
      </c>
      <c r="C151" s="95" t="inlineStr">
        <is>
          <t>CAB--AFT RH FIRST AID KIT- RII FIRST AID KIT AFT RH, EXPIRT DATE IS WITHIN 6 MONTH ON DEC/2026</t>
        </is>
      </c>
      <c r="D151" s="9" t="inlineStr">
        <is>
          <t>GENERAL CABIN</t>
        </is>
      </c>
      <c r="E151" s="10" t="inlineStr">
        <is>
          <t>Open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04">
      <c r="A152" s="74" t="n">
        <v>583</v>
      </c>
      <c r="B152" s="69" t="n">
        <v>32795656</v>
      </c>
      <c r="C152" s="8" t="inlineStr">
        <is>
          <t>CAB- CUTAIN RAIL-CALL BACK FWD CURTAIN HOOKS BROKEN 2EA</t>
        </is>
      </c>
      <c r="D152" s="9" t="inlineStr">
        <is>
          <t>GENERAL CABIN</t>
        </is>
      </c>
      <c r="E152" s="10" t="inlineStr">
        <is>
          <t>Closed</t>
        </is>
      </c>
      <c r="F152" s="10" t="inlineStr">
        <is>
          <t>Normal</t>
        </is>
      </c>
      <c r="G152" s="9" t="inlineStr">
        <is>
          <t>CAB</t>
        </is>
      </c>
      <c r="H152" s="11" t="n"/>
      <c r="I152" s="10" t="n"/>
      <c r="J152" s="10" t="inlineStr">
        <is>
          <t>Yes</t>
        </is>
      </c>
      <c r="K152" s="10" t="inlineStr">
        <is>
          <t>FWD</t>
        </is>
      </c>
    </row>
    <row r="153" ht="18" customHeight="1" s="104">
      <c r="A153" s="74" t="n">
        <v>584</v>
      </c>
      <c r="B153" s="69" t="n">
        <v>32796462</v>
      </c>
      <c r="C153" s="8" t="inlineStr">
        <is>
          <t>CAB- CUTAIN RAIL MID-CALL BACK MID DIVIDER CURTAIN HOOKS BROKEN AND STOPER MISSING.</t>
        </is>
      </c>
      <c r="D153" s="9" t="inlineStr">
        <is>
          <t>GENERAL CABIN</t>
        </is>
      </c>
      <c r="E153" s="10" t="inlineStr">
        <is>
          <t>Closed</t>
        </is>
      </c>
      <c r="F153" s="10" t="inlineStr">
        <is>
          <t>Normal</t>
        </is>
      </c>
      <c r="G153" s="9" t="inlineStr">
        <is>
          <t>CAB</t>
        </is>
      </c>
      <c r="H153" s="11" t="n"/>
      <c r="I153" s="10" t="n"/>
      <c r="J153" s="10" t="inlineStr">
        <is>
          <t>Yes</t>
        </is>
      </c>
      <c r="K153" s="10" t="inlineStr">
        <is>
          <t>FWD</t>
        </is>
      </c>
    </row>
    <row r="154" ht="18" customHeight="1" s="104">
      <c r="A154" s="74" t="n">
        <v>585</v>
      </c>
      <c r="B154" s="69" t="n">
        <v>32796473</v>
      </c>
      <c r="C154" s="8" t="inlineStr">
        <is>
          <t>CAB- CUTAIN RAIL AFT-CALL BACK AFT GALLEY CURTAIN STOPER MISSING</t>
        </is>
      </c>
      <c r="D154" s="9" t="inlineStr">
        <is>
          <t>GENERAL CABIN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n"/>
      <c r="I154" s="10" t="n"/>
      <c r="J154" s="10" t="inlineStr">
        <is>
          <t>Yes</t>
        </is>
      </c>
      <c r="K154" s="10" t="inlineStr">
        <is>
          <t>AFT</t>
        </is>
      </c>
    </row>
    <row r="155" ht="18" customHeight="1" s="104">
      <c r="A155" s="74" t="n">
        <v>586</v>
      </c>
      <c r="B155" s="69" t="inlineStr">
        <is>
          <t>WEEKLY-32S</t>
        </is>
      </c>
      <c r="C155" s="8" t="inlineStr">
        <is>
          <t>WEEKLY-32S (04) / WEEKLY 32S CHECK</t>
        </is>
      </c>
      <c r="D155" s="9" t="inlineStr">
        <is>
          <t>TASK CARD</t>
        </is>
      </c>
      <c r="E155" s="10" t="inlineStr">
        <is>
          <t>Open</t>
        </is>
      </c>
      <c r="F155" s="10" t="inlineStr">
        <is>
          <t>Normal</t>
        </is>
      </c>
      <c r="G155" s="9" t="inlineStr">
        <is>
          <t>JOINT</t>
        </is>
      </c>
      <c r="H155" s="11" t="n"/>
      <c r="I155" s="10" t="n"/>
      <c r="J155" s="10" t="n"/>
      <c r="K155" s="10" t="n"/>
    </row>
    <row r="156" ht="18" customHeight="1" s="104">
      <c r="A156" s="74" t="n">
        <v>587</v>
      </c>
      <c r="B156" s="69" t="n">
        <v>32796515</v>
      </c>
      <c r="C156" s="8" t="inlineStr">
        <is>
          <t>CAB-OXYGEN CYLINDER-RII AFT L/H OXYGEN CYLINDER MOUNT BRACKET DETACHED FROM WALL .</t>
        </is>
      </c>
      <c r="D156" s="9" t="inlineStr">
        <is>
          <t>GENERAL CABIN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S/M</t>
        </is>
      </c>
      <c r="H156" s="11" t="n"/>
      <c r="I156" s="10" t="inlineStr">
        <is>
          <t>REQ S/M</t>
        </is>
      </c>
      <c r="J156" s="10" t="inlineStr">
        <is>
          <t>N/A</t>
        </is>
      </c>
      <c r="K156" s="10" t="inlineStr">
        <is>
          <t>AFT</t>
        </is>
      </c>
    </row>
    <row r="157" ht="18" customHeight="1" s="104">
      <c r="A157" s="74" t="n">
        <v>589</v>
      </c>
      <c r="B157" s="69" t="n">
        <v>32796954</v>
      </c>
      <c r="C157" s="8" t="inlineStr">
        <is>
          <t>CAB - NO CALLBACK - LAV A LAVATORY A NURSING TABLE WITH MISSING BUMPER.</t>
        </is>
      </c>
      <c r="D157" s="9" t="inlineStr">
        <is>
          <t>LAVATORY</t>
        </is>
      </c>
      <c r="E157" s="10" t="inlineStr">
        <is>
          <t>Closed</t>
        </is>
      </c>
      <c r="F157" s="10" t="inlineStr">
        <is>
          <t>Normal</t>
        </is>
      </c>
      <c r="G157" s="9" t="inlineStr">
        <is>
          <t>CAB</t>
        </is>
      </c>
      <c r="H157" s="11" t="inlineStr">
        <is>
          <t>Requested</t>
        </is>
      </c>
      <c r="I157" s="10" t="n"/>
      <c r="J157" s="10" t="inlineStr">
        <is>
          <t>Yes</t>
        </is>
      </c>
      <c r="K157" s="10" t="inlineStr">
        <is>
          <t>FWD</t>
        </is>
      </c>
    </row>
    <row r="158" ht="18" customHeight="1" s="104">
      <c r="A158" s="74" t="n">
        <v>591</v>
      </c>
      <c r="B158" s="69" t="n">
        <v>32796966</v>
      </c>
      <c r="C158" s="8" t="inlineStr">
        <is>
          <t>CAB - NO CALLBACK - LAV A LAVATORY A SERVICE CABINET STORAGE DRAWER RUBBER SEAL NOT SECURED.</t>
        </is>
      </c>
      <c r="D158" s="9" t="inlineStr">
        <is>
          <t>LAVATORY</t>
        </is>
      </c>
      <c r="E158" s="10" t="inlineStr">
        <is>
          <t>Closed</t>
        </is>
      </c>
      <c r="F158" s="10" t="inlineStr">
        <is>
          <t>Normal</t>
        </is>
      </c>
      <c r="G158" s="9" t="inlineStr">
        <is>
          <t>CAB</t>
        </is>
      </c>
      <c r="H158" s="11" t="inlineStr">
        <is>
          <t>N/R</t>
        </is>
      </c>
      <c r="I158" s="10" t="n"/>
      <c r="J158" s="10" t="inlineStr">
        <is>
          <t>Yes</t>
        </is>
      </c>
      <c r="K158" s="10" t="inlineStr">
        <is>
          <t>FWD</t>
        </is>
      </c>
    </row>
    <row r="159" ht="18" customHeight="1" s="104">
      <c r="A159" s="74" t="n">
        <v>593</v>
      </c>
      <c r="B159" s="69" t="n">
        <v>32796982</v>
      </c>
      <c r="C159" s="8" t="inlineStr">
        <is>
          <t>CAB - NO CALLBACK - LAV A "LAVATORY A" TOILET SHROUD WITH MISSING 2 EA SCREWS.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JOINT</t>
        </is>
      </c>
      <c r="H159" s="11" t="inlineStr">
        <is>
          <t>Requested</t>
        </is>
      </c>
      <c r="I159" s="91" t="inlineStr">
        <is>
          <t>REQ S/M</t>
        </is>
      </c>
      <c r="J159" s="10" t="inlineStr">
        <is>
          <t>Yes</t>
        </is>
      </c>
      <c r="K159" s="10" t="inlineStr">
        <is>
          <t>FWD</t>
        </is>
      </c>
    </row>
    <row r="160" ht="18" customHeight="1" s="104">
      <c r="A160" s="74" t="n">
        <v>594</v>
      </c>
      <c r="B160" s="69" t="n">
        <v>32796995</v>
      </c>
      <c r="C160" s="8" t="inlineStr">
        <is>
          <t>CAB - NO CALLBACK - LAV A LAVATORY A TOILET PAPER DISPENSER COVER COLOR FADED.</t>
        </is>
      </c>
      <c r="D160" s="9" t="inlineStr">
        <is>
          <t>LAVATORY</t>
        </is>
      </c>
      <c r="E160" s="10" t="inlineStr">
        <is>
          <t>Closed</t>
        </is>
      </c>
      <c r="F160" s="10" t="inlineStr">
        <is>
          <t>Normal</t>
        </is>
      </c>
      <c r="G160" s="9" t="inlineStr">
        <is>
          <t>PAINT</t>
        </is>
      </c>
      <c r="H160" s="11" t="n"/>
      <c r="I160" s="10" t="inlineStr">
        <is>
          <t>C/W</t>
        </is>
      </c>
      <c r="J160" s="10" t="n"/>
      <c r="K160" s="10" t="inlineStr">
        <is>
          <t>FWD</t>
        </is>
      </c>
    </row>
    <row r="161" ht="18" customHeight="1" s="104">
      <c r="A161" s="74" t="n">
        <v>596</v>
      </c>
      <c r="B161" s="69" t="n">
        <v>32796996</v>
      </c>
      <c r="C161" s="8" t="inlineStr">
        <is>
          <t>CAB - NO CALLBACK - LAV E "LAVATORY E" TOILET SHROUD NOT SECURED.</t>
        </is>
      </c>
      <c r="D161" s="9" t="inlineStr">
        <is>
          <t>LAVATORY</t>
        </is>
      </c>
      <c r="E161" s="10" t="inlineStr">
        <is>
          <t>Open</t>
        </is>
      </c>
      <c r="F161" s="10" t="inlineStr">
        <is>
          <t>Normal</t>
        </is>
      </c>
      <c r="G161" s="9" t="inlineStr">
        <is>
          <t>JOINT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04">
      <c r="A162" s="74" t="n">
        <v>597</v>
      </c>
      <c r="B162" s="69" t="n">
        <v>32797001</v>
      </c>
      <c r="C162" s="8" t="inlineStr">
        <is>
          <t>PNT - NO CALLBACK - LAV E "LAVATORY E" TOILET SHROUD COVER DISCOLOURED.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PAINT</t>
        </is>
      </c>
      <c r="H162" s="11" t="n"/>
      <c r="I162" s="10" t="n"/>
      <c r="J162" s="10" t="n"/>
      <c r="K162" s="10" t="inlineStr">
        <is>
          <t>AFT</t>
        </is>
      </c>
    </row>
    <row r="163" ht="18" customHeight="1" s="104">
      <c r="A163" s="74" t="n">
        <v>598</v>
      </c>
      <c r="B163" s="69" t="n">
        <v>32797014</v>
      </c>
      <c r="C163" s="8" t="inlineStr">
        <is>
          <t>CAB - NO CALLBACK - LAV E "LAVATORY E" NURSING TABLE WITH MISSING BUMPER.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04">
      <c r="A164" s="74" t="n">
        <v>599</v>
      </c>
      <c r="B164" s="69" t="n">
        <v>32797104</v>
      </c>
      <c r="C164" s="8" t="inlineStr">
        <is>
          <t>CAB - NO CALLBACK - LAV E "LAVATORY E" AIR VENTILATION GRILLE BROKEN.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Requested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04">
      <c r="A165" s="74" t="n">
        <v>600</v>
      </c>
      <c r="B165" s="69" t="n">
        <v>32797124</v>
      </c>
      <c r="C165" s="8" t="inlineStr">
        <is>
          <t>CAB - NO CALLBACK - LAV D "LAVATORY D" TOILET SHROUD COVER NOT SECURED.</t>
        </is>
      </c>
      <c r="D165" s="9" t="inlineStr">
        <is>
          <t>LAVATORY</t>
        </is>
      </c>
      <c r="E165" s="10" t="inlineStr">
        <is>
          <t>Open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Requested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04">
      <c r="A166" s="74" t="n">
        <v>601</v>
      </c>
      <c r="B166" s="69" t="n">
        <v>32797137</v>
      </c>
      <c r="C166" s="8" t="inlineStr">
        <is>
          <t>CAB - NO CALLBACK - LAV D "LAVATORY D" TOILET PAPER ROLLER IS MISSING.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04">
      <c r="A167" s="74" t="n">
        <v>602</v>
      </c>
      <c r="B167" s="69" t="n">
        <v>32797145</v>
      </c>
      <c r="C167" s="8" t="inlineStr">
        <is>
          <t>CAB - NO CALLBACK - LAV D "LAVATORY D" SINK SIEVE NOT SECURED.</t>
        </is>
      </c>
      <c r="D167" s="9" t="inlineStr">
        <is>
          <t>LAVATORY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N/R</t>
        </is>
      </c>
      <c r="I167" s="10" t="n"/>
      <c r="J167" s="10" t="inlineStr">
        <is>
          <t>Yes</t>
        </is>
      </c>
      <c r="K167" s="10" t="inlineStr">
        <is>
          <t>AFT</t>
        </is>
      </c>
    </row>
    <row r="168" ht="18" customHeight="1" s="104">
      <c r="A168" s="74" t="n">
        <v>603</v>
      </c>
      <c r="B168" s="69" t="n">
        <v>32797156</v>
      </c>
      <c r="C168" s="8" t="inlineStr">
        <is>
          <t>CAB - NO CALLBACK - LAV D "LAVATORY D" WASHBASIN SINK DRAINAGE RESTRICTION.</t>
        </is>
      </c>
      <c r="D168" s="9" t="inlineStr">
        <is>
          <t>LAVATORY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N/R</t>
        </is>
      </c>
      <c r="I168" s="10" t="n"/>
      <c r="J168" s="10" t="inlineStr">
        <is>
          <t>Yes</t>
        </is>
      </c>
      <c r="K168" s="10" t="inlineStr">
        <is>
          <t>AFT</t>
        </is>
      </c>
    </row>
    <row r="169" ht="18" customHeight="1" s="104">
      <c r="A169" s="74" t="n">
        <v>604</v>
      </c>
      <c r="B169" s="69" t="n">
        <v>32797165</v>
      </c>
      <c r="C169" s="8" t="inlineStr">
        <is>
          <t>CAB - NO CALLBACK - LAV D "LAVATORY D" DOOR HANDLE IS LOOSE.</t>
        </is>
      </c>
      <c r="D169" s="9" t="inlineStr">
        <is>
          <t>LAVATORY</t>
        </is>
      </c>
      <c r="E169" s="10" t="inlineStr">
        <is>
          <t>Closed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AFT</t>
        </is>
      </c>
    </row>
    <row r="170" ht="18" customHeight="1" s="104">
      <c r="A170" s="74" t="n">
        <v>605</v>
      </c>
      <c r="B170" s="69" t="n">
        <v>32797176</v>
      </c>
      <c r="C170" s="8" t="inlineStr">
        <is>
          <t>CAB - NO CALLBACK - FWD GALLEY G1 GALLEY CART TURN CATCH AT 109 AND 111 FOUND LOOSE.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04">
      <c r="A171" s="74" t="n">
        <v>606</v>
      </c>
      <c r="B171" s="69" t="n">
        <v>32797185</v>
      </c>
      <c r="C171" s="8" t="inlineStr">
        <is>
          <t>CAB - NO CALLBACK - FWD GALLEY FWD GALLEY CART COMPT. 109 MID LATCH LEVER IS MISSING.</t>
        </is>
      </c>
      <c r="D171" s="9" t="inlineStr">
        <is>
          <t>GALLEY</t>
        </is>
      </c>
      <c r="E171" s="10" t="inlineStr">
        <is>
          <t>Closed</t>
        </is>
      </c>
      <c r="F171" s="10" t="inlineStr">
        <is>
          <t>Normal</t>
        </is>
      </c>
      <c r="G171" s="9" t="inlineStr">
        <is>
          <t>CAB</t>
        </is>
      </c>
      <c r="H171" s="11" t="inlineStr">
        <is>
          <t>Requested</t>
        </is>
      </c>
      <c r="I171" s="10" t="n"/>
      <c r="J171" s="10" t="inlineStr">
        <is>
          <t>Yes</t>
        </is>
      </c>
      <c r="K171" s="10" t="inlineStr">
        <is>
          <t>FWD</t>
        </is>
      </c>
    </row>
    <row r="172" ht="18" customHeight="1" s="104">
      <c r="A172" s="74" t="n">
        <v>607</v>
      </c>
      <c r="B172" s="69" t="n">
        <v>32797195</v>
      </c>
      <c r="C172" s="8" t="inlineStr">
        <is>
          <t>CAB - NO CALLBACK - FWD GALLEY FWD GALLEY COUNTERTOP SEALANT DETERIORATED.</t>
        </is>
      </c>
      <c r="D172" s="9" t="inlineStr">
        <is>
          <t>GALLEY</t>
        </is>
      </c>
      <c r="E172" s="10" t="inlineStr">
        <is>
          <t>Open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Requested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04">
      <c r="A173" s="74" t="n">
        <v>608</v>
      </c>
      <c r="B173" s="69" t="n">
        <v>32797223</v>
      </c>
      <c r="C173" s="8" t="inlineStr">
        <is>
          <t>CAB - NO CALLBACK - FWD GALLEY G2 GALLEY COMPT. 211 LOWER BUMPER IS MISSING.</t>
        </is>
      </c>
      <c r="D173" s="9" t="inlineStr">
        <is>
          <t>GALLEY</t>
        </is>
      </c>
      <c r="E173" s="10" t="inlineStr">
        <is>
          <t>Closed</t>
        </is>
      </c>
      <c r="F173" s="10" t="inlineStr">
        <is>
          <t>Normal</t>
        </is>
      </c>
      <c r="G173" s="9" t="inlineStr">
        <is>
          <t>CAB</t>
        </is>
      </c>
      <c r="H173" s="11" t="inlineStr">
        <is>
          <t>Requested</t>
        </is>
      </c>
      <c r="I173" s="10" t="n"/>
      <c r="J173" s="10" t="inlineStr">
        <is>
          <t>Yes</t>
        </is>
      </c>
      <c r="K173" s="10" t="inlineStr">
        <is>
          <t>FWD</t>
        </is>
      </c>
    </row>
    <row r="174" ht="18" customHeight="1" s="104">
      <c r="A174" s="74" t="n">
        <v>609</v>
      </c>
      <c r="B174" s="69" t="n">
        <v>32797267</v>
      </c>
      <c r="C174" s="8" t="inlineStr">
        <is>
          <t>CAB - NO CALLBACK - FWD GALLEY G2 GALLEY FOOTSTEP FOUND INOP.</t>
        </is>
      </c>
      <c r="D174" s="9" t="inlineStr">
        <is>
          <t>GALLEY</t>
        </is>
      </c>
      <c r="E174" s="10" t="inlineStr">
        <is>
          <t>Closed</t>
        </is>
      </c>
      <c r="F174" s="10" t="inlineStr">
        <is>
          <t>AOG</t>
        </is>
      </c>
      <c r="G174" s="9" t="inlineStr">
        <is>
          <t>CAB</t>
        </is>
      </c>
      <c r="H174" s="11" t="inlineStr">
        <is>
          <t>Requested</t>
        </is>
      </c>
      <c r="I174" s="10" t="inlineStr">
        <is>
          <t>P/S 4468689</t>
        </is>
      </c>
      <c r="J174" s="10" t="n"/>
      <c r="K174" s="10" t="inlineStr">
        <is>
          <t>FWD</t>
        </is>
      </c>
    </row>
    <row r="175" ht="18" customHeight="1" s="104">
      <c r="A175" s="74" t="n">
        <v>610</v>
      </c>
      <c r="B175" s="69" t="n">
        <v>32797278</v>
      </c>
      <c r="C175" s="8" t="inlineStr">
        <is>
          <t>CAB - NO CALLBACK - FWD GALLEY G2 GALLEY COMPT. 210 DOOR LOCK LOOSE.</t>
        </is>
      </c>
      <c r="D175" s="9" t="inlineStr">
        <is>
          <t>GALLEY</t>
        </is>
      </c>
      <c r="E175" s="10" t="inlineStr">
        <is>
          <t>Closed</t>
        </is>
      </c>
      <c r="F175" s="10" t="inlineStr">
        <is>
          <t>Normal</t>
        </is>
      </c>
      <c r="G175" s="9" t="inlineStr">
        <is>
          <t>CAB</t>
        </is>
      </c>
      <c r="H175" s="11" t="inlineStr">
        <is>
          <t>N/R</t>
        </is>
      </c>
      <c r="I175" s="10" t="n"/>
      <c r="J175" s="10" t="inlineStr">
        <is>
          <t>Yes</t>
        </is>
      </c>
      <c r="K175" s="10" t="inlineStr">
        <is>
          <t>FWD</t>
        </is>
      </c>
    </row>
    <row r="176" ht="18" customHeight="1" s="104">
      <c r="A176" s="74" t="n">
        <v>611</v>
      </c>
      <c r="B176" s="69" t="n">
        <v>32797284</v>
      </c>
      <c r="C176" s="8" t="inlineStr">
        <is>
          <t>CAB - NO CALLBACK - AFT GALLEY AFT GALLEY COMPT. 501 DOOR HINGE BROKEN.</t>
        </is>
      </c>
      <c r="D176" s="9" t="inlineStr">
        <is>
          <t>GALLEY</t>
        </is>
      </c>
      <c r="E176" s="10" t="inlineStr">
        <is>
          <t>Open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Requested</t>
        </is>
      </c>
      <c r="I176" s="10" t="n"/>
      <c r="J176" s="10" t="n"/>
      <c r="K176" s="10" t="inlineStr">
        <is>
          <t>AFT</t>
        </is>
      </c>
    </row>
    <row r="177" ht="18" customHeight="1" s="104">
      <c r="A177" s="74" t="n">
        <v>612</v>
      </c>
      <c r="B177" s="69" t="n">
        <v>32797296</v>
      </c>
      <c r="C177" s="8" t="inlineStr">
        <is>
          <t>PNT - NO CALLBACK - AFT GALLEY AFT GALLEY ALL OVENS REQUIRE PAINT.</t>
        </is>
      </c>
      <c r="D177" s="9" t="inlineStr">
        <is>
          <t>GALLEY</t>
        </is>
      </c>
      <c r="E177" s="10" t="inlineStr">
        <is>
          <t>Open</t>
        </is>
      </c>
      <c r="F177" s="10" t="inlineStr">
        <is>
          <t>Normal</t>
        </is>
      </c>
      <c r="G177" s="9" t="inlineStr">
        <is>
          <t>PAINT</t>
        </is>
      </c>
      <c r="H177" s="11" t="n"/>
      <c r="I177" s="10" t="n"/>
      <c r="J177" s="10" t="n"/>
      <c r="K177" s="10" t="inlineStr">
        <is>
          <t>AFT</t>
        </is>
      </c>
    </row>
    <row r="178" ht="18" customHeight="1" s="104">
      <c r="A178" s="74" t="n">
        <v>613</v>
      </c>
      <c r="B178" s="69" t="n">
        <v>32797302</v>
      </c>
      <c r="C178" s="8" t="inlineStr">
        <is>
          <t>PNT - NO CALLBACK - FWD GALLEY FWD GALLEY OVENS REQUIRE PAINT.</t>
        </is>
      </c>
      <c r="D178" s="9" t="inlineStr">
        <is>
          <t>GALLEY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PAINT</t>
        </is>
      </c>
      <c r="H178" s="11" t="n"/>
      <c r="I178" s="10" t="n"/>
      <c r="J178" s="10" t="n"/>
      <c r="K178" s="10" t="inlineStr">
        <is>
          <t>FWD</t>
        </is>
      </c>
    </row>
    <row r="179" ht="18" customHeight="1" s="104">
      <c r="A179" s="74" t="n">
        <v>614</v>
      </c>
      <c r="B179" s="69" t="n">
        <v>32797315</v>
      </c>
      <c r="C179" s="8" t="inlineStr">
        <is>
          <t>CAB - NO CALLBACK - OSB MOST FWD VIDEO EQUIPMENT OVERHEAD STOWAGE DOOR OPENS FAST.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N/R</t>
        </is>
      </c>
      <c r="I179" s="10" t="n"/>
      <c r="J179" s="10" t="inlineStr">
        <is>
          <t>Yes</t>
        </is>
      </c>
      <c r="K179" s="10" t="inlineStr">
        <is>
          <t>FWD</t>
        </is>
      </c>
    </row>
    <row r="180" ht="18" customHeight="1" s="104">
      <c r="A180" s="74" t="n">
        <v>615</v>
      </c>
      <c r="B180" s="69" t="n">
        <v>32797329</v>
      </c>
      <c r="C180" s="8" t="inlineStr">
        <is>
          <t>CAB - NO CALLBACK - OSB MOST FWD RH MEDICAL KIT OVERHEAD STOWAGE BIN WITH INSIDE DENT.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N/R</t>
        </is>
      </c>
      <c r="I180" s="10" t="n"/>
      <c r="J180" s="10" t="inlineStr">
        <is>
          <t>Yes</t>
        </is>
      </c>
      <c r="K180" s="10" t="inlineStr">
        <is>
          <t>FWD</t>
        </is>
      </c>
    </row>
    <row r="181" ht="18" customHeight="1" s="104">
      <c r="A181" s="74" t="n">
        <v>616</v>
      </c>
      <c r="B181" s="69" t="n">
        <v>32797333</v>
      </c>
      <c r="C181" s="8" t="inlineStr">
        <is>
          <t>CAB - NO CALLBACK - OSB OSB DOOR WITH INSIDE DENT AT 1AC, 3AC, 4LJ, 5LJ, FWD OF 30JKL, 30 ABC AND 44 JKL.</t>
        </is>
      </c>
      <c r="D181" s="9" t="inlineStr">
        <is>
          <t>GENERAL CABIN</t>
        </is>
      </c>
      <c r="E181" s="10" t="inlineStr">
        <is>
          <t>Open</t>
        </is>
      </c>
      <c r="F181" s="10" t="inlineStr">
        <is>
          <t>Normal</t>
        </is>
      </c>
      <c r="G181" s="9" t="inlineStr">
        <is>
          <t>CAB</t>
        </is>
      </c>
      <c r="H181" s="11" t="n"/>
      <c r="I181" s="10" t="inlineStr">
        <is>
          <t>SENT TO PAINT</t>
        </is>
      </c>
      <c r="J181" s="10" t="n"/>
      <c r="K181" s="10" t="inlineStr">
        <is>
          <t>JOINT</t>
        </is>
      </c>
    </row>
    <row r="182" ht="18" customHeight="1" s="104">
      <c r="A182" s="74" t="n">
        <v>617</v>
      </c>
      <c r="B182" s="69" t="n">
        <v>32797337</v>
      </c>
      <c r="C182" s="8" t="inlineStr">
        <is>
          <t>CAB - NO CALLBACK - OSB OSB DOOR MISSING WITH RUBBER BUMPER AT 1AC, 4LJ, 4AC, 5LJ, FWD OF 30 JKL, 30ABC, 31ABC AND 33ABC.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JOINT</t>
        </is>
      </c>
    </row>
    <row r="183" ht="18" customHeight="1" s="104">
      <c r="A183" s="74" t="n">
        <v>618</v>
      </c>
      <c r="B183" s="69" t="n">
        <v>32797381</v>
      </c>
      <c r="C183" s="8" t="inlineStr">
        <is>
          <t>CAB - NO CALLBACK - OSB DOOR WITH MISSING RUBBER BUMPER AT 34ABC, 37ABC, 38ABC, 40JKL, 41JKL, 42JKL, 44JKL AND 44ABC.</t>
        </is>
      </c>
      <c r="D183" s="9" t="inlineStr">
        <is>
          <t>GENERAL CABIN</t>
        </is>
      </c>
      <c r="E183" s="10" t="inlineStr">
        <is>
          <t>Closed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Requested</t>
        </is>
      </c>
      <c r="I183" s="10" t="n"/>
      <c r="J183" s="10" t="inlineStr">
        <is>
          <t>Yes</t>
        </is>
      </c>
      <c r="K183" s="10" t="inlineStr">
        <is>
          <t>JOINT</t>
        </is>
      </c>
    </row>
    <row r="184" ht="18" customHeight="1" s="104">
      <c r="A184" s="74" t="n">
        <v>619</v>
      </c>
      <c r="B184" s="69" t="n">
        <v>32797382</v>
      </c>
      <c r="C184" s="8" t="inlineStr">
        <is>
          <t>CAB - NO CALLBACK - OSB OSB WITH MISSING UPPER BUMPER AT 1AC, 5AC, 5LJ, 30JKL, 32JKL, 33JKL, 33JKL AND 34ABC.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Requested</t>
        </is>
      </c>
      <c r="I184" s="10" t="n"/>
      <c r="J184" s="10" t="inlineStr">
        <is>
          <t>Yes</t>
        </is>
      </c>
      <c r="K184" s="10" t="inlineStr">
        <is>
          <t>JOINT</t>
        </is>
      </c>
    </row>
    <row r="185" ht="18" customHeight="1" s="104">
      <c r="A185" s="74" t="n">
        <v>620</v>
      </c>
      <c r="B185" s="69" t="n">
        <v>32797384</v>
      </c>
      <c r="C185" s="8" t="inlineStr">
        <is>
          <t>CAB - NO CALLBACK - OSB OSB WITH MISSING UPPER BUMPER AT 36ABC, 38ABC, 38JKL, 40JKL, 40ABC, 41JKL AND 42JKL.</t>
        </is>
      </c>
      <c r="D185" s="9" t="inlineStr">
        <is>
          <t>GENERAL CABIN</t>
        </is>
      </c>
      <c r="E185" s="10" t="inlineStr">
        <is>
          <t>Closed</t>
        </is>
      </c>
      <c r="F185" s="10" t="inlineStr">
        <is>
          <t>Normal</t>
        </is>
      </c>
      <c r="G185" s="9" t="inlineStr">
        <is>
          <t>CAB</t>
        </is>
      </c>
      <c r="H185" s="11" t="inlineStr">
        <is>
          <t>Requested</t>
        </is>
      </c>
      <c r="I185" s="10" t="n"/>
      <c r="J185" s="10" t="inlineStr">
        <is>
          <t>Yes</t>
        </is>
      </c>
      <c r="K185" s="10" t="inlineStr">
        <is>
          <t>AFT</t>
        </is>
      </c>
    </row>
    <row r="186" ht="18" customHeight="1" s="104">
      <c r="A186" s="74" t="n">
        <v>621</v>
      </c>
      <c r="B186" s="69" t="n">
        <v>32797396</v>
      </c>
      <c r="C186" s="8" t="inlineStr">
        <is>
          <t>CAB - NO CALLBACK - OSB OSB SIDE TRIM BROKEN AT 4LJ AND 39 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n"/>
      <c r="J186" s="10" t="inlineStr">
        <is>
          <t>Yes</t>
        </is>
      </c>
      <c r="K186" s="10" t="inlineStr">
        <is>
          <t>AFT</t>
        </is>
      </c>
    </row>
    <row r="187" ht="18" customHeight="1" s="104">
      <c r="A187" s="74" t="n">
        <v>622</v>
      </c>
      <c r="B187" s="69" t="n">
        <v>32797399</v>
      </c>
      <c r="C187" s="8" t="inlineStr">
        <is>
          <t>CAB - NO CALLBACK - OSB OSB UPPER TRIM BROKEN AT 30ABC.</t>
        </is>
      </c>
      <c r="D187" s="9" t="inlineStr">
        <is>
          <t>GENERAL CABIN</t>
        </is>
      </c>
      <c r="E187" s="10" t="inlineStr">
        <is>
          <t>Closed</t>
        </is>
      </c>
      <c r="F187" s="10" t="inlineStr">
        <is>
          <t>Normal</t>
        </is>
      </c>
      <c r="G187" s="9" t="inlineStr">
        <is>
          <t>CAB</t>
        </is>
      </c>
      <c r="H187" s="11" t="inlineStr">
        <is>
          <t>Requested</t>
        </is>
      </c>
      <c r="I187" s="10" t="n"/>
      <c r="J187" s="10" t="inlineStr">
        <is>
          <t>Yes</t>
        </is>
      </c>
      <c r="K187" s="10" t="inlineStr">
        <is>
          <t>FWD</t>
        </is>
      </c>
    </row>
    <row r="188" ht="18" customHeight="1" s="104">
      <c r="A188" s="74" t="n">
        <v>623</v>
      </c>
      <c r="B188" s="69" t="n">
        <v>32797402</v>
      </c>
      <c r="C188" s="8" t="inlineStr">
        <is>
          <t>CAB - NO CALLBACK - OSB OSB HANDRAIL BROKEN AT 34ABC, 30JKL.</t>
        </is>
      </c>
      <c r="D188" s="9" t="inlineStr">
        <is>
          <t>GENERAL CABIN</t>
        </is>
      </c>
      <c r="E188" s="10" t="inlineStr">
        <is>
          <t>Open</t>
        </is>
      </c>
      <c r="F188" s="10" t="inlineStr">
        <is>
          <t>AOG</t>
        </is>
      </c>
      <c r="G188" s="9" t="inlineStr">
        <is>
          <t>CAB</t>
        </is>
      </c>
      <c r="H188" s="11" t="inlineStr">
        <is>
          <t>Requested</t>
        </is>
      </c>
      <c r="I188" s="10" t="inlineStr">
        <is>
          <t>34ABC INSTALLED, 30JKL STILL AOG</t>
        </is>
      </c>
      <c r="J188" s="10" t="n"/>
      <c r="K188" s="10" t="inlineStr">
        <is>
          <t>AFT</t>
        </is>
      </c>
    </row>
    <row r="189" ht="18" customHeight="1" s="104">
      <c r="A189" s="74" t="n">
        <v>624</v>
      </c>
      <c r="B189" s="69" t="n">
        <v>32797436</v>
      </c>
      <c r="C189" s="8" t="inlineStr">
        <is>
          <t>CAB - NO CALLBACK - OSB OSB HANDRAIL SEAT MARKING CLEAR PLASTIC PIECE BROKEN AT 3AC AND 31JKL.</t>
        </is>
      </c>
      <c r="D189" s="9" t="inlineStr">
        <is>
          <t>GENERAL CABIN</t>
        </is>
      </c>
      <c r="E189" s="10" t="inlineStr">
        <is>
          <t>Closed</t>
        </is>
      </c>
      <c r="F189" s="10" t="inlineStr">
        <is>
          <t>Normal</t>
        </is>
      </c>
      <c r="G189" s="9" t="inlineStr">
        <is>
          <t>CAB</t>
        </is>
      </c>
      <c r="H189" s="11" t="inlineStr">
        <is>
          <t>Requested</t>
        </is>
      </c>
      <c r="I189" s="10" t="n"/>
      <c r="J189" s="10" t="inlineStr">
        <is>
          <t>Yes</t>
        </is>
      </c>
      <c r="K189" s="10" t="inlineStr">
        <is>
          <t>AFT</t>
        </is>
      </c>
    </row>
    <row r="190" ht="18" customHeight="1" s="104">
      <c r="A190" s="74" t="n">
        <v>645</v>
      </c>
      <c r="B190" s="69" t="n">
        <v>32798020</v>
      </c>
      <c r="C190" s="8" t="inlineStr">
        <is>
          <t>FINDING (NRC) TASKCARD 25-SVA-08 (00) / ITEM ONE L1 F/A LEFT SIDE NEEDS PAINT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FWD</t>
        </is>
      </c>
    </row>
    <row r="191" ht="18" customHeight="1" s="104">
      <c r="A191" s="74" t="n">
        <v>646</v>
      </c>
      <c r="B191" s="69" t="n">
        <v>32798034</v>
      </c>
      <c r="C191" s="8" t="inlineStr">
        <is>
          <t>FINDING (NRC) TASKCARD 25-SVA-08 (00) / ITEM ONE L1 F/A RIGHT SIDE NEEDS PAINT</t>
        </is>
      </c>
      <c r="D191" s="9" t="inlineStr">
        <is>
          <t>F/A SEAT</t>
        </is>
      </c>
      <c r="E191" s="10" t="inlineStr">
        <is>
          <t>Open</t>
        </is>
      </c>
      <c r="F191" s="10" t="inlineStr">
        <is>
          <t>Normal</t>
        </is>
      </c>
      <c r="G191" s="9" t="inlineStr">
        <is>
          <t>PAINT</t>
        </is>
      </c>
      <c r="H191" s="11" t="n"/>
      <c r="I191" s="10" t="n"/>
      <c r="J191" s="10" t="n"/>
      <c r="K191" s="10" t="inlineStr">
        <is>
          <t>FWD</t>
        </is>
      </c>
    </row>
    <row r="192" ht="18" customHeight="1" s="104">
      <c r="A192" s="74" t="n">
        <v>648</v>
      </c>
      <c r="B192" s="69" t="n">
        <v>32798035</v>
      </c>
      <c r="C192" s="8" t="inlineStr">
        <is>
          <t>CAB NO CALL BACK F/A R2 R/H F/A SEAT COLOUR FADED</t>
        </is>
      </c>
      <c r="D192" s="9" t="inlineStr">
        <is>
          <t>F/A SEAT</t>
        </is>
      </c>
      <c r="E192" s="10" t="inlineStr">
        <is>
          <t>Open</t>
        </is>
      </c>
      <c r="F192" s="10" t="inlineStr">
        <is>
          <t>Normal</t>
        </is>
      </c>
      <c r="G192" s="9" t="inlineStr">
        <is>
          <t>PAINT</t>
        </is>
      </c>
      <c r="H192" s="11" t="n"/>
      <c r="I192" s="10" t="n"/>
      <c r="J192" s="10" t="n"/>
      <c r="K192" s="10" t="inlineStr">
        <is>
          <t>AFT</t>
        </is>
      </c>
    </row>
    <row r="193" ht="18" customHeight="1" s="104">
      <c r="A193" s="74" t="n">
        <v>649</v>
      </c>
      <c r="B193" s="69" t="n">
        <v>32798041</v>
      </c>
      <c r="C193" s="8" t="inlineStr">
        <is>
          <t>CAB NO CALL BACK PAINT L2 L/H F/A SEAT COLOUR FADED</t>
        </is>
      </c>
      <c r="D193" s="9" t="inlineStr">
        <is>
          <t>F/A SEAT</t>
        </is>
      </c>
      <c r="E193" s="10" t="inlineStr">
        <is>
          <t>Open</t>
        </is>
      </c>
      <c r="F193" s="10" t="inlineStr">
        <is>
          <t>Normal</t>
        </is>
      </c>
      <c r="G193" s="9" t="inlineStr">
        <is>
          <t>PAINT</t>
        </is>
      </c>
      <c r="H193" s="11" t="n"/>
      <c r="I193" s="10" t="n"/>
      <c r="J193" s="10" t="n"/>
      <c r="K193" s="10" t="inlineStr">
        <is>
          <t>AFT</t>
        </is>
      </c>
    </row>
    <row r="194" ht="18" customHeight="1" s="104">
      <c r="A194" s="74" t="n">
        <v>650</v>
      </c>
      <c r="B194" s="69" t="n">
        <v>32798047</v>
      </c>
      <c r="C194" s="8" t="inlineStr">
        <is>
          <t>CAB NO CALL BACK L1 L/H F/A SEAT CUSHION HEAD PEN MARK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04">
      <c r="A195" s="74" t="n">
        <v>653</v>
      </c>
      <c r="B195" s="69" t="n">
        <v>32798059</v>
      </c>
      <c r="C195" s="8" t="inlineStr">
        <is>
          <t>CAB NO CALL BACK L1 L/H F/A SEAT  UPPER BACK CUSHION PEN MARK</t>
        </is>
      </c>
      <c r="D195" s="9" t="inlineStr">
        <is>
          <t>F/A SEAT</t>
        </is>
      </c>
      <c r="E195" s="10" t="inlineStr">
        <is>
          <t>Closed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10" t="n"/>
      <c r="J195" s="10" t="inlineStr">
        <is>
          <t>Yes</t>
        </is>
      </c>
      <c r="K195" s="10" t="inlineStr">
        <is>
          <t>FWD</t>
        </is>
      </c>
    </row>
    <row r="196" ht="18" customHeight="1" s="104">
      <c r="A196" s="74" t="n">
        <v>655</v>
      </c>
      <c r="B196" s="69" t="n">
        <v>32798062</v>
      </c>
      <c r="C196" s="8" t="inlineStr">
        <is>
          <t>CAB NO CALL BACK L1 L/H F/A SEAT BOTTOM CUSHION PEN MARK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10" t="n"/>
      <c r="J196" s="10" t="inlineStr">
        <is>
          <t>Yes</t>
        </is>
      </c>
      <c r="K196" s="10" t="inlineStr">
        <is>
          <t>FWD</t>
        </is>
      </c>
    </row>
    <row r="197" ht="18" customHeight="1" s="104">
      <c r="A197" s="74" t="n">
        <v>656</v>
      </c>
      <c r="B197" s="69" t="n">
        <v>32798069</v>
      </c>
      <c r="C197" s="8" t="inlineStr">
        <is>
          <t>CAB NO CALL BACK L1 L/H F/A SEAT BOTTOM CUSHION DEFLATED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04">
      <c r="A198" s="74" t="n">
        <v>657</v>
      </c>
      <c r="B198" s="69" t="n">
        <v>32798105</v>
      </c>
      <c r="C198" s="8" t="inlineStr">
        <is>
          <t>CAB NO CALL BACK L1 L/H F/A SEAT LOWER BACK CUSHION DEFLATED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04">
      <c r="A199" s="74" t="n">
        <v>658</v>
      </c>
      <c r="B199" s="69" t="n">
        <v>32798107</v>
      </c>
      <c r="C199" s="8" t="inlineStr">
        <is>
          <t>CAB NO CALL BACK L1 L/H F/A SEAT BOTTOM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04">
      <c r="A200" s="74" t="n">
        <v>659</v>
      </c>
      <c r="B200" s="69" t="n">
        <v>32798117</v>
      </c>
      <c r="C200" s="8" t="inlineStr">
        <is>
          <t>CAB NO CALL BACK L1 L/H F/A SEAT UPPER RUB STRIP DAMAGED</t>
        </is>
      </c>
      <c r="D200" s="9" t="inlineStr">
        <is>
          <t>F/A SEAT</t>
        </is>
      </c>
      <c r="E200" s="10" t="inlineStr">
        <is>
          <t>Closed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10" t="n"/>
      <c r="J200" s="10" t="inlineStr">
        <is>
          <t>Yes</t>
        </is>
      </c>
      <c r="K200" s="10" t="inlineStr">
        <is>
          <t>FWD</t>
        </is>
      </c>
    </row>
    <row r="201" ht="18" customHeight="1" s="104">
      <c r="A201" s="74" t="n">
        <v>660</v>
      </c>
      <c r="B201" s="69" t="n">
        <v>32798118</v>
      </c>
      <c r="C201" s="8" t="inlineStr">
        <is>
          <t>CAB NO CALL BACK L1 R/H F/A SEAT BOTTOM RUB STRIP DAMAGED</t>
        </is>
      </c>
      <c r="D201" s="9" t="inlineStr">
        <is>
          <t>F/A SEAT</t>
        </is>
      </c>
      <c r="E201" s="10" t="inlineStr">
        <is>
          <t>Closed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inlineStr">
        <is>
          <t>Yes</t>
        </is>
      </c>
      <c r="K201" s="10" t="inlineStr">
        <is>
          <t>FWD</t>
        </is>
      </c>
    </row>
    <row r="202" ht="18" customHeight="1" s="104">
      <c r="A202" s="74" t="n">
        <v>661</v>
      </c>
      <c r="B202" s="69" t="n">
        <v>32798119</v>
      </c>
      <c r="C202" s="8" t="inlineStr">
        <is>
          <t>CAB NO CALL BACK L1 R/H F/A SEAT UPPER RUB STRIP DAMAGED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inlineStr">
        <is>
          <t>Yes</t>
        </is>
      </c>
      <c r="K202" s="10" t="inlineStr">
        <is>
          <t>FWD</t>
        </is>
      </c>
    </row>
    <row r="203" ht="18" customHeight="1" s="104">
      <c r="A203" s="74" t="n">
        <v>662</v>
      </c>
      <c r="B203" s="69" t="n">
        <v>32798140</v>
      </c>
      <c r="C203" s="8" t="inlineStr">
        <is>
          <t>CAB NO CALL BACK L1 R/H F/A SEAT CUSHION DEFLATED</t>
        </is>
      </c>
      <c r="D203" s="9" t="inlineStr">
        <is>
          <t>F/A SEAT</t>
        </is>
      </c>
      <c r="E203" s="10" t="inlineStr">
        <is>
          <t>Open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n"/>
      <c r="K203" s="10" t="inlineStr">
        <is>
          <t>FWD</t>
        </is>
      </c>
    </row>
    <row r="204" ht="18" customHeight="1" s="104">
      <c r="A204" s="74" t="n">
        <v>663</v>
      </c>
      <c r="B204" s="69" t="n">
        <v>32798159</v>
      </c>
      <c r="C204" s="8" t="inlineStr">
        <is>
          <t>CAB NO CALL BACK L1 R/H F/A SEAT UPPER BACK PEN MARK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n"/>
      <c r="J204" s="10" t="inlineStr">
        <is>
          <t>Yes</t>
        </is>
      </c>
      <c r="K204" s="10" t="inlineStr">
        <is>
          <t>FWD</t>
        </is>
      </c>
    </row>
    <row r="205" ht="18" customHeight="1" s="104">
      <c r="A205" s="74" t="n">
        <v>664</v>
      </c>
      <c r="B205" s="69" t="n">
        <v>32798183</v>
      </c>
      <c r="C205" s="8" t="inlineStr">
        <is>
          <t>CAB NO CALL BACK R2 F/A SEAT CUSHION DEFLATED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04">
      <c r="A206" s="74" t="n">
        <v>665</v>
      </c>
      <c r="B206" s="69" t="n">
        <v>32798189</v>
      </c>
      <c r="C206" s="8" t="inlineStr">
        <is>
          <t>CAB NO CALL BACK L2 F/A SEAT BOTTOM CUSHION DEFLATED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04">
      <c r="A207" s="74" t="n">
        <v>666</v>
      </c>
      <c r="B207" s="69" t="n">
        <v>32798191</v>
      </c>
      <c r="C207" s="8" t="inlineStr">
        <is>
          <t>CAB NO CALL BACK L2 F/A SEAT LOWER BACK CUSHION DEFLATED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inlineStr">
        <is>
          <t>Yes</t>
        </is>
      </c>
      <c r="K207" s="10" t="inlineStr">
        <is>
          <t>AFT</t>
        </is>
      </c>
    </row>
    <row r="208" ht="18" customHeight="1" s="104">
      <c r="A208" s="74" t="n">
        <v>667</v>
      </c>
      <c r="B208" s="69" t="n">
        <v>32798204</v>
      </c>
      <c r="C208" s="8" t="inlineStr">
        <is>
          <t>CAB NO CALL BACK L2 F/A SEAT LOWER RUB STRIP DAMGED</t>
        </is>
      </c>
      <c r="D208" s="9" t="inlineStr">
        <is>
          <t>F/A SEAT</t>
        </is>
      </c>
      <c r="E208" s="10" t="inlineStr">
        <is>
          <t>Closed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n"/>
      <c r="J208" s="10" t="inlineStr">
        <is>
          <t>Yes</t>
        </is>
      </c>
      <c r="K208" s="10" t="inlineStr">
        <is>
          <t>AFT</t>
        </is>
      </c>
    </row>
    <row r="209" ht="18" customHeight="1" s="104">
      <c r="A209" s="74" t="n">
        <v>668</v>
      </c>
      <c r="B209" s="69" t="n">
        <v>32798205</v>
      </c>
      <c r="C209" s="8" t="inlineStr">
        <is>
          <t>CAB NO CALL BACK L2 F/A SEAT UPPER RUB STRIP DAMGED</t>
        </is>
      </c>
      <c r="D209" s="9" t="inlineStr">
        <is>
          <t>F/A SEAT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AFT</t>
        </is>
      </c>
    </row>
    <row r="210" ht="18" customHeight="1" s="104">
      <c r="A210" s="74" t="n">
        <v>669</v>
      </c>
      <c r="B210" s="69" t="n">
        <v>32798221</v>
      </c>
      <c r="C210" s="8" t="inlineStr">
        <is>
          <t>CAB NO CALL BACK R2 F/A SEAT LOWER RUB STRIP DAMGED</t>
        </is>
      </c>
      <c r="D210" s="9" t="inlineStr">
        <is>
          <t>F/A SEAT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n"/>
      <c r="J210" s="10" t="inlineStr">
        <is>
          <t>Yes</t>
        </is>
      </c>
      <c r="K210" s="10" t="inlineStr">
        <is>
          <t>AFT</t>
        </is>
      </c>
    </row>
    <row r="211" ht="18" customHeight="1" s="104">
      <c r="A211" s="74" t="n">
        <v>680</v>
      </c>
      <c r="B211" s="69" t="n">
        <v>32798602</v>
      </c>
      <c r="C211" s="8" t="inlineStr">
        <is>
          <t>CAB - NO CALL BACK - ALL LAVS ALL LAVS SHROUD MISSING SCREWS</t>
        </is>
      </c>
      <c r="D211" s="9" t="inlineStr">
        <is>
          <t>LAVATORY</t>
        </is>
      </c>
      <c r="E211" s="10" t="inlineStr">
        <is>
          <t>Open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inlineStr">
        <is>
          <t>P/S 4467911</t>
        </is>
      </c>
      <c r="J211" s="10" t="n"/>
      <c r="K211" s="10" t="inlineStr">
        <is>
          <t>JOINT</t>
        </is>
      </c>
    </row>
    <row r="212" ht="18" customHeight="1" s="104">
      <c r="A212" s="74" t="n">
        <v>681</v>
      </c>
      <c r="B212" s="69" t="n">
        <v>32798604</v>
      </c>
      <c r="C212" s="8" t="inlineStr">
        <is>
          <t>CAB - NO CALL BACK - LAV A LAV A LOWER CABINET LATCH MISSING SCREW</t>
        </is>
      </c>
      <c r="D212" s="9" t="inlineStr">
        <is>
          <t>LAVATORY</t>
        </is>
      </c>
      <c r="E212" s="10" t="inlineStr">
        <is>
          <t>Closed</t>
        </is>
      </c>
      <c r="F212" s="10" t="inlineStr">
        <is>
          <t>Normal</t>
        </is>
      </c>
      <c r="G212" s="9" t="inlineStr">
        <is>
          <t>CAB</t>
        </is>
      </c>
      <c r="H212" s="11" t="inlineStr">
        <is>
          <t>Requested</t>
        </is>
      </c>
      <c r="I212" s="10" t="n"/>
      <c r="J212" s="10" t="inlineStr">
        <is>
          <t>Yes</t>
        </is>
      </c>
      <c r="K212" s="10" t="inlineStr">
        <is>
          <t>FWD</t>
        </is>
      </c>
    </row>
    <row r="213" ht="18" customHeight="1" s="104">
      <c r="A213" s="74" t="n">
        <v>682</v>
      </c>
      <c r="B213" s="69" t="n">
        <v>32798606</v>
      </c>
      <c r="C213" s="8" t="inlineStr">
        <is>
          <t>CAB - NO CALL BACK - LAV D LAV D TOILET LID BROKEN</t>
        </is>
      </c>
      <c r="D213" s="9" t="inlineStr">
        <is>
          <t>LAVATORY</t>
        </is>
      </c>
      <c r="E213" s="10" t="inlineStr">
        <is>
          <t>Closed</t>
        </is>
      </c>
      <c r="F213" s="10" t="inlineStr">
        <is>
          <t>Normal</t>
        </is>
      </c>
      <c r="G213" s="9" t="inlineStr">
        <is>
          <t>CAB</t>
        </is>
      </c>
      <c r="H213" s="11" t="inlineStr">
        <is>
          <t>Requested</t>
        </is>
      </c>
      <c r="I213" s="10" t="n"/>
      <c r="J213" s="10" t="inlineStr">
        <is>
          <t>Yes</t>
        </is>
      </c>
      <c r="K213" s="10" t="inlineStr">
        <is>
          <t>AFT</t>
        </is>
      </c>
    </row>
    <row r="214" ht="18" customHeight="1" s="104">
      <c r="A214" s="74" t="n">
        <v>683</v>
      </c>
      <c r="B214" s="69" t="n">
        <v>32798626</v>
      </c>
      <c r="C214" s="8" t="inlineStr">
        <is>
          <t>CAB - NO CALL BACK - LAV E LAV E INSIDE ASHTRAY CHIPPED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</t>
        </is>
      </c>
      <c r="I214" s="10" t="n"/>
      <c r="J214" s="10" t="inlineStr">
        <is>
          <t>Yes</t>
        </is>
      </c>
      <c r="K214" s="10" t="inlineStr">
        <is>
          <t>AFT</t>
        </is>
      </c>
    </row>
    <row r="215" ht="18" customHeight="1" s="104">
      <c r="A215" s="74" t="n">
        <v>684</v>
      </c>
      <c r="B215" s="69" t="n">
        <v>32798683</v>
      </c>
      <c r="C215" s="8" t="inlineStr">
        <is>
          <t>PNT - NO CALL BACK - LAV A LAV A NURSING TABLE REQ PNT</t>
        </is>
      </c>
      <c r="D215" s="9" t="inlineStr">
        <is>
          <t>LAVATORY</t>
        </is>
      </c>
      <c r="E215" s="10" t="inlineStr">
        <is>
          <t>Open</t>
        </is>
      </c>
      <c r="F215" s="10" t="inlineStr">
        <is>
          <t>Normal</t>
        </is>
      </c>
      <c r="G215" s="9" t="inlineStr">
        <is>
          <t>PAINT</t>
        </is>
      </c>
      <c r="H215" s="11" t="n"/>
      <c r="I215" s="10" t="n"/>
      <c r="J215" s="10" t="n"/>
      <c r="K215" s="10" t="inlineStr">
        <is>
          <t>FWD</t>
        </is>
      </c>
    </row>
    <row r="216" ht="18" customHeight="1" s="104">
      <c r="A216" s="74" t="n">
        <v>685</v>
      </c>
      <c r="B216" s="69" t="n">
        <v>32798689</v>
      </c>
      <c r="C216" s="8" t="inlineStr">
        <is>
          <t>CAB - NO CALL BACK - LAV E LAV E SIDE WALL PAINT PEELED OFF</t>
        </is>
      </c>
      <c r="D216" s="9" t="inlineStr">
        <is>
          <t>LAVATORY</t>
        </is>
      </c>
      <c r="E216" s="10" t="inlineStr">
        <is>
          <t>Open</t>
        </is>
      </c>
      <c r="F216" s="10" t="inlineStr">
        <is>
          <t>Normal</t>
        </is>
      </c>
      <c r="G216" s="9" t="inlineStr">
        <is>
          <t>S/W</t>
        </is>
      </c>
      <c r="H216" s="11" t="n"/>
      <c r="I216" s="10" t="n"/>
      <c r="J216" s="10" t="n"/>
      <c r="K216" s="10" t="inlineStr">
        <is>
          <t>JOINT</t>
        </is>
      </c>
    </row>
    <row r="217" ht="18" customHeight="1" s="104">
      <c r="A217" s="74" t="n">
        <v>686</v>
      </c>
      <c r="B217" s="69" t="n">
        <v>32798787</v>
      </c>
      <c r="C217" s="8" t="inlineStr">
        <is>
          <t>CAB - NO CALL BACK - LAV A LAV A FUACET LEAKING</t>
        </is>
      </c>
      <c r="D217" s="9" t="inlineStr">
        <is>
          <t>LAVATORY</t>
        </is>
      </c>
      <c r="E217" s="10" t="inlineStr">
        <is>
          <t>Closed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10" t="n"/>
      <c r="J217" s="10" t="inlineStr">
        <is>
          <t>Yes</t>
        </is>
      </c>
      <c r="K217" s="10" t="inlineStr">
        <is>
          <t>FWD</t>
        </is>
      </c>
    </row>
    <row r="218" ht="35.25" customHeight="1" s="104">
      <c r="A218" s="74" t="n">
        <v>687</v>
      </c>
      <c r="B218" s="69" t="n">
        <v>32798821</v>
      </c>
      <c r="C218" s="92" t="inlineStr">
        <is>
          <t>CABIN FLOOR PANEL--CAB--CALLBACK COCKPIT/CABIN FLOOR PANEL NO: 241EF, 241KF, 241LF, 241MF,  242FF, 242KF, 242LF, 242MF AND 211FF REQUIRES REMOVAL FOR ACCESS.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n"/>
      <c r="I218" s="10" t="n"/>
      <c r="J218" s="10" t="n"/>
      <c r="K218" s="10" t="n"/>
    </row>
    <row r="219" ht="18" customHeight="1" s="104">
      <c r="A219" s="74" t="n">
        <v>688</v>
      </c>
      <c r="B219" s="69" t="n">
        <v>32798972</v>
      </c>
      <c r="C219" s="96" t="inlineStr">
        <is>
          <t>CAB - RII - OXYGEN GENERATOR OXYGEN GENERATOR AT 1AC AND 2AC WILL EXPIRE AT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4" t="inlineStr">
        <is>
          <t>OPS TO DO</t>
        </is>
      </c>
      <c r="J219" s="10" t="n"/>
      <c r="K219" s="10" t="n"/>
    </row>
    <row r="220" ht="18" customHeight="1" s="104">
      <c r="A220" s="74" t="n">
        <v>689</v>
      </c>
      <c r="B220" s="69" t="n">
        <v>32798977</v>
      </c>
      <c r="C220" s="96" t="inlineStr">
        <is>
          <t>CAB - RII - OXYGEN GENERATOR OXYGEN GENERATOR AT 3AC AND 4AC WILL EXPIRE ON 9/2026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4" t="inlineStr">
        <is>
          <t>OPS TO DO</t>
        </is>
      </c>
      <c r="J220" s="10" t="n"/>
      <c r="K220" s="10" t="n"/>
    </row>
    <row r="221" ht="18" customHeight="1" s="104">
      <c r="A221" s="74" t="n">
        <v>690</v>
      </c>
      <c r="B221" s="69" t="n">
        <v>32798980</v>
      </c>
      <c r="C221" s="96" t="inlineStr">
        <is>
          <t>CAB - RII - OXYGEN GENERATOR OXYGEN GENERATOR AT 5AC AND WILL EXPIRE ON 10/2026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4" t="inlineStr">
        <is>
          <t>OPS TO DO</t>
        </is>
      </c>
      <c r="J221" s="10" t="n"/>
      <c r="K221" s="10" t="n"/>
    </row>
    <row r="222" ht="18" customHeight="1" s="104">
      <c r="A222" s="74" t="n">
        <v>691</v>
      </c>
      <c r="B222" s="69" t="n">
        <v>32798982</v>
      </c>
      <c r="C222" s="96" t="inlineStr">
        <is>
          <t>CAB - RII - OXYGEN GENERATOR OXYGEN GENERATOR AT 30ABC  WILL EXPIRE ON 10/2026</t>
        </is>
      </c>
      <c r="D222" s="9" t="inlineStr">
        <is>
          <t>GENERAL CABIN</t>
        </is>
      </c>
      <c r="E222" s="10" t="inlineStr">
        <is>
          <t>In Progress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4" t="inlineStr">
        <is>
          <t>OPS TO DO</t>
        </is>
      </c>
      <c r="J222" s="10" t="n"/>
      <c r="K222" s="10" t="n"/>
    </row>
    <row r="223" ht="18" customHeight="1" s="104">
      <c r="A223" s="74" t="n">
        <v>692</v>
      </c>
      <c r="B223" s="69" t="n">
        <v>32798987</v>
      </c>
      <c r="C223" s="96" t="inlineStr">
        <is>
          <t>CAB - RII - OXYGEN GENERATOR OXYGEN GENERATOR AT 31ABC  WILL EXPIRE ON 10/2026 AND AT 32ABC EXPIRED ON 04/2010</t>
        </is>
      </c>
      <c r="D223" s="9" t="inlineStr">
        <is>
          <t>GENERAL CABIN</t>
        </is>
      </c>
      <c r="E223" s="10" t="inlineStr">
        <is>
          <t>In Progress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4" t="inlineStr">
        <is>
          <t>OPS TO DO</t>
        </is>
      </c>
      <c r="J223" s="10" t="n"/>
      <c r="K223" s="10" t="n"/>
    </row>
    <row r="224" ht="18" customHeight="1" s="104">
      <c r="A224" s="74" t="n">
        <v>693</v>
      </c>
      <c r="B224" s="69" t="n">
        <v>32799012</v>
      </c>
      <c r="C224" s="96" t="inlineStr">
        <is>
          <t>CAB - RII - OXYGEN GENERATOR OXYGEN GENERATOR AT 33ABC AND 34ABC WILL EXPIRE ON 9/2026</t>
        </is>
      </c>
      <c r="D224" s="9" t="inlineStr">
        <is>
          <t>GENERAL CABIN</t>
        </is>
      </c>
      <c r="E224" s="10" t="inlineStr">
        <is>
          <t>In Progress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4" t="inlineStr">
        <is>
          <t>OPS TO DO</t>
        </is>
      </c>
      <c r="J224" s="10" t="n"/>
      <c r="K224" s="10" t="n"/>
    </row>
    <row r="225" ht="18" customHeight="1" s="104">
      <c r="A225" s="74" t="n">
        <v>695</v>
      </c>
      <c r="B225" s="69" t="n">
        <v>32799029</v>
      </c>
      <c r="C225" s="96" t="inlineStr">
        <is>
          <t>CAB - RII - OXYGEN GENERATOR OXYGEN GENERATOR AT 36ABC AND 37ABC WILL EXPIRE ON 9/2026</t>
        </is>
      </c>
      <c r="D225" s="9" t="inlineStr">
        <is>
          <t>GENERAL CABIN</t>
        </is>
      </c>
      <c r="E225" s="10" t="inlineStr">
        <is>
          <t>In Progress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4" t="inlineStr">
        <is>
          <t>OPS TO DO</t>
        </is>
      </c>
      <c r="J225" s="10" t="n"/>
      <c r="K225" s="10" t="n"/>
    </row>
    <row r="226" ht="18" customHeight="1" s="104">
      <c r="A226" s="74" t="n">
        <v>696</v>
      </c>
      <c r="B226" s="69" t="n">
        <v>32799031</v>
      </c>
      <c r="C226" s="96" t="inlineStr">
        <is>
          <t>CAB - RII - OXYGEN GENERATOR OXYGEN GENERATOR AT 38ABC EXPIRES ON 9/2026 AND 40ABC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94" t="inlineStr">
        <is>
          <t>OPS TO DO</t>
        </is>
      </c>
      <c r="J226" s="10" t="n"/>
      <c r="K226" s="10" t="n"/>
    </row>
    <row r="227" ht="18" customHeight="1" s="104">
      <c r="A227" s="74" t="n">
        <v>697</v>
      </c>
      <c r="B227" s="69" t="n">
        <v>32799033</v>
      </c>
      <c r="C227" s="96" t="inlineStr">
        <is>
          <t>CAB - RII - OXYGEN GENERATOR OXYGEN GENERATOR AT 42ABC AND 43ABC WILL EXPIRE ON 9/2026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4" t="inlineStr">
        <is>
          <t>OPS TO DO</t>
        </is>
      </c>
      <c r="J227" s="10" t="n"/>
      <c r="K227" s="10" t="n"/>
    </row>
    <row r="228" ht="18" customHeight="1" s="104">
      <c r="A228" s="74" t="n">
        <v>698</v>
      </c>
      <c r="B228" s="69" t="n">
        <v>32799036</v>
      </c>
      <c r="C228" s="96" t="inlineStr">
        <is>
          <t>CAB - RII - OXYGEN GENERATOR OXYGEN GENERATOR AT 44ABC WILL EXPIRE ON 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94" t="inlineStr">
        <is>
          <t>OPS TO DO</t>
        </is>
      </c>
      <c r="J228" s="10" t="n"/>
      <c r="K228" s="10" t="n"/>
    </row>
    <row r="229" ht="18" customHeight="1" s="104">
      <c r="A229" s="74" t="n">
        <v>699</v>
      </c>
      <c r="B229" s="69" t="n">
        <v>32799038</v>
      </c>
      <c r="C229" s="96" t="inlineStr">
        <is>
          <t>CAB - RII - OXYGEN GENERATOR OXYGEN GENERATOR AT 1JL AND 2JL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1" t="inlineStr">
        <is>
          <t>2JL TO DO (CNTR R/R) prat still not arrived</t>
        </is>
      </c>
      <c r="J229" s="10" t="n"/>
      <c r="K229" s="10" t="n"/>
    </row>
    <row r="230" ht="18" customHeight="1" s="104">
      <c r="A230" s="74" t="n">
        <v>700</v>
      </c>
      <c r="B230" s="69" t="n">
        <v>32799049</v>
      </c>
      <c r="C230" s="96" t="inlineStr">
        <is>
          <t>CAB - RII - OXYGEN GENERATOR OXYGEN GENERATOR AT 3JL AND 4JL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94" t="inlineStr">
        <is>
          <t>OPS TO DO</t>
        </is>
      </c>
      <c r="J230" s="10" t="n"/>
      <c r="K230" s="10" t="n"/>
    </row>
    <row r="231" ht="18" customHeight="1" s="104">
      <c r="A231" s="74" t="n">
        <v>701</v>
      </c>
      <c r="B231" s="69" t="n">
        <v>32799051</v>
      </c>
      <c r="C231" s="96" t="inlineStr">
        <is>
          <t>CAB - RII - OXYGEN GENERATOR OXYGEN GENERATOR AT 5JL WILL EXPIRE ON 09/2026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4" t="inlineStr">
        <is>
          <t>OPS TO DO</t>
        </is>
      </c>
      <c r="J231" s="10" t="n"/>
      <c r="K231" s="10" t="n"/>
    </row>
    <row r="232" ht="18" customHeight="1" s="104">
      <c r="A232" s="74" t="n">
        <v>702</v>
      </c>
      <c r="B232" s="69" t="n">
        <v>32799053</v>
      </c>
      <c r="C232" s="96" t="inlineStr">
        <is>
          <t>CAB - RII - OXYGEN GENERATOR OXYGEN GENERATOR AT 30JKL AND 31JKL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94" t="inlineStr">
        <is>
          <t>OPS TO DO</t>
        </is>
      </c>
      <c r="J232" s="10" t="n"/>
      <c r="K232" s="10" t="n"/>
    </row>
    <row r="233" ht="18" customHeight="1" s="104">
      <c r="A233" s="74" t="n">
        <v>703</v>
      </c>
      <c r="B233" s="69" t="n">
        <v>32799054</v>
      </c>
      <c r="C233" s="96" t="inlineStr">
        <is>
          <t>CAB - RII - OXYGEN GENERATOR OXYGEN GENERATOR AT 32JKL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94" t="inlineStr">
        <is>
          <t>OPS TO DO</t>
        </is>
      </c>
      <c r="J233" s="10" t="n"/>
      <c r="K233" s="10" t="n"/>
    </row>
    <row r="234" ht="18" customHeight="1" s="104">
      <c r="A234" s="74" t="n">
        <v>704</v>
      </c>
      <c r="B234" s="69" t="n">
        <v>32799060</v>
      </c>
      <c r="C234" s="96" t="inlineStr">
        <is>
          <t>CAB - RII - OXYGEN GENERATOR OXYGEN GENERATOR AT 33JKL AND 34JKL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94" t="inlineStr">
        <is>
          <t>OPS TO DO</t>
        </is>
      </c>
      <c r="J234" s="10" t="n"/>
      <c r="K234" s="10" t="n"/>
    </row>
    <row r="235" ht="18" customHeight="1" s="104">
      <c r="A235" s="74" t="n">
        <v>705</v>
      </c>
      <c r="B235" s="69" t="n">
        <v>32799062</v>
      </c>
      <c r="C235" s="96" t="inlineStr">
        <is>
          <t>CAB - RII - OXYGEN GENERATOR OXYGEN GENERATOR AT 35JKL AND 36JKL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4" t="inlineStr">
        <is>
          <t>OPS TO DO</t>
        </is>
      </c>
      <c r="J235" s="10" t="n"/>
      <c r="K235" s="10" t="n"/>
    </row>
    <row r="236" ht="18" customHeight="1" s="104">
      <c r="A236" s="74" t="n">
        <v>706</v>
      </c>
      <c r="B236" s="69" t="n">
        <v>32799063</v>
      </c>
      <c r="C236" s="96" t="inlineStr">
        <is>
          <t>CAB - RII - OXYGEN GENERATOR OXYGEN GENERATOR AT 37JKL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94" t="inlineStr">
        <is>
          <t>OPS TO DO</t>
        </is>
      </c>
      <c r="J236" s="10" t="n"/>
      <c r="K236" s="10" t="n"/>
    </row>
    <row r="237" ht="18" customHeight="1" s="104">
      <c r="A237" s="74" t="n">
        <v>707</v>
      </c>
      <c r="B237" s="69" t="n">
        <v>32799064</v>
      </c>
      <c r="C237" s="96" t="inlineStr">
        <is>
          <t>CAB - RII - OXYGEN GENERATOR OXYGEN GENERATOR AT 39JKL AND 40JKL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4" t="inlineStr">
        <is>
          <t>OPS TO DO</t>
        </is>
      </c>
      <c r="J237" s="10" t="n"/>
      <c r="K237" s="10" t="n"/>
    </row>
    <row r="238" ht="18" customHeight="1" s="104">
      <c r="A238" s="74" t="n">
        <v>708</v>
      </c>
      <c r="B238" s="69" t="n">
        <v>32799065</v>
      </c>
      <c r="C238" s="96" t="inlineStr">
        <is>
          <t>CAB - RII - OXYGEN GENERATOR OXYGEN GENERATOR AT 41JKL AND 42JKL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4" t="inlineStr">
        <is>
          <t>OPS TO DO</t>
        </is>
      </c>
      <c r="J238" s="10" t="n"/>
      <c r="K238" s="10" t="n"/>
    </row>
    <row r="239" ht="18" customHeight="1" s="104">
      <c r="A239" s="74" t="n">
        <v>709</v>
      </c>
      <c r="B239" s="69" t="n">
        <v>32799066</v>
      </c>
      <c r="C239" s="96" t="inlineStr">
        <is>
          <t>CAB - RII - OXYGEN GENERATOR OXYGEN GENERATOR AT 44JKL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4" t="inlineStr">
        <is>
          <t>OPS TO DO</t>
        </is>
      </c>
      <c r="J239" s="10" t="n"/>
      <c r="K239" s="10" t="n"/>
    </row>
    <row r="240" ht="18" customHeight="1" s="104">
      <c r="A240" s="74" t="n">
        <v>710</v>
      </c>
      <c r="B240" s="69" t="n">
        <v>32799069</v>
      </c>
      <c r="C240" s="96" t="inlineStr">
        <is>
          <t>CAB - RII - OXYGEN GENERATOR OXYGEN GENERATOR AT FWD DOOR LH AND FWD DOOR RH WILL EXPIRE ON 10/2026</t>
        </is>
      </c>
      <c r="D240" s="9" t="inlineStr">
        <is>
          <t>GENERAL CABIN</t>
        </is>
      </c>
      <c r="E240" s="10" t="inlineStr">
        <is>
          <t>In Progress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 - R</t>
        </is>
      </c>
      <c r="I240" s="94" t="inlineStr">
        <is>
          <t>OPS TO DO</t>
        </is>
      </c>
      <c r="J240" s="10" t="n"/>
      <c r="K240" s="10" t="inlineStr">
        <is>
          <t>FWD</t>
        </is>
      </c>
    </row>
    <row r="241" ht="18" customHeight="1" s="104">
      <c r="A241" s="74" t="n">
        <v>711</v>
      </c>
      <c r="B241" s="69" t="n">
        <v>32799071</v>
      </c>
      <c r="C241" s="96" t="inlineStr">
        <is>
          <t>CAB - RII - OXYGEN GENERATOR AFT DOOR CTR #1 AND AFT DOOR CTR #2  OXYGEN GENERATOR WILL EXPIRE ON 10/2026</t>
        </is>
      </c>
      <c r="D241" s="9" t="inlineStr">
        <is>
          <t>GENERAL CABIN</t>
        </is>
      </c>
      <c r="E241" s="10" t="inlineStr">
        <is>
          <t>In Progress</t>
        </is>
      </c>
      <c r="F241" s="10" t="inlineStr">
        <is>
          <t>Normal</t>
        </is>
      </c>
      <c r="G241" s="9" t="inlineStr">
        <is>
          <t>CAB</t>
        </is>
      </c>
      <c r="H241" s="11" t="inlineStr">
        <is>
          <t>Requested - R</t>
        </is>
      </c>
      <c r="I241" s="91" t="inlineStr">
        <is>
          <t>INST. TO DO</t>
        </is>
      </c>
      <c r="J241" s="10" t="n"/>
      <c r="K241" s="10" t="inlineStr">
        <is>
          <t>AFT</t>
        </is>
      </c>
    </row>
    <row r="242" ht="18" customHeight="1" s="104">
      <c r="A242" s="74" t="n">
        <v>712</v>
      </c>
      <c r="B242" s="69" t="n">
        <v>32799080</v>
      </c>
      <c r="C242" s="96" t="inlineStr">
        <is>
          <t>CAB - RII - OXYGEN GENERATOR OXYGEN GENERATOR AT AFT DOOR RH WILL EXPIRE ON 10/2026</t>
        </is>
      </c>
      <c r="D242" s="9" t="inlineStr">
        <is>
          <t>GENERAL CABIN</t>
        </is>
      </c>
      <c r="E242" s="10" t="inlineStr">
        <is>
          <t>In Progress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 - R</t>
        </is>
      </c>
      <c r="I242" s="94" t="inlineStr">
        <is>
          <t>OPS TO DO</t>
        </is>
      </c>
      <c r="J242" s="10" t="n"/>
      <c r="K242" s="10" t="inlineStr">
        <is>
          <t>AFT</t>
        </is>
      </c>
    </row>
    <row r="243" ht="18" customHeight="1" s="104">
      <c r="A243" s="74" t="n">
        <v>713</v>
      </c>
      <c r="B243" s="69" t="n">
        <v>32799332</v>
      </c>
      <c r="C243" s="8" t="inlineStr">
        <is>
          <t>CAB-NO CALL BACK AFT GALLEY CART COMPARTMENT AT 519 T-DIVIDER WITH BROKEN BUMPER.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Requested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04">
      <c r="A244" s="74" t="n">
        <v>714</v>
      </c>
      <c r="B244" s="69" t="n">
        <v>32799335</v>
      </c>
      <c r="C244" s="8" t="inlineStr">
        <is>
          <t>CAB-NO CALL BACK AFT GALLEY CART COMPARTMENT AT 519 T-DIVIDER WITH BROKEN BUMPER.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inlineStr">
        <is>
          <t>Requested</t>
        </is>
      </c>
      <c r="I244" s="10" t="n"/>
      <c r="J244" s="10" t="inlineStr">
        <is>
          <t>Yes</t>
        </is>
      </c>
      <c r="K244" s="10" t="inlineStr">
        <is>
          <t>AFT</t>
        </is>
      </c>
    </row>
    <row r="245" ht="18" customHeight="1" s="104">
      <c r="A245" s="74" t="n">
        <v>715</v>
      </c>
      <c r="B245" s="69" t="n">
        <v>32799336</v>
      </c>
      <c r="C245" s="8" t="inlineStr">
        <is>
          <t>CAB - NO CALL BACK AFT GALLEY CART COMPARTMENT AT 518 T-DIVIDER WITH BROKEN BUMPER.</t>
        </is>
      </c>
      <c r="D245" s="9" t="inlineStr">
        <is>
          <t>GALLEY</t>
        </is>
      </c>
      <c r="E245" s="10" t="inlineStr">
        <is>
          <t>Closed</t>
        </is>
      </c>
      <c r="F245" s="10" t="inlineStr">
        <is>
          <t>Normal</t>
        </is>
      </c>
      <c r="G245" s="9" t="inlineStr">
        <is>
          <t>CAB</t>
        </is>
      </c>
      <c r="H245" s="11" t="inlineStr">
        <is>
          <t>Requested</t>
        </is>
      </c>
      <c r="I245" s="10" t="n"/>
      <c r="J245" s="10" t="inlineStr">
        <is>
          <t>Yes</t>
        </is>
      </c>
      <c r="K245" s="10" t="inlineStr">
        <is>
          <t>AFT</t>
        </is>
      </c>
    </row>
    <row r="246" ht="18" customHeight="1" s="104">
      <c r="A246" s="74" t="n">
        <v>716</v>
      </c>
      <c r="B246" s="69" t="n">
        <v>32799338</v>
      </c>
      <c r="C246" s="8" t="inlineStr">
        <is>
          <t>CAB - NO CALL BACK AFT GALLEY COMPARTMENT DOOR  NO.504 LOOSE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N/R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04">
      <c r="A247" s="74" t="n">
        <v>717</v>
      </c>
      <c r="B247" s="69" t="n">
        <v>32799344</v>
      </c>
      <c r="C247" s="8" t="inlineStr">
        <is>
          <t>CAB - NO CALL BACK AFT GALLEY FOOT STEP INOP.</t>
        </is>
      </c>
      <c r="D247" s="9" t="inlineStr">
        <is>
          <t>GALLEY</t>
        </is>
      </c>
      <c r="E247" s="10" t="inlineStr">
        <is>
          <t>Closed</t>
        </is>
      </c>
      <c r="F247" s="10" t="inlineStr">
        <is>
          <t>AOG</t>
        </is>
      </c>
      <c r="G247" s="9" t="inlineStr">
        <is>
          <t>CAB</t>
        </is>
      </c>
      <c r="H247" s="11" t="inlineStr">
        <is>
          <t>Requested</t>
        </is>
      </c>
      <c r="I247" s="10" t="inlineStr">
        <is>
          <t>P/S 4468692</t>
        </is>
      </c>
      <c r="J247" s="10" t="n"/>
      <c r="K247" s="10" t="inlineStr">
        <is>
          <t>FWD</t>
        </is>
      </c>
    </row>
    <row r="248" ht="18" customHeight="1" s="104">
      <c r="A248" s="74" t="n">
        <v>718</v>
      </c>
      <c r="B248" s="69" t="n">
        <v>32799347</v>
      </c>
      <c r="C248" s="8" t="inlineStr">
        <is>
          <t>CAB - NO CALL BACK G1 GALLEY COMPARTMENT 101 DOOR HINGE LOOSE</t>
        </is>
      </c>
      <c r="D248" s="9" t="inlineStr">
        <is>
          <t>GALLEY</t>
        </is>
      </c>
      <c r="E248" s="10" t="inlineStr">
        <is>
          <t>Open</t>
        </is>
      </c>
      <c r="F248" s="10" t="inlineStr">
        <is>
          <t>Normal</t>
        </is>
      </c>
      <c r="G248" s="9" t="inlineStr">
        <is>
          <t>CAB</t>
        </is>
      </c>
      <c r="H248" s="11" t="n"/>
      <c r="I248" s="10" t="n"/>
      <c r="J248" s="10" t="n"/>
      <c r="K248" s="10" t="inlineStr">
        <is>
          <t>AFT</t>
        </is>
      </c>
    </row>
    <row r="249" ht="18" customHeight="1" s="104">
      <c r="A249" s="74" t="n">
        <v>719</v>
      </c>
      <c r="B249" s="69" t="n">
        <v>32799351</v>
      </c>
      <c r="C249" s="8" t="inlineStr">
        <is>
          <t>CAB - NO CALL BACK AFT GALLEY DIVIDER RED LATCH (3 R/H SIDE) AND (1 L/H SIDE) REQ.REPLACEMENT</t>
        </is>
      </c>
      <c r="D249" s="9" t="inlineStr">
        <is>
          <t>GALLEY</t>
        </is>
      </c>
      <c r="E249" s="10" t="inlineStr">
        <is>
          <t>Closed</t>
        </is>
      </c>
      <c r="F249" s="10" t="inlineStr">
        <is>
          <t>Normal</t>
        </is>
      </c>
      <c r="G249" s="9" t="inlineStr">
        <is>
          <t>CAB</t>
        </is>
      </c>
      <c r="H249" s="11" t="inlineStr">
        <is>
          <t>Requested</t>
        </is>
      </c>
      <c r="I249" s="10" t="n"/>
      <c r="J249" s="10" t="inlineStr">
        <is>
          <t>Yes</t>
        </is>
      </c>
      <c r="K249" s="10" t="inlineStr">
        <is>
          <t>AFT</t>
        </is>
      </c>
    </row>
    <row r="250" ht="18" customHeight="1" s="104">
      <c r="A250" s="74" t="n">
        <v>720</v>
      </c>
      <c r="B250" s="69" t="n">
        <v>32799639</v>
      </c>
      <c r="C250" s="8" t="inlineStr">
        <is>
          <t>CAB - NO CALL BACK LAVATORY "E" WATER HEATER INOP.</t>
        </is>
      </c>
      <c r="D250" s="9" t="inlineStr">
        <is>
          <t>LAVATORY</t>
        </is>
      </c>
      <c r="E250" s="10" t="inlineStr">
        <is>
          <t>Open</t>
        </is>
      </c>
      <c r="F250" s="10" t="inlineStr">
        <is>
          <t>Normal</t>
        </is>
      </c>
      <c r="G250" s="9" t="inlineStr">
        <is>
          <t>CAB</t>
        </is>
      </c>
      <c r="H250" s="11" t="inlineStr">
        <is>
          <t>Requested - R</t>
        </is>
      </c>
      <c r="I250" s="10" t="inlineStr">
        <is>
          <t xml:space="preserve">OPS CHECK </t>
        </is>
      </c>
      <c r="J250" s="10" t="n"/>
      <c r="K250" s="10" t="inlineStr">
        <is>
          <t>AFT</t>
        </is>
      </c>
    </row>
    <row r="251" ht="18" customHeight="1" s="104">
      <c r="A251" s="74" t="n">
        <v>721</v>
      </c>
      <c r="B251" s="69" t="n">
        <v>32799641</v>
      </c>
      <c r="C251" s="8" t="inlineStr">
        <is>
          <t>CAB - NO CALL BACK LAV "E" WATER FAUCET LEAKING</t>
        </is>
      </c>
      <c r="D251" s="9" t="inlineStr">
        <is>
          <t>LAVATORY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inlineStr">
        <is>
          <t>Requested - CR</t>
        </is>
      </c>
      <c r="I251" s="10" t="n"/>
      <c r="J251" s="10" t="inlineStr">
        <is>
          <t>Yes</t>
        </is>
      </c>
      <c r="K251" s="10" t="inlineStr">
        <is>
          <t>AFT</t>
        </is>
      </c>
    </row>
    <row r="252" ht="18" customHeight="1" s="104">
      <c r="A252" s="74" t="n">
        <v>722</v>
      </c>
      <c r="B252" s="69" t="n">
        <v>32799647</v>
      </c>
      <c r="C252" s="8" t="inlineStr">
        <is>
          <t>PAINT - NO CALL BACK LAV "A" NURSING TABLE DISCOLORED</t>
        </is>
      </c>
      <c r="D252" s="9" t="inlineStr">
        <is>
          <t>LAVATORY</t>
        </is>
      </c>
      <c r="E252" s="10" t="inlineStr">
        <is>
          <t>Open</t>
        </is>
      </c>
      <c r="F252" s="10" t="inlineStr">
        <is>
          <t>Normal</t>
        </is>
      </c>
      <c r="G252" s="9" t="inlineStr">
        <is>
          <t>PAINT</t>
        </is>
      </c>
      <c r="H252" s="11" t="n"/>
      <c r="I252" s="10" t="n"/>
      <c r="J252" s="10" t="n"/>
      <c r="K252" s="10" t="inlineStr">
        <is>
          <t>FWD</t>
        </is>
      </c>
    </row>
    <row r="253" ht="18" customHeight="1" s="104">
      <c r="A253" s="74" t="n">
        <v>723</v>
      </c>
      <c r="B253" s="69" t="n">
        <v>32800126</v>
      </c>
      <c r="C253" s="8" t="inlineStr">
        <is>
          <t>AVIO---------RII--------FINDING (NRC) TASKCARD 25-65-00-01-0-SVA FWD MEGAPHONE WILL EXPIRE ON 23JUN2026 P/N  A12SA S/N  1143748</t>
        </is>
      </c>
      <c r="D253" s="9" t="inlineStr">
        <is>
          <t>GENERAL CABIN</t>
        </is>
      </c>
      <c r="E253" s="10" t="inlineStr">
        <is>
          <t>Closed</t>
        </is>
      </c>
      <c r="F253" s="10" t="inlineStr">
        <is>
          <t>Normal</t>
        </is>
      </c>
      <c r="G253" s="9" t="inlineStr">
        <is>
          <t>AV</t>
        </is>
      </c>
      <c r="H253" s="11" t="n"/>
      <c r="I253" s="10" t="n"/>
      <c r="J253" s="10" t="inlineStr">
        <is>
          <t>Yes</t>
        </is>
      </c>
      <c r="K253" s="10" t="inlineStr">
        <is>
          <t>FWD</t>
        </is>
      </c>
    </row>
    <row r="254" ht="18" customHeight="1" s="104">
      <c r="A254" s="74" t="n">
        <v>724</v>
      </c>
      <c r="B254" s="69" t="n">
        <v>32800141</v>
      </c>
      <c r="C254" s="8" t="inlineStr">
        <is>
          <t>CABIN-----NO CALL BACK------FINDING (NRC) TASKCARD 25-65-00-01-0-SVA PORTABLE OXYGEN CYLINDER AFT OF SEAT 5JL WILL EXPIRE ON 14 AUG 2026  P/N  9700-C1A-BF23A S/N  P21110181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n"/>
      <c r="I254" s="10" t="n"/>
      <c r="J254" s="10" t="inlineStr">
        <is>
          <t>Yes</t>
        </is>
      </c>
      <c r="K254" s="10" t="inlineStr">
        <is>
          <t>FWD</t>
        </is>
      </c>
    </row>
    <row r="255" ht="18" customHeight="1" s="104">
      <c r="A255" s="74" t="n">
        <v>725</v>
      </c>
      <c r="B255" s="69" t="n">
        <v>32800163</v>
      </c>
      <c r="C255" s="8" t="inlineStr">
        <is>
          <t>CABIN--------RII--------FINDING (NRC) TASKCARD 25-65-00-01-0-SVA LOWER PORTABLE OXYGEN CYLINDER MISSING OVERHAUL CERTIFICATE TAG  AT  AFT OF SEAT 5JL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FWD</t>
        </is>
      </c>
    </row>
    <row r="256" ht="18" customHeight="1" s="104">
      <c r="A256" s="74" t="n">
        <v>726</v>
      </c>
      <c r="B256" s="69" t="n">
        <v>32800175</v>
      </c>
      <c r="C256" s="8" t="inlineStr">
        <is>
          <t>S/M--------RII--------FINDING (NRC) TASKCARD 25-65-00-01-0-SVA PORTABLE OXYGEN CYLINDER HOLDER BROKEN AT AFT OF SEAT 44ABC</t>
        </is>
      </c>
      <c r="D256" s="9" t="inlineStr">
        <is>
          <t>GENERAL CABIN</t>
        </is>
      </c>
      <c r="E256" s="10" t="inlineStr">
        <is>
          <t>Open</t>
        </is>
      </c>
      <c r="F256" s="10" t="inlineStr">
        <is>
          <t>Normal</t>
        </is>
      </c>
      <c r="G256" s="9" t="inlineStr">
        <is>
          <t>S/M</t>
        </is>
      </c>
      <c r="H256" s="11" t="n"/>
      <c r="I256" s="10" t="n"/>
      <c r="J256" s="10" t="n"/>
      <c r="K256" s="10" t="inlineStr">
        <is>
          <t>AFT</t>
        </is>
      </c>
    </row>
    <row r="257" ht="18" customHeight="1" s="104">
      <c r="A257" s="74" t="n">
        <v>728</v>
      </c>
      <c r="B257" s="69" t="n">
        <v>32800196</v>
      </c>
      <c r="C257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9" t="inlineStr">
        <is>
          <t>GENERAL CABIN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Requested</t>
        </is>
      </c>
      <c r="I257" s="10" t="n"/>
      <c r="J257" s="10" t="inlineStr">
        <is>
          <t>Yes</t>
        </is>
      </c>
      <c r="K257" s="10" t="inlineStr">
        <is>
          <t>AFT</t>
        </is>
      </c>
    </row>
    <row r="258" ht="18" customHeight="1" s="104">
      <c r="A258" s="74" t="n">
        <v>729</v>
      </c>
      <c r="B258" s="69" t="n">
        <v>32800225</v>
      </c>
      <c r="C258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9" t="inlineStr">
        <is>
          <t>GENERAL CABIN</t>
        </is>
      </c>
      <c r="E258" s="10" t="inlineStr">
        <is>
          <t>Closed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n"/>
      <c r="J258" s="10" t="inlineStr">
        <is>
          <t>Yes</t>
        </is>
      </c>
      <c r="K258" s="10" t="inlineStr">
        <is>
          <t>AFT</t>
        </is>
      </c>
    </row>
    <row r="259" ht="18" customHeight="1" s="104">
      <c r="A259" s="74" t="n">
        <v>742</v>
      </c>
      <c r="B259" s="69" t="n">
        <v>32801170</v>
      </c>
      <c r="C259" s="8" t="inlineStr">
        <is>
          <t>CAB - NO CALLBACK - FWD GALLEY G2 GALLEY COMP. 201 DOOR FRAME DETTACHED.</t>
        </is>
      </c>
      <c r="D259" s="9" t="inlineStr">
        <is>
          <t>GALLEY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04">
      <c r="A260" s="74" t="n">
        <v>743</v>
      </c>
      <c r="B260" s="69" t="n">
        <v>32801193</v>
      </c>
      <c r="C260" s="8" t="inlineStr">
        <is>
          <t>CAB - NO CALLBACK - FWD GALLEY G2 GALLEY COMP. 209 DOOR SLAMLATCH LOOSE.</t>
        </is>
      </c>
      <c r="D260" s="9" t="inlineStr">
        <is>
          <t>GALLEY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N/R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04">
      <c r="A261" s="74" t="n">
        <v>744</v>
      </c>
      <c r="B261" s="69" t="n">
        <v>32801209</v>
      </c>
      <c r="C261" s="8" t="inlineStr">
        <is>
          <t>CAB - NO CALLBACK - FWD GALLEY FWD GALLEY (G1-G2) GALLEY WORKTOP SEALANT PARTIALLY MISSING.</t>
        </is>
      </c>
      <c r="D261" s="9" t="inlineStr">
        <is>
          <t>GALLEY</t>
        </is>
      </c>
      <c r="E261" s="10" t="inlineStr">
        <is>
          <t>Open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4472654</t>
        </is>
      </c>
      <c r="J261" s="10" t="n"/>
      <c r="K261" s="10" t="inlineStr">
        <is>
          <t>FWD</t>
        </is>
      </c>
    </row>
    <row r="262" ht="18" customHeight="1" s="104">
      <c r="A262" s="74" t="n">
        <v>748</v>
      </c>
      <c r="B262" s="69" t="n">
        <v>32801440</v>
      </c>
      <c r="C262" s="8" t="inlineStr">
        <is>
          <t>CAB - NO CALLBACK - SIDEWALL SIDEWALL SPLINE AT 1LJ B/C CHIPPED.</t>
        </is>
      </c>
      <c r="D262" s="9" t="inlineStr">
        <is>
          <t>TEDLAR/SIDEWALL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n"/>
      <c r="J262" s="10" t="inlineStr">
        <is>
          <t>Yes</t>
        </is>
      </c>
      <c r="K262" s="10" t="inlineStr">
        <is>
          <t>FWD</t>
        </is>
      </c>
    </row>
    <row r="263" ht="18" customHeight="1" s="104">
      <c r="A263" s="74" t="n">
        <v>749</v>
      </c>
      <c r="B263" s="69" t="n">
        <v>32801510</v>
      </c>
      <c r="C263" s="8" t="inlineStr">
        <is>
          <t>CAB - NO CALLBACK - SIDEWALL SIDEWALL SPLINE AT 4LJ B/C CHIPPED.</t>
        </is>
      </c>
      <c r="D263" s="9" t="inlineStr">
        <is>
          <t>TEDLAR/SIDEWALL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04">
      <c r="A264" s="74" t="n">
        <v>751</v>
      </c>
      <c r="B264" s="69" t="n">
        <v>32801511</v>
      </c>
      <c r="C264" s="8" t="inlineStr">
        <is>
          <t>CAB - NO CALLBACK RUBBER SEAL IS CUT AT FWD GALLEY DIRECTLY ABOVE COMP. 101</t>
        </is>
      </c>
      <c r="D264" s="9" t="inlineStr">
        <is>
          <t>GALLEY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04">
      <c r="A265" s="74" t="n">
        <v>752</v>
      </c>
      <c r="B265" s="69" t="n">
        <v>32801532</v>
      </c>
      <c r="C265" s="8" t="inlineStr">
        <is>
          <t>CAB - NO CALLBACK RUBBER SEAL BETWEEN FWD GALLEY AND COCKPIT MISSING.</t>
        </is>
      </c>
      <c r="D265" s="9" t="inlineStr">
        <is>
          <t>GALLEY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04">
      <c r="A266" s="74" t="n">
        <v>753</v>
      </c>
      <c r="B266" s="69" t="n">
        <v>32801634</v>
      </c>
      <c r="C266" s="8" t="inlineStr">
        <is>
          <t>CAB - NO CALLBACK - STOWAGE BIN STOWAGE BIN DIRECTLY INFRONT OF SEAT 30LKJ MISSING DOOR DAMPENER.</t>
        </is>
      </c>
      <c r="D266" s="9" t="inlineStr">
        <is>
          <t>GENERAL CABIN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Requested</t>
        </is>
      </c>
      <c r="I266" s="10" t="n"/>
      <c r="J266" s="10" t="inlineStr">
        <is>
          <t>Yes</t>
        </is>
      </c>
      <c r="K266" s="10" t="inlineStr">
        <is>
          <t>FWD</t>
        </is>
      </c>
    </row>
    <row r="267" ht="18" customHeight="1" s="104">
      <c r="A267" s="74" t="n">
        <v>754</v>
      </c>
      <c r="B267" s="69" t="n">
        <v>32801637</v>
      </c>
      <c r="C267" s="8" t="inlineStr">
        <is>
          <t>CAB - NO CALLBACK - STOWAGE BIN STOWAGE BIN OF SEAT 4LJ MISSING 2EA DOOR DAMPENER.</t>
        </is>
      </c>
      <c r="D267" s="9" t="inlineStr">
        <is>
          <t>GENERAL CABIN</t>
        </is>
      </c>
      <c r="E267" s="10" t="inlineStr">
        <is>
          <t>Closed</t>
        </is>
      </c>
      <c r="F267" s="10" t="inlineStr">
        <is>
          <t>Normal</t>
        </is>
      </c>
      <c r="G267" s="9" t="inlineStr">
        <is>
          <t>CAB</t>
        </is>
      </c>
      <c r="H267" s="11" t="inlineStr">
        <is>
          <t>Requested</t>
        </is>
      </c>
      <c r="I267" s="10" t="n"/>
      <c r="J267" s="10" t="inlineStr">
        <is>
          <t>Yes</t>
        </is>
      </c>
      <c r="K267" s="10" t="inlineStr">
        <is>
          <t>FWD</t>
        </is>
      </c>
    </row>
    <row r="268" ht="18" customHeight="1" s="104">
      <c r="A268" s="74" t="n">
        <v>755</v>
      </c>
      <c r="B268" s="69" t="n">
        <v>32801640</v>
      </c>
      <c r="C268" s="8" t="inlineStr">
        <is>
          <t>CAB - NO CALLBACK - STOWAGE BIN STOWAGE BIN OF SEAT 5LJ MISSING DOOR DAMPENER.</t>
        </is>
      </c>
      <c r="D268" s="9" t="inlineStr">
        <is>
          <t>GENERAL CABIN</t>
        </is>
      </c>
      <c r="E268" s="10" t="inlineStr">
        <is>
          <t>Closed</t>
        </is>
      </c>
      <c r="F268" s="10" t="inlineStr">
        <is>
          <t>Normal</t>
        </is>
      </c>
      <c r="G268" s="9" t="inlineStr">
        <is>
          <t>CAB</t>
        </is>
      </c>
      <c r="H268" s="11" t="inlineStr">
        <is>
          <t>Requested</t>
        </is>
      </c>
      <c r="I268" s="10" t="n"/>
      <c r="J268" s="10" t="inlineStr">
        <is>
          <t>Yes</t>
        </is>
      </c>
      <c r="K268" s="10" t="inlineStr">
        <is>
          <t>FWD</t>
        </is>
      </c>
    </row>
    <row r="269" ht="18" customHeight="1" s="104">
      <c r="A269" s="74" t="n">
        <v>756</v>
      </c>
      <c r="B269" s="69" t="n">
        <v>32801651</v>
      </c>
      <c r="C269" s="8" t="inlineStr">
        <is>
          <t>CAB - NO CALL BACK - CAPTAIN ARMREST CAPTAIN ARMREST UPPER SHROUD LOOSE.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10" t="n"/>
      <c r="J269" s="10" t="inlineStr">
        <is>
          <t>Yes</t>
        </is>
      </c>
      <c r="K269" s="10" t="inlineStr">
        <is>
          <t>FWD</t>
        </is>
      </c>
    </row>
    <row r="270" ht="18" customHeight="1" s="104">
      <c r="A270" s="74" t="inlineStr">
        <is>
          <t>757</t>
        </is>
      </c>
      <c r="B270" s="69" t="inlineStr">
        <is>
          <t>32801649</t>
        </is>
      </c>
      <c r="C270" s="8" t="inlineStr">
        <is>
          <t>ESCAPE SLIDE---RII ESCAPE SLIDE L/H FWD REQ REMOVAL FOR ACCESS</t>
        </is>
      </c>
      <c r="D270" s="9" t="inlineStr">
        <is>
          <t>PAX DOORS</t>
        </is>
      </c>
      <c r="E270" s="10" t="inlineStr">
        <is>
          <t>In Progress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10" t="n"/>
      <c r="J270" s="10" t="n"/>
      <c r="K270" s="10" t="inlineStr">
        <is>
          <t>FWD</t>
        </is>
      </c>
    </row>
    <row r="271" ht="18" customHeight="1" s="104">
      <c r="A271" s="74" t="inlineStr">
        <is>
          <t>758</t>
        </is>
      </c>
      <c r="B271" s="69" t="inlineStr">
        <is>
          <t>32801735</t>
        </is>
      </c>
      <c r="C271" s="8" t="inlineStr">
        <is>
          <t>ESCAPE SLIDE---RII ESCAPE SLIDE R/H FWD REQ REMOVAL FOR ACCESS</t>
        </is>
      </c>
      <c r="D271" s="9" t="inlineStr">
        <is>
          <t>PAX DOORS</t>
        </is>
      </c>
      <c r="E271" s="10" t="inlineStr">
        <is>
          <t>In Progress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10" t="n"/>
      <c r="J271" s="10" t="n"/>
      <c r="K271" s="10" t="inlineStr">
        <is>
          <t>FWD</t>
        </is>
      </c>
    </row>
    <row r="272" ht="18" customHeight="1" s="104">
      <c r="A272" s="74" t="inlineStr">
        <is>
          <t>759</t>
        </is>
      </c>
      <c r="B272" s="69" t="inlineStr">
        <is>
          <t>32801738</t>
        </is>
      </c>
      <c r="C272" s="8" t="inlineStr">
        <is>
          <t>CAB - NO CALL BACK - CAPTAIN SEAT CAPTAIN SEAT AFT SHROUD CRACKED.</t>
        </is>
      </c>
      <c r="D272" s="9" t="inlineStr">
        <is>
          <t>FLIGHT DECK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04">
      <c r="A273" s="74" t="inlineStr">
        <is>
          <t>779</t>
        </is>
      </c>
      <c r="B273" s="69" t="inlineStr">
        <is>
          <t>32804054</t>
        </is>
      </c>
      <c r="C273" s="8" t="inlineStr">
        <is>
          <t>ESCAPE SLIDE---RII L2 DOOR ESCAPE SLIDE REQ REMOVAL FOR ACCESS</t>
        </is>
      </c>
      <c r="D273" s="9" t="inlineStr">
        <is>
          <t>PAX DOORS</t>
        </is>
      </c>
      <c r="E273" s="10" t="inlineStr">
        <is>
          <t>In Progress</t>
        </is>
      </c>
      <c r="F273" s="10" t="inlineStr">
        <is>
          <t>Normal</t>
        </is>
      </c>
      <c r="G273" s="9" t="inlineStr">
        <is>
          <t>CAB</t>
        </is>
      </c>
      <c r="H273" s="11" t="n"/>
      <c r="I273" s="10" t="n"/>
      <c r="J273" s="10" t="n"/>
      <c r="K273" s="10" t="inlineStr">
        <is>
          <t>AFT</t>
        </is>
      </c>
    </row>
    <row r="274" ht="18" customHeight="1" s="104">
      <c r="A274" s="74" t="inlineStr">
        <is>
          <t>780</t>
        </is>
      </c>
      <c r="B274" s="69" t="inlineStr">
        <is>
          <t>32804056</t>
        </is>
      </c>
      <c r="C274" s="8" t="inlineStr">
        <is>
          <t>ESCAPE SLIDE---RII R2 DOOR  ESCAPE SLIDE REQ REMOVAL FOR ACCESS</t>
        </is>
      </c>
      <c r="D274" s="9" t="inlineStr">
        <is>
          <t>PAX DOORS</t>
        </is>
      </c>
      <c r="E274" s="10" t="inlineStr">
        <is>
          <t>In Progress</t>
        </is>
      </c>
      <c r="F274" s="10" t="inlineStr">
        <is>
          <t>Normal</t>
        </is>
      </c>
      <c r="G274" s="9" t="inlineStr">
        <is>
          <t>CAB</t>
        </is>
      </c>
      <c r="H274" s="11" t="n"/>
      <c r="I274" s="10" t="n"/>
      <c r="J274" s="10" t="n"/>
      <c r="K274" s="10" t="inlineStr">
        <is>
          <t>AFT</t>
        </is>
      </c>
    </row>
    <row r="275" ht="18" customHeight="1" s="104">
      <c r="A275" s="74" t="inlineStr">
        <is>
          <t>785</t>
        </is>
      </c>
      <c r="B275" s="69" t="inlineStr">
        <is>
          <t>32804526</t>
        </is>
      </c>
      <c r="C275" s="8" t="inlineStr">
        <is>
          <t>CAB - NO CALL BACK LAV A BABY BASSINET TABLE LATCH DIRTY</t>
        </is>
      </c>
      <c r="D275" s="9" t="inlineStr">
        <is>
          <t>LAVATORY</t>
        </is>
      </c>
      <c r="E275" s="10" t="inlineStr">
        <is>
          <t>Closed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inlineStr">
        <is>
          <t>Yes</t>
        </is>
      </c>
      <c r="K275" s="10" t="inlineStr">
        <is>
          <t>FWD</t>
        </is>
      </c>
    </row>
    <row r="276" ht="18" customHeight="1" s="104">
      <c r="A276" s="74" t="inlineStr">
        <is>
          <t>786</t>
        </is>
      </c>
      <c r="B276" s="69" t="inlineStr">
        <is>
          <t>32804529</t>
        </is>
      </c>
      <c r="C276" s="8" t="inlineStr">
        <is>
          <t>CAB - NO CALL BACK LAV E BABY BASSINET TABLE LATCH DIRTY</t>
        </is>
      </c>
      <c r="D276" s="9" t="inlineStr">
        <is>
          <t>LAVATORY</t>
        </is>
      </c>
      <c r="E276" s="10" t="inlineStr">
        <is>
          <t>Closed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n"/>
      <c r="J276" s="10" t="inlineStr">
        <is>
          <t>Yes</t>
        </is>
      </c>
      <c r="K276" s="10" t="inlineStr">
        <is>
          <t>AFT</t>
        </is>
      </c>
    </row>
    <row r="277" ht="18" customHeight="1" s="104">
      <c r="A277" s="74" t="inlineStr">
        <is>
          <t>787</t>
        </is>
      </c>
      <c r="B277" s="69" t="inlineStr">
        <is>
          <t>32804530</t>
        </is>
      </c>
      <c r="C277" s="8" t="inlineStr">
        <is>
          <t>CAB - NO CALL BACK LAV D BABY BASSINET TABLE LATCH DIRTY</t>
        </is>
      </c>
      <c r="D277" s="9" t="inlineStr">
        <is>
          <t>LAVATORY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</t>
        </is>
      </c>
      <c r="I277" s="10" t="n"/>
      <c r="J277" s="10" t="inlineStr">
        <is>
          <t>Yes</t>
        </is>
      </c>
      <c r="K277" s="10" t="inlineStr">
        <is>
          <t>AFT</t>
        </is>
      </c>
    </row>
    <row r="278" ht="18" customHeight="1" s="104">
      <c r="A278" s="74" t="inlineStr">
        <is>
          <t>788</t>
        </is>
      </c>
      <c r="B278" s="69" t="inlineStr">
        <is>
          <t>32804532</t>
        </is>
      </c>
      <c r="C278" s="8" t="inlineStr">
        <is>
          <t>CAB - NO CALL BACK FWD GALLEY COMPT 208 ICE BOX SURFACE DIRTY AND MISSING SEALANT.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04">
      <c r="A279" s="74" t="inlineStr">
        <is>
          <t>789</t>
        </is>
      </c>
      <c r="B279" s="69" t="inlineStr">
        <is>
          <t>32804533</t>
        </is>
      </c>
      <c r="C279" s="95" t="inlineStr">
        <is>
          <t>PAINT - NO CALL BACK FWD GALLEY COMPT 214 LONG AND SHORT CART CATCHES CHIPPED PAINT.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CAB</t>
        </is>
      </c>
      <c r="H279" s="11" t="inlineStr">
        <is>
          <t>Requested</t>
        </is>
      </c>
      <c r="I279" s="10" t="inlineStr">
        <is>
          <t>P/S 4472626</t>
        </is>
      </c>
      <c r="J279" s="10" t="n"/>
      <c r="K279" s="10" t="inlineStr">
        <is>
          <t>FWD</t>
        </is>
      </c>
    </row>
    <row r="280" ht="18" customHeight="1" s="104">
      <c r="A280" s="74" t="inlineStr">
        <is>
          <t>790</t>
        </is>
      </c>
      <c r="B280" s="69" t="inlineStr">
        <is>
          <t>32804535</t>
        </is>
      </c>
      <c r="C280" s="8" t="inlineStr">
        <is>
          <t>CAB - NO CALL BACK FWD GALLEY BUN WARMER LATCH LOOSE.</t>
        </is>
      </c>
      <c r="D280" s="9" t="inlineStr">
        <is>
          <t>GALLEY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 - R</t>
        </is>
      </c>
      <c r="I280" s="10" t="n"/>
      <c r="J280" s="10" t="inlineStr">
        <is>
          <t>Yes</t>
        </is>
      </c>
      <c r="K280" s="10" t="inlineStr">
        <is>
          <t>FWD</t>
        </is>
      </c>
    </row>
    <row r="281" ht="18" customHeight="1" s="104">
      <c r="A281" s="74" t="inlineStr">
        <is>
          <t>791</t>
        </is>
      </c>
      <c r="B281" s="69" t="inlineStr">
        <is>
          <t>32804540</t>
        </is>
      </c>
      <c r="C281" s="8" t="inlineStr">
        <is>
          <t>CAB - NO CALL BACK FWD GALLEY CART CATCHES 3EA LONG NO. 111 , 110 AND 109 1 SHORT CART CATCHES NO.111</t>
        </is>
      </c>
      <c r="D281" s="9" t="inlineStr">
        <is>
          <t>GALLEY</t>
        </is>
      </c>
      <c r="E281" s="10" t="inlineStr">
        <is>
          <t>Closed</t>
        </is>
      </c>
      <c r="F281" s="10" t="inlineStr">
        <is>
          <t>Normal</t>
        </is>
      </c>
      <c r="G281" s="9" t="inlineStr">
        <is>
          <t>CAB</t>
        </is>
      </c>
      <c r="H281" s="11" t="inlineStr">
        <is>
          <t>Requested</t>
        </is>
      </c>
      <c r="I281" s="10" t="n"/>
      <c r="J281" s="10" t="inlineStr">
        <is>
          <t>Yes</t>
        </is>
      </c>
      <c r="K281" s="10" t="inlineStr">
        <is>
          <t>FWD</t>
        </is>
      </c>
    </row>
    <row r="282" ht="18" customHeight="1" s="104">
      <c r="A282" s="74" t="inlineStr">
        <is>
          <t>792</t>
        </is>
      </c>
      <c r="B282" s="69" t="inlineStr">
        <is>
          <t>32804543</t>
        </is>
      </c>
      <c r="C282" s="8" t="inlineStr">
        <is>
          <t>AVIO - NO CALL BACK FWD GALLEY LIGHT LENS DISCOLORATION</t>
        </is>
      </c>
      <c r="D282" s="9" t="inlineStr">
        <is>
          <t>GALLEY</t>
        </is>
      </c>
      <c r="E282" s="10" t="inlineStr">
        <is>
          <t>Open</t>
        </is>
      </c>
      <c r="F282" s="10" t="inlineStr">
        <is>
          <t>Normal</t>
        </is>
      </c>
      <c r="G282" s="9" t="inlineStr">
        <is>
          <t>CAB</t>
        </is>
      </c>
      <c r="H282" s="11" t="n"/>
      <c r="I282" s="91" t="inlineStr">
        <is>
          <t>PAINT OR R/R</t>
        </is>
      </c>
      <c r="J282" s="10" t="n"/>
      <c r="K282" s="10" t="inlineStr">
        <is>
          <t>FWD</t>
        </is>
      </c>
    </row>
    <row r="283" ht="18" customHeight="1" s="104">
      <c r="A283" s="74" t="inlineStr">
        <is>
          <t>793</t>
        </is>
      </c>
      <c r="B283" s="69" t="inlineStr">
        <is>
          <t>32804553</t>
        </is>
      </c>
      <c r="C283" s="8" t="inlineStr">
        <is>
          <t>CAB - NO CALL BACK - COCKPIT SEAT CAPTIN AND FIRST OFFICER SEAT AFT SHROUD CRACKED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Requested</t>
        </is>
      </c>
      <c r="I283" s="10" t="n"/>
      <c r="J283" s="10" t="inlineStr">
        <is>
          <t>Yes</t>
        </is>
      </c>
      <c r="K283" s="10" t="inlineStr">
        <is>
          <t>FWD</t>
        </is>
      </c>
    </row>
    <row r="284" ht="18" customHeight="1" s="104">
      <c r="A284" s="74" t="inlineStr">
        <is>
          <t>794</t>
        </is>
      </c>
      <c r="B284" s="69" t="inlineStr">
        <is>
          <t>32804554</t>
        </is>
      </c>
      <c r="C284" s="8" t="inlineStr">
        <is>
          <t>CAB - NO CALL BACK - COCKPIT SEAT CAPTAIN SEAT PLACRAD DEATTACHED</t>
        </is>
      </c>
      <c r="D284" s="9" t="inlineStr">
        <is>
          <t>FLIGHT DECK</t>
        </is>
      </c>
      <c r="E284" s="10" t="inlineStr">
        <is>
          <t>Open</t>
        </is>
      </c>
      <c r="F284" s="10" t="inlineStr">
        <is>
          <t>Normal</t>
        </is>
      </c>
      <c r="G284" s="9" t="inlineStr">
        <is>
          <t>PAINT</t>
        </is>
      </c>
      <c r="H284" s="11" t="n"/>
      <c r="I284" s="10" t="n"/>
      <c r="J284" s="10" t="n"/>
      <c r="K284" s="10" t="inlineStr">
        <is>
          <t>FWD</t>
        </is>
      </c>
    </row>
    <row r="285" ht="18" customHeight="1" s="104">
      <c r="A285" s="74" t="inlineStr">
        <is>
          <t>795</t>
        </is>
      </c>
      <c r="B285" s="69" t="inlineStr">
        <is>
          <t>32804556</t>
        </is>
      </c>
      <c r="C285" s="8" t="inlineStr">
        <is>
          <t>CAB - NO CALL BACK - COCKPIT FROUTH OBSERVER FOURTH OBSERVER CUP HOLDER LOOSE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inlineStr">
        <is>
          <t>Yes</t>
        </is>
      </c>
      <c r="K285" s="10" t="inlineStr">
        <is>
          <t>FWD</t>
        </is>
      </c>
    </row>
    <row r="286" ht="18" customHeight="1" s="104">
      <c r="A286" s="74" t="inlineStr">
        <is>
          <t>796</t>
        </is>
      </c>
      <c r="B286" s="69" t="inlineStr">
        <is>
          <t>32804558</t>
        </is>
      </c>
      <c r="C286" s="8" t="inlineStr">
        <is>
          <t>CAB - NO CALL BACK - COCKPIT ESCAPE ROPE COVER VELCRO DETACHED.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N/R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04">
      <c r="A287" s="74" t="inlineStr">
        <is>
          <t>797</t>
        </is>
      </c>
      <c r="B287" s="69" t="inlineStr">
        <is>
          <t>32804560</t>
        </is>
      </c>
      <c r="C287" s="8" t="inlineStr">
        <is>
          <t>CAB - NO CALL BACK - COCKPIT DISC STOWAGE F/O DISC STOWAGE LATCH INOP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 - CR</t>
        </is>
      </c>
      <c r="I287" s="10" t="n"/>
      <c r="J287" s="10" t="inlineStr">
        <is>
          <t>Yes</t>
        </is>
      </c>
      <c r="K287" s="10" t="inlineStr">
        <is>
          <t>FWD</t>
        </is>
      </c>
    </row>
    <row r="288" ht="18" customHeight="1" s="104">
      <c r="A288" s="74" t="inlineStr">
        <is>
          <t>798</t>
        </is>
      </c>
      <c r="B288" s="69" t="inlineStr">
        <is>
          <t>32804565</t>
        </is>
      </c>
      <c r="C288" s="8" t="inlineStr">
        <is>
          <t>CAB - NO CALL BACK - COCKPT CAPTIN  WASTE AND OXY DOOR MAKE NOISY SOUND</t>
        </is>
      </c>
      <c r="D288" s="9" t="inlineStr">
        <is>
          <t>FLIGHT DECK</t>
        </is>
      </c>
      <c r="E288" s="10" t="inlineStr">
        <is>
          <t>Closed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N/R</t>
        </is>
      </c>
      <c r="I288" s="10" t="n"/>
      <c r="J288" s="10" t="inlineStr">
        <is>
          <t>Yes</t>
        </is>
      </c>
      <c r="K288" s="10" t="inlineStr">
        <is>
          <t>FWD</t>
        </is>
      </c>
    </row>
    <row r="289" ht="18" customHeight="1" s="104">
      <c r="A289" s="74" t="inlineStr">
        <is>
          <t>799</t>
        </is>
      </c>
      <c r="B289" s="69" t="inlineStr">
        <is>
          <t>32804566</t>
        </is>
      </c>
      <c r="C289" s="8" t="inlineStr">
        <is>
          <t>CAB - NO CALL BACK - COCKPIT CAPTAIN ARMREST CAPTAIN ARMREST DISCOLORED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inlineStr">
        <is>
          <t>Yes</t>
        </is>
      </c>
      <c r="K289" s="10" t="inlineStr">
        <is>
          <t>FWD</t>
        </is>
      </c>
    </row>
    <row r="290" ht="18" customHeight="1" s="104">
      <c r="A290" s="74" t="inlineStr">
        <is>
          <t>800</t>
        </is>
      </c>
      <c r="B290" s="69" t="inlineStr">
        <is>
          <t>32804567</t>
        </is>
      </c>
      <c r="C290" s="8" t="inlineStr">
        <is>
          <t>CAB - NO CALL BACK - COCKPIT CAPTAIN ARMREST COCKPIT CAPTAIN ARMREST LOOSE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inlineStr">
        <is>
          <t>Yes</t>
        </is>
      </c>
      <c r="K290" s="10" t="inlineStr">
        <is>
          <t>FWD</t>
        </is>
      </c>
    </row>
    <row r="291" ht="18" customHeight="1" s="104">
      <c r="A291" s="74" t="inlineStr">
        <is>
          <t>801</t>
        </is>
      </c>
      <c r="B291" s="69" t="inlineStr">
        <is>
          <t>32804568</t>
        </is>
      </c>
      <c r="C291" s="8" t="inlineStr">
        <is>
          <t>CAB - NO CALL BACK - COCKPIT MEAL TABLE CAPTAIN AND F/O MEAL TABLE DISCOLORED</t>
        </is>
      </c>
      <c r="D291" s="9" t="inlineStr">
        <is>
          <t>FLIGHT DECK</t>
        </is>
      </c>
      <c r="E291" s="10" t="inlineStr">
        <is>
          <t>Open</t>
        </is>
      </c>
      <c r="F291" s="10" t="inlineStr">
        <is>
          <t>Normal</t>
        </is>
      </c>
      <c r="G291" s="9" t="inlineStr">
        <is>
          <t>PAINT</t>
        </is>
      </c>
      <c r="H291" s="11" t="inlineStr">
        <is>
          <t>Requested - CR</t>
        </is>
      </c>
      <c r="I291" s="10" t="n"/>
      <c r="J291" s="10" t="n"/>
      <c r="K291" s="10" t="inlineStr">
        <is>
          <t>FWD</t>
        </is>
      </c>
    </row>
    <row r="292" ht="18" customHeight="1" s="104">
      <c r="A292" s="74" t="inlineStr">
        <is>
          <t>802</t>
        </is>
      </c>
      <c r="B292" s="69" t="inlineStr">
        <is>
          <t>32804570</t>
        </is>
      </c>
      <c r="C292" s="8" t="inlineStr">
        <is>
          <t>CAB - NO CALL BACK - COCKPIT SPEAKERS COCKPIT CAPTAIN AND F/O SPEAKERS PANEL SCREWS MISSING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inlineStr">
        <is>
          <t>Yes</t>
        </is>
      </c>
      <c r="K292" s="10" t="inlineStr">
        <is>
          <t>FWD</t>
        </is>
      </c>
    </row>
    <row r="293" ht="18" customHeight="1" s="104">
      <c r="A293" s="74" t="inlineStr">
        <is>
          <t>803</t>
        </is>
      </c>
      <c r="B293" s="69" t="inlineStr">
        <is>
          <t>32804571</t>
        </is>
      </c>
      <c r="C293" s="8" t="inlineStr">
        <is>
          <t>CAB - NO CALL BACK - COCKPIT LIFE VEST COVER THIRD OBSERVER LIFE VEST COVER MISALIGNED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Requested</t>
        </is>
      </c>
      <c r="I293" s="10" t="n"/>
      <c r="J293" s="10" t="inlineStr">
        <is>
          <t>Yes</t>
        </is>
      </c>
      <c r="K293" s="10" t="inlineStr">
        <is>
          <t>FWD</t>
        </is>
      </c>
    </row>
    <row r="294" ht="18" customHeight="1" s="104">
      <c r="A294" s="74" t="inlineStr">
        <is>
          <t>804</t>
        </is>
      </c>
      <c r="B294" s="69" t="inlineStr">
        <is>
          <t>32804573</t>
        </is>
      </c>
      <c r="C294" s="8" t="inlineStr">
        <is>
          <t>CAB - NO CALL BACK - COCKPIT LIGHT PNL COCKPIT OVER HEAD LIGHT PNL SCREW MISSING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Requested</t>
        </is>
      </c>
      <c r="I294" s="10" t="n"/>
      <c r="J294" s="10" t="inlineStr">
        <is>
          <t>Yes</t>
        </is>
      </c>
      <c r="K294" s="10" t="inlineStr">
        <is>
          <t>FWD</t>
        </is>
      </c>
    </row>
    <row r="295" ht="18" customHeight="1" s="104">
      <c r="A295" s="74" t="inlineStr">
        <is>
          <t>805</t>
        </is>
      </c>
      <c r="B295" s="69" t="inlineStr">
        <is>
          <t>32804575</t>
        </is>
      </c>
      <c r="C295" s="8" t="inlineStr">
        <is>
          <t>CAB - RII - COCKPIT SEAT BELT COCKPIT FOURTH OBSERVER SEAT BELT INOP</t>
        </is>
      </c>
      <c r="D295" s="9" t="inlineStr">
        <is>
          <t>FLIGHT DECK</t>
        </is>
      </c>
      <c r="E295" s="10" t="inlineStr">
        <is>
          <t>Closed</t>
        </is>
      </c>
      <c r="F295" s="10" t="inlineStr">
        <is>
          <t>Normal</t>
        </is>
      </c>
      <c r="G295" s="9" t="inlineStr">
        <is>
          <t>CAB</t>
        </is>
      </c>
      <c r="H295" s="11" t="inlineStr">
        <is>
          <t>Requested</t>
        </is>
      </c>
      <c r="I295" s="10" t="n"/>
      <c r="J295" s="10" t="inlineStr">
        <is>
          <t>Yes</t>
        </is>
      </c>
      <c r="K295" s="10" t="inlineStr">
        <is>
          <t>FWD</t>
        </is>
      </c>
    </row>
    <row r="296" ht="18" customHeight="1" s="104">
      <c r="A296" s="74" t="inlineStr">
        <is>
          <t>806</t>
        </is>
      </c>
      <c r="B296" s="69" t="inlineStr">
        <is>
          <t>32804576</t>
        </is>
      </c>
      <c r="C296" s="8" t="inlineStr">
        <is>
          <t>CAB - NO CALL BACK - COCKPIT F/O WASTE DOOR COCKPIT F/O WASTE DOOR MAKE NOISY SOUND</t>
        </is>
      </c>
      <c r="D296" s="9" t="inlineStr">
        <is>
          <t>FLIGHT DECK</t>
        </is>
      </c>
      <c r="E296" s="10" t="inlineStr">
        <is>
          <t>Closed</t>
        </is>
      </c>
      <c r="F296" s="10" t="inlineStr">
        <is>
          <t>Normal</t>
        </is>
      </c>
      <c r="G296" s="9" t="inlineStr">
        <is>
          <t>CAB</t>
        </is>
      </c>
      <c r="H296" s="11" t="inlineStr">
        <is>
          <t>N/R</t>
        </is>
      </c>
      <c r="I296" s="10" t="n"/>
      <c r="J296" s="10" t="inlineStr">
        <is>
          <t>Yes</t>
        </is>
      </c>
      <c r="K296" s="10" t="inlineStr">
        <is>
          <t>FWD</t>
        </is>
      </c>
    </row>
    <row r="297" ht="18" customHeight="1" s="104">
      <c r="A297" s="74" t="inlineStr">
        <is>
          <t>807</t>
        </is>
      </c>
      <c r="B297" s="69" t="inlineStr">
        <is>
          <t>32804577</t>
        </is>
      </c>
      <c r="C297" s="8" t="inlineStr">
        <is>
          <t>CAB - NO CALL BACK - COCKPIT CAPTAIN SEAT COCKPIT CAPTAIN SEAT AFT SHROUD MISSING SCREW</t>
        </is>
      </c>
      <c r="D297" s="9" t="inlineStr">
        <is>
          <t>FLIGHT DECK</t>
        </is>
      </c>
      <c r="E297" s="10" t="inlineStr">
        <is>
          <t>Closed</t>
        </is>
      </c>
      <c r="F297" s="10" t="inlineStr">
        <is>
          <t>Normal</t>
        </is>
      </c>
      <c r="G297" s="9" t="inlineStr">
        <is>
          <t>CAB</t>
        </is>
      </c>
      <c r="H297" s="11" t="inlineStr">
        <is>
          <t>Requested</t>
        </is>
      </c>
      <c r="I297" s="10" t="n"/>
      <c r="J297" s="10" t="inlineStr">
        <is>
          <t>Yes</t>
        </is>
      </c>
      <c r="K297" s="10" t="inlineStr">
        <is>
          <t>FWD</t>
        </is>
      </c>
    </row>
    <row r="298" ht="18" customHeight="1" s="104">
      <c r="A298" s="74" t="inlineStr">
        <is>
          <t>826</t>
        </is>
      </c>
      <c r="B298" s="69" t="inlineStr">
        <is>
          <t>32817167</t>
        </is>
      </c>
      <c r="C298" s="8" t="inlineStr">
        <is>
          <t>PAX DOOR LINING FWD R/H PAX DOOR SUPPORT ARM LINING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FWD</t>
        </is>
      </c>
    </row>
    <row r="299" ht="18" customHeight="1" s="104">
      <c r="A299" s="74" t="inlineStr">
        <is>
          <t>827</t>
        </is>
      </c>
      <c r="B299" s="69" t="inlineStr">
        <is>
          <t>32817204</t>
        </is>
      </c>
      <c r="C299" s="8" t="inlineStr">
        <is>
          <t>PAX DOOR LINING FWD L/H PAX DOOR SUPPORT ARM LINING REQ PNT</t>
        </is>
      </c>
      <c r="D299" s="9" t="inlineStr">
        <is>
          <t>PAX DOORS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PAINT</t>
        </is>
      </c>
      <c r="H299" s="11" t="n"/>
      <c r="I299" s="10" t="n"/>
      <c r="J299" s="10" t="n"/>
      <c r="K299" s="10" t="inlineStr">
        <is>
          <t>FWD</t>
        </is>
      </c>
    </row>
    <row r="300" ht="18" customHeight="1" s="104">
      <c r="A300" s="74" t="inlineStr">
        <is>
          <t>828</t>
        </is>
      </c>
      <c r="B300" s="69" t="inlineStr">
        <is>
          <t>32817224</t>
        </is>
      </c>
      <c r="C300" s="8" t="inlineStr">
        <is>
          <t>PAX DOOR LINING AFT L/H PAX DOOR SUPPORT ARM LINING REQ PNT</t>
        </is>
      </c>
      <c r="D300" s="9" t="inlineStr">
        <is>
          <t>PAX DOORS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PAINT</t>
        </is>
      </c>
      <c r="H300" s="11" t="n"/>
      <c r="I300" s="10" t="n"/>
      <c r="J300" s="10" t="n"/>
      <c r="K300" s="10" t="inlineStr">
        <is>
          <t>AFT</t>
        </is>
      </c>
    </row>
    <row r="301" ht="18" customHeight="1" s="104">
      <c r="A301" s="74" t="inlineStr">
        <is>
          <t>829</t>
        </is>
      </c>
      <c r="B301" s="69" t="inlineStr">
        <is>
          <t>32817230</t>
        </is>
      </c>
      <c r="C301" s="8" t="inlineStr">
        <is>
          <t>PAX DOOR LINING ALL PAX DOOR SLIDE COVER REQ PNT</t>
        </is>
      </c>
      <c r="D301" s="9" t="inlineStr">
        <is>
          <t>PAX DOORS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PAINT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04">
      <c r="A302" s="74" t="inlineStr">
        <is>
          <t>839</t>
        </is>
      </c>
      <c r="B302" s="69" t="inlineStr">
        <is>
          <t>32823153</t>
        </is>
      </c>
      <c r="C302" s="8" t="inlineStr">
        <is>
          <t>CAB - RII -L2 F/A L2 F/A REMOVED FOR ACCESS</t>
        </is>
      </c>
      <c r="D302" s="9" t="inlineStr">
        <is>
          <t>F/A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CAB</t>
        </is>
      </c>
      <c r="H302" s="11" t="n"/>
      <c r="I302" s="10" t="n"/>
      <c r="J302" s="10" t="n"/>
      <c r="K302" s="10" t="inlineStr">
        <is>
          <t>AFT</t>
        </is>
      </c>
    </row>
    <row r="303" ht="18" customHeight="1" s="104">
      <c r="A303" s="74" t="inlineStr">
        <is>
          <t>840</t>
        </is>
      </c>
      <c r="B303" s="69" t="inlineStr">
        <is>
          <t>32823140</t>
        </is>
      </c>
      <c r="C303" s="8" t="inlineStr">
        <is>
          <t>AV - NO CALL BACK REMOVE ELECTRICAL WIRE  B/C SEAT  5A , 5L</t>
        </is>
      </c>
      <c r="D303" s="9" t="inlineStr">
        <is>
          <t>PAX SEAT</t>
        </is>
      </c>
      <c r="E303" s="10" t="inlineStr">
        <is>
          <t>Open</t>
        </is>
      </c>
      <c r="F303" s="10" t="inlineStr">
        <is>
          <t>Normal</t>
        </is>
      </c>
      <c r="G303" s="9" t="inlineStr">
        <is>
          <t>AV</t>
        </is>
      </c>
      <c r="H303" s="11" t="n"/>
      <c r="I303" s="10" t="n"/>
      <c r="J303" s="10" t="n"/>
      <c r="K303" s="10" t="inlineStr">
        <is>
          <t>JOINT</t>
        </is>
      </c>
    </row>
    <row r="304" ht="18" customHeight="1" s="104">
      <c r="A304" s="74" t="inlineStr">
        <is>
          <t>841</t>
        </is>
      </c>
      <c r="B304" s="69" t="inlineStr">
        <is>
          <t>32823160</t>
        </is>
      </c>
      <c r="C304" s="8" t="inlineStr">
        <is>
          <t>AV - NO CALL BACK REMOVE ELECTRICAL WIRE  SEAT 30ABC  TO 34ABC .</t>
        </is>
      </c>
      <c r="D304" s="9" t="inlineStr">
        <is>
          <t>PAX SEAT</t>
        </is>
      </c>
      <c r="E304" s="10" t="inlineStr">
        <is>
          <t>Open</t>
        </is>
      </c>
      <c r="F304" s="10" t="inlineStr">
        <is>
          <t>Normal</t>
        </is>
      </c>
      <c r="G304" s="9" t="inlineStr">
        <is>
          <t>AV</t>
        </is>
      </c>
      <c r="H304" s="11" t="n"/>
      <c r="I304" s="10" t="n"/>
      <c r="J304" s="10" t="n"/>
      <c r="K304" s="10" t="inlineStr">
        <is>
          <t>JOINT</t>
        </is>
      </c>
    </row>
    <row r="305" ht="18" customHeight="1" s="104">
      <c r="A305" s="74" t="inlineStr">
        <is>
          <t>842</t>
        </is>
      </c>
      <c r="B305" s="69" t="inlineStr">
        <is>
          <t>32823162</t>
        </is>
      </c>
      <c r="C305" s="8" t="inlineStr">
        <is>
          <t>AV - NO CALL BACK REMOVE ELECTRICAL WIRE  SEAT  30JKL TO 34JKL .</t>
        </is>
      </c>
      <c r="D305" s="9" t="inlineStr">
        <is>
          <t>PAX SEAT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AV</t>
        </is>
      </c>
      <c r="H305" s="11" t="n"/>
      <c r="I305" s="10" t="n"/>
      <c r="J305" s="10" t="n"/>
      <c r="K305" s="10" t="inlineStr">
        <is>
          <t>JOINT</t>
        </is>
      </c>
    </row>
    <row r="306" ht="36.75" customHeight="1" s="104">
      <c r="A306" s="74" t="inlineStr">
        <is>
          <t>843</t>
        </is>
      </c>
      <c r="B306" s="69" t="inlineStr">
        <is>
          <t>32823272</t>
        </is>
      </c>
      <c r="C306" s="92" t="inlineStr">
        <is>
          <t>CAB-CALL BACK SEAT#5JL,5AC,30ABC,31ABC,32ABC,33ABC34ABC,30JKL,31JKL.32JKL,33JKL&amp;34JKL REQ    REMOVAL  SEAT`S FOR ACCESS.</t>
        </is>
      </c>
      <c r="D306" s="9" t="inlineStr">
        <is>
          <t>PAX SEAT</t>
        </is>
      </c>
      <c r="E306" s="10" t="inlineStr">
        <is>
          <t>In Progress</t>
        </is>
      </c>
      <c r="F306" s="10" t="inlineStr">
        <is>
          <t>Normal</t>
        </is>
      </c>
      <c r="G306" s="9" t="inlineStr">
        <is>
          <t>CAB</t>
        </is>
      </c>
      <c r="H306" s="11" t="n"/>
      <c r="I306" s="91" t="inlineStr">
        <is>
          <t>INSTALLATION IW</t>
        </is>
      </c>
      <c r="J306" s="10" t="n"/>
      <c r="K306" s="10" t="inlineStr">
        <is>
          <t>JOINT</t>
        </is>
      </c>
    </row>
    <row r="307" ht="18" customHeight="1" s="104">
      <c r="A307" s="74" t="n">
        <v>852</v>
      </c>
      <c r="B307" s="69" t="n">
        <v>32824863</v>
      </c>
      <c r="C307" s="8" t="inlineStr">
        <is>
          <t>CAB - NO CALLBACK - SIDEWALL SIDEWALL SPLINE AT 1AC -  B/C SHIFTED DOWNWARD.</t>
        </is>
      </c>
      <c r="D307" s="9" t="inlineStr">
        <is>
          <t>TEDLAR/SIDEWALL</t>
        </is>
      </c>
      <c r="E307" s="10" t="inlineStr">
        <is>
          <t>Closed</t>
        </is>
      </c>
      <c r="F307" s="10" t="inlineStr">
        <is>
          <t>Normal</t>
        </is>
      </c>
      <c r="G307" s="9" t="inlineStr">
        <is>
          <t>CAB</t>
        </is>
      </c>
      <c r="H307" s="11" t="inlineStr">
        <is>
          <t>N/R</t>
        </is>
      </c>
      <c r="I307" s="10" t="n"/>
      <c r="J307" s="10" t="inlineStr">
        <is>
          <t>Yes</t>
        </is>
      </c>
      <c r="K307" s="10" t="inlineStr">
        <is>
          <t>FWD</t>
        </is>
      </c>
    </row>
    <row r="308" ht="18" customHeight="1" s="104">
      <c r="A308" s="74" t="n">
        <v>866</v>
      </c>
      <c r="B308" s="69" t="n">
        <v>32825358</v>
      </c>
      <c r="C308" s="8" t="inlineStr">
        <is>
          <t>PAX DOOR LINING FWD R/H AND L/H PAX DOOR ALL LINING REQ PNT</t>
        </is>
      </c>
      <c r="D308" s="9" t="inlineStr">
        <is>
          <t>PAX DOORS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PAINT</t>
        </is>
      </c>
      <c r="H308" s="11" t="n"/>
      <c r="I308" s="10" t="n"/>
      <c r="J308" s="10" t="n"/>
      <c r="K308" s="10" t="inlineStr">
        <is>
          <t>FWD</t>
        </is>
      </c>
    </row>
    <row r="309" ht="18" customHeight="1" s="104">
      <c r="A309" s="74" t="n">
        <v>867</v>
      </c>
      <c r="B309" s="69" t="n">
        <v>32825368</v>
      </c>
      <c r="C309" s="8" t="inlineStr">
        <is>
          <t>PAX DOOR LINING AFT R/H AND L/H PAX DOOR ALL LINING REQ PNT</t>
        </is>
      </c>
      <c r="D309" s="9" t="inlineStr">
        <is>
          <t>PAX DOORS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PAINT</t>
        </is>
      </c>
      <c r="H309" s="11" t="n"/>
      <c r="I309" s="10" t="n"/>
      <c r="J309" s="10" t="n"/>
      <c r="K309" s="10" t="inlineStr">
        <is>
          <t>AFT</t>
        </is>
      </c>
    </row>
    <row r="310" ht="18" customHeight="1" s="104">
      <c r="A310" s="74" t="n">
        <v>869</v>
      </c>
      <c r="B310" s="69" t="n">
        <v>32825361</v>
      </c>
      <c r="C310" s="8" t="inlineStr">
        <is>
          <t>FINDING (NRC) TASKCARD 25-SVA-03 (00) / ITEM ONE B/C SEAT# 1AC,2AC,3AC,4AC,5CJ FOOD TRAY DOOR - SHROUD ASSEMBLY BROKEN</t>
        </is>
      </c>
      <c r="D310" s="9" t="inlineStr">
        <is>
          <t>PAX SEAT</t>
        </is>
      </c>
      <c r="E310" s="10" t="inlineStr">
        <is>
          <t>Open</t>
        </is>
      </c>
      <c r="F310" s="10" t="inlineStr">
        <is>
          <t>Normal</t>
        </is>
      </c>
      <c r="G310" s="9" t="inlineStr">
        <is>
          <t>SEAT</t>
        </is>
      </c>
      <c r="H310" s="11" t="n"/>
      <c r="I310" s="10" t="n"/>
      <c r="J310" s="10" t="n"/>
      <c r="K310" s="10" t="n"/>
    </row>
    <row r="311" ht="18" customHeight="1" s="104">
      <c r="A311" s="74" t="n">
        <v>870</v>
      </c>
      <c r="B311" s="69" t="n">
        <v>32825385</v>
      </c>
      <c r="C311" s="8" t="inlineStr">
        <is>
          <t>FINDING (NRC) TASKCARD 25-SVA-03 (00) / ITEM ONE B/C SEAT# 1ACL,3C,4L OVERRIDE - MANUAL 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04">
      <c r="A312" s="74" t="n">
        <v>871</v>
      </c>
      <c r="B312" s="69" t="n">
        <v>32825434</v>
      </c>
      <c r="C312" s="8" t="inlineStr">
        <is>
          <t>FINDING (NRC) TASKCARD 25-SVA-03 (00) / ITEM ONE B/C SEAT# 1ACJL,2C,3ACJ,5CJL ARMREST LOOSE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04">
      <c r="A313" s="74" t="n">
        <v>875</v>
      </c>
      <c r="B313" s="69" t="n">
        <v>32825488</v>
      </c>
      <c r="C313" s="8" t="inlineStr">
        <is>
          <t>CAB - NO CALLBACK - FWD GALLEY FWD GALLEY G2 MODULE COMPT. 209 DOOR HINGE LOOSE.</t>
        </is>
      </c>
      <c r="D313" s="9" t="inlineStr">
        <is>
          <t>GALLEY</t>
        </is>
      </c>
      <c r="E313" s="10" t="inlineStr">
        <is>
          <t>Closed</t>
        </is>
      </c>
      <c r="F313" s="10" t="inlineStr">
        <is>
          <t>Normal</t>
        </is>
      </c>
      <c r="G313" s="9" t="inlineStr">
        <is>
          <t>CAB</t>
        </is>
      </c>
      <c r="H313" s="11" t="inlineStr">
        <is>
          <t>N/R</t>
        </is>
      </c>
      <c r="I313" s="10" t="n"/>
      <c r="J313" s="10" t="inlineStr">
        <is>
          <t>Yes</t>
        </is>
      </c>
      <c r="K313" s="10" t="inlineStr">
        <is>
          <t>FWD</t>
        </is>
      </c>
    </row>
    <row r="314" ht="18" customHeight="1" s="104">
      <c r="A314" s="74" t="n">
        <v>876</v>
      </c>
      <c r="B314" s="69" t="n">
        <v>32825451</v>
      </c>
      <c r="C314" s="8" t="inlineStr">
        <is>
          <t>FINDING (NRC) TASKCARD 25-SVA-03 (00) / ITEM ONE B/C SEAT# 4J,5C RUBSTRIP - FRONT BROKEN</t>
        </is>
      </c>
      <c r="D314" s="9" t="inlineStr">
        <is>
          <t>PAX SEAT</t>
        </is>
      </c>
      <c r="E314" s="10" t="inlineStr">
        <is>
          <t>Open</t>
        </is>
      </c>
      <c r="F314" s="10" t="inlineStr">
        <is>
          <t>Normal</t>
        </is>
      </c>
      <c r="G314" s="9" t="inlineStr">
        <is>
          <t>SEAT</t>
        </is>
      </c>
      <c r="H314" s="11" t="n"/>
      <c r="I314" s="10" t="n"/>
      <c r="J314" s="10" t="n"/>
      <c r="K314" s="10" t="n"/>
    </row>
    <row r="315" ht="18" customHeight="1" s="104">
      <c r="A315" s="74" t="n">
        <v>877</v>
      </c>
      <c r="B315" s="69" t="n">
        <v>32825594</v>
      </c>
      <c r="C315" s="8" t="inlineStr">
        <is>
          <t>FINDING (NRC) TASKCARD 25-SVA-03 (00) / ITEM ONE B/C SEAT# 1J  RUBSTRIP - SHELL BROKEN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04">
      <c r="A316" s="74" t="n">
        <v>878</v>
      </c>
      <c r="B316" s="69" t="n">
        <v>32825599</v>
      </c>
      <c r="C316" s="8" t="inlineStr">
        <is>
          <t>FINDING (NRC) TASKCARD 25-SVA-03 (00) / ITEM ONE B/C SEAT# 1C,5A PANEL ASSEMBLY - ACCESS CRACK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04">
      <c r="A317" s="74" t="n">
        <v>879</v>
      </c>
      <c r="B317" s="69" t="n">
        <v>32825631</v>
      </c>
      <c r="C317" s="8" t="inlineStr">
        <is>
          <t>CAB - NO CALLBACK - LAV A "LAVATORY A" AIR VENTILATION HOOD FOUND BROKEN.</t>
        </is>
      </c>
      <c r="D317" s="9" t="inlineStr">
        <is>
          <t>LAVATORY</t>
        </is>
      </c>
      <c r="E317" s="10" t="inlineStr">
        <is>
          <t>Closed</t>
        </is>
      </c>
      <c r="F317" s="10" t="inlineStr">
        <is>
          <t>Normal</t>
        </is>
      </c>
      <c r="G317" s="9" t="inlineStr">
        <is>
          <t>CAB</t>
        </is>
      </c>
      <c r="H317" s="11" t="inlineStr">
        <is>
          <t>Requested</t>
        </is>
      </c>
      <c r="I317" s="10" t="n"/>
      <c r="J317" s="10" t="inlineStr">
        <is>
          <t>Yes</t>
        </is>
      </c>
      <c r="K317" s="10" t="inlineStr">
        <is>
          <t>FWD</t>
        </is>
      </c>
    </row>
    <row r="318" ht="18" customHeight="1" s="104">
      <c r="A318" s="74" t="n">
        <v>880</v>
      </c>
      <c r="B318" s="69" t="n">
        <v>32825612</v>
      </c>
      <c r="C318" s="8" t="inlineStr">
        <is>
          <t>FINDING (NRC) TASKCARD 25-SVA-03 (00) / ITEM ONE B/C SEAT# 1A SEAT CLOSEOUT ASSEMBLY MISSING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04">
      <c r="A319" s="74" t="n">
        <v>881</v>
      </c>
      <c r="B319" s="69" t="n">
        <v>32825658</v>
      </c>
      <c r="C319" s="8" t="inlineStr">
        <is>
          <t>FINDING (NRC) TASKCARD 25-SVA-03 (00) / ITEM ONE ALL B/C SEAT LANYARD AND PIN - DETENT  MISSING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04">
      <c r="A320" s="74" t="n">
        <v>882</v>
      </c>
      <c r="B320" s="69" t="n">
        <v>32825968</v>
      </c>
      <c r="C320" s="8" t="inlineStr">
        <is>
          <t>FINDING (NRC) TASKCARD 2521000103-001 (04) / ITEM-1 ALL B/C SEAT BELT DIRTY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04">
      <c r="A321" s="74" t="n">
        <v>883</v>
      </c>
      <c r="B321" s="69" t="n">
        <v>32825978</v>
      </c>
      <c r="C321" s="8" t="inlineStr">
        <is>
          <t>FINDING (NRC) TASKCARD 25-SVA-03 (00) / ITEM ONE ALL B/C SEAT ARMCAP AISLE AND CTR DIRTY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04">
      <c r="A322" s="74" t="n">
        <v>884</v>
      </c>
      <c r="B322" s="69" t="n">
        <v>32825996</v>
      </c>
      <c r="C322" s="8" t="inlineStr">
        <is>
          <t>FINDING (NRC) TASKCARD 25-SVA-03 (00) / ITEM ONE ALL B/C SEAT STRUCTURE 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04">
      <c r="A323" s="74" t="n">
        <v>885</v>
      </c>
      <c r="B323" s="69" t="n">
        <v>32826054</v>
      </c>
      <c r="C323" s="8" t="inlineStr">
        <is>
          <t>FINDING (NRC) TASKCARD 25-SVA-03 (00) / ITEM ONE ALL B/C SEAT HEADREST REQUIRED REMOVAL FOR ACCESS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04">
      <c r="A324" s="74" t="n">
        <v>886</v>
      </c>
      <c r="B324" s="69" t="n">
        <v>32826162</v>
      </c>
      <c r="C324" s="8" t="inlineStr">
        <is>
          <t>FINDING (NRC) TASKCARD 25-SVA-05 (00) / ITEM ONE ALL G/C SEAT MAGAZINE SPRING LOOSE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04">
      <c r="A325" s="74" t="n">
        <v>887</v>
      </c>
      <c r="B325" s="69" t="n">
        <v>32826217</v>
      </c>
      <c r="C325" s="8" t="inlineStr">
        <is>
          <t>FINDING (NRC) TASKCARD 25-SVA-05 (00) / ITEM ONE ALL G/C SEAT STRUCTURE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04">
      <c r="A326" s="74" t="n">
        <v>888</v>
      </c>
      <c r="B326" s="69" t="n">
        <v>32826246</v>
      </c>
      <c r="C326" s="8" t="inlineStr">
        <is>
          <t>FINDING (NRC) TASKCARD 25-SVA-05 (00) / ITEM ONE ALL G/C SEAT ARMREST LOOSE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04">
      <c r="A327" s="74" t="n">
        <v>908</v>
      </c>
      <c r="B327" s="69" t="n">
        <v>32827664</v>
      </c>
      <c r="C327" s="8" t="inlineStr">
        <is>
          <t>FINDING (NRC) TASKCARD 25-SVA-05 (00) / ITEM ONE G/C SEAT# 30B SIDE PAD CRACK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04">
      <c r="A328" s="74" t="n">
        <v>909</v>
      </c>
      <c r="B328" s="69" t="n">
        <v>32827686</v>
      </c>
      <c r="C328" s="8" t="inlineStr">
        <is>
          <t>FINDING (NRC) TASKCARD 25-SVA-05 (00) / ITEM ONE ALL G/C SEAT  FOODTRAY DIRTY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04">
      <c r="A329" s="74" t="n">
        <v>913</v>
      </c>
      <c r="B329" s="69" t="n">
        <v>32827700</v>
      </c>
      <c r="C329" s="8" t="inlineStr">
        <is>
          <t>FINDING (NRC) TASKCARD 25-SVA-05 (00) / ITEM ONE G/C SEAT# 37J BUMPER – ENDBAY  DAMAGE</t>
        </is>
      </c>
      <c r="D329" s="9" t="inlineStr">
        <is>
          <t>PAX SEAT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SEAT</t>
        </is>
      </c>
      <c r="H329" s="11" t="n"/>
      <c r="I329" s="10" t="n"/>
      <c r="J329" s="10" t="n"/>
      <c r="K329" s="10" t="n"/>
    </row>
    <row r="330" ht="18" customHeight="1" s="104">
      <c r="A330" s="74" t="n">
        <v>914</v>
      </c>
      <c r="B330" s="69" t="n">
        <v>32827716</v>
      </c>
      <c r="C330" s="8" t="inlineStr">
        <is>
          <t>FINDING (NRC) TASKCARD 2521000103-002 (05) / ITEM-1 ALL G/C SEAT HEADREST REQUIRE REMOVE FOR ACCESS</t>
        </is>
      </c>
      <c r="D330" s="9" t="inlineStr">
        <is>
          <t>PAX SEAT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SEAT</t>
        </is>
      </c>
      <c r="H330" s="11" t="n"/>
      <c r="I330" s="10" t="n"/>
      <c r="J330" s="10" t="n"/>
      <c r="K330" s="10" t="n"/>
    </row>
    <row r="331" ht="18" customHeight="1" s="104">
      <c r="A331" s="74" t="n">
        <v>915</v>
      </c>
      <c r="B331" s="69" t="n">
        <v>32827826</v>
      </c>
      <c r="C331" s="8" t="inlineStr">
        <is>
          <t>FINDING (NRC) TASKCARD 25-SVA-03 (00) / ITEM ONE B/C SEAT#2JL,3L,5L  LATCH - BACK MISSING</t>
        </is>
      </c>
      <c r="D331" s="9" t="inlineStr">
        <is>
          <t>PAX SEAT</t>
        </is>
      </c>
      <c r="E331" s="10" t="inlineStr">
        <is>
          <t>Open</t>
        </is>
      </c>
      <c r="F331" s="10" t="inlineStr">
        <is>
          <t>Normal</t>
        </is>
      </c>
      <c r="G331" s="9" t="inlineStr">
        <is>
          <t>SEAT</t>
        </is>
      </c>
      <c r="H331" s="11" t="n"/>
      <c r="I331" s="10" t="n"/>
      <c r="J331" s="10" t="n"/>
      <c r="K331" s="10" t="n"/>
    </row>
    <row r="332" ht="18" customHeight="1" s="104">
      <c r="A332" s="74" t="n">
        <v>916</v>
      </c>
      <c r="B332" s="69" t="n">
        <v>32828287</v>
      </c>
      <c r="C332" s="8" t="inlineStr">
        <is>
          <t>FINDING (NRC) TASKCARD DCC-32S (11) / ITEM ONE DURING DCC FOUND LAV A INNER DOOR TEDLAR DAMAGED</t>
        </is>
      </c>
      <c r="D332" s="9" t="inlineStr">
        <is>
          <t>TEDLAR/SIDEWALL</t>
        </is>
      </c>
      <c r="E332" s="10" t="inlineStr">
        <is>
          <t>Open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n"/>
      <c r="K332" s="10" t="n"/>
    </row>
    <row r="333" ht="18" customHeight="1" s="104">
      <c r="A333" s="74" t="n">
        <v>917</v>
      </c>
      <c r="B333" s="69" t="n">
        <v>32828299</v>
      </c>
      <c r="C333" s="8" t="inlineStr">
        <is>
          <t>FINDING (NRC) TASKCARD DCC-32S (11) / ITEM ONE DURING DCC FOUND LAV A OUTER DOOR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04">
      <c r="A334" s="74" t="n">
        <v>918</v>
      </c>
      <c r="B334" s="69" t="n">
        <v>32828375</v>
      </c>
      <c r="C334" s="8" t="inlineStr">
        <is>
          <t>FINDING (NRC) TASKCARD DCC-32S (11) / ITEM ONE DURING DCC FOUND UPPER SIDE OF COCKPIT DOOR OUTER SIDE TEDLAR DAMAGED</t>
        </is>
      </c>
      <c r="D334" s="9" t="inlineStr">
        <is>
          <t>TEDLAR/SIDEWALL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S/W</t>
        </is>
      </c>
      <c r="H334" s="11" t="n"/>
      <c r="I334" s="10" t="n"/>
      <c r="J334" s="10" t="inlineStr">
        <is>
          <t>Yes</t>
        </is>
      </c>
      <c r="K334" s="10" t="n"/>
    </row>
    <row r="335" ht="18" customHeight="1" s="104">
      <c r="A335" s="74" t="n">
        <v>919</v>
      </c>
      <c r="B335" s="69" t="n">
        <v>32828382</v>
      </c>
      <c r="C335" s="8" t="inlineStr">
        <is>
          <t>FINDING (NRC) TASKCARD DCC-32S (11) / ITEM ONE DURING DCC FOUND GALLEY DOOR 210 TEDLAR DAMAGED</t>
        </is>
      </c>
      <c r="D335" s="9" t="inlineStr">
        <is>
          <t>TEDLAR/SIDEWALL</t>
        </is>
      </c>
      <c r="E335" s="10" t="inlineStr">
        <is>
          <t>Closed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10" t="n"/>
      <c r="J335" s="10" t="inlineStr">
        <is>
          <t>Yes</t>
        </is>
      </c>
      <c r="K335" s="10" t="n"/>
    </row>
    <row r="336" ht="18" customHeight="1" s="104">
      <c r="A336" s="74" t="n">
        <v>920</v>
      </c>
      <c r="B336" s="69" t="n">
        <v>32828383</v>
      </c>
      <c r="C336" s="8" t="inlineStr">
        <is>
          <t>FINDING (NRC) TASKCARD DCC-32S (11) / ITEM ONE DURING DCC FOUND GALLEY DOOR 205 TEDLAR DAMAGED</t>
        </is>
      </c>
      <c r="D336" s="9" t="inlineStr">
        <is>
          <t>TEDLAR/SIDEWALL</t>
        </is>
      </c>
      <c r="E336" s="10" t="inlineStr">
        <is>
          <t>Open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n"/>
      <c r="K336" s="10" t="n"/>
    </row>
    <row r="337" ht="18" customHeight="1" s="104">
      <c r="A337" s="74" t="n">
        <v>921</v>
      </c>
      <c r="B337" s="69" t="n">
        <v>32828385</v>
      </c>
      <c r="C337" s="8" t="inlineStr">
        <is>
          <t>MACHINE SHOP FWD GALLEY AND AFT GALLEY ALL OVENS FOUND BOLTS FROZEN</t>
        </is>
      </c>
      <c r="D337" s="9" t="inlineStr">
        <is>
          <t>GALLEY</t>
        </is>
      </c>
      <c r="E337" s="10" t="inlineStr">
        <is>
          <t>Closed</t>
        </is>
      </c>
      <c r="F337" s="10" t="inlineStr">
        <is>
          <t>Normal</t>
        </is>
      </c>
      <c r="G337" s="9" t="inlineStr">
        <is>
          <t>S/M</t>
        </is>
      </c>
      <c r="H337" s="11" t="n"/>
      <c r="I337" s="10" t="n"/>
      <c r="J337" s="10" t="inlineStr">
        <is>
          <t>Yes</t>
        </is>
      </c>
      <c r="K337" s="10" t="inlineStr">
        <is>
          <t>JOINT</t>
        </is>
      </c>
    </row>
    <row r="338" ht="34.5" customHeight="1" s="104">
      <c r="A338" s="74" t="n">
        <v>922</v>
      </c>
      <c r="B338" s="69" t="n">
        <v>32828386</v>
      </c>
      <c r="C338" s="92" t="inlineStr">
        <is>
          <t>FINDING (NRC) TASKCARD DCC-32S (11) / ITEM ONE DURING DCC FOUND SIDE WALL PANEL AT SEATS 4 AC ,5 AC ,39 ABC ,40 ABC ,33 JKL ,38 JKL ,39 JKL TEDLAR DAMAGED</t>
        </is>
      </c>
      <c r="D338" s="9" t="inlineStr">
        <is>
          <t>TEDLAR/SIDEWALL</t>
        </is>
      </c>
      <c r="E338" s="10" t="inlineStr">
        <is>
          <t>Open</t>
        </is>
      </c>
      <c r="F338" s="10" t="inlineStr">
        <is>
          <t>Normal</t>
        </is>
      </c>
      <c r="G338" s="9" t="inlineStr">
        <is>
          <t>S/W</t>
        </is>
      </c>
      <c r="H338" s="11" t="n"/>
      <c r="I338" s="10" t="inlineStr">
        <is>
          <t>C/W</t>
        </is>
      </c>
      <c r="J338" s="10" t="n"/>
      <c r="K338" s="10" t="inlineStr">
        <is>
          <t>JOINT</t>
        </is>
      </c>
    </row>
    <row r="339" ht="18" customHeight="1" s="104">
      <c r="A339" s="74" t="n">
        <v>923</v>
      </c>
      <c r="B339" s="69" t="n">
        <v>32828395</v>
      </c>
      <c r="C339" s="8" t="inlineStr">
        <is>
          <t>FINDING (NRC) TASKCARD DCC-32S (11) / ITEM ONE DURING DCC FOUND FWD OUTER WALL OF LAV D TEDLAR DAMAGED</t>
        </is>
      </c>
      <c r="D339" s="9" t="inlineStr">
        <is>
          <t>TEDLAR/SIDEWALL</t>
        </is>
      </c>
      <c r="E339" s="10" t="inlineStr">
        <is>
          <t>Closed</t>
        </is>
      </c>
      <c r="F339" s="10" t="inlineStr">
        <is>
          <t>Normal</t>
        </is>
      </c>
      <c r="G339" s="9" t="inlineStr">
        <is>
          <t>S/W</t>
        </is>
      </c>
      <c r="H339" s="11" t="n"/>
      <c r="I339" s="10" t="n"/>
      <c r="J339" s="10" t="inlineStr">
        <is>
          <t>Yes</t>
        </is>
      </c>
      <c r="K339" s="10" t="n"/>
    </row>
    <row r="340" ht="18" customHeight="1" s="104">
      <c r="A340" s="74" t="n">
        <v>924</v>
      </c>
      <c r="B340" s="69" t="n">
        <v>32828415</v>
      </c>
      <c r="C340" s="8" t="inlineStr">
        <is>
          <t>FINDING (NRC) TASKCARD DCC-32S (11) / ITEM ONE DURING DCC FOUND AFT WALL OF LAV D BESIDE F/A SEAT TEDLAR DAMAGED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S/W</t>
        </is>
      </c>
      <c r="H340" s="11" t="n"/>
      <c r="I340" s="10" t="n"/>
      <c r="J340" s="10" t="n"/>
      <c r="K340" s="10" t="n"/>
    </row>
    <row r="341" ht="18" customHeight="1" s="104">
      <c r="A341" s="74" t="n">
        <v>925</v>
      </c>
      <c r="B341" s="69" t="n">
        <v>32829036</v>
      </c>
      <c r="C341" s="8" t="inlineStr">
        <is>
          <t>CAB - NO CALL BACK - AFT GALLEY AIR CHILLET AFT GALLEY AIR CHILLER FILTER MISSING</t>
        </is>
      </c>
      <c r="D341" s="9" t="inlineStr">
        <is>
          <t>GALLEY</t>
        </is>
      </c>
      <c r="E341" s="10" t="inlineStr">
        <is>
          <t>Closed</t>
        </is>
      </c>
      <c r="F341" s="10" t="inlineStr">
        <is>
          <t>Normal</t>
        </is>
      </c>
      <c r="G341" s="9" t="inlineStr">
        <is>
          <t>CAB</t>
        </is>
      </c>
      <c r="H341" s="11" t="inlineStr">
        <is>
          <t>Requested</t>
        </is>
      </c>
      <c r="I341" s="10" t="n"/>
      <c r="J341" s="10" t="inlineStr">
        <is>
          <t>Yes</t>
        </is>
      </c>
      <c r="K341" s="10" t="inlineStr">
        <is>
          <t>AFT</t>
        </is>
      </c>
    </row>
    <row r="342" ht="18" customHeight="1" s="104">
      <c r="A342" s="74" t="n">
        <v>929</v>
      </c>
      <c r="B342" s="69" t="n">
        <v>32830299</v>
      </c>
      <c r="C342" s="8" t="inlineStr">
        <is>
          <t>L2 DOOR SILL PANEL REQ REMOVAL FOR ACCESS</t>
        </is>
      </c>
      <c r="D342" s="9" t="inlineStr">
        <is>
          <t>PAX DOORS</t>
        </is>
      </c>
      <c r="E342" s="10" t="inlineStr">
        <is>
          <t>Closed</t>
        </is>
      </c>
      <c r="F342" s="10" t="inlineStr">
        <is>
          <t>Normal</t>
        </is>
      </c>
      <c r="G342" s="9" t="inlineStr">
        <is>
          <t>CAB</t>
        </is>
      </c>
      <c r="H342" s="11" t="n"/>
      <c r="I342" s="10" t="n"/>
      <c r="J342" s="10" t="n"/>
      <c r="K342" s="10" t="inlineStr">
        <is>
          <t>AFT</t>
        </is>
      </c>
    </row>
    <row r="343" ht="18" customHeight="1" s="104">
      <c r="A343" s="74" t="n">
        <v>931</v>
      </c>
      <c r="B343" s="69" t="n">
        <v>32830452</v>
      </c>
      <c r="C343" s="8" t="inlineStr">
        <is>
          <t>CAB - NO CALL BACK - SIDEWALL MISSING SPLINE AT 5 AC</t>
        </is>
      </c>
      <c r="D343" s="9" t="inlineStr">
        <is>
          <t>TEDLAR/SIDEWALL</t>
        </is>
      </c>
      <c r="E343" s="10" t="inlineStr">
        <is>
          <t>Closed</t>
        </is>
      </c>
      <c r="F343" s="10" t="inlineStr">
        <is>
          <t>Normal</t>
        </is>
      </c>
      <c r="G343" s="9" t="inlineStr">
        <is>
          <t>CAB</t>
        </is>
      </c>
      <c r="H343" s="11" t="n"/>
      <c r="I343" s="10" t="n"/>
      <c r="J343" s="10" t="n"/>
      <c r="K343" s="10" t="inlineStr">
        <is>
          <t>FWD</t>
        </is>
      </c>
    </row>
    <row r="344" ht="18" customHeight="1" s="104">
      <c r="A344" s="74" t="n">
        <v>932</v>
      </c>
      <c r="B344" s="69" t="n">
        <v>32830902</v>
      </c>
      <c r="C344" s="8" t="inlineStr">
        <is>
          <t>FINDING (NRC) TASKCARD 25-SVA-05 (00) / ITEM ONE G/C SEAT#37B,C,K 38A VIDEO BEZEL ASSEMBLY CRACK</t>
        </is>
      </c>
      <c r="D344" s="9" t="inlineStr">
        <is>
          <t>PAX SEAT</t>
        </is>
      </c>
      <c r="E344" s="10" t="inlineStr">
        <is>
          <t>Open</t>
        </is>
      </c>
      <c r="F344" s="10" t="inlineStr">
        <is>
          <t>Normal</t>
        </is>
      </c>
      <c r="G344" s="9" t="inlineStr">
        <is>
          <t>SEAT</t>
        </is>
      </c>
      <c r="H344" s="11" t="n"/>
      <c r="I344" s="10" t="n"/>
      <c r="J344" s="10" t="n"/>
      <c r="K344" s="10" t="n"/>
    </row>
    <row r="345" ht="18" customHeight="1" s="104">
      <c r="A345" s="74" t="n">
        <v>933</v>
      </c>
      <c r="B345" s="69" t="n">
        <v>32831610</v>
      </c>
      <c r="C345" s="8" t="inlineStr">
        <is>
          <t>FINDING (NRC) TASKCARD 25-SVA-03 (00) / ITEM ONE B/C SEAT# 2AC, 3J AND 4L SHROUD - CONSOLE SIDE DAMAGED.</t>
        </is>
      </c>
      <c r="D345" s="9" t="inlineStr">
        <is>
          <t>PAX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SEAT</t>
        </is>
      </c>
      <c r="H345" s="11" t="n"/>
      <c r="I345" s="10" t="n"/>
      <c r="J345" s="10" t="n"/>
      <c r="K345" s="10" t="n"/>
    </row>
    <row r="346" ht="18" customHeight="1" s="104">
      <c r="A346" s="74" t="n">
        <v>938</v>
      </c>
      <c r="B346" s="69" t="n">
        <v>32832622</v>
      </c>
      <c r="C346" s="8" t="inlineStr">
        <is>
          <t>CKPT,,,,,PNT,,,,NO CALL BACK DURING INSP OF INTERNAL STRUCTURE OF THESE SLIDING WINDOW FOUND CAPTIN &amp; F/O INNER FRAME PNT PEELED OFF</t>
        </is>
      </c>
      <c r="D346" s="9" t="inlineStr">
        <is>
          <t>FLIGHT DECK</t>
        </is>
      </c>
      <c r="E346" s="10" t="inlineStr">
        <is>
          <t>Open</t>
        </is>
      </c>
      <c r="F346" s="10" t="inlineStr">
        <is>
          <t>Normal</t>
        </is>
      </c>
      <c r="G346" s="9" t="inlineStr">
        <is>
          <t>PAINT</t>
        </is>
      </c>
      <c r="H346" s="11" t="n"/>
      <c r="I346" s="10" t="n"/>
      <c r="J346" s="10" t="n"/>
      <c r="K346" s="10" t="n"/>
    </row>
    <row r="347" ht="18" customHeight="1" s="104">
      <c r="A347" s="74" t="n">
        <v>941</v>
      </c>
      <c r="B347" s="69" t="n">
        <v>32835180</v>
      </c>
      <c r="C347" s="8" t="inlineStr">
        <is>
          <t>R1 DOOR DAMPER GUIDE WITH CRACK</t>
        </is>
      </c>
      <c r="D347" s="9" t="inlineStr">
        <is>
          <t>PAX DOORS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 - R</t>
        </is>
      </c>
      <c r="I347" s="10" t="n"/>
      <c r="J347" s="10" t="inlineStr">
        <is>
          <t>Yes</t>
        </is>
      </c>
      <c r="K347" s="10" t="n"/>
    </row>
    <row r="348" ht="18" customHeight="1" s="104">
      <c r="A348" s="74" t="n">
        <v>947</v>
      </c>
      <c r="B348" s="69" t="n">
        <v>32836864</v>
      </c>
      <c r="C348" s="8" t="inlineStr">
        <is>
          <t>CAB - RII - L1 F/A SEAT L1 INBOARD AND OUTBOARD F/A SEAT REQUIRE REMOVAL FOR ACCESS.</t>
        </is>
      </c>
      <c r="D348" s="9" t="inlineStr">
        <is>
          <t>F/A SEAT</t>
        </is>
      </c>
      <c r="E348" s="10" t="inlineStr">
        <is>
          <t>Open</t>
        </is>
      </c>
      <c r="F348" s="10" t="inlineStr">
        <is>
          <t>Normal</t>
        </is>
      </c>
      <c r="G348" s="9" t="inlineStr">
        <is>
          <t>CAB</t>
        </is>
      </c>
      <c r="H348" s="11" t="n"/>
      <c r="I348" s="10" t="n"/>
      <c r="J348" s="10" t="n"/>
      <c r="K348" s="10" t="n"/>
    </row>
    <row r="349" ht="18" customHeight="1" s="104">
      <c r="A349" s="74" t="n">
        <v>954</v>
      </c>
      <c r="B349" s="69" t="n">
        <v>32849864</v>
      </c>
      <c r="C349" s="8" t="inlineStr">
        <is>
          <t>CAB - NO CALLBACK - AFT GALLEY AFT GALLEY COMPARTMENT 520 MID LATCH LEVER LOOSE.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Normal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inlineStr">
        <is>
          <t>Yes</t>
        </is>
      </c>
      <c r="K349" s="10" t="n"/>
    </row>
    <row r="350" ht="18" customHeight="1" s="104">
      <c r="A350" s="74" t="n">
        <v>955</v>
      </c>
      <c r="B350" s="69" t="n">
        <v>32849891</v>
      </c>
      <c r="C350" s="8" t="inlineStr">
        <is>
          <t>CAB - NO CALLBACK - AFT GALLEY AFT GALLEY 7 EA SMALL CART TURN CATCHES AND 7 EA LONG CART CATCHES PAINT FADED.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inlineStr">
        <is>
          <t>Yes</t>
        </is>
      </c>
      <c r="K350" s="10" t="n"/>
    </row>
    <row r="351" ht="18" customHeight="1" s="104">
      <c r="A351" s="74" t="n">
        <v>956</v>
      </c>
      <c r="B351" s="69" t="n">
        <v>32849898</v>
      </c>
      <c r="C351" s="8" t="inlineStr">
        <is>
          <t>CAB - NO CALLBACK - FWD GALLEY G2 GALLEY CART COMPT. 213 T-DIVIDER BUMPER DETACHED.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n"/>
      <c r="J351" s="10" t="inlineStr">
        <is>
          <t>Yes</t>
        </is>
      </c>
      <c r="K351" s="10" t="n"/>
    </row>
    <row r="352" ht="18" customHeight="1" s="104">
      <c r="A352" s="74" t="n">
        <v>957</v>
      </c>
      <c r="B352" s="69" t="n">
        <v>32849904</v>
      </c>
      <c r="C352" s="8" t="inlineStr">
        <is>
          <t>CAB - NO CALLBACK - FWD GALLEY G2 GALLEY COMPT. 204 TURN CATCHES PAINT FADED.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AOG</t>
        </is>
      </c>
      <c r="G352" s="9" t="inlineStr">
        <is>
          <t>CAB</t>
        </is>
      </c>
      <c r="H352" s="11" t="inlineStr">
        <is>
          <t>Requested</t>
        </is>
      </c>
      <c r="I352" s="10" t="n"/>
      <c r="J352" s="10" t="inlineStr">
        <is>
          <t>Yes</t>
        </is>
      </c>
      <c r="K352" s="10" t="n"/>
    </row>
    <row r="353" ht="18" customHeight="1" s="104">
      <c r="A353" s="74" t="n">
        <v>958</v>
      </c>
      <c r="B353" s="69" t="n">
        <v>32849910</v>
      </c>
      <c r="C353" s="8" t="inlineStr">
        <is>
          <t>CAB - NO CALLBACK - FWD GALLEY G1 GALLEY 3 EA MID LATCH LEVER LOOSE.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n"/>
      <c r="J353" s="10" t="inlineStr">
        <is>
          <t>Yes</t>
        </is>
      </c>
      <c r="K353" s="10" t="n"/>
    </row>
    <row r="354" ht="18" customHeight="1" s="104">
      <c r="A354" s="74" t="n">
        <v>959</v>
      </c>
      <c r="B354" s="69" t="n">
        <v>32849919</v>
      </c>
      <c r="C354" s="8" t="inlineStr">
        <is>
          <t>CAB - NO CALLBACK - FWD GALLEY G1 GALLEY CART COMPT. 111 T-DIVIDER BUMPER DAMAGED.</t>
        </is>
      </c>
      <c r="D354" s="9" t="inlineStr">
        <is>
          <t>GALLEY</t>
        </is>
      </c>
      <c r="E354" s="10" t="inlineStr">
        <is>
          <t>Closed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inlineStr">
        <is>
          <t>Yes</t>
        </is>
      </c>
      <c r="K354" s="10" t="n"/>
    </row>
    <row r="355" ht="18" customHeight="1" s="104">
      <c r="A355" s="74" t="n">
        <v>960</v>
      </c>
      <c r="B355" s="69" t="n">
        <v>32849934</v>
      </c>
      <c r="C355" s="8" t="inlineStr">
        <is>
          <t>CAB - NO CALLBACK - FWD GALLEY G1 GALLEY CART COMPT. 110 UPPER LH AIR FLAP SEAL TORN.</t>
        </is>
      </c>
      <c r="D355" s="9" t="inlineStr">
        <is>
          <t>GALLEY</t>
        </is>
      </c>
      <c r="E355" s="10" t="inlineStr">
        <is>
          <t>Closed</t>
        </is>
      </c>
      <c r="F355" s="10" t="inlineStr">
        <is>
          <t>Normal</t>
        </is>
      </c>
      <c r="G355" s="9" t="inlineStr">
        <is>
          <t>CAB</t>
        </is>
      </c>
      <c r="H355" s="11" t="inlineStr">
        <is>
          <t>Requested</t>
        </is>
      </c>
      <c r="I355" s="10" t="n"/>
      <c r="J355" s="10" t="inlineStr">
        <is>
          <t>Yes</t>
        </is>
      </c>
      <c r="K355" s="10" t="n"/>
    </row>
    <row r="356" ht="18" customHeight="1" s="104">
      <c r="A356" s="74" t="n">
        <v>961</v>
      </c>
      <c r="B356" s="69" t="n">
        <v>32849935</v>
      </c>
      <c r="C356" s="8" t="inlineStr">
        <is>
          <t>CAB - NO CALLBACK - FWD GALLEY G1 GALLEY 4 EA SHORT CART CATCHES AND 1 EA LONG CART CATCH PAINT FADED.</t>
        </is>
      </c>
      <c r="D356" s="9" t="inlineStr">
        <is>
          <t>GALLEY</t>
        </is>
      </c>
      <c r="E356" s="10" t="inlineStr">
        <is>
          <t>Closed</t>
        </is>
      </c>
      <c r="F356" s="10" t="inlineStr">
        <is>
          <t>Normal</t>
        </is>
      </c>
      <c r="G356" s="9" t="inlineStr">
        <is>
          <t>CAB</t>
        </is>
      </c>
      <c r="H356" s="11" t="inlineStr">
        <is>
          <t>Requested</t>
        </is>
      </c>
      <c r="I356" s="10" t="n"/>
      <c r="J356" s="10" t="inlineStr">
        <is>
          <t>Yes</t>
        </is>
      </c>
      <c r="K356" s="10" t="n"/>
    </row>
    <row r="357" ht="18" customHeight="1" s="104">
      <c r="A357" s="74" t="n">
        <v>962</v>
      </c>
      <c r="B357" s="69" t="n">
        <v>32849936</v>
      </c>
      <c r="C357" s="8" t="inlineStr">
        <is>
          <t>CAB - NO CALLBACK - FWD GALLEY G2 GALLEY ALL CART TURN CATCHES PAINT FADED.</t>
        </is>
      </c>
      <c r="D357" s="9" t="inlineStr">
        <is>
          <t>GALLEY</t>
        </is>
      </c>
      <c r="E357" s="10" t="inlineStr">
        <is>
          <t>Open</t>
        </is>
      </c>
      <c r="F357" s="10" t="inlineStr">
        <is>
          <t>Normal</t>
        </is>
      </c>
      <c r="G357" s="9" t="inlineStr">
        <is>
          <t>CAB</t>
        </is>
      </c>
      <c r="H357" s="11" t="inlineStr">
        <is>
          <t>Requested</t>
        </is>
      </c>
      <c r="I357" s="10" t="inlineStr">
        <is>
          <t>AFTER S/M REPAIR</t>
        </is>
      </c>
      <c r="J357" s="10" t="n"/>
      <c r="K357" s="10" t="n"/>
    </row>
    <row r="358" ht="18" customHeight="1" s="104">
      <c r="A358" s="74" t="n">
        <v>963</v>
      </c>
      <c r="B358" s="69" t="n">
        <v>32849940</v>
      </c>
      <c r="C358" s="8" t="inlineStr">
        <is>
          <t>CAB - NO CALLBACK - STOWAGE C201 STOWAGE C201 INNER DOOR SURFACE WITH PEN MARKS.</t>
        </is>
      </c>
      <c r="D358" s="9" t="inlineStr">
        <is>
          <t>GENERAL CABIN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inlineStr">
        <is>
          <t>Yes</t>
        </is>
      </c>
      <c r="K358" s="10" t="n"/>
    </row>
    <row r="359" ht="18" customHeight="1" s="104">
      <c r="A359" s="74" t="n">
        <v>964</v>
      </c>
      <c r="B359" s="69" t="n">
        <v>32849947</v>
      </c>
      <c r="C359" s="8" t="inlineStr">
        <is>
          <t>PAINT - NO CALLBACK - LAV E LAVATORY "E" WASHBASIN PANELS WITH CHIPPED PAINT.</t>
        </is>
      </c>
      <c r="D359" s="9" t="inlineStr">
        <is>
          <t>LAVATORY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PAINT</t>
        </is>
      </c>
      <c r="H359" s="11" t="n"/>
      <c r="I359" s="10" t="n"/>
      <c r="J359" s="10" t="n"/>
      <c r="K359" s="10" t="n"/>
    </row>
    <row r="360" ht="18" customHeight="1" s="104">
      <c r="A360" s="74" t="n">
        <v>965</v>
      </c>
      <c r="B360" s="69" t="n">
        <v>32849950</v>
      </c>
      <c r="C360" s="8" t="inlineStr">
        <is>
          <t>CAB - NO CALLBACK - LAV D LAVATORY "D" MIRROR LOWER SIDE FADED.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04">
      <c r="A361" s="74" t="n">
        <v>967</v>
      </c>
      <c r="B361" s="69" t="n">
        <v>32849953</v>
      </c>
      <c r="C361" s="8" t="inlineStr">
        <is>
          <t>CAB - NO CALLBACK - FLIGHT DECK CAPTAIN PEDAL RUBBER MAT DETACHED AND DIRTY.</t>
        </is>
      </c>
      <c r="D361" s="9" t="inlineStr">
        <is>
          <t>FLIGHT DECK</t>
        </is>
      </c>
      <c r="E361" s="10" t="inlineStr">
        <is>
          <t>Closed</t>
        </is>
      </c>
      <c r="F361" s="10" t="inlineStr">
        <is>
          <t>Normal</t>
        </is>
      </c>
      <c r="G361" s="9" t="inlineStr">
        <is>
          <t>CAB</t>
        </is>
      </c>
      <c r="H361" s="11" t="inlineStr">
        <is>
          <t>Requested</t>
        </is>
      </c>
      <c r="I361" s="10" t="n"/>
      <c r="J361" s="10" t="inlineStr">
        <is>
          <t>Yes</t>
        </is>
      </c>
      <c r="K361" s="10" t="n"/>
    </row>
    <row r="362" ht="18" customHeight="1" s="104">
      <c r="A362" s="74" t="n">
        <v>968</v>
      </c>
      <c r="B362" s="69" t="n">
        <v>32849961</v>
      </c>
      <c r="C362" s="8" t="inlineStr">
        <is>
          <t>CAB - NO CALLBACK - FLIGHT DECK F/O PEDAL RUBBER MAT DETACHED AND DIRTY.</t>
        </is>
      </c>
      <c r="D362" s="9" t="inlineStr">
        <is>
          <t>FLIGHT DECK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n"/>
      <c r="J362" s="10" t="inlineStr">
        <is>
          <t>Yes</t>
        </is>
      </c>
      <c r="K362" s="10" t="n"/>
    </row>
    <row r="363" ht="18" customHeight="1" s="104">
      <c r="A363" s="74" t="n">
        <v>971</v>
      </c>
      <c r="B363" s="69" t="n">
        <v>32850062</v>
      </c>
      <c r="C363" s="8" t="inlineStr">
        <is>
          <t>CAB - RII - LAV A LAVATORY "A" WASTE FLAP FOUND WITH FAST RETRACTING.</t>
        </is>
      </c>
      <c r="D363" s="9" t="inlineStr">
        <is>
          <t>LAVATORY</t>
        </is>
      </c>
      <c r="E363" s="10" t="inlineStr">
        <is>
          <t>Open</t>
        </is>
      </c>
      <c r="F363" s="10" t="inlineStr">
        <is>
          <t>AOG</t>
        </is>
      </c>
      <c r="G363" s="9" t="inlineStr">
        <is>
          <t>CAB</t>
        </is>
      </c>
      <c r="H363" s="11" t="inlineStr">
        <is>
          <t>Requested</t>
        </is>
      </c>
      <c r="I363" s="10" t="n"/>
      <c r="J363" s="10" t="n"/>
      <c r="K363" s="10" t="n"/>
    </row>
    <row r="364" ht="18" customHeight="1" s="104">
      <c r="A364" s="74" t="n">
        <v>972</v>
      </c>
      <c r="B364" s="69" t="n">
        <v>32850080</v>
      </c>
      <c r="C364" s="8" t="inlineStr">
        <is>
          <t>CAB - NO CALLBACK - FLIGHT DECK CAPTAIN SLIDING TABLE WITH MISSING PAPER CLIP.</t>
        </is>
      </c>
      <c r="D364" s="9" t="inlineStr">
        <is>
          <t>FLIGHT DECK</t>
        </is>
      </c>
      <c r="E364" s="10" t="inlineStr">
        <is>
          <t>Closed</t>
        </is>
      </c>
      <c r="F364" s="10" t="inlineStr">
        <is>
          <t>Normal</t>
        </is>
      </c>
      <c r="G364" s="9" t="inlineStr">
        <is>
          <t>CAB</t>
        </is>
      </c>
      <c r="H364" s="11" t="n"/>
      <c r="I364" s="10" t="inlineStr">
        <is>
          <t>C/W</t>
        </is>
      </c>
      <c r="J364" s="10" t="n"/>
      <c r="K364" s="10" t="n"/>
    </row>
    <row r="365" ht="18" customHeight="1" s="104">
      <c r="A365" s="74" t="n">
        <v>973</v>
      </c>
      <c r="B365" s="69" t="n">
        <v>32850114</v>
      </c>
      <c r="C365" s="8" t="inlineStr">
        <is>
          <t>CAB - NO CALLBACK - STOWAGE S3 STOWAGE S3 THRESHOLD WARNING TAPE FADED.</t>
        </is>
      </c>
      <c r="D365" s="9" t="inlineStr">
        <is>
          <t>GENERAL CABIN</t>
        </is>
      </c>
      <c r="E365" s="10" t="inlineStr">
        <is>
          <t>Closed</t>
        </is>
      </c>
      <c r="F365" s="10" t="inlineStr">
        <is>
          <t>Normal</t>
        </is>
      </c>
      <c r="G365" s="9" t="inlineStr">
        <is>
          <t>CAB</t>
        </is>
      </c>
      <c r="H365" s="11" t="inlineStr">
        <is>
          <t>Requested</t>
        </is>
      </c>
      <c r="I365" s="10" t="n"/>
      <c r="J365" s="10" t="inlineStr">
        <is>
          <t>Yes</t>
        </is>
      </c>
      <c r="K365" s="10" t="n"/>
    </row>
    <row r="366" ht="18" customHeight="1" s="104">
      <c r="A366" s="74" t="n">
        <v>978</v>
      </c>
      <c r="B366" s="69" t="n">
        <v>32850652</v>
      </c>
      <c r="C366" s="8" t="inlineStr">
        <is>
          <t>PNT - NO CALLBACK - FWD GALLEY G1 GALLEY SLIDING TABLE WITH CHIPPED PAINT.</t>
        </is>
      </c>
      <c r="D366" s="9" t="inlineStr">
        <is>
          <t>GALLEY</t>
        </is>
      </c>
      <c r="E366" s="10" t="inlineStr">
        <is>
          <t>Open</t>
        </is>
      </c>
      <c r="F366" s="10" t="inlineStr">
        <is>
          <t>Normal</t>
        </is>
      </c>
      <c r="G366" s="9" t="inlineStr">
        <is>
          <t>PAINT</t>
        </is>
      </c>
      <c r="H366" s="11" t="n"/>
      <c r="I366" s="10" t="n"/>
      <c r="J366" s="10" t="n"/>
      <c r="K366" s="10" t="n"/>
    </row>
    <row r="367" ht="36" customHeight="1" s="104">
      <c r="A367" s="74" t="inlineStr">
        <is>
          <t>981</t>
        </is>
      </c>
      <c r="B367" s="69" t="inlineStr">
        <is>
          <t>32854724</t>
        </is>
      </c>
      <c r="C367" s="92" t="inlineStr">
        <is>
          <t>COCKPIT CEILING PANEL- CAB - RII REMOVAL OF COCKPIT CEILING PNL/S 211AC, 212AC, 211BC, 212BC, 211DC, 212DC, 211EC, 212EC, 211FC  212FC ,211LC,212LC,211MW, AND 211LW FOR ACCESS</t>
        </is>
      </c>
      <c r="D367" s="9" t="inlineStr">
        <is>
          <t>FLIGHT DECK</t>
        </is>
      </c>
      <c r="E367" s="10" t="inlineStr">
        <is>
          <t>Open</t>
        </is>
      </c>
      <c r="F367" s="10" t="inlineStr">
        <is>
          <t>Normal</t>
        </is>
      </c>
      <c r="G367" s="9" t="inlineStr">
        <is>
          <t>CAB</t>
        </is>
      </c>
      <c r="H367" s="11" t="inlineStr">
        <is>
          <t>N/R</t>
        </is>
      </c>
      <c r="I367" s="10" t="n"/>
      <c r="J367" s="10" t="n"/>
      <c r="K367" s="10" t="n"/>
    </row>
    <row r="368" ht="18" customHeight="1" s="104">
      <c r="A368" s="74" t="n">
        <v>993</v>
      </c>
      <c r="B368" s="69" t="n">
        <v>32867377</v>
      </c>
      <c r="C368" s="92" t="inlineStr">
        <is>
          <t>CAB - RII - R2 F/A SEAT R2 F/A SEAT BELT FRAYED.</t>
        </is>
      </c>
      <c r="D368" s="9" t="inlineStr">
        <is>
          <t>F/A SEAT</t>
        </is>
      </c>
      <c r="E368" s="10" t="inlineStr">
        <is>
          <t>Open</t>
        </is>
      </c>
      <c r="F368" s="10" t="inlineStr">
        <is>
          <t>AOG</t>
        </is>
      </c>
      <c r="G368" s="9" t="inlineStr">
        <is>
          <t>CAB</t>
        </is>
      </c>
      <c r="H368" s="11" t="inlineStr">
        <is>
          <t>Requested</t>
        </is>
      </c>
      <c r="I368" s="10" t="n"/>
      <c r="J368" s="10" t="n"/>
      <c r="K368" s="10" t="n"/>
    </row>
    <row r="369" ht="18" customHeight="1" s="104">
      <c r="A369" s="74" t="n">
        <v>994</v>
      </c>
      <c r="B369" s="69" t="n">
        <v>32867426</v>
      </c>
      <c r="C369" s="92" t="inlineStr">
        <is>
          <t>CAB - RII - L1 F/A SEAT L1 INBOARD AND OUTBOARD F/A SEAT BELTS FRAYED.</t>
        </is>
      </c>
      <c r="D369" s="9" t="inlineStr">
        <is>
          <t>F/A SEAT</t>
        </is>
      </c>
      <c r="E369" s="10" t="inlineStr">
        <is>
          <t>Open</t>
        </is>
      </c>
      <c r="F369" s="10" t="inlineStr">
        <is>
          <t>AOG</t>
        </is>
      </c>
      <c r="G369" s="9" t="inlineStr">
        <is>
          <t>CAB</t>
        </is>
      </c>
      <c r="H369" s="11" t="inlineStr">
        <is>
          <t>Requested</t>
        </is>
      </c>
      <c r="I369" s="10" t="n"/>
      <c r="J369" s="10" t="n"/>
      <c r="K369" s="10" t="n"/>
    </row>
    <row r="370" ht="18" customHeight="1" s="104">
      <c r="A370" s="74" t="n">
        <v>995</v>
      </c>
      <c r="B370" s="69" t="inlineStr">
        <is>
          <t>352142-01-1</t>
        </is>
      </c>
      <c r="C370" s="92" t="inlineStr">
        <is>
          <t>352142-01-1 (7) / DISCARD CHEMICAL OXYGEN GENERATORS</t>
        </is>
      </c>
      <c r="D370" s="9" t="inlineStr">
        <is>
          <t>GENERAL CABIN</t>
        </is>
      </c>
      <c r="E370" s="10" t="inlineStr">
        <is>
          <t>Open</t>
        </is>
      </c>
      <c r="F370" s="10" t="inlineStr">
        <is>
          <t>Normal</t>
        </is>
      </c>
      <c r="G370" s="9" t="inlineStr">
        <is>
          <t>CAB</t>
        </is>
      </c>
      <c r="H370" s="11" t="inlineStr">
        <is>
          <t>Requested</t>
        </is>
      </c>
      <c r="I370" s="10" t="n"/>
      <c r="J370" s="10" t="n"/>
      <c r="K370" s="10" t="n"/>
    </row>
    <row r="371" ht="18" customHeight="1" s="104">
      <c r="A371" s="74" t="n">
        <v>996</v>
      </c>
      <c r="B371" s="69" t="n">
        <v>32867568</v>
      </c>
      <c r="C371" s="92" t="inlineStr">
        <is>
          <t>CAB - RII - L2 F/A SEAT L2 F/A SEAT BELT FRAYED.</t>
        </is>
      </c>
      <c r="D371" s="9" t="inlineStr">
        <is>
          <t>F/A SEAT</t>
        </is>
      </c>
      <c r="E371" s="10" t="inlineStr">
        <is>
          <t>Open</t>
        </is>
      </c>
      <c r="F371" s="10" t="inlineStr">
        <is>
          <t>AOG</t>
        </is>
      </c>
      <c r="G371" s="9" t="inlineStr">
        <is>
          <t>CAB</t>
        </is>
      </c>
      <c r="H371" s="11" t="inlineStr">
        <is>
          <t>Requested</t>
        </is>
      </c>
      <c r="I371" s="10" t="n"/>
      <c r="J371" s="10" t="n"/>
      <c r="K371" s="10" t="n"/>
    </row>
    <row r="372" ht="18" customHeight="1" s="104">
      <c r="A372" s="74" t="n">
        <v>997</v>
      </c>
      <c r="B372" s="69" t="n">
        <v>32867643</v>
      </c>
      <c r="C372" s="92" t="inlineStr">
        <is>
          <t>CAB - RII - SWIVEL F/A SEAT SWIVEL F/A SEAT BELT FRAYED.</t>
        </is>
      </c>
      <c r="D372" s="9" t="inlineStr">
        <is>
          <t>F/A SEAT</t>
        </is>
      </c>
      <c r="E372" s="10" t="inlineStr">
        <is>
          <t>Open</t>
        </is>
      </c>
      <c r="F372" s="10" t="inlineStr">
        <is>
          <t>AOG</t>
        </is>
      </c>
      <c r="G372" s="9" t="inlineStr">
        <is>
          <t>CAB</t>
        </is>
      </c>
      <c r="H372" s="11" t="inlineStr">
        <is>
          <t>Requested</t>
        </is>
      </c>
      <c r="I372" s="10" t="n"/>
      <c r="J372" s="10" t="n"/>
      <c r="K372" s="10" t="n"/>
    </row>
    <row r="373" ht="18" customHeight="1" s="104">
      <c r="A373" s="74" t="n">
        <v>998</v>
      </c>
      <c r="B373" s="69" t="n">
        <v>32867427</v>
      </c>
      <c r="C373" s="92" t="inlineStr">
        <is>
          <t>CAB - RII - CAPTAIN SEAT BELT CAPTAIN SEAT BELT L/H SHOULDER HARNESS FRAYED AND LAP BELT DETERIORATED</t>
        </is>
      </c>
      <c r="D373" s="9" t="inlineStr">
        <is>
          <t>FLIGHT DECK</t>
        </is>
      </c>
      <c r="E373" s="10" t="inlineStr">
        <is>
          <t>Open</t>
        </is>
      </c>
      <c r="F373" s="10" t="inlineStr">
        <is>
          <t>Normal</t>
        </is>
      </c>
      <c r="G373" s="9" t="inlineStr">
        <is>
          <t>CAB</t>
        </is>
      </c>
      <c r="H373" s="11" t="inlineStr">
        <is>
          <t>Requested - R</t>
        </is>
      </c>
      <c r="I373" s="10" t="n"/>
      <c r="J373" s="10" t="n"/>
      <c r="K373" s="10" t="n"/>
    </row>
    <row r="374" ht="18" customHeight="1" s="104">
      <c r="A374" s="74" t="n">
        <v>999</v>
      </c>
      <c r="B374" s="69" t="n">
        <v>32867877</v>
      </c>
      <c r="C374" s="92" t="inlineStr">
        <is>
          <t>CAB - RII - FIRST OFFICER SEAT BELT F/O SEAT BELT SHOULDER HARNESS WEAK RETRACTION AND LAP BELTS DETERIORATED</t>
        </is>
      </c>
      <c r="D374" s="9" t="inlineStr">
        <is>
          <t>FLIGHT DECK</t>
        </is>
      </c>
      <c r="E374" s="10" t="inlineStr">
        <is>
          <t>Open</t>
        </is>
      </c>
      <c r="F374" s="10" t="inlineStr">
        <is>
          <t>Normal</t>
        </is>
      </c>
      <c r="G374" s="9" t="inlineStr">
        <is>
          <t>CAB</t>
        </is>
      </c>
      <c r="H374" s="11" t="inlineStr">
        <is>
          <t>Requested - R</t>
        </is>
      </c>
      <c r="I374" s="10" t="n"/>
      <c r="J374" s="10" t="n"/>
      <c r="K374" s="10" t="n"/>
    </row>
    <row r="375" ht="18" customHeight="1" s="104">
      <c r="A375" s="74" t="n">
        <v>1000</v>
      </c>
      <c r="B375" s="69" t="n">
        <v>32867879</v>
      </c>
      <c r="C375" s="95" t="inlineStr">
        <is>
          <t>CAB - RII - 3D OBSERVER SEAT BELT 3RD OBSERVER SEAT BELT DETERIORATED</t>
        </is>
      </c>
      <c r="D375" s="9" t="inlineStr">
        <is>
          <t>FLIGHT DECK</t>
        </is>
      </c>
      <c r="E375" s="10" t="inlineStr">
        <is>
          <t>Open</t>
        </is>
      </c>
      <c r="F375" s="10" t="inlineStr">
        <is>
          <t>Normal</t>
        </is>
      </c>
      <c r="G375" s="9" t="inlineStr">
        <is>
          <t>CAB</t>
        </is>
      </c>
      <c r="H375" s="11" t="inlineStr">
        <is>
          <t>Requested</t>
        </is>
      </c>
      <c r="I375" s="10" t="n"/>
      <c r="J375" s="10" t="n"/>
      <c r="K375" s="10" t="n"/>
    </row>
    <row r="376" ht="18" customHeight="1" s="104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04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04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04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04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04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04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04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04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04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04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04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04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04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04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04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04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04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04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04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04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04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04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04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04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04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04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04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04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04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04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04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04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04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04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04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04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04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04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04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04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04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04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04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04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04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04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04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04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04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04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04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04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04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04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04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04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04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04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04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04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04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04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04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04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04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04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04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04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04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04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04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04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04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04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04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04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04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04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04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04">
      <c r="A456" s="6" t="n"/>
      <c r="B456" s="7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04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04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04">
      <c r="A459" s="6" t="n"/>
      <c r="B459" s="69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04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04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04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04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04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04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04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04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04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04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04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04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04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04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04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04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04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04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04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04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04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04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04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04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04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04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04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04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04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04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04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04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04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04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04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04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04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04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04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04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04">
      <c r="A500" s="6" t="n"/>
      <c r="B500" s="7" t="n"/>
      <c r="C500" s="8" t="n"/>
      <c r="D500" s="9" t="n"/>
      <c r="E500" s="10" t="inlineStr">
        <is>
          <t>Open</t>
        </is>
      </c>
      <c r="F500" s="10" t="inlineStr">
        <is>
          <t>Normal</t>
        </is>
      </c>
      <c r="G500" s="9" t="n"/>
      <c r="H500" s="11" t="n"/>
      <c r="I500" s="10" t="n"/>
      <c r="J500" s="10" t="n"/>
      <c r="K500" s="10" t="n"/>
    </row>
    <row r="501" ht="18" customHeight="1" s="104">
      <c r="A501" s="6" t="n"/>
      <c r="B501" s="7" t="n"/>
      <c r="C501" s="8" t="n"/>
      <c r="D501" s="9" t="n"/>
      <c r="E501" s="10" t="inlineStr">
        <is>
          <t>Open</t>
        </is>
      </c>
      <c r="F501" s="10" t="inlineStr">
        <is>
          <t>Normal</t>
        </is>
      </c>
      <c r="G501" s="9" t="n"/>
      <c r="H501" s="11" t="n"/>
      <c r="I501" s="10" t="n"/>
      <c r="J501" s="10" t="n"/>
      <c r="K501" s="10" t="n"/>
    </row>
    <row r="502" ht="18" customHeight="1" s="104">
      <c r="A502" s="6" t="n"/>
      <c r="B502" s="7" t="n"/>
      <c r="C502" s="8" t="n"/>
      <c r="D502" s="9" t="n"/>
      <c r="E502" s="10" t="inlineStr">
        <is>
          <t>Open</t>
        </is>
      </c>
      <c r="F502" s="10" t="inlineStr">
        <is>
          <t>Normal</t>
        </is>
      </c>
      <c r="G502" s="9" t="n"/>
      <c r="H502" s="11" t="n"/>
      <c r="I502" s="10" t="n"/>
      <c r="J502" s="10" t="n"/>
      <c r="K502" s="10" t="n"/>
    </row>
    <row r="503" ht="18" customHeight="1" s="104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04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04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04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04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04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04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04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04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04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04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04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04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04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04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04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04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04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04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04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04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04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04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04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04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04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04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04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04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04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04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04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04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04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04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04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04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04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04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04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04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04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04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04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04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04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04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04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04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04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04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04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04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04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04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04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04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04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04">
      <c r="A561" s="6" t="n"/>
      <c r="B561" s="7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04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04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04">
      <c r="A564" s="6" t="n"/>
      <c r="B564" s="69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04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04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04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04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04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04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04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04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04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04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04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04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04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04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04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04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04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04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04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04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04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04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04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04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04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04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04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04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04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04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04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04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04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04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04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04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04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04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04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04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04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04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04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04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04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04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04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04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04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04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04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04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04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04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04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04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04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04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04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04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04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04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04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04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04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04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04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04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04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04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04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04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04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04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04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04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04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04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04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04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04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04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04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04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04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04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04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04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04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04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04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04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04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04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04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04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04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04">
      <c r="A662" s="6" t="n"/>
      <c r="B662" s="7" t="n"/>
      <c r="C662" s="8" t="n"/>
      <c r="D662" s="9" t="n"/>
      <c r="E662" s="10" t="n"/>
      <c r="F662" s="10" t="n"/>
      <c r="G662" s="9" t="n"/>
      <c r="H662" s="11" t="n"/>
      <c r="I662" s="10" t="n"/>
      <c r="J662" s="10" t="n"/>
      <c r="K662" s="10" t="n"/>
    </row>
    <row r="663" ht="18" customHeight="1" s="104">
      <c r="A663" s="6" t="n"/>
      <c r="B663" s="7" t="n"/>
      <c r="C663" s="8" t="n"/>
      <c r="D663" s="9" t="n"/>
      <c r="E663" s="10" t="n"/>
      <c r="F663" s="10" t="n"/>
      <c r="G663" s="9" t="n"/>
      <c r="H663" s="11" t="n"/>
      <c r="I663" s="10" t="n"/>
      <c r="J663" s="10" t="n"/>
      <c r="K663" s="10" t="n"/>
    </row>
    <row r="664" ht="18" customHeight="1" s="104">
      <c r="A664" s="6" t="n"/>
      <c r="B664" s="7" t="n"/>
      <c r="C664" s="8" t="n"/>
      <c r="D664" s="9" t="n"/>
      <c r="E664" s="10" t="n"/>
      <c r="F664" s="10" t="n"/>
      <c r="G664" s="9" t="n"/>
      <c r="H664" s="11" t="n"/>
      <c r="I664" s="10" t="n"/>
      <c r="J664" s="10" t="n"/>
      <c r="K664" s="10" t="n"/>
    </row>
    <row r="665" ht="18" customHeight="1" s="104">
      <c r="A665" s="74" t="n"/>
      <c r="B665" s="69" t="n"/>
      <c r="C665" s="8" t="n"/>
      <c r="D665" s="9" t="n"/>
      <c r="E665" s="10" t="n"/>
      <c r="F665" s="10" t="n"/>
      <c r="G665" s="9" t="n"/>
      <c r="H665" s="67" t="n"/>
      <c r="I665" s="10" t="n"/>
      <c r="J665" s="10" t="n"/>
      <c r="K665" s="10" t="n"/>
    </row>
    <row r="666" ht="18" customHeight="1" s="104">
      <c r="A666" s="74" t="n"/>
      <c r="B666" s="69" t="n"/>
      <c r="C666" s="8" t="n"/>
      <c r="D666" s="9" t="n"/>
      <c r="E666" s="10" t="n"/>
      <c r="F666" s="10" t="n"/>
      <c r="G666" s="9" t="n"/>
      <c r="H666" s="67" t="n"/>
      <c r="I666" s="10" t="n"/>
      <c r="J666" s="10" t="n"/>
      <c r="K666" s="10" t="n"/>
    </row>
    <row r="667" ht="18" customHeight="1" s="104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04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04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04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04">
      <c r="A671" s="74" t="n"/>
      <c r="B671" s="69" t="n"/>
      <c r="C671" s="8" t="n"/>
      <c r="D671" s="67" t="n"/>
      <c r="E671" s="10" t="n"/>
      <c r="F671" s="10" t="n"/>
      <c r="G671" s="67" t="n"/>
      <c r="H671" s="67" t="n"/>
      <c r="I671" s="10" t="n"/>
      <c r="J671" s="10" t="n"/>
      <c r="K671" s="10" t="n"/>
    </row>
    <row r="672" ht="18" customHeight="1" s="104">
      <c r="A672" s="74" t="n"/>
      <c r="B672" s="69" t="n"/>
      <c r="C672" s="8" t="n"/>
      <c r="D672" s="67" t="n"/>
      <c r="E672" s="10" t="n"/>
      <c r="F672" s="10" t="n"/>
      <c r="G672" s="67" t="n"/>
      <c r="H672" s="67" t="n"/>
      <c r="I672" s="10" t="n"/>
      <c r="J672" s="10" t="n"/>
      <c r="K672" s="10" t="n"/>
    </row>
    <row r="673" ht="18" customHeight="1" s="104">
      <c r="A673" s="74" t="n"/>
      <c r="B673" s="69" t="n"/>
      <c r="C673" s="8" t="n"/>
      <c r="D673" s="67" t="n"/>
      <c r="E673" s="10" t="n"/>
      <c r="F673" s="10" t="n"/>
      <c r="G673" s="67" t="n"/>
      <c r="H673" s="67" t="n"/>
      <c r="I673" s="10" t="n"/>
      <c r="J673" s="10" t="n"/>
      <c r="K673" s="10" t="n"/>
    </row>
    <row r="674" ht="18" customHeight="1" s="104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04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04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04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04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10" t="n"/>
      <c r="J678" s="10" t="n"/>
      <c r="K678" s="10" t="n"/>
    </row>
    <row r="679" ht="18" customHeight="1" s="104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10" t="n"/>
      <c r="J679" s="10" t="n"/>
      <c r="K679" s="10" t="n"/>
    </row>
    <row r="680" ht="18" customHeight="1" s="104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10" t="n"/>
      <c r="J680" s="10" t="n"/>
      <c r="K680" s="10" t="n"/>
    </row>
    <row r="681" ht="18" customHeight="1" s="104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04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04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04">
      <c r="A684" s="74" t="n"/>
      <c r="B684" s="69" t="n"/>
      <c r="C684" s="8" t="n"/>
      <c r="D684" s="67" t="n"/>
      <c r="E684" s="10" t="n"/>
      <c r="F684" s="67" t="n"/>
      <c r="G684" s="67" t="n"/>
      <c r="H684" s="67" t="n"/>
      <c r="I684" s="67" t="n"/>
      <c r="J684" s="10" t="n"/>
      <c r="K684" s="10" t="n"/>
    </row>
    <row r="685" ht="18" customHeight="1" s="104">
      <c r="A685" s="74" t="n"/>
      <c r="B685" s="69" t="n"/>
      <c r="C685" s="8" t="n"/>
      <c r="D685" s="67" t="n"/>
      <c r="E685" s="10" t="n"/>
      <c r="F685" s="67" t="n"/>
      <c r="G685" s="67" t="n"/>
      <c r="H685" s="67" t="n"/>
      <c r="I685" s="67" t="n"/>
      <c r="J685" s="10" t="n"/>
      <c r="K685" s="10" t="n"/>
    </row>
    <row r="686" ht="18" customHeight="1" s="104">
      <c r="A686" s="74" t="n"/>
      <c r="B686" s="69" t="n"/>
      <c r="C686" s="8" t="n"/>
      <c r="D686" s="67" t="n"/>
      <c r="E686" s="10" t="n"/>
      <c r="F686" s="67" t="n"/>
      <c r="G686" s="67" t="n"/>
      <c r="H686" s="67" t="n"/>
      <c r="I686" s="67" t="n"/>
      <c r="J686" s="10" t="n"/>
      <c r="K686" s="10" t="n"/>
    </row>
    <row r="687" ht="18" customHeight="1" s="104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04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04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04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04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04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04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04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04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04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04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04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04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04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04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04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04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04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04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04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04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04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04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04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04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04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04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04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04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04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04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04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04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04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04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04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04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04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04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04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04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04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04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04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04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04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04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04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04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04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04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04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04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04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04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04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04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04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04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04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04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04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04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04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04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04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04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04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04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04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04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04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04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04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04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04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04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04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04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04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04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04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04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04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04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04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04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04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04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04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04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04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04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04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04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04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04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04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04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04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04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04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04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04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04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04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04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04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04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04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04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04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04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04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04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04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04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04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04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04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04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04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04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04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04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04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04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04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04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04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04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04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04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04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04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04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04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04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04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04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04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04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04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04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04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04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04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04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04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04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04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04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04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04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04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04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04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04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04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04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04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04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04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04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04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04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04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04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04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04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04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04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04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04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04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04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04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04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04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04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04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04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04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04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04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04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04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04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04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04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04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04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04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04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04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04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04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04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04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04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04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04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04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04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04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04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04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04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04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04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04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04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04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04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04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04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04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04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04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04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04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04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04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04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04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04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04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04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04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04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04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04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04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04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04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04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04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04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04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04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04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04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04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04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04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04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04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04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04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04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04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04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04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04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04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04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04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04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04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04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04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04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04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04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04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04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04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04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04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04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04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04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04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04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04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04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04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04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04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04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04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04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04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04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04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04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04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04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04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04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04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04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04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04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04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04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04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04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04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04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04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04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04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04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04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04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04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04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04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04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04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04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8" customHeight="1" s="104">
      <c r="A999" s="68" t="n"/>
      <c r="B999" s="68" t="n"/>
      <c r="C999" s="68" t="n"/>
      <c r="D999" s="67" t="n"/>
      <c r="E999" s="67" t="n"/>
      <c r="F999" s="67" t="n"/>
      <c r="G999" s="67" t="n"/>
      <c r="H999" s="67" t="n"/>
      <c r="I999" s="67" t="n"/>
      <c r="J999" s="67" t="n"/>
    </row>
    <row r="1000" ht="18" customHeight="1" s="104">
      <c r="A1000" s="68" t="n"/>
      <c r="B1000" s="68" t="n"/>
      <c r="C1000" s="68" t="n"/>
      <c r="D1000" s="67" t="n"/>
      <c r="E1000" s="67" t="n"/>
      <c r="F1000" s="67" t="n"/>
      <c r="G1000" s="67" t="n"/>
      <c r="H1000" s="67" t="n"/>
      <c r="I1000" s="67" t="n"/>
      <c r="J1000" s="67" t="n"/>
    </row>
    <row r="1001" ht="18" customHeight="1" s="104">
      <c r="A1001" s="68" t="n"/>
      <c r="B1001" s="68" t="n"/>
      <c r="C1001" s="68" t="n"/>
      <c r="D1001" s="67" t="n"/>
      <c r="E1001" s="67" t="n"/>
      <c r="F1001" s="67" t="n"/>
      <c r="G1001" s="67" t="n"/>
      <c r="H1001" s="67" t="n"/>
      <c r="I1001" s="67" t="n"/>
      <c r="J1001" s="67" t="n"/>
    </row>
    <row r="1002" ht="15.75" customHeight="1" s="104">
      <c r="A1002" s="6" t="n"/>
      <c r="B1002" s="7" t="n"/>
      <c r="C1002" s="8" t="n"/>
      <c r="D1002" s="9" t="n"/>
      <c r="E1002" s="10" t="n"/>
      <c r="F1002" s="10" t="n"/>
      <c r="G1002" s="9" t="n"/>
      <c r="H1002" s="11" t="n"/>
      <c r="I1002" s="6" t="n"/>
      <c r="J1002" s="10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66">
      <formula>$F4="AOG"</formula>
    </cfRule>
    <cfRule type="expression" priority="114" dxfId="68">
      <formula>$F4="Critical"</formula>
    </cfRule>
  </conditionalFormatting>
  <conditionalFormatting sqref="B4:B1002">
    <cfRule type="expression" priority="9" dxfId="66">
      <formula>$F4="AOG"</formula>
    </cfRule>
    <cfRule type="expression" priority="115" dxfId="68">
      <formula>$F4="Critical"</formula>
    </cfRule>
  </conditionalFormatting>
  <conditionalFormatting sqref="C4:C1002">
    <cfRule type="expression" priority="116" dxfId="68">
      <formula>$F4="Critical"</formula>
    </cfRule>
  </conditionalFormatting>
  <conditionalFormatting sqref="C253:C347">
    <cfRule type="expression" priority="11" dxfId="66">
      <formula>$F253="AOG"</formula>
    </cfRule>
  </conditionalFormatting>
  <conditionalFormatting sqref="D4:D1002">
    <cfRule type="cellIs" priority="43" operator="equal" dxfId="24">
      <formula>"GENERAL CABIN"</formula>
    </cfRule>
    <cfRule type="cellIs" priority="44" operator="equal" dxfId="23">
      <formula>"GALLEY"</formula>
    </cfRule>
    <cfRule type="cellIs" priority="45" operator="equal" dxfId="22">
      <formula>"LAVATORY"</formula>
    </cfRule>
    <cfRule type="cellIs" priority="46" operator="equal" dxfId="21">
      <formula>"PAX DOORS"</formula>
    </cfRule>
    <cfRule type="cellIs" priority="47" operator="equal" dxfId="20">
      <formula>"F/A SEAT"</formula>
    </cfRule>
    <cfRule type="cellIs" priority="48" operator="equal" dxfId="19">
      <formula>"PAX SEAT"</formula>
    </cfRule>
    <cfRule type="cellIs" priority="49" operator="equal" dxfId="18">
      <formula>"FLIGHT DECK"</formula>
    </cfRule>
    <cfRule type="cellIs" priority="50" operator="equal" dxfId="17">
      <formula>"OFAR/OFCR"</formula>
    </cfRule>
    <cfRule type="cellIs" priority="51" operator="equal" dxfId="16">
      <formula>"TEDLAR/SIDEWALL"</formula>
    </cfRule>
    <cfRule type="cellIs" priority="52" operator="equal" dxfId="15">
      <formula>"PAINT"</formula>
    </cfRule>
    <cfRule type="cellIs" priority="53" operator="equal" dxfId="72">
      <formula>"TASK CARD"</formula>
    </cfRule>
  </conditionalFormatting>
  <conditionalFormatting sqref="E4:E1002">
    <cfRule type="cellIs" priority="55" operator="equal" dxfId="71">
      <formula>"Open"</formula>
    </cfRule>
    <cfRule type="cellIs" priority="56" operator="equal" dxfId="70">
      <formula>"In Progress"</formula>
    </cfRule>
    <cfRule type="cellIs" priority="59" operator="equal" dxfId="69">
      <formula>"N/A"</formula>
    </cfRule>
    <cfRule type="expression" priority="117" dxfId="68">
      <formula>$F4="Critical"</formula>
    </cfRule>
    <cfRule type="cellIs" priority="117" operator="equal" dxfId="67">
      <formula>"On Hold"</formula>
    </cfRule>
    <cfRule type="expression" priority="117" dxfId="66">
      <formula>$F4="AOG"</formula>
    </cfRule>
    <cfRule type="cellIs" priority="117" operator="equal" dxfId="65">
      <formula>"Deferred"</formula>
    </cfRule>
    <cfRule type="cellIs" priority="117" operator="equal" dxfId="64">
      <formula>"Closed"</formula>
    </cfRule>
  </conditionalFormatting>
  <conditionalFormatting sqref="F4:F1002">
    <cfRule type="cellIs" priority="60" operator="equal" dxfId="63">
      <formula>"AOG"</formula>
    </cfRule>
    <cfRule type="cellIs" priority="61" operator="equal" dxfId="62">
      <formula>"Critical"</formula>
    </cfRule>
    <cfRule type="cellIs" priority="62" operator="equal" dxfId="61">
      <formula>"High"</formula>
    </cfRule>
    <cfRule type="cellIs" priority="63" operator="equal" dxfId="60">
      <formula>"Normal"</formula>
    </cfRule>
    <cfRule type="cellIs" priority="64" operator="equal" dxfId="59">
      <formula>"Low"</formula>
    </cfRule>
  </conditionalFormatting>
  <conditionalFormatting sqref="G4:G1002">
    <cfRule type="cellIs" priority="103" operator="equal" dxfId="58">
      <formula>"CAB"</formula>
    </cfRule>
    <cfRule type="cellIs" priority="104" operator="equal" dxfId="57">
      <formula>"SEAT"</formula>
    </cfRule>
    <cfRule type="cellIs" priority="105" operator="equal" dxfId="56">
      <formula>"AV"</formula>
    </cfRule>
    <cfRule type="cellIs" priority="106" operator="equal" dxfId="55">
      <formula>"S/W"</formula>
    </cfRule>
    <cfRule type="cellIs" priority="107" operator="equal" dxfId="54">
      <formula>"S/M"</formula>
    </cfRule>
    <cfRule type="cellIs" priority="108" operator="equal" dxfId="53">
      <formula>"PAINT"</formula>
    </cfRule>
    <cfRule type="cellIs" priority="110" operator="equal" dxfId="52">
      <formula>"INSP"</formula>
    </cfRule>
    <cfRule type="cellIs" priority="109" operator="equal" dxfId="51">
      <formula>"JOINT"</formula>
    </cfRule>
  </conditionalFormatting>
  <conditionalFormatting sqref="H4:H1002">
    <cfRule type="cellIs" priority="101" operator="equal" dxfId="50">
      <formula>"Pending EVAL"</formula>
    </cfRule>
    <cfRule type="cellIs" priority="102" operator="equal" dxfId="49">
      <formula>"N/A"</formula>
    </cfRule>
    <cfRule type="cellIs" priority="91" operator="equal" dxfId="48">
      <formula>"N/R"</formula>
    </cfRule>
    <cfRule type="cellIs" priority="92" operator="equal" dxfId="47">
      <formula>"Requested"</formula>
    </cfRule>
    <cfRule type="cellIs" priority="94" operator="equal" dxfId="46">
      <formula>"Requested - R"</formula>
    </cfRule>
    <cfRule type="cellIs" priority="99" operator="equal" dxfId="45">
      <formula>"Requested - CR"</formula>
    </cfRule>
  </conditionalFormatting>
  <conditionalFormatting sqref="I4:I1002">
    <cfRule type="expression" priority="86" dxfId="44">
      <formula>OR(TRIM(I4)="C/W",TRIM(I4)="CW")</formula>
    </cfRule>
  </conditionalFormatting>
  <conditionalFormatting sqref="J4:J1002">
    <cfRule type="cellIs" priority="111" operator="equal" dxfId="41">
      <formula>"Yes"</formula>
    </cfRule>
    <cfRule type="cellIs" priority="112" operator="equal" dxfId="41">
      <formula>"No"</formula>
    </cfRule>
    <cfRule type="cellIs" priority="113" operator="equal" dxfId="41">
      <formula>"N/A"</formula>
    </cfRule>
  </conditionalFormatting>
  <conditionalFormatting sqref="K4:K1002">
    <cfRule type="cellIs" priority="84" operator="equal" dxfId="40">
      <formula>"JOINT"</formula>
    </cfRule>
    <cfRule type="cellIs" priority="83" operator="equal" dxfId="39">
      <formula>"AFT"</formula>
    </cfRule>
    <cfRule type="cellIs" priority="82" operator="equal" dxfId="38">
      <formula>"FWD"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0"/>
  <sheetViews>
    <sheetView showGridLines="0" workbookViewId="0">
      <selection activeCell="U17" sqref="U17"/>
    </sheetView>
  </sheetViews>
  <sheetFormatPr baseColWidth="8" defaultRowHeight="14.4"/>
  <cols>
    <col width="3" customWidth="1" style="104" min="1" max="1"/>
    <col width="26" customWidth="1" style="104" min="2" max="2"/>
    <col width="14" customWidth="1" style="104" min="3" max="3"/>
    <col width="3" customWidth="1" style="104" min="4" max="4"/>
    <col width="26" customWidth="1" style="104" min="5" max="5"/>
    <col width="14" customWidth="1" style="104" min="6" max="6"/>
    <col width="3" customWidth="1" style="104" min="7" max="7"/>
    <col width="26" customWidth="1" style="104" min="8" max="8"/>
    <col width="14" customWidth="1" style="104" min="9" max="9"/>
    <col width="3" customWidth="1" style="104" min="10" max="10"/>
  </cols>
  <sheetData>
    <row r="1" ht="36" customHeight="1" s="104">
      <c r="A1" s="108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5" customHeight="1" s="104">
      <c r="A2" s="118" t="inlineStr">
        <is>
          <t>All figures update automatically from ASF Tracker</t>
        </is>
      </c>
    </row>
    <row r="3" ht="18" customHeight="1" s="104">
      <c r="A3" s="111" t="inlineStr">
        <is>
          <t xml:space="preserve">  STATUS OVERVIEW</t>
        </is>
      </c>
    </row>
    <row r="4" ht="4.2" customHeight="1" s="104"/>
    <row r="5" ht="31.95" customHeight="1" s="104">
      <c r="B5" s="70" t="inlineStr">
        <is>
          <t>Total Items/WOs</t>
        </is>
      </c>
      <c r="C5" s="13">
        <f>COUNTIF('ASF Tracker'!B4:B1002,"&lt;&gt;")</f>
        <v/>
      </c>
      <c r="E5" s="14" t="inlineStr">
        <is>
          <t>Closed</t>
        </is>
      </c>
      <c r="F5" s="15">
        <f>COUNTIFS('ASF Tracker'!B4:B1002,"&lt;&gt;",'ASF Tracker'!E4:E1002,"Closed")</f>
        <v/>
      </c>
      <c r="H5" s="16" t="inlineStr">
        <is>
          <t>Completion</t>
        </is>
      </c>
      <c r="I5" s="17">
        <f>TEXT(IFERROR(COUNTIFS('ASF Tracker'!B4:B1002,"&lt;&gt;",'ASF Tracker'!E4:E1002,"Closed")/COUNTIF('ASF Tracker'!B4:B1002,"&lt;&gt;"),0),"0%")</f>
        <v/>
      </c>
    </row>
    <row r="6" ht="4.2" customHeight="1" s="104"/>
    <row r="7" ht="31.95" customHeight="1" s="104">
      <c r="B7" s="71" t="inlineStr">
        <is>
          <t>Open</t>
        </is>
      </c>
      <c r="C7" s="18">
        <f>COUNTIFS('ASF Tracker'!B4:B1002,"&lt;&gt;",'ASF Tracker'!E4:E1002,"Open")</f>
        <v/>
      </c>
      <c r="E7" s="19" t="inlineStr">
        <is>
          <t>In Progress</t>
        </is>
      </c>
      <c r="F7" s="20">
        <f>COUNTIFS('ASF Tracker'!B4:B1002,"&lt;&gt;",'ASF Tracker'!E4:E1002,"In Progress")</f>
        <v/>
      </c>
      <c r="H7" s="21" t="inlineStr">
        <is>
          <t>Deferred / Hold</t>
        </is>
      </c>
      <c r="I7" s="22">
        <f>COUNTIFS('ASF Tracker'!B4:B1002,"&lt;&gt;",'ASF Tracker'!E4:E1002,"Deferred")+COUNTIFS('ASF Tracker'!B4:B1002,"&lt;&gt;",'ASF Tracker'!E4:E1002,"On Hold")</f>
        <v/>
      </c>
    </row>
    <row r="8" ht="4.2" customHeight="1" s="104"/>
    <row r="9" ht="18" customHeight="1" s="104">
      <c r="A9" s="117" t="inlineStr">
        <is>
          <t xml:space="preserve">  PRIORITY ALERTS</t>
        </is>
      </c>
    </row>
    <row r="10" ht="4.2" customHeight="1" s="104"/>
    <row r="11" ht="31.95" customHeight="1" s="104">
      <c r="B11" s="72" t="inlineStr">
        <is>
          <t>AOG</t>
        </is>
      </c>
      <c r="C11" s="23">
        <f>COUNTIFS('ASF Tracker'!B4:B1002,"&lt;&gt;",'ASF Tracker'!F4:F1002,"AOG")</f>
        <v/>
      </c>
      <c r="E11" s="19" t="inlineStr">
        <is>
          <t>Critical</t>
        </is>
      </c>
      <c r="F11" s="20">
        <f>COUNTIFS('ASF Tracker'!B4:B1002,"&lt;&gt;",'ASF Tracker'!F4:F1002,"Critical")</f>
        <v/>
      </c>
      <c r="H11" s="24" t="inlineStr">
        <is>
          <t>High</t>
        </is>
      </c>
      <c r="I11" s="25">
        <f>COUNTIFS('ASF Tracker'!B4:B1002,"&lt;&gt;",'ASF Tracker'!F4:F1002,"High")</f>
        <v/>
      </c>
    </row>
    <row r="12" ht="4.2" customHeight="1" s="104"/>
    <row r="13" ht="18" customHeight="1" s="104">
      <c r="A13" s="111" t="inlineStr">
        <is>
          <t xml:space="preserve">  PARTS REQUIREMENTS  (count of WOs with each status)</t>
        </is>
      </c>
    </row>
    <row r="14" ht="4.2" customHeight="1" s="104"/>
    <row r="15" ht="31.95" customHeight="1" s="104">
      <c r="B15" s="26" t="inlineStr">
        <is>
          <t>Requested</t>
        </is>
      </c>
      <c r="C15" s="27">
        <f>COUNTIFS('ASF Tracker'!B4:B1002,"&lt;&gt;",'ASF Tracker'!H4:H1002,"Requested")</f>
        <v/>
      </c>
      <c r="E15" s="28" t="inlineStr">
        <is>
          <t>Requested – CR</t>
        </is>
      </c>
      <c r="F15" s="29">
        <f>COUNTIFS('ASF Tracker'!B4:B1002,"&lt;&gt;",'ASF Tracker'!H4:H1002,"Requested - CR")</f>
        <v/>
      </c>
      <c r="H15" s="30" t="inlineStr">
        <is>
          <t>Requested – R</t>
        </is>
      </c>
      <c r="I15" s="31">
        <f>COUNTIFS('ASF Tracker'!B4:B1002,"&lt;&gt;",'ASF Tracker'!H4:H1002,"Requested - R")</f>
        <v/>
      </c>
    </row>
    <row r="16" ht="4.2" customHeight="1" s="104"/>
    <row r="17" ht="31.95" customHeight="1" s="104">
      <c r="B17" s="75" t="inlineStr">
        <is>
          <t>Pending - Require Evaluation</t>
        </is>
      </c>
      <c r="C17" s="32">
        <f>COUNTIFS('ASF Tracker'!B4:B1002,"&lt;&gt;",'ASF Tracker'!H4:H1002,"Pending EVAL")</f>
        <v/>
      </c>
      <c r="E17" s="14" t="inlineStr">
        <is>
          <t>N/R  (not required)</t>
        </is>
      </c>
      <c r="F17" s="15">
        <f>COUNTIFS('ASF Tracker'!B4:B1002,"&lt;&gt;",'ASF Tracker'!H4:H1002,"N/R")</f>
        <v/>
      </c>
      <c r="H17" s="33" t="inlineStr">
        <is>
          <t>N/A (Not available)</t>
        </is>
      </c>
      <c r="I17" s="34">
        <f>COUNTIFS('ASF Tracker'!B4:B1002,"&lt;&gt;",'ASF Tracker'!H4:H1002,"N/A")</f>
        <v/>
      </c>
    </row>
    <row r="18" ht="4.2" customHeight="1" s="104"/>
    <row r="19" ht="18" customHeight="1" s="104">
      <c r="A19" s="111" t="inlineStr">
        <is>
          <t xml:space="preserve">  BY CATEGORY</t>
        </is>
      </c>
    </row>
    <row r="20" ht="4.2" customHeight="1" s="104"/>
    <row r="21" ht="31.95" customHeight="1" s="104">
      <c r="B21" s="35" t="inlineStr">
        <is>
          <t>TASK CARD</t>
        </is>
      </c>
      <c r="C21" s="36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7" t="inlineStr">
        <is>
          <t>LAVATORY</t>
        </is>
      </c>
      <c r="F21" s="38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9" t="inlineStr">
        <is>
          <t>GALLEY</t>
        </is>
      </c>
      <c r="I21" s="40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" customHeight="1" s="104">
      <c r="B22" s="116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10" t="n"/>
      <c r="E22" s="119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10" t="n"/>
      <c r="H22" s="114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10" t="n"/>
    </row>
    <row r="23" ht="4.2" customHeight="1" s="104">
      <c r="B23" s="58" t="n"/>
      <c r="E23" s="58" t="n"/>
      <c r="H23" s="58" t="n"/>
    </row>
    <row r="24" ht="31.95" customHeight="1" s="104">
      <c r="B24" s="41" t="inlineStr">
        <is>
          <t>GENERAL CABIN</t>
        </is>
      </c>
      <c r="C24" s="42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3" t="inlineStr">
        <is>
          <t>TEDLAR/SIDEWALL</t>
        </is>
      </c>
      <c r="F24" s="44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73" t="inlineStr">
        <is>
          <t>PAX SEAT</t>
        </is>
      </c>
      <c r="I24" s="45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" customHeight="1" s="104">
      <c r="B25" s="121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10" t="n"/>
      <c r="E25" s="122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10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10" t="n"/>
    </row>
    <row r="26" ht="4.2" customHeight="1" s="104">
      <c r="B26" s="58" t="n"/>
      <c r="E26" s="58" t="n"/>
      <c r="H26" s="58" t="n"/>
    </row>
    <row r="27" ht="31.95" customHeight="1" s="104">
      <c r="B27" s="46" t="inlineStr">
        <is>
          <t>PAX DOORS</t>
        </is>
      </c>
      <c r="C27" s="47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8" t="inlineStr">
        <is>
          <t>F/A SEAT</t>
        </is>
      </c>
      <c r="F27" s="49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9" t="inlineStr">
        <is>
          <t>OTHERS</t>
        </is>
      </c>
      <c r="I27" s="60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" customHeight="1" s="104">
      <c r="B28" s="113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10" t="n"/>
      <c r="E28" s="11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10" t="n"/>
      <c r="H28" s="109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10" t="n"/>
    </row>
    <row r="29" ht="4.2" customHeight="1" s="104">
      <c r="B29" s="58" t="n"/>
      <c r="E29" s="58" t="n"/>
    </row>
    <row r="30" ht="31.95" customHeight="1" s="104">
      <c r="B30" s="50" t="inlineStr">
        <is>
          <t>FLIGHT DECK</t>
        </is>
      </c>
      <c r="C30" s="51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10" t="n"/>
    </row>
    <row r="32" ht="4.2" customHeight="1" s="104"/>
    <row r="33" ht="18" customHeight="1" s="104">
      <c r="A33" s="111" t="inlineStr">
        <is>
          <t xml:space="preserve">  SPECIALTY</t>
        </is>
      </c>
    </row>
    <row r="34" ht="4.2" customHeight="1" s="104"/>
    <row r="35" ht="32.1" customHeight="1" s="104">
      <c r="B35" s="37" t="inlineStr">
        <is>
          <t>CAB</t>
        </is>
      </c>
      <c r="C35" s="38">
        <f>COUNTIFS('ASF Tracker'!B4:B1002,"&lt;&gt;",'ASF Tracker'!G4:G1002,"CAB")</f>
        <v/>
      </c>
      <c r="E35" s="46" t="inlineStr">
        <is>
          <t>SEAT</t>
        </is>
      </c>
      <c r="F35" s="47">
        <f>COUNTIFS('ASF Tracker'!B4:B1002,"&lt;&gt;",'ASF Tracker'!G4:G1002,"SEAT")</f>
        <v/>
      </c>
      <c r="H35" s="30" t="inlineStr">
        <is>
          <t>AV</t>
        </is>
      </c>
      <c r="I35" s="52">
        <f>COUNTIFS('ASF Tracker'!B4:B1002,"&lt;&gt;",'ASF Tracker'!G4:G1002,"AV")</f>
        <v/>
      </c>
    </row>
    <row r="36" ht="14.4" customHeight="1" s="104">
      <c r="B36" s="126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27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6" s="126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27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6" s="126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27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7" ht="32.1" customHeight="1" s="104">
      <c r="B37" s="43" t="inlineStr">
        <is>
          <t>S/W</t>
        </is>
      </c>
      <c r="C37" s="44">
        <f>COUNTIFS('ASF Tracker'!B4:B1002,"&lt;&gt;",'ASF Tracker'!G4:G1002,"S/W")</f>
        <v/>
      </c>
      <c r="E37" s="53" t="inlineStr">
        <is>
          <t>S/M</t>
        </is>
      </c>
      <c r="F37" s="54">
        <f>COUNTIFS('ASF Tracker'!B4:B1002,"&lt;&gt;",'ASF Tracker'!G4:G1002,"S/M")</f>
        <v/>
      </c>
      <c r="H37" s="61" t="inlineStr">
        <is>
          <t>PAINT</t>
        </is>
      </c>
      <c r="I37" s="62">
        <f>COUNTIFS('ASF Tracker'!B4:B1002,"&lt;&gt;",'ASF Tracker'!G4:G1002,"PAINT")</f>
        <v/>
      </c>
    </row>
    <row r="38" ht="14.4" customHeight="1" s="104">
      <c r="B38" s="126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8" s="127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8" s="126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8" s="127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8" s="126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8" s="12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9" ht="32.1" customHeight="1" s="104">
      <c r="B39" s="55" t="inlineStr">
        <is>
          <t>JOINT</t>
        </is>
      </c>
      <c r="C39" s="56">
        <f>COUNTIFS('ASF Tracker'!B4:B1002,"&lt;&gt;",'ASF Tracker'!G4:G1002,"JOINT")</f>
        <v/>
      </c>
      <c r="E39" s="2" t="inlineStr">
        <is>
          <t>INSP</t>
        </is>
      </c>
      <c r="F39" s="3">
        <f>COUNTIFS('ASF Tracker'!B4:B1002,"&lt;&gt;",'ASF Tracker'!G4:G1002,"INSP")</f>
        <v/>
      </c>
      <c r="H39" s="63" t="inlineStr">
        <is>
          <t>AP</t>
        </is>
      </c>
      <c r="I39" s="64">
        <f>COUNTIFS('ASF Tracker'!B4:B1002,"&lt;&gt;",'ASF Tracker'!G4:G1002,"AP")</f>
        <v/>
      </c>
    </row>
    <row r="40" ht="14.4" customHeight="1" s="104">
      <c r="B40" s="126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0" s="127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0" s="126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0" s="127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0" s="126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0" s="127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1" ht="32.1" customHeight="1" s="104"/>
  </sheetData>
  <mergeCells count="18">
    <mergeCell ref="A1:H1"/>
    <mergeCell ref="H25:I25"/>
    <mergeCell ref="B25:C25"/>
    <mergeCell ref="E25:F25"/>
    <mergeCell ref="A9:J9"/>
    <mergeCell ref="H22:I22"/>
    <mergeCell ref="B28:C28"/>
    <mergeCell ref="A3:J3"/>
    <mergeCell ref="E28:F28"/>
    <mergeCell ref="B22:C22"/>
    <mergeCell ref="A33:J33"/>
    <mergeCell ref="E22:F22"/>
    <mergeCell ref="B31:C31"/>
    <mergeCell ref="A2:J2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4.4"/>
  <cols>
    <col width="4" customWidth="1" style="104" min="1" max="1"/>
    <col width="10.88671875" customWidth="1" style="104" min="2" max="2"/>
    <col width="21.6640625" bestFit="1" customWidth="1" style="104" min="3" max="3"/>
    <col width="28.6640625" bestFit="1" customWidth="1" style="104" min="4" max="4"/>
    <col width="167.5546875" customWidth="1" style="104" min="5" max="5"/>
    <col width="32.5546875" bestFit="1" customWidth="1" style="104" min="6" max="6"/>
    <col width="42.88671875" customWidth="1" style="104" min="7" max="7"/>
    <col width="15.88671875" bestFit="1" customWidth="1" style="104" min="8" max="8"/>
    <col width="14.5546875" customWidth="1" style="104" min="9" max="9"/>
    <col width="16.88671875" customWidth="1" style="104" min="10" max="10"/>
  </cols>
  <sheetData>
    <row r="1" ht="33.75" customHeight="1" s="104">
      <c r="A1" s="124" t="inlineStr">
        <is>
          <t xml:space="preserve">📋  FINDINGS DRAFT — Pre-AMOS </t>
        </is>
      </c>
    </row>
    <row r="2" ht="16.2" customHeight="1" s="104" thickBot="1">
      <c r="A2" s="123" t="inlineStr">
        <is>
          <t>Findings sourced from ACFT Finding Report App · Review &amp; assign P/N before raising on AMOS</t>
        </is>
      </c>
    </row>
    <row r="3" ht="27.75" customHeight="1" s="104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04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04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04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04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04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04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04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04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04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04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04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04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04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04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04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04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04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04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04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04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04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04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04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04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04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04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04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04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04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04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04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04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04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04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04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04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04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04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04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04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04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04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04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04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04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04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04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04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04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04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04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04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04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04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04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04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04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04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04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04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04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04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04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04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04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04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04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04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04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04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04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04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04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04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04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04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04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04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04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04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04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" customHeight="1" s="104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" customHeight="1" s="104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04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04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04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04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04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04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04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04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04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04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04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04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04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04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04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04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04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04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04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04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04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04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04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04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04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04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04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04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04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04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04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04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04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04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04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" customHeight="1" s="104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04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04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04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04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04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04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" customHeight="1" s="104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04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04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04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04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04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04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04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04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04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" customHeight="1" s="104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04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04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" customHeight="1" s="104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04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04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04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2" customHeight="1" s="104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" customHeight="1" s="104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04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04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04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5" customHeight="1" s="104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04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04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04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04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04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4" dxfId="4">
      <formula>#REF!="Critical"</formula>
    </cfRule>
    <cfRule type="expression" priority="223" dxfId="2">
      <formula>#REF!="AOG"</formula>
    </cfRule>
  </conditionalFormatting>
  <conditionalFormatting sqref="B5:B156">
    <cfRule type="expression" priority="23" dxfId="2">
      <formula>#REF!="AOG"</formula>
    </cfRule>
    <cfRule type="expression" priority="24" dxfId="4">
      <formula>#REF!="Critical"</formula>
    </cfRule>
  </conditionalFormatting>
  <conditionalFormatting sqref="B157:B657">
    <cfRule type="cellIs" priority="215" operator="equal" dxfId="20">
      <formula>"F/A SEAT"</formula>
    </cfRule>
    <cfRule type="cellIs" priority="214" operator="equal" dxfId="21">
      <formula>"PAX DOORS"</formula>
    </cfRule>
    <cfRule type="cellIs" priority="213" operator="equal" dxfId="22">
      <formula>"LAVATORY"</formula>
    </cfRule>
    <cfRule type="cellIs" priority="212" operator="equal" dxfId="23">
      <formula>"GALLEY"</formula>
    </cfRule>
    <cfRule type="cellIs" priority="211" operator="equal" dxfId="24">
      <formula>"GENERAL CABIN"</formula>
    </cfRule>
    <cfRule type="cellIs" priority="216" operator="equal" dxfId="19">
      <formula>"PAX SEAT"</formula>
    </cfRule>
    <cfRule type="cellIs" priority="217" operator="equal" dxfId="18">
      <formula>"FLIGHT DECK"</formula>
    </cfRule>
    <cfRule type="cellIs" priority="218" operator="equal" dxfId="17">
      <formula>"OFAR/OFCR"</formula>
    </cfRule>
    <cfRule type="cellIs" priority="219" operator="equal" dxfId="16">
      <formula>"TEDLAR/SIDEWALL"</formula>
    </cfRule>
    <cfRule type="cellIs" priority="220" operator="equal" dxfId="15">
      <formula>"PAINT"</formula>
    </cfRule>
  </conditionalFormatting>
  <conditionalFormatting sqref="C4:C157">
    <cfRule type="cellIs" priority="27" operator="equal" dxfId="24">
      <formula>"GENERAL CABIN"</formula>
    </cfRule>
    <cfRule type="cellIs" priority="28" operator="equal" dxfId="23">
      <formula>"GALLEY"</formula>
    </cfRule>
    <cfRule type="cellIs" priority="29" operator="equal" dxfId="22">
      <formula>"LAVATORY"</formula>
    </cfRule>
    <cfRule type="cellIs" priority="30" operator="equal" dxfId="21">
      <formula>"PAX DOORS"</formula>
    </cfRule>
    <cfRule type="cellIs" priority="31" operator="equal" dxfId="20">
      <formula>"F/A SEAT"</formula>
    </cfRule>
    <cfRule type="cellIs" priority="32" operator="equal" dxfId="19">
      <formula>"PAX SEAT"</formula>
    </cfRule>
    <cfRule type="cellIs" priority="33" operator="equal" dxfId="18">
      <formula>"FLIGHT DECK"</formula>
    </cfRule>
    <cfRule type="cellIs" priority="34" operator="equal" dxfId="17">
      <formula>"OFAR/OFCR"</formula>
    </cfRule>
    <cfRule type="cellIs" priority="35" operator="equal" dxfId="16">
      <formula>"TEDLAR/SIDEWALL"</formula>
    </cfRule>
    <cfRule type="cellIs" priority="36" operator="equal" dxfId="15">
      <formula>"PAINT"</formula>
    </cfRule>
  </conditionalFormatting>
  <conditionalFormatting sqref="C5:C65">
    <cfRule type="expression" priority="38" dxfId="4">
      <formula>#REF!="Critical"</formula>
    </cfRule>
    <cfRule type="expression" priority="37" dxfId="2">
      <formula>#REF!="AOG"</formula>
    </cfRule>
  </conditionalFormatting>
  <conditionalFormatting sqref="C66:C156">
    <cfRule type="expression" priority="4" dxfId="4">
      <formula>#REF!="Critical"</formula>
    </cfRule>
    <cfRule type="expression" priority="3" dxfId="2">
      <formula>#REF!="AOG"</formula>
    </cfRule>
  </conditionalFormatting>
  <conditionalFormatting sqref="D4:D66">
    <cfRule type="expression" priority="207" dxfId="2">
      <formula>#REF!="AOG"</formula>
    </cfRule>
    <cfRule type="expression" priority="208" dxfId="4">
      <formula>#REF!="Critical"</formula>
    </cfRule>
  </conditionalFormatting>
  <conditionalFormatting sqref="D113:D156">
    <cfRule type="expression" priority="7" dxfId="2">
      <formula>#REF!="AOG"</formula>
    </cfRule>
    <cfRule type="expression" priority="8" dxfId="4">
      <formula>#REF!="Critical"</formula>
    </cfRule>
  </conditionalFormatting>
  <conditionalFormatting sqref="F4:F157">
    <cfRule type="expression" priority="209" dxfId="2">
      <formula>#REF!="AOG"</formula>
    </cfRule>
    <cfRule type="expression" priority="210" dxfId="4">
      <formula>#REF!="Critical"</formula>
    </cfRule>
  </conditionalFormatting>
  <conditionalFormatting sqref="G100:G115">
    <cfRule type="expression" priority="2" dxfId="4">
      <formula>#REF!="Critical"</formula>
    </cfRule>
    <cfRule type="expression" priority="1" dxfId="2">
      <formula>#REF!="AOG"</formula>
    </cfRule>
  </conditionalFormatting>
  <conditionalFormatting sqref="E157:E657 H4:H157">
    <cfRule type="cellIs" priority="221" operator="equal" dxfId="1">
      <formula>"Not Raised"</formula>
    </cfRule>
    <cfRule type="cellIs" priority="222" operator="equal" dxfId="0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2026-06-27T20:01:47Z</dcterms:modified>
  <cp:lastModifiedBy>احمد سعيد سعد الغامدي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