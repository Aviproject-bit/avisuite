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8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b val="1"/>
      <color rgb="FF1565C0"/>
      <sz val="16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1" fillId="0" borderId="0"/>
  </cellStyleXfs>
  <cellXfs count="132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6" fillId="0" borderId="4" applyAlignment="1" pivotButton="0" quotePrefix="0" xfId="0">
      <alignment vertical="center"/>
    </xf>
    <xf numFmtId="0" fontId="67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8" fillId="0" borderId="0" pivotButton="0" quotePrefix="0" xfId="0"/>
    <xf numFmtId="0" fontId="6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9" fillId="0" borderId="10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9" fillId="0" borderId="10" applyAlignment="1" pivotButton="0" quotePrefix="0" xfId="0">
      <alignment vertical="center"/>
    </xf>
    <xf numFmtId="0" fontId="70" fillId="38" borderId="10" applyAlignment="1" pivotButton="0" quotePrefix="0" xfId="0">
      <alignment horizontal="center" vertical="center"/>
    </xf>
    <xf numFmtId="0" fontId="71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6" fillId="0" borderId="4" applyAlignment="1" pivotButton="0" quotePrefix="0" xfId="0">
      <alignment vertical="center"/>
    </xf>
    <xf numFmtId="0" fontId="77" fillId="23" borderId="4" applyAlignment="1" pivotButton="0" quotePrefix="0" xfId="0">
      <alignment horizontal="center" vertical="center"/>
    </xf>
    <xf numFmtId="0" fontId="78" fillId="24" borderId="4" applyAlignment="1" pivotButton="0" quotePrefix="0" xfId="0">
      <alignment horizontal="center" vertical="center"/>
    </xf>
    <xf numFmtId="0" fontId="79" fillId="25" borderId="4" applyAlignment="1" pivotButton="0" quotePrefix="0" xfId="0">
      <alignment horizontal="center" vertical="center"/>
    </xf>
    <xf numFmtId="0" fontId="80" fillId="26" borderId="4" applyAlignment="1" pivotButton="0" quotePrefix="0" xfId="0">
      <alignment horizontal="center" vertical="center"/>
    </xf>
    <xf numFmtId="0" fontId="81" fillId="27" borderId="4" applyAlignment="1" pivotButton="0" quotePrefix="0" xfId="0">
      <alignment horizontal="center" vertical="center"/>
    </xf>
    <xf numFmtId="0" fontId="82" fillId="33" borderId="4" applyAlignment="1" pivotButton="0" quotePrefix="0" xfId="0">
      <alignment horizontal="center" vertical="center"/>
    </xf>
    <xf numFmtId="0" fontId="83" fillId="27" borderId="4" applyAlignment="1" pivotButton="0" quotePrefix="0" xfId="0">
      <alignment horizontal="center" vertical="center"/>
    </xf>
    <xf numFmtId="0" fontId="77" fillId="28" borderId="4" applyAlignment="1" pivotButton="0" quotePrefix="0" xfId="0">
      <alignment horizontal="center" vertical="center"/>
    </xf>
    <xf numFmtId="0" fontId="79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65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73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72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74" fillId="37" borderId="7" applyAlignment="1" pivotButton="0" quotePrefix="0" xfId="0">
      <alignment horizontal="center" vertical="center"/>
    </xf>
    <xf numFmtId="0" fontId="75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56" fillId="34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1"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 blank="1">
        <filter val="In Progress"/>
        <filter val="Open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100"/>
    <tableColumn id="9" name="Remarks" dataDxfId="99"/>
    <tableColumn id="10" name="Time EVAL?" dataDxfId="98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97"/>
    <tableColumn id="2" name="Category" dataDxfId="96"/>
    <tableColumn id="4" name="Sub-Category" dataDxfId="95"/>
    <tableColumn id="3" name="Finding Description" dataDxfId="94"/>
    <tableColumn id="7" name="Remarks" dataDxfId="93"/>
    <tableColumn id="10" name="Photo URL"/>
    <tableColumn id="5" name="AMOS Status" dataDxfId="92"/>
    <tableColumn id="6" name="WO No." dataDxfId="91"/>
    <tableColumn id="8" name="P/N Required" dataDxfId="90"/>
    <tableColumn id="11" name="Qty" dataDxfId="89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zoomScale="70" zoomScaleNormal="70" workbookViewId="0">
      <pane ySplit="3" topLeftCell="A329" activePane="bottomLeft" state="frozen"/>
      <selection activeCell="H1" sqref="H1"/>
      <selection pane="bottomLeft" activeCell="A3" sqref="A3:I3"/>
    </sheetView>
  </sheetViews>
  <sheetFormatPr baseColWidth="8" defaultColWidth="8.6640625" defaultRowHeight="14.4"/>
  <cols>
    <col width="7.33203125" customWidth="1" style="107" min="1" max="1"/>
    <col width="13" customWidth="1" style="107" min="2" max="2"/>
    <col width="144.88671875" customWidth="1" style="107" min="3" max="3"/>
    <col width="21.6640625" bestFit="1" customWidth="1" style="74" min="4" max="4"/>
    <col width="18.6640625" bestFit="1" customWidth="1" style="107" min="5" max="5"/>
    <col width="11.6640625" bestFit="1" customWidth="1" style="107" min="6" max="6"/>
    <col width="10" customWidth="1" style="107" min="7" max="7"/>
    <col width="18.5546875" customWidth="1" style="107" min="8" max="8"/>
    <col width="53.44140625" customWidth="1" style="107" min="9" max="9"/>
    <col width="10" customWidth="1" style="107" min="10" max="10"/>
    <col width="9" customWidth="1" style="107" min="11" max="11"/>
  </cols>
  <sheetData>
    <row r="1" ht="34.2" customHeight="1" s="107">
      <c r="A1" s="102" t="inlineStr">
        <is>
          <t>POOL CABIN  ✈ HZ-ASF ✈  C7-CHECK WORK PACKAGE TRACKER</t>
        </is>
      </c>
      <c r="B1" s="103" t="n"/>
      <c r="C1" s="103" t="n"/>
      <c r="D1" s="103" t="n"/>
      <c r="E1" s="108">
        <f>"Day "&amp;TEXT(MAX(1,MIN(TODAY()-DATE(2026,6,8)+1,36)),"0")&amp;"/36"</f>
        <v/>
      </c>
      <c r="G1" s="106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5" customHeight="1" s="107">
      <c r="A2" s="109" t="inlineStr">
        <is>
          <t xml:space="preserve">UPDATED: 30 MAY -- DAY SHIFT </t>
        </is>
      </c>
      <c r="B2" s="110" t="n"/>
      <c r="C2" s="110" t="n"/>
      <c r="D2" s="110" t="n"/>
      <c r="E2" s="105" t="n"/>
      <c r="F2" s="105" t="n"/>
      <c r="G2" s="104">
        <f>"AOG/Critical: "&amp;COUNTIFS(B4:B1004,"&lt;&gt;",F4:F1004,"AOG")+COUNTIFS(B4:B1004,"&lt;&gt;",F4:F1004,"Critical")</f>
        <v/>
      </c>
      <c r="H2" s="105" t="n"/>
      <c r="I2" s="105" t="n"/>
      <c r="J2" s="105" t="n"/>
      <c r="K2" s="105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t="18" customHeight="1" s="107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t="18" customHeight="1" s="107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t="18" customHeight="1" s="107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07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AFTER COCKPIT CLOSE UP</t>
        </is>
      </c>
      <c r="J7" s="9" t="inlineStr">
        <is>
          <t>N/A</t>
        </is>
      </c>
      <c r="K7" s="9" t="inlineStr">
        <is>
          <t>FWD</t>
        </is>
      </c>
    </row>
    <row r="8" ht="18" customHeight="1" s="107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inlineStr">
        <is>
          <t>AFTER COCKPIT CLOSE UP</t>
        </is>
      </c>
      <c r="J8" s="9" t="inlineStr">
        <is>
          <t>N/A</t>
        </is>
      </c>
      <c r="K8" s="9" t="inlineStr">
        <is>
          <t>FWD</t>
        </is>
      </c>
    </row>
    <row r="9" ht="18" customHeight="1" s="107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inlineStr">
        <is>
          <t>AFTER COCKPIT CLOSE UP</t>
        </is>
      </c>
      <c r="J9" s="9" t="inlineStr">
        <is>
          <t>N/A</t>
        </is>
      </c>
      <c r="K9" s="9" t="inlineStr">
        <is>
          <t>FWD</t>
        </is>
      </c>
    </row>
    <row r="10" ht="18" customHeight="1" s="107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AFTER COCKPIT CLOSE UP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07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07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07">
      <c r="A13" s="68" t="n">
        <v>30</v>
      </c>
      <c r="B13" s="63" t="inlineStr">
        <is>
          <t>25-SVA-01</t>
        </is>
      </c>
      <c r="C13" s="87" t="inlineStr">
        <is>
          <t>25-SVA-01 (00) / COCKPIT CHECK</t>
        </is>
      </c>
      <c r="D13" s="8" t="inlineStr">
        <is>
          <t>TASK CARD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07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t="18" customHeight="1" s="107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07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07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07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t="18" customHeight="1" s="107">
      <c r="A19" s="68" t="n">
        <v>42</v>
      </c>
      <c r="B19" s="63" t="inlineStr">
        <is>
          <t>256652-01-1-SVA</t>
        </is>
      </c>
      <c r="C19" s="89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07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07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07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t="18" customHeight="1" s="107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07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07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07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07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07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07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07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07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07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07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07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07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07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t="18" customHeight="1" s="107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07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07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07">
      <c r="A40" s="68" t="n">
        <v>162</v>
      </c>
      <c r="B40" s="63" t="inlineStr">
        <is>
          <t>561200-02-1</t>
        </is>
      </c>
      <c r="C40" s="90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t="18" customHeight="1" s="107">
      <c r="A41" s="68" t="n">
        <v>246</v>
      </c>
      <c r="B41" s="63" t="inlineStr">
        <is>
          <t>352142-01-1</t>
        </is>
      </c>
      <c r="C41" s="7" t="inlineStr">
        <is>
          <t>352142-01-1 (6) / DISCARD CHEMICAL OXYGEN GENERATORS</t>
        </is>
      </c>
      <c r="D41" s="8" t="inlineStr">
        <is>
          <t>TASK CARD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inlineStr">
        <is>
          <t>REQ DE-ASSIGN</t>
        </is>
      </c>
      <c r="J41" s="9" t="inlineStr">
        <is>
          <t>N/A</t>
        </is>
      </c>
      <c r="K41" s="9" t="inlineStr">
        <is>
          <t>JOINT</t>
        </is>
      </c>
    </row>
    <row r="42" hidden="1" ht="18" customHeight="1" s="107">
      <c r="A42" s="68" t="n">
        <v>260</v>
      </c>
      <c r="B42" s="63" t="n">
        <v>30970373</v>
      </c>
      <c r="C42" s="7" t="inlineStr">
        <is>
          <t>EOD-320-25-00052-R00/PAD-THIRD OCCUPANT SEAT – 168 SERIES BOTTOM EQUIPPED SCREW REPLACEMENT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CAB</t>
        </is>
      </c>
      <c r="H42" s="10" t="n"/>
      <c r="I42" s="9" t="n"/>
      <c r="J42" s="9" t="inlineStr">
        <is>
          <t>N/A</t>
        </is>
      </c>
      <c r="K42" s="9" t="inlineStr">
        <is>
          <t>FWD</t>
        </is>
      </c>
    </row>
    <row r="43" hidden="1" ht="18" customHeight="1" s="107">
      <c r="A43" s="68" t="n">
        <v>265</v>
      </c>
      <c r="B43" s="63" t="n">
        <v>29500619</v>
      </c>
      <c r="C43" s="72" t="inlineStr">
        <is>
          <t>EOD-320-31-00005-R00/A320 - INDICATING/RECORDING SYSTEMS - SDAC - ACQUISITION/INTERFACE- MO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07">
      <c r="A44" s="68" t="n">
        <v>266</v>
      </c>
      <c r="B44" s="63" t="n">
        <v>30482093</v>
      </c>
      <c r="C44" s="72" t="inlineStr">
        <is>
          <t>EOD-320-31-00006-R00/ACTIVATE HIGHSPEED UPLOADING (ARINC 615A) - EIS2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07">
      <c r="A45" s="68" t="n">
        <v>267</v>
      </c>
      <c r="B45" s="63" t="n">
        <v>30481967</v>
      </c>
      <c r="C45" s="72" t="inlineStr">
        <is>
          <t>EOD-320-31-00007-R00/A320 –ELECTRONIC INSTRUMENT SYSTEM (EIS) - INTRODUCE EIS2 STANDARD S16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07">
      <c r="A46" s="68" t="n">
        <v>268</v>
      </c>
      <c r="B46" s="63" t="n">
        <v>29155528</v>
      </c>
      <c r="C46" s="72" t="inlineStr">
        <is>
          <t>EOD-320-31-00009-R00/INTRODUCE FDIMU H/W 2234320-02-02 FROM VENDOR TELEDYNE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07">
      <c r="A47" s="68" t="n">
        <v>269</v>
      </c>
      <c r="B47" s="63" t="n">
        <v>29155626</v>
      </c>
      <c r="C47" s="72" t="inlineStr">
        <is>
          <t>EOD-320-31-00010-R00/FDIMU - TELEDYNE DMU SOFTWARE CAPABLE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07">
      <c r="A48" s="68" t="n">
        <v>270</v>
      </c>
      <c r="B48" s="63" t="n">
        <v>29155751</v>
      </c>
      <c r="C48" s="72" t="inlineStr">
        <is>
          <t>EOD-320-31-00011-R00/FDIMU - TELEDYNE ETHERNET AND ADC ACTIVATION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07">
      <c r="A49" s="68" t="n">
        <v>271</v>
      </c>
      <c r="B49" s="63" t="n">
        <v>29155866</v>
      </c>
      <c r="C49" s="72" t="inlineStr">
        <is>
          <t>EOD-320-31-00012-R00/FDIMU - INSTALL NEW ADC DMU SW FOR FOMAX</t>
        </is>
      </c>
      <c r="D49" s="8" t="inlineStr">
        <is>
          <t>TASK CARD</t>
        </is>
      </c>
      <c r="E49" s="9" t="inlineStr">
        <is>
          <t>Closed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t="18" customHeight="1" s="107">
      <c r="A50" s="68" t="n">
        <v>274</v>
      </c>
      <c r="B50" s="63" t="n">
        <v>30817928</v>
      </c>
      <c r="C50" s="72" t="inlineStr">
        <is>
          <t>EOD-320-44-00014-R00/ECLIPSE CONNECTIVITY MODIFICATION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t="18" customHeight="1" s="107">
      <c r="A51" s="68" t="n">
        <v>275</v>
      </c>
      <c r="B51" s="63" t="n">
        <v>30695782</v>
      </c>
      <c r="C51" s="72" t="inlineStr">
        <is>
          <t>EOD-320-44-00028-R00/DE-MOD TAQNIA SYSTEM REMOVAL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t="18" customHeight="1" s="107">
      <c r="A52" s="68" t="n">
        <v>276</v>
      </c>
      <c r="B52" s="63" t="n">
        <v>29155917</v>
      </c>
      <c r="C52" s="72" t="inlineStr">
        <is>
          <t>EOD-320-46-00004-R00/INSTALL FOMAX SYSTEM PROVISIONS</t>
        </is>
      </c>
      <c r="D52" s="8" t="inlineStr">
        <is>
          <t>TASK CARD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t="18" customHeight="1" s="107">
      <c r="A53" s="68" t="n">
        <v>277</v>
      </c>
      <c r="B53" s="63" t="n">
        <v>29156041</v>
      </c>
      <c r="C53" s="72" t="inlineStr">
        <is>
          <t>EOD-320-46-00005-R00/INSTALL INTERNAL GATELINK ANTENNA FOR FOMAX</t>
        </is>
      </c>
      <c r="D53" s="8" t="inlineStr">
        <is>
          <t>TASK CARD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07">
      <c r="A54" s="68" t="n">
        <v>278</v>
      </c>
      <c r="B54" s="63" t="n">
        <v>29156135</v>
      </c>
      <c r="C54" s="72" t="inlineStr">
        <is>
          <t>EOD-320-46-00006-R00/INSTALL COCKPIT WIFI ANTENNA FOR FOMAX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07">
      <c r="A55" s="68" t="n">
        <v>279</v>
      </c>
      <c r="B55" s="63" t="n">
        <v>29156197</v>
      </c>
      <c r="C55" s="72" t="inlineStr">
        <is>
          <t>EOD-320-46-00007-R00/CONNECT ETHERNET LINK BETWEEN FOMAX AND FDIMU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07">
      <c r="A56" s="68" t="n">
        <v>280</v>
      </c>
      <c r="B56" s="63" t="n">
        <v>29157167</v>
      </c>
      <c r="C56" s="72" t="inlineStr">
        <is>
          <t>EOD-320-46-00008-R00/FOMAX 4 ACTIVATION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07">
      <c r="A57" s="68" t="n">
        <v>281</v>
      </c>
      <c r="B57" s="63" t="n">
        <v>29156251</v>
      </c>
      <c r="C57" s="72" t="inlineStr">
        <is>
          <t>EOD-320-46-00009-R00/ACTIVATE FOMAX OPTION 1</t>
        </is>
      </c>
      <c r="D57" s="8" t="inlineStr">
        <is>
          <t>TASK CARD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AV</t>
        </is>
      </c>
      <c r="H57" s="10" t="n"/>
      <c r="I57" s="71" t="n"/>
      <c r="J57" s="9" t="inlineStr">
        <is>
          <t>N/A</t>
        </is>
      </c>
      <c r="K57" s="9" t="n"/>
    </row>
    <row r="58" ht="18" customHeight="1" s="107">
      <c r="A58" s="68" t="n">
        <v>287</v>
      </c>
      <c r="B58" s="63" t="n">
        <v>15969129</v>
      </c>
      <c r="C58" s="7" t="inlineStr">
        <is>
          <t>EOD-A32S-53-00003-R03/INSPECTION OF THE SIDE BOX BEAM FLANGE AT LHS/RHS IN FR43 AREA.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AP</t>
        </is>
      </c>
      <c r="H58" s="10" t="n"/>
      <c r="I58" s="9" t="inlineStr">
        <is>
          <t>REQ SEATS AND FLOOR PANELS REMOVAL</t>
        </is>
      </c>
      <c r="J58" s="9" t="inlineStr">
        <is>
          <t>N/A</t>
        </is>
      </c>
      <c r="K58" s="9" t="n"/>
    </row>
    <row r="59" ht="18" customHeight="1" s="107">
      <c r="A59" s="68" t="n">
        <v>296</v>
      </c>
      <c r="B59" s="63" t="n">
        <v>27731511</v>
      </c>
      <c r="C59" s="7" t="inlineStr">
        <is>
          <t>S51-R10016/A320 // DENT AND BUCKLE CHART UPDATE</t>
        </is>
      </c>
      <c r="D59" s="8" t="inlineStr">
        <is>
          <t>TASK CARD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INSP</t>
        </is>
      </c>
      <c r="H59" s="10" t="n"/>
      <c r="I59" s="9" t="n"/>
      <c r="J59" s="9" t="inlineStr">
        <is>
          <t>N/A</t>
        </is>
      </c>
      <c r="K59" s="9" t="n"/>
    </row>
    <row r="60" hidden="1" ht="18" customHeight="1" s="107">
      <c r="A60" s="68" t="n">
        <v>299</v>
      </c>
      <c r="B60" s="63" t="n">
        <v>32023170</v>
      </c>
      <c r="C60" s="72" t="inlineStr">
        <is>
          <t>REPLACE 3214-31/151721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07">
      <c r="A61" s="68" t="n">
        <v>300</v>
      </c>
      <c r="B61" s="63" t="n">
        <v>32023140</v>
      </c>
      <c r="C61" s="72" t="inlineStr">
        <is>
          <t>REPLACE 3214-31/151783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07">
      <c r="A62" s="68" t="n">
        <v>301</v>
      </c>
      <c r="B62" s="63" t="n">
        <v>32023261</v>
      </c>
      <c r="C62" s="72" t="inlineStr">
        <is>
          <t>REPLACE 3214-31/159075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07">
      <c r="A63" s="68" t="n">
        <v>302</v>
      </c>
      <c r="B63" s="63" t="n">
        <v>32023581</v>
      </c>
      <c r="C63" s="72" t="inlineStr">
        <is>
          <t>REPLACE 3214-31/961564 (BATTERY, EMERGENCY)</t>
        </is>
      </c>
      <c r="D63" s="8" t="inlineStr">
        <is>
          <t>TASK CARD</t>
        </is>
      </c>
      <c r="E63" s="9" t="inlineStr">
        <is>
          <t>Closed</t>
        </is>
      </c>
      <c r="F63" s="9" t="inlineStr">
        <is>
          <t>Normal</t>
        </is>
      </c>
      <c r="G63" s="8" t="inlineStr">
        <is>
          <t>AV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n"/>
    </row>
    <row r="64" ht="18" customHeight="1" s="107">
      <c r="A64" s="68" t="n">
        <v>303</v>
      </c>
      <c r="B64" s="63" t="n">
        <v>31449237</v>
      </c>
      <c r="C64" s="72" t="inlineStr">
        <is>
          <t>REPLACE 60592-203/A25974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inlineStr">
        <is>
          <t>ACCESS</t>
        </is>
      </c>
      <c r="J64" s="9" t="inlineStr">
        <is>
          <t>N/A</t>
        </is>
      </c>
      <c r="K64" s="9" t="inlineStr">
        <is>
          <t>N/A</t>
        </is>
      </c>
    </row>
    <row r="65" ht="18" customHeight="1" s="107">
      <c r="A65" s="68" t="n">
        <v>304</v>
      </c>
      <c r="B65" s="63" t="n">
        <v>27027164</v>
      </c>
      <c r="C65" s="72" t="inlineStr">
        <is>
          <t>REPLACE 60592-203/ALT749-11441 (RESERVOIR AND VALVE ASSEMBLY)</t>
        </is>
      </c>
      <c r="D65" s="8" t="inlineStr">
        <is>
          <t>TASK CARD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07">
      <c r="A66" s="68" t="n">
        <v>305</v>
      </c>
      <c r="B66" s="63" t="n">
        <v>29160779</v>
      </c>
      <c r="C66" s="7" t="inlineStr">
        <is>
          <t>REPLACE 755D0000-01/81210-68985 (REHEATER)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AP</t>
        </is>
      </c>
      <c r="H66" s="10" t="n"/>
      <c r="I66" s="9" t="n"/>
      <c r="J66" s="9" t="inlineStr">
        <is>
          <t>N/A</t>
        </is>
      </c>
      <c r="K66" s="9" t="inlineStr">
        <is>
          <t>N/A</t>
        </is>
      </c>
    </row>
    <row r="67" hidden="1" ht="18" customHeight="1" s="107">
      <c r="A67" s="68" t="n">
        <v>306</v>
      </c>
      <c r="B67" s="63" t="n">
        <v>29540806</v>
      </c>
      <c r="C67" s="7" t="inlineStr">
        <is>
          <t>REPLACE 9700-C1A-BF23A/P21110181 (BOTTEL PORTABLE OXY.)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CAB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07">
      <c r="A68" s="68" t="n">
        <v>308</v>
      </c>
      <c r="B68" s="63" t="n">
        <v>21620684</v>
      </c>
      <c r="C68" s="7" t="inlineStr">
        <is>
          <t>34100005-1/39235D1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07">
      <c r="A69" s="68" t="n">
        <v>309</v>
      </c>
      <c r="B69" s="63" t="n">
        <v>21620578</v>
      </c>
      <c r="C69" s="7" t="inlineStr">
        <is>
          <t>34100005-1/40474D1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07">
      <c r="A70" s="68" t="n">
        <v>310</v>
      </c>
      <c r="B70" s="63" t="n">
        <v>21620847</v>
      </c>
      <c r="C70" s="7" t="inlineStr">
        <is>
          <t>34100005-1/42779D1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07">
      <c r="A71" s="68" t="n">
        <v>311</v>
      </c>
      <c r="B71" s="63" t="n">
        <v>21620638</v>
      </c>
      <c r="C71" s="7" t="inlineStr">
        <is>
          <t>34100005-1/57001D1 WC(WEIGHT CHECK) / WEIGHT CHECK</t>
        </is>
      </c>
      <c r="D71" s="8" t="inlineStr">
        <is>
          <t>TASK CARD</t>
        </is>
      </c>
      <c r="E71" s="9" t="inlineStr">
        <is>
          <t>Closed</t>
        </is>
      </c>
      <c r="F71" s="9" t="inlineStr">
        <is>
          <t>Normal</t>
        </is>
      </c>
      <c r="G71" s="8" t="inlineStr">
        <is>
          <t>AP</t>
        </is>
      </c>
      <c r="H71" s="10" t="n"/>
      <c r="I71" s="9" t="n"/>
      <c r="J71" s="9" t="inlineStr">
        <is>
          <t>N/A</t>
        </is>
      </c>
      <c r="K71" s="9" t="n"/>
    </row>
    <row r="72" ht="18" customHeight="1" s="107">
      <c r="A72" s="68" t="n">
        <v>316</v>
      </c>
      <c r="B72" s="63" t="n">
        <v>23905848</v>
      </c>
      <c r="C72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8" t="inlineStr">
        <is>
          <t>TASK CARD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INSP</t>
        </is>
      </c>
      <c r="H72" s="10" t="n"/>
      <c r="I72" s="9" t="n"/>
      <c r="J72" s="9" t="inlineStr">
        <is>
          <t>N/A</t>
        </is>
      </c>
      <c r="K72" s="9" t="n"/>
    </row>
    <row r="73" ht="18" customHeight="1" s="107">
      <c r="A73" s="68" t="n">
        <v>317</v>
      </c>
      <c r="B73" s="63" t="n">
        <v>32022300</v>
      </c>
      <c r="C73" s="89" t="inlineStr">
        <is>
          <t>DOCTR KIT EXPIRY [30JUN 2026]. DOCTOR KIT WILL EXP ON 30 JUNE 2026 DEK # 096 DEK SN  7160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R/R FROM CATRION</t>
        </is>
      </c>
      <c r="J73" s="9" t="inlineStr">
        <is>
          <t>N/A</t>
        </is>
      </c>
      <c r="K73" s="9" t="inlineStr">
        <is>
          <t>AFT</t>
        </is>
      </c>
    </row>
    <row r="74" ht="18" customHeight="1" s="107">
      <c r="A74" s="68" t="n">
        <v>319</v>
      </c>
      <c r="B74" s="63" t="n">
        <v>80794771</v>
      </c>
      <c r="C74" s="89" t="inlineStr">
        <is>
          <t>METAL STRIP LAV D BESIDE COMPARTMENT S302 AFT LWR SIDE METAL STRIP FOUND BROKEN. PIC ATTACHED</t>
        </is>
      </c>
      <c r="D74" s="8" t="inlineStr">
        <is>
          <t>GENERAL CABIN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9" t="inlineStr">
        <is>
          <t>seat metal in progress</t>
        </is>
      </c>
      <c r="J74" s="9" t="inlineStr">
        <is>
          <t>N/A</t>
        </is>
      </c>
      <c r="K74" s="9" t="inlineStr">
        <is>
          <t>AFT</t>
        </is>
      </c>
    </row>
    <row r="75" hidden="1" ht="18" customHeight="1" s="107">
      <c r="A75" s="68" t="n">
        <v>320</v>
      </c>
      <c r="B75" s="63" t="n">
        <v>81012325</v>
      </c>
      <c r="C75" s="7" t="inlineStr">
        <is>
          <t>COVER R2 DOOR MIS BUSTLE COVER HAS DAMAGE.</t>
        </is>
      </c>
      <c r="D75" s="8" t="inlineStr">
        <is>
          <t>PAX DOORS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CAB</t>
        </is>
      </c>
      <c r="H75" s="10" t="inlineStr">
        <is>
          <t>Requested</t>
        </is>
      </c>
      <c r="I75" s="9" t="n"/>
      <c r="J75" s="9" t="inlineStr">
        <is>
          <t>N/A</t>
        </is>
      </c>
      <c r="K75" s="9" t="inlineStr">
        <is>
          <t>AFT</t>
        </is>
      </c>
    </row>
    <row r="76" hidden="1" ht="18" customHeight="1" s="107">
      <c r="A76" s="68" t="n">
        <v>322</v>
      </c>
      <c r="B76" s="63" t="inlineStr">
        <is>
          <t>STJC-20-00-00-01-GA-GO</t>
        </is>
      </c>
      <c r="C76" s="7" t="inlineStr">
        <is>
          <t>HEAVY CHK AIRCRAFT (PRE-INSP)</t>
        </is>
      </c>
      <c r="D76" s="8" t="inlineStr">
        <is>
          <t>TASK CARD</t>
        </is>
      </c>
      <c r="E76" s="9" t="inlineStr">
        <is>
          <t>Closed</t>
        </is>
      </c>
      <c r="F76" s="9" t="inlineStr">
        <is>
          <t>Normal</t>
        </is>
      </c>
      <c r="G76" s="8" t="inlineStr">
        <is>
          <t>INSP</t>
        </is>
      </c>
      <c r="H76" s="10" t="n"/>
      <c r="I76" s="9" t="n"/>
      <c r="J76" s="9" t="inlineStr">
        <is>
          <t>N/A</t>
        </is>
      </c>
      <c r="K76" s="9" t="n"/>
    </row>
    <row r="77" ht="18" customHeight="1" s="107">
      <c r="A77" s="68" t="n">
        <v>323</v>
      </c>
      <c r="B77" s="63" t="inlineStr">
        <is>
          <t>STJC-20-00-00-03-GA-GO</t>
        </is>
      </c>
      <c r="C77" s="7" t="inlineStr">
        <is>
          <t>TOOL ACCOUNTABILITY PRIOR TO ACFT RELEASE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AP</t>
        </is>
      </c>
      <c r="H77" s="10" t="n"/>
      <c r="I77" s="9" t="n"/>
      <c r="J77" s="9" t="inlineStr">
        <is>
          <t>N/A</t>
        </is>
      </c>
      <c r="K77" s="9" t="n"/>
    </row>
    <row r="78" ht="18" customHeight="1" s="107">
      <c r="A78" s="68" t="n">
        <v>324</v>
      </c>
      <c r="B78" s="63" t="inlineStr">
        <is>
          <t>STJC-20-00-00-04-GA-SV</t>
        </is>
      </c>
      <c r="C78" s="7" t="inlineStr">
        <is>
          <t>AIRCRAFT MAINTENANCE AND CABIN LOGBOOKS AUDIT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PLN</t>
        </is>
      </c>
      <c r="H78" s="10" t="n"/>
      <c r="I78" s="9" t="n"/>
      <c r="J78" s="9" t="inlineStr">
        <is>
          <t>N/A</t>
        </is>
      </c>
      <c r="K78" s="9" t="n"/>
    </row>
    <row r="79" ht="18" customHeight="1" s="107">
      <c r="A79" s="68" t="n">
        <v>325</v>
      </c>
      <c r="B79" s="63" t="inlineStr">
        <is>
          <t>STJC-20-00-00-05-GA-SV</t>
        </is>
      </c>
      <c r="C79" s="7" t="inlineStr">
        <is>
          <t>AIRCRAFT MAINTENANCE PACKAGE ACCOUNTABILITY CHECK</t>
        </is>
      </c>
      <c r="D79" s="8" t="inlineStr">
        <is>
          <t>TASK CARD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07">
      <c r="A80" s="68" t="n">
        <v>326</v>
      </c>
      <c r="B80" s="63" t="inlineStr">
        <is>
          <t>STJC-20-00-00-06-A32S-SV</t>
        </is>
      </c>
      <c r="C80" s="7" t="inlineStr">
        <is>
          <t>HEAVEY CHECK PRE-HANGAR PREPARATION</t>
        </is>
      </c>
      <c r="D80" s="8" t="inlineStr">
        <is>
          <t>TASK CARD</t>
        </is>
      </c>
      <c r="E80" s="9" t="inlineStr">
        <is>
          <t>Closed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t="18" customHeight="1" s="107">
      <c r="A81" s="68" t="n">
        <v>327</v>
      </c>
      <c r="B81" s="63" t="inlineStr">
        <is>
          <t>STJC-20-00-00-07-A32S-SV</t>
        </is>
      </c>
      <c r="C81" s="7" t="inlineStr">
        <is>
          <t>HEAVEY CHECK DE-HANGARING PREPARATION</t>
        </is>
      </c>
      <c r="D81" s="8" t="inlineStr">
        <is>
          <t>TASK CARD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AP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07">
      <c r="A82" s="68" t="n">
        <v>328</v>
      </c>
      <c r="B82" s="63" t="inlineStr">
        <is>
          <t>STJC-20-00-00-08-A32S-SV</t>
        </is>
      </c>
      <c r="C82" s="7" t="inlineStr">
        <is>
          <t>CABIN DOORS SAFETY PINS INSTALLATION/REMOVAL</t>
        </is>
      </c>
      <c r="D82" s="8" t="inlineStr">
        <is>
          <t>TASK CARD</t>
        </is>
      </c>
      <c r="E82" s="9" t="inlineStr">
        <is>
          <t>Closed</t>
        </is>
      </c>
      <c r="F82" s="9" t="inlineStr">
        <is>
          <t>Normal</t>
        </is>
      </c>
      <c r="G82" s="8" t="inlineStr">
        <is>
          <t>CAB</t>
        </is>
      </c>
      <c r="H82" s="10" t="n"/>
      <c r="I82" s="9" t="n"/>
      <c r="J82" s="9" t="inlineStr">
        <is>
          <t>N/A</t>
        </is>
      </c>
      <c r="K82" s="9" t="n"/>
    </row>
    <row r="83" ht="18" customHeight="1" s="107">
      <c r="A83" s="68" t="n">
        <v>329</v>
      </c>
      <c r="B83" s="63" t="inlineStr">
        <is>
          <t>STJC-AREAS-FINAL-INSPECTION-01-GA-GO</t>
        </is>
      </c>
      <c r="C83" s="7" t="inlineStr">
        <is>
          <t>AIRCRAFT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t="18" customHeight="1" s="107">
      <c r="A84" s="68" t="n">
        <v>330</v>
      </c>
      <c r="B84" s="63" t="inlineStr">
        <is>
          <t>STJC-AREAS-FINAL-INSPECTION-02-GA-GO</t>
        </is>
      </c>
      <c r="C84" s="7" t="inlineStr">
        <is>
          <t>COCKPIT AND PAX CABIN FINAL INSPECTION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INSP</t>
        </is>
      </c>
      <c r="H84" s="10" t="n"/>
      <c r="I84" s="9" t="n"/>
      <c r="J84" s="9" t="inlineStr">
        <is>
          <t>N/A</t>
        </is>
      </c>
      <c r="K84" s="9" t="n"/>
    </row>
    <row r="85" ht="18" customHeight="1" s="107">
      <c r="A85" s="68" t="n">
        <v>339</v>
      </c>
      <c r="B85" s="63" t="inlineStr">
        <is>
          <t>STJC-RTS-03-A32S-SV</t>
        </is>
      </c>
      <c r="C85" s="7" t="inlineStr">
        <is>
          <t>AIRCRAFT RETURN TO SERVICE FOR HEAVEY CHECK</t>
        </is>
      </c>
      <c r="D85" s="8" t="inlineStr">
        <is>
          <t>TASK CARD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AP</t>
        </is>
      </c>
      <c r="H85" s="10" t="n"/>
      <c r="I85" s="9" t="n"/>
      <c r="J85" s="9" t="inlineStr">
        <is>
          <t>N/A</t>
        </is>
      </c>
      <c r="K85" s="9" t="n"/>
    </row>
    <row r="86" ht="18" customHeight="1" s="107">
      <c r="A86" s="68" t="n">
        <v>341</v>
      </c>
      <c r="B86" s="63" t="n">
        <v>32787419</v>
      </c>
      <c r="C86" s="7" t="inlineStr">
        <is>
          <t>LAV FLOOR PAN---SM--RII LAV-D FLOOR PAN UNDER COMMODE VERTICAL PANEL SCREW HOLE CRACKED ALL THE WAY</t>
        </is>
      </c>
      <c r="D86" s="8" t="inlineStr">
        <is>
          <t>LAVATORY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S/M</t>
        </is>
      </c>
      <c r="H86" s="10" t="n"/>
      <c r="I86" s="9" t="n"/>
      <c r="J86" s="9" t="inlineStr">
        <is>
          <t>N/A</t>
        </is>
      </c>
      <c r="K86" s="9" t="n"/>
    </row>
    <row r="87" ht="18" customHeight="1" s="107">
      <c r="A87" s="68" t="n">
        <v>342</v>
      </c>
      <c r="B87" s="63" t="n">
        <v>32787446</v>
      </c>
      <c r="C87" s="89" t="inlineStr">
        <is>
          <t>LAVE COMMODE SHROUDE---CAB---NO CALL BACK LAV-A FLOOR PAN COMMODE BOTTOM VERTICAL PANEL 01EA SCREW MISSING</t>
        </is>
      </c>
      <c r="D87" s="8" t="inlineStr">
        <is>
          <t>LAVATORY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CAB</t>
        </is>
      </c>
      <c r="H87" s="10" t="n"/>
      <c r="I87" s="9" t="n"/>
      <c r="J87" s="9" t="inlineStr">
        <is>
          <t>N/A</t>
        </is>
      </c>
      <c r="K87" s="9" t="inlineStr">
        <is>
          <t>AFT</t>
        </is>
      </c>
    </row>
    <row r="88" hidden="1" ht="18" customHeight="1" s="107">
      <c r="A88" s="68" t="n">
        <v>343</v>
      </c>
      <c r="B88" s="63" t="n">
        <v>32787479</v>
      </c>
      <c r="C88" s="7" t="inlineStr">
        <is>
          <t>LAVE FLOOR PAN---SM---RII LAV-E FLOOR PAN COMMODE BOTTOM SIDE VERTICAL PANEL SCREW HOLE CRACKED ALL THE WAY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S/M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07">
      <c r="A89" s="68" t="n">
        <v>348</v>
      </c>
      <c r="B89" s="63" t="n">
        <v>29534232</v>
      </c>
      <c r="C89" s="7" t="inlineStr">
        <is>
          <t>252582/AD-A320/A321, INSPECTION OF ALL LAVATORY WASTE RECEPTACLE DOORS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INSP</t>
        </is>
      </c>
      <c r="H89" s="10" t="n"/>
      <c r="I89" s="9" t="n"/>
      <c r="J89" s="9" t="inlineStr">
        <is>
          <t>N/A</t>
        </is>
      </c>
      <c r="K89" s="9" t="n"/>
    </row>
    <row r="90" ht="18" customHeight="1" s="107">
      <c r="A90" s="68" t="n">
        <v>354</v>
      </c>
      <c r="B90" s="63" t="inlineStr">
        <is>
          <t>381000-01-1</t>
        </is>
      </c>
      <c r="C90" s="7" t="inlineStr">
        <is>
          <t>381000-01-1 (02) / WATER TANK DISINFECTION</t>
        </is>
      </c>
      <c r="D90" s="8" t="inlineStr">
        <is>
          <t>TASK CARD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n"/>
    </row>
    <row r="91" hidden="1" ht="18" customHeight="1" s="107">
      <c r="A91" s="68" t="n">
        <v>368</v>
      </c>
      <c r="B91" s="63" t="n">
        <v>32070218</v>
      </c>
      <c r="C91" s="7" t="inlineStr">
        <is>
          <t>S35-D10066/A320/21 - PBE SERIAL NUMBER VERIFICATION.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07">
      <c r="A92" s="68" t="n">
        <v>372</v>
      </c>
      <c r="B92" s="63" t="inlineStr">
        <is>
          <t>05-SVA-01</t>
        </is>
      </c>
      <c r="C92" s="7" t="inlineStr">
        <is>
          <t>05-SVA-01 (00) / EMERGENCY EQUIPMENTS EXPIRY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CAB</t>
        </is>
      </c>
      <c r="H92" s="10" t="n"/>
      <c r="I92" s="9" t="n"/>
      <c r="J92" s="9" t="inlineStr">
        <is>
          <t>N/A</t>
        </is>
      </c>
      <c r="K92" s="9" t="inlineStr">
        <is>
          <t>JOINT</t>
        </is>
      </c>
    </row>
    <row r="93" ht="18" customHeight="1" s="107">
      <c r="A93" s="68" t="n">
        <v>373</v>
      </c>
      <c r="B93" s="63" t="inlineStr">
        <is>
          <t>11-11-00-01-0-SVA</t>
        </is>
      </c>
      <c r="C93" s="7" t="inlineStr">
        <is>
          <t>11-11-00-01-0-SVA (02) / INTERIOR PLACARDS CHECK</t>
        </is>
      </c>
      <c r="D93" s="8" t="inlineStr">
        <is>
          <t>TASK CARD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PAINT</t>
        </is>
      </c>
      <c r="H93" s="10" t="n"/>
      <c r="I93" s="9" t="n"/>
      <c r="J93" s="9" t="inlineStr">
        <is>
          <t>N/A</t>
        </is>
      </c>
      <c r="K93" s="9" t="n"/>
    </row>
    <row r="94" hidden="1" ht="18" customHeight="1" s="107">
      <c r="A94" s="68" t="n">
        <v>374</v>
      </c>
      <c r="B94" s="63" t="inlineStr">
        <is>
          <t>212300-02-1</t>
        </is>
      </c>
      <c r="C94" s="7" t="inlineStr">
        <is>
          <t>212300-02-1 (03) / LAVATORY AIR EXTRACTION FLTR R/R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CAB</t>
        </is>
      </c>
      <c r="H94" s="10" t="inlineStr">
        <is>
          <t>Requested</t>
        </is>
      </c>
      <c r="I94" s="9" t="n"/>
      <c r="J94" s="9" t="inlineStr">
        <is>
          <t>N/A</t>
        </is>
      </c>
      <c r="K94" s="9" t="n"/>
    </row>
    <row r="95" hidden="1" ht="18" customHeight="1" s="107">
      <c r="A95" s="68" t="n">
        <v>375</v>
      </c>
      <c r="B95" s="63" t="inlineStr">
        <is>
          <t>212600-11-1</t>
        </is>
      </c>
      <c r="C95" s="72" t="inlineStr">
        <is>
          <t>212600-11-1 (03) / DEMISTER FLTER&amp;FILTER CARTRIDGE R&amp;R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AP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07">
      <c r="A96" s="68" t="n">
        <v>376</v>
      </c>
      <c r="B96" s="63" t="inlineStr">
        <is>
          <t>216000-01-1-001</t>
        </is>
      </c>
      <c r="C96" s="7" t="inlineStr">
        <is>
          <t>216000-01-1-001 (05) / CLEANING OF COCKPIT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07">
      <c r="A97" s="68" t="n">
        <v>377</v>
      </c>
      <c r="B97" s="63" t="inlineStr">
        <is>
          <t>216000-01-1-002</t>
        </is>
      </c>
      <c r="C97" s="7" t="inlineStr">
        <is>
          <t>216000-01-1-002 (04) / CLEANING OF CABIN SENSOR DUCT AND TEMPERATURE SENSOR.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07">
      <c r="A98" s="68" t="n">
        <v>379</v>
      </c>
      <c r="B98" s="63" t="inlineStr">
        <is>
          <t>237100-01-1</t>
        </is>
      </c>
      <c r="C98" s="7" t="inlineStr">
        <is>
          <t>237100-01-1 (02) / COCKPIT VOICE RECORDER OPC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07">
      <c r="A99" s="68" t="n">
        <v>384</v>
      </c>
      <c r="B99" s="63" t="inlineStr">
        <is>
          <t>243800-01-1</t>
        </is>
      </c>
      <c r="C99" s="7" t="inlineStr">
        <is>
          <t>243800-01-1 (02) / BATT CHARGE LIMITER OPS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AV</t>
        </is>
      </c>
      <c r="H99" s="10" t="n"/>
      <c r="I99" s="9" t="n"/>
      <c r="J99" s="9" t="inlineStr">
        <is>
          <t>N/A</t>
        </is>
      </c>
      <c r="K99" s="9" t="n"/>
    </row>
    <row r="100" hidden="1" ht="18" customHeight="1" s="107">
      <c r="A100" s="68" t="n">
        <v>385</v>
      </c>
      <c r="B100" s="63" t="inlineStr">
        <is>
          <t>25-10-00-00-SVA</t>
        </is>
      </c>
      <c r="C100" s="7" t="inlineStr">
        <is>
          <t>25-10-00-00-SVA (00) / COCKPIT CHECK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07">
      <c r="A101" s="68" t="n">
        <v>386</v>
      </c>
      <c r="B101" s="63" t="inlineStr">
        <is>
          <t>25-11-00-07-0-SVA-001</t>
        </is>
      </c>
      <c r="C101" s="7" t="inlineStr">
        <is>
          <t>25-11-00-07-0-SVA-001 (03) / FOURTH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07">
      <c r="A102" s="68" t="n">
        <v>387</v>
      </c>
      <c r="B102" s="63" t="inlineStr">
        <is>
          <t>25-11-00-19-0-SVA</t>
        </is>
      </c>
      <c r="C102" s="7" t="inlineStr">
        <is>
          <t>25-11-00-19-0-SVA (01) / THIRD OCCUPANT SEAT LUBRICATION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inlineStr">
        <is>
          <t>FWD</t>
        </is>
      </c>
    </row>
    <row r="103" hidden="1" ht="18" customHeight="1" s="107">
      <c r="A103" s="68" t="n">
        <v>388</v>
      </c>
      <c r="B103" s="63" t="inlineStr">
        <is>
          <t>25-20-00-00-SVA</t>
        </is>
      </c>
      <c r="C103" s="7" t="inlineStr">
        <is>
          <t>25-20-00-00-SVA (00) / GENERAL CABIN DEEP INSP</t>
        </is>
      </c>
      <c r="D103" s="8" t="inlineStr">
        <is>
          <t>TASK CARD</t>
        </is>
      </c>
      <c r="E103" s="9" t="inlineStr">
        <is>
          <t>Closed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9" t="n"/>
      <c r="J103" s="9" t="inlineStr">
        <is>
          <t>N/A</t>
        </is>
      </c>
      <c r="K103" s="9" t="n"/>
    </row>
    <row r="104" ht="18" customHeight="1" s="107">
      <c r="A104" s="68" t="n">
        <v>389</v>
      </c>
      <c r="B104" s="63" t="inlineStr">
        <is>
          <t>25-21-00-00-SVA</t>
        </is>
      </c>
      <c r="C104" s="7" t="inlineStr">
        <is>
          <t>25-21-00-00-SVA (00) / B/C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t="18" customHeight="1" s="107">
      <c r="A105" s="68" t="n">
        <v>390</v>
      </c>
      <c r="B105" s="63" t="inlineStr">
        <is>
          <t>25-21-01-00-SVA</t>
        </is>
      </c>
      <c r="C105" s="7" t="inlineStr">
        <is>
          <t>25-21-01-00-SVA (00) / G/C SEAT DEEP INSP</t>
        </is>
      </c>
      <c r="D105" s="8" t="inlineStr">
        <is>
          <t>TASK CARD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SEAT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07">
      <c r="A106" s="68" t="n">
        <v>391</v>
      </c>
      <c r="B106" s="63" t="inlineStr">
        <is>
          <t>25-22-00-00-SVA</t>
        </is>
      </c>
      <c r="C106" s="7" t="inlineStr">
        <is>
          <t>25-22-00-00-SVA (00) / CABIN CREW SEAT DEEP INSP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07">
      <c r="A107" s="68" t="n">
        <v>392</v>
      </c>
      <c r="B107" s="63" t="inlineStr">
        <is>
          <t>25-26-00-03-0-SVA</t>
        </is>
      </c>
      <c r="C107" s="7" t="inlineStr">
        <is>
          <t>25-26-00-03-0-SVA (03) / PASS COMPT CURTAIN RAILS INSPECTION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INSP</t>
        </is>
      </c>
      <c r="H107" s="10" t="n"/>
      <c r="I107" s="9" t="n"/>
      <c r="J107" s="9" t="inlineStr">
        <is>
          <t>N/A</t>
        </is>
      </c>
      <c r="K107" s="9" t="n"/>
    </row>
    <row r="108" ht="18" customHeight="1" s="107">
      <c r="A108" s="68" t="n">
        <v>393</v>
      </c>
      <c r="B108" s="63" t="inlineStr">
        <is>
          <t>25-26-00-08-0-SVA</t>
        </is>
      </c>
      <c r="C108" s="7" t="inlineStr">
        <is>
          <t>25-26-00-08-0-SVA (04) / PASSNGER COMPT CURTAINS REPLACEMENT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inlineStr">
        <is>
          <t>Requested</t>
        </is>
      </c>
      <c r="I108" s="9" t="inlineStr">
        <is>
          <t>P/S 4467481</t>
        </is>
      </c>
      <c r="J108" s="9" t="inlineStr">
        <is>
          <t>N/A</t>
        </is>
      </c>
      <c r="K108" s="9" t="inlineStr">
        <is>
          <t>JOINT</t>
        </is>
      </c>
    </row>
    <row r="109" ht="18" customHeight="1" s="107">
      <c r="A109" s="68" t="n">
        <v>394</v>
      </c>
      <c r="B109" s="63" t="inlineStr">
        <is>
          <t>25-28-00-03-0-SVA-001</t>
        </is>
      </c>
      <c r="C109" s="7" t="inlineStr">
        <is>
          <t>25-28-00-03-0-SVA-001 (07) / HZ-ASA TO ASG AISLE CARPETS R/R</t>
        </is>
      </c>
      <c r="D109" s="8" t="inlineStr">
        <is>
          <t>TASK CARD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07">
      <c r="A110" s="68" t="n">
        <v>395</v>
      </c>
      <c r="B110" s="63" t="inlineStr">
        <is>
          <t>25-30-00-13-0-SVA</t>
        </is>
      </c>
      <c r="C110" s="7" t="inlineStr">
        <is>
          <t>25-30-00-13-0-SVA (02) / GALLY &amp; WATER AUTO DRAIN VALVES OPC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inlineStr">
        <is>
          <t>JOINT</t>
        </is>
      </c>
    </row>
    <row r="111" ht="18" customHeight="1" s="107">
      <c r="A111" s="68" t="n">
        <v>396</v>
      </c>
      <c r="B111" s="63" t="inlineStr">
        <is>
          <t>25-32-00-00-SVA</t>
        </is>
      </c>
      <c r="C111" s="87" t="inlineStr">
        <is>
          <t>25-32-00-00-SVA (00) / GALLEY CHECK</t>
        </is>
      </c>
      <c r="D111" s="8" t="inlineStr">
        <is>
          <t>TASK CARD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07">
      <c r="A112" s="68" t="n">
        <v>397</v>
      </c>
      <c r="B112" s="63" t="inlineStr">
        <is>
          <t>25-40-00-00-SVA</t>
        </is>
      </c>
      <c r="C112" s="7" t="inlineStr">
        <is>
          <t>25-40-00-00-SVA (00) / LAV CHECK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07">
      <c r="A113" s="68" t="n">
        <v>398</v>
      </c>
      <c r="B113" s="63" t="inlineStr">
        <is>
          <t>25-60-00-03-0-SVA</t>
        </is>
      </c>
      <c r="C113" s="7" t="inlineStr">
        <is>
          <t>25-60-00-03-0-SVA (01) / EMERGENCY EQUIPMENT IN C/A SEAT STOWAGE INSPECTION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07">
      <c r="A114" s="68" t="n">
        <v>399</v>
      </c>
      <c r="B114" s="63" t="inlineStr">
        <is>
          <t>25-65-00-01-0-SVA</t>
        </is>
      </c>
      <c r="C114" s="7" t="inlineStr">
        <is>
          <t>25-65-00-01-0-SVA (02) / EMERGENCY EQUIP VALIDITY INSP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07">
      <c r="A115" s="68" t="n">
        <v>400</v>
      </c>
      <c r="B115" s="63" t="inlineStr">
        <is>
          <t>25-65-00-01-0-SVA-001</t>
        </is>
      </c>
      <c r="C115" s="7" t="inlineStr">
        <is>
          <t>25-65-00-01-0-SVA-001 (02) / FIRST AID MEDICAL SURVL KIT CHECK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INSP</t>
        </is>
      </c>
      <c r="H115" s="10" t="n"/>
      <c r="I115" s="9" t="n"/>
      <c r="J115" s="9" t="inlineStr">
        <is>
          <t>N/A</t>
        </is>
      </c>
      <c r="K115" s="9" t="n"/>
    </row>
    <row r="116" hidden="1" ht="18" customHeight="1" s="107">
      <c r="A116" s="68" t="n">
        <v>401</v>
      </c>
      <c r="B116" s="63" t="inlineStr">
        <is>
          <t>253000-02-1</t>
        </is>
      </c>
      <c r="C116" s="7" t="inlineStr">
        <is>
          <t>253000-02-1 (03) / GALLY AIR EXTRACTION FLTR ELMNT R*R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inlineStr">
        <is>
          <t>Requested</t>
        </is>
      </c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07">
      <c r="A117" s="68" t="n">
        <v>402</v>
      </c>
      <c r="B117" s="63" t="inlineStr">
        <is>
          <t>253400-01-1.</t>
        </is>
      </c>
      <c r="C117" s="7" t="inlineStr">
        <is>
          <t>253400-01-1. (02) / GALLEY COOLING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07">
      <c r="A118" s="68" t="n">
        <v>403</v>
      </c>
      <c r="B118" s="63" t="inlineStr">
        <is>
          <t>253400-02-1</t>
        </is>
      </c>
      <c r="C118" s="7" t="inlineStr">
        <is>
          <t>253400-02-1 (02) / AIRCHILLER CONDENSER AIR FLTR CLEANING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07">
      <c r="A119" s="68" t="n">
        <v>406</v>
      </c>
      <c r="B119" s="63" t="inlineStr">
        <is>
          <t>256241-05-1</t>
        </is>
      </c>
      <c r="C119" s="7" t="inlineStr">
        <is>
          <t>256241-05-1 (03) / CABN DOORS GIRT BAR FITT STOP CLEAN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9" t="n"/>
      <c r="J119" s="9" t="inlineStr">
        <is>
          <t>N/A</t>
        </is>
      </c>
      <c r="K119" s="9" t="inlineStr">
        <is>
          <t>JOINT</t>
        </is>
      </c>
    </row>
    <row r="120" hidden="1" ht="18" customHeight="1" s="107">
      <c r="A120" s="68" t="n">
        <v>411</v>
      </c>
      <c r="B120" s="63" t="inlineStr">
        <is>
          <t>262441-01-1</t>
        </is>
      </c>
      <c r="C120" s="7" t="inlineStr">
        <is>
          <t>262441-01-1 (02) / PORT FIRE EXT PRESS GAUGE CHK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INSP</t>
        </is>
      </c>
      <c r="H120" s="10" t="n"/>
      <c r="I120" s="9" t="n"/>
      <c r="J120" s="9" t="inlineStr">
        <is>
          <t>N/A</t>
        </is>
      </c>
      <c r="K120" s="9" t="n"/>
    </row>
    <row r="121" hidden="1" ht="18" customHeight="1" s="107">
      <c r="A121" s="68" t="n">
        <v>434</v>
      </c>
      <c r="B121" s="63" t="inlineStr">
        <is>
          <t>31-63-00-01-SVA-001</t>
        </is>
      </c>
      <c r="C121" s="7" t="inlineStr">
        <is>
          <t>31-63-00-01-SVA-001 (04) / COCKPIT AND AVIONICS COMPARTMENT AREA AND EQUIPMENT`S CLEANING.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AV</t>
        </is>
      </c>
      <c r="H121" s="10" t="n"/>
      <c r="I121" s="9" t="n"/>
      <c r="J121" s="9" t="inlineStr">
        <is>
          <t>N/A</t>
        </is>
      </c>
      <c r="K121" s="9" t="inlineStr">
        <is>
          <t>FWD</t>
        </is>
      </c>
    </row>
    <row r="122" hidden="1" ht="18" customHeight="1" s="107">
      <c r="A122" s="68" t="n">
        <v>448</v>
      </c>
      <c r="B122" s="63" t="inlineStr">
        <is>
          <t>353000-01-1</t>
        </is>
      </c>
      <c r="C122" s="7" t="inlineStr">
        <is>
          <t>353000-01-1 (04) / PORTABLE OXYGEN CYLINDERS OPC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07">
      <c r="A123" s="68" t="n">
        <v>449</v>
      </c>
      <c r="B123" s="63" t="inlineStr">
        <is>
          <t>353000-05-1</t>
        </is>
      </c>
      <c r="C123" s="7" t="inlineStr">
        <is>
          <t>353000-05-1 (04) / CABIN PBE INSP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INSP</t>
        </is>
      </c>
      <c r="H123" s="10" t="n"/>
      <c r="I123" s="9" t="n"/>
      <c r="J123" s="9" t="inlineStr">
        <is>
          <t>N/A</t>
        </is>
      </c>
      <c r="K123" s="9" t="n"/>
    </row>
    <row r="124" ht="18" customHeight="1" s="107">
      <c r="A124" s="68" t="n">
        <v>454</v>
      </c>
      <c r="B124" s="63" t="inlineStr">
        <is>
          <t>38-10-00-SVA</t>
        </is>
      </c>
      <c r="C124" s="7" t="inlineStr">
        <is>
          <t>38-10-00-SVA (00) / DECALCIFICATION OF THE POTABLE WATER TANK AND DISTRIBUTION SYSTEM</t>
        </is>
      </c>
      <c r="D124" s="8" t="inlineStr">
        <is>
          <t>TASK CARD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AP</t>
        </is>
      </c>
      <c r="H124" s="10" t="n"/>
      <c r="I124" s="9" t="n"/>
      <c r="J124" s="9" t="inlineStr">
        <is>
          <t>N/A</t>
        </is>
      </c>
      <c r="K124" s="9" t="n"/>
    </row>
    <row r="125" hidden="1" ht="18" customHeight="1" s="107">
      <c r="A125" s="68" t="n">
        <v>455</v>
      </c>
      <c r="B125" s="63" t="inlineStr">
        <is>
          <t>383200-01-1</t>
        </is>
      </c>
      <c r="C125" s="7" t="inlineStr">
        <is>
          <t>383200-01-1 (02) / WASHBASIN FILTER ELEMENT CLEANING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9" t="n"/>
      <c r="J125" s="9" t="inlineStr">
        <is>
          <t>N/A</t>
        </is>
      </c>
      <c r="K125" s="9" t="inlineStr">
        <is>
          <t>JOINT</t>
        </is>
      </c>
    </row>
    <row r="126" hidden="1" ht="18" customHeight="1" s="107">
      <c r="A126" s="68" t="n">
        <v>464</v>
      </c>
      <c r="B126" s="63" t="inlineStr">
        <is>
          <t>525111-06-2</t>
        </is>
      </c>
      <c r="C126" s="7" t="inlineStr">
        <is>
          <t>525111-06-2 (01) / FUNCTIONAL CHECK OF THE CORRECT ADJUSTMENT OF THE COCKPIT DOOR, ELECTRICAL RELEASE STRIKES AND LATCH MECHANISM</t>
        </is>
      </c>
      <c r="D126" s="8" t="inlineStr">
        <is>
          <t>TASK CARD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JOINT</t>
        </is>
      </c>
      <c r="H126" s="10" t="n"/>
      <c r="I126" s="9" t="n"/>
      <c r="J126" s="9" t="inlineStr">
        <is>
          <t>N/A</t>
        </is>
      </c>
      <c r="K126" s="9" t="inlineStr">
        <is>
          <t>FWD</t>
        </is>
      </c>
    </row>
    <row r="127" hidden="1" ht="18" customHeight="1" s="107">
      <c r="A127" s="68" t="n">
        <v>498</v>
      </c>
      <c r="B127" s="63" t="n">
        <v>32788737</v>
      </c>
      <c r="C127" s="7" t="inlineStr">
        <is>
          <t>CABIN IFE - SMOKE SIGN - NO CALL       /       25-SVA-02 SMOKE SIGN LIGHT INOP ABOVE SEAT 42JKL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Normal</t>
        </is>
      </c>
      <c r="G127" s="8" t="inlineStr">
        <is>
          <t>AV</t>
        </is>
      </c>
      <c r="H127" s="10" t="n"/>
      <c r="I127" s="9" t="n"/>
      <c r="J127" s="9" t="inlineStr">
        <is>
          <t>Yes</t>
        </is>
      </c>
      <c r="K127" s="9" t="inlineStr">
        <is>
          <t>AFT</t>
        </is>
      </c>
    </row>
    <row r="128" ht="18" customHeight="1" s="107">
      <c r="A128" s="68" t="n">
        <v>499</v>
      </c>
      <c r="B128" s="63" t="n">
        <v>32788738</v>
      </c>
      <c r="C128" s="89" t="inlineStr">
        <is>
          <t>CABIN - FWD CABINET -  NO CALL     /      25-SVA-02 FWD CABINET  C101 OUTER  AFT TRIM WITH 2EA DENTS MID AREA .</t>
        </is>
      </c>
      <c r="D128" s="8" t="inlineStr">
        <is>
          <t>GENERAL CABIN</t>
        </is>
      </c>
      <c r="E128" s="9" t="inlineStr">
        <is>
          <t>Open</t>
        </is>
      </c>
      <c r="F128" s="9" t="inlineStr">
        <is>
          <t>AOG</t>
        </is>
      </c>
      <c r="G128" s="8" t="inlineStr">
        <is>
          <t>CAB</t>
        </is>
      </c>
      <c r="H128" s="10" t="n"/>
      <c r="I128" s="9" t="inlineStr">
        <is>
          <t>SPLTY CAB - REQ S/M</t>
        </is>
      </c>
      <c r="J128" s="9" t="inlineStr">
        <is>
          <t>Yes</t>
        </is>
      </c>
      <c r="K128" s="9" t="inlineStr">
        <is>
          <t>FWD</t>
        </is>
      </c>
    </row>
    <row r="129" hidden="1" ht="18" customHeight="1" s="107">
      <c r="A129" s="68" t="n">
        <v>500</v>
      </c>
      <c r="B129" s="63" t="n">
        <v>32788746</v>
      </c>
      <c r="C129" s="7" t="inlineStr">
        <is>
          <t>CABIN - FWD CABINET -  NO CALL     /      25-SVA-02 FWD CABINET  C101 , DOOR OUTER  , LOWER TEDLER WOROUT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S/W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8" customHeight="1" s="107">
      <c r="A130" s="68" t="n">
        <v>502</v>
      </c>
      <c r="B130" s="63" t="n">
        <v>32788761</v>
      </c>
      <c r="C130" s="7" t="inlineStr">
        <is>
          <t>CABIN - FWD CABINET -  NO CALL     /      25-SVA-02 FWD SIDE , GAP SEAL WITH UPPER STOWAGE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CAB</t>
        </is>
      </c>
      <c r="H130" s="10" t="n"/>
      <c r="I130" s="9" t="n"/>
      <c r="J130" s="9" t="inlineStr">
        <is>
          <t>Yes</t>
        </is>
      </c>
      <c r="K130" s="9" t="inlineStr">
        <is>
          <t>FWD</t>
        </is>
      </c>
    </row>
    <row r="131" ht="15.6" customHeight="1" s="107">
      <c r="A131" s="68" t="inlineStr">
        <is>
          <t>501</t>
        </is>
      </c>
      <c r="B131" s="63" t="inlineStr">
        <is>
          <t>32788747</t>
        </is>
      </c>
      <c r="C131" s="7" t="inlineStr">
        <is>
          <t>PAINT - CABIN FWD CABINET -  NO CALL     /      25-SVA-02 COMPARTMENT  C102 ,  ID DECAL TORN , MEGAPHONE DECAL TORN , DESCRIPTION " EMER. EQUIP. ONLY "   DECAL  TORN .</t>
        </is>
      </c>
      <c r="D131" s="8" t="inlineStr">
        <is>
          <t>GENERAL CABIN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PAINT</t>
        </is>
      </c>
      <c r="H131" s="10" t="n"/>
      <c r="I131" s="9" t="n"/>
      <c r="J131" s="9" t="inlineStr">
        <is>
          <t>Yes</t>
        </is>
      </c>
      <c r="K131" s="9" t="n"/>
    </row>
    <row r="132" hidden="1" ht="18" customHeight="1" s="107">
      <c r="A132" s="68" t="n">
        <v>503</v>
      </c>
      <c r="B132" s="63" t="n">
        <v>32788793</v>
      </c>
      <c r="C132" s="7" t="inlineStr">
        <is>
          <t>CABIN - MID CABIN CARPET -  NO CALL     /      25-SVA-02 FRAYED CARPET , JUST BELOW MID PATITIONS AFT SIDE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inlineStr">
        <is>
          <t>CARPET R/R</t>
        </is>
      </c>
      <c r="J132" s="9" t="inlineStr">
        <is>
          <t>Yes</t>
        </is>
      </c>
      <c r="K132" s="9" t="inlineStr">
        <is>
          <t>FWD</t>
        </is>
      </c>
    </row>
    <row r="133" hidden="1" ht="18" customHeight="1" s="107">
      <c r="A133" s="68" t="n">
        <v>504</v>
      </c>
      <c r="B133" s="63" t="n">
        <v>32788801</v>
      </c>
      <c r="C133" s="7" t="inlineStr">
        <is>
          <t>CABIN - AFT LH CABINET -  NO CALL     /      25-SVA-02 COMPARTMENT  S302  , INNER BOTTOM RED LATCH LOOSE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07">
      <c r="A134" s="68" t="n">
        <v>505</v>
      </c>
      <c r="B134" s="63" t="n">
        <v>32788806</v>
      </c>
      <c r="C134" s="7" t="inlineStr">
        <is>
          <t>CABIN - AFT LH CABINET -  NO CALL     /      25-SVA-02 INSIDE COMPARTMENT  S303  , CART FOLDING RAMP HINGE PIN MIGRATED OUT ., + 1EA MISSING SCREW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07">
      <c r="A135" s="68" t="n">
        <v>508</v>
      </c>
      <c r="B135" s="63" t="n">
        <v>32788811</v>
      </c>
      <c r="C135" s="7" t="inlineStr">
        <is>
          <t>CABIN - AFT LH CABINET -  NO CALL     /      25-SVA-02 INSIDE OF  S303, AFT MID AREA RUB STRIP LOOSE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07">
      <c r="A136" s="68" t="n">
        <v>509</v>
      </c>
      <c r="B136" s="63" t="n">
        <v>32788813</v>
      </c>
      <c r="C136" s="7" t="inlineStr">
        <is>
          <t>CABIN - AFT LH CABINET -  NO CALL     /      25-SVA-02 COMPARTMENT  S304  ,  LATCH NOT LOCKING ON TABLE CART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8" customHeight="1" s="107">
      <c r="A137" s="68" t="n">
        <v>510</v>
      </c>
      <c r="B137" s="63" t="n">
        <v>32788815</v>
      </c>
      <c r="C137" s="7" t="inlineStr">
        <is>
          <t>CABIN - AFT CABINETS LATCHES  -  NO CALL     /      25-SVA-02 COMPARTMENT DOORS  S303 &amp; C202  BOTTOM LOCKS , INNER PLATE  EACH WITH MISSING SCREW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CAB</t>
        </is>
      </c>
      <c r="H137" s="10" t="n"/>
      <c r="I137" s="9" t="n"/>
      <c r="J137" s="9" t="inlineStr">
        <is>
          <t>Yes</t>
        </is>
      </c>
      <c r="K137" s="9" t="inlineStr">
        <is>
          <t>AFT</t>
        </is>
      </c>
    </row>
    <row r="138" ht="15.6" customHeight="1" s="107">
      <c r="A138" s="68" t="inlineStr">
        <is>
          <t>506</t>
        </is>
      </c>
      <c r="B138" s="63" t="inlineStr">
        <is>
          <t>32788809</t>
        </is>
      </c>
      <c r="C138" s="89" t="inlineStr">
        <is>
          <t>S/M - AFT LH CABINET -    RII         /      25-SVA-02 COMPARTMENT S303, AFT POST , LOWER AREA  TRIM MISSING , &amp; WITH DELAMINATION AND MISSING HONEYCOMB . L=  3"    W=  0.3"  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S/M</t>
        </is>
      </c>
      <c r="H138" s="10" t="n"/>
      <c r="I138" s="85" t="inlineStr">
        <is>
          <t>REQ EVAL IF NEEDS PARTS</t>
        </is>
      </c>
      <c r="J138" s="9" t="inlineStr">
        <is>
          <t>Yes</t>
        </is>
      </c>
      <c r="K138" s="9" t="n"/>
    </row>
    <row r="139" ht="15.6" customHeight="1" s="107">
      <c r="A139" s="68" t="inlineStr">
        <is>
          <t>507</t>
        </is>
      </c>
      <c r="B139" s="63" t="inlineStr">
        <is>
          <t>32788810</t>
        </is>
      </c>
      <c r="C139" s="89" t="inlineStr">
        <is>
          <t>S/M - AFT LH CABINET -    RII         /      25-SVA-02 INSIDE COMPARTMENT  S303 , BULGE UNDER LOWER AFT RUB STRIP.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85" t="inlineStr">
        <is>
          <t>REQ R/R BY CABIN</t>
        </is>
      </c>
      <c r="J139" s="9" t="inlineStr">
        <is>
          <t>Yes</t>
        </is>
      </c>
      <c r="K139" s="9" t="n"/>
    </row>
    <row r="140" ht="18" customHeight="1" s="107">
      <c r="A140" s="68" t="n">
        <v>511</v>
      </c>
      <c r="B140" s="63" t="n">
        <v>32788817</v>
      </c>
      <c r="C140" s="89" t="inlineStr">
        <is>
          <t>CABIN - AFT  RH CABINET -  NO CALL     /      25-SVA-02 INSIDE OF COMPARTMENT  C202  , BOTTOM AREA , 3EA MOUNT COVERS MISSING .</t>
        </is>
      </c>
      <c r="D140" s="8" t="inlineStr">
        <is>
          <t>GENERAL CABIN</t>
        </is>
      </c>
      <c r="E140" s="9" t="inlineStr">
        <is>
          <t>Open</t>
        </is>
      </c>
      <c r="F140" s="9" t="inlineStr">
        <is>
          <t>AOG</t>
        </is>
      </c>
      <c r="G140" s="8" t="inlineStr">
        <is>
          <t>CAB</t>
        </is>
      </c>
      <c r="H140" s="10" t="inlineStr">
        <is>
          <t>Requested</t>
        </is>
      </c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07">
      <c r="A141" s="68" t="n">
        <v>512</v>
      </c>
      <c r="B141" s="63" t="n">
        <v>32788819</v>
      </c>
      <c r="C141" s="7" t="inlineStr">
        <is>
          <t>CABIN - AFT CURTAIN -  NO CALL     /      25-SVA-02 AFT CURTAIN RAIL LOOSE ON RH END 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9" t="n"/>
      <c r="J141" s="9" t="inlineStr">
        <is>
          <t>Yes</t>
        </is>
      </c>
      <c r="K141" s="9" t="inlineStr">
        <is>
          <t>AFT</t>
        </is>
      </c>
    </row>
    <row r="142" hidden="1" ht="18" customHeight="1" s="107">
      <c r="A142" s="68" t="n">
        <v>538</v>
      </c>
      <c r="B142" s="63" t="n">
        <v>32791503</v>
      </c>
      <c r="C142" s="7" t="inlineStr">
        <is>
          <t>FINDING (NRC) JOBCARD STJC-20-00-00-01-GA-GO L1 DOOR LWR SIDE PNT FOUND FADED &amp; BLACK STAINS.</t>
        </is>
      </c>
      <c r="D142" s="8" t="inlineStr">
        <is>
          <t>GENERAL CABIN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PAINT</t>
        </is>
      </c>
      <c r="H142" s="10" t="n"/>
      <c r="I142" s="9" t="n"/>
      <c r="J142" s="9" t="inlineStr">
        <is>
          <t>Yes</t>
        </is>
      </c>
      <c r="K142" s="9" t="inlineStr">
        <is>
          <t>FWD</t>
        </is>
      </c>
    </row>
    <row r="143" ht="18" customHeight="1" s="107">
      <c r="A143" s="68" t="n">
        <v>564</v>
      </c>
      <c r="B143" s="63" t="n">
        <v>32401880</v>
      </c>
      <c r="C143" s="7" t="inlineStr">
        <is>
          <t>44-SVA-01 (00) / PANASONIC LEVEL 1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AV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07">
      <c r="A144" s="68" t="n">
        <v>565</v>
      </c>
      <c r="B144" s="63" t="n">
        <v>32395971</v>
      </c>
      <c r="C144" s="7" t="inlineStr">
        <is>
          <t>CCC-32S (03) / A32S CABIN CRITICAL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t="18" customHeight="1" s="107">
      <c r="A145" s="68" t="n">
        <v>566</v>
      </c>
      <c r="B145" s="63" t="n">
        <v>32349954</v>
      </c>
      <c r="C145" s="7" t="inlineStr">
        <is>
          <t>DCC-32S (11) / DCC A32S DAILY CABIN CHECK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CAB</t>
        </is>
      </c>
      <c r="H145" s="10" t="n"/>
      <c r="I145" s="9" t="n"/>
      <c r="J145" s="9" t="inlineStr">
        <is>
          <t>N/A</t>
        </is>
      </c>
      <c r="K145" s="9" t="n"/>
    </row>
    <row r="146" ht="18" customHeight="1" s="107">
      <c r="A146" s="68" t="n">
        <v>567</v>
      </c>
      <c r="B146" s="63" t="n">
        <v>32384091</v>
      </c>
      <c r="C146" s="7" t="inlineStr">
        <is>
          <t>ISC/IN SERVCE CHECK_N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AP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07">
      <c r="A147" s="68" t="n">
        <v>570</v>
      </c>
      <c r="B147" s="63" t="n">
        <v>32721788</v>
      </c>
      <c r="C147" s="7" t="inlineStr">
        <is>
          <t>S44-R10249/PANASONIC JUNE 26 CYCLE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AV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07">
      <c r="A148" s="68" t="n">
        <v>571</v>
      </c>
      <c r="B148" s="63" t="n">
        <v>32258914</v>
      </c>
      <c r="C148" s="7" t="inlineStr">
        <is>
          <t>W_N/WEEKLY CHECK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07">
      <c r="A149" s="68" t="n">
        <v>579</v>
      </c>
      <c r="B149" s="63" t="inlineStr">
        <is>
          <t>ISC-32S</t>
        </is>
      </c>
      <c r="C149" s="7" t="inlineStr">
        <is>
          <t>ISC-32S (13) / 32S IN-SERVEICE-CHECK (ISC)</t>
        </is>
      </c>
      <c r="D149" s="8" t="inlineStr">
        <is>
          <t>TASK CARD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JOINT</t>
        </is>
      </c>
      <c r="H149" s="10" t="n"/>
      <c r="I149" s="9" t="n"/>
      <c r="J149" s="9" t="inlineStr">
        <is>
          <t>N/A</t>
        </is>
      </c>
      <c r="K149" s="9" t="n"/>
    </row>
    <row r="150" ht="18" customHeight="1" s="107">
      <c r="A150" s="68" t="n">
        <v>580</v>
      </c>
      <c r="B150" s="63" t="n">
        <v>32793815</v>
      </c>
      <c r="C150" s="89" t="inlineStr">
        <is>
          <t>CAB-FWD RH FIRST AID KIT- RII FIRST AID KIT FWD RH, EXPIRT DATE IS WITHIN 6 MONTH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inlineStr">
        <is>
          <t>Yes</t>
        </is>
      </c>
      <c r="K150" s="9" t="inlineStr">
        <is>
          <t>FWD</t>
        </is>
      </c>
    </row>
    <row r="151" ht="18" customHeight="1" s="107">
      <c r="A151" s="68" t="n">
        <v>581</v>
      </c>
      <c r="B151" s="63" t="n">
        <v>32795576</v>
      </c>
      <c r="C151" s="89" t="inlineStr">
        <is>
          <t>CAB--AFT RH FIRST AID KIT- RII FIRST AID KIT AFT RH, EXPIRT DATE IS WITHIN 6 MONTH ON DEC/2026</t>
        </is>
      </c>
      <c r="D151" s="8" t="inlineStr">
        <is>
          <t>GENERAL CABIN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AFT</t>
        </is>
      </c>
    </row>
    <row r="152" hidden="1" ht="18" customHeight="1" s="107">
      <c r="A152" s="68" t="n">
        <v>583</v>
      </c>
      <c r="B152" s="63" t="n">
        <v>32795656</v>
      </c>
      <c r="C152" s="7" t="inlineStr">
        <is>
          <t>CAB- CUTAIN RAIL-CALL BACK FWD CURTAIN HOOKS BROKEN 2EA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07">
      <c r="A153" s="68" t="n">
        <v>584</v>
      </c>
      <c r="B153" s="63" t="n">
        <v>32796462</v>
      </c>
      <c r="C153" s="7" t="inlineStr">
        <is>
          <t>CAB- CUTAIN RAIL MID-CALL BACK MID DIVIDER CURTAIN HOOKS BROKEN AND STOPER MISSING.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FWD</t>
        </is>
      </c>
    </row>
    <row r="154" hidden="1" ht="18" customHeight="1" s="107">
      <c r="A154" s="68" t="n">
        <v>585</v>
      </c>
      <c r="B154" s="63" t="n">
        <v>32796473</v>
      </c>
      <c r="C154" s="7" t="inlineStr">
        <is>
          <t>CAB- CUTAIN RAIL AFT-CALL BACK AFT GALLEY CURTAIN STOPER MISSING</t>
        </is>
      </c>
      <c r="D154" s="8" t="inlineStr">
        <is>
          <t>GENERAL CABIN</t>
        </is>
      </c>
      <c r="E154" s="9" t="inlineStr">
        <is>
          <t>Closed</t>
        </is>
      </c>
      <c r="F154" s="9" t="inlineStr">
        <is>
          <t>Normal</t>
        </is>
      </c>
      <c r="G154" s="8" t="inlineStr">
        <is>
          <t>CAB</t>
        </is>
      </c>
      <c r="H154" s="10" t="n"/>
      <c r="I154" s="9" t="n"/>
      <c r="J154" s="9" t="inlineStr">
        <is>
          <t>Yes</t>
        </is>
      </c>
      <c r="K154" s="9" t="inlineStr">
        <is>
          <t>AFT</t>
        </is>
      </c>
    </row>
    <row r="155" ht="18" customHeight="1" s="107">
      <c r="A155" s="68" t="n">
        <v>586</v>
      </c>
      <c r="B155" s="63" t="inlineStr">
        <is>
          <t>WEEKLY-32S</t>
        </is>
      </c>
      <c r="C155" s="7" t="inlineStr">
        <is>
          <t>WEEKLY-32S (04) / WEEKLY 32S CHECK</t>
        </is>
      </c>
      <c r="D155" s="8" t="inlineStr">
        <is>
          <t>TASK CARD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JOINT</t>
        </is>
      </c>
      <c r="H155" s="10" t="n"/>
      <c r="I155" s="9" t="n"/>
      <c r="J155" s="9" t="inlineStr">
        <is>
          <t>Yes</t>
        </is>
      </c>
      <c r="K155" s="9" t="n"/>
    </row>
    <row r="156" ht="18" customHeight="1" s="107">
      <c r="A156" s="68" t="n">
        <v>587</v>
      </c>
      <c r="B156" s="63" t="n">
        <v>32796515</v>
      </c>
      <c r="C156" s="7" t="inlineStr">
        <is>
          <t>CAB-OXYGEN CYLINDER-RII AFT L/H OXYGEN CYLINDER MOUNT BRACKET DETACHED FROM WALL .</t>
        </is>
      </c>
      <c r="D156" s="8" t="inlineStr">
        <is>
          <t>GENERAL CABIN</t>
        </is>
      </c>
      <c r="E156" s="9" t="inlineStr">
        <is>
          <t>Open</t>
        </is>
      </c>
      <c r="F156" s="9" t="inlineStr">
        <is>
          <t>Normal</t>
        </is>
      </c>
      <c r="G156" s="8" t="inlineStr">
        <is>
          <t>S/M</t>
        </is>
      </c>
      <c r="H156" s="10" t="n"/>
      <c r="I156" s="9" t="inlineStr">
        <is>
          <t>REQ S/M</t>
        </is>
      </c>
      <c r="J156" s="9" t="inlineStr">
        <is>
          <t>Yes</t>
        </is>
      </c>
      <c r="K156" s="9" t="inlineStr">
        <is>
          <t>AFT</t>
        </is>
      </c>
    </row>
    <row r="157" hidden="1" ht="18" customHeight="1" s="107">
      <c r="A157" s="68" t="n">
        <v>589</v>
      </c>
      <c r="B157" s="63" t="n">
        <v>32796954</v>
      </c>
      <c r="C157" s="7" t="inlineStr">
        <is>
          <t>CAB - NO CALLBACK - LAV A LAVATORY A NURSING TABLE WITH MISSING BUMPER.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Requested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07">
      <c r="A158" s="68" t="n">
        <v>591</v>
      </c>
      <c r="B158" s="63" t="n">
        <v>32796966</v>
      </c>
      <c r="C158" s="7" t="inlineStr">
        <is>
          <t>CAB - NO CALLBACK - LAV A LAVATORY A SERVICE CABINET STORAGE DRAWER RUBBER SEAL NOT SECURED.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N/R</t>
        </is>
      </c>
      <c r="I158" s="9" t="n"/>
      <c r="J158" s="9" t="inlineStr">
        <is>
          <t>Yes</t>
        </is>
      </c>
      <c r="K158" s="9" t="inlineStr">
        <is>
          <t>FWD</t>
        </is>
      </c>
    </row>
    <row r="159" hidden="1" ht="18" customHeight="1" s="107">
      <c r="A159" s="68" t="n">
        <v>593</v>
      </c>
      <c r="B159" s="63" t="n">
        <v>32796982</v>
      </c>
      <c r="C159" s="7" t="inlineStr">
        <is>
          <t>CAB - NO CALLBACK - LAV A "LAVATORY A" TOILET SHROUD WITH MISSING 2 EA SCREWS.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JOINT</t>
        </is>
      </c>
      <c r="H159" s="10" t="inlineStr">
        <is>
          <t>Requested</t>
        </is>
      </c>
      <c r="I159" s="85" t="inlineStr">
        <is>
          <t>REQ S/M</t>
        </is>
      </c>
      <c r="J159" s="9" t="inlineStr">
        <is>
          <t>Yes</t>
        </is>
      </c>
      <c r="K159" s="9" t="inlineStr">
        <is>
          <t>FWD</t>
        </is>
      </c>
    </row>
    <row r="160" ht="18" customHeight="1" s="107">
      <c r="A160" s="68" t="n">
        <v>594</v>
      </c>
      <c r="B160" s="63" t="n">
        <v>32796995</v>
      </c>
      <c r="C160" s="7" t="inlineStr">
        <is>
          <t>CAB - NO CALLBACK - LAV A LAVATORY A TOILET PAPER DISPENSER COVER COLOR FADED.</t>
        </is>
      </c>
      <c r="D160" s="8" t="inlineStr">
        <is>
          <t>LAVATORY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PAINT</t>
        </is>
      </c>
      <c r="H160" s="10" t="n"/>
      <c r="I160" s="9" t="n"/>
      <c r="J160" s="9" t="inlineStr">
        <is>
          <t>Yes</t>
        </is>
      </c>
      <c r="K160" s="9" t="inlineStr">
        <is>
          <t>FWD</t>
        </is>
      </c>
    </row>
    <row r="161" hidden="1" ht="18" customHeight="1" s="107">
      <c r="A161" s="68" t="n">
        <v>596</v>
      </c>
      <c r="B161" s="63" t="n">
        <v>32796996</v>
      </c>
      <c r="C161" s="7" t="inlineStr">
        <is>
          <t>CAB - NO CALLBACK - LAV E "LAVATORY E" TOILET SHROUD NOT SECURED.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JOINT</t>
        </is>
      </c>
      <c r="H161" s="10" t="inlineStr">
        <is>
          <t>Requested</t>
        </is>
      </c>
      <c r="I161" s="9" t="n"/>
      <c r="J161" s="9" t="inlineStr">
        <is>
          <t>Yes</t>
        </is>
      </c>
      <c r="K161" s="9" t="inlineStr">
        <is>
          <t>AFT</t>
        </is>
      </c>
    </row>
    <row r="162" ht="18" customHeight="1" s="107">
      <c r="A162" s="68" t="n">
        <v>597</v>
      </c>
      <c r="B162" s="63" t="n">
        <v>32797001</v>
      </c>
      <c r="C162" s="7" t="inlineStr">
        <is>
          <t>PNT - NO CALLBACK - LAV E "LAVATORY E" TOILET SHROUD COVER DISCOLOURED.</t>
        </is>
      </c>
      <c r="D162" s="8" t="inlineStr">
        <is>
          <t>LAVATORY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PAINT</t>
        </is>
      </c>
      <c r="H162" s="10" t="n"/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07">
      <c r="A163" s="68" t="n">
        <v>598</v>
      </c>
      <c r="B163" s="63" t="n">
        <v>32797014</v>
      </c>
      <c r="C163" s="7" t="inlineStr">
        <is>
          <t>CAB - NO CALLBACK - LAV E "LAVATORY E" NURSING TABLE WITH MISSING BUMPER.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07">
      <c r="A164" s="68" t="n">
        <v>599</v>
      </c>
      <c r="B164" s="63" t="n">
        <v>32797104</v>
      </c>
      <c r="C164" s="7" t="inlineStr">
        <is>
          <t>CAB - NO CALLBACK - LAV E "LAVATORY E" AIR VENTILATION GRILLE BROKEN.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07">
      <c r="A165" s="68" t="n">
        <v>600</v>
      </c>
      <c r="B165" s="63" t="n">
        <v>32797124</v>
      </c>
      <c r="C165" s="7" t="inlineStr">
        <is>
          <t>CAB - NO CALLBACK - LAV D "LAVATORY D" TOILET SHROUD COVER NOT SECURED.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07">
      <c r="A166" s="68" t="n">
        <v>601</v>
      </c>
      <c r="B166" s="63" t="n">
        <v>32797137</v>
      </c>
      <c r="C166" s="7" t="inlineStr">
        <is>
          <t>CAB - NO CALLBACK - LAV D "LAVATORY D" TOILET PAPER ROLLER IS MISSING.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Requested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07">
      <c r="A167" s="68" t="n">
        <v>602</v>
      </c>
      <c r="B167" s="63" t="n">
        <v>32797145</v>
      </c>
      <c r="C167" s="7" t="inlineStr">
        <is>
          <t>CAB - NO CALLBACK - LAV D "LAVATORY D" SINK SIEVE NOT SECURED.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07">
      <c r="A168" s="68" t="n">
        <v>603</v>
      </c>
      <c r="B168" s="63" t="n">
        <v>32797156</v>
      </c>
      <c r="C168" s="7" t="inlineStr">
        <is>
          <t>CAB - NO CALLBACK - LAV D "LAVATORY D" WASHBASIN SINK DRAINAGE RESTRICTION.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N/R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07">
      <c r="A169" s="68" t="n">
        <v>604</v>
      </c>
      <c r="B169" s="63" t="n">
        <v>32797165</v>
      </c>
      <c r="C169" s="7" t="inlineStr">
        <is>
          <t>CAB - NO CALLBACK - LAV D "LAVATORY D" DOOR HANDLE IS LOOSE.</t>
        </is>
      </c>
      <c r="D169" s="8" t="inlineStr">
        <is>
          <t>LAVATORY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AFT</t>
        </is>
      </c>
    </row>
    <row r="170" hidden="1" ht="18" customHeight="1" s="107">
      <c r="A170" s="68" t="n">
        <v>605</v>
      </c>
      <c r="B170" s="63" t="n">
        <v>32797176</v>
      </c>
      <c r="C170" s="7" t="inlineStr">
        <is>
          <t>CAB - NO CALLBACK - FWD GALLEY G1 GALLEY CART TURN CATCH AT 109 AND 111 FOUND LOOSE.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07">
      <c r="A171" s="68" t="n">
        <v>606</v>
      </c>
      <c r="B171" s="63" t="n">
        <v>32797185</v>
      </c>
      <c r="C171" s="7" t="inlineStr">
        <is>
          <t>CAB - NO CALLBACK - FWD GALLEY FWD GALLEY CART COMPT. 109 MID LATCH LEVER IS MISSING.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07">
      <c r="A172" s="68" t="n">
        <v>607</v>
      </c>
      <c r="B172" s="63" t="n">
        <v>32797195</v>
      </c>
      <c r="C172" s="7" t="inlineStr">
        <is>
          <t>CAB - NO CALLBACK - FWD GALLEY FWD GALLEY COUNTERTOP SEALANT DETERIORATED.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07">
      <c r="A173" s="68" t="n">
        <v>608</v>
      </c>
      <c r="B173" s="63" t="n">
        <v>32797223</v>
      </c>
      <c r="C173" s="7" t="inlineStr">
        <is>
          <t>CAB - NO CALLBACK - FWD GALLEY G2 GALLEY COMPT. 211 LOWER BUMPER IS MISSING.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07">
      <c r="A174" s="68" t="n">
        <v>609</v>
      </c>
      <c r="B174" s="63" t="n">
        <v>32797267</v>
      </c>
      <c r="C174" s="7" t="inlineStr">
        <is>
          <t>CAB - NO CALLBACK - FWD GALLEY G2 GALLEY FOOTSTEP FOUND INOP.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Requested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idden="1" ht="18" customHeight="1" s="107">
      <c r="A175" s="68" t="n">
        <v>610</v>
      </c>
      <c r="B175" s="63" t="n">
        <v>32797278</v>
      </c>
      <c r="C175" s="7" t="inlineStr">
        <is>
          <t>CAB - NO CALLBACK - FWD GALLEY G2 GALLEY COMPT. 210 DOOR LOCK LOOSE.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N/R</t>
        </is>
      </c>
      <c r="I175" s="9" t="n"/>
      <c r="J175" s="9" t="inlineStr">
        <is>
          <t>Yes</t>
        </is>
      </c>
      <c r="K175" s="9" t="inlineStr">
        <is>
          <t>FWD</t>
        </is>
      </c>
    </row>
    <row r="176" ht="18" customHeight="1" s="107">
      <c r="A176" s="68" t="n">
        <v>611</v>
      </c>
      <c r="B176" s="63" t="n">
        <v>32797284</v>
      </c>
      <c r="C176" s="7" t="inlineStr">
        <is>
          <t>CAB - NO CALLBACK - AFT GALLEY AFT GALLEY COMPT. 501 DOOR HINGE BROKEN.</t>
        </is>
      </c>
      <c r="D176" s="8" t="inlineStr">
        <is>
          <t>GALLEY</t>
        </is>
      </c>
      <c r="E176" s="9" t="inlineStr">
        <is>
          <t>Open</t>
        </is>
      </c>
      <c r="F176" s="9" t="inlineStr">
        <is>
          <t>Normal</t>
        </is>
      </c>
      <c r="G176" s="8" t="inlineStr">
        <is>
          <t>CAB</t>
        </is>
      </c>
      <c r="H176" s="10" t="inlineStr">
        <is>
          <t>Requested</t>
        </is>
      </c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07">
      <c r="A177" s="68" t="n">
        <v>612</v>
      </c>
      <c r="B177" s="63" t="n">
        <v>32797296</v>
      </c>
      <c r="C177" s="7" t="inlineStr">
        <is>
          <t>PNT - NO CALLBACK - AFT GALLEY AFT GALLEY ALL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AFT</t>
        </is>
      </c>
    </row>
    <row r="178" hidden="1" ht="18" customHeight="1" s="107">
      <c r="A178" s="68" t="n">
        <v>613</v>
      </c>
      <c r="B178" s="63" t="n">
        <v>32797302</v>
      </c>
      <c r="C178" s="7" t="inlineStr">
        <is>
          <t>PNT - NO CALLBACK - FWD GALLEY FWD GALLEY OVENS REQUIRE PAINT.</t>
        </is>
      </c>
      <c r="D178" s="8" t="inlineStr">
        <is>
          <t>GALLEY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PAINT</t>
        </is>
      </c>
      <c r="H178" s="10" t="n"/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07">
      <c r="A179" s="68" t="n">
        <v>614</v>
      </c>
      <c r="B179" s="63" t="n">
        <v>32797315</v>
      </c>
      <c r="C179" s="7" t="inlineStr">
        <is>
          <t>CAB - NO CALLBACK - OSB MOST FWD VIDEO EQUIPMENT OVERHEAD STOWAGE DOOR OPENS FAST.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idden="1" ht="18" customHeight="1" s="107">
      <c r="A180" s="68" t="n">
        <v>615</v>
      </c>
      <c r="B180" s="63" t="n">
        <v>32797329</v>
      </c>
      <c r="C180" s="7" t="inlineStr">
        <is>
          <t>CAB - NO CALLBACK - OSB MOST FWD RH MEDICAL KIT OVERHEAD STOWAGE BIN WITH INSIDE DENT.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inlineStr">
        <is>
          <t>N/R</t>
        </is>
      </c>
      <c r="I180" s="9" t="n"/>
      <c r="J180" s="9" t="inlineStr">
        <is>
          <t>Yes</t>
        </is>
      </c>
      <c r="K180" s="9" t="inlineStr">
        <is>
          <t>FWD</t>
        </is>
      </c>
    </row>
    <row r="181" ht="18" customHeight="1" s="107">
      <c r="A181" s="68" t="n">
        <v>616</v>
      </c>
      <c r="B181" s="63" t="n">
        <v>32797333</v>
      </c>
      <c r="C181" s="7" t="inlineStr">
        <is>
          <t>CAB - NO CALLBACK - OSB OSB DOOR WITH INSIDE DENT AT 1AC, 3AC, 4LJ, 5LJ, FWD OF 30JKL, 30 ABC AND 44 JKL.</t>
        </is>
      </c>
      <c r="D181" s="8" t="inlineStr">
        <is>
          <t>GENERAL CABIN</t>
        </is>
      </c>
      <c r="E181" s="9" t="inlineStr">
        <is>
          <t>Open</t>
        </is>
      </c>
      <c r="F181" s="9" t="inlineStr">
        <is>
          <t>Normal</t>
        </is>
      </c>
      <c r="G181" s="8" t="inlineStr">
        <is>
          <t>CAB</t>
        </is>
      </c>
      <c r="H181" s="10" t="n"/>
      <c r="I181" s="9" t="inlineStr">
        <is>
          <t>SENT TO PAINT</t>
        </is>
      </c>
      <c r="J181" s="9" t="inlineStr">
        <is>
          <t>Yes</t>
        </is>
      </c>
      <c r="K181" s="9" t="inlineStr">
        <is>
          <t>JOINT</t>
        </is>
      </c>
    </row>
    <row r="182" hidden="1" ht="18" customHeight="1" s="107">
      <c r="A182" s="68" t="n">
        <v>617</v>
      </c>
      <c r="B182" s="63" t="n">
        <v>32797337</v>
      </c>
      <c r="C182" s="7" t="inlineStr">
        <is>
          <t>CAB - NO CALLBACK - OSB OSB DOOR MISSING WITH RUBBER BUMPER AT 1AC, 4LJ, 4AC, 5LJ, FWD OF 30 JKL, 30ABC, 31ABC AND 33ABC.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07">
      <c r="A183" s="68" t="n">
        <v>618</v>
      </c>
      <c r="B183" s="63" t="n">
        <v>32797381</v>
      </c>
      <c r="C183" s="7" t="inlineStr">
        <is>
          <t>CAB - NO CALLBACK - OSB DOOR WITH MISSING RUBBER BUMPER AT 34ABC, 37ABC, 38ABC, 40JKL, 41JKL, 42JKL, 44JKL AND 44ABC.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07">
      <c r="A184" s="68" t="n">
        <v>619</v>
      </c>
      <c r="B184" s="63" t="n">
        <v>32797382</v>
      </c>
      <c r="C184" s="7" t="inlineStr">
        <is>
          <t>CAB - NO CALLBACK - OSB OSB WITH MISSING UPPER BUMPER AT 1AC, 5AC, 5LJ, 30JKL, 32JKL, 33JKL, 33JKL AND 34ABC.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JOINT</t>
        </is>
      </c>
    </row>
    <row r="185" hidden="1" ht="18" customHeight="1" s="107">
      <c r="A185" s="68" t="n">
        <v>620</v>
      </c>
      <c r="B185" s="63" t="n">
        <v>32797384</v>
      </c>
      <c r="C185" s="7" t="inlineStr">
        <is>
          <t>CAB - NO CALLBACK - OSB OSB WITH MISSING UPPER BUMPER AT 36ABC, 38ABC, 38JKL, 40JKL, 40ABC, 41JKL AND 42JKL.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07">
      <c r="A186" s="68" t="n">
        <v>621</v>
      </c>
      <c r="B186" s="63" t="n">
        <v>32797396</v>
      </c>
      <c r="C186" s="7" t="inlineStr">
        <is>
          <t>CAB - NO CALLBACK - OSB OSB SIDE TRIM BROKEN AT 4LJ AND 39 JKL.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AFT</t>
        </is>
      </c>
    </row>
    <row r="187" hidden="1" ht="18" customHeight="1" s="107">
      <c r="A187" s="68" t="n">
        <v>622</v>
      </c>
      <c r="B187" s="63" t="n">
        <v>32797399</v>
      </c>
      <c r="C187" s="7" t="inlineStr">
        <is>
          <t>CAB - NO CALLBACK - OSB OSB UPPER TRIM BROKEN AT 30ABC.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FWD</t>
        </is>
      </c>
    </row>
    <row r="188" hidden="1" ht="18" customHeight="1" s="107">
      <c r="A188" s="68" t="n">
        <v>623</v>
      </c>
      <c r="B188" s="63" t="n">
        <v>32797402</v>
      </c>
      <c r="C188" s="7" t="inlineStr">
        <is>
          <t>CAB - NO CALLBACK - OSB OSB HANDRAIL BROKEN AT 34ABC, 30JKL.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07">
      <c r="A189" s="68" t="n">
        <v>624</v>
      </c>
      <c r="B189" s="63" t="n">
        <v>32797436</v>
      </c>
      <c r="C189" s="7" t="inlineStr">
        <is>
          <t>CAB - NO CALLBACK - OSB OSB HANDRAIL SEAT MARKING CLEAR PLASTIC PIECE BROKEN AT 3AC AND 31JKL.</t>
        </is>
      </c>
      <c r="D189" s="8" t="inlineStr">
        <is>
          <t>GENERAL CABIN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CAB</t>
        </is>
      </c>
      <c r="H189" s="10" t="inlineStr">
        <is>
          <t>Requested</t>
        </is>
      </c>
      <c r="I189" s="9" t="n"/>
      <c r="J189" s="9" t="inlineStr">
        <is>
          <t>Yes</t>
        </is>
      </c>
      <c r="K189" s="9" t="inlineStr">
        <is>
          <t>AFT</t>
        </is>
      </c>
    </row>
    <row r="190" hidden="1" ht="18" customHeight="1" s="107">
      <c r="A190" s="68" t="n">
        <v>645</v>
      </c>
      <c r="B190" s="63" t="n">
        <v>32798020</v>
      </c>
      <c r="C190" s="7" t="inlineStr">
        <is>
          <t>FINDING (NRC) TASKCARD 25-SVA-08 (00) / ITEM ONE L1 F/A LEFT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07">
      <c r="A191" s="68" t="n">
        <v>646</v>
      </c>
      <c r="B191" s="63" t="n">
        <v>32798034</v>
      </c>
      <c r="C191" s="7" t="inlineStr">
        <is>
          <t>FINDING (NRC) TASKCARD 25-SVA-08 (00) / ITEM ONE L1 F/A RIGHT SIDE NEEDS PAINT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FWD</t>
        </is>
      </c>
    </row>
    <row r="192" hidden="1" ht="18" customHeight="1" s="107">
      <c r="A192" s="68" t="n">
        <v>648</v>
      </c>
      <c r="B192" s="63" t="n">
        <v>32798035</v>
      </c>
      <c r="C192" s="7" t="inlineStr">
        <is>
          <t>CAB NO CALL BACK F/A R2 R/H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07">
      <c r="A193" s="68" t="n">
        <v>649</v>
      </c>
      <c r="B193" s="63" t="n">
        <v>32798041</v>
      </c>
      <c r="C193" s="7" t="inlineStr">
        <is>
          <t>CAB NO CALL BACK PAINT L2 L/H F/A SEAT COLOUR FADED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PAINT</t>
        </is>
      </c>
      <c r="H193" s="10" t="n"/>
      <c r="I193" s="9" t="n"/>
      <c r="J193" s="9" t="inlineStr">
        <is>
          <t>Yes</t>
        </is>
      </c>
      <c r="K193" s="9" t="inlineStr">
        <is>
          <t>AFT</t>
        </is>
      </c>
    </row>
    <row r="194" hidden="1" ht="18" customHeight="1" s="107">
      <c r="A194" s="68" t="n">
        <v>650</v>
      </c>
      <c r="B194" s="63" t="n">
        <v>32798047</v>
      </c>
      <c r="C194" s="7" t="inlineStr">
        <is>
          <t>CAB NO CALL BACK L1 L/H F/A SEAT CUSHION HEAD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07">
      <c r="A195" s="68" t="n">
        <v>653</v>
      </c>
      <c r="B195" s="63" t="n">
        <v>32798059</v>
      </c>
      <c r="C195" s="7" t="inlineStr">
        <is>
          <t>CAB NO CALL BACK L1 L/H F/A SEAT  UPPER BACK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07">
      <c r="A196" s="68" t="n">
        <v>655</v>
      </c>
      <c r="B196" s="63" t="n">
        <v>32798062</v>
      </c>
      <c r="C196" s="7" t="inlineStr">
        <is>
          <t>CAB NO CALL BACK L1 L/H F/A SEAT BOTTOM CUSHION PEN MARK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07">
      <c r="A197" s="68" t="n">
        <v>656</v>
      </c>
      <c r="B197" s="63" t="n">
        <v>32798069</v>
      </c>
      <c r="C197" s="7" t="inlineStr">
        <is>
          <t>CAB NO CALL BACK L1 L/H F/A SEAT BOTTOM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07">
      <c r="A198" s="68" t="n">
        <v>657</v>
      </c>
      <c r="B198" s="63" t="n">
        <v>32798105</v>
      </c>
      <c r="C198" s="7" t="inlineStr">
        <is>
          <t>CAB NO CALL BACK L1 L/H F/A SEAT LOWER BACK CUSHION DEFLATED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07">
      <c r="A199" s="68" t="n">
        <v>658</v>
      </c>
      <c r="B199" s="63" t="n">
        <v>32798107</v>
      </c>
      <c r="C199" s="7" t="inlineStr">
        <is>
          <t>CAB NO CALL BACK L1 L/H F/A SEAT BOTTOM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07">
      <c r="A200" s="68" t="n">
        <v>659</v>
      </c>
      <c r="B200" s="63" t="n">
        <v>32798117</v>
      </c>
      <c r="C200" s="7" t="inlineStr">
        <is>
          <t>CAB NO CALL BACK L1 L/H F/A SEAT UPPER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07">
      <c r="A201" s="68" t="n">
        <v>660</v>
      </c>
      <c r="B201" s="63" t="n">
        <v>32798118</v>
      </c>
      <c r="C201" s="7" t="inlineStr">
        <is>
          <t>CAB NO CALL BACK L1 R/H F/A SEAT BOTTOM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07">
      <c r="A202" s="68" t="n">
        <v>661</v>
      </c>
      <c r="B202" s="63" t="n">
        <v>32798119</v>
      </c>
      <c r="C202" s="7" t="inlineStr">
        <is>
          <t>CAB NO CALL BACK L1 R/H F/A SEAT UPPER RUB STRIP DAMAGED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07">
      <c r="A203" s="68" t="n">
        <v>662</v>
      </c>
      <c r="B203" s="63" t="n">
        <v>32798140</v>
      </c>
      <c r="C203" s="7" t="inlineStr">
        <is>
          <t>CAB NO CALL BACK L1 R/H F/A SEAT CUSHION DEFLATED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07">
      <c r="A204" s="68" t="n">
        <v>663</v>
      </c>
      <c r="B204" s="63" t="n">
        <v>32798159</v>
      </c>
      <c r="C204" s="7" t="inlineStr">
        <is>
          <t>CAB NO CALL BACK L1 R/H F/A SEAT UPPER BACK PEN MARK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FWD</t>
        </is>
      </c>
    </row>
    <row r="205" hidden="1" ht="18" customHeight="1" s="107">
      <c r="A205" s="68" t="n">
        <v>664</v>
      </c>
      <c r="B205" s="63" t="n">
        <v>32798183</v>
      </c>
      <c r="C205" s="7" t="inlineStr">
        <is>
          <t>CAB NO CALL BACK R2 F/A SEAT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07">
      <c r="A206" s="68" t="n">
        <v>665</v>
      </c>
      <c r="B206" s="63" t="n">
        <v>32798189</v>
      </c>
      <c r="C206" s="7" t="inlineStr">
        <is>
          <t>CAB NO CALL BACK L2 F/A SEAT BOTTOM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07">
      <c r="A207" s="68" t="n">
        <v>666</v>
      </c>
      <c r="B207" s="63" t="n">
        <v>32798191</v>
      </c>
      <c r="C207" s="7" t="inlineStr">
        <is>
          <t>CAB NO CALL BACK L2 F/A SEAT LOWER BACK CUSHION DEFLATED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07">
      <c r="A208" s="68" t="n">
        <v>667</v>
      </c>
      <c r="B208" s="63" t="n">
        <v>32798204</v>
      </c>
      <c r="C208" s="7" t="inlineStr">
        <is>
          <t>CAB NO CALL BACK L2 F/A SEAT LOWER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07">
      <c r="A209" s="68" t="n">
        <v>668</v>
      </c>
      <c r="B209" s="63" t="n">
        <v>32798205</v>
      </c>
      <c r="C209" s="7" t="inlineStr">
        <is>
          <t>CAB NO CALL BACK L2 F/A SEAT UPPER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07">
      <c r="A210" s="68" t="n">
        <v>669</v>
      </c>
      <c r="B210" s="63" t="n">
        <v>32798221</v>
      </c>
      <c r="C210" s="7" t="inlineStr">
        <is>
          <t>CAB NO CALL BACK R2 F/A SEAT LOWER RUB STRIP DAMGED</t>
        </is>
      </c>
      <c r="D210" s="8" t="inlineStr">
        <is>
          <t>F/A SEAT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AFT</t>
        </is>
      </c>
    </row>
    <row r="211" hidden="1" ht="18" customHeight="1" s="107">
      <c r="A211" s="68" t="n">
        <v>680</v>
      </c>
      <c r="B211" s="63" t="n">
        <v>32798602</v>
      </c>
      <c r="C211" s="7" t="inlineStr">
        <is>
          <t>CAB - NO CALL BACK - ALL LAVS ALL LAVS SHROUD MISSING SCREWS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JOINT</t>
        </is>
      </c>
    </row>
    <row r="212" hidden="1" ht="18" customHeight="1" s="107">
      <c r="A212" s="68" t="n">
        <v>681</v>
      </c>
      <c r="B212" s="63" t="n">
        <v>32798604</v>
      </c>
      <c r="C212" s="7" t="inlineStr">
        <is>
          <t>CAB - NO CALL BACK - LAV A LAV A LOWER CABINET LATCH MISSING SCREW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FWD</t>
        </is>
      </c>
    </row>
    <row r="213" hidden="1" ht="18" customHeight="1" s="107">
      <c r="A213" s="68" t="n">
        <v>682</v>
      </c>
      <c r="B213" s="63" t="n">
        <v>32798606</v>
      </c>
      <c r="C213" s="7" t="inlineStr">
        <is>
          <t>CAB - NO CALL BACK - LAV D LAV D TOILET LID BROKEN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07">
      <c r="A214" s="68" t="n">
        <v>683</v>
      </c>
      <c r="B214" s="63" t="n">
        <v>32798626</v>
      </c>
      <c r="C214" s="7" t="inlineStr">
        <is>
          <t>CAB - NO CALL BACK - LAV E LAV E INSIDE ASHTRAY CHIPPED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CAB</t>
        </is>
      </c>
      <c r="H214" s="10" t="inlineStr">
        <is>
          <t>Requested</t>
        </is>
      </c>
      <c r="I214" s="9" t="n"/>
      <c r="J214" s="9" t="inlineStr">
        <is>
          <t>Yes</t>
        </is>
      </c>
      <c r="K214" s="9" t="inlineStr">
        <is>
          <t>AFT</t>
        </is>
      </c>
    </row>
    <row r="215" hidden="1" ht="18" customHeight="1" s="107">
      <c r="A215" s="68" t="n">
        <v>684</v>
      </c>
      <c r="B215" s="63" t="n">
        <v>32798683</v>
      </c>
      <c r="C215" s="7" t="inlineStr">
        <is>
          <t>PNT - NO CALL BACK - LAV A LAV A NURSING TABLE REQ PNT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PAINT</t>
        </is>
      </c>
      <c r="H215" s="10" t="n"/>
      <c r="I215" s="9" t="n"/>
      <c r="J215" s="9" t="inlineStr">
        <is>
          <t>Yes</t>
        </is>
      </c>
      <c r="K215" s="9" t="inlineStr">
        <is>
          <t>FWD</t>
        </is>
      </c>
    </row>
    <row r="216" ht="18" customHeight="1" s="107">
      <c r="A216" s="68" t="n">
        <v>685</v>
      </c>
      <c r="B216" s="63" t="n">
        <v>32798689</v>
      </c>
      <c r="C216" s="7" t="inlineStr">
        <is>
          <t>CAB - NO CALL BACK - LAV E LAV E SIDE WALL PAINT PEELED OFF</t>
        </is>
      </c>
      <c r="D216" s="8" t="inlineStr">
        <is>
          <t>LAVATORY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S/W</t>
        </is>
      </c>
      <c r="H216" s="10" t="n"/>
      <c r="I216" s="9" t="n"/>
      <c r="J216" s="9" t="inlineStr">
        <is>
          <t>Yes</t>
        </is>
      </c>
      <c r="K216" s="9" t="inlineStr">
        <is>
          <t>JOINT</t>
        </is>
      </c>
    </row>
    <row r="217" hidden="1" ht="18" customHeight="1" s="107">
      <c r="A217" s="68" t="n">
        <v>686</v>
      </c>
      <c r="B217" s="63" t="n">
        <v>32798787</v>
      </c>
      <c r="C217" s="7" t="inlineStr">
        <is>
          <t>CAB - NO CALL BACK - LAV A LAV A FUACET LEAKING</t>
        </is>
      </c>
      <c r="D217" s="8" t="inlineStr">
        <is>
          <t>LAVATORY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inlineStr">
        <is>
          <t>Requested - R</t>
        </is>
      </c>
      <c r="I217" s="9" t="n"/>
      <c r="J217" s="9" t="inlineStr">
        <is>
          <t>Yes</t>
        </is>
      </c>
      <c r="K217" s="9" t="inlineStr">
        <is>
          <t>FWD</t>
        </is>
      </c>
    </row>
    <row r="218" ht="35.25" customHeight="1" s="107">
      <c r="A218" s="68" t="n">
        <v>687</v>
      </c>
      <c r="B218" s="63" t="n">
        <v>32798821</v>
      </c>
      <c r="C218" s="86" t="inlineStr">
        <is>
          <t>CABIN FLOOR PANEL--CAB--CALLBACK COCKPIT/CABIN FLOOR PANEL NO: 241EF, 241KF, 241LF, 241MF,  242FF, 242KF, 242LF, 242MF AND 211FF REQUIRES REMOVAL FOR ACCESS.</t>
        </is>
      </c>
      <c r="D218" s="8" t="inlineStr">
        <is>
          <t>GENERAL CABIN</t>
        </is>
      </c>
      <c r="E218" s="9" t="inlineStr">
        <is>
          <t>Open</t>
        </is>
      </c>
      <c r="F218" s="9" t="inlineStr">
        <is>
          <t>Normal</t>
        </is>
      </c>
      <c r="G218" s="8" t="inlineStr">
        <is>
          <t>CAB</t>
        </is>
      </c>
      <c r="H218" s="10" t="n"/>
      <c r="I218" s="9" t="n"/>
      <c r="J218" s="9" t="inlineStr">
        <is>
          <t>Yes</t>
        </is>
      </c>
      <c r="K218" s="9" t="n"/>
    </row>
    <row r="219" ht="18" customHeight="1" s="107">
      <c r="A219" s="68" t="n">
        <v>688</v>
      </c>
      <c r="B219" s="63" t="n">
        <v>32798972</v>
      </c>
      <c r="C219" s="100" t="inlineStr">
        <is>
          <t>CAB - RII - OXYGEN GENERATOR OXYGEN GENERATOR AT 1AC AND 2AC WILL EXPIRE AT 10/2026</t>
        </is>
      </c>
      <c r="D219" s="8" t="inlineStr">
        <is>
          <t>GENERAL CABIN</t>
        </is>
      </c>
      <c r="E219" s="9" t="inlineStr">
        <is>
          <t>Open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8" t="inlineStr">
        <is>
          <t>C/W</t>
        </is>
      </c>
      <c r="J219" s="9" t="inlineStr">
        <is>
          <t>Yes</t>
        </is>
      </c>
      <c r="K219" s="9" t="n"/>
    </row>
    <row r="220" ht="18" customHeight="1" s="107">
      <c r="A220" s="68" t="n">
        <v>689</v>
      </c>
      <c r="B220" s="63" t="n">
        <v>32798977</v>
      </c>
      <c r="C220" s="100" t="inlineStr">
        <is>
          <t>CAB - RII - OXYGEN GENERATOR OXYGEN GENERATOR AT 3AC AND 4AC WILL EXPIRE ON 9/2026</t>
        </is>
      </c>
      <c r="D220" s="8" t="inlineStr">
        <is>
          <t>GENERAL CABIN</t>
        </is>
      </c>
      <c r="E220" s="9" t="inlineStr">
        <is>
          <t>Open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8" t="inlineStr">
        <is>
          <t>C/W</t>
        </is>
      </c>
      <c r="J220" s="9" t="inlineStr">
        <is>
          <t>Yes</t>
        </is>
      </c>
      <c r="K220" s="9" t="n"/>
    </row>
    <row r="221" ht="18" customHeight="1" s="107">
      <c r="A221" s="68" t="n">
        <v>690</v>
      </c>
      <c r="B221" s="63" t="n">
        <v>32798980</v>
      </c>
      <c r="C221" s="100" t="inlineStr">
        <is>
          <t>CAB - RII - OXYGEN GENERATOR OXYGEN GENERATOR AT 5AC AND WILL EXPIRE ON 10/2026</t>
        </is>
      </c>
      <c r="D221" s="8" t="inlineStr">
        <is>
          <t>GENERAL CABIN</t>
        </is>
      </c>
      <c r="E221" s="9" t="inlineStr">
        <is>
          <t>Open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8" t="inlineStr">
        <is>
          <t>C/W</t>
        </is>
      </c>
      <c r="J221" s="9" t="inlineStr">
        <is>
          <t>Yes</t>
        </is>
      </c>
      <c r="K221" s="9" t="n"/>
    </row>
    <row r="222" ht="18" customHeight="1" s="107">
      <c r="A222" s="68" t="n">
        <v>691</v>
      </c>
      <c r="B222" s="63" t="n">
        <v>32798982</v>
      </c>
      <c r="C222" s="100" t="inlineStr">
        <is>
          <t>CAB - RII - OXYGEN GENERATOR OXYGEN GENERATOR AT 30ABC  WILL EXPIRE ON 10/2026</t>
        </is>
      </c>
      <c r="D222" s="8" t="inlineStr">
        <is>
          <t>GENERAL CABIN</t>
        </is>
      </c>
      <c r="E222" s="9" t="inlineStr">
        <is>
          <t>Open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8" t="inlineStr">
        <is>
          <t>C/W</t>
        </is>
      </c>
      <c r="J222" s="9" t="inlineStr">
        <is>
          <t>Yes</t>
        </is>
      </c>
      <c r="K222" s="9" t="n"/>
    </row>
    <row r="223" ht="18" customHeight="1" s="107">
      <c r="A223" s="68" t="n">
        <v>692</v>
      </c>
      <c r="B223" s="63" t="n">
        <v>32798987</v>
      </c>
      <c r="C223" s="100" t="inlineStr">
        <is>
          <t>CAB - RII - OXYGEN GENERATOR OXYGEN GENERATOR AT 31ABC  WILL EXPIRE ON 10/2026 AND AT 32ABC EXPIRED ON 04/2010</t>
        </is>
      </c>
      <c r="D223" s="8" t="inlineStr">
        <is>
          <t>GENERAL CABIN</t>
        </is>
      </c>
      <c r="E223" s="9" t="inlineStr">
        <is>
          <t>Open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8" t="inlineStr">
        <is>
          <t>C/W</t>
        </is>
      </c>
      <c r="J223" s="9" t="inlineStr">
        <is>
          <t>Yes</t>
        </is>
      </c>
      <c r="K223" s="9" t="n"/>
    </row>
    <row r="224" ht="18" customHeight="1" s="107">
      <c r="A224" s="68" t="n">
        <v>693</v>
      </c>
      <c r="B224" s="63" t="n">
        <v>32799012</v>
      </c>
      <c r="C224" s="100" t="inlineStr">
        <is>
          <t>CAB - RII - OXYGEN GENERATOR OXYGEN GENERATOR AT 33ABC AND 34ABC WILL EXPIRE ON 9/2026</t>
        </is>
      </c>
      <c r="D224" s="8" t="inlineStr">
        <is>
          <t>GENERAL CABIN</t>
        </is>
      </c>
      <c r="E224" s="9" t="inlineStr">
        <is>
          <t>Open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8" t="inlineStr">
        <is>
          <t>C/W</t>
        </is>
      </c>
      <c r="J224" s="9" t="inlineStr">
        <is>
          <t>Yes</t>
        </is>
      </c>
      <c r="K224" s="9" t="n"/>
    </row>
    <row r="225" ht="18" customHeight="1" s="107">
      <c r="A225" s="68" t="n">
        <v>695</v>
      </c>
      <c r="B225" s="63" t="n">
        <v>32799029</v>
      </c>
      <c r="C225" s="100" t="inlineStr">
        <is>
          <t>CAB - RII - OXYGEN GENERATOR OXYGEN GENERATOR AT 36ABC AND 37ABC WILL EXPIRE ON 9/2026</t>
        </is>
      </c>
      <c r="D225" s="8" t="inlineStr">
        <is>
          <t>GENERAL CABIN</t>
        </is>
      </c>
      <c r="E225" s="9" t="inlineStr">
        <is>
          <t>Open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8" t="inlineStr">
        <is>
          <t>C/W</t>
        </is>
      </c>
      <c r="J225" s="9" t="inlineStr">
        <is>
          <t>Yes</t>
        </is>
      </c>
      <c r="K225" s="9" t="n"/>
    </row>
    <row r="226" ht="18" customHeight="1" s="107">
      <c r="A226" s="68" t="n">
        <v>696</v>
      </c>
      <c r="B226" s="63" t="n">
        <v>32799031</v>
      </c>
      <c r="C226" s="100" t="inlineStr">
        <is>
          <t>CAB - RII - OXYGEN GENERATOR OXYGEN GENERATOR AT 38ABC EXPIRES ON 9/2026 AND 40ABC WILL EXPIRE ON 10/2026</t>
        </is>
      </c>
      <c r="D226" s="8" t="inlineStr">
        <is>
          <t>GENERAL CABIN</t>
        </is>
      </c>
      <c r="E226" s="9" t="inlineStr">
        <is>
          <t>Open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8" t="inlineStr">
        <is>
          <t>C/W</t>
        </is>
      </c>
      <c r="J226" s="9" t="inlineStr">
        <is>
          <t>Yes</t>
        </is>
      </c>
      <c r="K226" s="9" t="n"/>
    </row>
    <row r="227" ht="18" customHeight="1" s="107">
      <c r="A227" s="68" t="n">
        <v>697</v>
      </c>
      <c r="B227" s="63" t="n">
        <v>32799033</v>
      </c>
      <c r="C227" s="100" t="inlineStr">
        <is>
          <t>CAB - RII - OXYGEN GENERATOR OXYGEN GENERATOR AT 42ABC AND 43ABC WILL EXPIRE ON 9/2026</t>
        </is>
      </c>
      <c r="D227" s="8" t="inlineStr">
        <is>
          <t>GENERAL CABIN</t>
        </is>
      </c>
      <c r="E227" s="9" t="inlineStr">
        <is>
          <t>Open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8" t="inlineStr">
        <is>
          <t>C/W</t>
        </is>
      </c>
      <c r="J227" s="9" t="inlineStr">
        <is>
          <t>Yes</t>
        </is>
      </c>
      <c r="K227" s="9" t="n"/>
    </row>
    <row r="228" ht="18" customHeight="1" s="107">
      <c r="A228" s="68" t="n">
        <v>698</v>
      </c>
      <c r="B228" s="63" t="n">
        <v>32799036</v>
      </c>
      <c r="C228" s="100" t="inlineStr">
        <is>
          <t>CAB - RII - OXYGEN GENERATOR OXYGEN GENERATOR AT 44ABC WILL EXPIRE ON 9/2026</t>
        </is>
      </c>
      <c r="D228" s="8" t="inlineStr">
        <is>
          <t>GENERAL CABIN</t>
        </is>
      </c>
      <c r="E228" s="9" t="inlineStr">
        <is>
          <t>Open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8" t="inlineStr">
        <is>
          <t>C/W</t>
        </is>
      </c>
      <c r="J228" s="9" t="inlineStr">
        <is>
          <t>Yes</t>
        </is>
      </c>
      <c r="K228" s="9" t="n"/>
    </row>
    <row r="229" ht="18" customHeight="1" s="107">
      <c r="A229" s="68" t="n">
        <v>699</v>
      </c>
      <c r="B229" s="63" t="n">
        <v>32799038</v>
      </c>
      <c r="C229" s="100" t="inlineStr">
        <is>
          <t>CAB - RII - OXYGEN GENERATOR OXYGEN GENERATOR AT 1JL AND 2JL WILL EXPIRE ON 10/2026</t>
        </is>
      </c>
      <c r="D229" s="8" t="inlineStr">
        <is>
          <t>GENERAL CABIN</t>
        </is>
      </c>
      <c r="E229" s="9" t="inlineStr">
        <is>
          <t>Open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8" t="inlineStr">
        <is>
          <t>C/W</t>
        </is>
      </c>
      <c r="J229" s="9" t="inlineStr">
        <is>
          <t>Yes</t>
        </is>
      </c>
      <c r="K229" s="9" t="n"/>
    </row>
    <row r="230" ht="18" customHeight="1" s="107">
      <c r="A230" s="68" t="n">
        <v>700</v>
      </c>
      <c r="B230" s="63" t="n">
        <v>32799049</v>
      </c>
      <c r="C230" s="100" t="inlineStr">
        <is>
          <t>CAB - RII - OXYGEN GENERATOR OXYGEN GENERATOR AT 3JL AND 4JL WILL EXPIRE ON 10/2026</t>
        </is>
      </c>
      <c r="D230" s="8" t="inlineStr">
        <is>
          <t>GENERAL CABIN</t>
        </is>
      </c>
      <c r="E230" s="9" t="inlineStr">
        <is>
          <t>Open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8" t="inlineStr">
        <is>
          <t>C/W</t>
        </is>
      </c>
      <c r="J230" s="9" t="inlineStr">
        <is>
          <t>Yes</t>
        </is>
      </c>
      <c r="K230" s="9" t="n"/>
    </row>
    <row r="231" ht="18" customHeight="1" s="107">
      <c r="A231" s="68" t="n">
        <v>701</v>
      </c>
      <c r="B231" s="63" t="n">
        <v>32799051</v>
      </c>
      <c r="C231" s="100" t="inlineStr">
        <is>
          <t>CAB - RII - OXYGEN GENERATOR OXYGEN GENERATOR AT 5JL WILL EXPIRE ON 09/2026</t>
        </is>
      </c>
      <c r="D231" s="8" t="inlineStr">
        <is>
          <t>GENERAL CABIN</t>
        </is>
      </c>
      <c r="E231" s="9" t="inlineStr">
        <is>
          <t>Open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8" t="inlineStr">
        <is>
          <t>C/W</t>
        </is>
      </c>
      <c r="J231" s="9" t="inlineStr">
        <is>
          <t>Yes</t>
        </is>
      </c>
      <c r="K231" s="9" t="n"/>
    </row>
    <row r="232" ht="18" customHeight="1" s="107">
      <c r="A232" s="68" t="n">
        <v>702</v>
      </c>
      <c r="B232" s="63" t="n">
        <v>32799053</v>
      </c>
      <c r="C232" s="100" t="inlineStr">
        <is>
          <t>CAB - RII - OXYGEN GENERATOR OXYGEN GENERATOR AT 30JKL WILL EXPIRE ON 10/2026</t>
        </is>
      </c>
      <c r="D232" s="8" t="inlineStr">
        <is>
          <t>GENERAL CABIN</t>
        </is>
      </c>
      <c r="E232" s="9" t="inlineStr">
        <is>
          <t>Open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8" t="inlineStr">
        <is>
          <t>C/W</t>
        </is>
      </c>
      <c r="J232" s="9" t="inlineStr">
        <is>
          <t>Yes</t>
        </is>
      </c>
      <c r="K232" s="9" t="n"/>
    </row>
    <row r="233" ht="18" customHeight="1" s="107">
      <c r="A233" s="68" t="n">
        <v>703</v>
      </c>
      <c r="B233" s="63" t="n">
        <v>32799054</v>
      </c>
      <c r="C233" s="100" t="inlineStr">
        <is>
          <t>CAB - RII - OXYGEN GENERATOR OXYGEN GENERATOR AT 31JKL AND 32JKL WILL EXPIRE ON 10/2026</t>
        </is>
      </c>
      <c r="D233" s="8" t="inlineStr">
        <is>
          <t>GENERAL CABIN</t>
        </is>
      </c>
      <c r="E233" s="9" t="inlineStr">
        <is>
          <t>Open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8" t="inlineStr">
        <is>
          <t>C/W</t>
        </is>
      </c>
      <c r="J233" s="9" t="inlineStr">
        <is>
          <t>Yes</t>
        </is>
      </c>
      <c r="K233" s="9" t="n"/>
    </row>
    <row r="234" ht="18" customHeight="1" s="107">
      <c r="A234" s="68" t="n">
        <v>704</v>
      </c>
      <c r="B234" s="63" t="n">
        <v>32799060</v>
      </c>
      <c r="C234" s="100" t="inlineStr">
        <is>
          <t>CAB - RII - OXYGEN GENERATOR OXYGEN GENERATOR AT 33JKL AND 34JKL WILL EXPIRE ON 10/2026</t>
        </is>
      </c>
      <c r="D234" s="8" t="inlineStr">
        <is>
          <t>GENERAL CABIN</t>
        </is>
      </c>
      <c r="E234" s="9" t="inlineStr">
        <is>
          <t>Open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8" t="inlineStr">
        <is>
          <t>C/W</t>
        </is>
      </c>
      <c r="J234" s="9" t="inlineStr">
        <is>
          <t>Yes</t>
        </is>
      </c>
      <c r="K234" s="9" t="n"/>
    </row>
    <row r="235" ht="18" customHeight="1" s="107">
      <c r="A235" s="68" t="n">
        <v>705</v>
      </c>
      <c r="B235" s="63" t="n">
        <v>32799062</v>
      </c>
      <c r="C235" s="100" t="inlineStr">
        <is>
          <t>CAB - RII - OXYGEN GENERATOR OXYGEN GENERATOR AT 35JKL WILL EXPIRE ON 10/2026</t>
        </is>
      </c>
      <c r="D235" s="8" t="inlineStr">
        <is>
          <t>GENERAL CABIN</t>
        </is>
      </c>
      <c r="E235" s="9" t="inlineStr">
        <is>
          <t>Open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8" t="inlineStr">
        <is>
          <t>C/W</t>
        </is>
      </c>
      <c r="J235" s="9" t="inlineStr">
        <is>
          <t>Yes</t>
        </is>
      </c>
      <c r="K235" s="9" t="n"/>
    </row>
    <row r="236" ht="18" customHeight="1" s="107">
      <c r="A236" s="68" t="n">
        <v>706</v>
      </c>
      <c r="B236" s="63" t="n">
        <v>32799063</v>
      </c>
      <c r="C236" s="100" t="inlineStr">
        <is>
          <t>CAB - RII - OXYGEN GENERATOR OXYGEN GENERATOR AT 36JKL AND  37JKL WILL EXPIRE ON 10/2026</t>
        </is>
      </c>
      <c r="D236" s="8" t="inlineStr">
        <is>
          <t>GENERAL CABIN</t>
        </is>
      </c>
      <c r="E236" s="9" t="inlineStr">
        <is>
          <t>Open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8" t="inlineStr">
        <is>
          <t>C/W</t>
        </is>
      </c>
      <c r="J236" s="9" t="inlineStr">
        <is>
          <t>Yes</t>
        </is>
      </c>
      <c r="K236" s="9" t="n"/>
    </row>
    <row r="237" ht="18" customHeight="1" s="107">
      <c r="A237" s="68" t="n">
        <v>707</v>
      </c>
      <c r="B237" s="63" t="n">
        <v>32799064</v>
      </c>
      <c r="C237" s="100" t="inlineStr">
        <is>
          <t>CAB - RII - OXYGEN GENERATOR OXYGEN GENERATOR AT 39JKL AND 40JKL WILL EXPIRE ON 10/2026</t>
        </is>
      </c>
      <c r="D237" s="8" t="inlineStr">
        <is>
          <t>GENERAL CABIN</t>
        </is>
      </c>
      <c r="E237" s="9" t="inlineStr">
        <is>
          <t>Open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8" t="inlineStr">
        <is>
          <t>C/W</t>
        </is>
      </c>
      <c r="J237" s="9" t="inlineStr">
        <is>
          <t>Yes</t>
        </is>
      </c>
      <c r="K237" s="9" t="n"/>
    </row>
    <row r="238" ht="18" customHeight="1" s="107">
      <c r="A238" s="68" t="n">
        <v>708</v>
      </c>
      <c r="B238" s="63" t="n">
        <v>32799065</v>
      </c>
      <c r="C238" s="100" t="inlineStr">
        <is>
          <t>CAB - RII - OXYGEN GENERATOR OXYGEN GENERATOR AT 41JKL AND 42JKL WILL EXPIRE ON 10/2026</t>
        </is>
      </c>
      <c r="D238" s="8" t="inlineStr">
        <is>
          <t>GENERAL CABIN</t>
        </is>
      </c>
      <c r="E238" s="9" t="inlineStr">
        <is>
          <t>Open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8" t="inlineStr">
        <is>
          <t>C/W</t>
        </is>
      </c>
      <c r="J238" s="9" t="inlineStr">
        <is>
          <t>Yes</t>
        </is>
      </c>
      <c r="K238" s="9" t="n"/>
    </row>
    <row r="239" ht="18" customHeight="1" s="107">
      <c r="A239" s="68" t="n">
        <v>709</v>
      </c>
      <c r="B239" s="63" t="n">
        <v>32799066</v>
      </c>
      <c r="C239" s="100" t="inlineStr">
        <is>
          <t>CAB - RII - OXYGEN GENERATOR OXYGEN GENERATOR AT 44JKL WILL EXPIRE ON 10/2026</t>
        </is>
      </c>
      <c r="D239" s="8" t="inlineStr">
        <is>
          <t>GENERAL CABIN</t>
        </is>
      </c>
      <c r="E239" s="9" t="inlineStr">
        <is>
          <t>Open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8" t="inlineStr">
        <is>
          <t>C/W</t>
        </is>
      </c>
      <c r="J239" s="9" t="inlineStr">
        <is>
          <t>Yes</t>
        </is>
      </c>
      <c r="K239" s="9" t="n"/>
    </row>
    <row r="240" ht="18" customHeight="1" s="107">
      <c r="A240" s="68" t="n">
        <v>710</v>
      </c>
      <c r="B240" s="63" t="n">
        <v>32799069</v>
      </c>
      <c r="C240" s="100" t="inlineStr">
        <is>
          <t>CAB - RII - OXYGEN GENERATOR OXYGEN GENERATOR AT FWD DOOR LH AND FWD DOOR RH WILL EXPIRE ON 10/2026</t>
        </is>
      </c>
      <c r="D240" s="8" t="inlineStr">
        <is>
          <t>GENERAL CABIN</t>
        </is>
      </c>
      <c r="E240" s="9" t="inlineStr">
        <is>
          <t>Open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8" t="inlineStr">
        <is>
          <t>C/W</t>
        </is>
      </c>
      <c r="J240" s="9" t="inlineStr">
        <is>
          <t>Yes</t>
        </is>
      </c>
      <c r="K240" s="9" t="inlineStr">
        <is>
          <t>FWD</t>
        </is>
      </c>
    </row>
    <row r="241" ht="18" customHeight="1" s="107">
      <c r="A241" s="68" t="n">
        <v>711</v>
      </c>
      <c r="B241" s="63" t="n">
        <v>32799071</v>
      </c>
      <c r="C241" s="100" t="inlineStr">
        <is>
          <t>CAB - RII - OXYGEN GENERATOR AFT DOOR CTR #1 AND AFT DOOR CTR #2  OXYGEN GENERATOR WILL EXPIRE ON 10/2026</t>
        </is>
      </c>
      <c r="D241" s="8" t="inlineStr">
        <is>
          <t>GENERAL CABIN</t>
        </is>
      </c>
      <c r="E241" s="9" t="inlineStr">
        <is>
          <t>Open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8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t="18" customHeight="1" s="107">
      <c r="A242" s="68" t="n">
        <v>712</v>
      </c>
      <c r="B242" s="63" t="n">
        <v>32799080</v>
      </c>
      <c r="C242" s="100" t="inlineStr">
        <is>
          <t>CAB - RII - OXYGEN GENERATOR OXYGEN GENERATOR AT AFT DOOR RH WILL EXPIRE ON 10/2026</t>
        </is>
      </c>
      <c r="D242" s="8" t="inlineStr">
        <is>
          <t>GENERAL CABIN</t>
        </is>
      </c>
      <c r="E242" s="9" t="inlineStr">
        <is>
          <t>Open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 - R</t>
        </is>
      </c>
      <c r="I242" s="88" t="inlineStr">
        <is>
          <t>C/W</t>
        </is>
      </c>
      <c r="J242" s="9" t="inlineStr">
        <is>
          <t>Yes</t>
        </is>
      </c>
      <c r="K242" s="9" t="inlineStr">
        <is>
          <t>AFT</t>
        </is>
      </c>
    </row>
    <row r="243" hidden="1" ht="18" customHeight="1" s="107">
      <c r="A243" s="68" t="n">
        <v>713</v>
      </c>
      <c r="B243" s="63" t="n">
        <v>32799332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07">
      <c r="A244" s="68" t="n">
        <v>714</v>
      </c>
      <c r="B244" s="63" t="n">
        <v>32799335</v>
      </c>
      <c r="C244" s="7" t="inlineStr">
        <is>
          <t>CAB-NO CALL BACK AFT GALLEY CART COMPARTMENT AT 519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07">
      <c r="A245" s="68" t="n">
        <v>715</v>
      </c>
      <c r="B245" s="63" t="n">
        <v>32799336</v>
      </c>
      <c r="C245" s="7" t="inlineStr">
        <is>
          <t>CAB - NO CALL BACK AFT GALLEY CART COMPARTMENT AT 518 T-DIVIDER WITH BROKEN BUMPER.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Requested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07">
      <c r="A246" s="68" t="n">
        <v>716</v>
      </c>
      <c r="B246" s="63" t="n">
        <v>32799338</v>
      </c>
      <c r="C246" s="7" t="inlineStr">
        <is>
          <t>CAB - NO CALL BACK AFT GALLEY COMPARTMENT DOOR  NO.504 LOOSE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N/R</t>
        </is>
      </c>
      <c r="I246" s="9" t="n"/>
      <c r="J246" s="9" t="inlineStr">
        <is>
          <t>Yes</t>
        </is>
      </c>
      <c r="K246" s="9" t="inlineStr">
        <is>
          <t>AFT</t>
        </is>
      </c>
    </row>
    <row r="247" hidden="1" ht="18" customHeight="1" s="107">
      <c r="A247" s="68" t="n">
        <v>717</v>
      </c>
      <c r="B247" s="63" t="n">
        <v>32799344</v>
      </c>
      <c r="C247" s="7" t="inlineStr">
        <is>
          <t>CAB - NO CALL BACK AFT GALLEY FOOT STEP INOP.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inlineStr">
        <is>
          <t>Requested</t>
        </is>
      </c>
      <c r="I247" s="9" t="n"/>
      <c r="J247" s="9" t="inlineStr">
        <is>
          <t>Yes</t>
        </is>
      </c>
      <c r="K247" s="9" t="inlineStr">
        <is>
          <t>FWD</t>
        </is>
      </c>
    </row>
    <row r="248" ht="18" customHeight="1" s="107">
      <c r="A248" s="68" t="n">
        <v>718</v>
      </c>
      <c r="B248" s="63" t="n">
        <v>32799347</v>
      </c>
      <c r="C248" s="7" t="inlineStr">
        <is>
          <t>CAB - NO CALL BACK G1 GALLEY COMPARTMENT 101 DOOR HINGE LOOSE</t>
        </is>
      </c>
      <c r="D248" s="8" t="inlineStr">
        <is>
          <t>GALLEY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CAB</t>
        </is>
      </c>
      <c r="H248" s="10" t="n"/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07">
      <c r="A249" s="68" t="n">
        <v>719</v>
      </c>
      <c r="B249" s="63" t="n">
        <v>32799351</v>
      </c>
      <c r="C249" s="7" t="inlineStr">
        <is>
          <t>CAB - NO CALL BACK AFT GALLEY DIVIDER RED LATCH (3 R/H SIDE) AND (1 L/H SIDE) REQ.REPLACEMENT</t>
        </is>
      </c>
      <c r="D249" s="8" t="inlineStr">
        <is>
          <t>GALLEY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</t>
        </is>
      </c>
      <c r="I249" s="9" t="n"/>
      <c r="J249" s="9" t="inlineStr">
        <is>
          <t>Yes</t>
        </is>
      </c>
      <c r="K249" s="9" t="inlineStr">
        <is>
          <t>AFT</t>
        </is>
      </c>
    </row>
    <row r="250" hidden="1" ht="18" customHeight="1" s="107">
      <c r="A250" s="68" t="n">
        <v>720</v>
      </c>
      <c r="B250" s="63" t="n">
        <v>32799639</v>
      </c>
      <c r="C250" s="7" t="inlineStr">
        <is>
          <t>CAB - NO CALL BACK LAVATORY "E" WATER HEATER INOP.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R</t>
        </is>
      </c>
      <c r="I250" s="9" t="inlineStr">
        <is>
          <t xml:space="preserve">OPS CHECK </t>
        </is>
      </c>
      <c r="J250" s="9" t="inlineStr">
        <is>
          <t>Yes</t>
        </is>
      </c>
      <c r="K250" s="9" t="inlineStr">
        <is>
          <t>AFT</t>
        </is>
      </c>
    </row>
    <row r="251" hidden="1" ht="18" customHeight="1" s="107">
      <c r="A251" s="68" t="n">
        <v>721</v>
      </c>
      <c r="B251" s="63" t="n">
        <v>32799641</v>
      </c>
      <c r="C251" s="7" t="inlineStr">
        <is>
          <t>CAB - NO CALL BACK LAV "E" WATER FAUCET LEAKING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CAB</t>
        </is>
      </c>
      <c r="H251" s="10" t="inlineStr">
        <is>
          <t>Requested - CR</t>
        </is>
      </c>
      <c r="I251" s="9" t="n"/>
      <c r="J251" s="9" t="inlineStr">
        <is>
          <t>Yes</t>
        </is>
      </c>
      <c r="K251" s="9" t="inlineStr">
        <is>
          <t>AFT</t>
        </is>
      </c>
    </row>
    <row r="252" hidden="1" ht="18" customHeight="1" s="107">
      <c r="A252" s="68" t="n">
        <v>722</v>
      </c>
      <c r="B252" s="63" t="n">
        <v>32799647</v>
      </c>
      <c r="C252" s="7" t="inlineStr">
        <is>
          <t>PAINT - NO CALL BACK LAV "A" NURSING TABLE DISCOLORED</t>
        </is>
      </c>
      <c r="D252" s="8" t="inlineStr">
        <is>
          <t>LAVATORY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PAINT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07">
      <c r="A253" s="68" t="n">
        <v>723</v>
      </c>
      <c r="B253" s="63" t="n">
        <v>32800126</v>
      </c>
      <c r="C253" s="7" t="inlineStr">
        <is>
          <t>AVIO---------RII--------FINDING (NRC) TASKCARD 25-65-00-01-0-SVA FWD MEGAPHONE WILL EXPIRE ON 23JUN2026 P/N  A12SA S/N  1143748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07">
      <c r="A254" s="68" t="n">
        <v>724</v>
      </c>
      <c r="B254" s="63" t="n">
        <v>32800141</v>
      </c>
      <c r="C254" s="7" t="inlineStr">
        <is>
          <t>CABIN-----NO CALL BACK------FINDING (NRC) TASKCARD 25-65-00-01-0-SVA PORTABLE OXYGEN CYLINDER AFT OF SEAT 5JL WILL EXPIRE ON 14 AUG 2026  P/N  9700-C1A-BF23A S/N  P21110181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n"/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07">
      <c r="A255" s="68" t="n">
        <v>725</v>
      </c>
      <c r="B255" s="63" t="n">
        <v>32800163</v>
      </c>
      <c r="C255" s="7" t="inlineStr">
        <is>
          <t>CABIN--------RII--------FINDING (NRC) TASKCARD 25-65-00-01-0-SVA LOWER PORTABLE OXYGEN CYLINDER MISSING OVERHAUL CERTIFICATE TAG  AT  AFT OF SEAT 5JL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CAB</t>
        </is>
      </c>
      <c r="H255" s="10" t="inlineStr">
        <is>
          <t>Requested</t>
        </is>
      </c>
      <c r="I255" s="9" t="n"/>
      <c r="J255" s="9" t="inlineStr">
        <is>
          <t>Yes</t>
        </is>
      </c>
      <c r="K255" s="9" t="inlineStr">
        <is>
          <t>FWD</t>
        </is>
      </c>
    </row>
    <row r="256" hidden="1" ht="18" customHeight="1" s="107">
      <c r="A256" s="68" t="n">
        <v>726</v>
      </c>
      <c r="B256" s="63" t="n">
        <v>32800175</v>
      </c>
      <c r="C256" s="7" t="inlineStr">
        <is>
          <t>S/M--------RII--------FINDING (NRC) TASKCARD 25-65-00-01-0-SVA PORTABLE OXYGEN CYLINDER HOLDER BROKEN AT AFT OF SEAT 44ABC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S/M</t>
        </is>
      </c>
      <c r="H256" s="10" t="n"/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07">
      <c r="A257" s="68" t="n">
        <v>728</v>
      </c>
      <c r="B257" s="63" t="n">
        <v>32800196</v>
      </c>
      <c r="C257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07">
      <c r="A258" s="68" t="n">
        <v>729</v>
      </c>
      <c r="B258" s="63" t="n">
        <v>32800225</v>
      </c>
      <c r="C258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8" t="inlineStr">
        <is>
          <t>GENERAL CABIN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AFT</t>
        </is>
      </c>
    </row>
    <row r="259" hidden="1" ht="18" customHeight="1" s="107">
      <c r="A259" s="68" t="n">
        <v>742</v>
      </c>
      <c r="B259" s="63" t="n">
        <v>32801170</v>
      </c>
      <c r="C259" s="7" t="inlineStr">
        <is>
          <t>CAB - NO CALLBACK - FWD GALLEY G2 GALLEY COMP. 201 DOOR FRAME DETTACHED.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Requested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07">
      <c r="A260" s="68" t="n">
        <v>743</v>
      </c>
      <c r="B260" s="63" t="n">
        <v>32801193</v>
      </c>
      <c r="C260" s="7" t="inlineStr">
        <is>
          <t>CAB - NO CALLBACK - FWD GALLEY G2 GALLEY COMP. 209 DOOR SLAMLATCH LOOSE.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N/R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t="18" customHeight="1" s="107">
      <c r="A261" s="68" t="n">
        <v>744</v>
      </c>
      <c r="B261" s="63" t="n">
        <v>32801209</v>
      </c>
      <c r="C261" s="7" t="inlineStr">
        <is>
          <t>CAB - NO CALLBACK - FWD GALLEY FWD GALLEY (G1-G2) GALLEY WORKTOP SEALANT PARTIALLY MISSING.</t>
        </is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inlineStr">
        <is>
          <t>P/S 4472654</t>
        </is>
      </c>
      <c r="J261" s="9" t="inlineStr">
        <is>
          <t>Yes</t>
        </is>
      </c>
      <c r="K261" s="9" t="inlineStr">
        <is>
          <t>FWD</t>
        </is>
      </c>
    </row>
    <row r="262" hidden="1" ht="18" customHeight="1" s="107">
      <c r="A262" s="68" t="n">
        <v>748</v>
      </c>
      <c r="B262" s="63" t="n">
        <v>32801440</v>
      </c>
      <c r="C262" s="7" t="inlineStr">
        <is>
          <t>CAB - NO CALLBACK - SIDEWALL SIDEWALL SPLINE AT 1LJ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07">
      <c r="A263" s="68" t="n">
        <v>749</v>
      </c>
      <c r="B263" s="63" t="n">
        <v>32801510</v>
      </c>
      <c r="C263" s="7" t="inlineStr">
        <is>
          <t>CAB - NO CALLBACK - SIDEWALL SIDEWALL SPLINE AT 4LJ B/C CHIPPED.</t>
        </is>
      </c>
      <c r="D263" s="8" t="inlineStr">
        <is>
          <t>TEDLAR/SIDEWALL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07">
      <c r="A264" s="68" t="n">
        <v>751</v>
      </c>
      <c r="B264" s="63" t="n">
        <v>32801511</v>
      </c>
      <c r="C264" s="7" t="inlineStr">
        <is>
          <t>CAB - NO CALLBACK RUBBER SEAL IS CUT AT FWD GALLEY DIRECTLY ABOVE COMP. 101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07">
      <c r="A265" s="68" t="n">
        <v>752</v>
      </c>
      <c r="B265" s="63" t="n">
        <v>32801532</v>
      </c>
      <c r="C265" s="7" t="inlineStr">
        <is>
          <t>CAB - NO CALLBACK RUBBER SEAL BETWEEN FWD GALLEY AND COCKPIT MISSING.</t>
        </is>
      </c>
      <c r="D265" s="8" t="inlineStr">
        <is>
          <t>GALLEY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07">
      <c r="A266" s="68" t="n">
        <v>753</v>
      </c>
      <c r="B266" s="63" t="n">
        <v>32801634</v>
      </c>
      <c r="C266" s="7" t="inlineStr">
        <is>
          <t>CAB - NO CALLBACK - STOWAGE BIN STOWAGE BIN DIRECTLY INFRONT OF SEAT 30LKJ MISSING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07">
      <c r="A267" s="68" t="n">
        <v>754</v>
      </c>
      <c r="B267" s="63" t="n">
        <v>32801637</v>
      </c>
      <c r="C267" s="7" t="inlineStr">
        <is>
          <t>CAB - NO CALLBACK - STOWAGE BIN STOWAGE BIN OF SEAT 4LJ MISSING 2EA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07">
      <c r="A268" s="68" t="n">
        <v>755</v>
      </c>
      <c r="B268" s="63" t="n">
        <v>32801640</v>
      </c>
      <c r="C268" s="7" t="inlineStr">
        <is>
          <t>CAB - NO CALLBACK - STOWAGE BIN STOWAGE BIN OF SEAT 5LJ MISSING DOOR DAMPENER.</t>
        </is>
      </c>
      <c r="D268" s="8" t="inlineStr">
        <is>
          <t>GENERAL CABIN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07">
      <c r="A269" s="68" t="n">
        <v>756</v>
      </c>
      <c r="B269" s="63" t="n">
        <v>32801651</v>
      </c>
      <c r="C269" s="7" t="inlineStr">
        <is>
          <t>CAB - NO CALL BACK - CAPTAIN ARMREST CAPTAIN ARMREST UPPER SHROUD LOOSE.</t>
        </is>
      </c>
      <c r="D269" s="8" t="inlineStr">
        <is>
          <t>FLIGHT DECK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inlineStr">
        <is>
          <t>Requested</t>
        </is>
      </c>
      <c r="I269" s="9" t="n"/>
      <c r="J269" s="9" t="inlineStr">
        <is>
          <t>Yes</t>
        </is>
      </c>
      <c r="K269" s="9" t="inlineStr">
        <is>
          <t>FWD</t>
        </is>
      </c>
    </row>
    <row r="270" ht="18" customHeight="1" s="107">
      <c r="A270" s="68" t="inlineStr">
        <is>
          <t>757</t>
        </is>
      </c>
      <c r="B270" s="63" t="inlineStr">
        <is>
          <t>32801649</t>
        </is>
      </c>
      <c r="C270" s="7" t="inlineStr">
        <is>
          <t>ESCAPE SLIDE---RII ESCAPE SLIDE L/H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t="18" customHeight="1" s="107">
      <c r="A271" s="68" t="inlineStr">
        <is>
          <t>758</t>
        </is>
      </c>
      <c r="B271" s="63" t="inlineStr">
        <is>
          <t>32801735</t>
        </is>
      </c>
      <c r="C271" s="7" t="inlineStr">
        <is>
          <t>ESCAPE SLIDE---RII ESCAPE SLIDE R/H FWD REQ REMOVAL FOR ACCESS</t>
        </is>
      </c>
      <c r="D271" s="8" t="inlineStr">
        <is>
          <t>PAX DOORS</t>
        </is>
      </c>
      <c r="E271" s="9" t="inlineStr">
        <is>
          <t>In Progress</t>
        </is>
      </c>
      <c r="F271" s="9" t="inlineStr">
        <is>
          <t>Normal</t>
        </is>
      </c>
      <c r="G271" s="8" t="inlineStr">
        <is>
          <t>CAB</t>
        </is>
      </c>
      <c r="H271" s="10" t="n"/>
      <c r="I271" s="9" t="inlineStr">
        <is>
          <t>close up to do</t>
        </is>
      </c>
      <c r="J271" s="9" t="inlineStr">
        <is>
          <t>Yes</t>
        </is>
      </c>
      <c r="K271" s="9" t="inlineStr">
        <is>
          <t>FWD</t>
        </is>
      </c>
    </row>
    <row r="272" hidden="1" ht="18" customHeight="1" s="107">
      <c r="A272" s="68" t="inlineStr">
        <is>
          <t>759</t>
        </is>
      </c>
      <c r="B272" s="63" t="inlineStr">
        <is>
          <t>32801738</t>
        </is>
      </c>
      <c r="C272" s="7" t="inlineStr">
        <is>
          <t>CAB - NO CALL BACK - CAPTAIN SEAT CAPTAIN SEAT AFT SHROUD CRACKED.</t>
        </is>
      </c>
      <c r="D272" s="8" t="inlineStr">
        <is>
          <t>FLIGHT DECK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inlineStr">
        <is>
          <t>Requested</t>
        </is>
      </c>
      <c r="I272" s="9" t="n"/>
      <c r="J272" s="9" t="inlineStr">
        <is>
          <t>Yes</t>
        </is>
      </c>
      <c r="K272" s="9" t="inlineStr">
        <is>
          <t>FWD</t>
        </is>
      </c>
    </row>
    <row r="273" ht="18" customHeight="1" s="107">
      <c r="A273" s="68" t="inlineStr">
        <is>
          <t>779</t>
        </is>
      </c>
      <c r="B273" s="63" t="inlineStr">
        <is>
          <t>32804054</t>
        </is>
      </c>
      <c r="C273" s="7" t="inlineStr">
        <is>
          <t>ESCAPE SLIDE---RII L2 DOOR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inlineStr">
        <is>
          <t>Yes</t>
        </is>
      </c>
      <c r="K273" s="9" t="inlineStr">
        <is>
          <t>AFT</t>
        </is>
      </c>
    </row>
    <row r="274" ht="18" customHeight="1" s="107">
      <c r="A274" s="68" t="inlineStr">
        <is>
          <t>780</t>
        </is>
      </c>
      <c r="B274" s="63" t="inlineStr">
        <is>
          <t>32804056</t>
        </is>
      </c>
      <c r="C274" s="7" t="inlineStr">
        <is>
          <t>ESCAPE SLIDE---RII R2 DOOR  ESCAPE SLIDE REQ REMOVAL FOR ACCESS</t>
        </is>
      </c>
      <c r="D274" s="8" t="inlineStr">
        <is>
          <t>PAX DOORS</t>
        </is>
      </c>
      <c r="E274" s="9" t="inlineStr">
        <is>
          <t>In Progress</t>
        </is>
      </c>
      <c r="F274" s="9" t="inlineStr">
        <is>
          <t>Normal</t>
        </is>
      </c>
      <c r="G274" s="8" t="inlineStr">
        <is>
          <t>CAB</t>
        </is>
      </c>
      <c r="H274" s="10" t="n"/>
      <c r="I274" s="9" t="inlineStr">
        <is>
          <t>OPS TEST AND CLOSE UP TO DO</t>
        </is>
      </c>
      <c r="J274" s="9" t="inlineStr">
        <is>
          <t>Yes</t>
        </is>
      </c>
      <c r="K274" s="9" t="inlineStr">
        <is>
          <t>AFT</t>
        </is>
      </c>
    </row>
    <row r="275" hidden="1" ht="18" customHeight="1" s="107">
      <c r="A275" s="68" t="inlineStr">
        <is>
          <t>785</t>
        </is>
      </c>
      <c r="B275" s="63" t="inlineStr">
        <is>
          <t>32804526</t>
        </is>
      </c>
      <c r="C275" s="7" t="inlineStr">
        <is>
          <t>CAB - NO CALL BACK LAV A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FWD</t>
        </is>
      </c>
    </row>
    <row r="276" hidden="1" ht="18" customHeight="1" s="107">
      <c r="A276" s="68" t="inlineStr">
        <is>
          <t>786</t>
        </is>
      </c>
      <c r="B276" s="63" t="inlineStr">
        <is>
          <t>32804529</t>
        </is>
      </c>
      <c r="C276" s="7" t="inlineStr">
        <is>
          <t>CAB - NO CALL BACK LAV E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07">
      <c r="A277" s="68" t="inlineStr">
        <is>
          <t>787</t>
        </is>
      </c>
      <c r="B277" s="63" t="inlineStr">
        <is>
          <t>32804530</t>
        </is>
      </c>
      <c r="C277" s="7" t="inlineStr">
        <is>
          <t>CAB - NO CALL BACK LAV D BABY BASSINET TABLE LATCH DIRTY</t>
        </is>
      </c>
      <c r="D277" s="8" t="inlineStr">
        <is>
          <t>LAVATORY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AFT</t>
        </is>
      </c>
    </row>
    <row r="278" hidden="1" ht="18" customHeight="1" s="107">
      <c r="A278" s="68" t="inlineStr">
        <is>
          <t>788</t>
        </is>
      </c>
      <c r="B278" s="63" t="inlineStr">
        <is>
          <t>32804532</t>
        </is>
      </c>
      <c r="C278" s="7" t="inlineStr">
        <is>
          <t>CAB - NO CALL BACK FWD GALLEY COMPT 208 ICE BOX SURFACE DIRTY AND MISSING SEALANT.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07">
      <c r="A279" s="68" t="inlineStr">
        <is>
          <t>789</t>
        </is>
      </c>
      <c r="B279" s="63" t="inlineStr">
        <is>
          <t>32804533</t>
        </is>
      </c>
      <c r="C279" s="7" t="inlineStr">
        <is>
          <t>PAINT - NO CALL BACK FWD GALLEY COMPT 214 LONG AND SHORT CART CATCHES CHIPPED PAINT.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07">
      <c r="A280" s="68" t="inlineStr">
        <is>
          <t>790</t>
        </is>
      </c>
      <c r="B280" s="63" t="inlineStr">
        <is>
          <t>32804535</t>
        </is>
      </c>
      <c r="C280" s="7" t="inlineStr">
        <is>
          <t>CAB - NO CALL BACK FWD GALLEY BUN WARMER LATCH LOOSE.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 - R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07">
      <c r="A281" s="68" t="inlineStr">
        <is>
          <t>791</t>
        </is>
      </c>
      <c r="B281" s="63" t="inlineStr">
        <is>
          <t>32804540</t>
        </is>
      </c>
      <c r="C281" s="7" t="inlineStr">
        <is>
          <t>CAB - NO CALL BACK FWD GALLEY CART CATCHES 3EA LONG NO. 111 , 110 AND 109 1 SHORT CART CATCHES NO.111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CAB</t>
        </is>
      </c>
      <c r="H281" s="10" t="inlineStr">
        <is>
          <t>Requested</t>
        </is>
      </c>
      <c r="I281" s="9" t="n"/>
      <c r="J281" s="9" t="inlineStr">
        <is>
          <t>Yes</t>
        </is>
      </c>
      <c r="K281" s="9" t="inlineStr">
        <is>
          <t>FWD</t>
        </is>
      </c>
    </row>
    <row r="282" ht="18" customHeight="1" s="107">
      <c r="A282" s="68" t="inlineStr">
        <is>
          <t>792</t>
        </is>
      </c>
      <c r="B282" s="63" t="inlineStr">
        <is>
          <t>32804543</t>
        </is>
      </c>
      <c r="C282" s="7" t="inlineStr">
        <is>
          <t>AVIO - NO CALL BACK FWD GALLEY LIGHT LENS DISCOLORATION</t>
        </is>
      </c>
      <c r="D282" s="8" t="inlineStr">
        <is>
          <t>GALLEY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CAB</t>
        </is>
      </c>
      <c r="H282" s="10" t="n"/>
      <c r="I282" s="9" t="n"/>
      <c r="J282" s="9" t="inlineStr">
        <is>
          <t>Yes</t>
        </is>
      </c>
      <c r="K282" s="9" t="inlineStr">
        <is>
          <t>FWD</t>
        </is>
      </c>
    </row>
    <row r="283" hidden="1" ht="18" customHeight="1" s="107">
      <c r="A283" s="68" t="inlineStr">
        <is>
          <t>793</t>
        </is>
      </c>
      <c r="B283" s="63" t="inlineStr">
        <is>
          <t>32804553</t>
        </is>
      </c>
      <c r="C283" s="7" t="inlineStr">
        <is>
          <t>CAB - NO CALL BACK - COCKPIT SEAT CAPTIN AND FIRST OFFICER SEAT AFT SHROUD CRACKED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CAB</t>
        </is>
      </c>
      <c r="H283" s="10" t="inlineStr">
        <is>
          <t>Requested</t>
        </is>
      </c>
      <c r="I283" s="9" t="n"/>
      <c r="J283" s="9" t="inlineStr">
        <is>
          <t>Yes</t>
        </is>
      </c>
      <c r="K283" s="9" t="inlineStr">
        <is>
          <t>FWD</t>
        </is>
      </c>
    </row>
    <row r="284" ht="18" customHeight="1" s="107">
      <c r="A284" s="68" t="inlineStr">
        <is>
          <t>794</t>
        </is>
      </c>
      <c r="B284" s="63" t="inlineStr">
        <is>
          <t>32804554</t>
        </is>
      </c>
      <c r="C284" s="7" t="inlineStr">
        <is>
          <t>CAB - NO CALL BACK - COCKPIT SEAT CAPTAIN SEAT PLACRAD DEATTACHED</t>
        </is>
      </c>
      <c r="D284" s="8" t="inlineStr">
        <is>
          <t>FLIGHT DECK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PAINT</t>
        </is>
      </c>
      <c r="H284" s="10" t="n"/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07">
      <c r="A285" s="68" t="inlineStr">
        <is>
          <t>795</t>
        </is>
      </c>
      <c r="B285" s="63" t="inlineStr">
        <is>
          <t>32804556</t>
        </is>
      </c>
      <c r="C285" s="7" t="inlineStr">
        <is>
          <t>CAB - NO CALL BACK - COCKPIT FROUTH OBSERVER FOURTH OBSERVER CUP HOLDER LOOSE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07">
      <c r="A286" s="68" t="inlineStr">
        <is>
          <t>796</t>
        </is>
      </c>
      <c r="B286" s="63" t="inlineStr">
        <is>
          <t>32804558</t>
        </is>
      </c>
      <c r="C286" s="7" t="inlineStr">
        <is>
          <t>CAB - NO CALL BACK - COCKPIT ESCAPE ROPE COVER VELCRO DETACHED.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N/R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07">
      <c r="A287" s="68" t="inlineStr">
        <is>
          <t>797</t>
        </is>
      </c>
      <c r="B287" s="63" t="inlineStr">
        <is>
          <t>32804560</t>
        </is>
      </c>
      <c r="C287" s="7" t="inlineStr">
        <is>
          <t>CAB - NO CALL BACK - COCKPIT DISC STOWAGE F/O DISC STOWAGE LATCH INOP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Requested - CR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07">
      <c r="A288" s="68" t="inlineStr">
        <is>
          <t>798</t>
        </is>
      </c>
      <c r="B288" s="63" t="inlineStr">
        <is>
          <t>32804565</t>
        </is>
      </c>
      <c r="C288" s="7" t="inlineStr">
        <is>
          <t>CAB - NO CALL BACK - COCKPT CAPTIN  WASTE AND OXY DOOR MAKE NOISY SOUND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N/R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07">
      <c r="A289" s="68" t="inlineStr">
        <is>
          <t>799</t>
        </is>
      </c>
      <c r="B289" s="63" t="inlineStr">
        <is>
          <t>32804566</t>
        </is>
      </c>
      <c r="C289" s="7" t="inlineStr">
        <is>
          <t>CAB - NO CALL BACK - COCKPIT CAPTAIN ARMREST CAPTAIN ARMREST DISCOLORED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07">
      <c r="A290" s="68" t="inlineStr">
        <is>
          <t>800</t>
        </is>
      </c>
      <c r="B290" s="63" t="inlineStr">
        <is>
          <t>32804567</t>
        </is>
      </c>
      <c r="C290" s="7" t="inlineStr">
        <is>
          <t>CAB - NO CALL BACK - COCKPIT CAPTAIN ARMREST COCKPIT CAPTAIN ARMREST LOOSE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CAB</t>
        </is>
      </c>
      <c r="H290" s="10" t="inlineStr">
        <is>
          <t>Requested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t="18" customHeight="1" s="107">
      <c r="A291" s="68" t="inlineStr">
        <is>
          <t>801</t>
        </is>
      </c>
      <c r="B291" s="63" t="inlineStr">
        <is>
          <t>32804568</t>
        </is>
      </c>
      <c r="C291" s="7" t="inlineStr">
        <is>
          <t>CAB - NO CALL BACK - COCKPIT MEAL TABLE CAPTAIN AND F/O MEAL TABLE DISCOLORED</t>
        </is>
      </c>
      <c r="D291" s="8" t="inlineStr">
        <is>
          <t>FLIGHT DECK</t>
        </is>
      </c>
      <c r="E291" s="9" t="inlineStr">
        <is>
          <t>Open</t>
        </is>
      </c>
      <c r="F291" s="9" t="inlineStr">
        <is>
          <t>Normal</t>
        </is>
      </c>
      <c r="G291" s="8" t="inlineStr">
        <is>
          <t>PAINT</t>
        </is>
      </c>
      <c r="H291" s="10" t="inlineStr">
        <is>
          <t>Requested - CR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07">
      <c r="A292" s="68" t="inlineStr">
        <is>
          <t>802</t>
        </is>
      </c>
      <c r="B292" s="63" t="inlineStr">
        <is>
          <t>32804570</t>
        </is>
      </c>
      <c r="C292" s="7" t="inlineStr">
        <is>
          <t>CAB - NO CALL BACK - COCKPIT SPEAKERS COCKPIT CAPTAIN AND F/O SPEAKERS PANEL SCREWS MISSING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07">
      <c r="A293" s="68" t="inlineStr">
        <is>
          <t>803</t>
        </is>
      </c>
      <c r="B293" s="63" t="inlineStr">
        <is>
          <t>32804571</t>
        </is>
      </c>
      <c r="C293" s="7" t="inlineStr">
        <is>
          <t>CAB - NO CALL BACK - COCKPIT LIFE VEST COVER THIRD OBSERVER LIFE VEST COVER MISALIGNED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07">
      <c r="A294" s="68" t="inlineStr">
        <is>
          <t>804</t>
        </is>
      </c>
      <c r="B294" s="63" t="inlineStr">
        <is>
          <t>32804573</t>
        </is>
      </c>
      <c r="C294" s="7" t="inlineStr">
        <is>
          <t>CAB - NO CALL BACK - COCKPIT LIGHT PNL COCKPIT OVER HEAD LIGHT PNL SCREW MISSING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07">
      <c r="A295" s="68" t="inlineStr">
        <is>
          <t>805</t>
        </is>
      </c>
      <c r="B295" s="63" t="inlineStr">
        <is>
          <t>32804575</t>
        </is>
      </c>
      <c r="C295" s="7" t="inlineStr">
        <is>
          <t>CAB - RII - COCKPIT SEAT BELT COCKPIT FOURTH OBSERVER SEAT BELT INOP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Requested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07">
      <c r="A296" s="68" t="inlineStr">
        <is>
          <t>806</t>
        </is>
      </c>
      <c r="B296" s="63" t="inlineStr">
        <is>
          <t>32804576</t>
        </is>
      </c>
      <c r="C296" s="7" t="inlineStr">
        <is>
          <t>CAB - NO CALL BACK - COCKPIT F/O WASTE DOOR COCKPIT F/O WASTE DOOR MAKE NOISY SOUND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N/R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07">
      <c r="A297" s="68" t="inlineStr">
        <is>
          <t>807</t>
        </is>
      </c>
      <c r="B297" s="63" t="inlineStr">
        <is>
          <t>32804577</t>
        </is>
      </c>
      <c r="C297" s="7" t="inlineStr">
        <is>
          <t>CAB - NO CALL BACK - COCKPIT CAPTAIN SEAT COCKPIT CAPTAIN SEAT AFT SHROUD MISSING SCREW</t>
        </is>
      </c>
      <c r="D297" s="8" t="inlineStr">
        <is>
          <t>FLIGHT DECK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CAB</t>
        </is>
      </c>
      <c r="H297" s="10" t="inlineStr">
        <is>
          <t>Requested</t>
        </is>
      </c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07">
      <c r="A298" s="68" t="inlineStr">
        <is>
          <t>826</t>
        </is>
      </c>
      <c r="B298" s="63" t="inlineStr">
        <is>
          <t>32817167</t>
        </is>
      </c>
      <c r="C298" s="7" t="inlineStr">
        <is>
          <t>PAX DOOR LINING FWD R/H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t="18" customHeight="1" s="107">
      <c r="A299" s="68" t="inlineStr">
        <is>
          <t>827</t>
        </is>
      </c>
      <c r="B299" s="63" t="inlineStr">
        <is>
          <t>32817204</t>
        </is>
      </c>
      <c r="C299" s="7" t="inlineStr">
        <is>
          <t>PAX DOOR LINING FWD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FWD</t>
        </is>
      </c>
    </row>
    <row r="300" ht="18" customHeight="1" s="107">
      <c r="A300" s="68" t="inlineStr">
        <is>
          <t>828</t>
        </is>
      </c>
      <c r="B300" s="63" t="inlineStr">
        <is>
          <t>32817224</t>
        </is>
      </c>
      <c r="C300" s="7" t="inlineStr">
        <is>
          <t>PAX DOOR LINING AFT L/H PAX DOOR SUPPORT ARM LINING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AFT</t>
        </is>
      </c>
    </row>
    <row r="301" ht="18" customHeight="1" s="107">
      <c r="A301" s="68" t="inlineStr">
        <is>
          <t>829</t>
        </is>
      </c>
      <c r="B301" s="63" t="inlineStr">
        <is>
          <t>32817230</t>
        </is>
      </c>
      <c r="C301" s="7" t="inlineStr">
        <is>
          <t>PAX DOOR LINING ALL PAX DOOR SLIDE COVER REQ PNT</t>
        </is>
      </c>
      <c r="D301" s="8" t="inlineStr">
        <is>
          <t>PAX DOORS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PAINT</t>
        </is>
      </c>
      <c r="H301" s="10" t="n"/>
      <c r="I301" s="9" t="n"/>
      <c r="J301" s="9" t="inlineStr">
        <is>
          <t>Yes</t>
        </is>
      </c>
      <c r="K301" s="9" t="inlineStr">
        <is>
          <t>JOINT</t>
        </is>
      </c>
    </row>
    <row r="302" ht="18" customHeight="1" s="107">
      <c r="A302" s="68" t="inlineStr">
        <is>
          <t>839</t>
        </is>
      </c>
      <c r="B302" s="63" t="inlineStr">
        <is>
          <t>32823153</t>
        </is>
      </c>
      <c r="C302" s="7" t="inlineStr">
        <is>
          <t>CAB - RII -L2 F/A L2 F/A REMOVED FOR ACCESS</t>
        </is>
      </c>
      <c r="D302" s="8" t="inlineStr">
        <is>
          <t>F/A SEAT</t>
        </is>
      </c>
      <c r="E302" s="9" t="inlineStr">
        <is>
          <t>Open</t>
        </is>
      </c>
      <c r="F302" s="9" t="inlineStr">
        <is>
          <t>Normal</t>
        </is>
      </c>
      <c r="G302" s="8" t="inlineStr">
        <is>
          <t>CAB</t>
        </is>
      </c>
      <c r="H302" s="10" t="n"/>
      <c r="I302" s="9" t="n"/>
      <c r="J302" s="9" t="inlineStr">
        <is>
          <t>Yes</t>
        </is>
      </c>
      <c r="K302" s="9" t="inlineStr">
        <is>
          <t>AFT</t>
        </is>
      </c>
    </row>
    <row r="303" ht="18" customHeight="1" s="107">
      <c r="A303" s="68" t="inlineStr">
        <is>
          <t>840</t>
        </is>
      </c>
      <c r="B303" s="63" t="inlineStr">
        <is>
          <t>32823140</t>
        </is>
      </c>
      <c r="C303" s="7" t="inlineStr">
        <is>
          <t>AV - NO CALL BACK REMOVE ELECTRICAL WIRE  B/C SEAT  5A , 5L</t>
        </is>
      </c>
      <c r="D303" s="8" t="inlineStr">
        <is>
          <t>PAX SEAT</t>
        </is>
      </c>
      <c r="E303" s="9" t="inlineStr">
        <is>
          <t>Open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t="18" customHeight="1" s="107">
      <c r="A304" s="68" t="inlineStr">
        <is>
          <t>841</t>
        </is>
      </c>
      <c r="B304" s="63" t="inlineStr">
        <is>
          <t>32823160</t>
        </is>
      </c>
      <c r="C304" s="7" t="inlineStr">
        <is>
          <t>AV - NO CALL BACK REMOVE ELECTRICAL WIRE  SEAT 30ABC  TO 34ABC .</t>
        </is>
      </c>
      <c r="D304" s="8" t="inlineStr">
        <is>
          <t>PAX SEAT</t>
        </is>
      </c>
      <c r="E304" s="9" t="inlineStr">
        <is>
          <t>Open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18" customHeight="1" s="107">
      <c r="A305" s="68" t="inlineStr">
        <is>
          <t>842</t>
        </is>
      </c>
      <c r="B305" s="63" t="inlineStr">
        <is>
          <t>32823162</t>
        </is>
      </c>
      <c r="C305" s="7" t="inlineStr">
        <is>
          <t>AV - NO CALL BACK REMOVE ELECTRICAL WIRE  SEAT  30JKL TO 34JKL 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AV</t>
        </is>
      </c>
      <c r="H305" s="10" t="n"/>
      <c r="I305" s="9" t="n"/>
      <c r="J305" s="9" t="inlineStr">
        <is>
          <t>Yes</t>
        </is>
      </c>
      <c r="K305" s="9" t="inlineStr">
        <is>
          <t>JOINT</t>
        </is>
      </c>
    </row>
    <row r="306" ht="36.75" customHeight="1" s="107">
      <c r="A306" s="68" t="inlineStr">
        <is>
          <t>843</t>
        </is>
      </c>
      <c r="B306" s="63" t="inlineStr">
        <is>
          <t>32823272</t>
        </is>
      </c>
      <c r="C306" s="86" t="inlineStr">
        <is>
          <t>CAB-CALL BACK SEAT#5JL,5AC,30ABC,31ABC,32ABC,33ABC34ABC,30JKL,31JKL.32JKL,33JKL&amp;34JKL REQ    REMOVAL  SEAT`S FOR ACCESS.</t>
        </is>
      </c>
      <c r="D306" s="8" t="inlineStr">
        <is>
          <t>PAX SEAT</t>
        </is>
      </c>
      <c r="E306" s="9" t="inlineStr">
        <is>
          <t>Open</t>
        </is>
      </c>
      <c r="F306" s="9" t="inlineStr">
        <is>
          <t>Normal</t>
        </is>
      </c>
      <c r="G306" s="8" t="inlineStr">
        <is>
          <t>CAB</t>
        </is>
      </c>
      <c r="H306" s="10" t="n"/>
      <c r="I306" s="85" t="inlineStr">
        <is>
          <t>C/W</t>
        </is>
      </c>
      <c r="J306" s="9" t="inlineStr">
        <is>
          <t>Yes</t>
        </is>
      </c>
      <c r="K306" s="9" t="inlineStr">
        <is>
          <t>JOINT</t>
        </is>
      </c>
    </row>
    <row r="307" hidden="1" ht="18" customHeight="1" s="107">
      <c r="A307" s="68" t="n">
        <v>852</v>
      </c>
      <c r="B307" s="63" t="n">
        <v>32824863</v>
      </c>
      <c r="C307" s="7" t="inlineStr">
        <is>
          <t>CAB - NO CALLBACK - SIDEWALL SIDEWALL SPLINE AT 1AC -  B/C SHIFTED DOWNWARD.</t>
        </is>
      </c>
      <c r="D307" s="8" t="inlineStr">
        <is>
          <t>TEDLAR/SIDEWALL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CAB</t>
        </is>
      </c>
      <c r="H307" s="10" t="inlineStr">
        <is>
          <t>N/R</t>
        </is>
      </c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07">
      <c r="A308" s="68" t="n">
        <v>866</v>
      </c>
      <c r="B308" s="63" t="n">
        <v>32825358</v>
      </c>
      <c r="C308" s="7" t="inlineStr">
        <is>
          <t>PAX DOOR LINING FWD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/>
      <c r="J308" s="9" t="inlineStr">
        <is>
          <t>Yes</t>
        </is>
      </c>
      <c r="K308" s="9" t="inlineStr">
        <is>
          <t>FWD</t>
        </is>
      </c>
    </row>
    <row r="309" ht="18" customHeight="1" s="107">
      <c r="A309" s="68" t="n">
        <v>867</v>
      </c>
      <c r="B309" s="63" t="n">
        <v>32825368</v>
      </c>
      <c r="C309" s="7" t="inlineStr">
        <is>
          <t>PAX DOOR LINING AFT R/H AND L/H PAX DOOR ALL LINING REQ PNT</t>
        </is>
      </c>
      <c r="D309" s="8" t="inlineStr">
        <is>
          <t>PAX DOORS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PAINT</t>
        </is>
      </c>
      <c r="H309" s="10" t="n"/>
      <c r="I309" s="9" t="n"/>
      <c r="J309" s="9" t="inlineStr">
        <is>
          <t>Yes</t>
        </is>
      </c>
      <c r="K309" s="9" t="inlineStr">
        <is>
          <t>AFT</t>
        </is>
      </c>
    </row>
    <row r="310" ht="18" customHeight="1" s="107">
      <c r="A310" s="68" t="n">
        <v>869</v>
      </c>
      <c r="B310" s="63" t="n">
        <v>32825361</v>
      </c>
      <c r="C310" s="7" t="inlineStr">
        <is>
          <t>FINDING (NRC) TASKCARD 25-SVA-03 (00) / ITEM ONE B/C SEAT# 1AC,2AC,3AC,4AC,5CJ FOOD TRAY DOOR - SHROUD ASSEMBLY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t="18" customHeight="1" s="107">
      <c r="A311" s="68" t="n">
        <v>870</v>
      </c>
      <c r="B311" s="63" t="n">
        <v>32825385</v>
      </c>
      <c r="C311" s="7" t="inlineStr">
        <is>
          <t>FINDING (NRC) TASKCARD 25-SVA-03 (00) / ITEM ONE B/C SEAT# 1ACL,3C,4L OVERRIDE - MANUAL  BROKEN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t="18" customHeight="1" s="107">
      <c r="A312" s="68" t="n">
        <v>871</v>
      </c>
      <c r="B312" s="63" t="n">
        <v>32825434</v>
      </c>
      <c r="C312" s="7" t="inlineStr">
        <is>
          <t>FINDING (NRC) TASKCARD 25-SVA-03 (00) / ITEM ONE B/C SEAT# 1ACJL,2C,3ACJ,5CJL ARMREST LOOSE</t>
        </is>
      </c>
      <c r="D312" s="8" t="inlineStr">
        <is>
          <t>PAX SEAT</t>
        </is>
      </c>
      <c r="E312" s="9" t="inlineStr">
        <is>
          <t>Open</t>
        </is>
      </c>
      <c r="F312" s="9" t="inlineStr">
        <is>
          <t>Normal</t>
        </is>
      </c>
      <c r="G312" s="8" t="inlineStr">
        <is>
          <t>SEAT</t>
        </is>
      </c>
      <c r="H312" s="10" t="n"/>
      <c r="I312" s="9" t="n"/>
      <c r="J312" s="9" t="inlineStr">
        <is>
          <t>Yes</t>
        </is>
      </c>
      <c r="K312" s="9" t="n"/>
    </row>
    <row r="313" hidden="1" ht="18" customHeight="1" s="107">
      <c r="A313" s="68" t="n">
        <v>875</v>
      </c>
      <c r="B313" s="63" t="n">
        <v>32825488</v>
      </c>
      <c r="C313" s="7" t="inlineStr">
        <is>
          <t>CAB - NO CALLBACK - FWD GALLEY FWD GALLEY G2 MODULE COMPT. 209 DOOR HINGE LOOSE.</t>
        </is>
      </c>
      <c r="D313" s="8" t="inlineStr">
        <is>
          <t>GALLEY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CAB</t>
        </is>
      </c>
      <c r="H313" s="10" t="inlineStr">
        <is>
          <t>N/R</t>
        </is>
      </c>
      <c r="I313" s="9" t="n"/>
      <c r="J313" s="9" t="inlineStr">
        <is>
          <t>Yes</t>
        </is>
      </c>
      <c r="K313" s="9" t="inlineStr">
        <is>
          <t>FWD</t>
        </is>
      </c>
    </row>
    <row r="314" hidden="1" ht="18" customHeight="1" s="107">
      <c r="A314" s="68" t="n">
        <v>876</v>
      </c>
      <c r="B314" s="63" t="n">
        <v>32825451</v>
      </c>
      <c r="C314" s="7" t="inlineStr">
        <is>
          <t>FINDING (NRC) TASKCARD 25-SVA-03 (00) / ITEM ONE B/C SEAT# 4J,5C RUBSTRIP - FRONT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t="18" customHeight="1" s="107">
      <c r="A315" s="68" t="n">
        <v>877</v>
      </c>
      <c r="B315" s="63" t="n">
        <v>32825594</v>
      </c>
      <c r="C315" s="7" t="inlineStr">
        <is>
          <t>FINDING (NRC) TASKCARD 25-SVA-03 (00) / ITEM ONE B/C SEAT# 1J  RUBSTRIP - SHELL BROKEN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t="18" customHeight="1" s="107">
      <c r="A316" s="68" t="n">
        <v>878</v>
      </c>
      <c r="B316" s="63" t="n">
        <v>32825599</v>
      </c>
      <c r="C316" s="7" t="inlineStr">
        <is>
          <t>FINDING (NRC) TASKCARD 25-SVA-03 (00) / ITEM ONE B/C SEAT# 1C,5A PANEL ASSEMBLY - ACCESS CRACK</t>
        </is>
      </c>
      <c r="D316" s="8" t="inlineStr">
        <is>
          <t>PAX SEAT</t>
        </is>
      </c>
      <c r="E316" s="9" t="inlineStr">
        <is>
          <t>Open</t>
        </is>
      </c>
      <c r="F316" s="9" t="inlineStr">
        <is>
          <t>Normal</t>
        </is>
      </c>
      <c r="G316" s="8" t="inlineStr">
        <is>
          <t>SEAT</t>
        </is>
      </c>
      <c r="H316" s="10" t="n"/>
      <c r="I316" s="9" t="n"/>
      <c r="J316" s="9" t="inlineStr">
        <is>
          <t>Yes</t>
        </is>
      </c>
      <c r="K316" s="9" t="n"/>
    </row>
    <row r="317" hidden="1" ht="18" customHeight="1" s="107">
      <c r="A317" s="68" t="n">
        <v>879</v>
      </c>
      <c r="B317" s="63" t="n">
        <v>32825631</v>
      </c>
      <c r="C317" s="7" t="inlineStr">
        <is>
          <t>CAB - NO CALLBACK - LAV A "LAVATORY A" AIR VENTILATION HOOD FOUND BROKEN.</t>
        </is>
      </c>
      <c r="D317" s="8" t="inlineStr">
        <is>
          <t>LAVATORY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CAB</t>
        </is>
      </c>
      <c r="H317" s="10" t="inlineStr">
        <is>
          <t>Requested</t>
        </is>
      </c>
      <c r="I317" s="9" t="n"/>
      <c r="J317" s="9" t="inlineStr">
        <is>
          <t>Yes</t>
        </is>
      </c>
      <c r="K317" s="9" t="inlineStr">
        <is>
          <t>FWD</t>
        </is>
      </c>
    </row>
    <row r="318" hidden="1" ht="18" customHeight="1" s="107">
      <c r="A318" s="68" t="n">
        <v>880</v>
      </c>
      <c r="B318" s="63" t="n">
        <v>32825612</v>
      </c>
      <c r="C318" s="7" t="inlineStr">
        <is>
          <t>FINDING (NRC) TASKCARD 25-SVA-03 (00) / ITEM ONE B/C SEAT# 1A SEAT CLOSEOUT ASSEMBLY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t="18" customHeight="1" s="107">
      <c r="A319" s="68" t="n">
        <v>881</v>
      </c>
      <c r="B319" s="63" t="n">
        <v>32825658</v>
      </c>
      <c r="C319" s="7" t="inlineStr">
        <is>
          <t>FINDING (NRC) TASKCARD 25-SVA-03 (00) / ITEM ONE ALL B/C SEAT LANYARD AND PIN - DETENT  MISSING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t="18" customHeight="1" s="107">
      <c r="A320" s="68" t="n">
        <v>882</v>
      </c>
      <c r="B320" s="63" t="n">
        <v>32825968</v>
      </c>
      <c r="C320" s="7" t="inlineStr">
        <is>
          <t>FINDING (NRC) TASKCARD 2521000103-001 (04) / ITEM-1 ALL B/C SEAT BELT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t="18" customHeight="1" s="107">
      <c r="A321" s="68" t="n">
        <v>883</v>
      </c>
      <c r="B321" s="63" t="n">
        <v>32825978</v>
      </c>
      <c r="C321" s="7" t="inlineStr">
        <is>
          <t>FINDING (NRC) TASKCARD 25-SVA-03 (00) / ITEM ONE ALL B/C SEAT ARMCAP AISLE AND CTR DIRTY</t>
        </is>
      </c>
      <c r="D321" s="8" t="inlineStr">
        <is>
          <t>PAX SEAT</t>
        </is>
      </c>
      <c r="E321" s="9" t="inlineStr">
        <is>
          <t>Open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idden="1" ht="18" customHeight="1" s="107">
      <c r="A322" s="68" t="n">
        <v>884</v>
      </c>
      <c r="B322" s="63" t="n">
        <v>32825996</v>
      </c>
      <c r="C322" s="7" t="inlineStr">
        <is>
          <t>FINDING (NRC) TASKCARD 25-SVA-03 (00) / ITEM ONE ALL B/C SEAT STRUCTURE  DIRTY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t="18" customHeight="1" s="107">
      <c r="A323" s="68" t="n">
        <v>885</v>
      </c>
      <c r="B323" s="63" t="n">
        <v>32826054</v>
      </c>
      <c r="C323" s="7" t="inlineStr">
        <is>
          <t>FINDING (NRC) TASKCARD 25-SVA-03 (00) / ITEM ONE ALL B/C SEAT HEADREST REQUIRED REMOVAL FOR ACCESS</t>
        </is>
      </c>
      <c r="D323" s="8" t="inlineStr">
        <is>
          <t>PAX SEAT</t>
        </is>
      </c>
      <c r="E323" s="9" t="inlineStr">
        <is>
          <t>Open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07">
      <c r="A324" s="68" t="n">
        <v>886</v>
      </c>
      <c r="B324" s="63" t="n">
        <v>32826162</v>
      </c>
      <c r="C324" s="7" t="inlineStr">
        <is>
          <t>FINDING (NRC) TASKCARD 25-SVA-05 (00) / ITEM ONE ALL G/C SEAT MAGAZINE SPRING LOOSE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07">
      <c r="A325" s="68" t="n">
        <v>887</v>
      </c>
      <c r="B325" s="63" t="n">
        <v>32826217</v>
      </c>
      <c r="C325" s="7" t="inlineStr">
        <is>
          <t>FINDING (NRC) TASKCARD 25-SVA-05 (00) / ITEM ONE ALL G/C SEAT STRUCTURE DIRTY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idden="1" ht="18" customHeight="1" s="107">
      <c r="A326" s="68" t="n">
        <v>888</v>
      </c>
      <c r="B326" s="63" t="n">
        <v>32826246</v>
      </c>
      <c r="C326" s="7" t="inlineStr">
        <is>
          <t>FINDING (NRC) TASKCARD 25-SVA-05 (00) / ITEM ONE ALL G/C SEAT ARMREST LOOSE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t="18" customHeight="1" s="107">
      <c r="A327" s="68" t="n">
        <v>908</v>
      </c>
      <c r="B327" s="63" t="n">
        <v>32827664</v>
      </c>
      <c r="C327" s="7" t="inlineStr">
        <is>
          <t>FINDING (NRC) TASKCARD 25-SVA-05 (00) / ITEM ONE G/C SEAT# 30B SIDE PAD CRACK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t="18" customHeight="1" s="107">
      <c r="A328" s="68" t="n">
        <v>909</v>
      </c>
      <c r="B328" s="63" t="n">
        <v>32827686</v>
      </c>
      <c r="C328" s="7" t="inlineStr">
        <is>
          <t>FINDING (NRC) TASKCARD 25-SVA-05 (00) / ITEM ONE ALL G/C SEAT  FOODTRAY DIRTY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t="18" customHeight="1" s="107">
      <c r="A329" s="68" t="n">
        <v>913</v>
      </c>
      <c r="B329" s="63" t="n">
        <v>32827700</v>
      </c>
      <c r="C329" s="7" t="inlineStr">
        <is>
          <t>FINDING (NRC) TASKCARD 25-SVA-05 (00) / ITEM ONE G/C SEAT# 37J BUMPER – ENDBAY  DAMAGE</t>
        </is>
      </c>
      <c r="D329" s="8" t="inlineStr">
        <is>
          <t>PAX SEAT</t>
        </is>
      </c>
      <c r="E329" s="9" t="inlineStr">
        <is>
          <t>Open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idden="1" ht="18" customHeight="1" s="107">
      <c r="A330" s="68" t="n">
        <v>914</v>
      </c>
      <c r="B330" s="63" t="n">
        <v>32827716</v>
      </c>
      <c r="C330" s="7" t="inlineStr">
        <is>
          <t>FINDING (NRC) TASKCARD 2521000103-002 (05) / ITEM-1 ALL G/C SEAT HEADREST REQUIRE REMOVE FOR ACCESS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t="18" customHeight="1" s="107">
      <c r="A331" s="68" t="n">
        <v>915</v>
      </c>
      <c r="B331" s="63" t="n">
        <v>32827826</v>
      </c>
      <c r="C331" s="7" t="inlineStr">
        <is>
          <t>FINDING (NRC) TASKCARD 25-SVA-03 (00) / ITEM ONE B/C SEAT#2JL,3L,5L  LATCH - BACK MISSING</t>
        </is>
      </c>
      <c r="D331" s="8" t="inlineStr">
        <is>
          <t>PAX SEAT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SEAT</t>
        </is>
      </c>
      <c r="H331" s="10" t="n"/>
      <c r="I331" s="9" t="n"/>
      <c r="J331" s="9" t="inlineStr">
        <is>
          <t>Yes</t>
        </is>
      </c>
      <c r="K331" s="9" t="n"/>
    </row>
    <row r="332" ht="18" customHeight="1" s="107">
      <c r="A332" s="68" t="n">
        <v>916</v>
      </c>
      <c r="B332" s="63" t="n">
        <v>32828287</v>
      </c>
      <c r="C332" s="7" t="inlineStr">
        <is>
          <t>FINDING (NRC) TASKCARD DCC-32S (11) / ITEM ONE DURING DCC FOUND LAV A INNER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t="18" customHeight="1" s="107">
      <c r="A333" s="68" t="n">
        <v>917</v>
      </c>
      <c r="B333" s="63" t="n">
        <v>32828299</v>
      </c>
      <c r="C333" s="7" t="inlineStr">
        <is>
          <t>FINDING (NRC) TASKCARD DCC-32S (11) / ITEM ONE DURING DCC FOUND LAV A OUTER DOOR TEDLAR DAMAGED</t>
        </is>
      </c>
      <c r="D333" s="8" t="inlineStr">
        <is>
          <t>TEDLAR/SIDEWALL</t>
        </is>
      </c>
      <c r="E333" s="9" t="inlineStr">
        <is>
          <t>Open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07">
      <c r="A334" s="68" t="n">
        <v>918</v>
      </c>
      <c r="B334" s="63" t="n">
        <v>32828375</v>
      </c>
      <c r="C334" s="7" t="inlineStr">
        <is>
          <t>FINDING (NRC) TASKCARD DCC-32S (11) / ITEM ONE DURING DCC FOUND UPPER SIDE OF COCKPIT DOOR OUTER SIDE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07">
      <c r="A335" s="68" t="n">
        <v>919</v>
      </c>
      <c r="B335" s="63" t="n">
        <v>32828382</v>
      </c>
      <c r="C335" s="7" t="inlineStr">
        <is>
          <t>FINDING (NRC) TASKCARD DCC-32S (11) / ITEM ONE DURING DCC FOUND GALLEY DOOR 210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t="18" customHeight="1" s="107">
      <c r="A336" s="68" t="n">
        <v>920</v>
      </c>
      <c r="B336" s="63" t="n">
        <v>32828383</v>
      </c>
      <c r="C336" s="7" t="inlineStr">
        <is>
          <t>FINDING (NRC) TASKCARD DCC-32S (11) / ITEM ONE DURING DCC FOUND GALLEY DOOR 205 TEDLAR DAMAGED</t>
        </is>
      </c>
      <c r="D336" s="8" t="inlineStr">
        <is>
          <t>TEDLAR/SIDEWALL</t>
        </is>
      </c>
      <c r="E336" s="9" t="inlineStr">
        <is>
          <t>Open</t>
        </is>
      </c>
      <c r="F336" s="9" t="inlineStr">
        <is>
          <t>Normal</t>
        </is>
      </c>
      <c r="G336" s="8" t="inlineStr">
        <is>
          <t>S/W</t>
        </is>
      </c>
      <c r="H336" s="10" t="n"/>
      <c r="I336" s="9" t="n"/>
      <c r="J336" s="9" t="inlineStr">
        <is>
          <t>Yes</t>
        </is>
      </c>
      <c r="K336" s="9" t="n"/>
    </row>
    <row r="337" hidden="1" ht="18" customHeight="1" s="107">
      <c r="A337" s="68" t="n">
        <v>921</v>
      </c>
      <c r="B337" s="63" t="n">
        <v>32828385</v>
      </c>
      <c r="C337" s="7" t="inlineStr">
        <is>
          <t>MACHINE SHOP FWD GALLEY AND AFT GALLEY ALL OVENS FOUND BOLTS FROZEN</t>
        </is>
      </c>
      <c r="D337" s="8" t="inlineStr">
        <is>
          <t>GALLEY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S/M</t>
        </is>
      </c>
      <c r="H337" s="10" t="n"/>
      <c r="I337" s="9" t="n"/>
      <c r="J337" s="9" t="inlineStr">
        <is>
          <t>Yes</t>
        </is>
      </c>
      <c r="K337" s="9" t="inlineStr">
        <is>
          <t>JOINT</t>
        </is>
      </c>
    </row>
    <row r="338" ht="34.5" customHeight="1" s="107">
      <c r="A338" s="68" t="n">
        <v>922</v>
      </c>
      <c r="B338" s="63" t="n">
        <v>32828386</v>
      </c>
      <c r="C338" s="86" t="inlineStr">
        <is>
          <t>FINDING (NRC) TASKCARD DCC-32S (11) / ITEM ONE DURING DCC FOUND SIDE WALL PANEL AT SEATS 4 AC ,5 AC ,39 ABC ,40 ABC ,33 JKL ,38 JKL ,39 JKL TEDLAR DAMAGED</t>
        </is>
      </c>
      <c r="D338" s="8" t="inlineStr">
        <is>
          <t>TEDLAR/SIDEWALL</t>
        </is>
      </c>
      <c r="E338" s="9" t="inlineStr">
        <is>
          <t>Open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inlineStr">
        <is>
          <t>C/W</t>
        </is>
      </c>
      <c r="J338" s="9" t="inlineStr">
        <is>
          <t>Yes</t>
        </is>
      </c>
      <c r="K338" s="9" t="inlineStr">
        <is>
          <t>JOINT</t>
        </is>
      </c>
    </row>
    <row r="339" hidden="1" ht="18" customHeight="1" s="107">
      <c r="A339" s="68" t="n">
        <v>923</v>
      </c>
      <c r="B339" s="63" t="n">
        <v>32828395</v>
      </c>
      <c r="C339" s="7" t="inlineStr">
        <is>
          <t>FINDING (NRC) TASKCARD DCC-32S (11) / ITEM ONE DURING DCC FOUND FWD OUTER WALL OF LAV D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t="18" customHeight="1" s="107">
      <c r="A340" s="68" t="n">
        <v>924</v>
      </c>
      <c r="B340" s="63" t="n">
        <v>32828415</v>
      </c>
      <c r="C340" s="7" t="inlineStr">
        <is>
          <t>FINDING (NRC) TASKCARD DCC-32S (11) / ITEM ONE DURING DCC FOUND AFT WALL OF LAV D BESIDE F/A SEAT TEDLAR DAMAGED</t>
        </is>
      </c>
      <c r="D340" s="8" t="inlineStr">
        <is>
          <t>TEDLAR/SIDEWALL</t>
        </is>
      </c>
      <c r="E340" s="9" t="inlineStr">
        <is>
          <t>Open</t>
        </is>
      </c>
      <c r="F340" s="9" t="inlineStr">
        <is>
          <t>Normal</t>
        </is>
      </c>
      <c r="G340" s="8" t="inlineStr">
        <is>
          <t>S/W</t>
        </is>
      </c>
      <c r="H340" s="10" t="n"/>
      <c r="I340" s="9" t="n"/>
      <c r="J340" s="9" t="inlineStr">
        <is>
          <t>Yes</t>
        </is>
      </c>
      <c r="K340" s="9" t="n"/>
    </row>
    <row r="341" hidden="1" ht="18" customHeight="1" s="107">
      <c r="A341" s="68" t="n">
        <v>925</v>
      </c>
      <c r="B341" s="63" t="n">
        <v>32829036</v>
      </c>
      <c r="C341" s="7" t="inlineStr">
        <is>
          <t>CAB - NO CALL BACK - AFT GALLEY AIR CHILLET AFT GALLEY AIR CHILLER FILTER MISSING</t>
        </is>
      </c>
      <c r="D341" s="8" t="inlineStr">
        <is>
          <t>GALLEY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inlineStr">
        <is>
          <t>Requested</t>
        </is>
      </c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07">
      <c r="A342" s="68" t="n">
        <v>929</v>
      </c>
      <c r="B342" s="63" t="n">
        <v>32830299</v>
      </c>
      <c r="C342" s="7" t="inlineStr">
        <is>
          <t>L2 DOOR SILL PANEL REQ REMOVAL FOR ACCESS</t>
        </is>
      </c>
      <c r="D342" s="8" t="inlineStr">
        <is>
          <t>PAX DOORS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AFT</t>
        </is>
      </c>
    </row>
    <row r="343" hidden="1" ht="18" customHeight="1" s="107">
      <c r="A343" s="68" t="n">
        <v>931</v>
      </c>
      <c r="B343" s="63" t="n">
        <v>32830452</v>
      </c>
      <c r="C343" s="7" t="inlineStr">
        <is>
          <t>CAB - NO CALL BACK - SIDEWALL MISSING SPLINE AT 5 AC</t>
        </is>
      </c>
      <c r="D343" s="8" t="inlineStr">
        <is>
          <t>TEDLAR/SIDEWALL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CAB</t>
        </is>
      </c>
      <c r="H343" s="10" t="n"/>
      <c r="I343" s="9" t="n"/>
      <c r="J343" s="9" t="inlineStr">
        <is>
          <t>Yes</t>
        </is>
      </c>
      <c r="K343" s="9" t="inlineStr">
        <is>
          <t>FWD</t>
        </is>
      </c>
    </row>
    <row r="344" hidden="1" ht="18" customHeight="1" s="107">
      <c r="A344" s="68" t="n">
        <v>932</v>
      </c>
      <c r="B344" s="63" t="n">
        <v>32830902</v>
      </c>
      <c r="C344" s="7" t="inlineStr">
        <is>
          <t>FINDING (NRC) TASKCARD 25-SVA-05 (00) / ITEM ONE G/C SEAT#37B,C,K 38A VIDEO BEZEL ASSEMBLY CRACK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t="18" customHeight="1" s="107">
      <c r="A345" s="68" t="n">
        <v>933</v>
      </c>
      <c r="B345" s="63" t="n">
        <v>32831610</v>
      </c>
      <c r="C345" s="7" t="inlineStr">
        <is>
          <t>FINDING (NRC) TASKCARD 25-SVA-03 (00) / ITEM ONE B/C SEAT# 2AC, 3J AND 4L SHROUD - CONSOLE SIDE DAMAGED.</t>
        </is>
      </c>
      <c r="D345" s="8" t="inlineStr">
        <is>
          <t>PAX SEAT</t>
        </is>
      </c>
      <c r="E345" s="9" t="inlineStr">
        <is>
          <t>Open</t>
        </is>
      </c>
      <c r="F345" s="9" t="inlineStr">
        <is>
          <t>Normal</t>
        </is>
      </c>
      <c r="G345" s="8" t="inlineStr">
        <is>
          <t>SEAT</t>
        </is>
      </c>
      <c r="H345" s="10" t="n"/>
      <c r="I345" s="9" t="n"/>
      <c r="J345" s="9" t="inlineStr">
        <is>
          <t>Yes</t>
        </is>
      </c>
      <c r="K345" s="9" t="n"/>
    </row>
    <row r="346" ht="18" customHeight="1" s="107">
      <c r="A346" s="68" t="n">
        <v>938</v>
      </c>
      <c r="B346" s="63" t="n">
        <v>32832622</v>
      </c>
      <c r="C346" s="7" t="inlineStr">
        <is>
          <t>CKPT,,,,,PNT,,,,NO CALL BACK DURING INSP OF INTERNAL STRUCTURE OF THESE SLIDING WINDOW FOUND CAPTIN &amp; F/O INNER FRAME PNT PEELED OFF</t>
        </is>
      </c>
      <c r="D346" s="8" t="inlineStr">
        <is>
          <t>FLIGHT DECK</t>
        </is>
      </c>
      <c r="E346" s="9" t="inlineStr">
        <is>
          <t>Open</t>
        </is>
      </c>
      <c r="F346" s="9" t="inlineStr">
        <is>
          <t>Normal</t>
        </is>
      </c>
      <c r="G346" s="8" t="inlineStr">
        <is>
          <t>PAINT</t>
        </is>
      </c>
      <c r="H346" s="10" t="n"/>
      <c r="I346" s="9" t="n"/>
      <c r="J346" s="9" t="inlineStr">
        <is>
          <t>Yes</t>
        </is>
      </c>
      <c r="K346" s="9" t="n"/>
    </row>
    <row r="347" hidden="1" ht="18" customHeight="1" s="107">
      <c r="A347" s="68" t="n">
        <v>941</v>
      </c>
      <c r="B347" s="63" t="n">
        <v>32835180</v>
      </c>
      <c r="C347" s="7" t="inlineStr">
        <is>
          <t>R1 DOOR DAMPER GUIDE WITH CRACK</t>
        </is>
      </c>
      <c r="D347" s="8" t="inlineStr">
        <is>
          <t>PAX DOORS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inlineStr">
        <is>
          <t>Requested - R</t>
        </is>
      </c>
      <c r="I347" s="9" t="n"/>
      <c r="J347" s="9" t="inlineStr">
        <is>
          <t>Yes</t>
        </is>
      </c>
      <c r="K347" s="9" t="n"/>
    </row>
    <row r="348" ht="18" customHeight="1" s="107">
      <c r="A348" s="68" t="n">
        <v>947</v>
      </c>
      <c r="B348" s="63" t="n">
        <v>32836864</v>
      </c>
      <c r="C348" s="7" t="inlineStr">
        <is>
          <t>CAB - RII - L1 F/A SEAT L1 INBOARD AND OUTBOARD F/A SEAT REQUIRE REMOVAL FOR ACCESS.</t>
        </is>
      </c>
      <c r="D348" s="8" t="inlineStr">
        <is>
          <t>F/A SEAT</t>
        </is>
      </c>
      <c r="E348" s="9" t="inlineStr">
        <is>
          <t>Open</t>
        </is>
      </c>
      <c r="F348" s="9" t="inlineStr">
        <is>
          <t>Normal</t>
        </is>
      </c>
      <c r="G348" s="8" t="inlineStr">
        <is>
          <t>CAB</t>
        </is>
      </c>
      <c r="H348" s="10" t="n"/>
      <c r="I348" s="9" t="n"/>
      <c r="J348" s="9" t="inlineStr">
        <is>
          <t>Yes</t>
        </is>
      </c>
      <c r="K348" s="9" t="n"/>
    </row>
    <row r="349" hidden="1" ht="18" customHeight="1" s="107">
      <c r="A349" s="68" t="n">
        <v>954</v>
      </c>
      <c r="B349" s="63" t="n">
        <v>32849864</v>
      </c>
      <c r="C349" s="7" t="inlineStr">
        <is>
          <t>CAB - NO CALLBACK - AFT GALLEY AFT GALLEY COMPARTMENT 520 MID LATCH LEVER LOOSE.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07">
      <c r="A350" s="68" t="n">
        <v>955</v>
      </c>
      <c r="B350" s="63" t="n">
        <v>32849891</v>
      </c>
      <c r="C350" s="7" t="inlineStr">
        <is>
          <t>CAB - NO CALLBACK - AFT GALLEY AFT GALLEY 7 EA SMALL CART TURN CATCHES AND 7 EA LONG CART CATCHES PAINT FADED.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07">
      <c r="A351" s="68" t="n">
        <v>956</v>
      </c>
      <c r="B351" s="63" t="n">
        <v>32849898</v>
      </c>
      <c r="C351" s="7" t="inlineStr">
        <is>
          <t>CAB - NO CALLBACK - FWD GALLEY G2 GALLEY CART COMPT. 213 T-DIVIDER BUMPER DETACHED.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07">
      <c r="A352" s="68" t="n">
        <v>957</v>
      </c>
      <c r="B352" s="63" t="n">
        <v>32849904</v>
      </c>
      <c r="C352" s="7" t="inlineStr">
        <is>
          <t>CAB - NO CALLBACK - FWD GALLEY G2 GALLEY COMPT. 204 TURN CATCHES PAINT FADED.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07">
      <c r="A353" s="68" t="n">
        <v>958</v>
      </c>
      <c r="B353" s="63" t="n">
        <v>32849910</v>
      </c>
      <c r="C353" s="7" t="inlineStr">
        <is>
          <t>CAB - NO CALLBACK - FWD GALLEY G1 GALLEY 3 EA MID LATCH LEVER LOOSE.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07">
      <c r="A354" s="68" t="n">
        <v>959</v>
      </c>
      <c r="B354" s="63" t="n">
        <v>32849919</v>
      </c>
      <c r="C354" s="7" t="inlineStr">
        <is>
          <t>CAB - NO CALLBACK - FWD GALLEY G1 GALLEY CART COMPT. 111 T-DIVIDER BUMPER DAMAGED.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07">
      <c r="A355" s="68" t="n">
        <v>960</v>
      </c>
      <c r="B355" s="63" t="n">
        <v>32849934</v>
      </c>
      <c r="C355" s="7" t="inlineStr">
        <is>
          <t>CAB - NO CALLBACK - FWD GALLEY G1 GALLEY CART COMPT. 110 UPPER LH AIR FLAP SEAL TORN.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07">
      <c r="A356" s="68" t="n">
        <v>961</v>
      </c>
      <c r="B356" s="63" t="n">
        <v>32849935</v>
      </c>
      <c r="C356" s="7" t="inlineStr">
        <is>
          <t>CAB - NO CALLBACK - FWD GALLEY G1 GALLEY 4 EA SHORT CART CATCHES AND 1 EA LONG CART CATCH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n"/>
      <c r="J356" s="9" t="inlineStr">
        <is>
          <t>Yes</t>
        </is>
      </c>
      <c r="K356" s="9" t="n"/>
    </row>
    <row r="357" hidden="1" ht="18" customHeight="1" s="107">
      <c r="A357" s="68" t="n">
        <v>962</v>
      </c>
      <c r="B357" s="63" t="n">
        <v>32849936</v>
      </c>
      <c r="C357" s="7" t="inlineStr">
        <is>
          <t>CAB - NO CALLBACK - FWD GALLEY G2 GALLEY ALL CART TURN CATCHES PAINT FADED.</t>
        </is>
      </c>
      <c r="D357" s="8" t="inlineStr">
        <is>
          <t>GALLEY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inlineStr">
        <is>
          <t>AFTER S/M REPAIR</t>
        </is>
      </c>
      <c r="J357" s="9" t="inlineStr">
        <is>
          <t>Yes</t>
        </is>
      </c>
      <c r="K357" s="9" t="n"/>
    </row>
    <row r="358" hidden="1" ht="18" customHeight="1" s="107">
      <c r="A358" s="68" t="n">
        <v>963</v>
      </c>
      <c r="B358" s="63" t="n">
        <v>32849940</v>
      </c>
      <c r="C358" s="7" t="inlineStr">
        <is>
          <t>CAB - NO CALLBACK - STOWAGE C201 STOWAGE C201 INNER DOOR SURFACE WITH PEN MARKS.</t>
        </is>
      </c>
      <c r="D358" s="8" t="inlineStr">
        <is>
          <t>GENERAL CABIN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CAB</t>
        </is>
      </c>
      <c r="H358" s="10" t="inlineStr">
        <is>
          <t>Requested</t>
        </is>
      </c>
      <c r="I358" s="9" t="n"/>
      <c r="J358" s="9" t="inlineStr">
        <is>
          <t>Yes</t>
        </is>
      </c>
      <c r="K358" s="9" t="n"/>
    </row>
    <row r="359" ht="18" customHeight="1" s="107">
      <c r="A359" s="68" t="n">
        <v>964</v>
      </c>
      <c r="B359" s="63" t="n">
        <v>32849947</v>
      </c>
      <c r="C359" s="7" t="inlineStr">
        <is>
          <t>PAINT - NO CALLBACK - LAV E LAVATORY "E" WASHBASIN PANELS WITH CHIPPED PAINT.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Normal</t>
        </is>
      </c>
      <c r="G359" s="8" t="inlineStr">
        <is>
          <t>PAINT</t>
        </is>
      </c>
      <c r="H359" s="10" t="n"/>
      <c r="I359" s="9" t="n"/>
      <c r="J359" s="9" t="inlineStr">
        <is>
          <t>Yes</t>
        </is>
      </c>
      <c r="K359" s="9" t="n"/>
    </row>
    <row r="360" ht="18" customHeight="1" s="107">
      <c r="A360" s="68" t="n">
        <v>965</v>
      </c>
      <c r="B360" s="63" t="n">
        <v>32849950</v>
      </c>
      <c r="C360" s="7" t="inlineStr">
        <is>
          <t>CAB - NO CALLBACK - LAV D LAVATORY "D" MIRROR LOWER SIDE FADED.</t>
        </is>
      </c>
      <c r="D360" s="8" t="inlineStr">
        <is>
          <t>LAVATORY</t>
        </is>
      </c>
      <c r="E360" s="9" t="inlineStr">
        <is>
          <t>Open</t>
        </is>
      </c>
      <c r="F360" s="9" t="inlineStr">
        <is>
          <t>AOG</t>
        </is>
      </c>
      <c r="G360" s="8" t="inlineStr">
        <is>
          <t>CAB</t>
        </is>
      </c>
      <c r="H360" s="10" t="inlineStr">
        <is>
          <t>Requested</t>
        </is>
      </c>
      <c r="I360" s="9" t="inlineStr">
        <is>
          <t>P/S: 4477955</t>
        </is>
      </c>
      <c r="J360" s="9" t="inlineStr">
        <is>
          <t>Yes</t>
        </is>
      </c>
      <c r="K360" s="9" t="n"/>
    </row>
    <row r="361" hidden="1" ht="18" customHeight="1" s="107">
      <c r="A361" s="68" t="n">
        <v>967</v>
      </c>
      <c r="B361" s="63" t="n">
        <v>32849953</v>
      </c>
      <c r="C361" s="7" t="inlineStr">
        <is>
          <t>CAB - NO CALLBACK - FLIGHT DECK CAPTAIN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07">
      <c r="A362" s="68" t="n">
        <v>968</v>
      </c>
      <c r="B362" s="63" t="n">
        <v>32849961</v>
      </c>
      <c r="C362" s="7" t="inlineStr">
        <is>
          <t>CAB - NO CALLBACK - FLIGHT DECK F/O PEDAL RUBBER MAT DETACHED AND DIRTY.</t>
        </is>
      </c>
      <c r="D362" s="8" t="inlineStr">
        <is>
          <t>FLIGHT DECK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07">
      <c r="A363" s="68" t="n">
        <v>971</v>
      </c>
      <c r="B363" s="63" t="n">
        <v>32850062</v>
      </c>
      <c r="C363" s="7" t="inlineStr">
        <is>
          <t>CAB - RII - LAV A LAVATORY "A" WASTE FLAP FOUND WITH FAST RETRACTING.</t>
        </is>
      </c>
      <c r="D363" s="8" t="inlineStr">
        <is>
          <t>LAVATORY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inlineStr">
        <is>
          <t>Requested</t>
        </is>
      </c>
      <c r="I363" s="9" t="n"/>
      <c r="J363" s="9" t="inlineStr">
        <is>
          <t>Yes</t>
        </is>
      </c>
      <c r="K363" s="9" t="n"/>
    </row>
    <row r="364" hidden="1" ht="18" customHeight="1" s="107">
      <c r="A364" s="68" t="n">
        <v>972</v>
      </c>
      <c r="B364" s="63" t="n">
        <v>32850080</v>
      </c>
      <c r="C364" s="7" t="inlineStr">
        <is>
          <t>CAB - NO CALLBACK - FLIGHT DECK CAPTAIN SLIDING TABLE WITH MISSING PAPER CLIP.</t>
        </is>
      </c>
      <c r="D364" s="8" t="inlineStr">
        <is>
          <t>FLIGHT DECK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n"/>
      <c r="I364" s="9" t="n"/>
      <c r="J364" s="9" t="inlineStr">
        <is>
          <t>Yes</t>
        </is>
      </c>
      <c r="K364" s="9" t="n"/>
    </row>
    <row r="365" hidden="1" ht="18" customHeight="1" s="107">
      <c r="A365" s="68" t="n">
        <v>973</v>
      </c>
      <c r="B365" s="63" t="n">
        <v>32850114</v>
      </c>
      <c r="C365" s="7" t="inlineStr">
        <is>
          <t>CAB - NO CALLBACK - STOWAGE S3 STOWAGE S3 THRESHOLD WARNING TAPE FADED.</t>
        </is>
      </c>
      <c r="D365" s="8" t="inlineStr">
        <is>
          <t>GENERAL CABIN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CAB</t>
        </is>
      </c>
      <c r="H365" s="10" t="inlineStr">
        <is>
          <t>Requested</t>
        </is>
      </c>
      <c r="I365" s="9" t="n"/>
      <c r="J365" s="9" t="inlineStr">
        <is>
          <t>Yes</t>
        </is>
      </c>
      <c r="K365" s="9" t="n"/>
    </row>
    <row r="366" hidden="1" ht="18" customHeight="1" s="107">
      <c r="A366" s="68" t="n">
        <v>978</v>
      </c>
      <c r="B366" s="63" t="n">
        <v>32850652</v>
      </c>
      <c r="C366" s="7" t="inlineStr">
        <is>
          <t>PNT - NO CALLBACK - FWD GALLEY G1 GALLEY SLIDING TABLE WITH CHIPPED PAINT.</t>
        </is>
      </c>
      <c r="D366" s="8" t="inlineStr">
        <is>
          <t>GALLEY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PAINT</t>
        </is>
      </c>
      <c r="H366" s="10" t="n"/>
      <c r="I366" s="9" t="n"/>
      <c r="J366" s="9" t="inlineStr">
        <is>
          <t>Yes</t>
        </is>
      </c>
      <c r="K366" s="9" t="n"/>
    </row>
    <row r="367" ht="18" customHeight="1" s="107">
      <c r="A367" s="68" t="n">
        <v>980</v>
      </c>
      <c r="B367" s="63" t="n">
        <v>32853382</v>
      </c>
      <c r="C367" s="7" t="inlineStr">
        <is>
          <t>FINDING (NRC) DOCUMENT EOD-320-46-00005-R00 CEILING PNL  BET FR-24- TO FR-26 LH  REQ REMOVAL FOR ACCESS</t>
        </is>
      </c>
      <c r="D367" s="8" t="inlineStr">
        <is>
          <t>GENERAL CABIN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n"/>
      <c r="I367" s="9" t="n"/>
      <c r="J367" s="9" t="n"/>
      <c r="K367" s="9" t="n"/>
    </row>
    <row r="368" ht="36" customHeight="1" s="107">
      <c r="A368" s="68" t="inlineStr">
        <is>
          <t>981</t>
        </is>
      </c>
      <c r="B368" s="63" t="n">
        <v>32854724</v>
      </c>
      <c r="C368" s="86" t="inlineStr">
        <is>
          <t>COCKPIT CEILING PANEL- CAB - RII REMOVAL OF COCKPIT CEILING PNL/S 211AC, 212AC, 211BC, 212BC, 211DC, 212DC, 211EC, 212EC, 211FC  212FC ,211LC,212LC,211MW, AND 211LW FOR ACCESS</t>
        </is>
      </c>
      <c r="D368" s="8" t="inlineStr">
        <is>
          <t>FLIGHT DECK</t>
        </is>
      </c>
      <c r="E368" s="9" t="inlineStr">
        <is>
          <t>Open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N/R</t>
        </is>
      </c>
      <c r="I368" s="9" t="n"/>
      <c r="J368" s="9" t="inlineStr">
        <is>
          <t>Yes</t>
        </is>
      </c>
      <c r="K368" s="9" t="n"/>
    </row>
    <row r="369" hidden="1" ht="18" customHeight="1" s="107">
      <c r="A369" s="68" t="n">
        <v>993</v>
      </c>
      <c r="B369" s="63" t="n">
        <v>32867377</v>
      </c>
      <c r="C369" s="86" t="inlineStr">
        <is>
          <t>CAB - RII - R2 F/A SEAT R2 F/A SEAT BELT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t="18" customHeight="1" s="107">
      <c r="A370" s="68" t="n">
        <v>994</v>
      </c>
      <c r="B370" s="63" t="n">
        <v>32867426</v>
      </c>
      <c r="C370" s="86" t="inlineStr">
        <is>
          <t>CAB - RII - L1 F/A SEAT L1 INBOARD AND OUTBOARD F/A SEAT BELTS FRAYED.</t>
        </is>
      </c>
      <c r="D370" s="8" t="inlineStr">
        <is>
          <t>F/A SEAT</t>
        </is>
      </c>
      <c r="E370" s="9" t="inlineStr">
        <is>
          <t>Closed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n"/>
      <c r="J370" s="9" t="inlineStr">
        <is>
          <t>Yes</t>
        </is>
      </c>
      <c r="K370" s="9" t="n"/>
    </row>
    <row r="371" ht="18" customHeight="1" s="107">
      <c r="A371" s="68" t="n">
        <v>995</v>
      </c>
      <c r="B371" s="63" t="inlineStr">
        <is>
          <t>352142-01-1</t>
        </is>
      </c>
      <c r="C371" s="86" t="inlineStr">
        <is>
          <t>352142-01-1 (7) / DISCARD CHEMICAL OXYGEN GENERATORS</t>
        </is>
      </c>
      <c r="D371" s="8" t="inlineStr">
        <is>
          <t>GENERAL CABIN</t>
        </is>
      </c>
      <c r="E371" s="9" t="inlineStr">
        <is>
          <t>Open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inlineStr">
        <is>
          <t>LATER</t>
        </is>
      </c>
      <c r="J371" s="9" t="inlineStr">
        <is>
          <t>Yes</t>
        </is>
      </c>
      <c r="K371" s="9" t="n"/>
    </row>
    <row r="372" hidden="1" ht="18" customHeight="1" s="107">
      <c r="A372" s="68" t="n">
        <v>996</v>
      </c>
      <c r="B372" s="63" t="n">
        <v>32867568</v>
      </c>
      <c r="C372" s="86" t="inlineStr">
        <is>
          <t>CAB - RII - L2 F/A SEAT L2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idden="1" ht="18" customHeight="1" s="107">
      <c r="A373" s="68" t="n">
        <v>997</v>
      </c>
      <c r="B373" s="63" t="n">
        <v>32867643</v>
      </c>
      <c r="C373" s="86" t="inlineStr">
        <is>
          <t>CAB - RII - SWIVEL F/A SEAT SWIVEL F/A SEAT BELT FRAYED.</t>
        </is>
      </c>
      <c r="D373" s="8" t="inlineStr">
        <is>
          <t>F/A SEAT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</t>
        </is>
      </c>
      <c r="I373" s="9" t="n"/>
      <c r="J373" s="9" t="inlineStr">
        <is>
          <t>Yes</t>
        </is>
      </c>
      <c r="K373" s="9" t="n"/>
    </row>
    <row r="374" ht="18" customHeight="1" s="107">
      <c r="A374" s="68" t="n">
        <v>998</v>
      </c>
      <c r="B374" s="63" t="n">
        <v>32867427</v>
      </c>
      <c r="C374" s="86" t="inlineStr">
        <is>
          <t>CAB - RII - CAPTAIN SEAT BELT CAPTAIN SEAT BELT L/H SHOULDER HARNESS FRAYED AND LAP BELT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C/W</t>
        </is>
      </c>
      <c r="J374" s="9" t="inlineStr">
        <is>
          <t>Yes</t>
        </is>
      </c>
      <c r="K374" s="9" t="n"/>
    </row>
    <row r="375" ht="18" customHeight="1" s="107">
      <c r="A375" s="68" t="n">
        <v>999</v>
      </c>
      <c r="B375" s="63" t="n">
        <v>32867877</v>
      </c>
      <c r="C375" s="86" t="inlineStr">
        <is>
          <t>CAB - RII - FIRST OFFICER SEAT BELT F/O SEAT BELT SHOULDER HARNESS WEAK RETRACTION AND LAP BELTS DETERIORATED</t>
        </is>
      </c>
      <c r="D375" s="8" t="inlineStr">
        <is>
          <t>FLIGHT DECK</t>
        </is>
      </c>
      <c r="E375" s="9" t="inlineStr">
        <is>
          <t>Open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 - R</t>
        </is>
      </c>
      <c r="I375" s="9" t="inlineStr">
        <is>
          <t>C/W</t>
        </is>
      </c>
      <c r="J375" s="9" t="inlineStr">
        <is>
          <t>Yes</t>
        </is>
      </c>
      <c r="K375" s="9" t="n"/>
    </row>
    <row r="376" ht="18" customHeight="1" s="107">
      <c r="A376" s="68" t="n">
        <v>1000</v>
      </c>
      <c r="B376" s="63" t="n">
        <v>32867879</v>
      </c>
      <c r="C376" s="86" t="inlineStr">
        <is>
          <t>CAB - RII - 3D OBSERVER SEAT BELT 3RD OBSERVER SEAT BELT DETERIORATED</t>
        </is>
      </c>
      <c r="D376" s="8" t="inlineStr">
        <is>
          <t>FLIGHT DECK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CAB</t>
        </is>
      </c>
      <c r="H376" s="10" t="inlineStr">
        <is>
          <t>Requested</t>
        </is>
      </c>
      <c r="I376" s="9" t="n"/>
      <c r="J376" s="9" t="inlineStr">
        <is>
          <t>Yes</t>
        </is>
      </c>
      <c r="K376" s="9" t="n"/>
    </row>
    <row r="377" ht="18" customHeight="1" s="107">
      <c r="A377" s="68" t="n">
        <v>1010</v>
      </c>
      <c r="B377" s="63" t="n">
        <v>32888552</v>
      </c>
      <c r="C377" s="86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Open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07">
      <c r="A378" s="68" t="n">
        <v>1011</v>
      </c>
      <c r="B378" s="63" t="n">
        <v>32890903</v>
      </c>
      <c r="C378" s="86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07">
      <c r="A379" s="68" t="n">
        <v>1012</v>
      </c>
      <c r="B379" s="63" t="n">
        <v>32898948</v>
      </c>
      <c r="C379" s="101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07">
      <c r="A380" s="68" t="inlineStr">
        <is>
          <t>1013</t>
        </is>
      </c>
      <c r="B380" s="63" t="inlineStr">
        <is>
          <t>32898937</t>
        </is>
      </c>
      <c r="C380" s="101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t="18" customHeight="1" s="107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Open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n"/>
      <c r="K381" s="9" t="n"/>
    </row>
    <row r="382" ht="18" customHeight="1" s="107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Open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n"/>
      <c r="J382" s="9" t="n"/>
      <c r="K382" s="9" t="n"/>
    </row>
    <row r="383" ht="18" customHeight="1" s="107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Open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n"/>
      <c r="J383" s="9" t="n"/>
      <c r="K383" s="9" t="n"/>
    </row>
    <row r="384" ht="18" customHeight="1" s="107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07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07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07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07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07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07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07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07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07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07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07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07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07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07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07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07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07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07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07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07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07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07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07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07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07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07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07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07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07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07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07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07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07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07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07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07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07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07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07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07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07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07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07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07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07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07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07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07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07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07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07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07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07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07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07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07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07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07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07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07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07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07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07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07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07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07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07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07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07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07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07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07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07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07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07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07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07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07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07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07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07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07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07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07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07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07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07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07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07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07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07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07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07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07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07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07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07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07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07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07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07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07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07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07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07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07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07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07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07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07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07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07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07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07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07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07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07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07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07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t="18" customHeight="1" s="107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t="18" customHeight="1" s="107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07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07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07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07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07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07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07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07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07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07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07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07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07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07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07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07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07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07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07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07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07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07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07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07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07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07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07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07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07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07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07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07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07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07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07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07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07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07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07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07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07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07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07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07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07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07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07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07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07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07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07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07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07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07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07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07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07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07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07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07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07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07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07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07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07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07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07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07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07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07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07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07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07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07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07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07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07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07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07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07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07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07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07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07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07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07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07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07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07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07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07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07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07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07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07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07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07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07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07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07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07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07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07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07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07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07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07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07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07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07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07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07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07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07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07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07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07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07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07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07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07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07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07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07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07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07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07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07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07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07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07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07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07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07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07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07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07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07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07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07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07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07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07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07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07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07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07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07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07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07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07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07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07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07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07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07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07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07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07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07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t="18" customHeight="1" s="107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t="18" customHeight="1" s="107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t="18" customHeight="1" s="107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t="18" customHeight="1" s="107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07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07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07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07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07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t="18" customHeight="1" s="107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t="18" customHeight="1" s="107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07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07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07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07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07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t="18" customHeight="1" s="107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t="18" customHeight="1" s="107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07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07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07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07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t="18" customHeight="1" s="107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t="18" customHeight="1" s="107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07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07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07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07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07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07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07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07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07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07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07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07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07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07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07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07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07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07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07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07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07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07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07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07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07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07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07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07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07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07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07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07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07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07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07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07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07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07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07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07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07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07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07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07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07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07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07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07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07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07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07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07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07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07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07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07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07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07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07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07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07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07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07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07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07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07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07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07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07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07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07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07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07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07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07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07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07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07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07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07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07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07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07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07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07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07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07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07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07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07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07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07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07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07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07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07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07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07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07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07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07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07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07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07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07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07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07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07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07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07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07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07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07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07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07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07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07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07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07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07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07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07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07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07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07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07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07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07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07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07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07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07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07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07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07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07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07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07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07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07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07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07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07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07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07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07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07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07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07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07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07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07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07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07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07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07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07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07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07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07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07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07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07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07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07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07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07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07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07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07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07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07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07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07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07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07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07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07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07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07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07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07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07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07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07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07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07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07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07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07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07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07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07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07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07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07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07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07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07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07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07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07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07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07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07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07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07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07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07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07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07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07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07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07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07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07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07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07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07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07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07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07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07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07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07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07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07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07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07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07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07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07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07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07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07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07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07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07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07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07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07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07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07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07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07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07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07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07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07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07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07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07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07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07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07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07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07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07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07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07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07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07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07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07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07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07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07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07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07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07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07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07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07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07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07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07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07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07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07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07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07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07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07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07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07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07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07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07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07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07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07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07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07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07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07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07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07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07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07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07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07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07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07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07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07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07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07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07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07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07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07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07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8" customHeight="1" s="107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t="18" customHeight="1" s="107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t="15.75" customHeight="1" s="107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A1004">
    <cfRule type="expression" priority="5" dxfId="65">
      <formula>$F4="AOG"</formula>
    </cfRule>
    <cfRule type="expression" priority="114" dxfId="68">
      <formula>$F4="Critical"</formula>
    </cfRule>
  </conditionalFormatting>
  <conditionalFormatting sqref="B4:B1004">
    <cfRule type="expression" priority="9" dxfId="65">
      <formula>$F4="AOG"</formula>
    </cfRule>
    <cfRule type="expression" priority="115" dxfId="68">
      <formula>$F4="Critical"</formula>
    </cfRule>
  </conditionalFormatting>
  <conditionalFormatting sqref="C4:C1004">
    <cfRule type="expression" priority="116" dxfId="68">
      <formula>$F4="Critical"</formula>
    </cfRule>
  </conditionalFormatting>
  <conditionalFormatting sqref="C253:C347">
    <cfRule type="expression" priority="11" dxfId="65">
      <formula>$F253="AOG"</formula>
    </cfRule>
  </conditionalFormatting>
  <conditionalFormatting sqref="D4:D1004">
    <cfRule type="cellIs" priority="43" operator="equal" dxfId="24">
      <formula>"GENERAL CABIN"</formula>
    </cfRule>
    <cfRule type="cellIs" priority="44" operator="equal" dxfId="23">
      <formula>"GALLEY"</formula>
    </cfRule>
    <cfRule type="cellIs" priority="45" operator="equal" dxfId="22">
      <formula>"LAVATORY"</formula>
    </cfRule>
    <cfRule type="cellIs" priority="46" operator="equal" dxfId="21">
      <formula>"PAX DOORS"</formula>
    </cfRule>
    <cfRule type="cellIs" priority="47" operator="equal" dxfId="20">
      <formula>"F/A SEAT"</formula>
    </cfRule>
    <cfRule type="cellIs" priority="48" operator="equal" dxfId="19">
      <formula>"PAX SEAT"</formula>
    </cfRule>
    <cfRule type="cellIs" priority="49" operator="equal" dxfId="18">
      <formula>"FLIGHT DECK"</formula>
    </cfRule>
    <cfRule type="cellIs" priority="50" operator="equal" dxfId="17">
      <formula>"OFAR/OFCR"</formula>
    </cfRule>
    <cfRule type="cellIs" priority="51" operator="equal" dxfId="16">
      <formula>"TEDLAR/SIDEWALL"</formula>
    </cfRule>
    <cfRule type="cellIs" priority="52" operator="equal" dxfId="15">
      <formula>"PAINT"</formula>
    </cfRule>
    <cfRule type="cellIs" priority="53" operator="equal" dxfId="72">
      <formula>"TASK CARD"</formula>
    </cfRule>
  </conditionalFormatting>
  <conditionalFormatting sqref="E4:E1004">
    <cfRule type="cellIs" priority="55" operator="equal" dxfId="71">
      <formula>"Open"</formula>
    </cfRule>
    <cfRule type="cellIs" priority="56" operator="equal" dxfId="70">
      <formula>"In Progress"</formula>
    </cfRule>
    <cfRule type="cellIs" priority="59" operator="equal" dxfId="69">
      <formula>"N/A"</formula>
    </cfRule>
    <cfRule type="expression" priority="117" dxfId="68">
      <formula>$F4="Critical"</formula>
    </cfRule>
    <cfRule type="cellIs" priority="117" operator="equal" dxfId="67">
      <formula>"Closed"</formula>
    </cfRule>
    <cfRule type="cellIs" priority="117" operator="equal" dxfId="66">
      <formula>"Deferred"</formula>
    </cfRule>
    <cfRule type="expression" priority="117" dxfId="65">
      <formula>$F4="AOG"</formula>
    </cfRule>
    <cfRule type="cellIs" priority="117" operator="equal" dxfId="64">
      <formula>"On Hold"</formula>
    </cfRule>
  </conditionalFormatting>
  <conditionalFormatting sqref="F4:F1004">
    <cfRule type="cellIs" priority="60" operator="equal" dxfId="63">
      <formula>"AOG"</formula>
    </cfRule>
    <cfRule type="cellIs" priority="61" operator="equal" dxfId="62">
      <formula>"Critical"</formula>
    </cfRule>
    <cfRule type="cellIs" priority="62" operator="equal" dxfId="61">
      <formula>"High"</formula>
    </cfRule>
    <cfRule type="cellIs" priority="63" operator="equal" dxfId="60">
      <formula>"Normal"</formula>
    </cfRule>
    <cfRule type="cellIs" priority="64" operator="equal" dxfId="59">
      <formula>"Low"</formula>
    </cfRule>
  </conditionalFormatting>
  <conditionalFormatting sqref="G4:G1004">
    <cfRule type="cellIs" priority="103" operator="equal" dxfId="58">
      <formula>"CAB"</formula>
    </cfRule>
    <cfRule type="cellIs" priority="104" operator="equal" dxfId="57">
      <formula>"SEAT"</formula>
    </cfRule>
    <cfRule type="cellIs" priority="105" operator="equal" dxfId="56">
      <formula>"AV"</formula>
    </cfRule>
    <cfRule type="cellIs" priority="106" operator="equal" dxfId="55">
      <formula>"S/W"</formula>
    </cfRule>
    <cfRule type="cellIs" priority="107" operator="equal" dxfId="54">
      <formula>"S/M"</formula>
    </cfRule>
    <cfRule type="cellIs" priority="108" operator="equal" dxfId="53">
      <formula>"PAINT"</formula>
    </cfRule>
    <cfRule type="cellIs" priority="109" operator="equal" dxfId="52">
      <formula>"JOINT"</formula>
    </cfRule>
    <cfRule type="cellIs" priority="110" operator="equal" dxfId="51">
      <formula>"INSP"</formula>
    </cfRule>
  </conditionalFormatting>
  <conditionalFormatting sqref="H4:H1004">
    <cfRule type="cellIs" priority="91" operator="equal" dxfId="50">
      <formula>"N/R"</formula>
    </cfRule>
    <cfRule type="cellIs" priority="92" operator="equal" dxfId="49">
      <formula>"Requested"</formula>
    </cfRule>
    <cfRule type="cellIs" priority="94" operator="equal" dxfId="48">
      <formula>"Requested - R"</formula>
    </cfRule>
    <cfRule type="cellIs" priority="99" operator="equal" dxfId="47">
      <formula>"Requested - CR"</formula>
    </cfRule>
    <cfRule type="cellIs" priority="101" operator="equal" dxfId="46">
      <formula>"Pending EVAL"</formula>
    </cfRule>
    <cfRule type="cellIs" priority="102" operator="equal" dxfId="45">
      <formula>"N/A"</formula>
    </cfRule>
  </conditionalFormatting>
  <conditionalFormatting sqref="I4:I1004">
    <cfRule type="expression" priority="86" dxfId="44">
      <formula>OR(TRIM(I4)="C/W",TRIM(I4)="CW")</formula>
    </cfRule>
  </conditionalFormatting>
  <conditionalFormatting sqref="J4:J1004">
    <cfRule type="cellIs" priority="111" operator="equal" dxfId="41">
      <formula>"Yes"</formula>
    </cfRule>
    <cfRule type="cellIs" priority="112" operator="equal" dxfId="41">
      <formula>"No"</formula>
    </cfRule>
    <cfRule type="cellIs" priority="113" operator="equal" dxfId="41">
      <formula>"N/A"</formula>
    </cfRule>
  </conditionalFormatting>
  <conditionalFormatting sqref="K4:K1004">
    <cfRule type="cellIs" priority="82" operator="equal" dxfId="40">
      <formula>"FWD"</formula>
    </cfRule>
    <cfRule type="cellIs" priority="83" operator="equal" dxfId="39">
      <formula>"AFT"</formula>
    </cfRule>
    <cfRule type="cellIs" priority="84" operator="equal" dxfId="38">
      <formula>"JOINT"</formula>
    </cfRule>
  </conditionalFormatting>
  <dataValidations count="7">
    <dataValidation sqref="E4:E1004" showDropDown="0" showInputMessage="0" showErrorMessage="0" allowBlank="1" type="list">
      <formula1>"Open,In Progress,Closed,Deferred,On Hold,N/A"</formula1>
    </dataValidation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topLeftCell="A14" workbookViewId="0">
      <selection activeCell="B35" sqref="B35"/>
    </sheetView>
  </sheetViews>
  <sheetFormatPr baseColWidth="8" defaultRowHeight="14.4"/>
  <cols>
    <col width="3" customWidth="1" style="107" min="1" max="1"/>
    <col width="26" customWidth="1" style="107" min="2" max="2"/>
    <col width="14" customWidth="1" style="107" min="3" max="3"/>
    <col width="3" customWidth="1" style="107" min="4" max="4"/>
    <col width="26" customWidth="1" style="107" min="5" max="5"/>
    <col width="14" customWidth="1" style="107" min="6" max="6"/>
    <col width="3" customWidth="1" style="107" min="7" max="7"/>
    <col width="26" customWidth="1" style="107" min="8" max="8"/>
    <col width="14" customWidth="1" style="107" min="9" max="9"/>
    <col width="3" customWidth="1" style="107" min="10" max="10"/>
  </cols>
  <sheetData>
    <row r="1" ht="36" customHeight="1" s="107">
      <c r="A1" s="125" t="inlineStr">
        <is>
          <t>📊  ASF C3-CHECK — WORK PACKAGE DASHBOARD</t>
        </is>
      </c>
      <c r="I1" s="119">
        <f>"Day "&amp;TEXT(MAX(1,MIN(TODAY()-DATE(2026,6,8)+1,36)),"0")&amp;"/36"</f>
        <v/>
      </c>
    </row>
    <row r="2" ht="13.95" customHeight="1" s="107">
      <c r="A2" s="115" t="inlineStr">
        <is>
          <t>All figures update automatically from ASF Tracker</t>
        </is>
      </c>
    </row>
    <row r="3" ht="18" customHeight="1" s="107">
      <c r="A3" s="113" t="inlineStr">
        <is>
          <t xml:space="preserve">  STATUS OVERVIEW</t>
        </is>
      </c>
    </row>
    <row r="4" ht="4.2" customHeight="1" s="107"/>
    <row r="5" ht="31.95" customHeight="1" s="107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2" customHeight="1" s="107"/>
    <row r="7" ht="31.95" customHeight="1" s="107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2" customHeight="1" s="107"/>
    <row r="9" ht="18" customHeight="1" s="107">
      <c r="A9" s="128" t="inlineStr">
        <is>
          <t xml:space="preserve">  PRIORITY ALERTS</t>
        </is>
      </c>
    </row>
    <row r="10" ht="4.2" customHeight="1" s="107"/>
    <row r="11" ht="31.95" customHeight="1" s="107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2" customHeight="1" s="107"/>
    <row r="13" ht="18" customHeight="1" s="107">
      <c r="A13" s="113" t="inlineStr">
        <is>
          <t xml:space="preserve">  PARTS REQUIREMENTS  (count of WOs with each status)</t>
        </is>
      </c>
    </row>
    <row r="14" ht="4.2" customHeight="1" s="107"/>
    <row r="15" ht="31.95" customHeight="1" s="107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2" customHeight="1" s="107"/>
    <row r="17" ht="31.95" customHeight="1" s="107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2" customHeight="1" s="107"/>
    <row r="19" ht="18" customHeight="1" s="107">
      <c r="A19" s="113" t="inlineStr">
        <is>
          <t xml:space="preserve">  BY CATEGORY</t>
        </is>
      </c>
    </row>
    <row r="20" ht="4.2" customHeight="1" s="107"/>
    <row r="21" ht="31.95" customHeight="1" s="107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" customHeight="1" s="107">
      <c r="B22" s="123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12" t="n"/>
      <c r="E22" s="114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12" t="n"/>
      <c r="H22" s="117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12" t="n"/>
    </row>
    <row r="23" ht="4.2" customHeight="1" s="107">
      <c r="B23" s="54" t="n"/>
      <c r="E23" s="54" t="n"/>
      <c r="H23" s="54" t="n"/>
    </row>
    <row r="24" ht="31.95" customHeight="1" s="107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" customHeight="1" s="107">
      <c r="B25" s="121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12" t="n"/>
      <c r="E25" s="120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12" t="n"/>
      <c r="H25" s="124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12" t="n"/>
    </row>
    <row r="26" ht="4.2" customHeight="1" s="107">
      <c r="B26" s="54" t="n"/>
      <c r="E26" s="54" t="n"/>
      <c r="H26" s="54" t="n"/>
    </row>
    <row r="27" ht="31.95" customHeight="1" s="107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" customHeight="1" s="107">
      <c r="B28" s="116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12" t="n"/>
      <c r="E28" s="129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12" t="n"/>
      <c r="H28" s="118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12" t="n"/>
    </row>
    <row r="29" ht="4.2" customHeight="1" s="107">
      <c r="B29" s="54" t="n"/>
      <c r="E29" s="54" t="n"/>
    </row>
    <row r="30" ht="31.95" customHeight="1" s="107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24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12" t="n"/>
    </row>
    <row r="32" ht="4.2" customHeight="1" s="107"/>
    <row r="33" ht="18" customHeight="1" s="107">
      <c r="A33" s="113" t="inlineStr">
        <is>
          <t xml:space="preserve">  SPECIALTY</t>
        </is>
      </c>
    </row>
    <row r="34" ht="4.2" customHeight="1" s="107"/>
    <row r="35" ht="32.1" customHeight="1" s="107">
      <c r="B35" s="36" t="inlineStr">
        <is>
          <t>CABIN</t>
        </is>
      </c>
      <c r="C35" s="91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92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93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" customHeight="1" s="107">
      <c r="B36" s="114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12" t="n"/>
      <c r="E36" s="116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12" t="n"/>
      <c r="H36" s="121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12" t="n"/>
    </row>
    <row r="37" ht="3.75" customHeight="1" s="107">
      <c r="B37" s="54" t="n"/>
      <c r="E37" s="54" t="n"/>
      <c r="H37" s="54" t="n"/>
    </row>
    <row r="38" ht="32.1" customHeight="1" s="107">
      <c r="B38" s="42" t="inlineStr">
        <is>
          <t>SIDEWALL</t>
        </is>
      </c>
      <c r="C38" s="94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95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96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" customHeight="1" s="107">
      <c r="B39" s="120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12" t="n"/>
      <c r="E39" s="126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12" t="n"/>
      <c r="H39" s="127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12" t="n"/>
    </row>
    <row r="40" ht="3.75" customHeight="1" s="107">
      <c r="B40" s="54" t="n"/>
      <c r="E40" s="54" t="n"/>
      <c r="H40" s="54" t="n"/>
    </row>
    <row r="41" ht="32.1" customHeight="1" s="107">
      <c r="B41" s="52" t="inlineStr">
        <is>
          <t>JOINT</t>
        </is>
      </c>
      <c r="C41" s="97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8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9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" customHeight="1" s="107">
      <c r="B42" s="126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12" t="n"/>
      <c r="E42" s="122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12" t="n"/>
      <c r="H42" s="111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12" t="n"/>
    </row>
    <row r="43" ht="32.1" customHeight="1" s="107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4.4"/>
  <cols>
    <col width="4" customWidth="1" style="107" min="1" max="1"/>
    <col width="10.88671875" customWidth="1" style="107" min="2" max="2"/>
    <col width="21.6640625" bestFit="1" customWidth="1" style="107" min="3" max="3"/>
    <col width="28.6640625" bestFit="1" customWidth="1" style="107" min="4" max="4"/>
    <col width="167.5546875" customWidth="1" style="107" min="5" max="5"/>
    <col width="32.5546875" bestFit="1" customWidth="1" style="107" min="6" max="6"/>
    <col width="42.88671875" customWidth="1" style="107" min="7" max="7"/>
    <col width="15.88671875" bestFit="1" customWidth="1" style="107" min="8" max="8"/>
    <col width="14.5546875" customWidth="1" style="107" min="9" max="9"/>
    <col width="16.88671875" customWidth="1" style="107" min="10" max="10"/>
  </cols>
  <sheetData>
    <row r="1" ht="33.75" customHeight="1" s="107">
      <c r="A1" s="131" t="inlineStr">
        <is>
          <t xml:space="preserve">📋  FINDINGS DRAFT — Pre-AMOS </t>
        </is>
      </c>
    </row>
    <row r="2" ht="16.2" customHeight="1" s="107" thickBot="1">
      <c r="A2" s="130" t="inlineStr">
        <is>
          <t>Findings sourced from ACFT Finding Report App · Review &amp; assign P/N before raising on AMOS</t>
        </is>
      </c>
    </row>
    <row r="3" ht="27.75" customHeight="1" s="107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07">
      <c r="A4" s="60" t="n">
        <v>1</v>
      </c>
      <c r="B4" s="77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07">
      <c r="A5" s="60" t="n">
        <v>2</v>
      </c>
      <c r="B5" s="77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07">
      <c r="A6" s="60" t="n">
        <v>3</v>
      </c>
      <c r="B6" s="77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07">
      <c r="A7" s="60" t="n">
        <v>4</v>
      </c>
      <c r="B7" s="77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07">
      <c r="A8" s="60" t="n">
        <v>5</v>
      </c>
      <c r="B8" s="77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07">
      <c r="A9" s="60" t="n">
        <v>6</v>
      </c>
      <c r="B9" s="77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07">
      <c r="A10" s="60" t="n">
        <v>7</v>
      </c>
      <c r="B10" s="77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07">
      <c r="A11" s="60" t="n">
        <v>8</v>
      </c>
      <c r="B11" s="77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07">
      <c r="A12" s="60" t="n">
        <v>9</v>
      </c>
      <c r="B12" s="77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07">
      <c r="A13" s="60" t="n">
        <v>10</v>
      </c>
      <c r="B13" s="77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07">
      <c r="A14" s="60" t="n">
        <v>11</v>
      </c>
      <c r="B14" s="77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07">
      <c r="A15" s="60" t="n">
        <v>12</v>
      </c>
      <c r="B15" s="77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07">
      <c r="A16" s="60" t="n">
        <v>13</v>
      </c>
      <c r="B16" s="77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07">
      <c r="A17" s="60" t="n">
        <v>14</v>
      </c>
      <c r="B17" s="77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07">
      <c r="A18" s="60" t="n">
        <v>15</v>
      </c>
      <c r="B18" s="77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07">
      <c r="A19" s="60" t="n">
        <v>16</v>
      </c>
      <c r="B19" s="77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07">
      <c r="A20" s="60" t="n">
        <v>17</v>
      </c>
      <c r="B20" s="77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07">
      <c r="A21" s="60" t="n">
        <v>18</v>
      </c>
      <c r="B21" s="77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07">
      <c r="A22" s="60" t="n">
        <v>19</v>
      </c>
      <c r="B22" s="77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07">
      <c r="A23" s="60" t="n">
        <v>20</v>
      </c>
      <c r="B23" s="77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07">
      <c r="A24" s="60" t="n">
        <v>21</v>
      </c>
      <c r="B24" s="77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07">
      <c r="A25" s="60" t="n">
        <v>22</v>
      </c>
      <c r="B25" s="77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07">
      <c r="A26" s="60" t="n">
        <v>23</v>
      </c>
      <c r="B26" s="77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07">
      <c r="A27" s="60" t="n">
        <v>24</v>
      </c>
      <c r="B27" s="77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07">
      <c r="A28" s="60" t="n">
        <v>25</v>
      </c>
      <c r="B28" s="77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07">
      <c r="A29" s="60" t="n">
        <v>26</v>
      </c>
      <c r="B29" s="77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73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07">
      <c r="A30" s="60" t="n">
        <v>27</v>
      </c>
      <c r="B30" s="77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07">
      <c r="A31" s="60" t="n">
        <v>28</v>
      </c>
      <c r="B31" s="77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07">
      <c r="A32" s="60" t="n">
        <v>29</v>
      </c>
      <c r="B32" s="77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73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07">
      <c r="A33" s="60" t="n">
        <v>30</v>
      </c>
      <c r="B33" s="77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07">
      <c r="A34" s="60" t="n">
        <v>31</v>
      </c>
      <c r="B34" s="77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07">
      <c r="A35" s="60" t="n">
        <v>32</v>
      </c>
      <c r="B35" s="77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07">
      <c r="A36" s="60" t="n">
        <v>33</v>
      </c>
      <c r="B36" s="77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07">
      <c r="A37" s="60" t="n">
        <v>34</v>
      </c>
      <c r="B37" s="77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07">
      <c r="A38" s="60" t="n">
        <v>35</v>
      </c>
      <c r="B38" s="77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07">
      <c r="A39" s="60" t="n">
        <v>36</v>
      </c>
      <c r="B39" s="77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07">
      <c r="A40" s="60" t="n">
        <v>37</v>
      </c>
      <c r="B40" s="77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07">
      <c r="A41" s="60" t="n">
        <v>38</v>
      </c>
      <c r="B41" s="77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07">
      <c r="A42" s="60" t="n">
        <v>39</v>
      </c>
      <c r="B42" s="77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07">
      <c r="A43" s="60" t="n">
        <v>40</v>
      </c>
      <c r="B43" s="77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07">
      <c r="A44" s="60" t="n">
        <v>41</v>
      </c>
      <c r="B44" s="77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07">
      <c r="A45" s="60" t="n">
        <v>42</v>
      </c>
      <c r="B45" s="77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07">
      <c r="A46" s="60" t="n">
        <v>43</v>
      </c>
      <c r="B46" s="77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07">
      <c r="A47" s="60" t="n">
        <v>44</v>
      </c>
      <c r="B47" s="77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07">
      <c r="A48" s="60" t="n">
        <v>45</v>
      </c>
      <c r="B48" s="77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07">
      <c r="A49" s="60" t="n">
        <v>46</v>
      </c>
      <c r="B49" s="77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07">
      <c r="A50" s="60" t="n">
        <v>47</v>
      </c>
      <c r="B50" s="77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07">
      <c r="A51" s="60" t="n">
        <v>48</v>
      </c>
      <c r="B51" s="77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07">
      <c r="A52" s="60" t="n">
        <v>49</v>
      </c>
      <c r="B52" s="77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07">
      <c r="A53" s="60" t="n">
        <v>50</v>
      </c>
      <c r="B53" s="77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07">
      <c r="A54" s="60" t="n">
        <v>51</v>
      </c>
      <c r="B54" s="77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07">
      <c r="A55" s="60" t="n">
        <v>52</v>
      </c>
      <c r="B55" s="77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07">
      <c r="A56" s="60" t="n">
        <v>53</v>
      </c>
      <c r="B56" s="77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07">
      <c r="A57" s="60" t="n">
        <v>54</v>
      </c>
      <c r="B57" s="77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07">
      <c r="A58" s="60" t="n">
        <v>55</v>
      </c>
      <c r="B58" s="77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07">
      <c r="A59" s="60" t="n">
        <v>56</v>
      </c>
      <c r="B59" s="77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07">
      <c r="A60" s="60" t="n">
        <v>57</v>
      </c>
      <c r="B60" s="77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07">
      <c r="A61" s="60" t="n">
        <v>58</v>
      </c>
      <c r="B61" s="77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07">
      <c r="A62" s="60" t="n">
        <v>59</v>
      </c>
      <c r="B62" s="77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07">
      <c r="A63" s="60" t="n">
        <v>60</v>
      </c>
      <c r="B63" s="77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07">
      <c r="A64" s="60" t="n">
        <v>61</v>
      </c>
      <c r="B64" s="77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07">
      <c r="A65" s="60" t="n">
        <v>62</v>
      </c>
      <c r="B65" s="77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07">
      <c r="A66" s="60" t="n">
        <v>63</v>
      </c>
      <c r="B66" s="77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07">
      <c r="A67" s="60" t="n">
        <v>64</v>
      </c>
      <c r="B67" s="77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83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07">
      <c r="A68" s="60" t="n">
        <v>65</v>
      </c>
      <c r="B68" s="77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83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07">
      <c r="A69" s="60" t="n">
        <v>66</v>
      </c>
      <c r="B69" s="77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83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07">
      <c r="A70" s="60" t="n">
        <v>67</v>
      </c>
      <c r="B70" s="77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83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07">
      <c r="A71" s="60" t="n">
        <v>68</v>
      </c>
      <c r="B71" s="77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83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07">
      <c r="A72" s="60" t="n">
        <v>69</v>
      </c>
      <c r="B72" s="77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83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07">
      <c r="A73" s="60" t="n">
        <v>70</v>
      </c>
      <c r="B73" s="77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83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07">
      <c r="A74" s="60" t="n">
        <v>71</v>
      </c>
      <c r="B74" s="77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83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07">
      <c r="A75" s="60" t="n">
        <v>72</v>
      </c>
      <c r="B75" s="77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83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07">
      <c r="A76" s="60" t="n">
        <v>73</v>
      </c>
      <c r="B76" s="77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07">
      <c r="A77" s="60" t="n">
        <v>74</v>
      </c>
      <c r="B77" s="77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07">
      <c r="A78" s="60" t="n">
        <v>75</v>
      </c>
      <c r="B78" s="77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07">
      <c r="A79" s="60" t="n">
        <v>76</v>
      </c>
      <c r="B79" s="77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07">
      <c r="A80" s="60" t="n">
        <v>77</v>
      </c>
      <c r="B80" s="77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07">
      <c r="A81" s="60" t="n">
        <v>78</v>
      </c>
      <c r="B81" s="77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07">
      <c r="A82" s="60" t="n">
        <v>79</v>
      </c>
      <c r="B82" s="77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83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07">
      <c r="A83" s="60" t="n">
        <v>80</v>
      </c>
      <c r="B83" s="77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83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07">
      <c r="A84" s="60" t="n">
        <v>81</v>
      </c>
      <c r="B84" s="77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83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" customHeight="1" s="107">
      <c r="A85" s="60" t="n">
        <v>82</v>
      </c>
      <c r="B85" s="77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84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" customHeight="1" s="107">
      <c r="A86" s="60" t="n">
        <v>83</v>
      </c>
      <c r="B86" s="77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84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07">
      <c r="A87" s="60" t="n">
        <v>84</v>
      </c>
      <c r="B87" s="77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83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07">
      <c r="A88" s="60" t="n">
        <v>85</v>
      </c>
      <c r="B88" s="77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07">
      <c r="A89" s="60" t="n">
        <v>86</v>
      </c>
      <c r="B89" s="77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83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07">
      <c r="A90" s="60" t="n">
        <v>87</v>
      </c>
      <c r="B90" s="77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83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07">
      <c r="A91" s="60" t="n">
        <v>88</v>
      </c>
      <c r="B91" s="77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83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07">
      <c r="A92" s="60" t="n">
        <v>89</v>
      </c>
      <c r="B92" s="77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83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07">
      <c r="A93" s="60" t="n">
        <v>90</v>
      </c>
      <c r="B93" s="77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07">
      <c r="A94" s="60" t="n">
        <v>91</v>
      </c>
      <c r="B94" s="77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83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07">
      <c r="A95" s="60" t="n">
        <v>92</v>
      </c>
      <c r="B95" s="77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83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07">
      <c r="A96" s="60" t="n">
        <v>93</v>
      </c>
      <c r="B96" s="77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83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07">
      <c r="A97" s="60" t="n">
        <v>94</v>
      </c>
      <c r="B97" s="77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83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07">
      <c r="A98" s="60" t="n">
        <v>95</v>
      </c>
      <c r="B98" s="77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07">
      <c r="A99" s="60" t="n">
        <v>96</v>
      </c>
      <c r="B99" s="77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07">
      <c r="A100" s="60" t="n">
        <v>97</v>
      </c>
      <c r="B100" s="77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83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07">
      <c r="A101" s="60" t="n">
        <v>98</v>
      </c>
      <c r="B101" s="77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83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07">
      <c r="A102" s="60" t="n">
        <v>99</v>
      </c>
      <c r="B102" s="77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83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07">
      <c r="A103" s="60" t="n">
        <v>100</v>
      </c>
      <c r="B103" s="77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83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07">
      <c r="A104" s="60" t="n">
        <v>101</v>
      </c>
      <c r="B104" s="77" t="n">
        <v>30001451</v>
      </c>
      <c r="C104" s="8" t="inlineStr">
        <is>
          <t>GALLEY</t>
        </is>
      </c>
      <c r="D104" s="75" t="inlineStr">
        <is>
          <t>FWD GALLEY</t>
        </is>
      </c>
      <c r="E104" s="11" t="inlineStr">
        <is>
          <t>COMP.211 LOWER BUMPER MISSING</t>
        </is>
      </c>
      <c r="F104" s="8" t="n"/>
      <c r="G104" s="83" t="inlineStr">
        <is>
          <t>https://i.ibb.co/3yBSQLFR/ba2604ed74d5.jpg</t>
        </is>
      </c>
      <c r="H104" s="53" t="inlineStr">
        <is>
          <t>Not Raised</t>
        </is>
      </c>
      <c r="I104" s="76" t="n"/>
      <c r="J104" s="76" t="n"/>
      <c r="K104" s="76" t="n"/>
    </row>
    <row r="105" ht="15.6" customHeight="1" s="107">
      <c r="A105" s="60" t="n">
        <v>102</v>
      </c>
      <c r="B105" s="77" t="n">
        <v>30001451</v>
      </c>
      <c r="C105" s="8" t="inlineStr">
        <is>
          <t>GALLEY</t>
        </is>
      </c>
      <c r="D105" s="75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83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76" t="n"/>
      <c r="J105" s="76" t="n"/>
      <c r="K105" s="76" t="n"/>
    </row>
    <row r="106" ht="15.6" customHeight="1" s="107">
      <c r="A106" s="60" t="n">
        <v>103</v>
      </c>
      <c r="B106" s="77" t="n">
        <v>30001451</v>
      </c>
      <c r="C106" s="8" t="inlineStr">
        <is>
          <t>GALLEY</t>
        </is>
      </c>
      <c r="D106" s="75" t="inlineStr">
        <is>
          <t>FWD GALLEY</t>
        </is>
      </c>
      <c r="E106" s="11" t="inlineStr">
        <is>
          <t>COMP. 201 DOOR FRAME DETTACHED</t>
        </is>
      </c>
      <c r="F106" s="8" t="n"/>
      <c r="G106" s="83" t="inlineStr">
        <is>
          <t>https://i.ibb.co/tp5YzfQc/c17e312b3f39.jpg</t>
        </is>
      </c>
      <c r="H106" s="53" t="inlineStr">
        <is>
          <t>Not Raised</t>
        </is>
      </c>
      <c r="I106" s="76" t="n"/>
      <c r="J106" s="76" t="n"/>
      <c r="K106" s="76" t="n"/>
    </row>
    <row r="107" ht="15.6" customHeight="1" s="107">
      <c r="A107" s="60" t="n">
        <v>104</v>
      </c>
      <c r="B107" s="77" t="n">
        <v>30001451</v>
      </c>
      <c r="C107" s="8" t="inlineStr">
        <is>
          <t>GALLEY</t>
        </is>
      </c>
      <c r="D107" s="75" t="inlineStr">
        <is>
          <t>FWD GALLEY</t>
        </is>
      </c>
      <c r="E107" s="11" t="inlineStr">
        <is>
          <t>COMP. 209 SLAMLATCH LOOSE</t>
        </is>
      </c>
      <c r="F107" s="8" t="n"/>
      <c r="G107" s="83" t="inlineStr">
        <is>
          <t>https://i.ibb.co/wh6B6TTw/19cf42c4cdbd.jpg</t>
        </is>
      </c>
      <c r="H107" s="53" t="inlineStr">
        <is>
          <t>Not Raised</t>
        </is>
      </c>
      <c r="I107" s="76" t="n"/>
      <c r="J107" s="76" t="n"/>
      <c r="K107" s="76" t="n"/>
    </row>
    <row r="108" ht="15.6" customHeight="1" s="107">
      <c r="A108" s="60" t="n">
        <v>105</v>
      </c>
      <c r="B108" s="77" t="n">
        <v>30001451</v>
      </c>
      <c r="C108" s="8" t="inlineStr">
        <is>
          <t>GALLEY</t>
        </is>
      </c>
      <c r="D108" s="75" t="inlineStr">
        <is>
          <t>FWD GALLEY</t>
        </is>
      </c>
      <c r="E108" s="11" t="inlineStr">
        <is>
          <t>COMP. 209 DOOR LOOSE</t>
        </is>
      </c>
      <c r="F108" s="8" t="n"/>
      <c r="G108" s="83" t="inlineStr">
        <is>
          <t>https://i.ibb.co/3yg3R11B/41e240e81c2d.jpg</t>
        </is>
      </c>
      <c r="H108" s="53" t="inlineStr">
        <is>
          <t>Not Raised</t>
        </is>
      </c>
      <c r="I108" s="76" t="n"/>
      <c r="J108" s="76" t="n"/>
      <c r="K108" s="76" t="n"/>
    </row>
    <row r="109" ht="15.6" customHeight="1" s="107">
      <c r="A109" s="60" t="n">
        <v>106</v>
      </c>
      <c r="B109" s="77" t="n">
        <v>30001451</v>
      </c>
      <c r="C109" s="8" t="inlineStr">
        <is>
          <t>GALLEY</t>
        </is>
      </c>
      <c r="D109" s="75" t="inlineStr">
        <is>
          <t>FWD GALLEY</t>
        </is>
      </c>
      <c r="E109" s="11" t="inlineStr">
        <is>
          <t>COMP. 210 TEDLAR CHIPED OFF</t>
        </is>
      </c>
      <c r="F109" s="8" t="n"/>
      <c r="G109" s="83" t="inlineStr">
        <is>
          <t>https://i.ibb.co/gb1JSvc1/9fef0d776685.jpg</t>
        </is>
      </c>
      <c r="H109" s="53" t="inlineStr">
        <is>
          <t>Not Raised</t>
        </is>
      </c>
      <c r="I109" s="76" t="n"/>
      <c r="J109" s="76" t="n"/>
      <c r="K109" s="76" t="n"/>
    </row>
    <row r="110" ht="15.6" customHeight="1" s="107">
      <c r="A110" s="60" t="n">
        <v>107</v>
      </c>
      <c r="B110" s="77" t="n">
        <v>30001451</v>
      </c>
      <c r="C110" s="8" t="inlineStr">
        <is>
          <t>GALLEY</t>
        </is>
      </c>
      <c r="D110" s="75" t="inlineStr">
        <is>
          <t>FWD GALLEY</t>
        </is>
      </c>
      <c r="E110" s="11" t="inlineStr">
        <is>
          <t>COMP .101 DOOR LOOSE</t>
        </is>
      </c>
      <c r="F110" s="8" t="n"/>
      <c r="G110" s="83" t="inlineStr">
        <is>
          <t>https://i.ibb.co/Z6kMgkgd/ad0cfff2568b.jpg</t>
        </is>
      </c>
      <c r="H110" s="53" t="inlineStr">
        <is>
          <t>Not Raised</t>
        </is>
      </c>
      <c r="I110" s="76" t="n"/>
      <c r="J110" s="76" t="n"/>
      <c r="K110" s="76" t="n"/>
    </row>
    <row r="111" ht="15.6" customHeight="1" s="107">
      <c r="A111" s="60" t="n">
        <v>108</v>
      </c>
      <c r="B111" s="77" t="n">
        <v>30001451</v>
      </c>
      <c r="C111" s="8" t="inlineStr">
        <is>
          <t>GALLEY</t>
        </is>
      </c>
      <c r="D111" s="75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83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76" t="n"/>
      <c r="J111" s="76" t="n"/>
      <c r="K111" s="76" t="n"/>
    </row>
    <row r="112" ht="15.6" customHeight="1" s="107">
      <c r="A112" s="60" t="n">
        <v>109</v>
      </c>
      <c r="B112" s="77" t="n">
        <v>30001451</v>
      </c>
      <c r="C112" s="8" t="inlineStr">
        <is>
          <t>GALLEY</t>
        </is>
      </c>
      <c r="D112" s="75" t="inlineStr">
        <is>
          <t>FWD GALLEY</t>
        </is>
      </c>
      <c r="E112" s="11" t="inlineStr">
        <is>
          <t>FWD GALLEY LIGHTS LENS SHROUD DISCOLORATION</t>
        </is>
      </c>
      <c r="F112" s="8" t="n"/>
      <c r="G112" s="83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76" t="n"/>
      <c r="J112" s="76" t="n"/>
      <c r="K112" s="76" t="n"/>
    </row>
    <row r="113" ht="15" customHeight="1" s="107">
      <c r="A113" s="60" t="n">
        <v>110</v>
      </c>
      <c r="B113" s="77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83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76" t="n"/>
      <c r="J113" s="76" t="n"/>
      <c r="K113" s="76" t="n"/>
    </row>
    <row r="114" ht="15" customHeight="1" s="107">
      <c r="A114" s="60" t="n">
        <v>111</v>
      </c>
      <c r="B114" s="77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83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76" t="n"/>
      <c r="J114" s="76" t="n"/>
      <c r="K114" s="76" t="n"/>
    </row>
    <row r="115" ht="15.6" customHeight="1" s="107">
      <c r="A115" s="60" t="n">
        <v>112</v>
      </c>
      <c r="B115" s="77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83" t="inlineStr">
        <is>
          <t>https://i.ibb.co/cSn68Zf6/69056fb21851.jpg</t>
        </is>
      </c>
      <c r="H115" s="53" t="inlineStr">
        <is>
          <t>Not Raised</t>
        </is>
      </c>
      <c r="I115" s="76" t="n"/>
      <c r="J115" s="76" t="n"/>
      <c r="K115" s="76" t="n"/>
    </row>
    <row r="116" ht="15.6" customHeight="1" s="107">
      <c r="A116" s="60" t="n">
        <v>113</v>
      </c>
      <c r="B116" s="77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76" t="n"/>
      <c r="J116" s="76" t="n"/>
      <c r="K116" s="76" t="n"/>
    </row>
    <row r="117" ht="15.6" customHeight="1" s="107">
      <c r="A117" s="60" t="n">
        <v>114</v>
      </c>
      <c r="B117" s="77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83" t="inlineStr">
        <is>
          <t>https://i.ibb.co/TyF7Ybm/3b9bb8dcead2.jpg</t>
        </is>
      </c>
      <c r="H117" s="53" t="inlineStr">
        <is>
          <t>Not Raised</t>
        </is>
      </c>
      <c r="I117" s="76" t="n"/>
      <c r="J117" s="76" t="n"/>
      <c r="K117" s="76" t="n"/>
    </row>
    <row r="118" ht="15.6" customHeight="1" s="107">
      <c r="A118" s="60" t="n">
        <v>115</v>
      </c>
      <c r="B118" s="77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76" t="n"/>
      <c r="J118" s="76" t="n"/>
      <c r="K118" s="76" t="n"/>
    </row>
    <row r="119" ht="15.6" customHeight="1" s="107">
      <c r="A119" s="60" t="n">
        <v>116</v>
      </c>
      <c r="B119" s="77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83" t="inlineStr">
        <is>
          <t>https://i.ibb.co/XrprLVsh/c4d70a313317.jpg</t>
        </is>
      </c>
      <c r="H119" s="53" t="inlineStr">
        <is>
          <t>Not Raised</t>
        </is>
      </c>
      <c r="I119" s="76" t="n"/>
      <c r="J119" s="76" t="n"/>
      <c r="K119" s="76" t="n"/>
    </row>
    <row r="120" ht="15" customHeight="1" s="107">
      <c r="A120" s="60" t="n">
        <v>117</v>
      </c>
      <c r="B120" s="77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76" t="n"/>
      <c r="J120" s="76" t="n"/>
      <c r="K120" s="76" t="n"/>
    </row>
    <row r="121" ht="15" customHeight="1" s="107">
      <c r="A121" s="60" t="n">
        <v>118</v>
      </c>
      <c r="B121" s="77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76" t="n"/>
      <c r="J121" s="76" t="n"/>
      <c r="K121" s="76" t="n"/>
    </row>
    <row r="122" ht="26.4" customHeight="1" s="107">
      <c r="A122" s="60" t="n">
        <v>119</v>
      </c>
      <c r="B122" s="77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84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76" t="n"/>
      <c r="J122" s="76" t="n"/>
      <c r="K122" s="76" t="n"/>
    </row>
    <row r="123" ht="15" customHeight="1" s="107">
      <c r="A123" s="60" t="n">
        <v>120</v>
      </c>
      <c r="B123" s="77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83" t="inlineStr">
        <is>
          <t>https://i.ibb.co/Cp9nLFGy/8533411807a8.jpg</t>
        </is>
      </c>
      <c r="H123" s="53" t="inlineStr">
        <is>
          <t>Not Raised</t>
        </is>
      </c>
      <c r="I123" s="76" t="n"/>
      <c r="J123" s="76" t="n"/>
      <c r="K123" s="76" t="n"/>
    </row>
    <row r="124" ht="15" customHeight="1" s="107">
      <c r="A124" s="60" t="n">
        <v>121</v>
      </c>
      <c r="B124" s="77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83" t="inlineStr">
        <is>
          <t>https://i.ibb.co/zTjMwz6W/b91e98834bf2.jpg</t>
        </is>
      </c>
      <c r="H124" s="53" t="inlineStr">
        <is>
          <t>Not Raised</t>
        </is>
      </c>
      <c r="I124" s="76" t="n"/>
      <c r="J124" s="76" t="n"/>
      <c r="K124" s="76" t="n"/>
    </row>
    <row r="125" ht="15" customHeight="1" s="107">
      <c r="A125" s="60" t="n">
        <v>122</v>
      </c>
      <c r="B125" s="77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83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76" t="n"/>
      <c r="J125" s="76" t="n"/>
      <c r="K125" s="76" t="n"/>
    </row>
    <row r="126" ht="15" customHeight="1" s="107">
      <c r="A126" s="60" t="n">
        <v>123</v>
      </c>
      <c r="B126" s="77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76" t="n"/>
      <c r="J126" s="76" t="n"/>
      <c r="K126" s="76" t="n"/>
    </row>
    <row r="127" ht="15" customHeight="1" s="107">
      <c r="A127" s="60" t="n">
        <v>124</v>
      </c>
      <c r="B127" s="77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76" t="n"/>
      <c r="J127" s="76" t="n"/>
      <c r="K127" s="76" t="n"/>
    </row>
    <row r="128" ht="15" customHeight="1" s="107">
      <c r="A128" s="60" t="n">
        <v>125</v>
      </c>
      <c r="B128" s="77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83" t="inlineStr">
        <is>
          <t>https://i.ibb.co/7Jffd0NP/011fe2f3747b.jpg</t>
        </is>
      </c>
      <c r="H128" s="53" t="inlineStr">
        <is>
          <t>Not Raised</t>
        </is>
      </c>
      <c r="I128" s="76" t="n"/>
      <c r="J128" s="76" t="n"/>
      <c r="K128" s="76" t="n"/>
    </row>
    <row r="129" ht="26.4" customHeight="1" s="107">
      <c r="A129" s="60" t="n">
        <v>126</v>
      </c>
      <c r="B129" s="77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84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76" t="n"/>
      <c r="J129" s="76" t="n"/>
      <c r="K129" s="76" t="n"/>
    </row>
    <row r="130" ht="15" customHeight="1" s="107">
      <c r="A130" s="60" t="n">
        <v>127</v>
      </c>
      <c r="B130" s="77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83" t="inlineStr">
        <is>
          <t>https://i.ibb.co/j9RY234h/b7d69dc95e94.jpg</t>
        </is>
      </c>
      <c r="H130" s="53" t="inlineStr">
        <is>
          <t>Not Raised</t>
        </is>
      </c>
      <c r="I130" s="76" t="n"/>
      <c r="J130" s="76" t="n"/>
      <c r="K130" s="76" t="n"/>
    </row>
    <row r="131" ht="15" customHeight="1" s="107">
      <c r="A131" s="60" t="n">
        <v>128</v>
      </c>
      <c r="B131" s="77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83" t="inlineStr">
        <is>
          <t>https://i.ibb.co/S4JHx2gV/2d9ab6b8876e.jpg</t>
        </is>
      </c>
      <c r="H131" s="53" t="inlineStr">
        <is>
          <t>Not Raised</t>
        </is>
      </c>
      <c r="I131" s="76" t="n"/>
      <c r="J131" s="76" t="n"/>
      <c r="K131" s="76" t="n"/>
    </row>
    <row r="132" ht="15" customHeight="1" s="107">
      <c r="A132" s="60" t="n">
        <v>129</v>
      </c>
      <c r="B132" s="77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83" t="inlineStr">
        <is>
          <t>https://i.ibb.co/k2SZGzng/8371a4639a64.jpg</t>
        </is>
      </c>
      <c r="H132" s="53" t="inlineStr">
        <is>
          <t>Not Raised</t>
        </is>
      </c>
      <c r="I132" s="76" t="n"/>
      <c r="J132" s="76" t="n"/>
      <c r="K132" s="76" t="n"/>
    </row>
    <row r="133" ht="15" customHeight="1" s="107">
      <c r="A133" s="60" t="n">
        <v>130</v>
      </c>
      <c r="B133" s="77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83" t="inlineStr">
        <is>
          <t>https://i.ibb.co/5xGghRLG/fa453adcd9f2.jpg</t>
        </is>
      </c>
      <c r="H133" s="53" t="inlineStr">
        <is>
          <t>Not Raised</t>
        </is>
      </c>
      <c r="I133" s="76" t="n"/>
      <c r="J133" s="76" t="n"/>
      <c r="K133" s="76" t="n"/>
    </row>
    <row r="134" ht="15" customHeight="1" s="107">
      <c r="A134" s="60" t="n">
        <v>131</v>
      </c>
      <c r="B134" s="77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83" t="inlineStr">
        <is>
          <t>https://i.ibb.co/QF0k1Z1r/0f159391b7f8.jpg</t>
        </is>
      </c>
      <c r="H134" s="53" t="inlineStr">
        <is>
          <t>Not Raised</t>
        </is>
      </c>
      <c r="I134" s="76" t="n"/>
      <c r="J134" s="76" t="n"/>
      <c r="K134" s="76" t="n"/>
    </row>
    <row r="135" ht="15" customHeight="1" s="107">
      <c r="A135" s="60" t="n">
        <v>132</v>
      </c>
      <c r="B135" s="77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83" t="inlineStr">
        <is>
          <t>https://i.ibb.co/Ldw5YQGq/8d7dbcfa18b2.jpg</t>
        </is>
      </c>
      <c r="H135" s="53" t="inlineStr">
        <is>
          <t>Not Raised</t>
        </is>
      </c>
      <c r="I135" s="76" t="n"/>
      <c r="J135" s="76" t="n"/>
      <c r="K135" s="76" t="n"/>
    </row>
    <row r="136" ht="15" customHeight="1" s="107">
      <c r="A136" s="60" t="n">
        <v>133</v>
      </c>
      <c r="B136" s="77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83" t="inlineStr">
        <is>
          <t>https://i.ibb.co/pjBnRKrb/383da810c34a.jpg</t>
        </is>
      </c>
      <c r="H136" s="53" t="inlineStr">
        <is>
          <t>Not Raised</t>
        </is>
      </c>
      <c r="I136" s="76" t="n"/>
      <c r="J136" s="76" t="n"/>
      <c r="K136" s="76" t="n"/>
    </row>
    <row r="137" ht="39.6" customHeight="1" s="107">
      <c r="A137" s="60" t="n">
        <v>134</v>
      </c>
      <c r="B137" s="77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84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76" t="n"/>
      <c r="J137" s="76" t="n"/>
      <c r="K137" s="76" t="n"/>
    </row>
    <row r="138" ht="15" customHeight="1" s="107">
      <c r="A138" s="60" t="n">
        <v>135</v>
      </c>
      <c r="B138" s="77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76" t="n"/>
      <c r="J138" s="76" t="n"/>
      <c r="K138" s="76" t="n"/>
    </row>
    <row r="139" ht="26.4" customHeight="1" s="107">
      <c r="A139" s="60" t="n">
        <v>136</v>
      </c>
      <c r="B139" s="77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84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76" t="n"/>
      <c r="J139" s="76" t="n"/>
      <c r="K139" s="76" t="n"/>
    </row>
    <row r="140" ht="15" customHeight="1" s="107">
      <c r="A140" s="60" t="n">
        <v>137</v>
      </c>
      <c r="B140" s="77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83" t="inlineStr">
        <is>
          <t>https://i.ibb.co/jkHgvHN2/e4a5d430bd6b.jpg</t>
        </is>
      </c>
      <c r="H140" s="53" t="inlineStr">
        <is>
          <t>Not Raised</t>
        </is>
      </c>
      <c r="I140" s="76" t="n"/>
      <c r="J140" s="76" t="n"/>
      <c r="K140" s="76" t="n"/>
    </row>
    <row r="141" ht="15" customHeight="1" s="107">
      <c r="A141" s="60" t="n">
        <v>138</v>
      </c>
      <c r="B141" s="77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83" t="inlineStr">
        <is>
          <t>https://i.ibb.co/N25bxGVg/6fedffd831a8.jpg</t>
        </is>
      </c>
      <c r="H141" s="53" t="inlineStr">
        <is>
          <t>Not Raised</t>
        </is>
      </c>
      <c r="I141" s="76" t="n"/>
      <c r="J141" s="76" t="n"/>
      <c r="K141" s="76" t="n"/>
    </row>
    <row r="142" ht="26.4" customHeight="1" s="107">
      <c r="A142" s="60" t="n">
        <v>139</v>
      </c>
      <c r="B142" s="77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84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76" t="n"/>
      <c r="J142" s="76" t="n"/>
      <c r="K142" s="76" t="n"/>
    </row>
    <row r="143" ht="15" customHeight="1" s="107">
      <c r="A143" s="60" t="n">
        <v>140</v>
      </c>
      <c r="B143" s="77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83" t="inlineStr">
        <is>
          <t>https://i.ibb.co/Qq0CfWg/61f4131f873c.jpg</t>
        </is>
      </c>
      <c r="H143" s="53" t="inlineStr">
        <is>
          <t>Not Raised</t>
        </is>
      </c>
      <c r="I143" s="76" t="n"/>
      <c r="J143" s="76" t="n"/>
      <c r="K143" s="76" t="n"/>
    </row>
    <row r="144" ht="105" customHeight="1" s="107">
      <c r="A144" s="60" t="n">
        <v>141</v>
      </c>
      <c r="B144" s="77" t="n">
        <v>30001452</v>
      </c>
      <c r="C144" s="8" t="inlineStr">
        <is>
          <t>PAX DOORS</t>
        </is>
      </c>
      <c r="D144" s="62" t="inlineStr">
        <is>
          <t>R2 DOOR</t>
        </is>
      </c>
      <c r="E144" s="78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84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76" t="n"/>
      <c r="J144" s="76" t="n"/>
      <c r="K144" s="76" t="n"/>
    </row>
    <row r="145" ht="15" customHeight="1" s="107">
      <c r="A145" s="60" t="n">
        <v>142</v>
      </c>
      <c r="B145" s="77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83" t="inlineStr">
        <is>
          <t>https://i.ibb.co/VYJ2hmp8/f4745d62c3ae.jpg</t>
        </is>
      </c>
      <c r="H145" s="53" t="inlineStr">
        <is>
          <t>Not Raised</t>
        </is>
      </c>
      <c r="I145" s="76" t="n"/>
      <c r="J145" s="76" t="n"/>
      <c r="K145" s="76" t="n"/>
    </row>
    <row r="146" ht="58.2" customHeight="1" s="107">
      <c r="A146" s="60" t="n">
        <v>143</v>
      </c>
      <c r="B146" s="77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84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76" t="n"/>
      <c r="J146" s="76" t="n"/>
      <c r="K146" s="76" t="n"/>
    </row>
    <row r="147" ht="26.4" customHeight="1" s="107">
      <c r="A147" s="60" t="n">
        <v>144</v>
      </c>
      <c r="B147" s="77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84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76" t="n"/>
      <c r="J147" s="76" t="n"/>
      <c r="K147" s="76" t="n"/>
    </row>
    <row r="148" ht="15" customHeight="1" s="107">
      <c r="A148" s="60" t="n">
        <v>145</v>
      </c>
      <c r="B148" s="77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83" t="inlineStr">
        <is>
          <t>https://i.ibb.co/qYsQtymV/051170f66490.jpg</t>
        </is>
      </c>
      <c r="H148" s="53" t="inlineStr">
        <is>
          <t>Not Raised</t>
        </is>
      </c>
      <c r="I148" s="76" t="n"/>
      <c r="J148" s="76" t="n"/>
      <c r="K148" s="76" t="n"/>
    </row>
    <row r="149" ht="15" customHeight="1" s="107">
      <c r="A149" s="60" t="n">
        <v>146</v>
      </c>
      <c r="B149" s="77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83" t="inlineStr">
        <is>
          <t>https://i.ibb.co/CKLXDv05/31e2a52c6e94.jpg</t>
        </is>
      </c>
      <c r="H149" s="53" t="inlineStr">
        <is>
          <t>Not Raised</t>
        </is>
      </c>
      <c r="I149" s="76" t="n"/>
      <c r="J149" s="76" t="n"/>
      <c r="K149" s="76" t="n"/>
    </row>
    <row r="150" ht="15" customHeight="1" s="107">
      <c r="A150" s="60" t="n">
        <v>147</v>
      </c>
      <c r="B150" s="77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83" t="inlineStr">
        <is>
          <t>https://i.ibb.co/ZRgD9Vt9/1bccac82848f.jpg</t>
        </is>
      </c>
      <c r="H150" s="53" t="inlineStr">
        <is>
          <t>Not Raised</t>
        </is>
      </c>
      <c r="I150" s="76" t="n"/>
      <c r="J150" s="76" t="n"/>
      <c r="K150" s="76" t="n"/>
    </row>
    <row r="151" ht="52.95" customHeight="1" s="107">
      <c r="A151" s="60" t="n">
        <v>148</v>
      </c>
      <c r="B151" s="77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84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76" t="n"/>
      <c r="J151" s="76" t="n"/>
      <c r="K151" s="76" t="n"/>
    </row>
    <row r="152" ht="15" customHeight="1" s="107">
      <c r="A152" s="60" t="n">
        <v>149</v>
      </c>
      <c r="B152" s="77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76" t="n"/>
      <c r="J152" s="76" t="n"/>
      <c r="K152" s="76" t="n"/>
    </row>
    <row r="153" ht="15" customHeight="1" s="107">
      <c r="A153" s="60" t="n">
        <v>150</v>
      </c>
      <c r="B153" s="77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76" t="n"/>
      <c r="J153" s="76" t="n"/>
      <c r="K153" s="76" t="n"/>
    </row>
    <row r="154" ht="15" customHeight="1" s="107">
      <c r="A154" s="60" t="n">
        <v>151</v>
      </c>
      <c r="B154" s="77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76" t="n"/>
      <c r="J154" s="76" t="n"/>
      <c r="K154" s="76" t="n"/>
    </row>
    <row r="155" ht="15" customHeight="1" s="107">
      <c r="A155" s="60" t="n">
        <v>152</v>
      </c>
      <c r="B155" s="77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76" t="n"/>
      <c r="J155" s="76" t="n"/>
      <c r="K155" s="76" t="n"/>
    </row>
    <row r="156" ht="15" customHeight="1" s="107">
      <c r="A156" s="60" t="n">
        <v>153</v>
      </c>
      <c r="B156" s="77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76" t="n"/>
      <c r="J156" s="76" t="n"/>
      <c r="K156" s="76" t="n"/>
    </row>
    <row r="157">
      <c r="B157" s="79" t="n"/>
      <c r="C157" s="80" t="n"/>
      <c r="D157" s="81" t="n"/>
      <c r="E157" s="81" t="n"/>
      <c r="F157" s="81" t="n"/>
      <c r="H157" s="82" t="n"/>
      <c r="I157" s="79" t="n"/>
      <c r="J157" s="79" t="n"/>
      <c r="K157" s="79" t="n"/>
    </row>
  </sheetData>
  <mergeCells count="2">
    <mergeCell ref="A2:K2"/>
    <mergeCell ref="A1:K1"/>
  </mergeCells>
  <conditionalFormatting sqref="A4:C4 A5:A156 A157:G657 G4:K99 G116:K157 H100:K115">
    <cfRule type="expression" priority="224" dxfId="3">
      <formula>#REF!="Critical"</formula>
    </cfRule>
    <cfRule type="expression" priority="223" dxfId="2">
      <formula>#REF!="AOG"</formula>
    </cfRule>
  </conditionalFormatting>
  <conditionalFormatting sqref="B5:B156">
    <cfRule type="expression" priority="23" dxfId="2">
      <formula>#REF!="AOG"</formula>
    </cfRule>
    <cfRule type="expression" priority="24" dxfId="3">
      <formula>#REF!="Critical"</formula>
    </cfRule>
  </conditionalFormatting>
  <conditionalFormatting sqref="B157:B657">
    <cfRule type="cellIs" priority="211" operator="equal" dxfId="24">
      <formula>"GENERAL CABIN"</formula>
    </cfRule>
    <cfRule type="cellIs" priority="212" operator="equal" dxfId="23">
      <formula>"GALLEY"</formula>
    </cfRule>
    <cfRule type="cellIs" priority="213" operator="equal" dxfId="22">
      <formula>"LAVATORY"</formula>
    </cfRule>
    <cfRule type="cellIs" priority="214" operator="equal" dxfId="21">
      <formula>"PAX DOORS"</formula>
    </cfRule>
    <cfRule type="cellIs" priority="215" operator="equal" dxfId="20">
      <formula>"F/A SEAT"</formula>
    </cfRule>
    <cfRule type="cellIs" priority="216" operator="equal" dxfId="19">
      <formula>"PAX SEAT"</formula>
    </cfRule>
    <cfRule type="cellIs" priority="217" operator="equal" dxfId="18">
      <formula>"FLIGHT DECK"</formula>
    </cfRule>
    <cfRule type="cellIs" priority="218" operator="equal" dxfId="17">
      <formula>"OFAR/OFCR"</formula>
    </cfRule>
    <cfRule type="cellIs" priority="219" operator="equal" dxfId="16">
      <formula>"TEDLAR/SIDEWALL"</formula>
    </cfRule>
    <cfRule type="cellIs" priority="220" operator="equal" dxfId="15">
      <formula>"PAINT"</formula>
    </cfRule>
  </conditionalFormatting>
  <conditionalFormatting sqref="C4:C157">
    <cfRule type="cellIs" priority="27" operator="equal" dxfId="24">
      <formula>"GENERAL CABIN"</formula>
    </cfRule>
    <cfRule type="cellIs" priority="28" operator="equal" dxfId="23">
      <formula>"GALLEY"</formula>
    </cfRule>
    <cfRule type="cellIs" priority="29" operator="equal" dxfId="22">
      <formula>"LAVATORY"</formula>
    </cfRule>
    <cfRule type="cellIs" priority="30" operator="equal" dxfId="21">
      <formula>"PAX DOORS"</formula>
    </cfRule>
    <cfRule type="cellIs" priority="31" operator="equal" dxfId="20">
      <formula>"F/A SEAT"</formula>
    </cfRule>
    <cfRule type="cellIs" priority="32" operator="equal" dxfId="19">
      <formula>"PAX SEAT"</formula>
    </cfRule>
    <cfRule type="cellIs" priority="33" operator="equal" dxfId="18">
      <formula>"FLIGHT DECK"</formula>
    </cfRule>
    <cfRule type="cellIs" priority="34" operator="equal" dxfId="17">
      <formula>"OFAR/OFCR"</formula>
    </cfRule>
    <cfRule type="cellIs" priority="35" operator="equal" dxfId="16">
      <formula>"TEDLAR/SIDEWALL"</formula>
    </cfRule>
    <cfRule type="cellIs" priority="36" operator="equal" dxfId="15">
      <formula>"PAINT"</formula>
    </cfRule>
  </conditionalFormatting>
  <conditionalFormatting sqref="C5:C65">
    <cfRule type="expression" priority="37" dxfId="2">
      <formula>#REF!="AOG"</formula>
    </cfRule>
    <cfRule type="expression" priority="38" dxfId="3">
      <formula>#REF!="Critical"</formula>
    </cfRule>
  </conditionalFormatting>
  <conditionalFormatting sqref="C66:C156">
    <cfRule type="expression" priority="3" dxfId="2">
      <formula>#REF!="AOG"</formula>
    </cfRule>
    <cfRule type="expression" priority="4" dxfId="3">
      <formula>#REF!="Critical"</formula>
    </cfRule>
  </conditionalFormatting>
  <conditionalFormatting sqref="D4:D66">
    <cfRule type="expression" priority="207" dxfId="2">
      <formula>#REF!="AOG"</formula>
    </cfRule>
    <cfRule type="expression" priority="208" dxfId="3">
      <formula>#REF!="Critical"</formula>
    </cfRule>
  </conditionalFormatting>
  <conditionalFormatting sqref="D113:D156">
    <cfRule type="expression" priority="7" dxfId="2">
      <formula>#REF!="AOG"</formula>
    </cfRule>
    <cfRule type="expression" priority="8" dxfId="3">
      <formula>#REF!="Critical"</formula>
    </cfRule>
  </conditionalFormatting>
  <conditionalFormatting sqref="F4:F157">
    <cfRule type="expression" priority="209" dxfId="2">
      <formula>#REF!="AOG"</formula>
    </cfRule>
    <cfRule type="expression" priority="210" dxfId="3">
      <formula>#REF!="Critical"</formula>
    </cfRule>
  </conditionalFormatting>
  <conditionalFormatting sqref="G100:G115">
    <cfRule type="expression" priority="1" dxfId="2">
      <formula>#REF!="AOG"</formula>
    </cfRule>
    <cfRule type="expression" priority="2" dxfId="3">
      <formula>#REF!="Critical"</formula>
    </cfRule>
  </conditionalFormatting>
  <conditionalFormatting sqref="E157:E657 H4:H157">
    <cfRule type="cellIs" priority="221" operator="equal" dxfId="1">
      <formula>"Not Raised"</formula>
    </cfRule>
    <cfRule type="cellIs" priority="222" operator="equal" dxfId="0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2026-07-03T15:45:23Z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