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ASF 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Findings Draf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2">
    <font>
      <name val="Calibri"/>
      <charset val="1"/>
      <family val="2"/>
      <color theme="1"/>
      <sz val="11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Calibri"/>
      <charset val="1"/>
      <family val="2"/>
      <color theme="1"/>
      <sz val="12"/>
    </font>
    <font>
      <name val="Arial"/>
      <family val="2"/>
      <sz val="12"/>
    </font>
    <font>
      <name val="Arial"/>
      <family val="2"/>
      <b val="1"/>
      <color rgb="FF1A237E"/>
      <sz val="12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9"/>
    </font>
    <font>
      <name val="Arial"/>
      <charset val="1"/>
      <family val="2"/>
      <sz val="12"/>
    </font>
    <font>
      <name val="Arial"/>
      <family val="2"/>
      <color rgb="FFAAAAAA"/>
      <sz val="9"/>
    </font>
    <font>
      <name val="Arial"/>
      <family val="2"/>
      <sz val="10"/>
    </font>
    <font>
      <name val="Arial"/>
      <family val="2"/>
      <b val="1"/>
      <color rgb="FF1A237E"/>
      <sz val="10"/>
    </font>
    <font>
      <name val="Arial"/>
      <family val="2"/>
      <i val="1"/>
      <color rgb="FF555555"/>
      <sz val="9"/>
    </font>
    <font>
      <name val="Arial"/>
      <family val="2"/>
      <b val="1"/>
      <color rgb="FF1A237E"/>
      <sz val="16"/>
    </font>
    <font>
      <name val="Arial"/>
      <family val="2"/>
      <b val="1"/>
      <color rgb="FFC62828"/>
      <sz val="10"/>
    </font>
    <font>
      <name val="Arial"/>
      <family val="2"/>
      <b val="1"/>
      <color rgb="FFE65100"/>
      <sz val="10"/>
    </font>
    <font>
      <name val="Arial"/>
      <family val="2"/>
      <b val="1"/>
      <color rgb="FF2E7D32"/>
      <sz val="10"/>
    </font>
    <font>
      <name val="Arial"/>
      <family val="2"/>
      <b val="1"/>
      <color rgb="FF2E7D32"/>
      <sz val="16"/>
    </font>
    <font>
      <name val="Arial"/>
      <family val="2"/>
      <b val="1"/>
      <color rgb="FF6A1B9A"/>
      <sz val="10"/>
    </font>
    <font>
      <name val="Arial"/>
      <family val="2"/>
      <b val="1"/>
      <color rgb="FF6A1B9A"/>
      <sz val="16"/>
    </font>
    <font>
      <name val="Arial"/>
      <family val="2"/>
      <b val="1"/>
      <color rgb="FFB71C1C"/>
      <sz val="10"/>
    </font>
    <font>
      <name val="Arial"/>
      <family val="2"/>
      <b val="1"/>
      <color rgb="FFB71C1C"/>
      <sz val="16"/>
    </font>
    <font>
      <name val="Arial"/>
      <family val="2"/>
      <b val="1"/>
      <color rgb="FFF9A825"/>
      <sz val="10"/>
    </font>
    <font>
      <name val="Arial"/>
      <family val="2"/>
      <b val="1"/>
      <color rgb="FF185FA5"/>
      <sz val="10"/>
    </font>
    <font>
      <name val="Arial"/>
      <family val="2"/>
      <b val="1"/>
      <color rgb="FF534AB7"/>
      <sz val="10"/>
    </font>
    <font>
      <name val="Arial"/>
      <family val="2"/>
      <b val="1"/>
      <color rgb="FF37474F"/>
      <sz val="10"/>
    </font>
    <font>
      <name val="Arial"/>
      <family val="2"/>
      <b val="1"/>
      <color rgb="FF854F0B"/>
      <sz val="10"/>
    </font>
    <font>
      <name val="Arial"/>
      <family val="2"/>
      <b val="1"/>
      <color rgb="FF555555"/>
      <sz val="10"/>
    </font>
    <font>
      <name val="Arial"/>
      <family val="2"/>
      <b val="1"/>
      <color rgb="FF1A237E"/>
      <sz val="18"/>
    </font>
    <font>
      <name val="Arial"/>
      <family val="2"/>
      <b val="1"/>
      <color rgb="FF2E7D32"/>
      <sz val="18"/>
    </font>
    <font>
      <name val="Arial"/>
      <family val="2"/>
      <b val="1"/>
      <color rgb="FF006937"/>
      <sz val="10"/>
    </font>
    <font>
      <name val="Arial"/>
      <family val="2"/>
      <b val="1"/>
      <color rgb="FF006937"/>
      <sz val="22"/>
    </font>
    <font>
      <name val="Arial"/>
      <family val="2"/>
      <b val="1"/>
      <color rgb="FFC62828"/>
      <sz val="18"/>
    </font>
    <font>
      <name val="Arial"/>
      <family val="2"/>
      <b val="1"/>
      <color rgb="FFE65100"/>
      <sz val="18"/>
    </font>
    <font>
      <name val="Arial"/>
      <family val="2"/>
      <b val="1"/>
      <color rgb="FF6A1B9A"/>
      <sz val="18"/>
    </font>
    <font>
      <name val="Arial"/>
      <family val="2"/>
      <b val="1"/>
      <color rgb="FFB71C1C"/>
      <sz val="18"/>
    </font>
    <font>
      <name val="Arial"/>
      <family val="2"/>
      <b val="1"/>
      <color rgb="FF854F0B"/>
      <sz val="18"/>
    </font>
    <font>
      <name val="Arial"/>
      <family val="2"/>
      <b val="1"/>
      <color rgb="FF185FA5"/>
      <sz val="18"/>
    </font>
    <font>
      <name val="Arial"/>
      <family val="2"/>
      <b val="1"/>
      <color rgb="FF534AB7"/>
      <sz val="18"/>
    </font>
    <font>
      <name val="Arial"/>
      <family val="2"/>
      <b val="1"/>
      <color rgb="FF37474F"/>
      <sz val="18"/>
    </font>
    <font>
      <name val="Arial"/>
      <family val="2"/>
      <b val="1"/>
      <color rgb="FF555555"/>
      <sz val="18"/>
    </font>
    <font>
      <name val="Arial"/>
      <family val="2"/>
      <b val="1"/>
      <color rgb="FF1565C0"/>
      <sz val="10"/>
    </font>
    <font>
      <name val="Arial"/>
      <family val="2"/>
      <b val="1"/>
      <color rgb="FF1565C0"/>
      <sz val="16"/>
    </font>
    <font>
      <name val="Arial"/>
      <family val="2"/>
      <b val="1"/>
      <color rgb="FF4E342E"/>
      <sz val="10"/>
    </font>
    <font>
      <name val="Arial"/>
      <family val="2"/>
      <b val="1"/>
      <color rgb="FF4E342E"/>
      <sz val="16"/>
    </font>
    <font>
      <name val="Arial"/>
      <family val="2"/>
      <b val="1"/>
      <color rgb="FF607D8B"/>
      <sz val="10"/>
    </font>
    <font>
      <name val="Arial"/>
      <family val="2"/>
      <b val="1"/>
      <color rgb="FF607D8B"/>
      <sz val="16"/>
    </font>
    <font>
      <name val="Arial"/>
      <family val="2"/>
      <b val="1"/>
      <color rgb="FF33691E"/>
      <sz val="10"/>
    </font>
    <font>
      <name val="Arial"/>
      <family val="2"/>
      <b val="1"/>
      <color rgb="FF33691E"/>
      <sz val="16"/>
    </font>
    <font>
      <name val="Arial"/>
      <family val="2"/>
      <b val="1"/>
      <color rgb="FF283593"/>
      <sz val="10"/>
    </font>
    <font>
      <name val="Arial"/>
      <family val="2"/>
      <b val="1"/>
      <color rgb="FF283593"/>
      <sz val="16"/>
    </font>
    <font>
      <name val="Arial"/>
      <family val="2"/>
      <b val="1"/>
      <color rgb="FF37474F"/>
      <sz val="16"/>
    </font>
    <font>
      <name val="Arial"/>
      <family val="2"/>
      <b val="1"/>
      <color rgb="FFBF360C"/>
      <sz val="10"/>
    </font>
    <font>
      <name val="Arial"/>
      <family val="2"/>
      <b val="1"/>
      <color rgb="FFBF360C"/>
      <sz val="16"/>
    </font>
    <font>
      <name val="Arial"/>
      <family val="2"/>
      <b val="1"/>
      <color rgb="FF880E4F"/>
      <sz val="10"/>
    </font>
    <font>
      <name val="Arial"/>
      <family val="2"/>
      <b val="1"/>
      <color rgb="FF880E4F"/>
      <sz val="16"/>
    </font>
    <font>
      <name val="Calibri"/>
      <family val="2"/>
      <i val="1"/>
      <color rgb="FF888888"/>
      <sz val="8"/>
    </font>
    <font>
      <name val="Arial"/>
      <family val="2"/>
      <i val="1"/>
      <color theme="0" tint="-0.499984740745262"/>
      <sz val="8"/>
    </font>
    <font>
      <name val="Arial"/>
      <family val="2"/>
      <b val="1"/>
      <color theme="1" tint="0.3499862666707358"/>
      <sz val="10"/>
    </font>
    <font>
      <name val="Arial"/>
      <family val="2"/>
      <b val="1"/>
      <color theme="1" tint="0.3499862666707358"/>
      <sz val="16"/>
    </font>
    <font>
      <name val="Arial"/>
      <family val="2"/>
      <i val="1"/>
      <color theme="1" tint="0.3499862666707358"/>
      <sz val="8"/>
    </font>
    <font>
      <name val="Arial"/>
      <family val="2"/>
      <b val="1"/>
      <color theme="9" tint="-0.249977111117893"/>
      <sz val="10"/>
    </font>
    <font>
      <name val="Arial"/>
      <family val="2"/>
      <b val="1"/>
      <color theme="9" tint="-0.249977111117893"/>
      <sz val="16"/>
    </font>
    <font>
      <name val="Arial"/>
      <family val="2"/>
      <b val="1"/>
      <color theme="3" tint="-0.499984740745262"/>
      <sz val="10"/>
    </font>
    <font>
      <name val="Arial"/>
      <family val="2"/>
      <b val="1"/>
      <color theme="3" tint="-0.499984740745262"/>
      <sz val="16"/>
    </font>
    <font>
      <name val="Arial"/>
      <family val="2"/>
      <i val="1"/>
      <color rgb="FFC62828"/>
      <sz val="9"/>
    </font>
    <font>
      <name val="Calibri"/>
      <b val="1"/>
      <color rgb="FFFFFFFF"/>
      <sz val="14"/>
    </font>
    <font>
      <name val="Calibri"/>
      <b val="1"/>
      <color rgb="FFFFFFFF"/>
      <sz val="16"/>
    </font>
    <font>
      <name val="Arial"/>
      <b val="1"/>
      <color rgb="FFFFFFFF"/>
      <sz val="13"/>
    </font>
    <font>
      <name val="Arial"/>
      <family val="2"/>
      <color rgb="FFFF0000"/>
      <sz val="12"/>
    </font>
    <font>
      <name val="Arial"/>
      <b val="1"/>
      <sz val="10"/>
    </font>
    <font>
      <name val="Calibri"/>
      <family val="2"/>
      <color rgb="FF000000"/>
      <sz val="12"/>
    </font>
    <font>
      <name val="Arial"/>
      <sz val="10"/>
    </font>
    <font>
      <name val="Arial"/>
      <b val="1"/>
      <color rgb="FFC62828"/>
      <sz val="10"/>
    </font>
    <font>
      <name val="Calibri"/>
      <charset val="1"/>
      <family val="2"/>
      <color theme="10"/>
      <sz val="11"/>
      <u val="single"/>
    </font>
    <font>
      <name val="Arial"/>
      <family val="2"/>
      <b val="1"/>
      <color rgb="FFFFFFFF"/>
      <sz val="16"/>
    </font>
    <font>
      <name val="Arial"/>
      <family val="2"/>
      <b val="1"/>
      <color rgb="FFB71C1C"/>
      <sz val="11"/>
    </font>
    <font>
      <name val="Calibri"/>
      <family val="2"/>
      <b val="1"/>
      <i val="1"/>
      <color rgb="FFFF0000"/>
      <sz val="28"/>
    </font>
    <font>
      <name val="Arial"/>
      <b val="1"/>
      <color rgb="FFFF0000"/>
      <sz val="12"/>
    </font>
    <font>
      <name val="Arial"/>
      <sz val="12"/>
    </font>
  </fonts>
  <fills count="42">
    <fill>
      <patternFill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</borders>
  <cellStyleXfs count="2">
    <xf numFmtId="0" fontId="0" fillId="0" borderId="0"/>
    <xf numFmtId="0" fontId="76" fillId="0" borderId="0"/>
  </cellStyleXfs>
  <cellXfs count="125">
    <xf numFmtId="0" fontId="0" fillId="0" borderId="0" pivotButton="0" quotePrefix="0" xfId="0"/>
    <xf numFmtId="0" fontId="4" fillId="0" borderId="0" pivotButton="0" quotePrefix="0" xfId="0"/>
    <xf numFmtId="0" fontId="56" fillId="28" borderId="4" applyAlignment="1" pivotButton="0" quotePrefix="0" xfId="0">
      <alignment horizontal="left" vertical="center" indent="1"/>
    </xf>
    <xf numFmtId="0" fontId="57" fillId="28" borderId="4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vertical="center"/>
    </xf>
    <xf numFmtId="0" fontId="30" fillId="20" borderId="4" applyAlignment="1" pivotButton="0" quotePrefix="0" xfId="0">
      <alignment horizontal="center" vertical="center"/>
    </xf>
    <xf numFmtId="0" fontId="18" fillId="9" borderId="4" applyAlignment="1" pivotButton="0" quotePrefix="0" xfId="0">
      <alignment horizontal="left" vertical="center" indent="1"/>
    </xf>
    <xf numFmtId="0" fontId="31" fillId="5" borderId="4" applyAlignment="1" pivotButton="0" quotePrefix="0" xfId="0">
      <alignment horizontal="center" vertical="center"/>
    </xf>
    <xf numFmtId="0" fontId="32" fillId="11" borderId="4" applyAlignment="1" pivotButton="0" quotePrefix="0" xfId="0">
      <alignment horizontal="left" vertical="center" indent="1"/>
    </xf>
    <xf numFmtId="0" fontId="33" fillId="9" borderId="4" applyAlignment="1" pivotButton="0" quotePrefix="0" xfId="0">
      <alignment horizontal="center" vertical="center"/>
    </xf>
    <xf numFmtId="0" fontId="34" fillId="3" borderId="4" applyAlignment="1" pivotButton="0" quotePrefix="0" xfId="0">
      <alignment horizontal="center" vertical="center"/>
    </xf>
    <xf numFmtId="0" fontId="17" fillId="8" borderId="4" applyAlignment="1" pivotButton="0" quotePrefix="0" xfId="0">
      <alignment horizontal="left" vertical="center" indent="1"/>
    </xf>
    <xf numFmtId="0" fontId="35" fillId="4" borderId="4" applyAlignment="1" pivotButton="0" quotePrefix="0" xfId="0">
      <alignment horizontal="center" vertical="center"/>
    </xf>
    <xf numFmtId="0" fontId="20" fillId="10" borderId="4" applyAlignment="1" pivotButton="0" quotePrefix="0" xfId="0">
      <alignment horizontal="left" vertical="center" indent="1"/>
    </xf>
    <xf numFmtId="0" fontId="36" fillId="24" borderId="4" applyAlignment="1" pivotButton="0" quotePrefix="0" xfId="0">
      <alignment horizontal="center" vertical="center"/>
    </xf>
    <xf numFmtId="0" fontId="37" fillId="3" borderId="4" applyAlignment="1" pivotButton="0" quotePrefix="0" xfId="0">
      <alignment horizontal="center" vertical="center"/>
    </xf>
    <xf numFmtId="0" fontId="24" fillId="21" borderId="4" applyAlignment="1" pivotButton="0" quotePrefix="0" xfId="0">
      <alignment horizontal="left" vertical="center" indent="1"/>
    </xf>
    <xf numFmtId="0" fontId="38" fillId="13" borderId="4" applyAlignment="1" pivotButton="0" quotePrefix="0" xfId="0">
      <alignment horizontal="center" vertical="center"/>
    </xf>
    <xf numFmtId="0" fontId="25" fillId="7" borderId="4" applyAlignment="1" pivotButton="0" quotePrefix="0" xfId="0">
      <alignment horizontal="left" vertical="center" indent="1"/>
    </xf>
    <xf numFmtId="0" fontId="39" fillId="23" borderId="4" applyAlignment="1" pivotButton="0" quotePrefix="0" xfId="0">
      <alignment horizontal="center" vertical="center"/>
    </xf>
    <xf numFmtId="0" fontId="26" fillId="15" borderId="4" applyAlignment="1" pivotButton="0" quotePrefix="0" xfId="0">
      <alignment horizontal="left" vertical="center" indent="1"/>
    </xf>
    <xf numFmtId="0" fontId="40" fillId="24" borderId="4" applyAlignment="1" pivotButton="0" quotePrefix="0" xfId="0">
      <alignment horizontal="center" vertical="center"/>
    </xf>
    <xf numFmtId="0" fontId="27" fillId="25" borderId="4" applyAlignment="1" pivotButton="0" quotePrefix="0" xfId="0">
      <alignment horizontal="left" vertical="center" indent="1"/>
    </xf>
    <xf numFmtId="0" fontId="41" fillId="16" borderId="4" applyAlignment="1" pivotButton="0" quotePrefix="0" xfId="0">
      <alignment horizontal="center" vertical="center"/>
    </xf>
    <xf numFmtId="0" fontId="38" fillId="14" borderId="4" applyAlignment="1" pivotButton="0" quotePrefix="0" xfId="0">
      <alignment horizontal="center" vertical="center"/>
    </xf>
    <xf numFmtId="0" fontId="29" fillId="18" borderId="4" applyAlignment="1" pivotButton="0" quotePrefix="0" xfId="0">
      <alignment horizontal="left" vertical="center" indent="1"/>
    </xf>
    <xf numFmtId="0" fontId="42" fillId="16" borderId="4" applyAlignment="1" pivotButton="0" quotePrefix="0" xfId="0">
      <alignment horizontal="center" vertical="center"/>
    </xf>
    <xf numFmtId="0" fontId="22" fillId="3" borderId="4" applyAlignment="1" pivotButton="0" quotePrefix="0" xfId="0">
      <alignment horizontal="left" vertical="center" indent="1"/>
    </xf>
    <xf numFmtId="0" fontId="23" fillId="3" borderId="4" applyAlignment="1" pivotButton="0" quotePrefix="0" xfId="0">
      <alignment horizontal="center" vertical="center"/>
    </xf>
    <xf numFmtId="0" fontId="43" fillId="23" borderId="4" applyAlignment="1" pivotButton="0" quotePrefix="0" xfId="0">
      <alignment horizontal="left" vertical="center" indent="1"/>
    </xf>
    <xf numFmtId="0" fontId="44" fillId="23" borderId="4" applyAlignment="1" pivotButton="0" quotePrefix="0" xfId="0">
      <alignment horizontal="center" vertical="center"/>
    </xf>
    <xf numFmtId="0" fontId="45" fillId="22" borderId="4" applyAlignment="1" pivotButton="0" quotePrefix="0" xfId="0">
      <alignment horizontal="left" vertical="center" indent="1"/>
    </xf>
    <xf numFmtId="0" fontId="46" fillId="22" borderId="4" applyAlignment="1" pivotButton="0" quotePrefix="0" xfId="0">
      <alignment horizontal="center" vertical="center"/>
    </xf>
    <xf numFmtId="0" fontId="47" fillId="25" borderId="4" applyAlignment="1" pivotButton="0" quotePrefix="0" xfId="0">
      <alignment horizontal="left" vertical="center" indent="1"/>
    </xf>
    <xf numFmtId="0" fontId="48" fillId="25" borderId="4" applyAlignment="1" pivotButton="0" quotePrefix="0" xfId="0">
      <alignment horizontal="center" vertical="center"/>
    </xf>
    <xf numFmtId="0" fontId="49" fillId="26" borderId="4" applyAlignment="1" pivotButton="0" quotePrefix="0" xfId="0">
      <alignment horizontal="left" vertical="center" indent="1"/>
    </xf>
    <xf numFmtId="0" fontId="50" fillId="26" borderId="4" applyAlignment="1" pivotButton="0" quotePrefix="0" xfId="0">
      <alignment horizontal="center" vertical="center"/>
    </xf>
    <xf numFmtId="0" fontId="15" fillId="20" borderId="4" applyAlignment="1" pivotButton="0" quotePrefix="0" xfId="0">
      <alignment horizontal="center" vertical="center"/>
    </xf>
    <xf numFmtId="0" fontId="20" fillId="24" borderId="4" applyAlignment="1" pivotButton="0" quotePrefix="0" xfId="0">
      <alignment horizontal="left" vertical="center" indent="1"/>
    </xf>
    <xf numFmtId="0" fontId="21" fillId="24" borderId="4" applyAlignment="1" pivotButton="0" quotePrefix="0" xfId="0">
      <alignment horizontal="center" vertical="center"/>
    </xf>
    <xf numFmtId="0" fontId="18" fillId="5" borderId="4" applyAlignment="1" pivotButton="0" quotePrefix="0" xfId="0">
      <alignment horizontal="left" vertical="center" indent="1"/>
    </xf>
    <xf numFmtId="0" fontId="19" fillId="5" borderId="4" applyAlignment="1" pivotButton="0" quotePrefix="0" xfId="0">
      <alignment horizontal="center" vertical="center"/>
    </xf>
    <xf numFmtId="0" fontId="51" fillId="20" borderId="4" applyAlignment="1" pivotButton="0" quotePrefix="0" xfId="0">
      <alignment horizontal="left" vertical="center" indent="1"/>
    </xf>
    <xf numFmtId="0" fontId="52" fillId="20" borderId="4" applyAlignment="1" pivotButton="0" quotePrefix="0" xfId="0">
      <alignment horizontal="center" vertical="center"/>
    </xf>
    <xf numFmtId="0" fontId="53" fillId="25" borderId="4" applyAlignment="1" pivotButton="0" quotePrefix="0" xfId="0">
      <alignment horizontal="center" vertical="center"/>
    </xf>
    <xf numFmtId="0" fontId="45" fillId="27" borderId="4" applyAlignment="1" pivotButton="0" quotePrefix="0" xfId="0">
      <alignment horizontal="left" vertical="center" indent="1"/>
    </xf>
    <xf numFmtId="0" fontId="46" fillId="27" borderId="4" applyAlignment="1" pivotButton="0" quotePrefix="0" xfId="0">
      <alignment horizontal="center" vertical="center"/>
    </xf>
    <xf numFmtId="0" fontId="54" fillId="27" borderId="4" applyAlignment="1" pivotButton="0" quotePrefix="0" xfId="0">
      <alignment horizontal="left" vertical="center" indent="1"/>
    </xf>
    <xf numFmtId="0" fontId="55" fillId="27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0" fontId="58" fillId="0" borderId="0" applyAlignment="1" pivotButton="0" quotePrefix="0" xfId="0">
      <alignment horizontal="center" vertical="center"/>
    </xf>
    <xf numFmtId="0" fontId="60" fillId="32" borderId="4" applyAlignment="1" pivotButton="0" quotePrefix="0" xfId="0">
      <alignment horizontal="left" vertical="center" indent="1"/>
    </xf>
    <xf numFmtId="0" fontId="61" fillId="32" borderId="4" applyAlignment="1" pivotButton="0" quotePrefix="0" xfId="0">
      <alignment horizontal="center" vertical="center"/>
    </xf>
    <xf numFmtId="0" fontId="63" fillId="33" borderId="4" applyAlignment="1" pivotButton="0" quotePrefix="0" xfId="0">
      <alignment horizontal="left" vertical="center" indent="1"/>
    </xf>
    <xf numFmtId="0" fontId="64" fillId="33" borderId="4" applyAlignment="1" pivotButton="0" quotePrefix="0" xfId="0">
      <alignment horizontal="center" vertical="center"/>
    </xf>
    <xf numFmtId="0" fontId="65" fillId="34" borderId="4" applyAlignment="1" pivotButton="0" quotePrefix="0" xfId="0">
      <alignment horizontal="left" vertical="center" indent="1"/>
    </xf>
    <xf numFmtId="0" fontId="66" fillId="34" borderId="4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left" vertical="center"/>
    </xf>
    <xf numFmtId="0" fontId="13" fillId="7" borderId="4" applyAlignment="1" pivotButton="0" quotePrefix="0" xfId="0">
      <alignment horizontal="left" vertical="center" indent="1"/>
    </xf>
    <xf numFmtId="0" fontId="16" fillId="31" borderId="4" applyAlignment="1" pivotButton="0" quotePrefix="0" xfId="0">
      <alignment horizontal="left" vertical="center" indent="1"/>
    </xf>
    <xf numFmtId="0" fontId="22" fillId="31" borderId="4" applyAlignment="1" pivotButton="0" quotePrefix="0" xfId="0">
      <alignment horizontal="left" vertical="center" indent="1"/>
    </xf>
    <xf numFmtId="0" fontId="13" fillId="20" borderId="4" applyAlignment="1" pivotButton="0" quotePrefix="0" xfId="0">
      <alignment horizontal="left" vertical="center" indent="1"/>
    </xf>
    <xf numFmtId="0" fontId="5" fillId="0" borderId="4" applyAlignment="1" pivotButton="0" quotePrefix="0" xfId="0">
      <alignment horizontal="left" vertical="center"/>
    </xf>
    <xf numFmtId="0" fontId="28" fillId="17" borderId="4" applyAlignment="1" pivotButton="0" quotePrefix="0" xfId="0">
      <alignment horizontal="left" vertical="center" wrapText="1" indent="1"/>
    </xf>
    <xf numFmtId="0" fontId="10" fillId="36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71" fillId="0" borderId="4" applyAlignment="1" pivotButton="0" quotePrefix="0" xfId="0">
      <alignment vertical="center"/>
    </xf>
    <xf numFmtId="0" fontId="72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73" fillId="0" borderId="0" pivotButton="0" quotePrefix="0" xfId="0"/>
    <xf numFmtId="0" fontId="74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vertical="center" wrapText="1"/>
    </xf>
    <xf numFmtId="0" fontId="74" fillId="0" borderId="10" applyAlignment="1" pivotButton="0" quotePrefix="0" xfId="0">
      <alignment horizontal="center" vertical="center"/>
    </xf>
    <xf numFmtId="0" fontId="72" fillId="0" borderId="10" applyAlignment="1" pivotButton="0" quotePrefix="0" xfId="0">
      <alignment horizontal="center" vertical="center"/>
    </xf>
    <xf numFmtId="0" fontId="74" fillId="0" borderId="10" applyAlignment="1" pivotButton="0" quotePrefix="0" xfId="0">
      <alignment vertical="center"/>
    </xf>
    <xf numFmtId="0" fontId="75" fillId="38" borderId="10" applyAlignment="1" pivotButton="0" quotePrefix="0" xfId="0">
      <alignment horizontal="center" vertical="center"/>
    </xf>
    <xf numFmtId="0" fontId="76" fillId="0" borderId="4" applyAlignment="1" pivotButton="0" quotePrefix="0" xfId="1">
      <alignment vertical="center"/>
    </xf>
    <xf numFmtId="0" fontId="12" fillId="0" borderId="4" applyAlignment="1" pivotButton="0" quotePrefix="0" xfId="0">
      <alignment vertical="center" wrapText="1"/>
    </xf>
    <xf numFmtId="0" fontId="8" fillId="36" borderId="4" applyAlignment="1" pivotButton="0" quotePrefix="0" xfId="0">
      <alignment horizontal="center" vertical="center"/>
    </xf>
    <xf numFmtId="0" fontId="5" fillId="0" borderId="4" applyAlignment="1" pivotButton="0" quotePrefix="0" xfId="0">
      <alignment vertical="center" wrapText="1"/>
    </xf>
    <xf numFmtId="0" fontId="5" fillId="36" borderId="4" applyAlignment="1" pivotButton="0" quotePrefix="0" xfId="0">
      <alignment vertical="center"/>
    </xf>
    <xf numFmtId="0" fontId="8" fillId="39" borderId="4" applyAlignment="1" pivotButton="0" quotePrefix="0" xfId="0">
      <alignment horizontal="center" vertical="center"/>
    </xf>
    <xf numFmtId="0" fontId="5" fillId="40" borderId="4" applyAlignment="1" pivotButton="0" quotePrefix="0" xfId="0">
      <alignment vertical="center"/>
    </xf>
    <xf numFmtId="0" fontId="5" fillId="41" borderId="4" applyAlignment="1" pivotButton="0" quotePrefix="0" xfId="0">
      <alignment vertical="center"/>
    </xf>
    <xf numFmtId="0" fontId="81" fillId="0" borderId="4" applyAlignment="1" pivotButton="0" quotePrefix="0" xfId="0">
      <alignment vertical="center"/>
    </xf>
    <xf numFmtId="0" fontId="81" fillId="36" borderId="4" applyAlignment="1" pivotButton="0" quotePrefix="0" xfId="0">
      <alignment vertical="center"/>
    </xf>
    <xf numFmtId="0" fontId="70" fillId="29" borderId="9" applyAlignment="1" pivotButton="0" quotePrefix="0" xfId="0">
      <alignment horizontal="center" vertical="center"/>
    </xf>
    <xf numFmtId="0" fontId="0" fillId="0" borderId="9" pivotButton="0" quotePrefix="0" xfId="0"/>
    <xf numFmtId="0" fontId="78" fillId="31" borderId="6" applyAlignment="1" pivotButton="0" quotePrefix="0" xfId="0">
      <alignment horizontal="center" vertical="center"/>
    </xf>
    <xf numFmtId="0" fontId="0" fillId="0" borderId="7" pivotButton="0" quotePrefix="0" xfId="0"/>
    <xf numFmtId="0" fontId="77" fillId="30" borderId="0" applyAlignment="1" pivotButton="0" quotePrefix="0" xfId="0">
      <alignment horizontal="center" vertical="center"/>
    </xf>
    <xf numFmtId="0" fontId="0" fillId="0" borderId="0" pivotButton="0" quotePrefix="0" xfId="0"/>
    <xf numFmtId="0" fontId="79" fillId="37" borderId="7" applyAlignment="1" pivotButton="0" quotePrefix="0" xfId="0">
      <alignment horizontal="center" vertical="center"/>
    </xf>
    <xf numFmtId="0" fontId="80" fillId="0" borderId="8" applyAlignment="1" pivotButton="0" quotePrefix="0" xfId="0">
      <alignment horizontal="left" vertical="center"/>
    </xf>
    <xf numFmtId="0" fontId="0" fillId="0" borderId="2" pivotButton="0" quotePrefix="0" xfId="0"/>
    <xf numFmtId="0" fontId="68" fillId="29" borderId="0" applyAlignment="1" pivotButton="0" quotePrefix="0" xfId="0">
      <alignment horizontal="center" vertical="center" indent="1"/>
    </xf>
    <xf numFmtId="0" fontId="62" fillId="32" borderId="4" applyAlignment="1" pivotButton="0" quotePrefix="0" xfId="0">
      <alignment horizontal="center" vertical="center"/>
    </xf>
    <xf numFmtId="0" fontId="0" fillId="0" borderId="5" pivotButton="0" quotePrefix="0" xfId="0"/>
    <xf numFmtId="0" fontId="3" fillId="30" borderId="0" applyAlignment="1" pivotButton="0" quotePrefix="0" xfId="0">
      <alignment horizontal="left" vertical="center" indent="1"/>
    </xf>
    <xf numFmtId="0" fontId="69" fillId="35" borderId="0" applyAlignment="1" pivotButton="0" quotePrefix="0" xfId="0">
      <alignment horizontal="center" vertical="center"/>
    </xf>
    <xf numFmtId="0" fontId="59" fillId="24" borderId="4" applyAlignment="1" pivotButton="0" quotePrefix="0" xfId="0">
      <alignment horizontal="center" vertical="center"/>
    </xf>
    <xf numFmtId="0" fontId="59" fillId="22" borderId="4" applyAlignment="1" pivotButton="0" quotePrefix="0" xfId="0">
      <alignment horizontal="center" vertical="center"/>
    </xf>
    <xf numFmtId="0" fontId="59" fillId="5" borderId="4" applyAlignment="1" pivotButton="0" quotePrefix="0" xfId="0">
      <alignment horizontal="center" vertical="center"/>
    </xf>
    <xf numFmtId="0" fontId="59" fillId="3" borderId="4" applyAlignment="1" pivotButton="0" quotePrefix="0" xfId="0">
      <alignment horizontal="center" vertical="center"/>
    </xf>
    <xf numFmtId="0" fontId="3" fillId="12" borderId="0" applyAlignment="1" pivotButton="0" quotePrefix="0" xfId="0">
      <alignment horizontal="left" vertical="center" indent="1"/>
    </xf>
    <xf numFmtId="0" fontId="14" fillId="6" borderId="0" applyAlignment="1" pivotButton="0" quotePrefix="0" xfId="0">
      <alignment horizontal="center" vertical="center"/>
    </xf>
    <xf numFmtId="0" fontId="59" fillId="23" borderId="4" applyAlignment="1" pivotButton="0" quotePrefix="0" xfId="0">
      <alignment horizontal="center" vertical="center"/>
    </xf>
    <xf numFmtId="0" fontId="59" fillId="20" borderId="4" applyAlignment="1" pivotButton="0" quotePrefix="0" xfId="0">
      <alignment horizontal="center" vertical="center"/>
    </xf>
    <xf numFmtId="0" fontId="59" fillId="25" borderId="4" applyAlignment="1" pivotButton="0" quotePrefix="0" xfId="0">
      <alignment horizontal="center" vertical="center"/>
    </xf>
    <xf numFmtId="0" fontId="59" fillId="26" borderId="4" applyAlignment="1" pivotButton="0" quotePrefix="0" xfId="0">
      <alignment horizontal="center" vertical="center"/>
    </xf>
    <xf numFmtId="0" fontId="67" fillId="3" borderId="0" applyAlignment="1" pivotButton="0" quotePrefix="0" xfId="0">
      <alignment horizontal="left" vertical="center" indent="1"/>
    </xf>
    <xf numFmtId="0" fontId="1" fillId="19" borderId="0" applyAlignment="1" pivotButton="0" quotePrefix="0" xfId="0">
      <alignment horizontal="center" vertical="center"/>
    </xf>
  </cellXfs>
  <cellStyles count="2">
    <cellStyle name="عادي" xfId="0" builtinId="0"/>
    <cellStyle name="ارتباط تشعبي" xfId="1" builtinId="8"/>
  </cellStyles>
  <dxfs count="101">
    <dxf>
      <font>
        <name val="Arial"/>
        <b val="1"/>
        <color rgb="FFE65100"/>
        <sz val="10"/>
      </font>
      <fill>
        <patternFill>
          <bgColor rgb="FFFFF3E0"/>
        </patternFill>
      </fill>
    </dxf>
    <dxf>
      <font>
        <name val="Arial"/>
        <b val="1"/>
        <color rgb="FFC62828"/>
        <sz val="10"/>
      </font>
      <fill>
        <patternFill>
          <bgColor rgb="FFFFEBEE"/>
        </patternFill>
      </fill>
    </dxf>
    <dxf>
      <font>
        <name val="Arial"/>
        <b val="1"/>
        <color rgb="FFB71C1C"/>
        <sz val="10"/>
      </font>
      <fill>
        <patternFill>
          <bgColor rgb="FFFFCDD2"/>
        </patternFill>
      </fill>
    </dxf>
    <dxf>
      <font>
        <name val="Arial"/>
        <b val="1"/>
        <color rgb="FFB71C1C"/>
        <sz val="10"/>
      </font>
      <fill>
        <patternFill>
          <bgColor rgb="FFFFCDD2"/>
        </patternFill>
      </fill>
    </dxf>
    <dxf>
      <font>
        <name val="Arial"/>
        <b val="1"/>
        <color rgb="FFE65100"/>
        <sz val="10"/>
      </font>
      <fill>
        <patternFill>
          <bgColor rgb="FFFFE0B2"/>
        </patternFill>
      </fill>
    </dxf>
    <dxf>
      <font>
        <name val="Arial"/>
        <b val="1"/>
        <color rgb="FFE65100"/>
        <sz val="10"/>
      </font>
      <fill>
        <patternFill>
          <bgColor rgb="FFFFE0B2"/>
        </patternFill>
      </fill>
    </dxf>
    <dxf>
      <font>
        <name val="Arial"/>
        <b val="1"/>
        <color rgb="FFB71C1C"/>
        <sz val="10"/>
      </font>
      <fill>
        <patternFill>
          <bgColor rgb="FFFFCDD2"/>
        </patternFill>
      </fill>
    </dxf>
    <dxf>
      <font>
        <name val="Arial"/>
        <b val="1"/>
        <color rgb="FFE65100"/>
        <sz val="10"/>
      </font>
      <fill>
        <patternFill>
          <bgColor rgb="FFFFE0B2"/>
        </patternFill>
      </fill>
    </dxf>
    <dxf>
      <font>
        <name val="Arial"/>
        <b val="1"/>
        <color rgb="FFB71C1C"/>
        <sz val="10"/>
      </font>
      <fill>
        <patternFill>
          <bgColor rgb="FFFFCDD2"/>
        </patternFill>
      </fill>
    </dxf>
    <dxf>
      <font>
        <name val="Arial"/>
        <b val="1"/>
        <color rgb="FFE65100"/>
        <sz val="10"/>
      </font>
      <fill>
        <patternFill>
          <bgColor rgb="FFFFE0B2"/>
        </patternFill>
      </fill>
    </dxf>
    <dxf>
      <font>
        <name val="Arial"/>
        <b val="1"/>
        <color rgb="FFB71C1C"/>
        <sz val="10"/>
      </font>
      <fill>
        <patternFill>
          <bgColor rgb="FFFFCDD2"/>
        </patternFill>
      </fill>
    </dxf>
    <dxf>
      <font>
        <name val="Arial"/>
        <b val="1"/>
        <color rgb="FFB71C1C"/>
        <sz val="10"/>
      </font>
      <fill>
        <patternFill>
          <bgColor rgb="FFFFCDD2"/>
        </patternFill>
      </fill>
    </dxf>
    <dxf>
      <font>
        <name val="Arial"/>
        <b val="1"/>
        <color rgb="FFE65100"/>
        <sz val="10"/>
      </font>
      <fill>
        <patternFill>
          <bgColor rgb="FFFFE0B2"/>
        </patternFill>
      </fill>
    </dxf>
    <dxf>
      <font>
        <name val="Arial"/>
        <b val="1"/>
        <color rgb="FFB71C1C"/>
        <sz val="10"/>
      </font>
      <fill>
        <patternFill>
          <bgColor rgb="FFFFCDD2"/>
        </patternFill>
      </fill>
    </dxf>
    <dxf>
      <font>
        <name val="Arial"/>
        <b val="1"/>
        <color rgb="FFE65100"/>
        <sz val="10"/>
      </font>
      <fill>
        <patternFill>
          <bgColor rgb="FFFFE0B2"/>
        </patternFill>
      </fill>
    </dxf>
    <dxf>
      <font>
        <name val="Arial"/>
        <b val="1"/>
        <color rgb="FFFFFFFF"/>
        <sz val="10"/>
      </font>
      <fill>
        <patternFill>
          <bgColor rgb="FF546E7A"/>
        </patternFill>
      </fill>
    </dxf>
    <dxf>
      <font>
        <name val="Arial"/>
        <b val="1"/>
        <color rgb="FF33691E"/>
        <sz val="10"/>
      </font>
      <fill>
        <patternFill>
          <bgColor rgb="FFF9FBE7"/>
        </patternFill>
      </fill>
    </dxf>
    <dxf>
      <font>
        <name val="Arial"/>
        <b val="1"/>
        <color rgb="FF3E2723"/>
        <sz val="10"/>
      </font>
      <fill>
        <patternFill>
          <bgColor rgb="FFFFE0B2"/>
        </patternFill>
      </fill>
    </dxf>
    <dxf>
      <font>
        <name val="Arial"/>
        <b val="1"/>
        <color rgb="FFFFFFFF"/>
        <sz val="10"/>
      </font>
      <fill>
        <patternFill>
          <bgColor rgb="FF283593"/>
        </patternFill>
      </fill>
    </dxf>
    <dxf>
      <font>
        <name val="Arial"/>
        <b val="1"/>
        <color rgb="FF1A237E"/>
        <sz val="10"/>
      </font>
      <fill>
        <patternFill>
          <bgColor rgb="FFE3F2FD"/>
        </patternFill>
      </fill>
    </dxf>
    <dxf>
      <font>
        <name val="Arial"/>
        <b val="1"/>
        <color rgb="FF1B5E20"/>
        <sz val="10"/>
      </font>
      <fill>
        <patternFill>
          <bgColor rgb="FFC8E6C9"/>
        </patternFill>
      </fill>
    </dxf>
    <dxf>
      <font>
        <name val="Arial"/>
        <b val="1"/>
        <color rgb="FFFFFFFF"/>
        <sz val="10"/>
      </font>
      <fill>
        <patternFill>
          <bgColor rgb="FF7B1FA2"/>
        </patternFill>
      </fill>
    </dxf>
    <dxf>
      <font>
        <name val="Arial"/>
        <b val="1"/>
        <color rgb="FF0D47A1"/>
        <sz val="10"/>
      </font>
      <fill>
        <patternFill>
          <bgColor rgb="FFBBDEFB"/>
        </patternFill>
      </fill>
    </dxf>
    <dxf>
      <font>
        <name val="Arial"/>
        <b val="1"/>
        <color rgb="FF4E342E"/>
        <sz val="10"/>
      </font>
      <fill>
        <patternFill>
          <bgColor rgb="FFFFCCBC"/>
        </patternFill>
      </fill>
    </dxf>
    <dxf>
      <font>
        <name val="Arial"/>
        <b val="1"/>
        <color rgb="FFFFFFFF"/>
        <sz val="10"/>
      </font>
      <fill>
        <patternFill>
          <bgColor rgb="FF607D8B"/>
        </patternFill>
      </fill>
    </dxf>
    <dxf>
      <font>
        <name val="Arial"/>
        <b val="1"/>
        <color rgb="FFFFFFFF"/>
        <sz val="10"/>
      </font>
      <fill>
        <patternFill>
          <bgColor rgb="FF546E7A"/>
        </patternFill>
      </fill>
    </dxf>
    <dxf>
      <font>
        <name val="Arial"/>
        <b val="1"/>
        <color rgb="FF33691E"/>
        <sz val="10"/>
      </font>
      <fill>
        <patternFill>
          <bgColor rgb="FFF9FBE7"/>
        </patternFill>
      </fill>
    </dxf>
    <dxf>
      <font>
        <name val="Arial"/>
        <b val="1"/>
        <color rgb="FF3E2723"/>
        <sz val="10"/>
      </font>
      <fill>
        <patternFill>
          <bgColor rgb="FFFFE0B2"/>
        </patternFill>
      </fill>
    </dxf>
    <dxf>
      <font>
        <name val="Arial"/>
        <b val="1"/>
        <color rgb="FFFFFFFF"/>
        <sz val="10"/>
      </font>
      <fill>
        <patternFill>
          <bgColor rgb="FF283593"/>
        </patternFill>
      </fill>
    </dxf>
    <dxf>
      <font>
        <name val="Arial"/>
        <b val="1"/>
        <color rgb="FF1A237E"/>
        <sz val="10"/>
      </font>
      <fill>
        <patternFill>
          <bgColor rgb="FFE3F2FD"/>
        </patternFill>
      </fill>
    </dxf>
    <dxf>
      <font>
        <name val="Arial"/>
        <b val="1"/>
        <color rgb="FFFFFFFF"/>
        <sz val="10"/>
      </font>
      <fill>
        <patternFill>
          <bgColor rgb="FF607D8B"/>
        </patternFill>
      </fill>
    </dxf>
    <dxf>
      <font>
        <name val="Arial"/>
        <b val="1"/>
        <color rgb="FF4E342E"/>
        <sz val="10"/>
      </font>
      <fill>
        <patternFill>
          <bgColor rgb="FFFFCCBC"/>
        </patternFill>
      </fill>
    </dxf>
    <dxf>
      <font>
        <name val="Arial"/>
        <b val="1"/>
        <color rgb="FF0D47A1"/>
        <sz val="10"/>
      </font>
      <fill>
        <patternFill>
          <bgColor rgb="FFBBDEFB"/>
        </patternFill>
      </fill>
    </dxf>
    <dxf>
      <font>
        <name val="Arial"/>
        <b val="1"/>
        <color rgb="FFFFFFFF"/>
        <sz val="10"/>
      </font>
      <fill>
        <patternFill>
          <bgColor rgb="FF7B1FA2"/>
        </patternFill>
      </fill>
    </dxf>
    <dxf>
      <font>
        <name val="Arial"/>
        <b val="1"/>
        <color rgb="FF1B5E20"/>
        <sz val="10"/>
      </font>
      <fill>
        <patternFill>
          <bgColor rgb="FFC8E6C9"/>
        </patternFill>
      </fill>
    </dxf>
    <dxf>
      <font>
        <name val="Arial"/>
        <b val="1"/>
        <color rgb="FFE65100"/>
        <sz val="10"/>
      </font>
      <fill>
        <patternFill>
          <bgColor rgb="FFFFE0B2"/>
        </patternFill>
      </fill>
    </dxf>
    <dxf>
      <font>
        <name val="Arial"/>
        <b val="1"/>
        <color rgb="FFB71C1C"/>
        <sz val="10"/>
      </font>
      <fill>
        <patternFill>
          <bgColor rgb="FFFFCDD2"/>
        </patternFill>
      </fill>
    </dxf>
    <dxf>
      <font>
        <name val="Arial"/>
        <b val="1"/>
        <color rgb="FFE65100"/>
        <sz val="10"/>
      </font>
      <fill>
        <patternFill>
          <bgColor rgb="FFFFE0B2"/>
        </patternFill>
      </fill>
    </dxf>
    <dxf>
      <font>
        <color rgb="FF1D4ED8"/>
        <sz val="9"/>
      </font>
      <fill>
        <patternFill patternType="solid">
          <bgColor rgb="FFDBEAFE"/>
        </patternFill>
      </fill>
    </dxf>
    <dxf>
      <font>
        <color rgb="FFB45309"/>
        <sz val="9"/>
      </font>
      <fill>
        <patternFill patternType="solid">
          <bgColor rgb="FFFEF3C7"/>
        </patternFill>
      </fill>
    </dxf>
    <dxf>
      <font>
        <color rgb="FF7C3AED"/>
        <sz val="9"/>
      </font>
      <fill>
        <patternFill patternType="solid">
          <bgColor rgb="FFF3E8FF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 val="1"/>
        <color rgb="FFFFFFFF"/>
      </font>
      <fill>
        <patternFill patternType="solid">
          <bgColor rgb="FF17B8C8"/>
        </patternFill>
      </fill>
    </dxf>
    <dxf>
      <font>
        <name val="Arial"/>
        <b val="1"/>
        <color rgb="FFFFFFFF"/>
        <sz val="9"/>
      </font>
      <fill>
        <patternFill>
          <bgColor rgb="FF4527A0"/>
        </patternFill>
      </fill>
    </dxf>
    <dxf>
      <font>
        <name val="Arial"/>
        <b val="1"/>
        <color rgb="FFFFFFFF"/>
        <sz val="10"/>
      </font>
      <fill>
        <patternFill>
          <bgColor rgb="FF37474F"/>
        </patternFill>
      </fill>
    </dxf>
    <dxf>
      <font>
        <name val="Arial"/>
        <b val="1"/>
        <color rgb="FFFFFFFF"/>
        <sz val="10"/>
      </font>
      <fill>
        <patternFill>
          <bgColor rgb="FF1565C0"/>
        </patternFill>
      </fill>
    </dxf>
    <dxf>
      <font>
        <name val="Arial"/>
        <b val="1"/>
        <color rgb="FF9E9E9E"/>
        <sz val="10"/>
      </font>
      <fill>
        <patternFill>
          <bgColor rgb="FFF0F0F0"/>
        </patternFill>
      </fill>
    </dxf>
    <dxf>
      <font>
        <name val="Arial"/>
        <b val="1"/>
        <color rgb="FFBBBBBB"/>
        <sz val="9"/>
      </font>
      <fill>
        <patternFill>
          <bgColor rgb="FFEEEEEE"/>
        </patternFill>
      </fill>
    </dxf>
    <dxf>
      <font>
        <name val="Arial"/>
        <b val="1"/>
        <color rgb="FFFFFFFF"/>
        <sz val="9"/>
      </font>
      <fill>
        <patternFill>
          <bgColor rgb="FFBF360C"/>
        </patternFill>
      </fill>
    </dxf>
    <dxf>
      <font>
        <b val="1"/>
        <color rgb="FFBF360C"/>
      </font>
    </dxf>
    <dxf>
      <font>
        <b val="1"/>
        <color rgb="FF880E4F"/>
      </font>
    </dxf>
    <dxf>
      <font>
        <b val="1"/>
        <color rgb="FFE65100"/>
      </font>
    </dxf>
    <dxf>
      <font>
        <b val="1"/>
        <color rgb="FF4E342E"/>
      </font>
    </dxf>
    <dxf>
      <font>
        <b val="1"/>
        <color rgb="FF2E7D32"/>
      </font>
    </dxf>
    <dxf>
      <font>
        <b val="1"/>
        <color rgb="FF37474F"/>
      </font>
    </dxf>
    <dxf>
      <font>
        <b val="1"/>
        <color rgb="FF6A1B9A"/>
      </font>
    </dxf>
    <dxf>
      <font>
        <b val="1"/>
        <color rgb="FF1565C0"/>
      </font>
    </dxf>
    <dxf>
      <font>
        <name val="Arial"/>
        <b val="1"/>
        <color rgb="FF757575"/>
        <sz val="9"/>
      </font>
      <fill>
        <patternFill>
          <bgColor rgb="FFF5F5F5"/>
        </patternFill>
      </fill>
    </dxf>
    <dxf>
      <font>
        <name val="Arial"/>
        <b val="1"/>
        <color rgb="FF2E7D32"/>
        <sz val="9"/>
      </font>
    </dxf>
    <dxf>
      <font>
        <name val="Arial"/>
        <b val="1"/>
        <color rgb="FFF9A825"/>
        <sz val="9"/>
      </font>
      <fill>
        <patternFill>
          <bgColor rgb="FFFFFDE7"/>
        </patternFill>
      </fill>
    </dxf>
    <dxf>
      <font>
        <name val="Arial"/>
        <b val="1"/>
        <color rgb="FFFF6D00"/>
        <sz val="9"/>
      </font>
      <fill>
        <patternFill>
          <bgColor rgb="FFFFF0E0"/>
        </patternFill>
      </fill>
    </dxf>
    <dxf>
      <font>
        <name val="Arial"/>
        <b val="1"/>
        <color rgb="FFFF1744"/>
        <sz val="9"/>
      </font>
      <fill>
        <patternFill>
          <bgColor rgb="FFFFE5E8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b val="1"/>
        <color rgb="FFB71C1C"/>
      </font>
      <fill>
        <patternFill patternType="solid">
          <bgColor rgb="FFFFCDD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b val="1"/>
        <color rgb="FFE65100"/>
      </font>
      <fill>
        <patternFill patternType="solid">
          <bgColor rgb="FFFFE0B2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name val="Arial"/>
        <b val="1"/>
        <color rgb="FFFFFFFF"/>
        <sz val="10"/>
      </font>
      <fill>
        <patternFill>
          <bgColor rgb="FFB71C1C"/>
        </patternFill>
      </fill>
    </dxf>
    <dxf>
      <font>
        <name val="Arial"/>
        <b val="1"/>
        <color rgb="FFFFFFFF"/>
        <sz val="10"/>
      </font>
      <fill>
        <patternFill>
          <bgColor rgb="FF546E7A"/>
        </patternFill>
      </fill>
    </dxf>
    <dxf>
      <font>
        <name val="Arial"/>
        <b val="1"/>
        <color rgb="FF33691E"/>
        <sz val="10"/>
      </font>
      <fill>
        <patternFill>
          <bgColor rgb="FFF9FBE7"/>
        </patternFill>
      </fill>
    </dxf>
    <dxf>
      <font>
        <name val="Arial"/>
        <b val="1"/>
        <color rgb="FF3E2723"/>
        <sz val="10"/>
      </font>
      <fill>
        <patternFill>
          <bgColor rgb="FFFFE0B2"/>
        </patternFill>
      </fill>
    </dxf>
    <dxf>
      <font>
        <name val="Arial"/>
        <b val="1"/>
        <color rgb="FFFFFFFF"/>
        <sz val="10"/>
      </font>
      <fill>
        <patternFill>
          <bgColor rgb="FF283593"/>
        </patternFill>
      </fill>
    </dxf>
    <dxf>
      <font>
        <name val="Arial"/>
        <b val="1"/>
        <color rgb="FF1A237E"/>
        <sz val="10"/>
      </font>
      <fill>
        <patternFill>
          <bgColor rgb="FFE3F2FD"/>
        </patternFill>
      </fill>
    </dxf>
    <dxf>
      <font>
        <name val="Arial"/>
        <b val="1"/>
        <color rgb="FF1B5E20"/>
        <sz val="10"/>
      </font>
      <fill>
        <patternFill>
          <bgColor rgb="FFC8E6C9"/>
        </patternFill>
      </fill>
    </dxf>
    <dxf>
      <font>
        <name val="Arial"/>
        <b val="1"/>
        <color rgb="FFFFFFFF"/>
        <sz val="10"/>
      </font>
      <fill>
        <patternFill>
          <bgColor rgb="FF7B1FA2"/>
        </patternFill>
      </fill>
    </dxf>
    <dxf>
      <font>
        <name val="Arial"/>
        <b val="1"/>
        <color rgb="FF0D47A1"/>
        <sz val="10"/>
      </font>
      <fill>
        <patternFill>
          <bgColor rgb="FFBBDEFB"/>
        </patternFill>
      </fill>
    </dxf>
    <dxf>
      <font>
        <name val="Arial"/>
        <b val="1"/>
        <color rgb="FF4E342E"/>
        <sz val="10"/>
      </font>
      <fill>
        <patternFill>
          <bgColor rgb="FFFFCCBC"/>
        </patternFill>
      </fill>
    </dxf>
    <dxf>
      <font>
        <name val="Arial"/>
        <b val="1"/>
        <color rgb="FFFFFFFF"/>
        <sz val="10"/>
      </font>
      <fill>
        <patternFill>
          <bgColor rgb="FF607D8B"/>
        </patternFill>
      </fill>
    </dxf>
    <dxf>
      <font>
        <b val="1"/>
        <color rgb="FFB71C1C"/>
      </font>
      <fill>
        <patternFill patternType="solid">
          <bgColor rgb="FFFFCDD2"/>
        </patternFill>
      </fill>
    </dxf>
    <dxf>
      <font>
        <b val="1"/>
        <color rgb="FFE65100"/>
      </font>
      <fill>
        <patternFill patternType="solid">
          <bgColor rgb="FFFFE0B2"/>
        </patternFill>
      </fill>
    </dxf>
    <dxf>
      <font>
        <b val="1"/>
        <color rgb="FFE65100"/>
      </font>
      <fill>
        <patternFill patternType="solid">
          <bgColor rgb="FFFFE0B2"/>
        </patternFill>
      </fill>
    </dxf>
    <dxf>
      <font>
        <b val="1"/>
        <color rgb="FFB71C1C"/>
      </font>
      <fill>
        <patternFill patternType="solid">
          <bgColor rgb="FFFFCDD2"/>
        </patternFill>
      </fill>
    </dxf>
    <dxf>
      <font>
        <b val="1"/>
        <color rgb="FFE65100"/>
      </font>
      <fill>
        <patternFill patternType="solid">
          <bgColor rgb="FFFFE0B2"/>
        </patternFill>
      </fill>
    </dxf>
    <dxf>
      <font>
        <b val="1"/>
        <color rgb="FFB71C1C"/>
      </font>
      <fill>
        <patternFill patternType="solid">
          <bgColor rgb="FFFFCDD2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b val="1"/>
        <strike val="0"/>
        <outline val="0"/>
        <shadow val="0"/>
        <condense val="0"/>
        <color rgb="FFC62828"/>
        <extend val="0"/>
        <sz val="10"/>
        <vertAlign val="baseline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name val="Arial"/>
        <b val="1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rackerTable13" displayName="TrackerTable13" ref="A3:K1002" headerRowCount="1" totalsRowShown="0">
  <autoFilter ref="A3:K1002"/>
  <sortState ref="A4:J1002">
    <sortCondition ref="I3:I1002"/>
  </sortState>
  <tableColumns count="11">
    <tableColumn id="1" name="Seq._x000a_No."/>
    <tableColumn id="2" name="WO / Event_x000a_Number"/>
    <tableColumn id="3" name="Task Description"/>
    <tableColumn id="4" name="Category"/>
    <tableColumn id="5" name="Status"/>
    <tableColumn id="6" name="Priority"/>
    <tableColumn id="7" name="Specialty"/>
    <tableColumn id="8" name="PARTS_x000a_REQ." dataDxfId="100"/>
    <tableColumn id="9" name="Remarks" dataDxfId="99"/>
    <tableColumn id="10" name="Time EVAL?" dataDxfId="98"/>
    <tableColumn id="11" name="A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indingsDraftTable6" displayName="FindingsDraftTable6" ref="A3:K157" headerRowCount="1">
  <autoFilter ref="A3:K157"/>
  <tableColumns count="11">
    <tableColumn id="1" name="#"/>
    <tableColumn id="9" name=" By" dataDxfId="97"/>
    <tableColumn id="2" name="Category" dataDxfId="96"/>
    <tableColumn id="4" name="Sub-Category" dataDxfId="95"/>
    <tableColumn id="3" name="Finding Description" dataDxfId="94"/>
    <tableColumn id="7" name="Remarks" dataDxfId="93"/>
    <tableColumn id="10" name="Photo URL"/>
    <tableColumn id="5" name="AMOS Status" dataDxfId="92"/>
    <tableColumn id="6" name="WO No." dataDxfId="91"/>
    <tableColumn id="8" name="P/N Required" dataDxfId="90"/>
    <tableColumn id="11" name="Qty" dataDxfId="89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i.ibb.co/QvkGH4GN/2133f228a54e.jpg" TargetMode="External" Id="rId1"/><Relationship Type="http://schemas.openxmlformats.org/officeDocument/2006/relationships/hyperlink" Target="https://i.ibb.co/9kG3gS87/885f1263c4b8.jpg" TargetMode="External" Id="rId2"/><Relationship Type="http://schemas.openxmlformats.org/officeDocument/2006/relationships/hyperlink" Target="https://i.ibb.co/Q3qcK5VM/9f8fcdd169e1.jpg" TargetMode="External" Id="rId3"/><Relationship Type="http://schemas.openxmlformats.org/officeDocument/2006/relationships/hyperlink" Target="https://i.ibb.co/C3x90KXc/6a668d46a2cf.jpg" TargetMode="External" Id="rId4"/><Relationship Type="http://schemas.openxmlformats.org/officeDocument/2006/relationships/hyperlink" Target="https://i.ibb.co/jvCZhrmg/7d9768c8e308.jpg" TargetMode="External" Id="rId5"/><Relationship Type="http://schemas.openxmlformats.org/officeDocument/2006/relationships/hyperlink" Target="https://i.ibb.co/Z6wVYkxP/5c3d5c9daf60.jpg" TargetMode="External" Id="rId6"/><Relationship Type="http://schemas.openxmlformats.org/officeDocument/2006/relationships/hyperlink" Target="https://i.ibb.co/QFscwxjY/8ad08b79170d.jpg" TargetMode="External" Id="rId7"/><Relationship Type="http://schemas.openxmlformats.org/officeDocument/2006/relationships/hyperlink" Target="https://i.ibb.co/1Y4wsYSJ/813e1a75ef91.jpg" TargetMode="External" Id="rId8"/><Relationship Type="http://schemas.openxmlformats.org/officeDocument/2006/relationships/hyperlink" Target="https://i.ibb.co/1Y4wsYSJ/813e1a75ef91.jpg" TargetMode="External" Id="rId9"/><Relationship Type="http://schemas.openxmlformats.org/officeDocument/2006/relationships/hyperlink" Target="https://i.ibb.co/jvwwc8nF/9906f344dd92.jpg" TargetMode="External" Id="rId10"/><Relationship Type="http://schemas.openxmlformats.org/officeDocument/2006/relationships/hyperlink" Target="https://i.ibb.co/Z65R8btD/ba3eb900cb73.jpg" TargetMode="External" Id="rId11"/><Relationship Type="http://schemas.openxmlformats.org/officeDocument/2006/relationships/hyperlink" Target="https://i.ibb.co/HTct01dB/c871b1f2c316.jpg" TargetMode="External" Id="rId12"/><Relationship Type="http://schemas.openxmlformats.org/officeDocument/2006/relationships/hyperlink" Target="https://i.ibb.co/DHV4TfTZ/becdfce1cd48.jpg" TargetMode="External" Id="rId13"/><Relationship Type="http://schemas.openxmlformats.org/officeDocument/2006/relationships/hyperlink" Target="https://i.ibb.co/Vc23wV6s/d97b3d0f503d.jpg" TargetMode="External" Id="rId14"/><Relationship Type="http://schemas.openxmlformats.org/officeDocument/2006/relationships/hyperlink" Target="https://i.ibb.co/j9Sx4rbp/8d68053ab10f.jpg" TargetMode="External" Id="rId15"/><Relationship Type="http://schemas.openxmlformats.org/officeDocument/2006/relationships/hyperlink" Target="https://i.ibb.co/v4xWgNG2/ca55a6de0799.jpg" TargetMode="External" Id="rId16"/><Relationship Type="http://schemas.openxmlformats.org/officeDocument/2006/relationships/hyperlink" Target="https://i.ibb.co/cX1YSVxz/e4fdcb10fd6f.jpg" TargetMode="External" Id="rId17"/><Relationship Type="http://schemas.openxmlformats.org/officeDocument/2006/relationships/hyperlink" Target="https://i.ibb.co/j9Ph7zwF/cff2b7d75a45.jpg" TargetMode="External" Id="rId18"/><Relationship Type="http://schemas.openxmlformats.org/officeDocument/2006/relationships/hyperlink" Target="https://i.ibb.co/sJHHgLJ5/05dabf7f4f6d.jpg" TargetMode="External" Id="rId19"/><Relationship Type="http://schemas.openxmlformats.org/officeDocument/2006/relationships/hyperlink" Target="https://i.ibb.co/RkQZ0nm8/e63f1c035f2f.jpg" TargetMode="External" Id="rId20"/><Relationship Type="http://schemas.openxmlformats.org/officeDocument/2006/relationships/hyperlink" Target="https://i.ibb.co/tMv1RN30/a8351414fa95.jpg" TargetMode="External" Id="rId21"/><Relationship Type="http://schemas.openxmlformats.org/officeDocument/2006/relationships/hyperlink" Target="https://i.ibb.co/N25bxGVg/6fedffd831a8.jpg" TargetMode="External" Id="rId22"/><Relationship Type="http://schemas.openxmlformats.org/officeDocument/2006/relationships/hyperlink" Target="https://i.ibb.co/Qq0CfWg/61f4131f873c.jpg" TargetMode="External" Id="rId23"/><Relationship Type="http://schemas.openxmlformats.org/officeDocument/2006/relationships/hyperlink" Target="https://i.ibb.co/VYJ2hmp8/f4745d62c3ae.jpg" TargetMode="External" Id="rId24"/><Relationship Type="http://schemas.openxmlformats.org/officeDocument/2006/relationships/hyperlink" Target="https://i.ibb.co/qYsQtymV/051170f66490.jpg" TargetMode="External" Id="rId25"/><Relationship Type="http://schemas.openxmlformats.org/officeDocument/2006/relationships/hyperlink" Target="https://i.ibb.co/CKLXDv05/31e2a52c6e94.jpg" TargetMode="External" Id="rId26"/><Relationship Type="http://schemas.openxmlformats.org/officeDocument/2006/relationships/hyperlink" Target="https://i.ibb.co/ZRgD9Vt9/1bccac82848f.jpg" TargetMode="External" Id="rId27"/><Relationship Type="http://schemas.openxmlformats.org/officeDocument/2006/relationships/table" Target="/xl/tables/table2.xml" Id="rId2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02"/>
  <sheetViews>
    <sheetView showGridLines="0" tabSelected="1" zoomScale="70" zoomScaleNormal="70" workbookViewId="0">
      <pane ySplit="3" topLeftCell="A4" activePane="bottomLeft" state="frozen"/>
      <selection activeCell="H1" sqref="H1"/>
      <selection pane="bottomLeft" activeCell="B141" sqref="B141"/>
    </sheetView>
  </sheetViews>
  <sheetFormatPr baseColWidth="8" defaultColWidth="8.6640625" defaultRowHeight="14.4"/>
  <cols>
    <col width="7.33203125" customWidth="1" style="104" min="1" max="1"/>
    <col width="13" customWidth="1" style="104" min="2" max="2"/>
    <col width="144.88671875" customWidth="1" style="104" min="3" max="3"/>
    <col width="21.6640625" bestFit="1" customWidth="1" style="80" min="4" max="4"/>
    <col width="18.6640625" bestFit="1" customWidth="1" style="104" min="5" max="5"/>
    <col width="11.6640625" bestFit="1" customWidth="1" style="104" min="6" max="6"/>
    <col width="10" customWidth="1" style="104" min="7" max="7"/>
    <col width="18.5546875" customWidth="1" style="104" min="8" max="8"/>
    <col width="53.44140625" customWidth="1" style="104" min="9" max="9"/>
    <col width="10" customWidth="1" style="104" min="10" max="10"/>
    <col width="9" customWidth="1" style="104" min="11" max="11"/>
  </cols>
  <sheetData>
    <row r="1" ht="34.2" customHeight="1" s="104">
      <c r="A1" s="99" t="inlineStr">
        <is>
          <t>POOL CABIN  ✈ HZ-ASF ✈  C7-CHECK WORK PACKAGE TRACKER</t>
        </is>
      </c>
      <c r="B1" s="100" t="n"/>
      <c r="C1" s="100" t="n"/>
      <c r="D1" s="100" t="n"/>
      <c r="E1" s="105">
        <f>"Day "&amp;TEXT(MAX(1,MIN(TODAY()-DATE(2026,6,8)+1,36)),"0")&amp;"/36"</f>
        <v/>
      </c>
      <c r="G1" s="103">
        <f>"✅ "&amp;COUNTIFS(B4:B1002,"&lt;&gt;",E4:E1002,"Closed")&amp;" / "&amp;COUNTIF(B4:B1002,"&lt;&gt;")&amp;" Closed ("&amp;TEXT(IFERROR(COUNTIFS(B4:B1002,"&lt;&gt;",E4:E1002,"Closed")/COUNTIF(B4:B1002,"&lt;&gt;"),0),"0%")&amp;")"</f>
        <v/>
      </c>
    </row>
    <row r="2" ht="19.95" customHeight="1" s="104">
      <c r="A2" s="106" t="inlineStr">
        <is>
          <t xml:space="preserve">UPDATED: 25 MAY -- DAY SHIFT </t>
        </is>
      </c>
      <c r="B2" s="107" t="n"/>
      <c r="C2" s="107" t="n"/>
      <c r="D2" s="107" t="n"/>
      <c r="E2" s="102" t="n"/>
      <c r="F2" s="102" t="n"/>
      <c r="G2" s="101">
        <f>"AOG/Critical: "&amp;COUNTIFS(B4:B1002,"&lt;&gt;",F4:F1002,"AOG")+COUNTIFS(B4:B1002,"&lt;&gt;",F4:F1002,"Critical")</f>
        <v/>
      </c>
      <c r="H2" s="102" t="n"/>
      <c r="I2" s="102" t="n"/>
      <c r="J2" s="102" t="n"/>
      <c r="K2" s="102" t="n"/>
    </row>
    <row r="3" ht="31.5" customFormat="1" customHeight="1" s="1">
      <c r="A3" s="4" t="inlineStr">
        <is>
          <t>Seq.
No.</t>
        </is>
      </c>
      <c r="B3" s="4" t="inlineStr">
        <is>
          <t>WO / Event
Number</t>
        </is>
      </c>
      <c r="C3" s="4" t="inlineStr">
        <is>
          <t>Task Description</t>
        </is>
      </c>
      <c r="D3" s="4" t="inlineStr">
        <is>
          <t>Category</t>
        </is>
      </c>
      <c r="E3" s="4" t="inlineStr">
        <is>
          <t>Status</t>
        </is>
      </c>
      <c r="F3" s="4" t="inlineStr">
        <is>
          <t>Priority</t>
        </is>
      </c>
      <c r="G3" s="5" t="inlineStr">
        <is>
          <t>Specialty</t>
        </is>
      </c>
      <c r="H3" s="5" t="inlineStr">
        <is>
          <t>PARTS
REQ.</t>
        </is>
      </c>
      <c r="I3" s="4" t="inlineStr">
        <is>
          <t>Remarks</t>
        </is>
      </c>
      <c r="J3" s="5" t="inlineStr">
        <is>
          <t>Time EVAL?</t>
        </is>
      </c>
      <c r="K3" s="5" t="inlineStr">
        <is>
          <t>AREA</t>
        </is>
      </c>
    </row>
    <row r="4" ht="18" customHeight="1" s="104">
      <c r="A4" s="74" t="n">
        <v>1</v>
      </c>
      <c r="B4" s="69" t="n">
        <v>31956294</v>
      </c>
      <c r="C4" s="8" t="inlineStr">
        <is>
          <t>C_N (C_N07)/C-CHECK</t>
        </is>
      </c>
      <c r="D4" s="9" t="inlineStr">
        <is>
          <t>TASK CARD</t>
        </is>
      </c>
      <c r="E4" s="10" t="inlineStr">
        <is>
          <t>Open</t>
        </is>
      </c>
      <c r="F4" s="10" t="inlineStr">
        <is>
          <t>Normal</t>
        </is>
      </c>
      <c r="G4" s="9" t="inlineStr">
        <is>
          <t>AP</t>
        </is>
      </c>
      <c r="H4" s="11" t="n"/>
      <c r="I4" s="77" t="n"/>
      <c r="J4" s="10" t="inlineStr">
        <is>
          <t>N/A</t>
        </is>
      </c>
      <c r="K4" s="10" t="inlineStr">
        <is>
          <t>N/A</t>
        </is>
      </c>
    </row>
    <row r="5" ht="18" customHeight="1" s="104">
      <c r="A5" s="74" t="n">
        <v>2</v>
      </c>
      <c r="B5" s="69" t="inlineStr">
        <is>
          <t>05-00-00-05-SVA</t>
        </is>
      </c>
      <c r="C5" s="8" t="inlineStr">
        <is>
          <t>05-00-00-05-SVA (03) / FINAL PRODUCT QUALITY INSPECTION</t>
        </is>
      </c>
      <c r="D5" s="9" t="inlineStr">
        <is>
          <t>TASK CARD</t>
        </is>
      </c>
      <c r="E5" s="10" t="inlineStr">
        <is>
          <t>Open</t>
        </is>
      </c>
      <c r="F5" s="10" t="inlineStr">
        <is>
          <t>Normal</t>
        </is>
      </c>
      <c r="G5" s="9" t="inlineStr">
        <is>
          <t>INSP</t>
        </is>
      </c>
      <c r="H5" s="11" t="n"/>
      <c r="I5" s="77" t="n"/>
      <c r="J5" s="10" t="inlineStr">
        <is>
          <t>N/A</t>
        </is>
      </c>
      <c r="K5" s="10" t="inlineStr">
        <is>
          <t>N/A</t>
        </is>
      </c>
    </row>
    <row r="6" ht="18" customHeight="1" s="104">
      <c r="A6" s="74" t="n">
        <v>3</v>
      </c>
      <c r="B6" s="69" t="inlineStr">
        <is>
          <t>08-10-00-01-0-A</t>
        </is>
      </c>
      <c r="C6" s="8" t="inlineStr">
        <is>
          <t>08-10-00-01-0-A (01) / WIGHT &amp; BALANCE</t>
        </is>
      </c>
      <c r="D6" s="9" t="inlineStr">
        <is>
          <t>TASK CARD</t>
        </is>
      </c>
      <c r="E6" s="10" t="inlineStr">
        <is>
          <t>Open</t>
        </is>
      </c>
      <c r="F6" s="10" t="inlineStr">
        <is>
          <t>Normal</t>
        </is>
      </c>
      <c r="G6" s="9" t="inlineStr">
        <is>
          <t>AP</t>
        </is>
      </c>
      <c r="H6" s="11" t="n"/>
      <c r="I6" s="77" t="n"/>
      <c r="J6" s="10" t="inlineStr">
        <is>
          <t>N/A</t>
        </is>
      </c>
      <c r="K6" s="10" t="inlineStr">
        <is>
          <t>N/A</t>
        </is>
      </c>
    </row>
    <row r="7" ht="18" customHeight="1" s="104">
      <c r="A7" s="74" t="n">
        <v>24</v>
      </c>
      <c r="B7" s="69" t="inlineStr">
        <is>
          <t>25-11-00-03-0-SVA-001</t>
        </is>
      </c>
      <c r="C7" s="8" t="inlineStr">
        <is>
          <t>25-11-00-03-0-SVA-001 (02) / THIRD OCCUPANT SEAT BOTTOM CUSHION REPLACMENT</t>
        </is>
      </c>
      <c r="D7" s="9" t="inlineStr">
        <is>
          <t>TASK CARD</t>
        </is>
      </c>
      <c r="E7" s="10" t="inlineStr">
        <is>
          <t>Open</t>
        </is>
      </c>
      <c r="F7" s="10" t="inlineStr">
        <is>
          <t>Normal</t>
        </is>
      </c>
      <c r="G7" s="9" t="inlineStr">
        <is>
          <t>CAB</t>
        </is>
      </c>
      <c r="H7" s="11" t="inlineStr">
        <is>
          <t>Requested</t>
        </is>
      </c>
      <c r="I7" s="10" t="inlineStr">
        <is>
          <t>AFTER COCKPIT CLOSE UP</t>
        </is>
      </c>
      <c r="J7" s="10" t="inlineStr">
        <is>
          <t>N/A</t>
        </is>
      </c>
      <c r="K7" s="10" t="inlineStr">
        <is>
          <t>FWD</t>
        </is>
      </c>
    </row>
    <row r="8" ht="18" customHeight="1" s="104">
      <c r="A8" s="74" t="n">
        <v>25</v>
      </c>
      <c r="B8" s="69" t="inlineStr">
        <is>
          <t>25-11-00-08-0-SVA</t>
        </is>
      </c>
      <c r="C8" s="8" t="inlineStr">
        <is>
          <t>25-11-00-08-0-SVA (02) / CAPTAIN AND F/O SEATS BOTTOM REPLACMENT</t>
        </is>
      </c>
      <c r="D8" s="9" t="inlineStr">
        <is>
          <t>TASK CARD</t>
        </is>
      </c>
      <c r="E8" s="10" t="inlineStr">
        <is>
          <t>Open</t>
        </is>
      </c>
      <c r="F8" s="10" t="inlineStr">
        <is>
          <t>Normal</t>
        </is>
      </c>
      <c r="G8" s="9" t="inlineStr">
        <is>
          <t>CAB</t>
        </is>
      </c>
      <c r="H8" s="11" t="inlineStr">
        <is>
          <t>Requested</t>
        </is>
      </c>
      <c r="I8" s="10" t="inlineStr">
        <is>
          <t>AFTER COCKPIT CLOSE UP</t>
        </is>
      </c>
      <c r="J8" s="10" t="inlineStr">
        <is>
          <t>N/A</t>
        </is>
      </c>
      <c r="K8" s="10" t="inlineStr">
        <is>
          <t>FWD</t>
        </is>
      </c>
    </row>
    <row r="9" ht="18" customHeight="1" s="104">
      <c r="A9" s="74" t="n">
        <v>26</v>
      </c>
      <c r="B9" s="69" t="inlineStr">
        <is>
          <t>25-11-00-09-0-SVA</t>
        </is>
      </c>
      <c r="C9" s="8" t="inlineStr">
        <is>
          <t>25-11-00-09-0-SVA (03) / CAPTAIN &amp; F/O SEATS COVERS REPLACMENT</t>
        </is>
      </c>
      <c r="D9" s="9" t="inlineStr">
        <is>
          <t>TASK CARD</t>
        </is>
      </c>
      <c r="E9" s="10" t="inlineStr">
        <is>
          <t>Open</t>
        </is>
      </c>
      <c r="F9" s="10" t="inlineStr">
        <is>
          <t>Normal</t>
        </is>
      </c>
      <c r="G9" s="9" t="inlineStr">
        <is>
          <t>CAB</t>
        </is>
      </c>
      <c r="H9" s="11" t="inlineStr">
        <is>
          <t>Requested</t>
        </is>
      </c>
      <c r="I9" s="10" t="inlineStr">
        <is>
          <t>AFTER COCKPIT CLOSE UP</t>
        </is>
      </c>
      <c r="J9" s="10" t="inlineStr">
        <is>
          <t>N/A</t>
        </is>
      </c>
      <c r="K9" s="10" t="inlineStr">
        <is>
          <t>FWD</t>
        </is>
      </c>
    </row>
    <row r="10" ht="18" customHeight="1" s="104">
      <c r="A10" s="74" t="n">
        <v>27</v>
      </c>
      <c r="B10" s="69" t="inlineStr">
        <is>
          <t>25-11-00-17-0-SVA-002</t>
        </is>
      </c>
      <c r="C10" s="8" t="inlineStr">
        <is>
          <t>25-11-00-17-0-SVA-002 (02) / FOURTH OCCUPANT SEAT BOTTOM CUSHION REPLACMENT</t>
        </is>
      </c>
      <c r="D10" s="9" t="inlineStr">
        <is>
          <t>TASK CARD</t>
        </is>
      </c>
      <c r="E10" s="10" t="inlineStr">
        <is>
          <t>Open</t>
        </is>
      </c>
      <c r="F10" s="10" t="inlineStr">
        <is>
          <t>Normal</t>
        </is>
      </c>
      <c r="G10" s="9" t="inlineStr">
        <is>
          <t>CAB</t>
        </is>
      </c>
      <c r="H10" s="11" t="inlineStr">
        <is>
          <t>Requested</t>
        </is>
      </c>
      <c r="I10" s="10" t="inlineStr">
        <is>
          <t>AFTER COCKPIT CLOSE UP</t>
        </is>
      </c>
      <c r="J10" s="10" t="inlineStr">
        <is>
          <t>N/A</t>
        </is>
      </c>
      <c r="K10" s="10" t="inlineStr">
        <is>
          <t>FWD</t>
        </is>
      </c>
    </row>
    <row r="11" ht="18" customHeight="1" s="104">
      <c r="A11" s="74" t="n">
        <v>28</v>
      </c>
      <c r="B11" s="69" t="inlineStr">
        <is>
          <t>25-28-00-04-0-SVA-001</t>
        </is>
      </c>
      <c r="C11" s="8" t="inlineStr">
        <is>
          <t>25-28-00-04-0-SVA-001 (03) / A320(HZ-ASA TO ASG) CARPETS&amp;MATS R/R</t>
        </is>
      </c>
      <c r="D11" s="9" t="inlineStr">
        <is>
          <t>TASK CARD</t>
        </is>
      </c>
      <c r="E11" s="10" t="inlineStr">
        <is>
          <t>Open</t>
        </is>
      </c>
      <c r="F11" s="10" t="inlineStr">
        <is>
          <t>Normal</t>
        </is>
      </c>
      <c r="G11" s="9" t="inlineStr">
        <is>
          <t>CAB</t>
        </is>
      </c>
      <c r="H11" s="11" t="inlineStr">
        <is>
          <t>Requested</t>
        </is>
      </c>
      <c r="I11" s="10" t="inlineStr">
        <is>
          <t>P/S 4467509</t>
        </is>
      </c>
      <c r="J11" s="10" t="inlineStr">
        <is>
          <t>N/A</t>
        </is>
      </c>
      <c r="K11" s="10" t="inlineStr">
        <is>
          <t>JOINT</t>
        </is>
      </c>
    </row>
    <row r="12" ht="18" customHeight="1" s="104">
      <c r="A12" s="74" t="n">
        <v>29</v>
      </c>
      <c r="B12" s="69" t="inlineStr">
        <is>
          <t>25-28-00-04-0-SVA-002</t>
        </is>
      </c>
      <c r="C12" s="8" t="inlineStr">
        <is>
          <t>25-28-00-04-0-SVA-002 (03) / COCKPIT COMPARTMENT CARPETS REPLCMNT</t>
        </is>
      </c>
      <c r="D12" s="9" t="inlineStr">
        <is>
          <t>TASK CARD</t>
        </is>
      </c>
      <c r="E12" s="10" t="inlineStr">
        <is>
          <t>Open</t>
        </is>
      </c>
      <c r="F12" s="10" t="inlineStr">
        <is>
          <t>Normal</t>
        </is>
      </c>
      <c r="G12" s="9" t="inlineStr">
        <is>
          <t>CAB</t>
        </is>
      </c>
      <c r="H12" s="11" t="inlineStr">
        <is>
          <t>Requested</t>
        </is>
      </c>
      <c r="I12" s="10" t="inlineStr">
        <is>
          <t>P/S 4467511</t>
        </is>
      </c>
      <c r="J12" s="10" t="inlineStr">
        <is>
          <t>N/A</t>
        </is>
      </c>
      <c r="K12" s="10" t="inlineStr">
        <is>
          <t>FWD</t>
        </is>
      </c>
    </row>
    <row r="13" ht="18" customHeight="1" s="104">
      <c r="A13" s="74" t="n">
        <v>30</v>
      </c>
      <c r="B13" s="69" t="inlineStr">
        <is>
          <t>25-SVA-01</t>
        </is>
      </c>
      <c r="C13" s="93" t="inlineStr">
        <is>
          <t>25-SVA-01 (00) / COCKPIT CHECK</t>
        </is>
      </c>
      <c r="D13" s="9" t="inlineStr">
        <is>
          <t>TASK CARD</t>
        </is>
      </c>
      <c r="E13" s="10" t="inlineStr">
        <is>
          <t>Open</t>
        </is>
      </c>
      <c r="F13" s="10" t="inlineStr">
        <is>
          <t>Normal</t>
        </is>
      </c>
      <c r="G13" s="9" t="inlineStr">
        <is>
          <t>CAB</t>
        </is>
      </c>
      <c r="H13" s="11" t="n"/>
      <c r="I13" s="10" t="n"/>
      <c r="J13" s="10" t="inlineStr">
        <is>
          <t>N/A</t>
        </is>
      </c>
      <c r="K13" s="10" t="inlineStr">
        <is>
          <t>FWD</t>
        </is>
      </c>
    </row>
    <row r="14" ht="18" customHeight="1" s="104">
      <c r="A14" s="74" t="n">
        <v>31</v>
      </c>
      <c r="B14" s="69" t="inlineStr">
        <is>
          <t>25-SVA-02</t>
        </is>
      </c>
      <c r="C14" s="8" t="inlineStr">
        <is>
          <t>25-SVA-02 (00) / GENERAL CABIN ITEMS C-CHK</t>
        </is>
      </c>
      <c r="D14" s="9" t="inlineStr">
        <is>
          <t>TASK CARD</t>
        </is>
      </c>
      <c r="E14" s="10" t="inlineStr">
        <is>
          <t>Closed</t>
        </is>
      </c>
      <c r="F14" s="10" t="inlineStr">
        <is>
          <t>Normal</t>
        </is>
      </c>
      <c r="G14" s="9" t="inlineStr">
        <is>
          <t>CAB</t>
        </is>
      </c>
      <c r="H14" s="11" t="n"/>
      <c r="I14" s="10" t="n"/>
      <c r="J14" s="10" t="inlineStr">
        <is>
          <t>N/A</t>
        </is>
      </c>
      <c r="K14" s="10" t="inlineStr">
        <is>
          <t>JOINT</t>
        </is>
      </c>
    </row>
    <row r="15" ht="18" customHeight="1" s="104">
      <c r="A15" s="74" t="n">
        <v>32</v>
      </c>
      <c r="B15" s="69" t="inlineStr">
        <is>
          <t>25-SVA-05</t>
        </is>
      </c>
      <c r="C15" s="8" t="inlineStr">
        <is>
          <t>25-SVA-05 (00) / G/C SEAT REFRESH</t>
        </is>
      </c>
      <c r="D15" s="9" t="inlineStr">
        <is>
          <t>TASK CARD</t>
        </is>
      </c>
      <c r="E15" s="10" t="inlineStr">
        <is>
          <t>Open</t>
        </is>
      </c>
      <c r="F15" s="10" t="inlineStr">
        <is>
          <t>Normal</t>
        </is>
      </c>
      <c r="G15" s="9" t="inlineStr">
        <is>
          <t>SEAT</t>
        </is>
      </c>
      <c r="H15" s="11" t="n"/>
      <c r="I15" s="10" t="n"/>
      <c r="J15" s="10" t="inlineStr">
        <is>
          <t>N/A</t>
        </is>
      </c>
      <c r="K15" s="10" t="n"/>
    </row>
    <row r="16" ht="18" customHeight="1" s="104">
      <c r="A16" s="74" t="n">
        <v>33</v>
      </c>
      <c r="B16" s="69" t="inlineStr">
        <is>
          <t>25-SVA-06</t>
        </is>
      </c>
      <c r="C16" s="8" t="inlineStr">
        <is>
          <t>25-SVA-06 (00) / GALLEY REFRESH</t>
        </is>
      </c>
      <c r="D16" s="9" t="inlineStr">
        <is>
          <t>TASK CARD</t>
        </is>
      </c>
      <c r="E16" s="10" t="inlineStr">
        <is>
          <t>Closed</t>
        </is>
      </c>
      <c r="F16" s="10" t="inlineStr">
        <is>
          <t>Normal</t>
        </is>
      </c>
      <c r="G16" s="9" t="inlineStr">
        <is>
          <t>CAB</t>
        </is>
      </c>
      <c r="H16" s="11" t="n"/>
      <c r="I16" s="10" t="n"/>
      <c r="J16" s="10" t="inlineStr">
        <is>
          <t>N/A</t>
        </is>
      </c>
      <c r="K16" s="10" t="inlineStr">
        <is>
          <t>JOINT</t>
        </is>
      </c>
    </row>
    <row r="17" ht="18" customHeight="1" s="104">
      <c r="A17" s="74" t="n">
        <v>34</v>
      </c>
      <c r="B17" s="69" t="inlineStr">
        <is>
          <t>25-SVA-07</t>
        </is>
      </c>
      <c r="C17" s="8" t="inlineStr">
        <is>
          <t>25-SVA-07 (00) / LAV REFRESH</t>
        </is>
      </c>
      <c r="D17" s="9" t="inlineStr">
        <is>
          <t>TASK CARD</t>
        </is>
      </c>
      <c r="E17" s="10" t="inlineStr">
        <is>
          <t>Closed</t>
        </is>
      </c>
      <c r="F17" s="10" t="inlineStr">
        <is>
          <t>Normal</t>
        </is>
      </c>
      <c r="G17" s="9" t="inlineStr">
        <is>
          <t>CAB</t>
        </is>
      </c>
      <c r="H17" s="11" t="n"/>
      <c r="I17" s="10" t="n"/>
      <c r="J17" s="10" t="inlineStr">
        <is>
          <t>N/A</t>
        </is>
      </c>
      <c r="K17" s="10" t="inlineStr">
        <is>
          <t>JOINT</t>
        </is>
      </c>
    </row>
    <row r="18" ht="18" customHeight="1" s="104">
      <c r="A18" s="74" t="n">
        <v>39</v>
      </c>
      <c r="B18" s="69" t="inlineStr">
        <is>
          <t>254000-04-2</t>
        </is>
      </c>
      <c r="C18" s="8" t="inlineStr">
        <is>
          <t>254000-04-2 (03) / LAVATORIES FLOOR PANELS INSPECTION</t>
        </is>
      </c>
      <c r="D18" s="9" t="inlineStr">
        <is>
          <t>TASK CARD</t>
        </is>
      </c>
      <c r="E18" s="10" t="inlineStr">
        <is>
          <t>Closed</t>
        </is>
      </c>
      <c r="F18" s="10" t="inlineStr">
        <is>
          <t>Normal</t>
        </is>
      </c>
      <c r="G18" s="9" t="inlineStr">
        <is>
          <t>JOINT</t>
        </is>
      </c>
      <c r="H18" s="11" t="n"/>
      <c r="I18" s="10" t="n"/>
      <c r="J18" s="10" t="inlineStr">
        <is>
          <t>N/A</t>
        </is>
      </c>
      <c r="K18" s="10" t="n"/>
    </row>
    <row r="19" ht="18" customHeight="1" s="104">
      <c r="A19" s="74" t="n">
        <v>42</v>
      </c>
      <c r="B19" s="69" t="inlineStr">
        <is>
          <t>256652-01-1-SVA</t>
        </is>
      </c>
      <c r="C19" s="95" t="inlineStr">
        <is>
          <t>256652-01-1-SVA (01) / LIFE VEST RESTORATION PERIODIC CHECK FOR EXPIRATION</t>
        </is>
      </c>
      <c r="D19" s="9" t="inlineStr">
        <is>
          <t>TASK CARD</t>
        </is>
      </c>
      <c r="E19" s="10" t="inlineStr">
        <is>
          <t>Open</t>
        </is>
      </c>
      <c r="F19" s="10" t="inlineStr">
        <is>
          <t>Normal</t>
        </is>
      </c>
      <c r="G19" s="9" t="inlineStr">
        <is>
          <t>JOINT</t>
        </is>
      </c>
      <c r="H19" s="11" t="n"/>
      <c r="I19" s="10" t="n"/>
      <c r="J19" s="10" t="inlineStr">
        <is>
          <t>N/A</t>
        </is>
      </c>
      <c r="K19" s="10" t="n"/>
    </row>
    <row r="20" ht="18" customHeight="1" s="104">
      <c r="A20" s="74" t="n">
        <v>47</v>
      </c>
      <c r="B20" s="69" t="inlineStr">
        <is>
          <t>262541-04-1</t>
        </is>
      </c>
      <c r="C20" s="8" t="inlineStr">
        <is>
          <t>262541-04-1 (02) / LAVATORY FIRE EXTG PRESS READING CHK</t>
        </is>
      </c>
      <c r="D20" s="9" t="inlineStr">
        <is>
          <t>TASK CARD</t>
        </is>
      </c>
      <c r="E20" s="10" t="inlineStr">
        <is>
          <t>Closed</t>
        </is>
      </c>
      <c r="F20" s="10" t="inlineStr">
        <is>
          <t>Normal</t>
        </is>
      </c>
      <c r="G20" s="9" t="inlineStr">
        <is>
          <t>JOINT</t>
        </is>
      </c>
      <c r="H20" s="11" t="n"/>
      <c r="I20" s="10" t="n"/>
      <c r="J20" s="10" t="inlineStr">
        <is>
          <t>N/A</t>
        </is>
      </c>
      <c r="K20" s="10" t="n"/>
    </row>
    <row r="21" ht="18" customHeight="1" s="104">
      <c r="A21" s="74" t="n">
        <v>112</v>
      </c>
      <c r="B21" s="69" t="inlineStr">
        <is>
          <t>351000-01-1</t>
        </is>
      </c>
      <c r="C21" s="8" t="inlineStr">
        <is>
          <t>351000-01-1 (02) / FULL FACE/QUICK OXYGEN MASKS OPC</t>
        </is>
      </c>
      <c r="D21" s="9" t="inlineStr">
        <is>
          <t>TASK CARD</t>
        </is>
      </c>
      <c r="E21" s="10" t="inlineStr">
        <is>
          <t>Closed</t>
        </is>
      </c>
      <c r="F21" s="10" t="inlineStr">
        <is>
          <t>Normal</t>
        </is>
      </c>
      <c r="G21" s="9" t="inlineStr">
        <is>
          <t>JOINT</t>
        </is>
      </c>
      <c r="H21" s="11" t="n"/>
      <c r="I21" s="10" t="n"/>
      <c r="J21" s="10" t="inlineStr">
        <is>
          <t>N/A</t>
        </is>
      </c>
      <c r="K21" s="10" t="n"/>
    </row>
    <row r="22" ht="18" customHeight="1" s="104">
      <c r="A22" s="74" t="n">
        <v>113</v>
      </c>
      <c r="B22" s="69" t="inlineStr">
        <is>
          <t>351241-01-1</t>
        </is>
      </c>
      <c r="C22" s="8" t="inlineStr">
        <is>
          <t>351241-01-1 (02) / CREW OXYGEN MASKS INSPECTION</t>
        </is>
      </c>
      <c r="D22" s="9" t="inlineStr">
        <is>
          <t>TASK CARD</t>
        </is>
      </c>
      <c r="E22" s="10" t="inlineStr">
        <is>
          <t>Closed</t>
        </is>
      </c>
      <c r="F22" s="10" t="inlineStr">
        <is>
          <t>Normal</t>
        </is>
      </c>
      <c r="G22" s="9" t="inlineStr">
        <is>
          <t>JOINT</t>
        </is>
      </c>
      <c r="H22" s="11" t="n"/>
      <c r="I22" s="10" t="n"/>
      <c r="J22" s="10" t="inlineStr">
        <is>
          <t>N/A</t>
        </is>
      </c>
      <c r="K22" s="10" t="n"/>
    </row>
    <row r="23" ht="18" customHeight="1" s="104">
      <c r="A23" s="74" t="n">
        <v>114</v>
      </c>
      <c r="B23" s="69" t="inlineStr">
        <is>
          <t>352142-01-1-SVA</t>
        </is>
      </c>
      <c r="C23" s="8" t="inlineStr">
        <is>
          <t>352142-01-1-SVA (01) / VALIDITY CHECK OF CHEMICAL OXYGEN GENERATORS</t>
        </is>
      </c>
      <c r="D23" s="9" t="inlineStr">
        <is>
          <t>TASK CARD</t>
        </is>
      </c>
      <c r="E23" s="10" t="inlineStr">
        <is>
          <t>Open</t>
        </is>
      </c>
      <c r="F23" s="10" t="inlineStr">
        <is>
          <t>Normal</t>
        </is>
      </c>
      <c r="G23" s="9" t="inlineStr">
        <is>
          <t>JOINT</t>
        </is>
      </c>
      <c r="H23" s="11" t="n"/>
      <c r="I23" s="10" t="inlineStr">
        <is>
          <t>AFTER OXY CLOSE UP</t>
        </is>
      </c>
      <c r="J23" s="10" t="inlineStr">
        <is>
          <t>N/A</t>
        </is>
      </c>
      <c r="K23" s="10" t="n"/>
    </row>
    <row r="24" ht="18" customHeight="1" s="104">
      <c r="A24" s="74" t="n">
        <v>115</v>
      </c>
      <c r="B24" s="69" t="inlineStr">
        <is>
          <t>353000-06-1-SVA</t>
        </is>
      </c>
      <c r="C24" s="8" t="inlineStr">
        <is>
          <t>353000-06-1-SVA (03) / COCKPIT (PBE) INSPECTION</t>
        </is>
      </c>
      <c r="D24" s="9" t="inlineStr">
        <is>
          <t>TASK CARD</t>
        </is>
      </c>
      <c r="E24" s="10" t="inlineStr">
        <is>
          <t>Closed</t>
        </is>
      </c>
      <c r="F24" s="10" t="inlineStr">
        <is>
          <t>Normal</t>
        </is>
      </c>
      <c r="G24" s="9" t="inlineStr">
        <is>
          <t>JOINT</t>
        </is>
      </c>
      <c r="H24" s="11" t="n"/>
      <c r="I24" s="10" t="n"/>
      <c r="J24" s="10" t="inlineStr">
        <is>
          <t>N/A</t>
        </is>
      </c>
      <c r="K24" s="10" t="n"/>
    </row>
    <row r="25" ht="18" customHeight="1" s="104">
      <c r="A25" s="74" t="n">
        <v>116</v>
      </c>
      <c r="B25" s="69" t="inlineStr">
        <is>
          <t>353000-07-1</t>
        </is>
      </c>
      <c r="C25" s="8" t="inlineStr">
        <is>
          <t>353000-07-1 (03) / PORTABLE OXYGEN MASKS INSPECTION</t>
        </is>
      </c>
      <c r="D25" s="9" t="inlineStr">
        <is>
          <t>TASK CARD</t>
        </is>
      </c>
      <c r="E25" s="10" t="inlineStr">
        <is>
          <t>Closed</t>
        </is>
      </c>
      <c r="F25" s="10" t="inlineStr">
        <is>
          <t>Normal</t>
        </is>
      </c>
      <c r="G25" s="9" t="inlineStr">
        <is>
          <t>JOINT</t>
        </is>
      </c>
      <c r="H25" s="11" t="n"/>
      <c r="I25" s="10" t="n"/>
      <c r="J25" s="10" t="inlineStr">
        <is>
          <t>N/A</t>
        </is>
      </c>
      <c r="K25" s="10" t="n"/>
    </row>
    <row r="26" ht="18" customHeight="1" s="104">
      <c r="A26" s="74" t="n">
        <v>123</v>
      </c>
      <c r="B26" s="69" t="inlineStr">
        <is>
          <t>383100-07-1</t>
        </is>
      </c>
      <c r="C26" s="8" t="inlineStr">
        <is>
          <t>383100-07-1 (06) / VACUUM TOILET SYSTEM CLEANING</t>
        </is>
      </c>
      <c r="D26" s="9" t="inlineStr">
        <is>
          <t>TASK CARD</t>
        </is>
      </c>
      <c r="E26" s="10" t="inlineStr">
        <is>
          <t>Closed</t>
        </is>
      </c>
      <c r="F26" s="10" t="inlineStr">
        <is>
          <t>Normal</t>
        </is>
      </c>
      <c r="G26" s="9" t="inlineStr">
        <is>
          <t>AP</t>
        </is>
      </c>
      <c r="H26" s="11" t="n"/>
      <c r="I26" s="10" t="n"/>
      <c r="J26" s="10" t="inlineStr">
        <is>
          <t>N/A</t>
        </is>
      </c>
      <c r="K26" s="10" t="n"/>
    </row>
    <row r="27" ht="18" customHeight="1" s="104">
      <c r="A27" s="74" t="n">
        <v>127</v>
      </c>
      <c r="B27" s="69" t="inlineStr">
        <is>
          <t>521000-01-SVA</t>
        </is>
      </c>
      <c r="C27" s="8" t="inlineStr">
        <is>
          <t>521000-01-SVA (01) / FWD LH PASSENGER/CREW DOOR DAMPER AND EMERGENCY OPERATION CYLINDER DIAPHRAGM REPLACEMENT</t>
        </is>
      </c>
      <c r="D27" s="9" t="inlineStr">
        <is>
          <t>TASK CARD</t>
        </is>
      </c>
      <c r="E27" s="10" t="inlineStr">
        <is>
          <t>Closed</t>
        </is>
      </c>
      <c r="F27" s="10" t="inlineStr">
        <is>
          <t>Normal</t>
        </is>
      </c>
      <c r="G27" s="9" t="inlineStr">
        <is>
          <t>CAB</t>
        </is>
      </c>
      <c r="H27" s="11" t="n"/>
      <c r="I27" s="10" t="n"/>
      <c r="J27" s="10" t="inlineStr">
        <is>
          <t>N/A</t>
        </is>
      </c>
      <c r="K27" s="10" t="inlineStr">
        <is>
          <t>FWD</t>
        </is>
      </c>
    </row>
    <row r="28" ht="18" customHeight="1" s="104">
      <c r="A28" s="74" t="n">
        <v>128</v>
      </c>
      <c r="B28" s="69" t="inlineStr">
        <is>
          <t>521000-02-1</t>
        </is>
      </c>
      <c r="C28" s="93" t="inlineStr">
        <is>
          <t>521000-02-1 (02) / PASSENGER/CREW DOOR SUSPENSION CHK</t>
        </is>
      </c>
      <c r="D28" s="9" t="inlineStr">
        <is>
          <t>TASK CARD</t>
        </is>
      </c>
      <c r="E28" s="10" t="inlineStr">
        <is>
          <t>Closed</t>
        </is>
      </c>
      <c r="F28" s="10" t="inlineStr">
        <is>
          <t>Normal</t>
        </is>
      </c>
      <c r="G28" s="9" t="inlineStr">
        <is>
          <t>JOINT</t>
        </is>
      </c>
      <c r="H28" s="11" t="n"/>
      <c r="I28" s="10" t="n"/>
      <c r="J28" s="10" t="inlineStr">
        <is>
          <t>N/A</t>
        </is>
      </c>
      <c r="K28" s="10" t="inlineStr">
        <is>
          <t>JOINT</t>
        </is>
      </c>
    </row>
    <row r="29" ht="18" customHeight="1" s="104">
      <c r="A29" s="74" t="n">
        <v>129</v>
      </c>
      <c r="B29" s="69" t="inlineStr">
        <is>
          <t>521000-02-SVA</t>
        </is>
      </c>
      <c r="C29" s="8" t="inlineStr">
        <is>
          <t>521000-02-SVA (01) / FWD RH PASSENGER/CREW DOOR DAMPER AND EMERGENCY OPERATION CYLINDER DIAPHRAGM REPLACEMENT</t>
        </is>
      </c>
      <c r="D29" s="9" t="inlineStr">
        <is>
          <t>TASK CARD</t>
        </is>
      </c>
      <c r="E29" s="10" t="inlineStr">
        <is>
          <t>Closed</t>
        </is>
      </c>
      <c r="F29" s="10" t="inlineStr">
        <is>
          <t>Normal</t>
        </is>
      </c>
      <c r="G29" s="9" t="inlineStr">
        <is>
          <t>CAB</t>
        </is>
      </c>
      <c r="H29" s="11" t="n"/>
      <c r="I29" s="10" t="n"/>
      <c r="J29" s="10" t="inlineStr">
        <is>
          <t>N/A</t>
        </is>
      </c>
      <c r="K29" s="10" t="inlineStr">
        <is>
          <t>FWD</t>
        </is>
      </c>
    </row>
    <row r="30" ht="18" customHeight="1" s="104">
      <c r="A30" s="74" t="n">
        <v>130</v>
      </c>
      <c r="B30" s="69" t="inlineStr">
        <is>
          <t>521000-03-SVA</t>
        </is>
      </c>
      <c r="C30" s="8" t="inlineStr">
        <is>
          <t>521000-03-SVA (01) / AFT LH PASSENGER/CREW DOOR DAMPER AND EMERGENCY OPERATION CYLINDER DIAPHRAGM REPLACEMENT</t>
        </is>
      </c>
      <c r="D30" s="9" t="inlineStr">
        <is>
          <t>TASK CARD</t>
        </is>
      </c>
      <c r="E30" s="10" t="inlineStr">
        <is>
          <t>Closed</t>
        </is>
      </c>
      <c r="F30" s="10" t="inlineStr">
        <is>
          <t>Normal</t>
        </is>
      </c>
      <c r="G30" s="9" t="inlineStr">
        <is>
          <t>CAB</t>
        </is>
      </c>
      <c r="H30" s="11" t="n"/>
      <c r="I30" s="10" t="n"/>
      <c r="J30" s="10" t="inlineStr">
        <is>
          <t>N/A</t>
        </is>
      </c>
      <c r="K30" s="10" t="inlineStr">
        <is>
          <t>AFT</t>
        </is>
      </c>
    </row>
    <row r="31" ht="18" customHeight="1" s="104">
      <c r="A31" s="74" t="n">
        <v>131</v>
      </c>
      <c r="B31" s="69" t="inlineStr">
        <is>
          <t>521000-04-1-001</t>
        </is>
      </c>
      <c r="C31" s="8" t="inlineStr">
        <is>
          <t>521000-04-1-001 (02) / L/H FWD PAX/CREW DOOR INTEGRITY CHK</t>
        </is>
      </c>
      <c r="D31" s="9" t="inlineStr">
        <is>
          <t>TASK CARD</t>
        </is>
      </c>
      <c r="E31" s="10" t="inlineStr">
        <is>
          <t>Closed</t>
        </is>
      </c>
      <c r="F31" s="10" t="inlineStr">
        <is>
          <t>Normal</t>
        </is>
      </c>
      <c r="G31" s="9" t="inlineStr">
        <is>
          <t>JOINT</t>
        </is>
      </c>
      <c r="H31" s="11" t="n"/>
      <c r="I31" s="10" t="n"/>
      <c r="J31" s="10" t="inlineStr">
        <is>
          <t>N/A</t>
        </is>
      </c>
      <c r="K31" s="10" t="inlineStr">
        <is>
          <t>FWD</t>
        </is>
      </c>
    </row>
    <row r="32" ht="18" customHeight="1" s="104">
      <c r="A32" s="74" t="n">
        <v>132</v>
      </c>
      <c r="B32" s="69" t="inlineStr">
        <is>
          <t>521000-04-1-002</t>
        </is>
      </c>
      <c r="C32" s="8" t="inlineStr">
        <is>
          <t>521000-04-1-002 (02) / R/H FWD PAX/CREW DOOR INTEGRITY CHK</t>
        </is>
      </c>
      <c r="D32" s="9" t="inlineStr">
        <is>
          <t>TASK CARD</t>
        </is>
      </c>
      <c r="E32" s="10" t="inlineStr">
        <is>
          <t>Closed</t>
        </is>
      </c>
      <c r="F32" s="10" t="inlineStr">
        <is>
          <t>Normal</t>
        </is>
      </c>
      <c r="G32" s="9" t="inlineStr">
        <is>
          <t>JOINT</t>
        </is>
      </c>
      <c r="H32" s="11" t="n"/>
      <c r="I32" s="10" t="n"/>
      <c r="J32" s="10" t="inlineStr">
        <is>
          <t>N/A</t>
        </is>
      </c>
      <c r="K32" s="10" t="inlineStr">
        <is>
          <t>FWD</t>
        </is>
      </c>
    </row>
    <row r="33" ht="18" customHeight="1" s="104">
      <c r="A33" s="74" t="n">
        <v>133</v>
      </c>
      <c r="B33" s="69" t="inlineStr">
        <is>
          <t>521000-04-1-003</t>
        </is>
      </c>
      <c r="C33" s="8" t="inlineStr">
        <is>
          <t>521000-04-1-003 (02) / L/H AFT PAX/CREW DOOR INTEGRITY CHK</t>
        </is>
      </c>
      <c r="D33" s="9" t="inlineStr">
        <is>
          <t>TASK CARD</t>
        </is>
      </c>
      <c r="E33" s="10" t="inlineStr">
        <is>
          <t>Closed</t>
        </is>
      </c>
      <c r="F33" s="10" t="inlineStr">
        <is>
          <t>Normal</t>
        </is>
      </c>
      <c r="G33" s="9" t="inlineStr">
        <is>
          <t>JOINT</t>
        </is>
      </c>
      <c r="H33" s="11" t="n"/>
      <c r="I33" s="10" t="n"/>
      <c r="J33" s="10" t="inlineStr">
        <is>
          <t>N/A</t>
        </is>
      </c>
      <c r="K33" s="10" t="inlineStr">
        <is>
          <t>AFT</t>
        </is>
      </c>
    </row>
    <row r="34" ht="18" customHeight="1" s="104">
      <c r="A34" s="74" t="n">
        <v>134</v>
      </c>
      <c r="B34" s="69" t="inlineStr">
        <is>
          <t>521000-04-1-004</t>
        </is>
      </c>
      <c r="C34" s="8" t="inlineStr">
        <is>
          <t>521000-04-1-004 (02) / R/H AFT PAX/CREW DOOR INTEGRITY CHK</t>
        </is>
      </c>
      <c r="D34" s="9" t="inlineStr">
        <is>
          <t>TASK CARD</t>
        </is>
      </c>
      <c r="E34" s="10" t="inlineStr">
        <is>
          <t>Closed</t>
        </is>
      </c>
      <c r="F34" s="10" t="inlineStr">
        <is>
          <t>Normal</t>
        </is>
      </c>
      <c r="G34" s="9" t="inlineStr">
        <is>
          <t>JOINT</t>
        </is>
      </c>
      <c r="H34" s="11" t="n"/>
      <c r="I34" s="10" t="n"/>
      <c r="J34" s="10" t="inlineStr">
        <is>
          <t>N/A</t>
        </is>
      </c>
      <c r="K34" s="10" t="inlineStr">
        <is>
          <t>AFT</t>
        </is>
      </c>
    </row>
    <row r="35" ht="18" customHeight="1" s="104">
      <c r="A35" s="74" t="n">
        <v>135</v>
      </c>
      <c r="B35" s="69" t="inlineStr">
        <is>
          <t>521000-04-SVA</t>
        </is>
      </c>
      <c r="C35" s="8" t="inlineStr">
        <is>
          <t>521000-04-SVA (01) / AFT RH PASSENGER/CREW DOOR DAMPER AND EMERGENCY OPERATION CYLINDER DIAPHRAGM REPLACEMENT</t>
        </is>
      </c>
      <c r="D35" s="9" t="inlineStr">
        <is>
          <t>TASK CARD</t>
        </is>
      </c>
      <c r="E35" s="10" t="inlineStr">
        <is>
          <t>Closed</t>
        </is>
      </c>
      <c r="F35" s="10" t="inlineStr">
        <is>
          <t>Normal</t>
        </is>
      </c>
      <c r="G35" s="9" t="inlineStr">
        <is>
          <t>CAB</t>
        </is>
      </c>
      <c r="H35" s="11" t="n"/>
      <c r="I35" s="10" t="n"/>
      <c r="J35" s="10" t="inlineStr">
        <is>
          <t>N/A</t>
        </is>
      </c>
      <c r="K35" s="10" t="inlineStr">
        <is>
          <t>AFT</t>
        </is>
      </c>
    </row>
    <row r="36" ht="18" customHeight="1" s="104">
      <c r="A36" s="74" t="n">
        <v>136</v>
      </c>
      <c r="B36" s="69" t="inlineStr">
        <is>
          <t>521121-02-1</t>
        </is>
      </c>
      <c r="C36" s="8" t="inlineStr">
        <is>
          <t>521121-02-1 (03) / PASSENGER/CREW DOORS LUBRICATION</t>
        </is>
      </c>
      <c r="D36" s="9" t="inlineStr">
        <is>
          <t>TASK CARD</t>
        </is>
      </c>
      <c r="E36" s="10" t="inlineStr">
        <is>
          <t>Closed</t>
        </is>
      </c>
      <c r="F36" s="10" t="inlineStr">
        <is>
          <t>Normal</t>
        </is>
      </c>
      <c r="G36" s="9" t="inlineStr">
        <is>
          <t>CAB</t>
        </is>
      </c>
      <c r="H36" s="11" t="n"/>
      <c r="I36" s="10" t="n"/>
      <c r="J36" s="10" t="inlineStr">
        <is>
          <t>N/A</t>
        </is>
      </c>
      <c r="K36" s="10" t="inlineStr">
        <is>
          <t>JOINT</t>
        </is>
      </c>
    </row>
    <row r="37" ht="18" customHeight="1" s="104">
      <c r="A37" s="74" t="n">
        <v>139</v>
      </c>
      <c r="B37" s="69" t="inlineStr">
        <is>
          <t>527100-01-1</t>
        </is>
      </c>
      <c r="C37" s="8" t="inlineStr">
        <is>
          <t>527100-01-1 (5) / DOOR WARNING SYSTEM OPERATIONAL TEST</t>
        </is>
      </c>
      <c r="D37" s="9" t="inlineStr">
        <is>
          <t>TASK CARD</t>
        </is>
      </c>
      <c r="E37" s="10" t="inlineStr">
        <is>
          <t>Open</t>
        </is>
      </c>
      <c r="F37" s="10" t="inlineStr">
        <is>
          <t>Normal</t>
        </is>
      </c>
      <c r="G37" s="9" t="inlineStr">
        <is>
          <t>AV</t>
        </is>
      </c>
      <c r="H37" s="11" t="n"/>
      <c r="I37" s="10" t="n"/>
      <c r="J37" s="10" t="inlineStr">
        <is>
          <t>N/A</t>
        </is>
      </c>
      <c r="K37" s="10" t="n"/>
    </row>
    <row r="38" ht="18" customHeight="1" s="104">
      <c r="A38" s="74" t="n">
        <v>140</v>
      </c>
      <c r="B38" s="69" t="inlineStr">
        <is>
          <t>527300-01-1</t>
        </is>
      </c>
      <c r="C38" s="8" t="inlineStr">
        <is>
          <t>527300-01-1 (03) / EMERGENCY ESCAPE SLIDE WARNING SYS</t>
        </is>
      </c>
      <c r="D38" s="9" t="inlineStr">
        <is>
          <t>TASK CARD</t>
        </is>
      </c>
      <c r="E38" s="10" t="inlineStr">
        <is>
          <t>Closed</t>
        </is>
      </c>
      <c r="F38" s="10" t="inlineStr">
        <is>
          <t>Normal</t>
        </is>
      </c>
      <c r="G38" s="9" t="inlineStr">
        <is>
          <t>AV</t>
        </is>
      </c>
      <c r="H38" s="11" t="n"/>
      <c r="I38" s="10" t="n"/>
      <c r="J38" s="10" t="inlineStr">
        <is>
          <t>N/A</t>
        </is>
      </c>
      <c r="K38" s="10" t="n"/>
    </row>
    <row r="39" ht="18" customHeight="1" s="104">
      <c r="A39" s="74" t="n">
        <v>141</v>
      </c>
      <c r="B39" s="69" t="inlineStr">
        <is>
          <t>531151-02-1</t>
        </is>
      </c>
      <c r="C39" s="8" t="inlineStr">
        <is>
          <t>531151-02-1 (00) / DETAILED INSPECTION OF DOOR STOP FITTINGS PROTRUDING PART NOT COVERED BY THE LINING ON FRAME 16 AND FRAME 20, LH/RH.</t>
        </is>
      </c>
      <c r="D39" s="9" t="inlineStr">
        <is>
          <t>TASK CARD</t>
        </is>
      </c>
      <c r="E39" s="10" t="inlineStr">
        <is>
          <t>Closed</t>
        </is>
      </c>
      <c r="F39" s="10" t="inlineStr">
        <is>
          <t>Normal</t>
        </is>
      </c>
      <c r="G39" s="9" t="inlineStr">
        <is>
          <t>JOINT</t>
        </is>
      </c>
      <c r="H39" s="11" t="n"/>
      <c r="I39" s="10" t="n"/>
      <c r="J39" s="10" t="inlineStr">
        <is>
          <t>N/A</t>
        </is>
      </c>
      <c r="K39" s="10" t="n"/>
    </row>
    <row r="40" ht="18" customHeight="1" s="104">
      <c r="A40" s="74" t="n">
        <v>162</v>
      </c>
      <c r="B40" s="69" t="inlineStr">
        <is>
          <t>561200-02-1</t>
        </is>
      </c>
      <c r="C40" s="97" t="inlineStr">
        <is>
          <t>561200-02-1 (01) / COCKPIT SLIDING WINDOW LUBRICATION</t>
        </is>
      </c>
      <c r="D40" s="9" t="inlineStr">
        <is>
          <t>TASK CARD</t>
        </is>
      </c>
      <c r="E40" s="10" t="inlineStr">
        <is>
          <t>Closed</t>
        </is>
      </c>
      <c r="F40" s="10" t="inlineStr">
        <is>
          <t>Normal</t>
        </is>
      </c>
      <c r="G40" s="9" t="inlineStr">
        <is>
          <t>CAB</t>
        </is>
      </c>
      <c r="H40" s="11" t="n"/>
      <c r="I40" s="10" t="n"/>
      <c r="J40" s="10" t="inlineStr">
        <is>
          <t>N/A</t>
        </is>
      </c>
      <c r="K40" s="10" t="inlineStr">
        <is>
          <t>FWD</t>
        </is>
      </c>
    </row>
    <row r="41" ht="18" customHeight="1" s="104">
      <c r="A41" s="74" t="n">
        <v>246</v>
      </c>
      <c r="B41" s="69" t="inlineStr">
        <is>
          <t>352142-01-1</t>
        </is>
      </c>
      <c r="C41" s="8" t="inlineStr">
        <is>
          <t>352142-01-1 (6) / DISCARD CHEMICAL OXYGEN GENERATORS</t>
        </is>
      </c>
      <c r="D41" s="9" t="inlineStr">
        <is>
          <t>TASK CARD</t>
        </is>
      </c>
      <c r="E41" s="10" t="inlineStr">
        <is>
          <t>Open</t>
        </is>
      </c>
      <c r="F41" s="10" t="inlineStr">
        <is>
          <t>Normal</t>
        </is>
      </c>
      <c r="G41" s="9" t="inlineStr">
        <is>
          <t>CAB</t>
        </is>
      </c>
      <c r="H41" s="11" t="n"/>
      <c r="I41" s="10" t="inlineStr">
        <is>
          <t>REQ DE-ASSIGN</t>
        </is>
      </c>
      <c r="J41" s="10" t="inlineStr">
        <is>
          <t>N/A</t>
        </is>
      </c>
      <c r="K41" s="10" t="inlineStr">
        <is>
          <t>JOINT</t>
        </is>
      </c>
    </row>
    <row r="42" ht="18" customHeight="1" s="104">
      <c r="A42" s="74" t="n">
        <v>260</v>
      </c>
      <c r="B42" s="69" t="n">
        <v>30970373</v>
      </c>
      <c r="C42" s="8" t="inlineStr">
        <is>
          <t>EOD-320-25-00052-R00/PAD-THIRD OCCUPANT SEAT – 168 SERIES BOTTOM EQUIPPED SCREW REPLACEMENT</t>
        </is>
      </c>
      <c r="D42" s="9" t="inlineStr">
        <is>
          <t>TASK CARD</t>
        </is>
      </c>
      <c r="E42" s="10" t="inlineStr">
        <is>
          <t>Closed</t>
        </is>
      </c>
      <c r="F42" s="10" t="inlineStr">
        <is>
          <t>Normal</t>
        </is>
      </c>
      <c r="G42" s="9" t="inlineStr">
        <is>
          <t>CAB</t>
        </is>
      </c>
      <c r="H42" s="11" t="n"/>
      <c r="I42" s="10" t="n"/>
      <c r="J42" s="10" t="inlineStr">
        <is>
          <t>N/A</t>
        </is>
      </c>
      <c r="K42" s="10" t="inlineStr">
        <is>
          <t>FWD</t>
        </is>
      </c>
    </row>
    <row r="43" ht="18" customHeight="1" s="104">
      <c r="A43" s="74" t="n">
        <v>265</v>
      </c>
      <c r="B43" s="69" t="n">
        <v>29500619</v>
      </c>
      <c r="C43" s="78" t="inlineStr">
        <is>
          <t>EOD-320-31-00005-R00/A320 - INDICATING/RECORDING SYSTEMS - SDAC - ACQUISITION/INTERFACE- MO</t>
        </is>
      </c>
      <c r="D43" s="9" t="inlineStr">
        <is>
          <t>TASK CARD</t>
        </is>
      </c>
      <c r="E43" s="10" t="inlineStr">
        <is>
          <t>Open</t>
        </is>
      </c>
      <c r="F43" s="10" t="inlineStr">
        <is>
          <t>Normal</t>
        </is>
      </c>
      <c r="G43" s="9" t="inlineStr">
        <is>
          <t>AV</t>
        </is>
      </c>
      <c r="H43" s="11" t="n"/>
      <c r="I43" s="77" t="n"/>
      <c r="J43" s="10" t="inlineStr">
        <is>
          <t>N/A</t>
        </is>
      </c>
      <c r="K43" s="10" t="n"/>
    </row>
    <row r="44" ht="18" customHeight="1" s="104">
      <c r="A44" s="74" t="n">
        <v>266</v>
      </c>
      <c r="B44" s="69" t="n">
        <v>30482093</v>
      </c>
      <c r="C44" s="78" t="inlineStr">
        <is>
          <t>EOD-320-31-00006-R00/ACTIVATE HIGHSPEED UPLOADING (ARINC 615A) - EIS2</t>
        </is>
      </c>
      <c r="D44" s="9" t="inlineStr">
        <is>
          <t>TASK CARD</t>
        </is>
      </c>
      <c r="E44" s="10" t="inlineStr">
        <is>
          <t>Closed</t>
        </is>
      </c>
      <c r="F44" s="10" t="inlineStr">
        <is>
          <t>Normal</t>
        </is>
      </c>
      <c r="G44" s="9" t="inlineStr">
        <is>
          <t>AV</t>
        </is>
      </c>
      <c r="H44" s="11" t="n"/>
      <c r="I44" s="77" t="n"/>
      <c r="J44" s="10" t="inlineStr">
        <is>
          <t>N/A</t>
        </is>
      </c>
      <c r="K44" s="10" t="n"/>
    </row>
    <row r="45" ht="18" customHeight="1" s="104">
      <c r="A45" s="74" t="n">
        <v>267</v>
      </c>
      <c r="B45" s="69" t="n">
        <v>30481967</v>
      </c>
      <c r="C45" s="78" t="inlineStr">
        <is>
          <t>EOD-320-31-00007-R00/A320 –ELECTRONIC INSTRUMENT SYSTEM (EIS) - INTRODUCE EIS2 STANDARD S16</t>
        </is>
      </c>
      <c r="D45" s="9" t="inlineStr">
        <is>
          <t>TASK CARD</t>
        </is>
      </c>
      <c r="E45" s="10" t="inlineStr">
        <is>
          <t>Closed</t>
        </is>
      </c>
      <c r="F45" s="10" t="inlineStr">
        <is>
          <t>Normal</t>
        </is>
      </c>
      <c r="G45" s="9" t="inlineStr">
        <is>
          <t>AV</t>
        </is>
      </c>
      <c r="H45" s="11" t="n"/>
      <c r="I45" s="77" t="n"/>
      <c r="J45" s="10" t="inlineStr">
        <is>
          <t>N/A</t>
        </is>
      </c>
      <c r="K45" s="10" t="n"/>
    </row>
    <row r="46" ht="18" customHeight="1" s="104">
      <c r="A46" s="74" t="n">
        <v>268</v>
      </c>
      <c r="B46" s="69" t="n">
        <v>29155528</v>
      </c>
      <c r="C46" s="78" t="inlineStr">
        <is>
          <t>EOD-320-31-00009-R00/INTRODUCE FDIMU H/W 2234320-02-02 FROM VENDOR TELEDYNE</t>
        </is>
      </c>
      <c r="D46" s="9" t="inlineStr">
        <is>
          <t>TASK CARD</t>
        </is>
      </c>
      <c r="E46" s="10" t="inlineStr">
        <is>
          <t>Closed</t>
        </is>
      </c>
      <c r="F46" s="10" t="inlineStr">
        <is>
          <t>Normal</t>
        </is>
      </c>
      <c r="G46" s="9" t="inlineStr">
        <is>
          <t>AV</t>
        </is>
      </c>
      <c r="H46" s="11" t="n"/>
      <c r="I46" s="77" t="n"/>
      <c r="J46" s="10" t="inlineStr">
        <is>
          <t>N/A</t>
        </is>
      </c>
      <c r="K46" s="10" t="n"/>
    </row>
    <row r="47" ht="18" customHeight="1" s="104">
      <c r="A47" s="74" t="n">
        <v>269</v>
      </c>
      <c r="B47" s="69" t="n">
        <v>29155626</v>
      </c>
      <c r="C47" s="78" t="inlineStr">
        <is>
          <t>EOD-320-31-00010-R00/FDIMU - TELEDYNE DMU SOFTWARE CAPABLE FOMAX</t>
        </is>
      </c>
      <c r="D47" s="9" t="inlineStr">
        <is>
          <t>TASK CARD</t>
        </is>
      </c>
      <c r="E47" s="10" t="inlineStr">
        <is>
          <t>Closed</t>
        </is>
      </c>
      <c r="F47" s="10" t="inlineStr">
        <is>
          <t>Normal</t>
        </is>
      </c>
      <c r="G47" s="9" t="inlineStr">
        <is>
          <t>AV</t>
        </is>
      </c>
      <c r="H47" s="11" t="n"/>
      <c r="I47" s="77" t="n"/>
      <c r="J47" s="10" t="inlineStr">
        <is>
          <t>N/A</t>
        </is>
      </c>
      <c r="K47" s="10" t="n"/>
    </row>
    <row r="48" ht="18" customHeight="1" s="104">
      <c r="A48" s="74" t="n">
        <v>270</v>
      </c>
      <c r="B48" s="69" t="n">
        <v>29155751</v>
      </c>
      <c r="C48" s="78" t="inlineStr">
        <is>
          <t>EOD-320-31-00011-R00/FDIMU - TELEDYNE ETHERNET AND ADC ACTIVATION FOR FOMAX</t>
        </is>
      </c>
      <c r="D48" s="9" t="inlineStr">
        <is>
          <t>TASK CARD</t>
        </is>
      </c>
      <c r="E48" s="10" t="inlineStr">
        <is>
          <t>Closed</t>
        </is>
      </c>
      <c r="F48" s="10" t="inlineStr">
        <is>
          <t>Normal</t>
        </is>
      </c>
      <c r="G48" s="9" t="inlineStr">
        <is>
          <t>AV</t>
        </is>
      </c>
      <c r="H48" s="11" t="n"/>
      <c r="I48" s="77" t="n"/>
      <c r="J48" s="10" t="inlineStr">
        <is>
          <t>N/A</t>
        </is>
      </c>
      <c r="K48" s="10" t="n"/>
    </row>
    <row r="49" ht="18" customHeight="1" s="104">
      <c r="A49" s="74" t="n">
        <v>271</v>
      </c>
      <c r="B49" s="69" t="n">
        <v>29155866</v>
      </c>
      <c r="C49" s="78" t="inlineStr">
        <is>
          <t>EOD-320-31-00012-R00/FDIMU - INSTALL NEW ADC DMU SW FOR FOMAX</t>
        </is>
      </c>
      <c r="D49" s="9" t="inlineStr">
        <is>
          <t>TASK CARD</t>
        </is>
      </c>
      <c r="E49" s="10" t="inlineStr">
        <is>
          <t>Closed</t>
        </is>
      </c>
      <c r="F49" s="10" t="inlineStr">
        <is>
          <t>Normal</t>
        </is>
      </c>
      <c r="G49" s="9" t="inlineStr">
        <is>
          <t>AV</t>
        </is>
      </c>
      <c r="H49" s="11" t="n"/>
      <c r="I49" s="77" t="n"/>
      <c r="J49" s="10" t="inlineStr">
        <is>
          <t>N/A</t>
        </is>
      </c>
      <c r="K49" s="10" t="n"/>
    </row>
    <row r="50" ht="18" customHeight="1" s="104">
      <c r="A50" s="74" t="n">
        <v>274</v>
      </c>
      <c r="B50" s="69" t="n">
        <v>30817928</v>
      </c>
      <c r="C50" s="78" t="inlineStr">
        <is>
          <t>EOD-320-44-00014-R00/ECLIPSE CONNECTIVITY MODIFICATION</t>
        </is>
      </c>
      <c r="D50" s="9" t="inlineStr">
        <is>
          <t>TASK CARD</t>
        </is>
      </c>
      <c r="E50" s="10" t="inlineStr">
        <is>
          <t>Open</t>
        </is>
      </c>
      <c r="F50" s="10" t="inlineStr">
        <is>
          <t>Normal</t>
        </is>
      </c>
      <c r="G50" s="9" t="inlineStr">
        <is>
          <t>AV</t>
        </is>
      </c>
      <c r="H50" s="11" t="n"/>
      <c r="I50" s="77" t="n"/>
      <c r="J50" s="10" t="inlineStr">
        <is>
          <t>N/A</t>
        </is>
      </c>
      <c r="K50" s="10" t="n"/>
    </row>
    <row r="51" ht="18" customHeight="1" s="104">
      <c r="A51" s="74" t="n">
        <v>275</v>
      </c>
      <c r="B51" s="69" t="n">
        <v>30695782</v>
      </c>
      <c r="C51" s="78" t="inlineStr">
        <is>
          <t>EOD-320-44-00028-R00/DE-MOD TAQNIA SYSTEM REMOVAL</t>
        </is>
      </c>
      <c r="D51" s="9" t="inlineStr">
        <is>
          <t>TASK CARD</t>
        </is>
      </c>
      <c r="E51" s="10" t="inlineStr">
        <is>
          <t>Open</t>
        </is>
      </c>
      <c r="F51" s="10" t="inlineStr">
        <is>
          <t>Normal</t>
        </is>
      </c>
      <c r="G51" s="9" t="inlineStr">
        <is>
          <t>AV</t>
        </is>
      </c>
      <c r="H51" s="11" t="n"/>
      <c r="I51" s="77" t="n"/>
      <c r="J51" s="10" t="inlineStr">
        <is>
          <t>N/A</t>
        </is>
      </c>
      <c r="K51" s="10" t="n"/>
    </row>
    <row r="52" ht="18" customHeight="1" s="104">
      <c r="A52" s="74" t="n">
        <v>276</v>
      </c>
      <c r="B52" s="69" t="n">
        <v>29155917</v>
      </c>
      <c r="C52" s="78" t="inlineStr">
        <is>
          <t>EOD-320-46-00004-R00/INSTALL FOMAX SYSTEM PROVISIONS</t>
        </is>
      </c>
      <c r="D52" s="9" t="inlineStr">
        <is>
          <t>TASK CARD</t>
        </is>
      </c>
      <c r="E52" s="10" t="inlineStr">
        <is>
          <t>Open</t>
        </is>
      </c>
      <c r="F52" s="10" t="inlineStr">
        <is>
          <t>Normal</t>
        </is>
      </c>
      <c r="G52" s="9" t="inlineStr">
        <is>
          <t>AV</t>
        </is>
      </c>
      <c r="H52" s="11" t="n"/>
      <c r="I52" s="77" t="n"/>
      <c r="J52" s="10" t="inlineStr">
        <is>
          <t>N/A</t>
        </is>
      </c>
      <c r="K52" s="10" t="n"/>
    </row>
    <row r="53" ht="18" customHeight="1" s="104">
      <c r="A53" s="74" t="n">
        <v>277</v>
      </c>
      <c r="B53" s="69" t="n">
        <v>29156041</v>
      </c>
      <c r="C53" s="78" t="inlineStr">
        <is>
          <t>EOD-320-46-00005-R00/INSTALL INTERNAL GATELINK ANTENNA FOR FOMAX</t>
        </is>
      </c>
      <c r="D53" s="9" t="inlineStr">
        <is>
          <t>TASK CARD</t>
        </is>
      </c>
      <c r="E53" s="10" t="inlineStr">
        <is>
          <t>Open</t>
        </is>
      </c>
      <c r="F53" s="10" t="inlineStr">
        <is>
          <t>Normal</t>
        </is>
      </c>
      <c r="G53" s="9" t="inlineStr">
        <is>
          <t>AV</t>
        </is>
      </c>
      <c r="H53" s="11" t="n"/>
      <c r="I53" s="77" t="n"/>
      <c r="J53" s="10" t="inlineStr">
        <is>
          <t>N/A</t>
        </is>
      </c>
      <c r="K53" s="10" t="n"/>
    </row>
    <row r="54" ht="18" customHeight="1" s="104">
      <c r="A54" s="74" t="n">
        <v>278</v>
      </c>
      <c r="B54" s="69" t="n">
        <v>29156135</v>
      </c>
      <c r="C54" s="78" t="inlineStr">
        <is>
          <t>EOD-320-46-00006-R00/INSTALL COCKPIT WIFI ANTENNA FOR FOMAX</t>
        </is>
      </c>
      <c r="D54" s="9" t="inlineStr">
        <is>
          <t>TASK CARD</t>
        </is>
      </c>
      <c r="E54" s="10" t="inlineStr">
        <is>
          <t>Open</t>
        </is>
      </c>
      <c r="F54" s="10" t="inlineStr">
        <is>
          <t>Normal</t>
        </is>
      </c>
      <c r="G54" s="9" t="inlineStr">
        <is>
          <t>AV</t>
        </is>
      </c>
      <c r="H54" s="11" t="n"/>
      <c r="I54" s="77" t="n"/>
      <c r="J54" s="10" t="inlineStr">
        <is>
          <t>N/A</t>
        </is>
      </c>
      <c r="K54" s="10" t="n"/>
    </row>
    <row r="55" ht="18" customHeight="1" s="104">
      <c r="A55" s="74" t="n">
        <v>279</v>
      </c>
      <c r="B55" s="69" t="n">
        <v>29156197</v>
      </c>
      <c r="C55" s="78" t="inlineStr">
        <is>
          <t>EOD-320-46-00007-R00/CONNECT ETHERNET LINK BETWEEN FOMAX AND FDIMU</t>
        </is>
      </c>
      <c r="D55" s="9" t="inlineStr">
        <is>
          <t>TASK CARD</t>
        </is>
      </c>
      <c r="E55" s="10" t="inlineStr">
        <is>
          <t>Open</t>
        </is>
      </c>
      <c r="F55" s="10" t="inlineStr">
        <is>
          <t>Normal</t>
        </is>
      </c>
      <c r="G55" s="9" t="inlineStr">
        <is>
          <t>AV</t>
        </is>
      </c>
      <c r="H55" s="11" t="n"/>
      <c r="I55" s="77" t="n"/>
      <c r="J55" s="10" t="inlineStr">
        <is>
          <t>N/A</t>
        </is>
      </c>
      <c r="K55" s="10" t="n"/>
    </row>
    <row r="56" ht="18" customHeight="1" s="104">
      <c r="A56" s="74" t="n">
        <v>280</v>
      </c>
      <c r="B56" s="69" t="n">
        <v>29157167</v>
      </c>
      <c r="C56" s="78" t="inlineStr">
        <is>
          <t>EOD-320-46-00008-R00/FOMAX 4 ACTIVATION</t>
        </is>
      </c>
      <c r="D56" s="9" t="inlineStr">
        <is>
          <t>TASK CARD</t>
        </is>
      </c>
      <c r="E56" s="10" t="inlineStr">
        <is>
          <t>Open</t>
        </is>
      </c>
      <c r="F56" s="10" t="inlineStr">
        <is>
          <t>Normal</t>
        </is>
      </c>
      <c r="G56" s="9" t="inlineStr">
        <is>
          <t>AV</t>
        </is>
      </c>
      <c r="H56" s="11" t="n"/>
      <c r="I56" s="77" t="n"/>
      <c r="J56" s="10" t="inlineStr">
        <is>
          <t>N/A</t>
        </is>
      </c>
      <c r="K56" s="10" t="n"/>
    </row>
    <row r="57" ht="18" customHeight="1" s="104">
      <c r="A57" s="74" t="n">
        <v>281</v>
      </c>
      <c r="B57" s="69" t="n">
        <v>29156251</v>
      </c>
      <c r="C57" s="78" t="inlineStr">
        <is>
          <t>EOD-320-46-00009-R00/ACTIVATE FOMAX OPTION 1</t>
        </is>
      </c>
      <c r="D57" s="9" t="inlineStr">
        <is>
          <t>TASK CARD</t>
        </is>
      </c>
      <c r="E57" s="10" t="inlineStr">
        <is>
          <t>Open</t>
        </is>
      </c>
      <c r="F57" s="10" t="inlineStr">
        <is>
          <t>Normal</t>
        </is>
      </c>
      <c r="G57" s="9" t="inlineStr">
        <is>
          <t>AV</t>
        </is>
      </c>
      <c r="H57" s="11" t="n"/>
      <c r="I57" s="77" t="n"/>
      <c r="J57" s="10" t="inlineStr">
        <is>
          <t>N/A</t>
        </is>
      </c>
      <c r="K57" s="10" t="n"/>
    </row>
    <row r="58" ht="18" customHeight="1" s="104">
      <c r="A58" s="74" t="n">
        <v>287</v>
      </c>
      <c r="B58" s="69" t="n">
        <v>15969129</v>
      </c>
      <c r="C58" s="8" t="inlineStr">
        <is>
          <t>EOD-A32S-53-00003-R03/INSPECTION OF THE SIDE BOX BEAM FLANGE AT LHS/RHS IN FR43 AREA.</t>
        </is>
      </c>
      <c r="D58" s="9" t="inlineStr">
        <is>
          <t>TASK CARD</t>
        </is>
      </c>
      <c r="E58" s="10" t="inlineStr">
        <is>
          <t>Open</t>
        </is>
      </c>
      <c r="F58" s="10" t="inlineStr">
        <is>
          <t>Normal</t>
        </is>
      </c>
      <c r="G58" s="9" t="inlineStr">
        <is>
          <t>AP</t>
        </is>
      </c>
      <c r="H58" s="11" t="n"/>
      <c r="I58" s="10" t="inlineStr">
        <is>
          <t>REQ SEATS AND FLOOR PANELS REMOVAL</t>
        </is>
      </c>
      <c r="J58" s="10" t="inlineStr">
        <is>
          <t>N/A</t>
        </is>
      </c>
      <c r="K58" s="10" t="n"/>
    </row>
    <row r="59" ht="18" customHeight="1" s="104">
      <c r="A59" s="74" t="n">
        <v>296</v>
      </c>
      <c r="B59" s="69" t="n">
        <v>27731511</v>
      </c>
      <c r="C59" s="8" t="inlineStr">
        <is>
          <t>S51-R10016/A320 // DENT AND BUCKLE CHART UPDATE</t>
        </is>
      </c>
      <c r="D59" s="9" t="inlineStr">
        <is>
          <t>TASK CARD</t>
        </is>
      </c>
      <c r="E59" s="10" t="inlineStr">
        <is>
          <t>Open</t>
        </is>
      </c>
      <c r="F59" s="10" t="inlineStr">
        <is>
          <t>Normal</t>
        </is>
      </c>
      <c r="G59" s="9" t="inlineStr">
        <is>
          <t>INSP</t>
        </is>
      </c>
      <c r="H59" s="11" t="n"/>
      <c r="I59" s="10" t="n"/>
      <c r="J59" s="10" t="inlineStr">
        <is>
          <t>N/A</t>
        </is>
      </c>
      <c r="K59" s="10" t="n"/>
    </row>
    <row r="60" ht="18" customHeight="1" s="104">
      <c r="A60" s="74" t="n">
        <v>299</v>
      </c>
      <c r="B60" s="69" t="n">
        <v>32023170</v>
      </c>
      <c r="C60" s="78" t="inlineStr">
        <is>
          <t>REPLACE 3214-31/151721 (BATTERY, EMERGENCY)</t>
        </is>
      </c>
      <c r="D60" s="9" t="inlineStr">
        <is>
          <t>TASK CARD</t>
        </is>
      </c>
      <c r="E60" s="10" t="inlineStr">
        <is>
          <t>Open</t>
        </is>
      </c>
      <c r="F60" s="10" t="inlineStr">
        <is>
          <t>Normal</t>
        </is>
      </c>
      <c r="G60" s="9" t="inlineStr">
        <is>
          <t>AV</t>
        </is>
      </c>
      <c r="H60" s="11" t="n"/>
      <c r="I60" s="10" t="inlineStr">
        <is>
          <t>ACCESS</t>
        </is>
      </c>
      <c r="J60" s="10" t="inlineStr">
        <is>
          <t>N/A</t>
        </is>
      </c>
      <c r="K60" s="10" t="n"/>
    </row>
    <row r="61" ht="18" customHeight="1" s="104">
      <c r="A61" s="74" t="n">
        <v>300</v>
      </c>
      <c r="B61" s="69" t="n">
        <v>32023140</v>
      </c>
      <c r="C61" s="78" t="inlineStr">
        <is>
          <t>REPLACE 3214-31/151783 (BATTERY, EMERGENCY)</t>
        </is>
      </c>
      <c r="D61" s="9" t="inlineStr">
        <is>
          <t>TASK CARD</t>
        </is>
      </c>
      <c r="E61" s="10" t="inlineStr">
        <is>
          <t>Open</t>
        </is>
      </c>
      <c r="F61" s="10" t="inlineStr">
        <is>
          <t>Normal</t>
        </is>
      </c>
      <c r="G61" s="9" t="inlineStr">
        <is>
          <t>AV</t>
        </is>
      </c>
      <c r="H61" s="11" t="n"/>
      <c r="I61" s="10" t="inlineStr">
        <is>
          <t>ACCESS</t>
        </is>
      </c>
      <c r="J61" s="10" t="inlineStr">
        <is>
          <t>N/A</t>
        </is>
      </c>
      <c r="K61" s="10" t="n"/>
    </row>
    <row r="62" ht="18" customHeight="1" s="104">
      <c r="A62" s="74" t="n">
        <v>301</v>
      </c>
      <c r="B62" s="69" t="n">
        <v>32023261</v>
      </c>
      <c r="C62" s="78" t="inlineStr">
        <is>
          <t>REPLACE 3214-31/159075 (BATTERY, EMERGENCY)</t>
        </is>
      </c>
      <c r="D62" s="9" t="inlineStr">
        <is>
          <t>TASK CARD</t>
        </is>
      </c>
      <c r="E62" s="10" t="inlineStr">
        <is>
          <t>Open</t>
        </is>
      </c>
      <c r="F62" s="10" t="inlineStr">
        <is>
          <t>Normal</t>
        </is>
      </c>
      <c r="G62" s="9" t="inlineStr">
        <is>
          <t>AV</t>
        </is>
      </c>
      <c r="H62" s="11" t="n"/>
      <c r="I62" s="10" t="inlineStr">
        <is>
          <t>ACCESS</t>
        </is>
      </c>
      <c r="J62" s="10" t="inlineStr">
        <is>
          <t>N/A</t>
        </is>
      </c>
      <c r="K62" s="10" t="n"/>
    </row>
    <row r="63" ht="18" customHeight="1" s="104">
      <c r="A63" s="74" t="n">
        <v>302</v>
      </c>
      <c r="B63" s="69" t="n">
        <v>32023581</v>
      </c>
      <c r="C63" s="78" t="inlineStr">
        <is>
          <t>REPLACE 3214-31/961564 (BATTERY, EMERGENCY)</t>
        </is>
      </c>
      <c r="D63" s="9" t="inlineStr">
        <is>
          <t>TASK CARD</t>
        </is>
      </c>
      <c r="E63" s="10" t="inlineStr">
        <is>
          <t>Open</t>
        </is>
      </c>
      <c r="F63" s="10" t="inlineStr">
        <is>
          <t>Normal</t>
        </is>
      </c>
      <c r="G63" s="9" t="inlineStr">
        <is>
          <t>AV</t>
        </is>
      </c>
      <c r="H63" s="11" t="n"/>
      <c r="I63" s="10" t="inlineStr">
        <is>
          <t>ACCESS</t>
        </is>
      </c>
      <c r="J63" s="10" t="inlineStr">
        <is>
          <t>N/A</t>
        </is>
      </c>
      <c r="K63" s="10" t="n"/>
    </row>
    <row r="64" ht="18" customHeight="1" s="104">
      <c r="A64" s="74" t="n">
        <v>303</v>
      </c>
      <c r="B64" s="69" t="n">
        <v>31449237</v>
      </c>
      <c r="C64" s="78" t="inlineStr">
        <is>
          <t>REPLACE 60592-203/A25974 (RESERVOIR AND VALVE ASSEMBLY)</t>
        </is>
      </c>
      <c r="D64" s="9" t="inlineStr">
        <is>
          <t>TASK CARD</t>
        </is>
      </c>
      <c r="E64" s="10" t="inlineStr">
        <is>
          <t>Open</t>
        </is>
      </c>
      <c r="F64" s="10" t="inlineStr">
        <is>
          <t>Normal</t>
        </is>
      </c>
      <c r="G64" s="9" t="inlineStr">
        <is>
          <t>AP</t>
        </is>
      </c>
      <c r="H64" s="11" t="n"/>
      <c r="I64" s="10" t="inlineStr">
        <is>
          <t>ACCESS</t>
        </is>
      </c>
      <c r="J64" s="10" t="inlineStr">
        <is>
          <t>N/A</t>
        </is>
      </c>
      <c r="K64" s="10" t="inlineStr">
        <is>
          <t>N/A</t>
        </is>
      </c>
    </row>
    <row r="65" ht="18" customHeight="1" s="104">
      <c r="A65" s="74" t="n">
        <v>304</v>
      </c>
      <c r="B65" s="69" t="n">
        <v>27027164</v>
      </c>
      <c r="C65" s="78" t="inlineStr">
        <is>
          <t>REPLACE 60592-203/ALT749-11441 (RESERVOIR AND VALVE ASSEMBLY)</t>
        </is>
      </c>
      <c r="D65" s="9" t="inlineStr">
        <is>
          <t>TASK CARD</t>
        </is>
      </c>
      <c r="E65" s="10" t="inlineStr">
        <is>
          <t>Open</t>
        </is>
      </c>
      <c r="F65" s="10" t="inlineStr">
        <is>
          <t>Normal</t>
        </is>
      </c>
      <c r="G65" s="9" t="inlineStr">
        <is>
          <t>AP</t>
        </is>
      </c>
      <c r="H65" s="11" t="n"/>
      <c r="I65" s="10" t="n"/>
      <c r="J65" s="10" t="inlineStr">
        <is>
          <t>N/A</t>
        </is>
      </c>
      <c r="K65" s="10" t="inlineStr">
        <is>
          <t>N/A</t>
        </is>
      </c>
    </row>
    <row r="66" ht="18" customHeight="1" s="104">
      <c r="A66" s="74" t="n">
        <v>305</v>
      </c>
      <c r="B66" s="69" t="n">
        <v>29160779</v>
      </c>
      <c r="C66" s="8" t="inlineStr">
        <is>
          <t>REPLACE 755D0000-01/81210-68985 (REHEATER)</t>
        </is>
      </c>
      <c r="D66" s="9" t="inlineStr">
        <is>
          <t>TASK CARD</t>
        </is>
      </c>
      <c r="E66" s="10" t="inlineStr">
        <is>
          <t>Closed</t>
        </is>
      </c>
      <c r="F66" s="10" t="inlineStr">
        <is>
          <t>Normal</t>
        </is>
      </c>
      <c r="G66" s="9" t="inlineStr">
        <is>
          <t>AP</t>
        </is>
      </c>
      <c r="H66" s="11" t="n"/>
      <c r="I66" s="10" t="n"/>
      <c r="J66" s="10" t="inlineStr">
        <is>
          <t>N/A</t>
        </is>
      </c>
      <c r="K66" s="10" t="inlineStr">
        <is>
          <t>N/A</t>
        </is>
      </c>
    </row>
    <row r="67" ht="18" customHeight="1" s="104">
      <c r="A67" s="74" t="n">
        <v>306</v>
      </c>
      <c r="B67" s="69" t="n">
        <v>29540806</v>
      </c>
      <c r="C67" s="8" t="inlineStr">
        <is>
          <t>REPLACE 9700-C1A-BF23A/P21110181 (BOTTEL PORTABLE OXY.)</t>
        </is>
      </c>
      <c r="D67" s="9" t="inlineStr">
        <is>
          <t>TASK CARD</t>
        </is>
      </c>
      <c r="E67" s="10" t="inlineStr">
        <is>
          <t>Closed</t>
        </is>
      </c>
      <c r="F67" s="10" t="inlineStr">
        <is>
          <t>Normal</t>
        </is>
      </c>
      <c r="G67" s="9" t="inlineStr">
        <is>
          <t>CAB</t>
        </is>
      </c>
      <c r="H67" s="11" t="n"/>
      <c r="I67" s="10" t="n"/>
      <c r="J67" s="10" t="inlineStr">
        <is>
          <t>N/A</t>
        </is>
      </c>
      <c r="K67" s="10" t="n"/>
    </row>
    <row r="68" ht="18" customHeight="1" s="104">
      <c r="A68" s="74" t="n">
        <v>308</v>
      </c>
      <c r="B68" s="69" t="n">
        <v>21620684</v>
      </c>
      <c r="C68" s="8" t="inlineStr">
        <is>
          <t>34100005-1/39235D1 WC(WEIGHT CHECK) / WEIGHT CHECK</t>
        </is>
      </c>
      <c r="D68" s="9" t="inlineStr">
        <is>
          <t>TASK CARD</t>
        </is>
      </c>
      <c r="E68" s="10" t="inlineStr">
        <is>
          <t>Open</t>
        </is>
      </c>
      <c r="F68" s="10" t="inlineStr">
        <is>
          <t>Normal</t>
        </is>
      </c>
      <c r="G68" s="9" t="inlineStr">
        <is>
          <t>AP</t>
        </is>
      </c>
      <c r="H68" s="11" t="n"/>
      <c r="I68" s="10" t="n"/>
      <c r="J68" s="10" t="inlineStr">
        <is>
          <t>N/A</t>
        </is>
      </c>
      <c r="K68" s="10" t="n"/>
    </row>
    <row r="69" ht="18" customHeight="1" s="104">
      <c r="A69" s="74" t="n">
        <v>309</v>
      </c>
      <c r="B69" s="69" t="n">
        <v>21620578</v>
      </c>
      <c r="C69" s="8" t="inlineStr">
        <is>
          <t>34100005-1/40474D1 WC(WEIGHT CHECK) / WEIGHT CHECK</t>
        </is>
      </c>
      <c r="D69" s="9" t="inlineStr">
        <is>
          <t>TASK CARD</t>
        </is>
      </c>
      <c r="E69" s="10" t="inlineStr">
        <is>
          <t>Open</t>
        </is>
      </c>
      <c r="F69" s="10" t="inlineStr">
        <is>
          <t>Normal</t>
        </is>
      </c>
      <c r="G69" s="9" t="inlineStr">
        <is>
          <t>AP</t>
        </is>
      </c>
      <c r="H69" s="11" t="n"/>
      <c r="I69" s="10" t="n"/>
      <c r="J69" s="10" t="inlineStr">
        <is>
          <t>N/A</t>
        </is>
      </c>
      <c r="K69" s="10" t="n"/>
    </row>
    <row r="70" ht="18" customHeight="1" s="104">
      <c r="A70" s="74" t="n">
        <v>310</v>
      </c>
      <c r="B70" s="69" t="n">
        <v>21620847</v>
      </c>
      <c r="C70" s="8" t="inlineStr">
        <is>
          <t>34100005-1/42779D1 WC(WEIGHT CHECK) / WEIGHT CHECK</t>
        </is>
      </c>
      <c r="D70" s="9" t="inlineStr">
        <is>
          <t>TASK CARD</t>
        </is>
      </c>
      <c r="E70" s="10" t="inlineStr">
        <is>
          <t>Open</t>
        </is>
      </c>
      <c r="F70" s="10" t="inlineStr">
        <is>
          <t>Normal</t>
        </is>
      </c>
      <c r="G70" s="9" t="inlineStr">
        <is>
          <t>AP</t>
        </is>
      </c>
      <c r="H70" s="11" t="n"/>
      <c r="I70" s="10" t="n"/>
      <c r="J70" s="10" t="inlineStr">
        <is>
          <t>N/A</t>
        </is>
      </c>
      <c r="K70" s="10" t="n"/>
    </row>
    <row r="71" ht="18" customHeight="1" s="104">
      <c r="A71" s="74" t="n">
        <v>311</v>
      </c>
      <c r="B71" s="69" t="n">
        <v>21620638</v>
      </c>
      <c r="C71" s="8" t="inlineStr">
        <is>
          <t>34100005-1/57001D1 WC(WEIGHT CHECK) / WEIGHT CHECK</t>
        </is>
      </c>
      <c r="D71" s="9" t="inlineStr">
        <is>
          <t>TASK CARD</t>
        </is>
      </c>
      <c r="E71" s="10" t="inlineStr">
        <is>
          <t>Open</t>
        </is>
      </c>
      <c r="F71" s="10" t="inlineStr">
        <is>
          <t>Normal</t>
        </is>
      </c>
      <c r="G71" s="9" t="inlineStr">
        <is>
          <t>AP</t>
        </is>
      </c>
      <c r="H71" s="11" t="n"/>
      <c r="I71" s="10" t="n"/>
      <c r="J71" s="10" t="inlineStr">
        <is>
          <t>N/A</t>
        </is>
      </c>
      <c r="K71" s="10" t="n"/>
    </row>
    <row r="72" ht="18" customHeight="1" s="104">
      <c r="A72" s="74" t="n">
        <v>316</v>
      </c>
      <c r="B72" s="69" t="n">
        <v>23905848</v>
      </c>
      <c r="C72" s="8" t="inlineStr">
        <is>
          <t>DENT AND BUCKLE CHART /1/ MAKE SURE THAT AIRCRAFT IS SAFE AND READY FOR MAINTENANCE BEFORE  YOU START THIS TASK TO AVOID PERSONNEL INJURY AND AIRCRAFT DAMAGE.      /2/ THIS ER DIRECTS THE  DETAIL VISUAL INSPECTION OF ALL AIRCRAFT  EXTERIOR SURFACE...</t>
        </is>
      </c>
      <c r="D72" s="9" t="inlineStr">
        <is>
          <t>TASK CARD</t>
        </is>
      </c>
      <c r="E72" s="10" t="inlineStr">
        <is>
          <t>Open</t>
        </is>
      </c>
      <c r="F72" s="10" t="inlineStr">
        <is>
          <t>Normal</t>
        </is>
      </c>
      <c r="G72" s="9" t="inlineStr">
        <is>
          <t>INSP</t>
        </is>
      </c>
      <c r="H72" s="11" t="n"/>
      <c r="I72" s="10" t="n"/>
      <c r="J72" s="10" t="inlineStr">
        <is>
          <t>N/A</t>
        </is>
      </c>
      <c r="K72" s="10" t="n"/>
    </row>
    <row r="73" ht="18" customHeight="1" s="104">
      <c r="A73" s="74" t="n">
        <v>317</v>
      </c>
      <c r="B73" s="69" t="n">
        <v>32022300</v>
      </c>
      <c r="C73" s="95" t="inlineStr">
        <is>
          <t>DOCTR KIT EXPIRY [30JUN 2026]. DOCTOR KIT WILL EXP ON 30 JUNE 2026 DEK # 096 DEK SN  7160</t>
        </is>
      </c>
      <c r="D73" s="9" t="inlineStr">
        <is>
          <t>GENERAL CABIN</t>
        </is>
      </c>
      <c r="E73" s="10" t="inlineStr">
        <is>
          <t>Open</t>
        </is>
      </c>
      <c r="F73" s="10" t="inlineStr">
        <is>
          <t>Normal</t>
        </is>
      </c>
      <c r="G73" s="9" t="inlineStr">
        <is>
          <t>CAB</t>
        </is>
      </c>
      <c r="H73" s="11" t="n"/>
      <c r="I73" s="10" t="inlineStr">
        <is>
          <t>R/R FROM CATRION</t>
        </is>
      </c>
      <c r="J73" s="10" t="inlineStr">
        <is>
          <t>N/A</t>
        </is>
      </c>
      <c r="K73" s="10" t="inlineStr">
        <is>
          <t>AFT</t>
        </is>
      </c>
    </row>
    <row r="74" ht="18" customHeight="1" s="104">
      <c r="A74" s="74" t="n">
        <v>319</v>
      </c>
      <c r="B74" s="69" t="n">
        <v>80794771</v>
      </c>
      <c r="C74" s="95" t="inlineStr">
        <is>
          <t>METAL STRIP LAV D BESIDE COMPARTMENT S302 AFT LWR SIDE METAL STRIP FOUND BROKEN. PIC ATTACHED</t>
        </is>
      </c>
      <c r="D74" s="9" t="inlineStr">
        <is>
          <t>GENERAL CABIN</t>
        </is>
      </c>
      <c r="E74" s="10" t="inlineStr">
        <is>
          <t>Open</t>
        </is>
      </c>
      <c r="F74" s="10" t="inlineStr">
        <is>
          <t>Normal</t>
        </is>
      </c>
      <c r="G74" s="9" t="inlineStr">
        <is>
          <t>CAB</t>
        </is>
      </c>
      <c r="H74" s="11" t="n"/>
      <c r="I74" s="10" t="n"/>
      <c r="J74" s="10" t="inlineStr">
        <is>
          <t>N/A</t>
        </is>
      </c>
      <c r="K74" s="10" t="inlineStr">
        <is>
          <t>AFT</t>
        </is>
      </c>
    </row>
    <row r="75" ht="18" customHeight="1" s="104">
      <c r="A75" s="74" t="n">
        <v>320</v>
      </c>
      <c r="B75" s="69" t="n">
        <v>81012325</v>
      </c>
      <c r="C75" s="95" t="inlineStr">
        <is>
          <t>COVER R2 DOOR MIS BUSTLE COVER HAS DAMAGE.</t>
        </is>
      </c>
      <c r="D75" s="9" t="inlineStr">
        <is>
          <t>PAX DOORS</t>
        </is>
      </c>
      <c r="E75" s="10" t="inlineStr">
        <is>
          <t>Closed</t>
        </is>
      </c>
      <c r="F75" s="10" t="inlineStr">
        <is>
          <t>Normal</t>
        </is>
      </c>
      <c r="G75" s="9" t="inlineStr">
        <is>
          <t>CAB</t>
        </is>
      </c>
      <c r="H75" s="11" t="inlineStr">
        <is>
          <t>Requested</t>
        </is>
      </c>
      <c r="I75" s="10" t="inlineStr">
        <is>
          <t>C/W</t>
        </is>
      </c>
      <c r="J75" s="10" t="inlineStr">
        <is>
          <t>N/A</t>
        </is>
      </c>
      <c r="K75" s="10" t="inlineStr">
        <is>
          <t>AFT</t>
        </is>
      </c>
    </row>
    <row r="76" ht="18" customHeight="1" s="104">
      <c r="A76" s="74" t="n">
        <v>322</v>
      </c>
      <c r="B76" s="69" t="inlineStr">
        <is>
          <t>STJC-20-00-00-01-GA-GO</t>
        </is>
      </c>
      <c r="C76" s="8" t="inlineStr">
        <is>
          <t>HEAVY CHK AIRCRAFT (PRE-INSP)</t>
        </is>
      </c>
      <c r="D76" s="9" t="inlineStr">
        <is>
          <t>TASK CARD</t>
        </is>
      </c>
      <c r="E76" s="10" t="inlineStr">
        <is>
          <t>Closed</t>
        </is>
      </c>
      <c r="F76" s="10" t="inlineStr">
        <is>
          <t>Normal</t>
        </is>
      </c>
      <c r="G76" s="9" t="inlineStr">
        <is>
          <t>INSP</t>
        </is>
      </c>
      <c r="H76" s="11" t="n"/>
      <c r="I76" s="10" t="n"/>
      <c r="J76" s="10" t="inlineStr">
        <is>
          <t>N/A</t>
        </is>
      </c>
      <c r="K76" s="10" t="n"/>
    </row>
    <row r="77" ht="18" customHeight="1" s="104">
      <c r="A77" s="74" t="n">
        <v>323</v>
      </c>
      <c r="B77" s="69" t="inlineStr">
        <is>
          <t>STJC-20-00-00-03-GA-GO</t>
        </is>
      </c>
      <c r="C77" s="8" t="inlineStr">
        <is>
          <t>TOOL ACCOUNTABILITY PRIOR TO ACFT RELEASE</t>
        </is>
      </c>
      <c r="D77" s="9" t="inlineStr">
        <is>
          <t>TASK CARD</t>
        </is>
      </c>
      <c r="E77" s="10" t="inlineStr">
        <is>
          <t>Open</t>
        </is>
      </c>
      <c r="F77" s="10" t="inlineStr">
        <is>
          <t>Normal</t>
        </is>
      </c>
      <c r="G77" s="9" t="inlineStr">
        <is>
          <t>AP</t>
        </is>
      </c>
      <c r="H77" s="11" t="n"/>
      <c r="I77" s="10" t="n"/>
      <c r="J77" s="10" t="inlineStr">
        <is>
          <t>N/A</t>
        </is>
      </c>
      <c r="K77" s="10" t="n"/>
    </row>
    <row r="78" ht="18" customHeight="1" s="104">
      <c r="A78" s="74" t="n">
        <v>324</v>
      </c>
      <c r="B78" s="69" t="inlineStr">
        <is>
          <t>STJC-20-00-00-04-GA-SV</t>
        </is>
      </c>
      <c r="C78" s="8" t="inlineStr">
        <is>
          <t>AIRCRAFT MAINTENANCE AND CABIN LOGBOOKS AUDIT</t>
        </is>
      </c>
      <c r="D78" s="9" t="inlineStr">
        <is>
          <t>TASK CARD</t>
        </is>
      </c>
      <c r="E78" s="10" t="inlineStr">
        <is>
          <t>Open</t>
        </is>
      </c>
      <c r="F78" s="10" t="inlineStr">
        <is>
          <t>Normal</t>
        </is>
      </c>
      <c r="G78" s="9" t="inlineStr">
        <is>
          <t>PLN</t>
        </is>
      </c>
      <c r="H78" s="11" t="n"/>
      <c r="I78" s="10" t="n"/>
      <c r="J78" s="10" t="inlineStr">
        <is>
          <t>N/A</t>
        </is>
      </c>
      <c r="K78" s="10" t="n"/>
    </row>
    <row r="79" ht="18" customHeight="1" s="104">
      <c r="A79" s="74" t="n">
        <v>325</v>
      </c>
      <c r="B79" s="69" t="inlineStr">
        <is>
          <t>STJC-20-00-00-05-GA-SV</t>
        </is>
      </c>
      <c r="C79" s="8" t="inlineStr">
        <is>
          <t>AIRCRAFT MAINTENANCE PACKAGE ACCOUNTABILITY CHECK</t>
        </is>
      </c>
      <c r="D79" s="9" t="inlineStr">
        <is>
          <t>TASK CARD</t>
        </is>
      </c>
      <c r="E79" s="10" t="inlineStr">
        <is>
          <t>Open</t>
        </is>
      </c>
      <c r="F79" s="10" t="inlineStr">
        <is>
          <t>Normal</t>
        </is>
      </c>
      <c r="G79" s="9" t="inlineStr">
        <is>
          <t>AP</t>
        </is>
      </c>
      <c r="H79" s="11" t="n"/>
      <c r="I79" s="10" t="n"/>
      <c r="J79" s="10" t="inlineStr">
        <is>
          <t>N/A</t>
        </is>
      </c>
      <c r="K79" s="10" t="n"/>
    </row>
    <row r="80" ht="18" customHeight="1" s="104">
      <c r="A80" s="74" t="n">
        <v>326</v>
      </c>
      <c r="B80" s="69" t="inlineStr">
        <is>
          <t>STJC-20-00-00-06-A32S-SV</t>
        </is>
      </c>
      <c r="C80" s="8" t="inlineStr">
        <is>
          <t>HEAVEY CHECK PRE-HANGAR PREPARATION</t>
        </is>
      </c>
      <c r="D80" s="9" t="inlineStr">
        <is>
          <t>TASK CARD</t>
        </is>
      </c>
      <c r="E80" s="10" t="inlineStr">
        <is>
          <t>Closed</t>
        </is>
      </c>
      <c r="F80" s="10" t="inlineStr">
        <is>
          <t>Normal</t>
        </is>
      </c>
      <c r="G80" s="9" t="inlineStr">
        <is>
          <t>AP</t>
        </is>
      </c>
      <c r="H80" s="11" t="n"/>
      <c r="I80" s="10" t="n"/>
      <c r="J80" s="10" t="inlineStr">
        <is>
          <t>N/A</t>
        </is>
      </c>
      <c r="K80" s="10" t="n"/>
    </row>
    <row r="81" ht="18" customHeight="1" s="104">
      <c r="A81" s="74" t="n">
        <v>327</v>
      </c>
      <c r="B81" s="69" t="inlineStr">
        <is>
          <t>STJC-20-00-00-07-A32S-SV</t>
        </is>
      </c>
      <c r="C81" s="8" t="inlineStr">
        <is>
          <t>HEAVEY CHECK DE-HANGARING PREPARATION</t>
        </is>
      </c>
      <c r="D81" s="9" t="inlineStr">
        <is>
          <t>TASK CARD</t>
        </is>
      </c>
      <c r="E81" s="10" t="inlineStr">
        <is>
          <t>Open</t>
        </is>
      </c>
      <c r="F81" s="10" t="inlineStr">
        <is>
          <t>Normal</t>
        </is>
      </c>
      <c r="G81" s="9" t="inlineStr">
        <is>
          <t>AP</t>
        </is>
      </c>
      <c r="H81" s="11" t="n"/>
      <c r="I81" s="10" t="n"/>
      <c r="J81" s="10" t="inlineStr">
        <is>
          <t>N/A</t>
        </is>
      </c>
      <c r="K81" s="10" t="n"/>
    </row>
    <row r="82" ht="18" customHeight="1" s="104">
      <c r="A82" s="74" t="n">
        <v>328</v>
      </c>
      <c r="B82" s="69" t="inlineStr">
        <is>
          <t>STJC-20-00-00-08-A32S-SV</t>
        </is>
      </c>
      <c r="C82" s="8" t="inlineStr">
        <is>
          <t>CABIN DOORS SAFETY PINS INSTALLATION/REMOVAL</t>
        </is>
      </c>
      <c r="D82" s="9" t="inlineStr">
        <is>
          <t>TASK CARD</t>
        </is>
      </c>
      <c r="E82" s="10" t="inlineStr">
        <is>
          <t>Closed</t>
        </is>
      </c>
      <c r="F82" s="10" t="inlineStr">
        <is>
          <t>Normal</t>
        </is>
      </c>
      <c r="G82" s="9" t="inlineStr">
        <is>
          <t>CAB</t>
        </is>
      </c>
      <c r="H82" s="11" t="n"/>
      <c r="I82" s="10" t="n"/>
      <c r="J82" s="10" t="inlineStr">
        <is>
          <t>N/A</t>
        </is>
      </c>
      <c r="K82" s="10" t="n"/>
    </row>
    <row r="83" ht="18" customHeight="1" s="104">
      <c r="A83" s="74" t="n">
        <v>329</v>
      </c>
      <c r="B83" s="69" t="inlineStr">
        <is>
          <t>STJC-AREAS-FINAL-INSPECTION-01-GA-GO</t>
        </is>
      </c>
      <c r="C83" s="8" t="inlineStr">
        <is>
          <t>AIRCRAFT FINAL INSPECTION</t>
        </is>
      </c>
      <c r="D83" s="9" t="inlineStr">
        <is>
          <t>TASK CARD</t>
        </is>
      </c>
      <c r="E83" s="10" t="inlineStr">
        <is>
          <t>Open</t>
        </is>
      </c>
      <c r="F83" s="10" t="inlineStr">
        <is>
          <t>Normal</t>
        </is>
      </c>
      <c r="G83" s="9" t="inlineStr">
        <is>
          <t>INSP</t>
        </is>
      </c>
      <c r="H83" s="11" t="n"/>
      <c r="I83" s="10" t="n"/>
      <c r="J83" s="10" t="inlineStr">
        <is>
          <t>N/A</t>
        </is>
      </c>
      <c r="K83" s="10" t="n"/>
    </row>
    <row r="84" ht="18" customHeight="1" s="104">
      <c r="A84" s="74" t="n">
        <v>330</v>
      </c>
      <c r="B84" s="69" t="inlineStr">
        <is>
          <t>STJC-AREAS-FINAL-INSPECTION-02-GA-GO</t>
        </is>
      </c>
      <c r="C84" s="8" t="inlineStr">
        <is>
          <t>COCKPIT AND PAX CABIN FINAL INSPECTION</t>
        </is>
      </c>
      <c r="D84" s="9" t="inlineStr">
        <is>
          <t>TASK CARD</t>
        </is>
      </c>
      <c r="E84" s="10" t="inlineStr">
        <is>
          <t>Open</t>
        </is>
      </c>
      <c r="F84" s="10" t="inlineStr">
        <is>
          <t>Normal</t>
        </is>
      </c>
      <c r="G84" s="9" t="inlineStr">
        <is>
          <t>INSP</t>
        </is>
      </c>
      <c r="H84" s="11" t="n"/>
      <c r="I84" s="10" t="n"/>
      <c r="J84" s="10" t="inlineStr">
        <is>
          <t>N/A</t>
        </is>
      </c>
      <c r="K84" s="10" t="n"/>
    </row>
    <row r="85" ht="18" customHeight="1" s="104">
      <c r="A85" s="74" t="n">
        <v>339</v>
      </c>
      <c r="B85" s="69" t="inlineStr">
        <is>
          <t>STJC-RTS-03-A32S-SV</t>
        </is>
      </c>
      <c r="C85" s="8" t="inlineStr">
        <is>
          <t>AIRCRAFT RETURN TO SERVICE FOR HEAVEY CHECK</t>
        </is>
      </c>
      <c r="D85" s="9" t="inlineStr">
        <is>
          <t>TASK CARD</t>
        </is>
      </c>
      <c r="E85" s="10" t="inlineStr">
        <is>
          <t>Open</t>
        </is>
      </c>
      <c r="F85" s="10" t="inlineStr">
        <is>
          <t>Normal</t>
        </is>
      </c>
      <c r="G85" s="9" t="inlineStr">
        <is>
          <t>AP</t>
        </is>
      </c>
      <c r="H85" s="11" t="n"/>
      <c r="I85" s="10" t="n"/>
      <c r="J85" s="10" t="inlineStr">
        <is>
          <t>N/A</t>
        </is>
      </c>
      <c r="K85" s="10" t="n"/>
    </row>
    <row r="86" ht="18" customHeight="1" s="104">
      <c r="A86" s="74" t="n">
        <v>341</v>
      </c>
      <c r="B86" s="69" t="n">
        <v>32787419</v>
      </c>
      <c r="C86" s="8" t="inlineStr">
        <is>
          <t>LAV FLOOR PAN---SM--RII LAV-D FLOOR PAN UNDER COMMODE VERTICAL PANEL SCREW HOLE CRACKED ALL THE WAY</t>
        </is>
      </c>
      <c r="D86" s="9" t="inlineStr">
        <is>
          <t>LAVATORY</t>
        </is>
      </c>
      <c r="E86" s="10" t="inlineStr">
        <is>
          <t>Open</t>
        </is>
      </c>
      <c r="F86" s="10" t="inlineStr">
        <is>
          <t>Normal</t>
        </is>
      </c>
      <c r="G86" s="9" t="inlineStr">
        <is>
          <t>S/M</t>
        </is>
      </c>
      <c r="H86" s="11" t="n"/>
      <c r="I86" s="10" t="n"/>
      <c r="J86" s="10" t="inlineStr">
        <is>
          <t>N/A</t>
        </is>
      </c>
      <c r="K86" s="10" t="n"/>
    </row>
    <row r="87" ht="18" customHeight="1" s="104">
      <c r="A87" s="74" t="n">
        <v>342</v>
      </c>
      <c r="B87" s="69" t="n">
        <v>32787446</v>
      </c>
      <c r="C87" s="95" t="inlineStr">
        <is>
          <t>LAVE COMMODE SHROUDE---CAB---NO CALL BACK LAV-A FLOOR PAN COMMODE BOTTOM VERTICAL PANEL 01EA SCREW MISSING</t>
        </is>
      </c>
      <c r="D87" s="9" t="inlineStr">
        <is>
          <t>LAVATORY</t>
        </is>
      </c>
      <c r="E87" s="10" t="inlineStr">
        <is>
          <t>Open</t>
        </is>
      </c>
      <c r="F87" s="10" t="inlineStr">
        <is>
          <t>Normal</t>
        </is>
      </c>
      <c r="G87" s="9" t="inlineStr">
        <is>
          <t>CAB</t>
        </is>
      </c>
      <c r="H87" s="11" t="n"/>
      <c r="I87" s="10" t="n"/>
      <c r="J87" s="10" t="inlineStr">
        <is>
          <t>N/A</t>
        </is>
      </c>
      <c r="K87" s="10" t="inlineStr">
        <is>
          <t>AFT</t>
        </is>
      </c>
    </row>
    <row r="88" ht="18" customHeight="1" s="104">
      <c r="A88" s="74" t="n">
        <v>343</v>
      </c>
      <c r="B88" s="69" t="n">
        <v>32787479</v>
      </c>
      <c r="C88" s="8" t="inlineStr">
        <is>
          <t>LAVE FLOOR PAN---SM---RII LAV-E FLOOR PAN COMMODE BOTTOM SIDE VERTICAL PANEL SCREW HOLE CRACKED ALL THE WAY</t>
        </is>
      </c>
      <c r="D88" s="9" t="inlineStr">
        <is>
          <t>TASK CARD</t>
        </is>
      </c>
      <c r="E88" s="10" t="inlineStr">
        <is>
          <t>Open</t>
        </is>
      </c>
      <c r="F88" s="10" t="inlineStr">
        <is>
          <t>Normal</t>
        </is>
      </c>
      <c r="G88" s="9" t="inlineStr">
        <is>
          <t>S/M</t>
        </is>
      </c>
      <c r="H88" s="11" t="n"/>
      <c r="I88" s="10" t="n"/>
      <c r="J88" s="10" t="inlineStr">
        <is>
          <t>N/A</t>
        </is>
      </c>
      <c r="K88" s="10" t="n"/>
    </row>
    <row r="89" ht="18" customHeight="1" s="104">
      <c r="A89" s="74" t="n">
        <v>348</v>
      </c>
      <c r="B89" s="69" t="n">
        <v>29534232</v>
      </c>
      <c r="C89" s="8" t="inlineStr">
        <is>
          <t>252582/AD-A320/A321, INSPECTION OF ALL LAVATORY WASTE RECEPTACLE DOORS</t>
        </is>
      </c>
      <c r="D89" s="9" t="inlineStr">
        <is>
          <t>TASK CARD</t>
        </is>
      </c>
      <c r="E89" s="10" t="inlineStr">
        <is>
          <t>Open</t>
        </is>
      </c>
      <c r="F89" s="10" t="inlineStr">
        <is>
          <t>Normal</t>
        </is>
      </c>
      <c r="G89" s="9" t="inlineStr">
        <is>
          <t>INSP</t>
        </is>
      </c>
      <c r="H89" s="11" t="n"/>
      <c r="I89" s="10" t="n"/>
      <c r="J89" s="10" t="inlineStr">
        <is>
          <t>N/A</t>
        </is>
      </c>
      <c r="K89" s="10" t="n"/>
    </row>
    <row r="90" ht="18" customHeight="1" s="104">
      <c r="A90" s="74" t="n">
        <v>354</v>
      </c>
      <c r="B90" s="69" t="inlineStr">
        <is>
          <t>381000-01-1</t>
        </is>
      </c>
      <c r="C90" s="8" t="inlineStr">
        <is>
          <t>381000-01-1 (02) / WATER TANK DISINFECTION</t>
        </is>
      </c>
      <c r="D90" s="9" t="inlineStr">
        <is>
          <t>TASK CARD</t>
        </is>
      </c>
      <c r="E90" s="10" t="inlineStr">
        <is>
          <t>Open</t>
        </is>
      </c>
      <c r="F90" s="10" t="inlineStr">
        <is>
          <t>Normal</t>
        </is>
      </c>
      <c r="G90" s="9" t="inlineStr">
        <is>
          <t>CAB</t>
        </is>
      </c>
      <c r="H90" s="11" t="n"/>
      <c r="I90" s="10" t="n"/>
      <c r="J90" s="10" t="inlineStr">
        <is>
          <t>N/A</t>
        </is>
      </c>
      <c r="K90" s="10" t="n"/>
    </row>
    <row r="91" ht="18" customHeight="1" s="104">
      <c r="A91" s="74" t="n">
        <v>368</v>
      </c>
      <c r="B91" s="69" t="n">
        <v>32070218</v>
      </c>
      <c r="C91" s="95" t="inlineStr">
        <is>
          <t>S35-D10066/A320/21 - PBE SERIAL NUMBER VERIFICATION.</t>
        </is>
      </c>
      <c r="D91" s="9" t="inlineStr">
        <is>
          <t>TASK CARD</t>
        </is>
      </c>
      <c r="E91" s="10" t="inlineStr">
        <is>
          <t>Open</t>
        </is>
      </c>
      <c r="F91" s="10" t="inlineStr">
        <is>
          <t>Normal</t>
        </is>
      </c>
      <c r="G91" s="9" t="inlineStr">
        <is>
          <t>CAB</t>
        </is>
      </c>
      <c r="H91" s="11" t="n"/>
      <c r="I91" s="10" t="n"/>
      <c r="J91" s="10" t="inlineStr">
        <is>
          <t>N/A</t>
        </is>
      </c>
      <c r="K91" s="10" t="inlineStr">
        <is>
          <t>JOINT</t>
        </is>
      </c>
    </row>
    <row r="92" ht="18" customHeight="1" s="104">
      <c r="A92" s="74" t="n">
        <v>372</v>
      </c>
      <c r="B92" s="69" t="inlineStr">
        <is>
          <t>05-SVA-01</t>
        </is>
      </c>
      <c r="C92" s="8" t="inlineStr">
        <is>
          <t>05-SVA-01 (00) / EMERGENCY EQUIPMENTS EXPIRY CHECK</t>
        </is>
      </c>
      <c r="D92" s="9" t="inlineStr">
        <is>
          <t>TASK CARD</t>
        </is>
      </c>
      <c r="E92" s="10" t="inlineStr">
        <is>
          <t>Closed</t>
        </is>
      </c>
      <c r="F92" s="10" t="inlineStr">
        <is>
          <t>Normal</t>
        </is>
      </c>
      <c r="G92" s="9" t="inlineStr">
        <is>
          <t>CAB</t>
        </is>
      </c>
      <c r="H92" s="11" t="n"/>
      <c r="I92" s="10" t="n"/>
      <c r="J92" s="10" t="inlineStr">
        <is>
          <t>N/A</t>
        </is>
      </c>
      <c r="K92" s="10" t="inlineStr">
        <is>
          <t>JOINT</t>
        </is>
      </c>
    </row>
    <row r="93" ht="18" customHeight="1" s="104">
      <c r="A93" s="74" t="n">
        <v>373</v>
      </c>
      <c r="B93" s="69" t="inlineStr">
        <is>
          <t>11-11-00-01-0-SVA</t>
        </is>
      </c>
      <c r="C93" s="8" t="inlineStr">
        <is>
          <t>11-11-00-01-0-SVA (02) / INTERIOR PLACARDS CHECK</t>
        </is>
      </c>
      <c r="D93" s="9" t="inlineStr">
        <is>
          <t>TASK CARD</t>
        </is>
      </c>
      <c r="E93" s="10" t="inlineStr">
        <is>
          <t>Open</t>
        </is>
      </c>
      <c r="F93" s="10" t="inlineStr">
        <is>
          <t>Normal</t>
        </is>
      </c>
      <c r="G93" s="9" t="inlineStr">
        <is>
          <t>PAINT</t>
        </is>
      </c>
      <c r="H93" s="11" t="n"/>
      <c r="I93" s="10" t="n"/>
      <c r="J93" s="10" t="inlineStr">
        <is>
          <t>N/A</t>
        </is>
      </c>
      <c r="K93" s="10" t="n"/>
    </row>
    <row r="94" ht="18" customHeight="1" s="104">
      <c r="A94" s="74" t="n">
        <v>374</v>
      </c>
      <c r="B94" s="69" t="inlineStr">
        <is>
          <t>212300-02-1</t>
        </is>
      </c>
      <c r="C94" s="93" t="inlineStr">
        <is>
          <t>212300-02-1 (03) / LAVATORY AIR EXTRACTION FLTR R/R</t>
        </is>
      </c>
      <c r="D94" s="9" t="inlineStr">
        <is>
          <t>TASK CARD</t>
        </is>
      </c>
      <c r="E94" s="10" t="inlineStr">
        <is>
          <t>Open</t>
        </is>
      </c>
      <c r="F94" s="10" t="inlineStr">
        <is>
          <t>Normal</t>
        </is>
      </c>
      <c r="G94" s="9" t="inlineStr">
        <is>
          <t>CAB</t>
        </is>
      </c>
      <c r="H94" s="11" t="inlineStr">
        <is>
          <t>Requested</t>
        </is>
      </c>
      <c r="I94" s="10" t="inlineStr">
        <is>
          <t>P/S 4467512</t>
        </is>
      </c>
      <c r="J94" s="10" t="inlineStr">
        <is>
          <t>N/A</t>
        </is>
      </c>
      <c r="K94" s="10" t="n"/>
    </row>
    <row r="95" ht="18" customHeight="1" s="104">
      <c r="A95" s="74" t="n">
        <v>375</v>
      </c>
      <c r="B95" s="69" t="inlineStr">
        <is>
          <t>212600-11-1</t>
        </is>
      </c>
      <c r="C95" s="78" t="inlineStr">
        <is>
          <t>212600-11-1 (03) / DEMISTER FLTER&amp;FILTER CARTRIDGE R&amp;R</t>
        </is>
      </c>
      <c r="D95" s="9" t="inlineStr">
        <is>
          <t>TASK CARD</t>
        </is>
      </c>
      <c r="E95" s="10" t="inlineStr">
        <is>
          <t>Closed</t>
        </is>
      </c>
      <c r="F95" s="10" t="inlineStr">
        <is>
          <t>Normal</t>
        </is>
      </c>
      <c r="G95" s="9" t="inlineStr">
        <is>
          <t>AP</t>
        </is>
      </c>
      <c r="H95" s="11" t="n"/>
      <c r="I95" s="10" t="n"/>
      <c r="J95" s="10" t="inlineStr">
        <is>
          <t>N/A</t>
        </is>
      </c>
      <c r="K95" s="10" t="n"/>
    </row>
    <row r="96" ht="18" customHeight="1" s="104">
      <c r="A96" s="74" t="n">
        <v>376</v>
      </c>
      <c r="B96" s="69" t="inlineStr">
        <is>
          <t>216000-01-1-001</t>
        </is>
      </c>
      <c r="C96" s="8" t="inlineStr">
        <is>
          <t>216000-01-1-001 (05) / CLEANING OF COCKPIT SENSOR DUCT AND TEMPERATURE SENSOR.</t>
        </is>
      </c>
      <c r="D96" s="9" t="inlineStr">
        <is>
          <t>TASK CARD</t>
        </is>
      </c>
      <c r="E96" s="10" t="inlineStr">
        <is>
          <t>Closed</t>
        </is>
      </c>
      <c r="F96" s="10" t="inlineStr">
        <is>
          <t>Normal</t>
        </is>
      </c>
      <c r="G96" s="9" t="inlineStr">
        <is>
          <t>AV</t>
        </is>
      </c>
      <c r="H96" s="11" t="n"/>
      <c r="I96" s="10" t="n"/>
      <c r="J96" s="10" t="inlineStr">
        <is>
          <t>N/A</t>
        </is>
      </c>
      <c r="K96" s="10" t="n"/>
    </row>
    <row r="97" ht="18" customHeight="1" s="104">
      <c r="A97" s="74" t="n">
        <v>377</v>
      </c>
      <c r="B97" s="69" t="inlineStr">
        <is>
          <t>216000-01-1-002</t>
        </is>
      </c>
      <c r="C97" s="8" t="inlineStr">
        <is>
          <t>216000-01-1-002 (04) / CLEANING OF CABIN SENSOR DUCT AND TEMPERATURE SENSOR.</t>
        </is>
      </c>
      <c r="D97" s="9" t="inlineStr">
        <is>
          <t>TASK CARD</t>
        </is>
      </c>
      <c r="E97" s="10" t="inlineStr">
        <is>
          <t>Closed</t>
        </is>
      </c>
      <c r="F97" s="10" t="inlineStr">
        <is>
          <t>Normal</t>
        </is>
      </c>
      <c r="G97" s="9" t="inlineStr">
        <is>
          <t>AV</t>
        </is>
      </c>
      <c r="H97" s="11" t="n"/>
      <c r="I97" s="10" t="n"/>
      <c r="J97" s="10" t="inlineStr">
        <is>
          <t>N/A</t>
        </is>
      </c>
      <c r="K97" s="10" t="n"/>
    </row>
    <row r="98" ht="18" customHeight="1" s="104">
      <c r="A98" s="74" t="n">
        <v>379</v>
      </c>
      <c r="B98" s="69" t="inlineStr">
        <is>
          <t>237100-01-1</t>
        </is>
      </c>
      <c r="C98" s="8" t="inlineStr">
        <is>
          <t>237100-01-1 (02) / COCKPIT VOICE RECORDER OPC</t>
        </is>
      </c>
      <c r="D98" s="9" t="inlineStr">
        <is>
          <t>TASK CARD</t>
        </is>
      </c>
      <c r="E98" s="10" t="inlineStr">
        <is>
          <t>Closed</t>
        </is>
      </c>
      <c r="F98" s="10" t="inlineStr">
        <is>
          <t>Normal</t>
        </is>
      </c>
      <c r="G98" s="9" t="inlineStr">
        <is>
          <t>AV</t>
        </is>
      </c>
      <c r="H98" s="11" t="n"/>
      <c r="I98" s="10" t="n"/>
      <c r="J98" s="10" t="inlineStr">
        <is>
          <t>N/A</t>
        </is>
      </c>
      <c r="K98" s="10" t="n"/>
    </row>
    <row r="99" ht="18" customHeight="1" s="104">
      <c r="A99" s="74" t="n">
        <v>384</v>
      </c>
      <c r="B99" s="69" t="inlineStr">
        <is>
          <t>243800-01-1</t>
        </is>
      </c>
      <c r="C99" s="8" t="inlineStr">
        <is>
          <t>243800-01-1 (02) / BATT CHARGE LIMITER OPS CHECK</t>
        </is>
      </c>
      <c r="D99" s="9" t="inlineStr">
        <is>
          <t>TASK CARD</t>
        </is>
      </c>
      <c r="E99" s="10" t="inlineStr">
        <is>
          <t>Closed</t>
        </is>
      </c>
      <c r="F99" s="10" t="inlineStr">
        <is>
          <t>Normal</t>
        </is>
      </c>
      <c r="G99" s="9" t="inlineStr">
        <is>
          <t>AV</t>
        </is>
      </c>
      <c r="H99" s="11" t="n"/>
      <c r="I99" s="10" t="n"/>
      <c r="J99" s="10" t="inlineStr">
        <is>
          <t>N/A</t>
        </is>
      </c>
      <c r="K99" s="10" t="n"/>
    </row>
    <row r="100" ht="18" customHeight="1" s="104">
      <c r="A100" s="74" t="n">
        <v>385</v>
      </c>
      <c r="B100" s="69" t="inlineStr">
        <is>
          <t>25-10-00-00-SVA</t>
        </is>
      </c>
      <c r="C100" s="93" t="inlineStr">
        <is>
          <t>25-10-00-00-SVA (00) / COCKPIT CHECK</t>
        </is>
      </c>
      <c r="D100" s="9" t="inlineStr">
        <is>
          <t>TASK CARD</t>
        </is>
      </c>
      <c r="E100" s="10" t="inlineStr">
        <is>
          <t>Open</t>
        </is>
      </c>
      <c r="F100" s="10" t="inlineStr">
        <is>
          <t>Normal</t>
        </is>
      </c>
      <c r="G100" s="9" t="inlineStr">
        <is>
          <t>CAB</t>
        </is>
      </c>
      <c r="H100" s="11" t="n"/>
      <c r="I100" s="10" t="n"/>
      <c r="J100" s="10" t="inlineStr">
        <is>
          <t>N/A</t>
        </is>
      </c>
      <c r="K100" s="10" t="inlineStr">
        <is>
          <t>FWD</t>
        </is>
      </c>
    </row>
    <row r="101" ht="18" customHeight="1" s="104">
      <c r="A101" s="74" t="n">
        <v>386</v>
      </c>
      <c r="B101" s="69" t="inlineStr">
        <is>
          <t>25-11-00-07-0-SVA-001</t>
        </is>
      </c>
      <c r="C101" s="93" t="inlineStr">
        <is>
          <t>25-11-00-07-0-SVA-001 (03) / FOURTH OCCUPANT SEAT LUBRICATION</t>
        </is>
      </c>
      <c r="D101" s="9" t="inlineStr">
        <is>
          <t>TASK CARD</t>
        </is>
      </c>
      <c r="E101" s="10" t="inlineStr">
        <is>
          <t>Closed</t>
        </is>
      </c>
      <c r="F101" s="10" t="inlineStr">
        <is>
          <t>Normal</t>
        </is>
      </c>
      <c r="G101" s="9" t="inlineStr">
        <is>
          <t>CAB</t>
        </is>
      </c>
      <c r="H101" s="11" t="n"/>
      <c r="I101" s="10" t="n"/>
      <c r="J101" s="10" t="inlineStr">
        <is>
          <t>N/A</t>
        </is>
      </c>
      <c r="K101" s="10" t="inlineStr">
        <is>
          <t>FWD</t>
        </is>
      </c>
    </row>
    <row r="102" ht="18" customHeight="1" s="104">
      <c r="A102" s="74" t="n">
        <v>387</v>
      </c>
      <c r="B102" s="69" t="inlineStr">
        <is>
          <t>25-11-00-19-0-SVA</t>
        </is>
      </c>
      <c r="C102" s="93" t="inlineStr">
        <is>
          <t>25-11-00-19-0-SVA (01) / THIRD OCCUPANT SEAT LUBRICATION</t>
        </is>
      </c>
      <c r="D102" s="9" t="inlineStr">
        <is>
          <t>TASK CARD</t>
        </is>
      </c>
      <c r="E102" s="10" t="inlineStr">
        <is>
          <t>Closed</t>
        </is>
      </c>
      <c r="F102" s="10" t="inlineStr">
        <is>
          <t>Normal</t>
        </is>
      </c>
      <c r="G102" s="9" t="inlineStr">
        <is>
          <t>CAB</t>
        </is>
      </c>
      <c r="H102" s="11" t="n"/>
      <c r="I102" s="10" t="n"/>
      <c r="J102" s="10" t="inlineStr">
        <is>
          <t>N/A</t>
        </is>
      </c>
      <c r="K102" s="10" t="inlineStr">
        <is>
          <t>FWD</t>
        </is>
      </c>
    </row>
    <row r="103" ht="18" customHeight="1" s="104">
      <c r="A103" s="74" t="n">
        <v>388</v>
      </c>
      <c r="B103" s="69" t="inlineStr">
        <is>
          <t>25-20-00-00-SVA</t>
        </is>
      </c>
      <c r="C103" s="98" t="inlineStr">
        <is>
          <t>25-20-00-00-SVA (00) / GENERAL CABIN DEEP INSP</t>
        </is>
      </c>
      <c r="D103" s="9" t="inlineStr">
        <is>
          <t>TASK CARD</t>
        </is>
      </c>
      <c r="E103" s="10" t="inlineStr">
        <is>
          <t>Open</t>
        </is>
      </c>
      <c r="F103" s="10" t="inlineStr">
        <is>
          <t>Normal</t>
        </is>
      </c>
      <c r="G103" s="9" t="inlineStr">
        <is>
          <t>CAB</t>
        </is>
      </c>
      <c r="H103" s="11" t="n"/>
      <c r="I103" s="10" t="n"/>
      <c r="J103" s="10" t="inlineStr">
        <is>
          <t>N/A</t>
        </is>
      </c>
      <c r="K103" s="10" t="n"/>
    </row>
    <row r="104" ht="18" customHeight="1" s="104">
      <c r="A104" s="74" t="n">
        <v>389</v>
      </c>
      <c r="B104" s="69" t="inlineStr">
        <is>
          <t>25-21-00-00-SVA</t>
        </is>
      </c>
      <c r="C104" s="97" t="inlineStr">
        <is>
          <t>25-21-00-00-SVA (00) / B/C SEAT DEEP INSP</t>
        </is>
      </c>
      <c r="D104" s="9" t="inlineStr">
        <is>
          <t>TASK CARD</t>
        </is>
      </c>
      <c r="E104" s="10" t="inlineStr">
        <is>
          <t>Open</t>
        </is>
      </c>
      <c r="F104" s="10" t="inlineStr">
        <is>
          <t>Normal</t>
        </is>
      </c>
      <c r="G104" s="9" t="inlineStr">
        <is>
          <t>SEAT</t>
        </is>
      </c>
      <c r="H104" s="11" t="n"/>
      <c r="I104" s="10" t="n"/>
      <c r="J104" s="10" t="inlineStr">
        <is>
          <t>N/A</t>
        </is>
      </c>
      <c r="K104" s="10" t="n"/>
    </row>
    <row r="105" ht="18" customHeight="1" s="104">
      <c r="A105" s="74" t="n">
        <v>390</v>
      </c>
      <c r="B105" s="69" t="inlineStr">
        <is>
          <t>25-21-01-00-SVA</t>
        </is>
      </c>
      <c r="C105" s="97" t="inlineStr">
        <is>
          <t>25-21-01-00-SVA (00) / G/C SEAT DEEP INSP</t>
        </is>
      </c>
      <c r="D105" s="9" t="inlineStr">
        <is>
          <t>TASK CARD</t>
        </is>
      </c>
      <c r="E105" s="10" t="inlineStr">
        <is>
          <t>Open</t>
        </is>
      </c>
      <c r="F105" s="10" t="inlineStr">
        <is>
          <t>Normal</t>
        </is>
      </c>
      <c r="G105" s="9" t="inlineStr">
        <is>
          <t>SEAT</t>
        </is>
      </c>
      <c r="H105" s="11" t="n"/>
      <c r="I105" s="10" t="n"/>
      <c r="J105" s="10" t="inlineStr">
        <is>
          <t>N/A</t>
        </is>
      </c>
      <c r="K105" s="10" t="n"/>
    </row>
    <row r="106" ht="18" customHeight="1" s="104">
      <c r="A106" s="74" t="n">
        <v>391</v>
      </c>
      <c r="B106" s="69" t="inlineStr">
        <is>
          <t>25-22-00-00-SVA</t>
        </is>
      </c>
      <c r="C106" s="93" t="inlineStr">
        <is>
          <t>25-22-00-00-SVA (00) / CABIN CREW SEAT DEEP INSP</t>
        </is>
      </c>
      <c r="D106" s="9" t="inlineStr">
        <is>
          <t>TASK CARD</t>
        </is>
      </c>
      <c r="E106" s="10" t="inlineStr">
        <is>
          <t>Open</t>
        </is>
      </c>
      <c r="F106" s="10" t="inlineStr">
        <is>
          <t>Normal</t>
        </is>
      </c>
      <c r="G106" s="9" t="inlineStr">
        <is>
          <t>CAB</t>
        </is>
      </c>
      <c r="H106" s="11" t="n"/>
      <c r="I106" s="10" t="n"/>
      <c r="J106" s="10" t="inlineStr">
        <is>
          <t>N/A</t>
        </is>
      </c>
      <c r="K106" s="10" t="n"/>
    </row>
    <row r="107" ht="18" customHeight="1" s="104">
      <c r="A107" s="74" t="n">
        <v>392</v>
      </c>
      <c r="B107" s="69" t="inlineStr">
        <is>
          <t>25-26-00-03-0-SVA</t>
        </is>
      </c>
      <c r="C107" s="8" t="inlineStr">
        <is>
          <t>25-26-00-03-0-SVA (03) / PASS COMPT CURTAIN RAILS INSPECTION</t>
        </is>
      </c>
      <c r="D107" s="9" t="inlineStr">
        <is>
          <t>TASK CARD</t>
        </is>
      </c>
      <c r="E107" s="10" t="inlineStr">
        <is>
          <t>Closed</t>
        </is>
      </c>
      <c r="F107" s="10" t="inlineStr">
        <is>
          <t>Normal</t>
        </is>
      </c>
      <c r="G107" s="9" t="inlineStr">
        <is>
          <t>INSP</t>
        </is>
      </c>
      <c r="H107" s="11" t="n"/>
      <c r="I107" s="10" t="n"/>
      <c r="J107" s="10" t="inlineStr">
        <is>
          <t>N/A</t>
        </is>
      </c>
      <c r="K107" s="10" t="n"/>
    </row>
    <row r="108" ht="18" customHeight="1" s="104">
      <c r="A108" s="74" t="n">
        <v>393</v>
      </c>
      <c r="B108" s="69" t="inlineStr">
        <is>
          <t>25-26-00-08-0-SVA</t>
        </is>
      </c>
      <c r="C108" s="8" t="inlineStr">
        <is>
          <t>25-26-00-08-0-SVA (04) / PASSNGER COMPT CURTAINS REPLACEMENT</t>
        </is>
      </c>
      <c r="D108" s="9" t="inlineStr">
        <is>
          <t>TASK CARD</t>
        </is>
      </c>
      <c r="E108" s="10" t="inlineStr">
        <is>
          <t>Open</t>
        </is>
      </c>
      <c r="F108" s="10" t="inlineStr">
        <is>
          <t>Normal</t>
        </is>
      </c>
      <c r="G108" s="9" t="inlineStr">
        <is>
          <t>CAB</t>
        </is>
      </c>
      <c r="H108" s="11" t="inlineStr">
        <is>
          <t>Requested</t>
        </is>
      </c>
      <c r="I108" s="10" t="inlineStr">
        <is>
          <t>P/S 4467481</t>
        </is>
      </c>
      <c r="J108" s="10" t="inlineStr">
        <is>
          <t>N/A</t>
        </is>
      </c>
      <c r="K108" s="10" t="inlineStr">
        <is>
          <t>JOINT</t>
        </is>
      </c>
    </row>
    <row r="109" ht="18" customHeight="1" s="104">
      <c r="A109" s="74" t="n">
        <v>394</v>
      </c>
      <c r="B109" s="69" t="inlineStr">
        <is>
          <t>25-28-00-03-0-SVA-001</t>
        </is>
      </c>
      <c r="C109" s="8" t="inlineStr">
        <is>
          <t>25-28-00-03-0-SVA-001 (07) / HZ-ASA TO ASG AISLE CARPETS R/R</t>
        </is>
      </c>
      <c r="D109" s="9" t="inlineStr">
        <is>
          <t>TASK CARD</t>
        </is>
      </c>
      <c r="E109" s="10" t="inlineStr">
        <is>
          <t>Open</t>
        </is>
      </c>
      <c r="F109" s="10" t="inlineStr">
        <is>
          <t>Normal</t>
        </is>
      </c>
      <c r="G109" s="9" t="inlineStr">
        <is>
          <t>CAB</t>
        </is>
      </c>
      <c r="H109" s="11" t="n"/>
      <c r="I109" s="10" t="n"/>
      <c r="J109" s="10" t="inlineStr">
        <is>
          <t>N/A</t>
        </is>
      </c>
      <c r="K109" s="10" t="inlineStr">
        <is>
          <t>JOINT</t>
        </is>
      </c>
    </row>
    <row r="110" ht="18" customHeight="1" s="104">
      <c r="A110" s="74" t="n">
        <v>395</v>
      </c>
      <c r="B110" s="69" t="inlineStr">
        <is>
          <t>25-30-00-13-0-SVA</t>
        </is>
      </c>
      <c r="C110" s="8" t="inlineStr">
        <is>
          <t>25-30-00-13-0-SVA (02) / GALLY &amp; WATER AUTO DRAIN VALVES OPC</t>
        </is>
      </c>
      <c r="D110" s="9" t="inlineStr">
        <is>
          <t>TASK CARD</t>
        </is>
      </c>
      <c r="E110" s="10" t="inlineStr">
        <is>
          <t>Closed</t>
        </is>
      </c>
      <c r="F110" s="10" t="inlineStr">
        <is>
          <t>Normal</t>
        </is>
      </c>
      <c r="G110" s="9" t="inlineStr">
        <is>
          <t>CAB</t>
        </is>
      </c>
      <c r="H110" s="11" t="n"/>
      <c r="I110" s="10" t="n"/>
      <c r="J110" s="10" t="inlineStr">
        <is>
          <t>N/A</t>
        </is>
      </c>
      <c r="K110" s="10" t="inlineStr">
        <is>
          <t>JOINT</t>
        </is>
      </c>
    </row>
    <row r="111" ht="18" customHeight="1" s="104">
      <c r="A111" s="74" t="n">
        <v>396</v>
      </c>
      <c r="B111" s="69" t="inlineStr">
        <is>
          <t>25-32-00-00-SVA</t>
        </is>
      </c>
      <c r="C111" s="93" t="inlineStr">
        <is>
          <t>25-32-00-00-SVA (00) / GALLEY CHECK</t>
        </is>
      </c>
      <c r="D111" s="9" t="inlineStr">
        <is>
          <t>TASK CARD</t>
        </is>
      </c>
      <c r="E111" s="10" t="inlineStr">
        <is>
          <t>Open</t>
        </is>
      </c>
      <c r="F111" s="10" t="inlineStr">
        <is>
          <t>Normal</t>
        </is>
      </c>
      <c r="G111" s="9" t="inlineStr">
        <is>
          <t>CAB</t>
        </is>
      </c>
      <c r="H111" s="11" t="n"/>
      <c r="I111" s="10" t="n"/>
      <c r="J111" s="10" t="inlineStr">
        <is>
          <t>N/A</t>
        </is>
      </c>
      <c r="K111" s="10" t="n"/>
    </row>
    <row r="112" ht="18" customHeight="1" s="104">
      <c r="A112" s="74" t="n">
        <v>397</v>
      </c>
      <c r="B112" s="69" t="inlineStr">
        <is>
          <t>25-40-00-00-SVA</t>
        </is>
      </c>
      <c r="C112" s="93" t="inlineStr">
        <is>
          <t>25-40-00-00-SVA (00) / LAV CHECK</t>
        </is>
      </c>
      <c r="D112" s="9" t="inlineStr">
        <is>
          <t>TASK CARD</t>
        </is>
      </c>
      <c r="E112" s="10" t="inlineStr">
        <is>
          <t>Open</t>
        </is>
      </c>
      <c r="F112" s="10" t="inlineStr">
        <is>
          <t>Normal</t>
        </is>
      </c>
      <c r="G112" s="9" t="inlineStr">
        <is>
          <t>CAB</t>
        </is>
      </c>
      <c r="H112" s="11" t="n"/>
      <c r="I112" s="10" t="n"/>
      <c r="J112" s="10" t="inlineStr">
        <is>
          <t>N/A</t>
        </is>
      </c>
      <c r="K112" s="10" t="n"/>
    </row>
    <row r="113" ht="18" customHeight="1" s="104">
      <c r="A113" s="74" t="n">
        <v>398</v>
      </c>
      <c r="B113" s="69" t="inlineStr">
        <is>
          <t>25-60-00-03-0-SVA</t>
        </is>
      </c>
      <c r="C113" s="8" t="inlineStr">
        <is>
          <t>25-60-00-03-0-SVA (01) / EMERGENCY EQUIPMENT IN C/A SEAT STOWAGE INSPECTION</t>
        </is>
      </c>
      <c r="D113" s="9" t="inlineStr">
        <is>
          <t>TASK CARD</t>
        </is>
      </c>
      <c r="E113" s="10" t="inlineStr">
        <is>
          <t>Closed</t>
        </is>
      </c>
      <c r="F113" s="10" t="inlineStr">
        <is>
          <t>Normal</t>
        </is>
      </c>
      <c r="G113" s="9" t="inlineStr">
        <is>
          <t>INSP</t>
        </is>
      </c>
      <c r="H113" s="11" t="n"/>
      <c r="I113" s="10" t="n"/>
      <c r="J113" s="10" t="inlineStr">
        <is>
          <t>N/A</t>
        </is>
      </c>
      <c r="K113" s="10" t="n"/>
    </row>
    <row r="114" ht="18" customHeight="1" s="104">
      <c r="A114" s="74" t="n">
        <v>399</v>
      </c>
      <c r="B114" s="69" t="inlineStr">
        <is>
          <t>25-65-00-01-0-SVA</t>
        </is>
      </c>
      <c r="C114" s="8" t="inlineStr">
        <is>
          <t>25-65-00-01-0-SVA (02) / EMERGENCY EQUIP VALIDITY INSP</t>
        </is>
      </c>
      <c r="D114" s="9" t="inlineStr">
        <is>
          <t>TASK CARD</t>
        </is>
      </c>
      <c r="E114" s="10" t="inlineStr">
        <is>
          <t>Closed</t>
        </is>
      </c>
      <c r="F114" s="10" t="inlineStr">
        <is>
          <t>Normal</t>
        </is>
      </c>
      <c r="G114" s="9" t="inlineStr">
        <is>
          <t>INSP</t>
        </is>
      </c>
      <c r="H114" s="11" t="n"/>
      <c r="I114" s="10" t="n"/>
      <c r="J114" s="10" t="inlineStr">
        <is>
          <t>N/A</t>
        </is>
      </c>
      <c r="K114" s="10" t="n"/>
    </row>
    <row r="115" ht="18" customHeight="1" s="104">
      <c r="A115" s="74" t="n">
        <v>400</v>
      </c>
      <c r="B115" s="69" t="inlineStr">
        <is>
          <t>25-65-00-01-0-SVA-001</t>
        </is>
      </c>
      <c r="C115" s="8" t="inlineStr">
        <is>
          <t>25-65-00-01-0-SVA-001 (02) / FIRST AID MEDICAL SURVL KIT CHECK</t>
        </is>
      </c>
      <c r="D115" s="9" t="inlineStr">
        <is>
          <t>TASK CARD</t>
        </is>
      </c>
      <c r="E115" s="10" t="inlineStr">
        <is>
          <t>Closed</t>
        </is>
      </c>
      <c r="F115" s="10" t="inlineStr">
        <is>
          <t>Normal</t>
        </is>
      </c>
      <c r="G115" s="9" t="inlineStr">
        <is>
          <t>INSP</t>
        </is>
      </c>
      <c r="H115" s="11" t="n"/>
      <c r="I115" s="10" t="n"/>
      <c r="J115" s="10" t="inlineStr">
        <is>
          <t>N/A</t>
        </is>
      </c>
      <c r="K115" s="10" t="n"/>
    </row>
    <row r="116" ht="18" customHeight="1" s="104">
      <c r="A116" s="74" t="n">
        <v>401</v>
      </c>
      <c r="B116" s="69" t="inlineStr">
        <is>
          <t>253000-02-1</t>
        </is>
      </c>
      <c r="C116" s="95" t="inlineStr">
        <is>
          <t>253000-02-1 (03) / GALLY AIR EXTRACTION FLTR ELMNT R*R</t>
        </is>
      </c>
      <c r="D116" s="9" t="inlineStr">
        <is>
          <t>TASK CARD</t>
        </is>
      </c>
      <c r="E116" s="10" t="inlineStr">
        <is>
          <t>Open</t>
        </is>
      </c>
      <c r="F116" s="10" t="inlineStr">
        <is>
          <t>Normal</t>
        </is>
      </c>
      <c r="G116" s="9" t="inlineStr">
        <is>
          <t>CAB</t>
        </is>
      </c>
      <c r="H116" s="11" t="inlineStr">
        <is>
          <t>Requested</t>
        </is>
      </c>
      <c r="I116" s="10" t="inlineStr">
        <is>
          <t>P/S 4467513</t>
        </is>
      </c>
      <c r="J116" s="10" t="inlineStr">
        <is>
          <t>N/A</t>
        </is>
      </c>
      <c r="K116" s="10" t="inlineStr">
        <is>
          <t>JOINT</t>
        </is>
      </c>
    </row>
    <row r="117" ht="18" customHeight="1" s="104">
      <c r="A117" s="74" t="n">
        <v>402</v>
      </c>
      <c r="B117" s="69" t="inlineStr">
        <is>
          <t>253400-01-1.</t>
        </is>
      </c>
      <c r="C117" s="95" t="inlineStr">
        <is>
          <t>253400-01-1. (02) / GALLEY COOLING CLEANING</t>
        </is>
      </c>
      <c r="D117" s="9" t="inlineStr">
        <is>
          <t>TASK CARD</t>
        </is>
      </c>
      <c r="E117" s="10" t="inlineStr">
        <is>
          <t>Closed</t>
        </is>
      </c>
      <c r="F117" s="10" t="inlineStr">
        <is>
          <t>Normal</t>
        </is>
      </c>
      <c r="G117" s="9" t="inlineStr">
        <is>
          <t>CAB</t>
        </is>
      </c>
      <c r="H117" s="11" t="n"/>
      <c r="I117" s="10" t="n"/>
      <c r="J117" s="10" t="inlineStr">
        <is>
          <t>N/A</t>
        </is>
      </c>
      <c r="K117" s="10" t="inlineStr">
        <is>
          <t>JOINT</t>
        </is>
      </c>
    </row>
    <row r="118" ht="18" customHeight="1" s="104">
      <c r="A118" s="74" t="n">
        <v>403</v>
      </c>
      <c r="B118" s="69" t="inlineStr">
        <is>
          <t>253400-02-1</t>
        </is>
      </c>
      <c r="C118" s="8" t="inlineStr">
        <is>
          <t>253400-02-1 (02) / AIRCHILLER CONDENSER AIR FLTR CLEANING</t>
        </is>
      </c>
      <c r="D118" s="9" t="inlineStr">
        <is>
          <t>TASK CARD</t>
        </is>
      </c>
      <c r="E118" s="10" t="inlineStr">
        <is>
          <t>Closed</t>
        </is>
      </c>
      <c r="F118" s="10" t="inlineStr">
        <is>
          <t>Normal</t>
        </is>
      </c>
      <c r="G118" s="9" t="inlineStr">
        <is>
          <t>CAB</t>
        </is>
      </c>
      <c r="H118" s="11" t="n"/>
      <c r="I118" s="10" t="n"/>
      <c r="J118" s="10" t="inlineStr">
        <is>
          <t>N/A</t>
        </is>
      </c>
      <c r="K118" s="10" t="inlineStr">
        <is>
          <t>JOINT</t>
        </is>
      </c>
    </row>
    <row r="119" ht="18" customHeight="1" s="104">
      <c r="A119" s="74" t="n">
        <v>406</v>
      </c>
      <c r="B119" s="69" t="inlineStr">
        <is>
          <t>256241-05-1</t>
        </is>
      </c>
      <c r="C119" s="8" t="inlineStr">
        <is>
          <t>256241-05-1 (03) / CABN DOORS GIRT BAR FITT STOP CLEAN</t>
        </is>
      </c>
      <c r="D119" s="9" t="inlineStr">
        <is>
          <t>TASK CARD</t>
        </is>
      </c>
      <c r="E119" s="10" t="inlineStr">
        <is>
          <t>Closed</t>
        </is>
      </c>
      <c r="F119" s="10" t="inlineStr">
        <is>
          <t>Normal</t>
        </is>
      </c>
      <c r="G119" s="9" t="inlineStr">
        <is>
          <t>CAB</t>
        </is>
      </c>
      <c r="H119" s="11" t="n"/>
      <c r="I119" s="10" t="n"/>
      <c r="J119" s="10" t="inlineStr">
        <is>
          <t>N/A</t>
        </is>
      </c>
      <c r="K119" s="10" t="inlineStr">
        <is>
          <t>JOINT</t>
        </is>
      </c>
    </row>
    <row r="120" ht="18" customHeight="1" s="104">
      <c r="A120" s="74" t="n">
        <v>411</v>
      </c>
      <c r="B120" s="69" t="inlineStr">
        <is>
          <t>262441-01-1</t>
        </is>
      </c>
      <c r="C120" s="8" t="inlineStr">
        <is>
          <t>262441-01-1 (02) / PORT FIRE EXT PRESS GAUGE CHK</t>
        </is>
      </c>
      <c r="D120" s="9" t="inlineStr">
        <is>
          <t>TASK CARD</t>
        </is>
      </c>
      <c r="E120" s="10" t="inlineStr">
        <is>
          <t>Closed</t>
        </is>
      </c>
      <c r="F120" s="10" t="inlineStr">
        <is>
          <t>Normal</t>
        </is>
      </c>
      <c r="G120" s="9" t="inlineStr">
        <is>
          <t>INSP</t>
        </is>
      </c>
      <c r="H120" s="11" t="n"/>
      <c r="I120" s="10" t="n"/>
      <c r="J120" s="10" t="inlineStr">
        <is>
          <t>N/A</t>
        </is>
      </c>
      <c r="K120" s="10" t="n"/>
    </row>
    <row r="121" ht="18" customHeight="1" s="104">
      <c r="A121" s="74" t="n">
        <v>434</v>
      </c>
      <c r="B121" s="69" t="inlineStr">
        <is>
          <t>31-63-00-01-SVA-001</t>
        </is>
      </c>
      <c r="C121" s="8" t="inlineStr">
        <is>
          <t>31-63-00-01-SVA-001 (04) / COCKPIT AND AVIONICS COMPARTMENT AREA AND EQUIPMENT`S CLEANING.</t>
        </is>
      </c>
      <c r="D121" s="9" t="inlineStr">
        <is>
          <t>TASK CARD</t>
        </is>
      </c>
      <c r="E121" s="10" t="inlineStr">
        <is>
          <t>Closed</t>
        </is>
      </c>
      <c r="F121" s="10" t="inlineStr">
        <is>
          <t>Normal</t>
        </is>
      </c>
      <c r="G121" s="9" t="inlineStr">
        <is>
          <t>AV</t>
        </is>
      </c>
      <c r="H121" s="11" t="n"/>
      <c r="I121" s="10" t="n"/>
      <c r="J121" s="10" t="inlineStr">
        <is>
          <t>N/A</t>
        </is>
      </c>
      <c r="K121" s="10" t="inlineStr">
        <is>
          <t>FWD</t>
        </is>
      </c>
    </row>
    <row r="122" ht="18" customHeight="1" s="104">
      <c r="A122" s="74" t="n">
        <v>448</v>
      </c>
      <c r="B122" s="69" t="inlineStr">
        <is>
          <t>353000-01-1</t>
        </is>
      </c>
      <c r="C122" s="8" t="inlineStr">
        <is>
          <t>353000-01-1 (04) / PORTABLE OXYGEN CYLINDERS OPC</t>
        </is>
      </c>
      <c r="D122" s="9" t="inlineStr">
        <is>
          <t>TASK CARD</t>
        </is>
      </c>
      <c r="E122" s="10" t="inlineStr">
        <is>
          <t>Closed</t>
        </is>
      </c>
      <c r="F122" s="10" t="inlineStr">
        <is>
          <t>Normal</t>
        </is>
      </c>
      <c r="G122" s="9" t="inlineStr">
        <is>
          <t>INSP</t>
        </is>
      </c>
      <c r="H122" s="11" t="n"/>
      <c r="I122" s="10" t="n"/>
      <c r="J122" s="10" t="inlineStr">
        <is>
          <t>N/A</t>
        </is>
      </c>
      <c r="K122" s="10" t="n"/>
    </row>
    <row r="123" ht="18" customHeight="1" s="104">
      <c r="A123" s="74" t="n">
        <v>449</v>
      </c>
      <c r="B123" s="69" t="inlineStr">
        <is>
          <t>353000-05-1</t>
        </is>
      </c>
      <c r="C123" s="8" t="inlineStr">
        <is>
          <t>353000-05-1 (04) / CABIN PBE INSP</t>
        </is>
      </c>
      <c r="D123" s="9" t="inlineStr">
        <is>
          <t>TASK CARD</t>
        </is>
      </c>
      <c r="E123" s="10" t="inlineStr">
        <is>
          <t>Closed</t>
        </is>
      </c>
      <c r="F123" s="10" t="inlineStr">
        <is>
          <t>Normal</t>
        </is>
      </c>
      <c r="G123" s="9" t="inlineStr">
        <is>
          <t>INSP</t>
        </is>
      </c>
      <c r="H123" s="11" t="n"/>
      <c r="I123" s="10" t="n"/>
      <c r="J123" s="10" t="inlineStr">
        <is>
          <t>N/A</t>
        </is>
      </c>
      <c r="K123" s="10" t="n"/>
    </row>
    <row r="124" ht="18" customHeight="1" s="104">
      <c r="A124" s="74" t="n">
        <v>454</v>
      </c>
      <c r="B124" s="69" t="inlineStr">
        <is>
          <t>38-10-00-SVA</t>
        </is>
      </c>
      <c r="C124" s="8" t="inlineStr">
        <is>
          <t>38-10-00-SVA (00) / DECALCIFICATION OF THE POTABLE WATER TANK AND DISTRIBUTION SYSTEM</t>
        </is>
      </c>
      <c r="D124" s="9" t="inlineStr">
        <is>
          <t>TASK CARD</t>
        </is>
      </c>
      <c r="E124" s="10" t="inlineStr">
        <is>
          <t>Open</t>
        </is>
      </c>
      <c r="F124" s="10" t="inlineStr">
        <is>
          <t>Normal</t>
        </is>
      </c>
      <c r="G124" s="9" t="inlineStr">
        <is>
          <t>AP</t>
        </is>
      </c>
      <c r="H124" s="11" t="n"/>
      <c r="I124" s="10" t="n"/>
      <c r="J124" s="10" t="inlineStr">
        <is>
          <t>N/A</t>
        </is>
      </c>
      <c r="K124" s="10" t="n"/>
    </row>
    <row r="125" ht="18" customHeight="1" s="104">
      <c r="A125" s="74" t="n">
        <v>455</v>
      </c>
      <c r="B125" s="69" t="inlineStr">
        <is>
          <t>383200-01-1</t>
        </is>
      </c>
      <c r="C125" s="95" t="inlineStr">
        <is>
          <t>383200-01-1 (02) / WASHBASIN FILTER ELEMENT CLEANING</t>
        </is>
      </c>
      <c r="D125" s="9" t="inlineStr">
        <is>
          <t>TASK CARD</t>
        </is>
      </c>
      <c r="E125" s="10" t="inlineStr">
        <is>
          <t>Open</t>
        </is>
      </c>
      <c r="F125" s="10" t="inlineStr">
        <is>
          <t>Normal</t>
        </is>
      </c>
      <c r="G125" s="9" t="inlineStr">
        <is>
          <t>CAB</t>
        </is>
      </c>
      <c r="H125" s="11" t="n"/>
      <c r="I125" s="10" t="n"/>
      <c r="J125" s="10" t="inlineStr">
        <is>
          <t>N/A</t>
        </is>
      </c>
      <c r="K125" s="10" t="inlineStr">
        <is>
          <t>JOINT</t>
        </is>
      </c>
    </row>
    <row r="126" ht="18" customHeight="1" s="104">
      <c r="A126" s="74" t="n">
        <v>464</v>
      </c>
      <c r="B126" s="69" t="inlineStr">
        <is>
          <t>525111-06-2</t>
        </is>
      </c>
      <c r="C126" s="95" t="inlineStr">
        <is>
          <t>525111-06-2 (01) / FUNCTIONAL CHECK OF THE CORRECT ADJUSTMENT OF THE COCKPIT DOOR, ELECTRICAL RELEASE STRIKES AND LATCH MECHANISM</t>
        </is>
      </c>
      <c r="D126" s="9" t="inlineStr">
        <is>
          <t>TASK CARD</t>
        </is>
      </c>
      <c r="E126" s="10" t="inlineStr">
        <is>
          <t>Open</t>
        </is>
      </c>
      <c r="F126" s="10" t="inlineStr">
        <is>
          <t>Normal</t>
        </is>
      </c>
      <c r="G126" s="9" t="inlineStr">
        <is>
          <t>JOINT</t>
        </is>
      </c>
      <c r="H126" s="11" t="n"/>
      <c r="I126" s="10" t="n"/>
      <c r="J126" s="10" t="inlineStr">
        <is>
          <t>N/A</t>
        </is>
      </c>
      <c r="K126" s="10" t="inlineStr">
        <is>
          <t>FWD</t>
        </is>
      </c>
    </row>
    <row r="127" ht="18" customHeight="1" s="104">
      <c r="A127" s="74" t="n">
        <v>498</v>
      </c>
      <c r="B127" s="69" t="n">
        <v>32788737</v>
      </c>
      <c r="C127" s="8" t="inlineStr">
        <is>
          <t>CABIN IFE - SMOKE SIGN - NO CALL       /       25-SVA-02 SMOKE SIGN LIGHT INOP ABOVE SEAT 42JKL .</t>
        </is>
      </c>
      <c r="D127" s="9" t="inlineStr">
        <is>
          <t>GENERAL CABIN</t>
        </is>
      </c>
      <c r="E127" s="10" t="inlineStr">
        <is>
          <t>Open</t>
        </is>
      </c>
      <c r="F127" s="10" t="inlineStr">
        <is>
          <t>Normal</t>
        </is>
      </c>
      <c r="G127" s="9" t="inlineStr">
        <is>
          <t>AV</t>
        </is>
      </c>
      <c r="H127" s="11" t="n"/>
      <c r="I127" s="10" t="n"/>
      <c r="J127" s="10" t="n"/>
      <c r="K127" s="10" t="inlineStr">
        <is>
          <t>AFT</t>
        </is>
      </c>
    </row>
    <row r="128" ht="18" customHeight="1" s="104">
      <c r="A128" s="74" t="n">
        <v>499</v>
      </c>
      <c r="B128" s="69" t="n">
        <v>32788738</v>
      </c>
      <c r="C128" s="95" t="inlineStr">
        <is>
          <t>CABIN - FWD CABINET -  NO CALL     /      25-SVA-02 FWD CABINET  C101 OUTER  AFT TRIM WITH 2EA DENTS MID AREA .</t>
        </is>
      </c>
      <c r="D128" s="9" t="inlineStr">
        <is>
          <t>GENERAL CABIN</t>
        </is>
      </c>
      <c r="E128" s="10" t="inlineStr">
        <is>
          <t>Open</t>
        </is>
      </c>
      <c r="F128" s="10" t="inlineStr">
        <is>
          <t>Normal</t>
        </is>
      </c>
      <c r="G128" s="9" t="inlineStr">
        <is>
          <t>CAB</t>
        </is>
      </c>
      <c r="H128" s="11" t="n"/>
      <c r="I128" s="10" t="inlineStr">
        <is>
          <t>SPLTY CAB - REQ S/M</t>
        </is>
      </c>
      <c r="J128" s="10" t="n"/>
      <c r="K128" s="10" t="inlineStr">
        <is>
          <t>FWD</t>
        </is>
      </c>
    </row>
    <row r="129" ht="18" customHeight="1" s="104">
      <c r="A129" s="74" t="n">
        <v>500</v>
      </c>
      <c r="B129" s="69" t="n">
        <v>32788746</v>
      </c>
      <c r="C129" s="8" t="inlineStr">
        <is>
          <t>CABIN - FWD CABINET -  NO CALL     /      25-SVA-02 FWD CABINET  C101 , DOOR OUTER  , LOWER TEDLER WOROUT .</t>
        </is>
      </c>
      <c r="D129" s="9" t="inlineStr">
        <is>
          <t>GENERAL CABIN</t>
        </is>
      </c>
      <c r="E129" s="10" t="inlineStr">
        <is>
          <t>Closed</t>
        </is>
      </c>
      <c r="F129" s="10" t="inlineStr">
        <is>
          <t>Normal</t>
        </is>
      </c>
      <c r="G129" s="9" t="inlineStr">
        <is>
          <t>S/W</t>
        </is>
      </c>
      <c r="H129" s="11" t="n"/>
      <c r="I129" s="10" t="n"/>
      <c r="J129" s="10" t="inlineStr">
        <is>
          <t>Yes</t>
        </is>
      </c>
      <c r="K129" s="10" t="inlineStr">
        <is>
          <t>FWD</t>
        </is>
      </c>
    </row>
    <row r="130" ht="18" customHeight="1" s="104">
      <c r="A130" s="74" t="n">
        <v>502</v>
      </c>
      <c r="B130" s="69" t="n">
        <v>32788761</v>
      </c>
      <c r="C130" s="8" t="inlineStr">
        <is>
          <t>CABIN - FWD CABINET -  NO CALL     /      25-SVA-02 FWD SIDE , GAP SEAL WITH UPPER STOWAGE TORN .</t>
        </is>
      </c>
      <c r="D130" s="9" t="inlineStr">
        <is>
          <t>GENERAL CABIN</t>
        </is>
      </c>
      <c r="E130" s="10" t="inlineStr">
        <is>
          <t>Closed</t>
        </is>
      </c>
      <c r="F130" s="10" t="inlineStr">
        <is>
          <t>Normal</t>
        </is>
      </c>
      <c r="G130" s="9" t="inlineStr">
        <is>
          <t>CAB</t>
        </is>
      </c>
      <c r="H130" s="11" t="n"/>
      <c r="I130" s="10" t="n"/>
      <c r="J130" s="10" t="inlineStr">
        <is>
          <t>Yes</t>
        </is>
      </c>
      <c r="K130" s="10" t="inlineStr">
        <is>
          <t>FWD</t>
        </is>
      </c>
    </row>
    <row r="131" ht="15.6" customHeight="1" s="104">
      <c r="A131" s="74" t="inlineStr">
        <is>
          <t>501</t>
        </is>
      </c>
      <c r="B131" s="69" t="inlineStr">
        <is>
          <t>32788747</t>
        </is>
      </c>
      <c r="C131" s="8" t="inlineStr">
        <is>
          <t>PAINT - CABIN FWD CABINET -  NO CALL     /      25-SVA-02 COMPARTMENT  C102 ,  ID DECAL TORN , MEGAPHONE DECAL TORN , DESCRIPTION " EMER. EQUIP. ONLY "   DECAL  TORN .</t>
        </is>
      </c>
      <c r="D131" s="9" t="inlineStr">
        <is>
          <t>GENERAL CABIN</t>
        </is>
      </c>
      <c r="E131" s="10" t="inlineStr">
        <is>
          <t>Open</t>
        </is>
      </c>
      <c r="F131" s="10" t="inlineStr">
        <is>
          <t>Normal</t>
        </is>
      </c>
      <c r="G131" s="9" t="inlineStr">
        <is>
          <t>PAINT</t>
        </is>
      </c>
      <c r="H131" s="11" t="n"/>
      <c r="I131" s="10" t="n"/>
      <c r="J131" s="10" t="n"/>
      <c r="K131" s="10" t="n"/>
    </row>
    <row r="132" ht="18" customHeight="1" s="104">
      <c r="A132" s="74" t="n">
        <v>503</v>
      </c>
      <c r="B132" s="69" t="n">
        <v>32788793</v>
      </c>
      <c r="C132" s="8" t="inlineStr">
        <is>
          <t>CABIN - MID CABIN CARPET -  NO CALL     /      25-SVA-02 FRAYED CARPET , JUST BELOW MID PATITIONS AFT SIDE .</t>
        </is>
      </c>
      <c r="D132" s="9" t="inlineStr">
        <is>
          <t>GENERAL CABIN</t>
        </is>
      </c>
      <c r="E132" s="10" t="inlineStr">
        <is>
          <t>Open</t>
        </is>
      </c>
      <c r="F132" s="10" t="inlineStr">
        <is>
          <t>Normal</t>
        </is>
      </c>
      <c r="G132" s="9" t="inlineStr">
        <is>
          <t>CAB</t>
        </is>
      </c>
      <c r="H132" s="11" t="n"/>
      <c r="I132" s="10" t="inlineStr">
        <is>
          <t>CARPET R/R</t>
        </is>
      </c>
      <c r="J132" s="10" t="n"/>
      <c r="K132" s="10" t="inlineStr">
        <is>
          <t>FWD</t>
        </is>
      </c>
    </row>
    <row r="133" ht="18" customHeight="1" s="104">
      <c r="A133" s="74" t="n">
        <v>504</v>
      </c>
      <c r="B133" s="69" t="n">
        <v>32788801</v>
      </c>
      <c r="C133" s="8" t="inlineStr">
        <is>
          <t>CABIN - AFT LH CABINET -  NO CALL     /      25-SVA-02 COMPARTMENT  S302  , INNER BOTTOM RED LATCH LOOSE .</t>
        </is>
      </c>
      <c r="D133" s="9" t="inlineStr">
        <is>
          <t>GENERAL CABIN</t>
        </is>
      </c>
      <c r="E133" s="10" t="inlineStr">
        <is>
          <t>Closed</t>
        </is>
      </c>
      <c r="F133" s="10" t="inlineStr">
        <is>
          <t>Normal</t>
        </is>
      </c>
      <c r="G133" s="9" t="inlineStr">
        <is>
          <t>CAB</t>
        </is>
      </c>
      <c r="H133" s="11" t="n"/>
      <c r="I133" s="10" t="n"/>
      <c r="J133" s="10" t="inlineStr">
        <is>
          <t>Yes</t>
        </is>
      </c>
      <c r="K133" s="10" t="inlineStr">
        <is>
          <t>AFT</t>
        </is>
      </c>
    </row>
    <row r="134" ht="18" customHeight="1" s="104">
      <c r="A134" s="74" t="n">
        <v>505</v>
      </c>
      <c r="B134" s="69" t="n">
        <v>32788806</v>
      </c>
      <c r="C134" s="8" t="inlineStr">
        <is>
          <t>CABIN - AFT LH CABINET -  NO CALL     /      25-SVA-02 INSIDE COMPARTMENT  S303  , CART FOLDING RAMP HINGE PIN MIGRATED OUT ., + 1EA MISSING SCREW .</t>
        </is>
      </c>
      <c r="D134" s="9" t="inlineStr">
        <is>
          <t>GENERAL CABIN</t>
        </is>
      </c>
      <c r="E134" s="10" t="inlineStr">
        <is>
          <t>Closed</t>
        </is>
      </c>
      <c r="F134" s="10" t="inlineStr">
        <is>
          <t>Normal</t>
        </is>
      </c>
      <c r="G134" s="9" t="inlineStr">
        <is>
          <t>CAB</t>
        </is>
      </c>
      <c r="H134" s="11" t="n"/>
      <c r="I134" s="10" t="n"/>
      <c r="J134" s="10" t="inlineStr">
        <is>
          <t>Yes</t>
        </is>
      </c>
      <c r="K134" s="10" t="inlineStr">
        <is>
          <t>AFT</t>
        </is>
      </c>
    </row>
    <row r="135" ht="18" customHeight="1" s="104">
      <c r="A135" s="74" t="n">
        <v>508</v>
      </c>
      <c r="B135" s="69" t="n">
        <v>32788811</v>
      </c>
      <c r="C135" s="8" t="inlineStr">
        <is>
          <t>CABIN - AFT LH CABINET -  NO CALL     /      25-SVA-02 INSIDE OF  S303, AFT MID AREA RUB STRIP LOOSE .</t>
        </is>
      </c>
      <c r="D135" s="9" t="inlineStr">
        <is>
          <t>GENERAL CABIN</t>
        </is>
      </c>
      <c r="E135" s="10" t="inlineStr">
        <is>
          <t>Closed</t>
        </is>
      </c>
      <c r="F135" s="10" t="inlineStr">
        <is>
          <t>Normal</t>
        </is>
      </c>
      <c r="G135" s="9" t="inlineStr">
        <is>
          <t>CAB</t>
        </is>
      </c>
      <c r="H135" s="11" t="n"/>
      <c r="I135" s="10" t="n"/>
      <c r="J135" s="10" t="inlineStr">
        <is>
          <t>Yes</t>
        </is>
      </c>
      <c r="K135" s="10" t="inlineStr">
        <is>
          <t>AFT</t>
        </is>
      </c>
    </row>
    <row r="136" ht="18" customHeight="1" s="104">
      <c r="A136" s="74" t="n">
        <v>509</v>
      </c>
      <c r="B136" s="69" t="n">
        <v>32788813</v>
      </c>
      <c r="C136" s="8" t="inlineStr">
        <is>
          <t>CABIN - AFT LH CABINET -  NO CALL     /      25-SVA-02 COMPARTMENT  S304  ,  LATCH NOT LOCKING ON TABLE CART .</t>
        </is>
      </c>
      <c r="D136" s="9" t="inlineStr">
        <is>
          <t>GENERAL CABIN</t>
        </is>
      </c>
      <c r="E136" s="10" t="inlineStr">
        <is>
          <t>Closed</t>
        </is>
      </c>
      <c r="F136" s="10" t="inlineStr">
        <is>
          <t>Normal</t>
        </is>
      </c>
      <c r="G136" s="9" t="inlineStr">
        <is>
          <t>CAB</t>
        </is>
      </c>
      <c r="H136" s="11" t="n"/>
      <c r="I136" s="10" t="n"/>
      <c r="J136" s="10" t="inlineStr">
        <is>
          <t>Yes</t>
        </is>
      </c>
      <c r="K136" s="10" t="inlineStr">
        <is>
          <t>AFT</t>
        </is>
      </c>
    </row>
    <row r="137" ht="18" customHeight="1" s="104">
      <c r="A137" s="74" t="n">
        <v>510</v>
      </c>
      <c r="B137" s="69" t="n">
        <v>32788815</v>
      </c>
      <c r="C137" s="8" t="inlineStr">
        <is>
          <t>CABIN - AFT CABINETS LATCHES  -  NO CALL     /      25-SVA-02 COMPARTMENT DOORS  S303 &amp; C202  BOTTOM LOCKS , INNER PLATE  EACH WITH MISSING SCREW  .</t>
        </is>
      </c>
      <c r="D137" s="9" t="inlineStr">
        <is>
          <t>GENERAL CABIN</t>
        </is>
      </c>
      <c r="E137" s="10" t="inlineStr">
        <is>
          <t>Closed</t>
        </is>
      </c>
      <c r="F137" s="10" t="inlineStr">
        <is>
          <t>Normal</t>
        </is>
      </c>
      <c r="G137" s="9" t="inlineStr">
        <is>
          <t>CAB</t>
        </is>
      </c>
      <c r="H137" s="11" t="n"/>
      <c r="I137" s="10" t="n"/>
      <c r="J137" s="10" t="inlineStr">
        <is>
          <t>Yes</t>
        </is>
      </c>
      <c r="K137" s="10" t="inlineStr">
        <is>
          <t>AFT</t>
        </is>
      </c>
    </row>
    <row r="138" ht="15.6" customHeight="1" s="104">
      <c r="A138" s="74" t="inlineStr">
        <is>
          <t>506</t>
        </is>
      </c>
      <c r="B138" s="69" t="inlineStr">
        <is>
          <t>32788809</t>
        </is>
      </c>
      <c r="C138" s="95" t="inlineStr">
        <is>
          <t>S/M - AFT LH CABINET -    RII         /      25-SVA-02 COMPARTMENT S303, AFT POST , LOWER AREA  TRIM MISSING , &amp; WITH DELAMINATION AND MISSING HONEYCOMB . L=  3"    W=  0.3"  .</t>
        </is>
      </c>
      <c r="D138" s="9" t="inlineStr">
        <is>
          <t>GENERAL CABIN</t>
        </is>
      </c>
      <c r="E138" s="10" t="inlineStr">
        <is>
          <t>Open</t>
        </is>
      </c>
      <c r="F138" s="10" t="inlineStr">
        <is>
          <t>Normal</t>
        </is>
      </c>
      <c r="G138" s="9" t="inlineStr">
        <is>
          <t>S/M</t>
        </is>
      </c>
      <c r="H138" s="11" t="n"/>
      <c r="I138" s="91" t="inlineStr">
        <is>
          <t>REQ EVAL IF NEEDS PARTS</t>
        </is>
      </c>
      <c r="J138" s="10" t="n"/>
      <c r="K138" s="10" t="n"/>
    </row>
    <row r="139" ht="15.6" customHeight="1" s="104">
      <c r="A139" s="74" t="inlineStr">
        <is>
          <t>507</t>
        </is>
      </c>
      <c r="B139" s="69" t="inlineStr">
        <is>
          <t>32788810</t>
        </is>
      </c>
      <c r="C139" s="95" t="inlineStr">
        <is>
          <t>S/M - AFT LH CABINET -    RII         /      25-SVA-02 INSIDE COMPARTMENT  S303 , BULGE UNDER LOWER AFT RUB STRIP.</t>
        </is>
      </c>
      <c r="D139" s="9" t="inlineStr">
        <is>
          <t>GENERAL CABIN</t>
        </is>
      </c>
      <c r="E139" s="10" t="inlineStr">
        <is>
          <t>Open</t>
        </is>
      </c>
      <c r="F139" s="10" t="inlineStr">
        <is>
          <t>Normal</t>
        </is>
      </c>
      <c r="G139" s="9" t="inlineStr">
        <is>
          <t>CAB</t>
        </is>
      </c>
      <c r="H139" s="11" t="n"/>
      <c r="I139" s="91" t="inlineStr">
        <is>
          <t>REQ R/R BY CABIN</t>
        </is>
      </c>
      <c r="J139" s="10" t="n"/>
      <c r="K139" s="10" t="n"/>
    </row>
    <row r="140" ht="18" customHeight="1" s="104">
      <c r="A140" s="74" t="n">
        <v>511</v>
      </c>
      <c r="B140" s="69" t="n">
        <v>32788817</v>
      </c>
      <c r="C140" s="95" t="inlineStr">
        <is>
          <t>CABIN - AFT  RH CABINET -  NO CALL     /      25-SVA-02 INSIDE OF COMPARTMENT  C202  , BOTTOM AREA , 3EA MOUNT COVERS MISSING .</t>
        </is>
      </c>
      <c r="D140" s="9" t="inlineStr">
        <is>
          <t>GENERAL CABIN</t>
        </is>
      </c>
      <c r="E140" s="10" t="inlineStr">
        <is>
          <t>Open</t>
        </is>
      </c>
      <c r="F140" s="10" t="inlineStr">
        <is>
          <t>AOG</t>
        </is>
      </c>
      <c r="G140" s="9" t="inlineStr">
        <is>
          <t>CAB</t>
        </is>
      </c>
      <c r="H140" s="11" t="inlineStr">
        <is>
          <t>Requested</t>
        </is>
      </c>
      <c r="I140" s="10" t="n"/>
      <c r="J140" s="10" t="n"/>
      <c r="K140" s="10" t="inlineStr">
        <is>
          <t>AFT</t>
        </is>
      </c>
    </row>
    <row r="141" ht="18" customHeight="1" s="104">
      <c r="A141" s="74" t="n">
        <v>512</v>
      </c>
      <c r="B141" s="69" t="n">
        <v>32788819</v>
      </c>
      <c r="C141" s="95" t="inlineStr">
        <is>
          <t>CABIN - AFT CURTAIN -  NO CALL     /      25-SVA-02 AFT CURTAIN RAIL LOOSE ON RH END .</t>
        </is>
      </c>
      <c r="D141" s="9" t="inlineStr">
        <is>
          <t>GENERAL CABIN</t>
        </is>
      </c>
      <c r="E141" s="10" t="inlineStr">
        <is>
          <t>Open</t>
        </is>
      </c>
      <c r="F141" s="10" t="inlineStr">
        <is>
          <t>Normal</t>
        </is>
      </c>
      <c r="G141" s="9" t="inlineStr">
        <is>
          <t>CAB</t>
        </is>
      </c>
      <c r="H141" s="11" t="n"/>
      <c r="I141" s="10" t="n"/>
      <c r="J141" s="10" t="n"/>
      <c r="K141" s="10" t="inlineStr">
        <is>
          <t>AFT</t>
        </is>
      </c>
    </row>
    <row r="142" ht="18" customHeight="1" s="104">
      <c r="A142" s="74" t="n">
        <v>538</v>
      </c>
      <c r="B142" s="69" t="n">
        <v>32791503</v>
      </c>
      <c r="C142" s="8" t="inlineStr">
        <is>
          <t>FINDING (NRC) JOBCARD STJC-20-00-00-01-GA-GO L1 DOOR LWR SIDE PNT FOUND FADED &amp; BLACK STAINS.</t>
        </is>
      </c>
      <c r="D142" s="9" t="inlineStr">
        <is>
          <t>GENERAL CABIN</t>
        </is>
      </c>
      <c r="E142" s="10" t="inlineStr">
        <is>
          <t>Open</t>
        </is>
      </c>
      <c r="F142" s="10" t="inlineStr">
        <is>
          <t>Normal</t>
        </is>
      </c>
      <c r="G142" s="9" t="inlineStr">
        <is>
          <t>PAINT</t>
        </is>
      </c>
      <c r="H142" s="11" t="n"/>
      <c r="I142" s="10" t="n"/>
      <c r="J142" s="10" t="n"/>
      <c r="K142" s="10" t="inlineStr">
        <is>
          <t>FWD</t>
        </is>
      </c>
    </row>
    <row r="143" ht="18" customHeight="1" s="104">
      <c r="A143" s="74" t="n">
        <v>564</v>
      </c>
      <c r="B143" s="69" t="n">
        <v>32401880</v>
      </c>
      <c r="C143" s="8" t="inlineStr">
        <is>
          <t>44-SVA-01 (00) / PANASONIC LEVEL 1 CHECK</t>
        </is>
      </c>
      <c r="D143" s="9" t="inlineStr">
        <is>
          <t>TASK CARD</t>
        </is>
      </c>
      <c r="E143" s="10" t="inlineStr">
        <is>
          <t>Open</t>
        </is>
      </c>
      <c r="F143" s="10" t="inlineStr">
        <is>
          <t>Normal</t>
        </is>
      </c>
      <c r="G143" s="9" t="inlineStr">
        <is>
          <t>AV</t>
        </is>
      </c>
      <c r="H143" s="11" t="n"/>
      <c r="I143" s="10" t="n"/>
      <c r="J143" s="10" t="n"/>
      <c r="K143" s="10" t="n"/>
    </row>
    <row r="144" ht="18" customHeight="1" s="104">
      <c r="A144" s="74" t="n">
        <v>565</v>
      </c>
      <c r="B144" s="69" t="n">
        <v>32395971</v>
      </c>
      <c r="C144" s="8" t="inlineStr">
        <is>
          <t>CCC-32S (03) / A32S CABIN CRITICAL CHECK</t>
        </is>
      </c>
      <c r="D144" s="9" t="inlineStr">
        <is>
          <t>TASK CARD</t>
        </is>
      </c>
      <c r="E144" s="10" t="inlineStr">
        <is>
          <t>Open</t>
        </is>
      </c>
      <c r="F144" s="10" t="inlineStr">
        <is>
          <t>Normal</t>
        </is>
      </c>
      <c r="G144" s="9" t="inlineStr">
        <is>
          <t>CAB</t>
        </is>
      </c>
      <c r="H144" s="11" t="n"/>
      <c r="I144" s="10" t="n"/>
      <c r="J144" s="10" t="n"/>
      <c r="K144" s="10" t="n"/>
    </row>
    <row r="145" ht="18" customHeight="1" s="104">
      <c r="A145" s="74" t="n">
        <v>566</v>
      </c>
      <c r="B145" s="69" t="n">
        <v>32349954</v>
      </c>
      <c r="C145" s="8" t="inlineStr">
        <is>
          <t>DCC-32S (11) / DCC A32S DAILY CABIN CHECK</t>
        </is>
      </c>
      <c r="D145" s="9" t="inlineStr">
        <is>
          <t>TASK CARD</t>
        </is>
      </c>
      <c r="E145" s="10" t="inlineStr">
        <is>
          <t>Open</t>
        </is>
      </c>
      <c r="F145" s="10" t="inlineStr">
        <is>
          <t>Normal</t>
        </is>
      </c>
      <c r="G145" s="9" t="inlineStr">
        <is>
          <t>CAB</t>
        </is>
      </c>
      <c r="H145" s="11" t="n"/>
      <c r="I145" s="10" t="n"/>
      <c r="J145" s="10" t="n"/>
      <c r="K145" s="10" t="n"/>
    </row>
    <row r="146" ht="18" customHeight="1" s="104">
      <c r="A146" s="74" t="n">
        <v>567</v>
      </c>
      <c r="B146" s="69" t="n">
        <v>32384091</v>
      </c>
      <c r="C146" s="8" t="inlineStr">
        <is>
          <t>ISC/IN SERVCE CHECK_N</t>
        </is>
      </c>
      <c r="D146" s="9" t="inlineStr">
        <is>
          <t>TASK CARD</t>
        </is>
      </c>
      <c r="E146" s="10" t="inlineStr">
        <is>
          <t>Open</t>
        </is>
      </c>
      <c r="F146" s="10" t="inlineStr">
        <is>
          <t>Normal</t>
        </is>
      </c>
      <c r="G146" s="9" t="inlineStr">
        <is>
          <t>AP</t>
        </is>
      </c>
      <c r="H146" s="11" t="n"/>
      <c r="I146" s="10" t="n"/>
      <c r="J146" s="10" t="n"/>
      <c r="K146" s="10" t="n"/>
    </row>
    <row r="147" ht="18" customHeight="1" s="104">
      <c r="A147" s="74" t="n">
        <v>570</v>
      </c>
      <c r="B147" s="69" t="n">
        <v>32721788</v>
      </c>
      <c r="C147" s="8" t="inlineStr">
        <is>
          <t>S44-R10249/PANASONIC JUNE 26 CYCLE</t>
        </is>
      </c>
      <c r="D147" s="9" t="inlineStr">
        <is>
          <t>TASK CARD</t>
        </is>
      </c>
      <c r="E147" s="10" t="inlineStr">
        <is>
          <t>Open</t>
        </is>
      </c>
      <c r="F147" s="10" t="inlineStr">
        <is>
          <t>Normal</t>
        </is>
      </c>
      <c r="G147" s="9" t="inlineStr">
        <is>
          <t>AV</t>
        </is>
      </c>
      <c r="H147" s="11" t="n"/>
      <c r="I147" s="10" t="n"/>
      <c r="J147" s="10" t="n"/>
      <c r="K147" s="10" t="n"/>
    </row>
    <row r="148" ht="18" customHeight="1" s="104">
      <c r="A148" s="74" t="n">
        <v>571</v>
      </c>
      <c r="B148" s="69" t="n">
        <v>32258914</v>
      </c>
      <c r="C148" s="8" t="inlineStr">
        <is>
          <t>W_N/WEEKLY CHECK</t>
        </is>
      </c>
      <c r="D148" s="9" t="inlineStr">
        <is>
          <t>TASK CARD</t>
        </is>
      </c>
      <c r="E148" s="10" t="inlineStr">
        <is>
          <t>Open</t>
        </is>
      </c>
      <c r="F148" s="10" t="inlineStr">
        <is>
          <t>Normal</t>
        </is>
      </c>
      <c r="G148" s="9" t="inlineStr">
        <is>
          <t>JOINT</t>
        </is>
      </c>
      <c r="H148" s="11" t="n"/>
      <c r="I148" s="10" t="n"/>
      <c r="J148" s="10" t="n"/>
      <c r="K148" s="10" t="n"/>
    </row>
    <row r="149" ht="18" customHeight="1" s="104">
      <c r="A149" s="74" t="n">
        <v>579</v>
      </c>
      <c r="B149" s="69" t="inlineStr">
        <is>
          <t>ISC-32S</t>
        </is>
      </c>
      <c r="C149" s="8" t="inlineStr">
        <is>
          <t>ISC-32S (13) / 32S IN-SERVEICE-CHECK (ISC)</t>
        </is>
      </c>
      <c r="D149" s="9" t="inlineStr">
        <is>
          <t>TASK CARD</t>
        </is>
      </c>
      <c r="E149" s="10" t="inlineStr">
        <is>
          <t>Open</t>
        </is>
      </c>
      <c r="F149" s="10" t="inlineStr">
        <is>
          <t>Normal</t>
        </is>
      </c>
      <c r="G149" s="9" t="inlineStr">
        <is>
          <t>JOINT</t>
        </is>
      </c>
      <c r="H149" s="11" t="n"/>
      <c r="I149" s="10" t="n"/>
      <c r="J149" s="10" t="n"/>
      <c r="K149" s="10" t="n"/>
    </row>
    <row r="150" ht="18" customHeight="1" s="104">
      <c r="A150" s="74" t="n">
        <v>580</v>
      </c>
      <c r="B150" s="69" t="n">
        <v>32793815</v>
      </c>
      <c r="C150" s="95" t="inlineStr">
        <is>
          <t>CAB-FWD RH FIRST AID KIT- RII FIRST AID KIT FWD RH, EXPIRT DATE IS WITHIN 6 MONTH</t>
        </is>
      </c>
      <c r="D150" s="9" t="inlineStr">
        <is>
          <t>GENERAL CABIN</t>
        </is>
      </c>
      <c r="E150" s="10" t="inlineStr">
        <is>
          <t>Open</t>
        </is>
      </c>
      <c r="F150" s="10" t="inlineStr">
        <is>
          <t>Normal</t>
        </is>
      </c>
      <c r="G150" s="9" t="inlineStr">
        <is>
          <t>CAB</t>
        </is>
      </c>
      <c r="H150" s="11" t="n"/>
      <c r="I150" s="10" t="n"/>
      <c r="J150" s="10" t="n"/>
      <c r="K150" s="10" t="inlineStr">
        <is>
          <t>FWD</t>
        </is>
      </c>
    </row>
    <row r="151" ht="18" customHeight="1" s="104">
      <c r="A151" s="74" t="n">
        <v>581</v>
      </c>
      <c r="B151" s="69" t="n">
        <v>32795576</v>
      </c>
      <c r="C151" s="95" t="inlineStr">
        <is>
          <t>CAB--AFT RH FIRST AID KIT- RII FIRST AID KIT AFT RH, EXPIRT DATE IS WITHIN 6 MONTH ON DEC/2026</t>
        </is>
      </c>
      <c r="D151" s="9" t="inlineStr">
        <is>
          <t>GENERAL CABIN</t>
        </is>
      </c>
      <c r="E151" s="10" t="inlineStr">
        <is>
          <t>Open</t>
        </is>
      </c>
      <c r="F151" s="10" t="inlineStr">
        <is>
          <t>Normal</t>
        </is>
      </c>
      <c r="G151" s="9" t="inlineStr">
        <is>
          <t>CAB</t>
        </is>
      </c>
      <c r="H151" s="11" t="n"/>
      <c r="I151" s="10" t="n"/>
      <c r="J151" s="10" t="n"/>
      <c r="K151" s="10" t="inlineStr">
        <is>
          <t>AFT</t>
        </is>
      </c>
    </row>
    <row r="152" ht="18" customHeight="1" s="104">
      <c r="A152" s="74" t="n">
        <v>583</v>
      </c>
      <c r="B152" s="69" t="n">
        <v>32795656</v>
      </c>
      <c r="C152" s="8" t="inlineStr">
        <is>
          <t>CAB- CUTAIN RAIL-CALL BACK FWD CURTAIN HOOKS BROKEN 2EA</t>
        </is>
      </c>
      <c r="D152" s="9" t="inlineStr">
        <is>
          <t>GENERAL CABIN</t>
        </is>
      </c>
      <c r="E152" s="10" t="inlineStr">
        <is>
          <t>Closed</t>
        </is>
      </c>
      <c r="F152" s="10" t="inlineStr">
        <is>
          <t>Normal</t>
        </is>
      </c>
      <c r="G152" s="9" t="inlineStr">
        <is>
          <t>CAB</t>
        </is>
      </c>
      <c r="H152" s="11" t="n"/>
      <c r="I152" s="10" t="n"/>
      <c r="J152" s="10" t="inlineStr">
        <is>
          <t>Yes</t>
        </is>
      </c>
      <c r="K152" s="10" t="inlineStr">
        <is>
          <t>FWD</t>
        </is>
      </c>
    </row>
    <row r="153" ht="18" customHeight="1" s="104">
      <c r="A153" s="74" t="n">
        <v>584</v>
      </c>
      <c r="B153" s="69" t="n">
        <v>32796462</v>
      </c>
      <c r="C153" s="8" t="inlineStr">
        <is>
          <t>CAB- CUTAIN RAIL MID-CALL BACK MID DIVIDER CURTAIN HOOKS BROKEN AND STOPER MISSING.</t>
        </is>
      </c>
      <c r="D153" s="9" t="inlineStr">
        <is>
          <t>GENERAL CABIN</t>
        </is>
      </c>
      <c r="E153" s="10" t="inlineStr">
        <is>
          <t>Closed</t>
        </is>
      </c>
      <c r="F153" s="10" t="inlineStr">
        <is>
          <t>Normal</t>
        </is>
      </c>
      <c r="G153" s="9" t="inlineStr">
        <is>
          <t>CAB</t>
        </is>
      </c>
      <c r="H153" s="11" t="n"/>
      <c r="I153" s="10" t="n"/>
      <c r="J153" s="10" t="inlineStr">
        <is>
          <t>Yes</t>
        </is>
      </c>
      <c r="K153" s="10" t="inlineStr">
        <is>
          <t>FWD</t>
        </is>
      </c>
    </row>
    <row r="154" ht="18" customHeight="1" s="104">
      <c r="A154" s="74" t="n">
        <v>585</v>
      </c>
      <c r="B154" s="69" t="n">
        <v>32796473</v>
      </c>
      <c r="C154" s="8" t="inlineStr">
        <is>
          <t>CAB- CUTAIN RAIL AFT-CALL BACK AFT GALLEY CURTAIN STOPER MISSING</t>
        </is>
      </c>
      <c r="D154" s="9" t="inlineStr">
        <is>
          <t>GENERAL CABIN</t>
        </is>
      </c>
      <c r="E154" s="10" t="inlineStr">
        <is>
          <t>Closed</t>
        </is>
      </c>
      <c r="F154" s="10" t="inlineStr">
        <is>
          <t>Normal</t>
        </is>
      </c>
      <c r="G154" s="9" t="inlineStr">
        <is>
          <t>CAB</t>
        </is>
      </c>
      <c r="H154" s="11" t="n"/>
      <c r="I154" s="10" t="n"/>
      <c r="J154" s="10" t="inlineStr">
        <is>
          <t>Yes</t>
        </is>
      </c>
      <c r="K154" s="10" t="inlineStr">
        <is>
          <t>AFT</t>
        </is>
      </c>
    </row>
    <row r="155" ht="18" customHeight="1" s="104">
      <c r="A155" s="74" t="n">
        <v>586</v>
      </c>
      <c r="B155" s="69" t="inlineStr">
        <is>
          <t>WEEKLY-32S</t>
        </is>
      </c>
      <c r="C155" s="8" t="inlineStr">
        <is>
          <t>WEEKLY-32S (04) / WEEKLY 32S CHECK</t>
        </is>
      </c>
      <c r="D155" s="9" t="inlineStr">
        <is>
          <t>TASK CARD</t>
        </is>
      </c>
      <c r="E155" s="10" t="inlineStr">
        <is>
          <t>Open</t>
        </is>
      </c>
      <c r="F155" s="10" t="inlineStr">
        <is>
          <t>Normal</t>
        </is>
      </c>
      <c r="G155" s="9" t="inlineStr">
        <is>
          <t>JOINT</t>
        </is>
      </c>
      <c r="H155" s="11" t="n"/>
      <c r="I155" s="10" t="n"/>
      <c r="J155" s="10" t="n"/>
      <c r="K155" s="10" t="n"/>
    </row>
    <row r="156" ht="18" customHeight="1" s="104">
      <c r="A156" s="74" t="n">
        <v>587</v>
      </c>
      <c r="B156" s="69" t="n">
        <v>32796515</v>
      </c>
      <c r="C156" s="8" t="inlineStr">
        <is>
          <t>CAB-OXYGEN CYLINDER-RII AFT L/H OXYGEN CYLINDER MOUNT BRACKET DETACHED FROM WALL .</t>
        </is>
      </c>
      <c r="D156" s="9" t="inlineStr">
        <is>
          <t>GENERAL CABIN</t>
        </is>
      </c>
      <c r="E156" s="10" t="inlineStr">
        <is>
          <t>Open</t>
        </is>
      </c>
      <c r="F156" s="10" t="inlineStr">
        <is>
          <t>Normal</t>
        </is>
      </c>
      <c r="G156" s="9" t="inlineStr">
        <is>
          <t>S/M</t>
        </is>
      </c>
      <c r="H156" s="11" t="n"/>
      <c r="I156" s="10" t="inlineStr">
        <is>
          <t>REQ S/M</t>
        </is>
      </c>
      <c r="J156" s="10" t="inlineStr">
        <is>
          <t>N/A</t>
        </is>
      </c>
      <c r="K156" s="10" t="inlineStr">
        <is>
          <t>AFT</t>
        </is>
      </c>
    </row>
    <row r="157" ht="18" customHeight="1" s="104">
      <c r="A157" s="74" t="n">
        <v>589</v>
      </c>
      <c r="B157" s="69" t="n">
        <v>32796954</v>
      </c>
      <c r="C157" s="8" t="inlineStr">
        <is>
          <t>CAB - NO CALLBACK - LAV A LAVATORY A NURSING TABLE WITH MISSING BUMPER.</t>
        </is>
      </c>
      <c r="D157" s="9" t="inlineStr">
        <is>
          <t>LAVATORY</t>
        </is>
      </c>
      <c r="E157" s="10" t="inlineStr">
        <is>
          <t>Closed</t>
        </is>
      </c>
      <c r="F157" s="10" t="inlineStr">
        <is>
          <t>Normal</t>
        </is>
      </c>
      <c r="G157" s="9" t="inlineStr">
        <is>
          <t>CAB</t>
        </is>
      </c>
      <c r="H157" s="11" t="inlineStr">
        <is>
          <t>Requested</t>
        </is>
      </c>
      <c r="I157" s="10" t="n"/>
      <c r="J157" s="10" t="inlineStr">
        <is>
          <t>Yes</t>
        </is>
      </c>
      <c r="K157" s="10" t="inlineStr">
        <is>
          <t>FWD</t>
        </is>
      </c>
    </row>
    <row r="158" ht="18" customHeight="1" s="104">
      <c r="A158" s="74" t="n">
        <v>591</v>
      </c>
      <c r="B158" s="69" t="n">
        <v>32796966</v>
      </c>
      <c r="C158" s="8" t="inlineStr">
        <is>
          <t>CAB - NO CALLBACK - LAV A LAVATORY A SERVICE CABINET STORAGE DRAWER RUBBER SEAL NOT SECURED.</t>
        </is>
      </c>
      <c r="D158" s="9" t="inlineStr">
        <is>
          <t>LAVATORY</t>
        </is>
      </c>
      <c r="E158" s="10" t="inlineStr">
        <is>
          <t>Closed</t>
        </is>
      </c>
      <c r="F158" s="10" t="inlineStr">
        <is>
          <t>Normal</t>
        </is>
      </c>
      <c r="G158" s="9" t="inlineStr">
        <is>
          <t>CAB</t>
        </is>
      </c>
      <c r="H158" s="11" t="inlineStr">
        <is>
          <t>N/R</t>
        </is>
      </c>
      <c r="I158" s="10" t="n"/>
      <c r="J158" s="10" t="inlineStr">
        <is>
          <t>Yes</t>
        </is>
      </c>
      <c r="K158" s="10" t="inlineStr">
        <is>
          <t>FWD</t>
        </is>
      </c>
    </row>
    <row r="159" ht="18" customHeight="1" s="104">
      <c r="A159" s="74" t="n">
        <v>593</v>
      </c>
      <c r="B159" s="69" t="n">
        <v>32796982</v>
      </c>
      <c r="C159" s="8" t="inlineStr">
        <is>
          <t>CAB - NO CALLBACK - LAV A "LAVATORY A" TOILET SHROUD WITH MISSING 2 EA SCREWS.</t>
        </is>
      </c>
      <c r="D159" s="9" t="inlineStr">
        <is>
          <t>LAVATORY</t>
        </is>
      </c>
      <c r="E159" s="10" t="inlineStr">
        <is>
          <t>Open</t>
        </is>
      </c>
      <c r="F159" s="10" t="inlineStr">
        <is>
          <t>Normal</t>
        </is>
      </c>
      <c r="G159" s="9" t="inlineStr">
        <is>
          <t>JOINT</t>
        </is>
      </c>
      <c r="H159" s="11" t="inlineStr">
        <is>
          <t>Requested</t>
        </is>
      </c>
      <c r="I159" s="91" t="inlineStr">
        <is>
          <t>REQ S/M</t>
        </is>
      </c>
      <c r="J159" s="10" t="inlineStr">
        <is>
          <t>Yes</t>
        </is>
      </c>
      <c r="K159" s="10" t="inlineStr">
        <is>
          <t>FWD</t>
        </is>
      </c>
    </row>
    <row r="160" ht="18" customHeight="1" s="104">
      <c r="A160" s="74" t="n">
        <v>594</v>
      </c>
      <c r="B160" s="69" t="n">
        <v>32796995</v>
      </c>
      <c r="C160" s="8" t="inlineStr">
        <is>
          <t>CAB - NO CALLBACK - LAV A LAVATORY A TOILET PAPER DISPENSER COVER COLOR FADED.</t>
        </is>
      </c>
      <c r="D160" s="9" t="inlineStr">
        <is>
          <t>LAVATORY</t>
        </is>
      </c>
      <c r="E160" s="10" t="inlineStr">
        <is>
          <t>Closed</t>
        </is>
      </c>
      <c r="F160" s="10" t="inlineStr">
        <is>
          <t>Normal</t>
        </is>
      </c>
      <c r="G160" s="9" t="inlineStr">
        <is>
          <t>PAINT</t>
        </is>
      </c>
      <c r="H160" s="11" t="n"/>
      <c r="I160" s="10" t="inlineStr">
        <is>
          <t>C/W</t>
        </is>
      </c>
      <c r="J160" s="10" t="n"/>
      <c r="K160" s="10" t="inlineStr">
        <is>
          <t>FWD</t>
        </is>
      </c>
    </row>
    <row r="161" ht="18" customHeight="1" s="104">
      <c r="A161" s="74" t="n">
        <v>596</v>
      </c>
      <c r="B161" s="69" t="n">
        <v>32796996</v>
      </c>
      <c r="C161" s="8" t="inlineStr">
        <is>
          <t>CAB - NO CALLBACK - LAV E "LAVATORY E" TOILET SHROUD NOT SECURED.</t>
        </is>
      </c>
      <c r="D161" s="9" t="inlineStr">
        <is>
          <t>LAVATORY</t>
        </is>
      </c>
      <c r="E161" s="10" t="inlineStr">
        <is>
          <t>Open</t>
        </is>
      </c>
      <c r="F161" s="10" t="inlineStr">
        <is>
          <t>Normal</t>
        </is>
      </c>
      <c r="G161" s="9" t="inlineStr">
        <is>
          <t>JOINT</t>
        </is>
      </c>
      <c r="H161" s="11" t="inlineStr">
        <is>
          <t>Requested</t>
        </is>
      </c>
      <c r="I161" s="10" t="n"/>
      <c r="J161" s="10" t="inlineStr">
        <is>
          <t>Yes</t>
        </is>
      </c>
      <c r="K161" s="10" t="inlineStr">
        <is>
          <t>AFT</t>
        </is>
      </c>
    </row>
    <row r="162" ht="18" customHeight="1" s="104">
      <c r="A162" s="74" t="n">
        <v>597</v>
      </c>
      <c r="B162" s="69" t="n">
        <v>32797001</v>
      </c>
      <c r="C162" s="8" t="inlineStr">
        <is>
          <t>PNT - NO CALLBACK - LAV E "LAVATORY E" TOILET SHROUD COVER DISCOLOURED.</t>
        </is>
      </c>
      <c r="D162" s="9" t="inlineStr">
        <is>
          <t>LAVATORY</t>
        </is>
      </c>
      <c r="E162" s="10" t="inlineStr">
        <is>
          <t>Open</t>
        </is>
      </c>
      <c r="F162" s="10" t="inlineStr">
        <is>
          <t>Normal</t>
        </is>
      </c>
      <c r="G162" s="9" t="inlineStr">
        <is>
          <t>PAINT</t>
        </is>
      </c>
      <c r="H162" s="11" t="n"/>
      <c r="I162" s="10" t="n"/>
      <c r="J162" s="10" t="n"/>
      <c r="K162" s="10" t="inlineStr">
        <is>
          <t>AFT</t>
        </is>
      </c>
    </row>
    <row r="163" ht="18" customHeight="1" s="104">
      <c r="A163" s="74" t="n">
        <v>598</v>
      </c>
      <c r="B163" s="69" t="n">
        <v>32797014</v>
      </c>
      <c r="C163" s="8" t="inlineStr">
        <is>
          <t>CAB - NO CALLBACK - LAV E "LAVATORY E" NURSING TABLE WITH MISSING BUMPER.</t>
        </is>
      </c>
      <c r="D163" s="9" t="inlineStr">
        <is>
          <t>LAVATORY</t>
        </is>
      </c>
      <c r="E163" s="10" t="inlineStr">
        <is>
          <t>Closed</t>
        </is>
      </c>
      <c r="F163" s="10" t="inlineStr">
        <is>
          <t>Normal</t>
        </is>
      </c>
      <c r="G163" s="9" t="inlineStr">
        <is>
          <t>CAB</t>
        </is>
      </c>
      <c r="H163" s="11" t="inlineStr">
        <is>
          <t>Requested</t>
        </is>
      </c>
      <c r="I163" s="10" t="n"/>
      <c r="J163" s="10" t="inlineStr">
        <is>
          <t>Yes</t>
        </is>
      </c>
      <c r="K163" s="10" t="inlineStr">
        <is>
          <t>AFT</t>
        </is>
      </c>
    </row>
    <row r="164" ht="18" customHeight="1" s="104">
      <c r="A164" s="74" t="n">
        <v>599</v>
      </c>
      <c r="B164" s="69" t="n">
        <v>32797104</v>
      </c>
      <c r="C164" s="8" t="inlineStr">
        <is>
          <t>CAB - NO CALLBACK - LAV E "LAVATORY E" AIR VENTILATION GRILLE BROKEN.</t>
        </is>
      </c>
      <c r="D164" s="9" t="inlineStr">
        <is>
          <t>LAVATORY</t>
        </is>
      </c>
      <c r="E164" s="10" t="inlineStr">
        <is>
          <t>Closed</t>
        </is>
      </c>
      <c r="F164" s="10" t="inlineStr">
        <is>
          <t>Normal</t>
        </is>
      </c>
      <c r="G164" s="9" t="inlineStr">
        <is>
          <t>CAB</t>
        </is>
      </c>
      <c r="H164" s="11" t="inlineStr">
        <is>
          <t>Requested</t>
        </is>
      </c>
      <c r="I164" s="10" t="n"/>
      <c r="J164" s="10" t="inlineStr">
        <is>
          <t>Yes</t>
        </is>
      </c>
      <c r="K164" s="10" t="inlineStr">
        <is>
          <t>AFT</t>
        </is>
      </c>
    </row>
    <row r="165" ht="18" customHeight="1" s="104">
      <c r="A165" s="74" t="n">
        <v>600</v>
      </c>
      <c r="B165" s="69" t="n">
        <v>32797124</v>
      </c>
      <c r="C165" s="8" t="inlineStr">
        <is>
          <t>CAB - NO CALLBACK - LAV D "LAVATORY D" TOILET SHROUD COVER NOT SECURED.</t>
        </is>
      </c>
      <c r="D165" s="9" t="inlineStr">
        <is>
          <t>LAVATORY</t>
        </is>
      </c>
      <c r="E165" s="10" t="inlineStr">
        <is>
          <t>Open</t>
        </is>
      </c>
      <c r="F165" s="10" t="inlineStr">
        <is>
          <t>Normal</t>
        </is>
      </c>
      <c r="G165" s="9" t="inlineStr">
        <is>
          <t>CAB</t>
        </is>
      </c>
      <c r="H165" s="11" t="inlineStr">
        <is>
          <t>Requested</t>
        </is>
      </c>
      <c r="I165" s="10" t="n"/>
      <c r="J165" s="10" t="inlineStr">
        <is>
          <t>Yes</t>
        </is>
      </c>
      <c r="K165" s="10" t="inlineStr">
        <is>
          <t>AFT</t>
        </is>
      </c>
    </row>
    <row r="166" ht="18" customHeight="1" s="104">
      <c r="A166" s="74" t="n">
        <v>601</v>
      </c>
      <c r="B166" s="69" t="n">
        <v>32797137</v>
      </c>
      <c r="C166" s="8" t="inlineStr">
        <is>
          <t>CAB - NO CALLBACK - LAV D "LAVATORY D" TOILET PAPER ROLLER IS MISSING.</t>
        </is>
      </c>
      <c r="D166" s="9" t="inlineStr">
        <is>
          <t>LAVATORY</t>
        </is>
      </c>
      <c r="E166" s="10" t="inlineStr">
        <is>
          <t>Closed</t>
        </is>
      </c>
      <c r="F166" s="10" t="inlineStr">
        <is>
          <t>Normal</t>
        </is>
      </c>
      <c r="G166" s="9" t="inlineStr">
        <is>
          <t>CAB</t>
        </is>
      </c>
      <c r="H166" s="11" t="inlineStr">
        <is>
          <t>Requested</t>
        </is>
      </c>
      <c r="I166" s="10" t="n"/>
      <c r="J166" s="10" t="inlineStr">
        <is>
          <t>Yes</t>
        </is>
      </c>
      <c r="K166" s="10" t="inlineStr">
        <is>
          <t>AFT</t>
        </is>
      </c>
    </row>
    <row r="167" ht="18" customHeight="1" s="104">
      <c r="A167" s="74" t="n">
        <v>602</v>
      </c>
      <c r="B167" s="69" t="n">
        <v>32797145</v>
      </c>
      <c r="C167" s="8" t="inlineStr">
        <is>
          <t>CAB - NO CALLBACK - LAV D "LAVATORY D" SINK SIEVE NOT SECURED.</t>
        </is>
      </c>
      <c r="D167" s="9" t="inlineStr">
        <is>
          <t>LAVATORY</t>
        </is>
      </c>
      <c r="E167" s="10" t="inlineStr">
        <is>
          <t>Closed</t>
        </is>
      </c>
      <c r="F167" s="10" t="inlineStr">
        <is>
          <t>Normal</t>
        </is>
      </c>
      <c r="G167" s="9" t="inlineStr">
        <is>
          <t>CAB</t>
        </is>
      </c>
      <c r="H167" s="11" t="inlineStr">
        <is>
          <t>N/R</t>
        </is>
      </c>
      <c r="I167" s="10" t="n"/>
      <c r="J167" s="10" t="inlineStr">
        <is>
          <t>Yes</t>
        </is>
      </c>
      <c r="K167" s="10" t="inlineStr">
        <is>
          <t>AFT</t>
        </is>
      </c>
    </row>
    <row r="168" ht="18" customHeight="1" s="104">
      <c r="A168" s="74" t="n">
        <v>603</v>
      </c>
      <c r="B168" s="69" t="n">
        <v>32797156</v>
      </c>
      <c r="C168" s="8" t="inlineStr">
        <is>
          <t>CAB - NO CALLBACK - LAV D "LAVATORY D" WASHBASIN SINK DRAINAGE RESTRICTION.</t>
        </is>
      </c>
      <c r="D168" s="9" t="inlineStr">
        <is>
          <t>LAVATORY</t>
        </is>
      </c>
      <c r="E168" s="10" t="inlineStr">
        <is>
          <t>Closed</t>
        </is>
      </c>
      <c r="F168" s="10" t="inlineStr">
        <is>
          <t>Normal</t>
        </is>
      </c>
      <c r="G168" s="9" t="inlineStr">
        <is>
          <t>CAB</t>
        </is>
      </c>
      <c r="H168" s="11" t="inlineStr">
        <is>
          <t>N/R</t>
        </is>
      </c>
      <c r="I168" s="10" t="n"/>
      <c r="J168" s="10" t="inlineStr">
        <is>
          <t>Yes</t>
        </is>
      </c>
      <c r="K168" s="10" t="inlineStr">
        <is>
          <t>AFT</t>
        </is>
      </c>
    </row>
    <row r="169" ht="18" customHeight="1" s="104">
      <c r="A169" s="74" t="n">
        <v>604</v>
      </c>
      <c r="B169" s="69" t="n">
        <v>32797165</v>
      </c>
      <c r="C169" s="8" t="inlineStr">
        <is>
          <t>CAB - NO CALLBACK - LAV D "LAVATORY D" DOOR HANDLE IS LOOSE.</t>
        </is>
      </c>
      <c r="D169" s="9" t="inlineStr">
        <is>
          <t>LAVATORY</t>
        </is>
      </c>
      <c r="E169" s="10" t="inlineStr">
        <is>
          <t>Closed</t>
        </is>
      </c>
      <c r="F169" s="10" t="inlineStr">
        <is>
          <t>Normal</t>
        </is>
      </c>
      <c r="G169" s="9" t="inlineStr">
        <is>
          <t>CAB</t>
        </is>
      </c>
      <c r="H169" s="11" t="inlineStr">
        <is>
          <t>Requested</t>
        </is>
      </c>
      <c r="I169" s="10" t="n"/>
      <c r="J169" s="10" t="inlineStr">
        <is>
          <t>Yes</t>
        </is>
      </c>
      <c r="K169" s="10" t="inlineStr">
        <is>
          <t>AFT</t>
        </is>
      </c>
    </row>
    <row r="170" ht="18" customHeight="1" s="104">
      <c r="A170" s="74" t="n">
        <v>605</v>
      </c>
      <c r="B170" s="69" t="n">
        <v>32797176</v>
      </c>
      <c r="C170" s="8" t="inlineStr">
        <is>
          <t>CAB - NO CALLBACK - FWD GALLEY G1 GALLEY CART TURN CATCH AT 109 AND 111 FOUND LOOSE.</t>
        </is>
      </c>
      <c r="D170" s="9" t="inlineStr">
        <is>
          <t>GALLEY</t>
        </is>
      </c>
      <c r="E170" s="10" t="inlineStr">
        <is>
          <t>Closed</t>
        </is>
      </c>
      <c r="F170" s="10" t="inlineStr">
        <is>
          <t>Normal</t>
        </is>
      </c>
      <c r="G170" s="9" t="inlineStr">
        <is>
          <t>CAB</t>
        </is>
      </c>
      <c r="H170" s="11" t="inlineStr">
        <is>
          <t>Requested</t>
        </is>
      </c>
      <c r="I170" s="10" t="n"/>
      <c r="J170" s="10" t="inlineStr">
        <is>
          <t>Yes</t>
        </is>
      </c>
      <c r="K170" s="10" t="inlineStr">
        <is>
          <t>FWD</t>
        </is>
      </c>
    </row>
    <row r="171" ht="18" customHeight="1" s="104">
      <c r="A171" s="74" t="n">
        <v>606</v>
      </c>
      <c r="B171" s="69" t="n">
        <v>32797185</v>
      </c>
      <c r="C171" s="8" t="inlineStr">
        <is>
          <t>CAB - NO CALLBACK - FWD GALLEY FWD GALLEY CART COMPT. 109 MID LATCH LEVER IS MISSING.</t>
        </is>
      </c>
      <c r="D171" s="9" t="inlineStr">
        <is>
          <t>GALLEY</t>
        </is>
      </c>
      <c r="E171" s="10" t="inlineStr">
        <is>
          <t>Closed</t>
        </is>
      </c>
      <c r="F171" s="10" t="inlineStr">
        <is>
          <t>Normal</t>
        </is>
      </c>
      <c r="G171" s="9" t="inlineStr">
        <is>
          <t>CAB</t>
        </is>
      </c>
      <c r="H171" s="11" t="inlineStr">
        <is>
          <t>Requested</t>
        </is>
      </c>
      <c r="I171" s="10" t="n"/>
      <c r="J171" s="10" t="inlineStr">
        <is>
          <t>Yes</t>
        </is>
      </c>
      <c r="K171" s="10" t="inlineStr">
        <is>
          <t>FWD</t>
        </is>
      </c>
    </row>
    <row r="172" ht="18" customHeight="1" s="104">
      <c r="A172" s="74" t="n">
        <v>607</v>
      </c>
      <c r="B172" s="69" t="n">
        <v>32797195</v>
      </c>
      <c r="C172" s="8" t="inlineStr">
        <is>
          <t>CAB - NO CALLBACK - FWD GALLEY FWD GALLEY COUNTERTOP SEALANT DETERIORATED.</t>
        </is>
      </c>
      <c r="D172" s="9" t="inlineStr">
        <is>
          <t>GALLEY</t>
        </is>
      </c>
      <c r="E172" s="10" t="inlineStr">
        <is>
          <t>Open</t>
        </is>
      </c>
      <c r="F172" s="10" t="inlineStr">
        <is>
          <t>Normal</t>
        </is>
      </c>
      <c r="G172" s="9" t="inlineStr">
        <is>
          <t>CAB</t>
        </is>
      </c>
      <c r="H172" s="11" t="inlineStr">
        <is>
          <t>Requested</t>
        </is>
      </c>
      <c r="I172" s="10" t="n"/>
      <c r="J172" s="10" t="inlineStr">
        <is>
          <t>Yes</t>
        </is>
      </c>
      <c r="K172" s="10" t="inlineStr">
        <is>
          <t>FWD</t>
        </is>
      </c>
    </row>
    <row r="173" ht="18" customHeight="1" s="104">
      <c r="A173" s="74" t="n">
        <v>608</v>
      </c>
      <c r="B173" s="69" t="n">
        <v>32797223</v>
      </c>
      <c r="C173" s="8" t="inlineStr">
        <is>
          <t>CAB - NO CALLBACK - FWD GALLEY G2 GALLEY COMPT. 211 LOWER BUMPER IS MISSING.</t>
        </is>
      </c>
      <c r="D173" s="9" t="inlineStr">
        <is>
          <t>GALLEY</t>
        </is>
      </c>
      <c r="E173" s="10" t="inlineStr">
        <is>
          <t>Closed</t>
        </is>
      </c>
      <c r="F173" s="10" t="inlineStr">
        <is>
          <t>Normal</t>
        </is>
      </c>
      <c r="G173" s="9" t="inlineStr">
        <is>
          <t>CAB</t>
        </is>
      </c>
      <c r="H173" s="11" t="inlineStr">
        <is>
          <t>Requested</t>
        </is>
      </c>
      <c r="I173" s="10" t="n"/>
      <c r="J173" s="10" t="inlineStr">
        <is>
          <t>Yes</t>
        </is>
      </c>
      <c r="K173" s="10" t="inlineStr">
        <is>
          <t>FWD</t>
        </is>
      </c>
    </row>
    <row r="174" ht="18" customHeight="1" s="104">
      <c r="A174" s="74" t="n">
        <v>609</v>
      </c>
      <c r="B174" s="69" t="n">
        <v>32797267</v>
      </c>
      <c r="C174" s="8" t="inlineStr">
        <is>
          <t>CAB - NO CALLBACK - FWD GALLEY G2 GALLEY FOOTSTEP FOUND INOP.</t>
        </is>
      </c>
      <c r="D174" s="9" t="inlineStr">
        <is>
          <t>GALLEY</t>
        </is>
      </c>
      <c r="E174" s="10" t="inlineStr">
        <is>
          <t>Closed</t>
        </is>
      </c>
      <c r="F174" s="10" t="inlineStr">
        <is>
          <t>AOG</t>
        </is>
      </c>
      <c r="G174" s="9" t="inlineStr">
        <is>
          <t>CAB</t>
        </is>
      </c>
      <c r="H174" s="11" t="inlineStr">
        <is>
          <t>Requested</t>
        </is>
      </c>
      <c r="I174" s="10" t="inlineStr">
        <is>
          <t>P/S 4468689</t>
        </is>
      </c>
      <c r="J174" s="10" t="n"/>
      <c r="K174" s="10" t="inlineStr">
        <is>
          <t>FWD</t>
        </is>
      </c>
    </row>
    <row r="175" ht="18" customHeight="1" s="104">
      <c r="A175" s="74" t="n">
        <v>610</v>
      </c>
      <c r="B175" s="69" t="n">
        <v>32797278</v>
      </c>
      <c r="C175" s="8" t="inlineStr">
        <is>
          <t>CAB - NO CALLBACK - FWD GALLEY G2 GALLEY COMPT. 210 DOOR LOCK LOOSE.</t>
        </is>
      </c>
      <c r="D175" s="9" t="inlineStr">
        <is>
          <t>GALLEY</t>
        </is>
      </c>
      <c r="E175" s="10" t="inlineStr">
        <is>
          <t>Closed</t>
        </is>
      </c>
      <c r="F175" s="10" t="inlineStr">
        <is>
          <t>Normal</t>
        </is>
      </c>
      <c r="G175" s="9" t="inlineStr">
        <is>
          <t>CAB</t>
        </is>
      </c>
      <c r="H175" s="11" t="inlineStr">
        <is>
          <t>N/R</t>
        </is>
      </c>
      <c r="I175" s="10" t="n"/>
      <c r="J175" s="10" t="inlineStr">
        <is>
          <t>Yes</t>
        </is>
      </c>
      <c r="K175" s="10" t="inlineStr">
        <is>
          <t>FWD</t>
        </is>
      </c>
    </row>
    <row r="176" ht="18" customHeight="1" s="104">
      <c r="A176" s="74" t="n">
        <v>611</v>
      </c>
      <c r="B176" s="69" t="n">
        <v>32797284</v>
      </c>
      <c r="C176" s="8" t="inlineStr">
        <is>
          <t>CAB - NO CALLBACK - AFT GALLEY AFT GALLEY COMPT. 501 DOOR HINGE BROKEN.</t>
        </is>
      </c>
      <c r="D176" s="9" t="inlineStr">
        <is>
          <t>GALLEY</t>
        </is>
      </c>
      <c r="E176" s="10" t="inlineStr">
        <is>
          <t>Open</t>
        </is>
      </c>
      <c r="F176" s="10" t="inlineStr">
        <is>
          <t>Normal</t>
        </is>
      </c>
      <c r="G176" s="9" t="inlineStr">
        <is>
          <t>CAB</t>
        </is>
      </c>
      <c r="H176" s="11" t="inlineStr">
        <is>
          <t>Requested</t>
        </is>
      </c>
      <c r="I176" s="10" t="n"/>
      <c r="J176" s="10" t="n"/>
      <c r="K176" s="10" t="inlineStr">
        <is>
          <t>AFT</t>
        </is>
      </c>
    </row>
    <row r="177" ht="18" customHeight="1" s="104">
      <c r="A177" s="74" t="n">
        <v>612</v>
      </c>
      <c r="B177" s="69" t="n">
        <v>32797296</v>
      </c>
      <c r="C177" s="8" t="inlineStr">
        <is>
          <t>PNT - NO CALLBACK - AFT GALLEY AFT GALLEY ALL OVENS REQUIRE PAINT.</t>
        </is>
      </c>
      <c r="D177" s="9" t="inlineStr">
        <is>
          <t>GALLEY</t>
        </is>
      </c>
      <c r="E177" s="10" t="inlineStr">
        <is>
          <t>Open</t>
        </is>
      </c>
      <c r="F177" s="10" t="inlineStr">
        <is>
          <t>Normal</t>
        </is>
      </c>
      <c r="G177" s="9" t="inlineStr">
        <is>
          <t>PAINT</t>
        </is>
      </c>
      <c r="H177" s="11" t="n"/>
      <c r="I177" s="10" t="n"/>
      <c r="J177" s="10" t="n"/>
      <c r="K177" s="10" t="inlineStr">
        <is>
          <t>AFT</t>
        </is>
      </c>
    </row>
    <row r="178" ht="18" customHeight="1" s="104">
      <c r="A178" s="74" t="n">
        <v>613</v>
      </c>
      <c r="B178" s="69" t="n">
        <v>32797302</v>
      </c>
      <c r="C178" s="8" t="inlineStr">
        <is>
          <t>PNT - NO CALLBACK - FWD GALLEY FWD GALLEY OVENS REQUIRE PAINT.</t>
        </is>
      </c>
      <c r="D178" s="9" t="inlineStr">
        <is>
          <t>GALLEY</t>
        </is>
      </c>
      <c r="E178" s="10" t="inlineStr">
        <is>
          <t>Open</t>
        </is>
      </c>
      <c r="F178" s="10" t="inlineStr">
        <is>
          <t>Normal</t>
        </is>
      </c>
      <c r="G178" s="9" t="inlineStr">
        <is>
          <t>PAINT</t>
        </is>
      </c>
      <c r="H178" s="11" t="n"/>
      <c r="I178" s="10" t="n"/>
      <c r="J178" s="10" t="n"/>
      <c r="K178" s="10" t="inlineStr">
        <is>
          <t>FWD</t>
        </is>
      </c>
    </row>
    <row r="179" ht="18" customHeight="1" s="104">
      <c r="A179" s="74" t="n">
        <v>614</v>
      </c>
      <c r="B179" s="69" t="n">
        <v>32797315</v>
      </c>
      <c r="C179" s="8" t="inlineStr">
        <is>
          <t>CAB - NO CALLBACK - OSB MOST FWD VIDEO EQUIPMENT OVERHEAD STOWAGE DOOR OPENS FAST.</t>
        </is>
      </c>
      <c r="D179" s="9" t="inlineStr">
        <is>
          <t>GENERAL CABIN</t>
        </is>
      </c>
      <c r="E179" s="10" t="inlineStr">
        <is>
          <t>Closed</t>
        </is>
      </c>
      <c r="F179" s="10" t="inlineStr">
        <is>
          <t>Normal</t>
        </is>
      </c>
      <c r="G179" s="9" t="inlineStr">
        <is>
          <t>CAB</t>
        </is>
      </c>
      <c r="H179" s="11" t="inlineStr">
        <is>
          <t>N/R</t>
        </is>
      </c>
      <c r="I179" s="10" t="n"/>
      <c r="J179" s="10" t="inlineStr">
        <is>
          <t>Yes</t>
        </is>
      </c>
      <c r="K179" s="10" t="inlineStr">
        <is>
          <t>FWD</t>
        </is>
      </c>
    </row>
    <row r="180" ht="18" customHeight="1" s="104">
      <c r="A180" s="74" t="n">
        <v>615</v>
      </c>
      <c r="B180" s="69" t="n">
        <v>32797329</v>
      </c>
      <c r="C180" s="8" t="inlineStr">
        <is>
          <t>CAB - NO CALLBACK - OSB MOST FWD RH MEDICAL KIT OVERHEAD STOWAGE BIN WITH INSIDE DENT.</t>
        </is>
      </c>
      <c r="D180" s="9" t="inlineStr">
        <is>
          <t>GENERAL CABIN</t>
        </is>
      </c>
      <c r="E180" s="10" t="inlineStr">
        <is>
          <t>Closed</t>
        </is>
      </c>
      <c r="F180" s="10" t="inlineStr">
        <is>
          <t>Normal</t>
        </is>
      </c>
      <c r="G180" s="9" t="inlineStr">
        <is>
          <t>CAB</t>
        </is>
      </c>
      <c r="H180" s="11" t="inlineStr">
        <is>
          <t>N/R</t>
        </is>
      </c>
      <c r="I180" s="10" t="n"/>
      <c r="J180" s="10" t="inlineStr">
        <is>
          <t>Yes</t>
        </is>
      </c>
      <c r="K180" s="10" t="inlineStr">
        <is>
          <t>FWD</t>
        </is>
      </c>
    </row>
    <row r="181" ht="18" customHeight="1" s="104">
      <c r="A181" s="74" t="n">
        <v>616</v>
      </c>
      <c r="B181" s="69" t="n">
        <v>32797333</v>
      </c>
      <c r="C181" s="8" t="inlineStr">
        <is>
          <t>CAB - NO CALLBACK - OSB OSB DOOR WITH INSIDE DENT AT 1AC, 3AC, 4LJ, 5LJ, FWD OF 30JKL, 30 ABC AND 44 JKL.</t>
        </is>
      </c>
      <c r="D181" s="9" t="inlineStr">
        <is>
          <t>GENERAL CABIN</t>
        </is>
      </c>
      <c r="E181" s="10" t="inlineStr">
        <is>
          <t>Open</t>
        </is>
      </c>
      <c r="F181" s="10" t="inlineStr">
        <is>
          <t>Normal</t>
        </is>
      </c>
      <c r="G181" s="9" t="inlineStr">
        <is>
          <t>CAB</t>
        </is>
      </c>
      <c r="H181" s="11" t="n"/>
      <c r="I181" s="10" t="inlineStr">
        <is>
          <t>SENT TO PAINT</t>
        </is>
      </c>
      <c r="J181" s="10" t="n"/>
      <c r="K181" s="10" t="inlineStr">
        <is>
          <t>JOINT</t>
        </is>
      </c>
    </row>
    <row r="182" ht="18" customHeight="1" s="104">
      <c r="A182" s="74" t="n">
        <v>617</v>
      </c>
      <c r="B182" s="69" t="n">
        <v>32797337</v>
      </c>
      <c r="C182" s="8" t="inlineStr">
        <is>
          <t>CAB - NO CALLBACK - OSB OSB DOOR MISSING WITH RUBBER BUMPER AT 1AC, 4LJ, 4AC, 5LJ, FWD OF 30 JKL, 30ABC, 31ABC AND 33ABC.</t>
        </is>
      </c>
      <c r="D182" s="9" t="inlineStr">
        <is>
          <t>GENERAL CABIN</t>
        </is>
      </c>
      <c r="E182" s="10" t="inlineStr">
        <is>
          <t>Closed</t>
        </is>
      </c>
      <c r="F182" s="10" t="inlineStr">
        <is>
          <t>Normal</t>
        </is>
      </c>
      <c r="G182" s="9" t="inlineStr">
        <is>
          <t>CAB</t>
        </is>
      </c>
      <c r="H182" s="11" t="inlineStr">
        <is>
          <t>Requested</t>
        </is>
      </c>
      <c r="I182" s="10" t="n"/>
      <c r="J182" s="10" t="inlineStr">
        <is>
          <t>Yes</t>
        </is>
      </c>
      <c r="K182" s="10" t="inlineStr">
        <is>
          <t>JOINT</t>
        </is>
      </c>
    </row>
    <row r="183" ht="18" customHeight="1" s="104">
      <c r="A183" s="74" t="n">
        <v>618</v>
      </c>
      <c r="B183" s="69" t="n">
        <v>32797381</v>
      </c>
      <c r="C183" s="8" t="inlineStr">
        <is>
          <t>CAB - NO CALLBACK - OSB DOOR WITH MISSING RUBBER BUMPER AT 34ABC, 37ABC, 38ABC, 40JKL, 41JKL, 42JKL, 44JKL AND 44ABC.</t>
        </is>
      </c>
      <c r="D183" s="9" t="inlineStr">
        <is>
          <t>GENERAL CABIN</t>
        </is>
      </c>
      <c r="E183" s="10" t="inlineStr">
        <is>
          <t>Closed</t>
        </is>
      </c>
      <c r="F183" s="10" t="inlineStr">
        <is>
          <t>Normal</t>
        </is>
      </c>
      <c r="G183" s="9" t="inlineStr">
        <is>
          <t>CAB</t>
        </is>
      </c>
      <c r="H183" s="11" t="inlineStr">
        <is>
          <t>Requested</t>
        </is>
      </c>
      <c r="I183" s="10" t="n"/>
      <c r="J183" s="10" t="inlineStr">
        <is>
          <t>Yes</t>
        </is>
      </c>
      <c r="K183" s="10" t="inlineStr">
        <is>
          <t>JOINT</t>
        </is>
      </c>
    </row>
    <row r="184" ht="18" customHeight="1" s="104">
      <c r="A184" s="74" t="n">
        <v>619</v>
      </c>
      <c r="B184" s="69" t="n">
        <v>32797382</v>
      </c>
      <c r="C184" s="8" t="inlineStr">
        <is>
          <t>CAB - NO CALLBACK - OSB OSB WITH MISSING UPPER BUMPER AT 1AC, 5AC, 5LJ, 30JKL, 32JKL, 33JKL, 33JKL AND 34ABC.</t>
        </is>
      </c>
      <c r="D184" s="9" t="inlineStr">
        <is>
          <t>GENERAL CABIN</t>
        </is>
      </c>
      <c r="E184" s="10" t="inlineStr">
        <is>
          <t>Closed</t>
        </is>
      </c>
      <c r="F184" s="10" t="inlineStr">
        <is>
          <t>Normal</t>
        </is>
      </c>
      <c r="G184" s="9" t="inlineStr">
        <is>
          <t>CAB</t>
        </is>
      </c>
      <c r="H184" s="11" t="inlineStr">
        <is>
          <t>Requested</t>
        </is>
      </c>
      <c r="I184" s="10" t="n"/>
      <c r="J184" s="10" t="inlineStr">
        <is>
          <t>Yes</t>
        </is>
      </c>
      <c r="K184" s="10" t="inlineStr">
        <is>
          <t>JOINT</t>
        </is>
      </c>
    </row>
    <row r="185" ht="18" customHeight="1" s="104">
      <c r="A185" s="74" t="n">
        <v>620</v>
      </c>
      <c r="B185" s="69" t="n">
        <v>32797384</v>
      </c>
      <c r="C185" s="8" t="inlineStr">
        <is>
          <t>CAB - NO CALLBACK - OSB OSB WITH MISSING UPPER BUMPER AT 36ABC, 38ABC, 38JKL, 40JKL, 40ABC, 41JKL AND 42JKL.</t>
        </is>
      </c>
      <c r="D185" s="9" t="inlineStr">
        <is>
          <t>GENERAL CABIN</t>
        </is>
      </c>
      <c r="E185" s="10" t="inlineStr">
        <is>
          <t>Closed</t>
        </is>
      </c>
      <c r="F185" s="10" t="inlineStr">
        <is>
          <t>Normal</t>
        </is>
      </c>
      <c r="G185" s="9" t="inlineStr">
        <is>
          <t>CAB</t>
        </is>
      </c>
      <c r="H185" s="11" t="inlineStr">
        <is>
          <t>Requested</t>
        </is>
      </c>
      <c r="I185" s="10" t="n"/>
      <c r="J185" s="10" t="inlineStr">
        <is>
          <t>Yes</t>
        </is>
      </c>
      <c r="K185" s="10" t="inlineStr">
        <is>
          <t>AFT</t>
        </is>
      </c>
    </row>
    <row r="186" ht="18" customHeight="1" s="104">
      <c r="A186" s="74" t="n">
        <v>621</v>
      </c>
      <c r="B186" s="69" t="n">
        <v>32797396</v>
      </c>
      <c r="C186" s="8" t="inlineStr">
        <is>
          <t>CAB - NO CALLBACK - OSB OSB SIDE TRIM BROKEN AT 4LJ AND 39 JKL.</t>
        </is>
      </c>
      <c r="D186" s="9" t="inlineStr">
        <is>
          <t>GENERAL CABIN</t>
        </is>
      </c>
      <c r="E186" s="10" t="inlineStr">
        <is>
          <t>Closed</t>
        </is>
      </c>
      <c r="F186" s="10" t="inlineStr">
        <is>
          <t>Normal</t>
        </is>
      </c>
      <c r="G186" s="9" t="inlineStr">
        <is>
          <t>CAB</t>
        </is>
      </c>
      <c r="H186" s="11" t="inlineStr">
        <is>
          <t>Requested</t>
        </is>
      </c>
      <c r="I186" s="10" t="n"/>
      <c r="J186" s="10" t="inlineStr">
        <is>
          <t>Yes</t>
        </is>
      </c>
      <c r="K186" s="10" t="inlineStr">
        <is>
          <t>AFT</t>
        </is>
      </c>
    </row>
    <row r="187" ht="18" customHeight="1" s="104">
      <c r="A187" s="74" t="n">
        <v>622</v>
      </c>
      <c r="B187" s="69" t="n">
        <v>32797399</v>
      </c>
      <c r="C187" s="8" t="inlineStr">
        <is>
          <t>CAB - NO CALLBACK - OSB OSB UPPER TRIM BROKEN AT 30ABC.</t>
        </is>
      </c>
      <c r="D187" s="9" t="inlineStr">
        <is>
          <t>GENERAL CABIN</t>
        </is>
      </c>
      <c r="E187" s="10" t="inlineStr">
        <is>
          <t>Closed</t>
        </is>
      </c>
      <c r="F187" s="10" t="inlineStr">
        <is>
          <t>Normal</t>
        </is>
      </c>
      <c r="G187" s="9" t="inlineStr">
        <is>
          <t>CAB</t>
        </is>
      </c>
      <c r="H187" s="11" t="inlineStr">
        <is>
          <t>Requested</t>
        </is>
      </c>
      <c r="I187" s="10" t="n"/>
      <c r="J187" s="10" t="inlineStr">
        <is>
          <t>Yes</t>
        </is>
      </c>
      <c r="K187" s="10" t="inlineStr">
        <is>
          <t>FWD</t>
        </is>
      </c>
    </row>
    <row r="188" ht="18" customHeight="1" s="104">
      <c r="A188" s="74" t="n">
        <v>623</v>
      </c>
      <c r="B188" s="69" t="n">
        <v>32797402</v>
      </c>
      <c r="C188" s="8" t="inlineStr">
        <is>
          <t>CAB - NO CALLBACK - OSB OSB HANDRAIL BROKEN AT 34ABC, 30JKL.</t>
        </is>
      </c>
      <c r="D188" s="9" t="inlineStr">
        <is>
          <t>GENERAL CABIN</t>
        </is>
      </c>
      <c r="E188" s="10" t="inlineStr">
        <is>
          <t>Open</t>
        </is>
      </c>
      <c r="F188" s="10" t="inlineStr">
        <is>
          <t>AOG</t>
        </is>
      </c>
      <c r="G188" s="9" t="inlineStr">
        <is>
          <t>CAB</t>
        </is>
      </c>
      <c r="H188" s="11" t="inlineStr">
        <is>
          <t>Requested</t>
        </is>
      </c>
      <c r="I188" s="10" t="inlineStr">
        <is>
          <t>34ABC INSTALLED, 30JKL STILL AOG</t>
        </is>
      </c>
      <c r="J188" s="10" t="n"/>
      <c r="K188" s="10" t="inlineStr">
        <is>
          <t>AFT</t>
        </is>
      </c>
    </row>
    <row r="189" ht="18" customHeight="1" s="104">
      <c r="A189" s="74" t="n">
        <v>624</v>
      </c>
      <c r="B189" s="69" t="n">
        <v>32797436</v>
      </c>
      <c r="C189" s="8" t="inlineStr">
        <is>
          <t>CAB - NO CALLBACK - OSB OSB HANDRAIL SEAT MARKING CLEAR PLASTIC PIECE BROKEN AT 3AC AND 31JKL.</t>
        </is>
      </c>
      <c r="D189" s="9" t="inlineStr">
        <is>
          <t>GENERAL CABIN</t>
        </is>
      </c>
      <c r="E189" s="10" t="inlineStr">
        <is>
          <t>Closed</t>
        </is>
      </c>
      <c r="F189" s="10" t="inlineStr">
        <is>
          <t>Normal</t>
        </is>
      </c>
      <c r="G189" s="9" t="inlineStr">
        <is>
          <t>CAB</t>
        </is>
      </c>
      <c r="H189" s="11" t="inlineStr">
        <is>
          <t>Requested</t>
        </is>
      </c>
      <c r="I189" s="10" t="n"/>
      <c r="J189" s="10" t="inlineStr">
        <is>
          <t>Yes</t>
        </is>
      </c>
      <c r="K189" s="10" t="inlineStr">
        <is>
          <t>AFT</t>
        </is>
      </c>
    </row>
    <row r="190" ht="18" customHeight="1" s="104">
      <c r="A190" s="74" t="n">
        <v>645</v>
      </c>
      <c r="B190" s="69" t="n">
        <v>32798020</v>
      </c>
      <c r="C190" s="8" t="inlineStr">
        <is>
          <t>FINDING (NRC) TASKCARD 25-SVA-08 (00) / ITEM ONE L1 F/A LEFT SIDE NEEDS PAINT</t>
        </is>
      </c>
      <c r="D190" s="9" t="inlineStr">
        <is>
          <t>F/A SEAT</t>
        </is>
      </c>
      <c r="E190" s="10" t="inlineStr">
        <is>
          <t>Open</t>
        </is>
      </c>
      <c r="F190" s="10" t="inlineStr">
        <is>
          <t>Normal</t>
        </is>
      </c>
      <c r="G190" s="9" t="inlineStr">
        <is>
          <t>PAINT</t>
        </is>
      </c>
      <c r="H190" s="11" t="n"/>
      <c r="I190" s="10" t="n"/>
      <c r="J190" s="10" t="n"/>
      <c r="K190" s="10" t="inlineStr">
        <is>
          <t>FWD</t>
        </is>
      </c>
    </row>
    <row r="191" ht="18" customHeight="1" s="104">
      <c r="A191" s="74" t="n">
        <v>646</v>
      </c>
      <c r="B191" s="69" t="n">
        <v>32798034</v>
      </c>
      <c r="C191" s="8" t="inlineStr">
        <is>
          <t>FINDING (NRC) TASKCARD 25-SVA-08 (00) / ITEM ONE L1 F/A RIGHT SIDE NEEDS PAINT</t>
        </is>
      </c>
      <c r="D191" s="9" t="inlineStr">
        <is>
          <t>F/A SEAT</t>
        </is>
      </c>
      <c r="E191" s="10" t="inlineStr">
        <is>
          <t>Open</t>
        </is>
      </c>
      <c r="F191" s="10" t="inlineStr">
        <is>
          <t>Normal</t>
        </is>
      </c>
      <c r="G191" s="9" t="inlineStr">
        <is>
          <t>PAINT</t>
        </is>
      </c>
      <c r="H191" s="11" t="n"/>
      <c r="I191" s="10" t="n"/>
      <c r="J191" s="10" t="n"/>
      <c r="K191" s="10" t="inlineStr">
        <is>
          <t>FWD</t>
        </is>
      </c>
    </row>
    <row r="192" ht="18" customHeight="1" s="104">
      <c r="A192" s="74" t="n">
        <v>648</v>
      </c>
      <c r="B192" s="69" t="n">
        <v>32798035</v>
      </c>
      <c r="C192" s="8" t="inlineStr">
        <is>
          <t>CAB NO CALL BACK F/A R2 R/H F/A SEAT COLOUR FADED</t>
        </is>
      </c>
      <c r="D192" s="9" t="inlineStr">
        <is>
          <t>F/A SEAT</t>
        </is>
      </c>
      <c r="E192" s="10" t="inlineStr">
        <is>
          <t>Open</t>
        </is>
      </c>
      <c r="F192" s="10" t="inlineStr">
        <is>
          <t>Normal</t>
        </is>
      </c>
      <c r="G192" s="9" t="inlineStr">
        <is>
          <t>PAINT</t>
        </is>
      </c>
      <c r="H192" s="11" t="n"/>
      <c r="I192" s="10" t="n"/>
      <c r="J192" s="10" t="n"/>
      <c r="K192" s="10" t="inlineStr">
        <is>
          <t>AFT</t>
        </is>
      </c>
    </row>
    <row r="193" ht="18" customHeight="1" s="104">
      <c r="A193" s="74" t="n">
        <v>649</v>
      </c>
      <c r="B193" s="69" t="n">
        <v>32798041</v>
      </c>
      <c r="C193" s="8" t="inlineStr">
        <is>
          <t>CAB NO CALL BACK PAINT L2 L/H F/A SEAT COLOUR FADED</t>
        </is>
      </c>
      <c r="D193" s="9" t="inlineStr">
        <is>
          <t>F/A SEAT</t>
        </is>
      </c>
      <c r="E193" s="10" t="inlineStr">
        <is>
          <t>Open</t>
        </is>
      </c>
      <c r="F193" s="10" t="inlineStr">
        <is>
          <t>Normal</t>
        </is>
      </c>
      <c r="G193" s="9" t="inlineStr">
        <is>
          <t>PAINT</t>
        </is>
      </c>
      <c r="H193" s="11" t="n"/>
      <c r="I193" s="10" t="n"/>
      <c r="J193" s="10" t="n"/>
      <c r="K193" s="10" t="inlineStr">
        <is>
          <t>AFT</t>
        </is>
      </c>
    </row>
    <row r="194" ht="18" customHeight="1" s="104">
      <c r="A194" s="74" t="n">
        <v>650</v>
      </c>
      <c r="B194" s="69" t="n">
        <v>32798047</v>
      </c>
      <c r="C194" s="8" t="inlineStr">
        <is>
          <t>CAB NO CALL BACK L1 L/H F/A SEAT CUSHION HEAD PEN MARK</t>
        </is>
      </c>
      <c r="D194" s="9" t="inlineStr">
        <is>
          <t>F/A SEAT</t>
        </is>
      </c>
      <c r="E194" s="10" t="inlineStr">
        <is>
          <t>Closed</t>
        </is>
      </c>
      <c r="F194" s="10" t="inlineStr">
        <is>
          <t>Normal</t>
        </is>
      </c>
      <c r="G194" s="9" t="inlineStr">
        <is>
          <t>CAB</t>
        </is>
      </c>
      <c r="H194" s="11" t="inlineStr">
        <is>
          <t>Requested</t>
        </is>
      </c>
      <c r="I194" s="10" t="n"/>
      <c r="J194" s="10" t="inlineStr">
        <is>
          <t>Yes</t>
        </is>
      </c>
      <c r="K194" s="10" t="inlineStr">
        <is>
          <t>FWD</t>
        </is>
      </c>
    </row>
    <row r="195" ht="18" customHeight="1" s="104">
      <c r="A195" s="74" t="n">
        <v>653</v>
      </c>
      <c r="B195" s="69" t="n">
        <v>32798059</v>
      </c>
      <c r="C195" s="8" t="inlineStr">
        <is>
          <t>CAB NO CALL BACK L1 L/H F/A SEAT  UPPER BACK CUSHION PEN MARK</t>
        </is>
      </c>
      <c r="D195" s="9" t="inlineStr">
        <is>
          <t>F/A SEAT</t>
        </is>
      </c>
      <c r="E195" s="10" t="inlineStr">
        <is>
          <t>Closed</t>
        </is>
      </c>
      <c r="F195" s="10" t="inlineStr">
        <is>
          <t>Normal</t>
        </is>
      </c>
      <c r="G195" s="9" t="inlineStr">
        <is>
          <t>CAB</t>
        </is>
      </c>
      <c r="H195" s="11" t="inlineStr">
        <is>
          <t>Requested</t>
        </is>
      </c>
      <c r="I195" s="10" t="n"/>
      <c r="J195" s="10" t="inlineStr">
        <is>
          <t>Yes</t>
        </is>
      </c>
      <c r="K195" s="10" t="inlineStr">
        <is>
          <t>FWD</t>
        </is>
      </c>
    </row>
    <row r="196" ht="18" customHeight="1" s="104">
      <c r="A196" s="74" t="n">
        <v>655</v>
      </c>
      <c r="B196" s="69" t="n">
        <v>32798062</v>
      </c>
      <c r="C196" s="8" t="inlineStr">
        <is>
          <t>CAB NO CALL BACK L1 L/H F/A SEAT BOTTOM CUSHION PEN MARK</t>
        </is>
      </c>
      <c r="D196" s="9" t="inlineStr">
        <is>
          <t>F/A SEAT</t>
        </is>
      </c>
      <c r="E196" s="10" t="inlineStr">
        <is>
          <t>Closed</t>
        </is>
      </c>
      <c r="F196" s="10" t="inlineStr">
        <is>
          <t>Normal</t>
        </is>
      </c>
      <c r="G196" s="9" t="inlineStr">
        <is>
          <t>CAB</t>
        </is>
      </c>
      <c r="H196" s="11" t="inlineStr">
        <is>
          <t>Requested</t>
        </is>
      </c>
      <c r="I196" s="10" t="n"/>
      <c r="J196" s="10" t="inlineStr">
        <is>
          <t>Yes</t>
        </is>
      </c>
      <c r="K196" s="10" t="inlineStr">
        <is>
          <t>FWD</t>
        </is>
      </c>
    </row>
    <row r="197" ht="18" customHeight="1" s="104">
      <c r="A197" s="74" t="n">
        <v>656</v>
      </c>
      <c r="B197" s="69" t="n">
        <v>32798069</v>
      </c>
      <c r="C197" s="8" t="inlineStr">
        <is>
          <t>CAB NO CALL BACK L1 L/H F/A SEAT BOTTOM CUSHION DEFLATED</t>
        </is>
      </c>
      <c r="D197" s="9" t="inlineStr">
        <is>
          <t>F/A SEAT</t>
        </is>
      </c>
      <c r="E197" s="10" t="inlineStr">
        <is>
          <t>Closed</t>
        </is>
      </c>
      <c r="F197" s="10" t="inlineStr">
        <is>
          <t>Normal</t>
        </is>
      </c>
      <c r="G197" s="9" t="inlineStr">
        <is>
          <t>CAB</t>
        </is>
      </c>
      <c r="H197" s="11" t="inlineStr">
        <is>
          <t>Requested</t>
        </is>
      </c>
      <c r="I197" s="10" t="n"/>
      <c r="J197" s="10" t="inlineStr">
        <is>
          <t>Yes</t>
        </is>
      </c>
      <c r="K197" s="10" t="inlineStr">
        <is>
          <t>FWD</t>
        </is>
      </c>
    </row>
    <row r="198" ht="18" customHeight="1" s="104">
      <c r="A198" s="74" t="n">
        <v>657</v>
      </c>
      <c r="B198" s="69" t="n">
        <v>32798105</v>
      </c>
      <c r="C198" s="8" t="inlineStr">
        <is>
          <t>CAB NO CALL BACK L1 L/H F/A SEAT LOWER BACK CUSHION DEFLATED</t>
        </is>
      </c>
      <c r="D198" s="9" t="inlineStr">
        <is>
          <t>F/A SEAT</t>
        </is>
      </c>
      <c r="E198" s="10" t="inlineStr">
        <is>
          <t>Closed</t>
        </is>
      </c>
      <c r="F198" s="10" t="inlineStr">
        <is>
          <t>Normal</t>
        </is>
      </c>
      <c r="G198" s="9" t="inlineStr">
        <is>
          <t>CAB</t>
        </is>
      </c>
      <c r="H198" s="11" t="inlineStr">
        <is>
          <t>Requested</t>
        </is>
      </c>
      <c r="I198" s="10" t="n"/>
      <c r="J198" s="10" t="inlineStr">
        <is>
          <t>Yes</t>
        </is>
      </c>
      <c r="K198" s="10" t="inlineStr">
        <is>
          <t>FWD</t>
        </is>
      </c>
    </row>
    <row r="199" ht="18" customHeight="1" s="104">
      <c r="A199" s="74" t="n">
        <v>658</v>
      </c>
      <c r="B199" s="69" t="n">
        <v>32798107</v>
      </c>
      <c r="C199" s="8" t="inlineStr">
        <is>
          <t>CAB NO CALL BACK L1 L/H F/A SEAT BOTTOM RUB STRIP DAMAGED</t>
        </is>
      </c>
      <c r="D199" s="9" t="inlineStr">
        <is>
          <t>F/A SEAT</t>
        </is>
      </c>
      <c r="E199" s="10" t="inlineStr">
        <is>
          <t>Closed</t>
        </is>
      </c>
      <c r="F199" s="10" t="inlineStr">
        <is>
          <t>Normal</t>
        </is>
      </c>
      <c r="G199" s="9" t="inlineStr">
        <is>
          <t>CAB</t>
        </is>
      </c>
      <c r="H199" s="11" t="inlineStr">
        <is>
          <t>Requested</t>
        </is>
      </c>
      <c r="I199" s="10" t="n"/>
      <c r="J199" s="10" t="inlineStr">
        <is>
          <t>Yes</t>
        </is>
      </c>
      <c r="K199" s="10" t="inlineStr">
        <is>
          <t>FWD</t>
        </is>
      </c>
    </row>
    <row r="200" ht="18" customHeight="1" s="104">
      <c r="A200" s="74" t="n">
        <v>659</v>
      </c>
      <c r="B200" s="69" t="n">
        <v>32798117</v>
      </c>
      <c r="C200" s="8" t="inlineStr">
        <is>
          <t>CAB NO CALL BACK L1 L/H F/A SEAT UPPER RUB STRIP DAMAGED</t>
        </is>
      </c>
      <c r="D200" s="9" t="inlineStr">
        <is>
          <t>F/A SEAT</t>
        </is>
      </c>
      <c r="E200" s="10" t="inlineStr">
        <is>
          <t>Closed</t>
        </is>
      </c>
      <c r="F200" s="10" t="inlineStr">
        <is>
          <t>Normal</t>
        </is>
      </c>
      <c r="G200" s="9" t="inlineStr">
        <is>
          <t>CAB</t>
        </is>
      </c>
      <c r="H200" s="11" t="inlineStr">
        <is>
          <t>Requested</t>
        </is>
      </c>
      <c r="I200" s="10" t="n"/>
      <c r="J200" s="10" t="inlineStr">
        <is>
          <t>Yes</t>
        </is>
      </c>
      <c r="K200" s="10" t="inlineStr">
        <is>
          <t>FWD</t>
        </is>
      </c>
    </row>
    <row r="201" ht="18" customHeight="1" s="104">
      <c r="A201" s="74" t="n">
        <v>660</v>
      </c>
      <c r="B201" s="69" t="n">
        <v>32798118</v>
      </c>
      <c r="C201" s="8" t="inlineStr">
        <is>
          <t>CAB NO CALL BACK L1 R/H F/A SEAT BOTTOM RUB STRIP DAMAGED</t>
        </is>
      </c>
      <c r="D201" s="9" t="inlineStr">
        <is>
          <t>F/A SEAT</t>
        </is>
      </c>
      <c r="E201" s="10" t="inlineStr">
        <is>
          <t>Closed</t>
        </is>
      </c>
      <c r="F201" s="10" t="inlineStr">
        <is>
          <t>Normal</t>
        </is>
      </c>
      <c r="G201" s="9" t="inlineStr">
        <is>
          <t>CAB</t>
        </is>
      </c>
      <c r="H201" s="11" t="inlineStr">
        <is>
          <t>Requested</t>
        </is>
      </c>
      <c r="I201" s="10" t="n"/>
      <c r="J201" s="10" t="inlineStr">
        <is>
          <t>Yes</t>
        </is>
      </c>
      <c r="K201" s="10" t="inlineStr">
        <is>
          <t>FWD</t>
        </is>
      </c>
    </row>
    <row r="202" ht="18" customHeight="1" s="104">
      <c r="A202" s="74" t="n">
        <v>661</v>
      </c>
      <c r="B202" s="69" t="n">
        <v>32798119</v>
      </c>
      <c r="C202" s="8" t="inlineStr">
        <is>
          <t>CAB NO CALL BACK L1 R/H F/A SEAT UPPER RUB STRIP DAMAGED</t>
        </is>
      </c>
      <c r="D202" s="9" t="inlineStr">
        <is>
          <t>F/A SEAT</t>
        </is>
      </c>
      <c r="E202" s="10" t="inlineStr">
        <is>
          <t>Closed</t>
        </is>
      </c>
      <c r="F202" s="10" t="inlineStr">
        <is>
          <t>Normal</t>
        </is>
      </c>
      <c r="G202" s="9" t="inlineStr">
        <is>
          <t>CAB</t>
        </is>
      </c>
      <c r="H202" s="11" t="inlineStr">
        <is>
          <t>Requested</t>
        </is>
      </c>
      <c r="I202" s="10" t="n"/>
      <c r="J202" s="10" t="inlineStr">
        <is>
          <t>Yes</t>
        </is>
      </c>
      <c r="K202" s="10" t="inlineStr">
        <is>
          <t>FWD</t>
        </is>
      </c>
    </row>
    <row r="203" ht="18" customHeight="1" s="104">
      <c r="A203" s="74" t="n">
        <v>662</v>
      </c>
      <c r="B203" s="69" t="n">
        <v>32798140</v>
      </c>
      <c r="C203" s="8" t="inlineStr">
        <is>
          <t>CAB NO CALL BACK L1 R/H F/A SEAT CUSHION DEFLATED</t>
        </is>
      </c>
      <c r="D203" s="9" t="inlineStr">
        <is>
          <t>F/A SEAT</t>
        </is>
      </c>
      <c r="E203" s="10" t="inlineStr">
        <is>
          <t>Open</t>
        </is>
      </c>
      <c r="F203" s="10" t="inlineStr">
        <is>
          <t>Normal</t>
        </is>
      </c>
      <c r="G203" s="9" t="inlineStr">
        <is>
          <t>CAB</t>
        </is>
      </c>
      <c r="H203" s="11" t="inlineStr">
        <is>
          <t>Requested</t>
        </is>
      </c>
      <c r="I203" s="10" t="n"/>
      <c r="J203" s="10" t="n"/>
      <c r="K203" s="10" t="inlineStr">
        <is>
          <t>FWD</t>
        </is>
      </c>
    </row>
    <row r="204" ht="18" customHeight="1" s="104">
      <c r="A204" s="74" t="n">
        <v>663</v>
      </c>
      <c r="B204" s="69" t="n">
        <v>32798159</v>
      </c>
      <c r="C204" s="8" t="inlineStr">
        <is>
          <t>CAB NO CALL BACK L1 R/H F/A SEAT UPPER BACK PEN MARK</t>
        </is>
      </c>
      <c r="D204" s="9" t="inlineStr">
        <is>
          <t>F/A SEAT</t>
        </is>
      </c>
      <c r="E204" s="10" t="inlineStr">
        <is>
          <t>Closed</t>
        </is>
      </c>
      <c r="F204" s="10" t="inlineStr">
        <is>
          <t>Normal</t>
        </is>
      </c>
      <c r="G204" s="9" t="inlineStr">
        <is>
          <t>CAB</t>
        </is>
      </c>
      <c r="H204" s="11" t="inlineStr">
        <is>
          <t>Requested</t>
        </is>
      </c>
      <c r="I204" s="10" t="n"/>
      <c r="J204" s="10" t="inlineStr">
        <is>
          <t>Yes</t>
        </is>
      </c>
      <c r="K204" s="10" t="inlineStr">
        <is>
          <t>FWD</t>
        </is>
      </c>
    </row>
    <row r="205" ht="18" customHeight="1" s="104">
      <c r="A205" s="74" t="n">
        <v>664</v>
      </c>
      <c r="B205" s="69" t="n">
        <v>32798183</v>
      </c>
      <c r="C205" s="8" t="inlineStr">
        <is>
          <t>CAB NO CALL BACK R2 F/A SEAT CUSHION DEFLATED</t>
        </is>
      </c>
      <c r="D205" s="9" t="inlineStr">
        <is>
          <t>F/A SEAT</t>
        </is>
      </c>
      <c r="E205" s="10" t="inlineStr">
        <is>
          <t>Closed</t>
        </is>
      </c>
      <c r="F205" s="10" t="inlineStr">
        <is>
          <t>Normal</t>
        </is>
      </c>
      <c r="G205" s="9" t="inlineStr">
        <is>
          <t>CAB</t>
        </is>
      </c>
      <c r="H205" s="11" t="inlineStr">
        <is>
          <t>Requested</t>
        </is>
      </c>
      <c r="I205" s="10" t="n"/>
      <c r="J205" s="10" t="inlineStr">
        <is>
          <t>Yes</t>
        </is>
      </c>
      <c r="K205" s="10" t="inlineStr">
        <is>
          <t>AFT</t>
        </is>
      </c>
    </row>
    <row r="206" ht="18" customHeight="1" s="104">
      <c r="A206" s="74" t="n">
        <v>665</v>
      </c>
      <c r="B206" s="69" t="n">
        <v>32798189</v>
      </c>
      <c r="C206" s="8" t="inlineStr">
        <is>
          <t>CAB NO CALL BACK L2 F/A SEAT BOTTOM CUSHION DEFLATED</t>
        </is>
      </c>
      <c r="D206" s="9" t="inlineStr">
        <is>
          <t>F/A SEAT</t>
        </is>
      </c>
      <c r="E206" s="10" t="inlineStr">
        <is>
          <t>Closed</t>
        </is>
      </c>
      <c r="F206" s="10" t="inlineStr">
        <is>
          <t>Normal</t>
        </is>
      </c>
      <c r="G206" s="9" t="inlineStr">
        <is>
          <t>CAB</t>
        </is>
      </c>
      <c r="H206" s="11" t="inlineStr">
        <is>
          <t>Requested</t>
        </is>
      </c>
      <c r="I206" s="10" t="n"/>
      <c r="J206" s="10" t="inlineStr">
        <is>
          <t>Yes</t>
        </is>
      </c>
      <c r="K206" s="10" t="inlineStr">
        <is>
          <t>AFT</t>
        </is>
      </c>
    </row>
    <row r="207" ht="18" customHeight="1" s="104">
      <c r="A207" s="74" t="n">
        <v>666</v>
      </c>
      <c r="B207" s="69" t="n">
        <v>32798191</v>
      </c>
      <c r="C207" s="8" t="inlineStr">
        <is>
          <t>CAB NO CALL BACK L2 F/A SEAT LOWER BACK CUSHION DEFLATED</t>
        </is>
      </c>
      <c r="D207" s="9" t="inlineStr">
        <is>
          <t>F/A SEAT</t>
        </is>
      </c>
      <c r="E207" s="10" t="inlineStr">
        <is>
          <t>Closed</t>
        </is>
      </c>
      <c r="F207" s="10" t="inlineStr">
        <is>
          <t>Normal</t>
        </is>
      </c>
      <c r="G207" s="9" t="inlineStr">
        <is>
          <t>CAB</t>
        </is>
      </c>
      <c r="H207" s="11" t="inlineStr">
        <is>
          <t>Requested</t>
        </is>
      </c>
      <c r="I207" s="10" t="n"/>
      <c r="J207" s="10" t="inlineStr">
        <is>
          <t>Yes</t>
        </is>
      </c>
      <c r="K207" s="10" t="inlineStr">
        <is>
          <t>AFT</t>
        </is>
      </c>
    </row>
    <row r="208" ht="18" customHeight="1" s="104">
      <c r="A208" s="74" t="n">
        <v>667</v>
      </c>
      <c r="B208" s="69" t="n">
        <v>32798204</v>
      </c>
      <c r="C208" s="8" t="inlineStr">
        <is>
          <t>CAB NO CALL BACK L2 F/A SEAT LOWER RUB STRIP DAMGED</t>
        </is>
      </c>
      <c r="D208" s="9" t="inlineStr">
        <is>
          <t>F/A SEAT</t>
        </is>
      </c>
      <c r="E208" s="10" t="inlineStr">
        <is>
          <t>Closed</t>
        </is>
      </c>
      <c r="F208" s="10" t="inlineStr">
        <is>
          <t>Normal</t>
        </is>
      </c>
      <c r="G208" s="9" t="inlineStr">
        <is>
          <t>CAB</t>
        </is>
      </c>
      <c r="H208" s="11" t="inlineStr">
        <is>
          <t>Requested</t>
        </is>
      </c>
      <c r="I208" s="10" t="n"/>
      <c r="J208" s="10" t="inlineStr">
        <is>
          <t>Yes</t>
        </is>
      </c>
      <c r="K208" s="10" t="inlineStr">
        <is>
          <t>AFT</t>
        </is>
      </c>
    </row>
    <row r="209" ht="18" customHeight="1" s="104">
      <c r="A209" s="74" t="n">
        <v>668</v>
      </c>
      <c r="B209" s="69" t="n">
        <v>32798205</v>
      </c>
      <c r="C209" s="8" t="inlineStr">
        <is>
          <t>CAB NO CALL BACK L2 F/A SEAT UPPER RUB STRIP DAMGED</t>
        </is>
      </c>
      <c r="D209" s="9" t="inlineStr">
        <is>
          <t>F/A SEAT</t>
        </is>
      </c>
      <c r="E209" s="10" t="inlineStr">
        <is>
          <t>Closed</t>
        </is>
      </c>
      <c r="F209" s="10" t="inlineStr">
        <is>
          <t>Normal</t>
        </is>
      </c>
      <c r="G209" s="9" t="inlineStr">
        <is>
          <t>CAB</t>
        </is>
      </c>
      <c r="H209" s="11" t="inlineStr">
        <is>
          <t>Requested</t>
        </is>
      </c>
      <c r="I209" s="10" t="n"/>
      <c r="J209" s="10" t="inlineStr">
        <is>
          <t>Yes</t>
        </is>
      </c>
      <c r="K209" s="10" t="inlineStr">
        <is>
          <t>AFT</t>
        </is>
      </c>
    </row>
    <row r="210" ht="18" customHeight="1" s="104">
      <c r="A210" s="74" t="n">
        <v>669</v>
      </c>
      <c r="B210" s="69" t="n">
        <v>32798221</v>
      </c>
      <c r="C210" s="8" t="inlineStr">
        <is>
          <t>CAB NO CALL BACK R2 F/A SEAT LOWER RUB STRIP DAMGED</t>
        </is>
      </c>
      <c r="D210" s="9" t="inlineStr">
        <is>
          <t>F/A SEAT</t>
        </is>
      </c>
      <c r="E210" s="10" t="inlineStr">
        <is>
          <t>Closed</t>
        </is>
      </c>
      <c r="F210" s="10" t="inlineStr">
        <is>
          <t>Normal</t>
        </is>
      </c>
      <c r="G210" s="9" t="inlineStr">
        <is>
          <t>CAB</t>
        </is>
      </c>
      <c r="H210" s="11" t="inlineStr">
        <is>
          <t>Requested</t>
        </is>
      </c>
      <c r="I210" s="10" t="n"/>
      <c r="J210" s="10" t="inlineStr">
        <is>
          <t>Yes</t>
        </is>
      </c>
      <c r="K210" s="10" t="inlineStr">
        <is>
          <t>AFT</t>
        </is>
      </c>
    </row>
    <row r="211" ht="18" customHeight="1" s="104">
      <c r="A211" s="74" t="n">
        <v>680</v>
      </c>
      <c r="B211" s="69" t="n">
        <v>32798602</v>
      </c>
      <c r="C211" s="8" t="inlineStr">
        <is>
          <t>CAB - NO CALL BACK - ALL LAVS ALL LAVS SHROUD MISSING SCREWS</t>
        </is>
      </c>
      <c r="D211" s="9" t="inlineStr">
        <is>
          <t>LAVATORY</t>
        </is>
      </c>
      <c r="E211" s="10" t="inlineStr">
        <is>
          <t>Open</t>
        </is>
      </c>
      <c r="F211" s="10" t="inlineStr">
        <is>
          <t>Normal</t>
        </is>
      </c>
      <c r="G211" s="9" t="inlineStr">
        <is>
          <t>CAB</t>
        </is>
      </c>
      <c r="H211" s="11" t="inlineStr">
        <is>
          <t>Requested</t>
        </is>
      </c>
      <c r="I211" s="10" t="inlineStr">
        <is>
          <t>P/S 4467911</t>
        </is>
      </c>
      <c r="J211" s="10" t="n"/>
      <c r="K211" s="10" t="inlineStr">
        <is>
          <t>JOINT</t>
        </is>
      </c>
    </row>
    <row r="212" ht="18" customHeight="1" s="104">
      <c r="A212" s="74" t="n">
        <v>681</v>
      </c>
      <c r="B212" s="69" t="n">
        <v>32798604</v>
      </c>
      <c r="C212" s="8" t="inlineStr">
        <is>
          <t>CAB - NO CALL BACK - LAV A LAV A LOWER CABINET LATCH MISSING SCREW</t>
        </is>
      </c>
      <c r="D212" s="9" t="inlineStr">
        <is>
          <t>LAVATORY</t>
        </is>
      </c>
      <c r="E212" s="10" t="inlineStr">
        <is>
          <t>Closed</t>
        </is>
      </c>
      <c r="F212" s="10" t="inlineStr">
        <is>
          <t>Normal</t>
        </is>
      </c>
      <c r="G212" s="9" t="inlineStr">
        <is>
          <t>CAB</t>
        </is>
      </c>
      <c r="H212" s="11" t="inlineStr">
        <is>
          <t>Requested</t>
        </is>
      </c>
      <c r="I212" s="10" t="n"/>
      <c r="J212" s="10" t="inlineStr">
        <is>
          <t>Yes</t>
        </is>
      </c>
      <c r="K212" s="10" t="inlineStr">
        <is>
          <t>FWD</t>
        </is>
      </c>
    </row>
    <row r="213" ht="18" customHeight="1" s="104">
      <c r="A213" s="74" t="n">
        <v>682</v>
      </c>
      <c r="B213" s="69" t="n">
        <v>32798606</v>
      </c>
      <c r="C213" s="8" t="inlineStr">
        <is>
          <t>CAB - NO CALL BACK - LAV D LAV D TOILET LID BROKEN</t>
        </is>
      </c>
      <c r="D213" s="9" t="inlineStr">
        <is>
          <t>LAVATORY</t>
        </is>
      </c>
      <c r="E213" s="10" t="inlineStr">
        <is>
          <t>Closed</t>
        </is>
      </c>
      <c r="F213" s="10" t="inlineStr">
        <is>
          <t>Normal</t>
        </is>
      </c>
      <c r="G213" s="9" t="inlineStr">
        <is>
          <t>CAB</t>
        </is>
      </c>
      <c r="H213" s="11" t="inlineStr">
        <is>
          <t>Requested</t>
        </is>
      </c>
      <c r="I213" s="10" t="n"/>
      <c r="J213" s="10" t="inlineStr">
        <is>
          <t>Yes</t>
        </is>
      </c>
      <c r="K213" s="10" t="inlineStr">
        <is>
          <t>AFT</t>
        </is>
      </c>
    </row>
    <row r="214" ht="18" customHeight="1" s="104">
      <c r="A214" s="74" t="n">
        <v>683</v>
      </c>
      <c r="B214" s="69" t="n">
        <v>32798626</v>
      </c>
      <c r="C214" s="8" t="inlineStr">
        <is>
          <t>CAB - NO CALL BACK - LAV E LAV E INSIDE ASHTRAY CHIPPED</t>
        </is>
      </c>
      <c r="D214" s="9" t="inlineStr">
        <is>
          <t>LAVATORY</t>
        </is>
      </c>
      <c r="E214" s="10" t="inlineStr">
        <is>
          <t>Closed</t>
        </is>
      </c>
      <c r="F214" s="10" t="inlineStr">
        <is>
          <t>Normal</t>
        </is>
      </c>
      <c r="G214" s="9" t="inlineStr">
        <is>
          <t>CAB</t>
        </is>
      </c>
      <c r="H214" s="11" t="inlineStr">
        <is>
          <t>Requested</t>
        </is>
      </c>
      <c r="I214" s="10" t="n"/>
      <c r="J214" s="10" t="inlineStr">
        <is>
          <t>Yes</t>
        </is>
      </c>
      <c r="K214" s="10" t="inlineStr">
        <is>
          <t>AFT</t>
        </is>
      </c>
    </row>
    <row r="215" ht="18" customHeight="1" s="104">
      <c r="A215" s="74" t="n">
        <v>684</v>
      </c>
      <c r="B215" s="69" t="n">
        <v>32798683</v>
      </c>
      <c r="C215" s="8" t="inlineStr">
        <is>
          <t>PNT - NO CALL BACK - LAV A LAV A NURSING TABLE REQ PNT</t>
        </is>
      </c>
      <c r="D215" s="9" t="inlineStr">
        <is>
          <t>LAVATORY</t>
        </is>
      </c>
      <c r="E215" s="10" t="inlineStr">
        <is>
          <t>Open</t>
        </is>
      </c>
      <c r="F215" s="10" t="inlineStr">
        <is>
          <t>Normal</t>
        </is>
      </c>
      <c r="G215" s="9" t="inlineStr">
        <is>
          <t>PAINT</t>
        </is>
      </c>
      <c r="H215" s="11" t="n"/>
      <c r="I215" s="10" t="n"/>
      <c r="J215" s="10" t="n"/>
      <c r="K215" s="10" t="inlineStr">
        <is>
          <t>FWD</t>
        </is>
      </c>
    </row>
    <row r="216" ht="18" customHeight="1" s="104">
      <c r="A216" s="74" t="n">
        <v>685</v>
      </c>
      <c r="B216" s="69" t="n">
        <v>32798689</v>
      </c>
      <c r="C216" s="8" t="inlineStr">
        <is>
          <t>CAB - NO CALL BACK - LAV E LAV E SIDE WALL PAINT PEELED OFF</t>
        </is>
      </c>
      <c r="D216" s="9" t="inlineStr">
        <is>
          <t>LAVATORY</t>
        </is>
      </c>
      <c r="E216" s="10" t="inlineStr">
        <is>
          <t>Open</t>
        </is>
      </c>
      <c r="F216" s="10" t="inlineStr">
        <is>
          <t>Normal</t>
        </is>
      </c>
      <c r="G216" s="9" t="inlineStr">
        <is>
          <t>S/W</t>
        </is>
      </c>
      <c r="H216" s="11" t="n"/>
      <c r="I216" s="10" t="n"/>
      <c r="J216" s="10" t="n"/>
      <c r="K216" s="10" t="inlineStr">
        <is>
          <t>JOINT</t>
        </is>
      </c>
    </row>
    <row r="217" ht="18" customHeight="1" s="104">
      <c r="A217" s="74" t="n">
        <v>686</v>
      </c>
      <c r="B217" s="69" t="n">
        <v>32798787</v>
      </c>
      <c r="C217" s="8" t="inlineStr">
        <is>
          <t>CAB - NO CALL BACK - LAV A LAV A FUACET LEAKING</t>
        </is>
      </c>
      <c r="D217" s="9" t="inlineStr">
        <is>
          <t>LAVATORY</t>
        </is>
      </c>
      <c r="E217" s="10" t="inlineStr">
        <is>
          <t>Closed</t>
        </is>
      </c>
      <c r="F217" s="10" t="inlineStr">
        <is>
          <t>Normal</t>
        </is>
      </c>
      <c r="G217" s="9" t="inlineStr">
        <is>
          <t>CAB</t>
        </is>
      </c>
      <c r="H217" s="11" t="inlineStr">
        <is>
          <t>Requested - R</t>
        </is>
      </c>
      <c r="I217" s="10" t="n"/>
      <c r="J217" s="10" t="inlineStr">
        <is>
          <t>Yes</t>
        </is>
      </c>
      <c r="K217" s="10" t="inlineStr">
        <is>
          <t>FWD</t>
        </is>
      </c>
    </row>
    <row r="218" ht="35.25" customHeight="1" s="104">
      <c r="A218" s="74" t="n">
        <v>687</v>
      </c>
      <c r="B218" s="69" t="n">
        <v>32798821</v>
      </c>
      <c r="C218" s="92" t="inlineStr">
        <is>
          <t>CABIN FLOOR PANEL--CAB--CALLBACK COCKPIT/CABIN FLOOR PANEL NO: 241EF, 241KF, 241LF, 241MF,  242FF, 242KF, 242LF, 242MF AND 211FF REQUIRES REMOVAL FOR ACCESS.</t>
        </is>
      </c>
      <c r="D218" s="9" t="inlineStr">
        <is>
          <t>GENERAL CABIN</t>
        </is>
      </c>
      <c r="E218" s="10" t="inlineStr">
        <is>
          <t>In Progress</t>
        </is>
      </c>
      <c r="F218" s="10" t="inlineStr">
        <is>
          <t>Normal</t>
        </is>
      </c>
      <c r="G218" s="9" t="inlineStr">
        <is>
          <t>CAB</t>
        </is>
      </c>
      <c r="H218" s="11" t="n"/>
      <c r="I218" s="10" t="n"/>
      <c r="J218" s="10" t="n"/>
      <c r="K218" s="10" t="n"/>
    </row>
    <row r="219" ht="18" customHeight="1" s="104">
      <c r="A219" s="74" t="n">
        <v>688</v>
      </c>
      <c r="B219" s="69" t="n">
        <v>32798972</v>
      </c>
      <c r="C219" s="96" t="inlineStr">
        <is>
          <t>CAB - RII - OXYGEN GENERATOR OXYGEN GENERATOR AT 1AC AND 2AC WILL EXPIRE AT 10/2026</t>
        </is>
      </c>
      <c r="D219" s="9" t="inlineStr">
        <is>
          <t>GENERAL CABIN</t>
        </is>
      </c>
      <c r="E219" s="10" t="inlineStr">
        <is>
          <t>In Progress</t>
        </is>
      </c>
      <c r="F219" s="10" t="inlineStr">
        <is>
          <t>Normal</t>
        </is>
      </c>
      <c r="G219" s="9" t="inlineStr">
        <is>
          <t>CAB</t>
        </is>
      </c>
      <c r="H219" s="11" t="inlineStr">
        <is>
          <t>Requested - R</t>
        </is>
      </c>
      <c r="I219" s="94" t="inlineStr">
        <is>
          <t>OPS TO DO</t>
        </is>
      </c>
      <c r="J219" s="10" t="n"/>
      <c r="K219" s="10" t="n"/>
    </row>
    <row r="220" ht="18" customHeight="1" s="104">
      <c r="A220" s="74" t="n">
        <v>689</v>
      </c>
      <c r="B220" s="69" t="n">
        <v>32798977</v>
      </c>
      <c r="C220" s="96" t="inlineStr">
        <is>
          <t>CAB - RII - OXYGEN GENERATOR OXYGEN GENERATOR AT 3AC AND 4AC WILL EXPIRE ON 9/2026</t>
        </is>
      </c>
      <c r="D220" s="9" t="inlineStr">
        <is>
          <t>GENERAL CABIN</t>
        </is>
      </c>
      <c r="E220" s="10" t="inlineStr">
        <is>
          <t>In Progress</t>
        </is>
      </c>
      <c r="F220" s="10" t="inlineStr">
        <is>
          <t>Normal</t>
        </is>
      </c>
      <c r="G220" s="9" t="inlineStr">
        <is>
          <t>CAB</t>
        </is>
      </c>
      <c r="H220" s="11" t="inlineStr">
        <is>
          <t>Requested - R</t>
        </is>
      </c>
      <c r="I220" s="94" t="inlineStr">
        <is>
          <t>OPS TO DO</t>
        </is>
      </c>
      <c r="J220" s="10" t="n"/>
      <c r="K220" s="10" t="n"/>
    </row>
    <row r="221" ht="18" customHeight="1" s="104">
      <c r="A221" s="74" t="n">
        <v>690</v>
      </c>
      <c r="B221" s="69" t="n">
        <v>32798980</v>
      </c>
      <c r="C221" s="96" t="inlineStr">
        <is>
          <t>CAB - RII - OXYGEN GENERATOR OXYGEN GENERATOR AT 5AC AND WILL EXPIRE ON 10/2026</t>
        </is>
      </c>
      <c r="D221" s="9" t="inlineStr">
        <is>
          <t>GENERAL CABIN</t>
        </is>
      </c>
      <c r="E221" s="10" t="inlineStr">
        <is>
          <t>In Progress</t>
        </is>
      </c>
      <c r="F221" s="10" t="inlineStr">
        <is>
          <t>Normal</t>
        </is>
      </c>
      <c r="G221" s="9" t="inlineStr">
        <is>
          <t>CAB</t>
        </is>
      </c>
      <c r="H221" s="11" t="inlineStr">
        <is>
          <t>Requested - R</t>
        </is>
      </c>
      <c r="I221" s="94" t="inlineStr">
        <is>
          <t>OPS TO DO</t>
        </is>
      </c>
      <c r="J221" s="10" t="n"/>
      <c r="K221" s="10" t="n"/>
    </row>
    <row r="222" ht="18" customHeight="1" s="104">
      <c r="A222" s="74" t="n">
        <v>691</v>
      </c>
      <c r="B222" s="69" t="n">
        <v>32798982</v>
      </c>
      <c r="C222" s="96" t="inlineStr">
        <is>
          <t>CAB - RII - OXYGEN GENERATOR OXYGEN GENERATOR AT 30ABC  WILL EXPIRE ON 10/2026</t>
        </is>
      </c>
      <c r="D222" s="9" t="inlineStr">
        <is>
          <t>GENERAL CABIN</t>
        </is>
      </c>
      <c r="E222" s="10" t="inlineStr">
        <is>
          <t>In Progress</t>
        </is>
      </c>
      <c r="F222" s="10" t="inlineStr">
        <is>
          <t>Normal</t>
        </is>
      </c>
      <c r="G222" s="9" t="inlineStr">
        <is>
          <t>CAB</t>
        </is>
      </c>
      <c r="H222" s="11" t="inlineStr">
        <is>
          <t>Requested - R</t>
        </is>
      </c>
      <c r="I222" s="94" t="inlineStr">
        <is>
          <t>OPS TO DO</t>
        </is>
      </c>
      <c r="J222" s="10" t="n"/>
      <c r="K222" s="10" t="n"/>
    </row>
    <row r="223" ht="18" customHeight="1" s="104">
      <c r="A223" s="74" t="n">
        <v>692</v>
      </c>
      <c r="B223" s="69" t="n">
        <v>32798987</v>
      </c>
      <c r="C223" s="96" t="inlineStr">
        <is>
          <t>CAB - RII - OXYGEN GENERATOR OXYGEN GENERATOR AT 31ABC  WILL EXPIRE ON 10/2026 AND AT 32ABC EXPIRED ON 04/2010</t>
        </is>
      </c>
      <c r="D223" s="9" t="inlineStr">
        <is>
          <t>GENERAL CABIN</t>
        </is>
      </c>
      <c r="E223" s="10" t="inlineStr">
        <is>
          <t>In Progress</t>
        </is>
      </c>
      <c r="F223" s="10" t="inlineStr">
        <is>
          <t>Normal</t>
        </is>
      </c>
      <c r="G223" s="9" t="inlineStr">
        <is>
          <t>CAB</t>
        </is>
      </c>
      <c r="H223" s="11" t="inlineStr">
        <is>
          <t>Requested - R</t>
        </is>
      </c>
      <c r="I223" s="94" t="inlineStr">
        <is>
          <t>OPS TO DO</t>
        </is>
      </c>
      <c r="J223" s="10" t="n"/>
      <c r="K223" s="10" t="n"/>
    </row>
    <row r="224" ht="18" customHeight="1" s="104">
      <c r="A224" s="74" t="n">
        <v>693</v>
      </c>
      <c r="B224" s="69" t="n">
        <v>32799012</v>
      </c>
      <c r="C224" s="96" t="inlineStr">
        <is>
          <t>CAB - RII - OXYGEN GENERATOR OXYGEN GENERATOR AT 33ABC AND 34ABC WILL EXPIRE ON 9/2026</t>
        </is>
      </c>
      <c r="D224" s="9" t="inlineStr">
        <is>
          <t>GENERAL CABIN</t>
        </is>
      </c>
      <c r="E224" s="10" t="inlineStr">
        <is>
          <t>In Progress</t>
        </is>
      </c>
      <c r="F224" s="10" t="inlineStr">
        <is>
          <t>Normal</t>
        </is>
      </c>
      <c r="G224" s="9" t="inlineStr">
        <is>
          <t>CAB</t>
        </is>
      </c>
      <c r="H224" s="11" t="inlineStr">
        <is>
          <t>Requested - R</t>
        </is>
      </c>
      <c r="I224" s="94" t="inlineStr">
        <is>
          <t>OPS TO DO</t>
        </is>
      </c>
      <c r="J224" s="10" t="n"/>
      <c r="K224" s="10" t="n"/>
    </row>
    <row r="225" ht="18" customHeight="1" s="104">
      <c r="A225" s="74" t="n">
        <v>695</v>
      </c>
      <c r="B225" s="69" t="n">
        <v>32799029</v>
      </c>
      <c r="C225" s="96" t="inlineStr">
        <is>
          <t>CAB - RII - OXYGEN GENERATOR OXYGEN GENERATOR AT 36ABC AND 37ABC WILL EXPIRE ON 9/2026</t>
        </is>
      </c>
      <c r="D225" s="9" t="inlineStr">
        <is>
          <t>GENERAL CABIN</t>
        </is>
      </c>
      <c r="E225" s="10" t="inlineStr">
        <is>
          <t>In Progress</t>
        </is>
      </c>
      <c r="F225" s="10" t="inlineStr">
        <is>
          <t>Normal</t>
        </is>
      </c>
      <c r="G225" s="9" t="inlineStr">
        <is>
          <t>CAB</t>
        </is>
      </c>
      <c r="H225" s="11" t="inlineStr">
        <is>
          <t>Requested - R</t>
        </is>
      </c>
      <c r="I225" s="94" t="inlineStr">
        <is>
          <t>OPS TO DO</t>
        </is>
      </c>
      <c r="J225" s="10" t="n"/>
      <c r="K225" s="10" t="n"/>
    </row>
    <row r="226" ht="18" customHeight="1" s="104">
      <c r="A226" s="74" t="n">
        <v>696</v>
      </c>
      <c r="B226" s="69" t="n">
        <v>32799031</v>
      </c>
      <c r="C226" s="96" t="inlineStr">
        <is>
          <t>CAB - RII - OXYGEN GENERATOR OXYGEN GENERATOR AT 38ABC EXPIRES ON 9/2026 AND 40ABC WILL EXPIRE ON 10/2026</t>
        </is>
      </c>
      <c r="D226" s="9" t="inlineStr">
        <is>
          <t>GENERAL CABIN</t>
        </is>
      </c>
      <c r="E226" s="10" t="inlineStr">
        <is>
          <t>In Progress</t>
        </is>
      </c>
      <c r="F226" s="10" t="inlineStr">
        <is>
          <t>Normal</t>
        </is>
      </c>
      <c r="G226" s="9" t="inlineStr">
        <is>
          <t>CAB</t>
        </is>
      </c>
      <c r="H226" s="11" t="inlineStr">
        <is>
          <t>Requested - R</t>
        </is>
      </c>
      <c r="I226" s="94" t="inlineStr">
        <is>
          <t>OPS TO DO</t>
        </is>
      </c>
      <c r="J226" s="10" t="n"/>
      <c r="K226" s="10" t="n"/>
    </row>
    <row r="227" ht="18" customHeight="1" s="104">
      <c r="A227" s="74" t="n">
        <v>697</v>
      </c>
      <c r="B227" s="69" t="n">
        <v>32799033</v>
      </c>
      <c r="C227" s="96" t="inlineStr">
        <is>
          <t>CAB - RII - OXYGEN GENERATOR OXYGEN GENERATOR AT 42ABC AND 43ABC WILL EXPIRE ON 9/2026</t>
        </is>
      </c>
      <c r="D227" s="9" t="inlineStr">
        <is>
          <t>GENERAL CABIN</t>
        </is>
      </c>
      <c r="E227" s="10" t="inlineStr">
        <is>
          <t>In Progress</t>
        </is>
      </c>
      <c r="F227" s="10" t="inlineStr">
        <is>
          <t>Normal</t>
        </is>
      </c>
      <c r="G227" s="9" t="inlineStr">
        <is>
          <t>CAB</t>
        </is>
      </c>
      <c r="H227" s="11" t="inlineStr">
        <is>
          <t>Requested - R</t>
        </is>
      </c>
      <c r="I227" s="94" t="inlineStr">
        <is>
          <t>OPS TO DO</t>
        </is>
      </c>
      <c r="J227" s="10" t="n"/>
      <c r="K227" s="10" t="n"/>
    </row>
    <row r="228" ht="18" customHeight="1" s="104">
      <c r="A228" s="74" t="n">
        <v>698</v>
      </c>
      <c r="B228" s="69" t="n">
        <v>32799036</v>
      </c>
      <c r="C228" s="96" t="inlineStr">
        <is>
          <t>CAB - RII - OXYGEN GENERATOR OXYGEN GENERATOR AT 44ABC WILL EXPIRE ON 9/2026</t>
        </is>
      </c>
      <c r="D228" s="9" t="inlineStr">
        <is>
          <t>GENERAL CABIN</t>
        </is>
      </c>
      <c r="E228" s="10" t="inlineStr">
        <is>
          <t>In Progress</t>
        </is>
      </c>
      <c r="F228" s="10" t="inlineStr">
        <is>
          <t>Normal</t>
        </is>
      </c>
      <c r="G228" s="9" t="inlineStr">
        <is>
          <t>CAB</t>
        </is>
      </c>
      <c r="H228" s="11" t="inlineStr">
        <is>
          <t>Requested - R</t>
        </is>
      </c>
      <c r="I228" s="94" t="inlineStr">
        <is>
          <t>OPS TO DO</t>
        </is>
      </c>
      <c r="J228" s="10" t="n"/>
      <c r="K228" s="10" t="n"/>
    </row>
    <row r="229" ht="18" customHeight="1" s="104">
      <c r="A229" s="74" t="n">
        <v>699</v>
      </c>
      <c r="B229" s="69" t="n">
        <v>32799038</v>
      </c>
      <c r="C229" s="96" t="inlineStr">
        <is>
          <t>CAB - RII - OXYGEN GENERATOR OXYGEN GENERATOR AT 1JL AND 2JL WILL EXPIRE ON 10/2026</t>
        </is>
      </c>
      <c r="D229" s="9" t="inlineStr">
        <is>
          <t>GENERAL CABIN</t>
        </is>
      </c>
      <c r="E229" s="10" t="inlineStr">
        <is>
          <t>In Progress</t>
        </is>
      </c>
      <c r="F229" s="10" t="inlineStr">
        <is>
          <t>Normal</t>
        </is>
      </c>
      <c r="G229" s="9" t="inlineStr">
        <is>
          <t>CAB</t>
        </is>
      </c>
      <c r="H229" s="11" t="inlineStr">
        <is>
          <t>Requested - R</t>
        </is>
      </c>
      <c r="I229" s="91" t="inlineStr">
        <is>
          <t>2JL TO DO (CNTR R/R) prat still not arrived</t>
        </is>
      </c>
      <c r="J229" s="10" t="n"/>
      <c r="K229" s="10" t="n"/>
    </row>
    <row r="230" ht="18" customHeight="1" s="104">
      <c r="A230" s="74" t="n">
        <v>700</v>
      </c>
      <c r="B230" s="69" t="n">
        <v>32799049</v>
      </c>
      <c r="C230" s="96" t="inlineStr">
        <is>
          <t>CAB - RII - OXYGEN GENERATOR OXYGEN GENERATOR AT 3JL AND 4JL WILL EXPIRE ON 10/2026</t>
        </is>
      </c>
      <c r="D230" s="9" t="inlineStr">
        <is>
          <t>GENERAL CABIN</t>
        </is>
      </c>
      <c r="E230" s="10" t="inlineStr">
        <is>
          <t>In Progress</t>
        </is>
      </c>
      <c r="F230" s="10" t="inlineStr">
        <is>
          <t>Normal</t>
        </is>
      </c>
      <c r="G230" s="9" t="inlineStr">
        <is>
          <t>CAB</t>
        </is>
      </c>
      <c r="H230" s="11" t="inlineStr">
        <is>
          <t>Requested - R</t>
        </is>
      </c>
      <c r="I230" s="94" t="inlineStr">
        <is>
          <t>OPS TO DO</t>
        </is>
      </c>
      <c r="J230" s="10" t="n"/>
      <c r="K230" s="10" t="n"/>
    </row>
    <row r="231" ht="18" customHeight="1" s="104">
      <c r="A231" s="74" t="n">
        <v>701</v>
      </c>
      <c r="B231" s="69" t="n">
        <v>32799051</v>
      </c>
      <c r="C231" s="96" t="inlineStr">
        <is>
          <t>CAB - RII - OXYGEN GENERATOR OXYGEN GENERATOR AT 5JL WILL EXPIRE ON 09/2026</t>
        </is>
      </c>
      <c r="D231" s="9" t="inlineStr">
        <is>
          <t>GENERAL CABIN</t>
        </is>
      </c>
      <c r="E231" s="10" t="inlineStr">
        <is>
          <t>In Progress</t>
        </is>
      </c>
      <c r="F231" s="10" t="inlineStr">
        <is>
          <t>Normal</t>
        </is>
      </c>
      <c r="G231" s="9" t="inlineStr">
        <is>
          <t>CAB</t>
        </is>
      </c>
      <c r="H231" s="11" t="inlineStr">
        <is>
          <t>Requested - R</t>
        </is>
      </c>
      <c r="I231" s="94" t="inlineStr">
        <is>
          <t>OPS TO DO</t>
        </is>
      </c>
      <c r="J231" s="10" t="n"/>
      <c r="K231" s="10" t="n"/>
    </row>
    <row r="232" ht="18" customHeight="1" s="104">
      <c r="A232" s="74" t="n">
        <v>702</v>
      </c>
      <c r="B232" s="69" t="n">
        <v>32799053</v>
      </c>
      <c r="C232" s="96" t="inlineStr">
        <is>
          <t>CAB - RII - OXYGEN GENERATOR OXYGEN GENERATOR AT 30JKL AND 31JKL WILL EXPIRE ON 10/2026</t>
        </is>
      </c>
      <c r="D232" s="9" t="inlineStr">
        <is>
          <t>GENERAL CABIN</t>
        </is>
      </c>
      <c r="E232" s="10" t="inlineStr">
        <is>
          <t>In Progress</t>
        </is>
      </c>
      <c r="F232" s="10" t="inlineStr">
        <is>
          <t>Normal</t>
        </is>
      </c>
      <c r="G232" s="9" t="inlineStr">
        <is>
          <t>CAB</t>
        </is>
      </c>
      <c r="H232" s="11" t="inlineStr">
        <is>
          <t>Requested - R</t>
        </is>
      </c>
      <c r="I232" s="94" t="inlineStr">
        <is>
          <t>OPS TO DO</t>
        </is>
      </c>
      <c r="J232" s="10" t="n"/>
      <c r="K232" s="10" t="n"/>
    </row>
    <row r="233" ht="18" customHeight="1" s="104">
      <c r="A233" s="74" t="n">
        <v>703</v>
      </c>
      <c r="B233" s="69" t="n">
        <v>32799054</v>
      </c>
      <c r="C233" s="96" t="inlineStr">
        <is>
          <t>CAB - RII - OXYGEN GENERATOR OXYGEN GENERATOR AT 32JKL WILL EXPIRE ON 10/2026</t>
        </is>
      </c>
      <c r="D233" s="9" t="inlineStr">
        <is>
          <t>GENERAL CABIN</t>
        </is>
      </c>
      <c r="E233" s="10" t="inlineStr">
        <is>
          <t>In Progress</t>
        </is>
      </c>
      <c r="F233" s="10" t="inlineStr">
        <is>
          <t>Normal</t>
        </is>
      </c>
      <c r="G233" s="9" t="inlineStr">
        <is>
          <t>CAB</t>
        </is>
      </c>
      <c r="H233" s="11" t="inlineStr">
        <is>
          <t>Requested - R</t>
        </is>
      </c>
      <c r="I233" s="94" t="inlineStr">
        <is>
          <t>OPS TO DO</t>
        </is>
      </c>
      <c r="J233" s="10" t="n"/>
      <c r="K233" s="10" t="n"/>
    </row>
    <row r="234" ht="18" customHeight="1" s="104">
      <c r="A234" s="74" t="n">
        <v>704</v>
      </c>
      <c r="B234" s="69" t="n">
        <v>32799060</v>
      </c>
      <c r="C234" s="96" t="inlineStr">
        <is>
          <t>CAB - RII - OXYGEN GENERATOR OXYGEN GENERATOR AT 33JKL AND 34JKL WILL EXPIRE ON 10/2026</t>
        </is>
      </c>
      <c r="D234" s="9" t="inlineStr">
        <is>
          <t>GENERAL CABIN</t>
        </is>
      </c>
      <c r="E234" s="10" t="inlineStr">
        <is>
          <t>In Progress</t>
        </is>
      </c>
      <c r="F234" s="10" t="inlineStr">
        <is>
          <t>Normal</t>
        </is>
      </c>
      <c r="G234" s="9" t="inlineStr">
        <is>
          <t>CAB</t>
        </is>
      </c>
      <c r="H234" s="11" t="inlineStr">
        <is>
          <t>Requested - R</t>
        </is>
      </c>
      <c r="I234" s="94" t="inlineStr">
        <is>
          <t>OPS TO DO</t>
        </is>
      </c>
      <c r="J234" s="10" t="n"/>
      <c r="K234" s="10" t="n"/>
    </row>
    <row r="235" ht="18" customHeight="1" s="104">
      <c r="A235" s="74" t="n">
        <v>705</v>
      </c>
      <c r="B235" s="69" t="n">
        <v>32799062</v>
      </c>
      <c r="C235" s="96" t="inlineStr">
        <is>
          <t>CAB - RII - OXYGEN GENERATOR OXYGEN GENERATOR AT 35JKL AND 36JKL WILL EXPIRE ON 10/2026</t>
        </is>
      </c>
      <c r="D235" s="9" t="inlineStr">
        <is>
          <t>GENERAL CABIN</t>
        </is>
      </c>
      <c r="E235" s="10" t="inlineStr">
        <is>
          <t>In Progress</t>
        </is>
      </c>
      <c r="F235" s="10" t="inlineStr">
        <is>
          <t>Normal</t>
        </is>
      </c>
      <c r="G235" s="9" t="inlineStr">
        <is>
          <t>CAB</t>
        </is>
      </c>
      <c r="H235" s="11" t="inlineStr">
        <is>
          <t>Requested - R</t>
        </is>
      </c>
      <c r="I235" s="94" t="inlineStr">
        <is>
          <t>OPS TO DO</t>
        </is>
      </c>
      <c r="J235" s="10" t="n"/>
      <c r="K235" s="10" t="n"/>
    </row>
    <row r="236" ht="18" customHeight="1" s="104">
      <c r="A236" s="74" t="n">
        <v>706</v>
      </c>
      <c r="B236" s="69" t="n">
        <v>32799063</v>
      </c>
      <c r="C236" s="96" t="inlineStr">
        <is>
          <t>CAB - RII - OXYGEN GENERATOR OXYGEN GENERATOR AT 37JKL WILL EXPIRE ON 10/2026</t>
        </is>
      </c>
      <c r="D236" s="9" t="inlineStr">
        <is>
          <t>GENERAL CABIN</t>
        </is>
      </c>
      <c r="E236" s="10" t="inlineStr">
        <is>
          <t>In Progress</t>
        </is>
      </c>
      <c r="F236" s="10" t="inlineStr">
        <is>
          <t>Normal</t>
        </is>
      </c>
      <c r="G236" s="9" t="inlineStr">
        <is>
          <t>CAB</t>
        </is>
      </c>
      <c r="H236" s="11" t="inlineStr">
        <is>
          <t>Requested - R</t>
        </is>
      </c>
      <c r="I236" s="94" t="inlineStr">
        <is>
          <t>OPS TO DO</t>
        </is>
      </c>
      <c r="J236" s="10" t="n"/>
      <c r="K236" s="10" t="n"/>
    </row>
    <row r="237" ht="18" customHeight="1" s="104">
      <c r="A237" s="74" t="n">
        <v>707</v>
      </c>
      <c r="B237" s="69" t="n">
        <v>32799064</v>
      </c>
      <c r="C237" s="96" t="inlineStr">
        <is>
          <t>CAB - RII - OXYGEN GENERATOR OXYGEN GENERATOR AT 39JKL AND 40JKL WILL EXPIRE ON 10/2026</t>
        </is>
      </c>
      <c r="D237" s="9" t="inlineStr">
        <is>
          <t>GENERAL CABIN</t>
        </is>
      </c>
      <c r="E237" s="10" t="inlineStr">
        <is>
          <t>In Progress</t>
        </is>
      </c>
      <c r="F237" s="10" t="inlineStr">
        <is>
          <t>Normal</t>
        </is>
      </c>
      <c r="G237" s="9" t="inlineStr">
        <is>
          <t>CAB</t>
        </is>
      </c>
      <c r="H237" s="11" t="inlineStr">
        <is>
          <t>Requested - R</t>
        </is>
      </c>
      <c r="I237" s="94" t="inlineStr">
        <is>
          <t>OPS TO DO</t>
        </is>
      </c>
      <c r="J237" s="10" t="n"/>
      <c r="K237" s="10" t="n"/>
    </row>
    <row r="238" ht="18" customHeight="1" s="104">
      <c r="A238" s="74" t="n">
        <v>708</v>
      </c>
      <c r="B238" s="69" t="n">
        <v>32799065</v>
      </c>
      <c r="C238" s="96" t="inlineStr">
        <is>
          <t>CAB - RII - OXYGEN GENERATOR OXYGEN GENERATOR AT 41JKL AND 42JKL WILL EXPIRE ON 10/2026</t>
        </is>
      </c>
      <c r="D238" s="9" t="inlineStr">
        <is>
          <t>GENERAL CABIN</t>
        </is>
      </c>
      <c r="E238" s="10" t="inlineStr">
        <is>
          <t>In Progress</t>
        </is>
      </c>
      <c r="F238" s="10" t="inlineStr">
        <is>
          <t>Normal</t>
        </is>
      </c>
      <c r="G238" s="9" t="inlineStr">
        <is>
          <t>CAB</t>
        </is>
      </c>
      <c r="H238" s="11" t="inlineStr">
        <is>
          <t>Requested - R</t>
        </is>
      </c>
      <c r="I238" s="94" t="inlineStr">
        <is>
          <t>OPS TO DO</t>
        </is>
      </c>
      <c r="J238" s="10" t="n"/>
      <c r="K238" s="10" t="n"/>
    </row>
    <row r="239" ht="18" customHeight="1" s="104">
      <c r="A239" s="74" t="n">
        <v>709</v>
      </c>
      <c r="B239" s="69" t="n">
        <v>32799066</v>
      </c>
      <c r="C239" s="96" t="inlineStr">
        <is>
          <t>CAB - RII - OXYGEN GENERATOR OXYGEN GENERATOR AT 44JKL WILL EXPIRE ON 10/2026</t>
        </is>
      </c>
      <c r="D239" s="9" t="inlineStr">
        <is>
          <t>GENERAL CABIN</t>
        </is>
      </c>
      <c r="E239" s="10" t="inlineStr">
        <is>
          <t>In Progress</t>
        </is>
      </c>
      <c r="F239" s="10" t="inlineStr">
        <is>
          <t>Normal</t>
        </is>
      </c>
      <c r="G239" s="9" t="inlineStr">
        <is>
          <t>CAB</t>
        </is>
      </c>
      <c r="H239" s="11" t="inlineStr">
        <is>
          <t>Requested - R</t>
        </is>
      </c>
      <c r="I239" s="94" t="inlineStr">
        <is>
          <t>OPS TO DO</t>
        </is>
      </c>
      <c r="J239" s="10" t="n"/>
      <c r="K239" s="10" t="n"/>
    </row>
    <row r="240" ht="18" customHeight="1" s="104">
      <c r="A240" s="74" t="n">
        <v>710</v>
      </c>
      <c r="B240" s="69" t="n">
        <v>32799069</v>
      </c>
      <c r="C240" s="96" t="inlineStr">
        <is>
          <t>CAB - RII - OXYGEN GENERATOR OXYGEN GENERATOR AT FWD DOOR LH AND FWD DOOR RH WILL EXPIRE ON 10/2026</t>
        </is>
      </c>
      <c r="D240" s="9" t="inlineStr">
        <is>
          <t>GENERAL CABIN</t>
        </is>
      </c>
      <c r="E240" s="10" t="inlineStr">
        <is>
          <t>In Progress</t>
        </is>
      </c>
      <c r="F240" s="10" t="inlineStr">
        <is>
          <t>Normal</t>
        </is>
      </c>
      <c r="G240" s="9" t="inlineStr">
        <is>
          <t>CAB</t>
        </is>
      </c>
      <c r="H240" s="11" t="inlineStr">
        <is>
          <t>Requested - R</t>
        </is>
      </c>
      <c r="I240" s="94" t="inlineStr">
        <is>
          <t>OPS TO DO</t>
        </is>
      </c>
      <c r="J240" s="10" t="n"/>
      <c r="K240" s="10" t="inlineStr">
        <is>
          <t>FWD</t>
        </is>
      </c>
    </row>
    <row r="241" ht="18" customHeight="1" s="104">
      <c r="A241" s="74" t="n">
        <v>711</v>
      </c>
      <c r="B241" s="69" t="n">
        <v>32799071</v>
      </c>
      <c r="C241" s="96" t="inlineStr">
        <is>
          <t>CAB - RII - OXYGEN GENERATOR AFT DOOR CTR #1 AND AFT DOOR CTR #2  OXYGEN GENERATOR WILL EXPIRE ON 10/2026</t>
        </is>
      </c>
      <c r="D241" s="9" t="inlineStr">
        <is>
          <t>GENERAL CABIN</t>
        </is>
      </c>
      <c r="E241" s="10" t="inlineStr">
        <is>
          <t>In Progress</t>
        </is>
      </c>
      <c r="F241" s="10" t="inlineStr">
        <is>
          <t>Normal</t>
        </is>
      </c>
      <c r="G241" s="9" t="inlineStr">
        <is>
          <t>CAB</t>
        </is>
      </c>
      <c r="H241" s="11" t="inlineStr">
        <is>
          <t>Requested - R</t>
        </is>
      </c>
      <c r="I241" s="91" t="inlineStr">
        <is>
          <t>INST. TO DO</t>
        </is>
      </c>
      <c r="J241" s="10" t="n"/>
      <c r="K241" s="10" t="inlineStr">
        <is>
          <t>AFT</t>
        </is>
      </c>
    </row>
    <row r="242" ht="18" customHeight="1" s="104">
      <c r="A242" s="74" t="n">
        <v>712</v>
      </c>
      <c r="B242" s="69" t="n">
        <v>32799080</v>
      </c>
      <c r="C242" s="96" t="inlineStr">
        <is>
          <t>CAB - RII - OXYGEN GENERATOR OXYGEN GENERATOR AT AFT DOOR RH WILL EXPIRE ON 10/2026</t>
        </is>
      </c>
      <c r="D242" s="9" t="inlineStr">
        <is>
          <t>GENERAL CABIN</t>
        </is>
      </c>
      <c r="E242" s="10" t="inlineStr">
        <is>
          <t>In Progress</t>
        </is>
      </c>
      <c r="F242" s="10" t="inlineStr">
        <is>
          <t>Normal</t>
        </is>
      </c>
      <c r="G242" s="9" t="inlineStr">
        <is>
          <t>CAB</t>
        </is>
      </c>
      <c r="H242" s="11" t="inlineStr">
        <is>
          <t>Requested - R</t>
        </is>
      </c>
      <c r="I242" s="94" t="inlineStr">
        <is>
          <t>OPS TO DO</t>
        </is>
      </c>
      <c r="J242" s="10" t="n"/>
      <c r="K242" s="10" t="inlineStr">
        <is>
          <t>AFT</t>
        </is>
      </c>
    </row>
    <row r="243" ht="18" customHeight="1" s="104">
      <c r="A243" s="74" t="n">
        <v>713</v>
      </c>
      <c r="B243" s="69" t="n">
        <v>32799332</v>
      </c>
      <c r="C243" s="8" t="inlineStr">
        <is>
          <t>CAB-NO CALL BACK AFT GALLEY CART COMPARTMENT AT 519 T-DIVIDER WITH BROKEN BUMPER.</t>
        </is>
      </c>
      <c r="D243" s="9" t="inlineStr">
        <is>
          <t>GALLEY</t>
        </is>
      </c>
      <c r="E243" s="10" t="inlineStr">
        <is>
          <t>Closed</t>
        </is>
      </c>
      <c r="F243" s="10" t="inlineStr">
        <is>
          <t>Normal</t>
        </is>
      </c>
      <c r="G243" s="9" t="inlineStr">
        <is>
          <t>CAB</t>
        </is>
      </c>
      <c r="H243" s="11" t="inlineStr">
        <is>
          <t>Requested</t>
        </is>
      </c>
      <c r="I243" s="10" t="n"/>
      <c r="J243" s="10" t="inlineStr">
        <is>
          <t>Yes</t>
        </is>
      </c>
      <c r="K243" s="10" t="inlineStr">
        <is>
          <t>AFT</t>
        </is>
      </c>
    </row>
    <row r="244" ht="18" customHeight="1" s="104">
      <c r="A244" s="74" t="n">
        <v>714</v>
      </c>
      <c r="B244" s="69" t="n">
        <v>32799335</v>
      </c>
      <c r="C244" s="8" t="inlineStr">
        <is>
          <t>CAB-NO CALL BACK AFT GALLEY CART COMPARTMENT AT 519 T-DIVIDER WITH BROKEN BUMPER.</t>
        </is>
      </c>
      <c r="D244" s="9" t="inlineStr">
        <is>
          <t>GALLEY</t>
        </is>
      </c>
      <c r="E244" s="10" t="inlineStr">
        <is>
          <t>Open</t>
        </is>
      </c>
      <c r="F244" s="10" t="inlineStr">
        <is>
          <t>AOG</t>
        </is>
      </c>
      <c r="G244" s="9" t="inlineStr">
        <is>
          <t>CAB</t>
        </is>
      </c>
      <c r="H244" s="11" t="inlineStr">
        <is>
          <t>Requested</t>
        </is>
      </c>
      <c r="I244" s="10" t="n"/>
      <c r="J244" s="10" t="inlineStr">
        <is>
          <t>Yes</t>
        </is>
      </c>
      <c r="K244" s="10" t="inlineStr">
        <is>
          <t>AFT</t>
        </is>
      </c>
    </row>
    <row r="245" ht="18" customHeight="1" s="104">
      <c r="A245" s="74" t="n">
        <v>715</v>
      </c>
      <c r="B245" s="69" t="n">
        <v>32799336</v>
      </c>
      <c r="C245" s="8" t="inlineStr">
        <is>
          <t>CAB - NO CALL BACK AFT GALLEY CART COMPARTMENT AT 518 T-DIVIDER WITH BROKEN BUMPER.</t>
        </is>
      </c>
      <c r="D245" s="9" t="inlineStr">
        <is>
          <t>GALLEY</t>
        </is>
      </c>
      <c r="E245" s="10" t="inlineStr">
        <is>
          <t>Closed</t>
        </is>
      </c>
      <c r="F245" s="10" t="inlineStr">
        <is>
          <t>Normal</t>
        </is>
      </c>
      <c r="G245" s="9" t="inlineStr">
        <is>
          <t>CAB</t>
        </is>
      </c>
      <c r="H245" s="11" t="inlineStr">
        <is>
          <t>Requested</t>
        </is>
      </c>
      <c r="I245" s="10" t="n"/>
      <c r="J245" s="10" t="inlineStr">
        <is>
          <t>Yes</t>
        </is>
      </c>
      <c r="K245" s="10" t="inlineStr">
        <is>
          <t>AFT</t>
        </is>
      </c>
    </row>
    <row r="246" ht="18" customHeight="1" s="104">
      <c r="A246" s="74" t="n">
        <v>716</v>
      </c>
      <c r="B246" s="69" t="n">
        <v>32799338</v>
      </c>
      <c r="C246" s="8" t="inlineStr">
        <is>
          <t>CAB - NO CALL BACK AFT GALLEY COMPARTMENT DOOR  NO.504 LOOSE</t>
        </is>
      </c>
      <c r="D246" s="9" t="inlineStr">
        <is>
          <t>GALLEY</t>
        </is>
      </c>
      <c r="E246" s="10" t="inlineStr">
        <is>
          <t>Closed</t>
        </is>
      </c>
      <c r="F246" s="10" t="inlineStr">
        <is>
          <t>Normal</t>
        </is>
      </c>
      <c r="G246" s="9" t="inlineStr">
        <is>
          <t>CAB</t>
        </is>
      </c>
      <c r="H246" s="11" t="inlineStr">
        <is>
          <t>N/R</t>
        </is>
      </c>
      <c r="I246" s="10" t="n"/>
      <c r="J246" s="10" t="inlineStr">
        <is>
          <t>Yes</t>
        </is>
      </c>
      <c r="K246" s="10" t="inlineStr">
        <is>
          <t>AFT</t>
        </is>
      </c>
    </row>
    <row r="247" ht="18" customHeight="1" s="104">
      <c r="A247" s="74" t="n">
        <v>717</v>
      </c>
      <c r="B247" s="69" t="n">
        <v>32799344</v>
      </c>
      <c r="C247" s="8" t="inlineStr">
        <is>
          <t>CAB - NO CALL BACK AFT GALLEY FOOT STEP INOP.</t>
        </is>
      </c>
      <c r="D247" s="9" t="inlineStr">
        <is>
          <t>GALLEY</t>
        </is>
      </c>
      <c r="E247" s="10" t="inlineStr">
        <is>
          <t>Closed</t>
        </is>
      </c>
      <c r="F247" s="10" t="inlineStr">
        <is>
          <t>AOG</t>
        </is>
      </c>
      <c r="G247" s="9" t="inlineStr">
        <is>
          <t>CAB</t>
        </is>
      </c>
      <c r="H247" s="11" t="inlineStr">
        <is>
          <t>Requested</t>
        </is>
      </c>
      <c r="I247" s="10" t="inlineStr">
        <is>
          <t>P/S 4468692</t>
        </is>
      </c>
      <c r="J247" s="10" t="n"/>
      <c r="K247" s="10" t="inlineStr">
        <is>
          <t>FWD</t>
        </is>
      </c>
    </row>
    <row r="248" ht="18" customHeight="1" s="104">
      <c r="A248" s="74" t="n">
        <v>718</v>
      </c>
      <c r="B248" s="69" t="n">
        <v>32799347</v>
      </c>
      <c r="C248" s="8" t="inlineStr">
        <is>
          <t>CAB - NO CALL BACK G1 GALLEY COMPARTMENT 101 DOOR HINGE LOOSE</t>
        </is>
      </c>
      <c r="D248" s="9" t="inlineStr">
        <is>
          <t>GALLEY</t>
        </is>
      </c>
      <c r="E248" s="10" t="inlineStr">
        <is>
          <t>Open</t>
        </is>
      </c>
      <c r="F248" s="10" t="inlineStr">
        <is>
          <t>Normal</t>
        </is>
      </c>
      <c r="G248" s="9" t="inlineStr">
        <is>
          <t>CAB</t>
        </is>
      </c>
      <c r="H248" s="11" t="n"/>
      <c r="I248" s="10" t="n"/>
      <c r="J248" s="10" t="n"/>
      <c r="K248" s="10" t="inlineStr">
        <is>
          <t>AFT</t>
        </is>
      </c>
    </row>
    <row r="249" ht="18" customHeight="1" s="104">
      <c r="A249" s="74" t="n">
        <v>719</v>
      </c>
      <c r="B249" s="69" t="n">
        <v>32799351</v>
      </c>
      <c r="C249" s="8" t="inlineStr">
        <is>
          <t>CAB - NO CALL BACK AFT GALLEY DIVIDER RED LATCH (3 R/H SIDE) AND (1 L/H SIDE) REQ.REPLACEMENT</t>
        </is>
      </c>
      <c r="D249" s="9" t="inlineStr">
        <is>
          <t>GALLEY</t>
        </is>
      </c>
      <c r="E249" s="10" t="inlineStr">
        <is>
          <t>Closed</t>
        </is>
      </c>
      <c r="F249" s="10" t="inlineStr">
        <is>
          <t>Normal</t>
        </is>
      </c>
      <c r="G249" s="9" t="inlineStr">
        <is>
          <t>CAB</t>
        </is>
      </c>
      <c r="H249" s="11" t="inlineStr">
        <is>
          <t>Requested</t>
        </is>
      </c>
      <c r="I249" s="10" t="n"/>
      <c r="J249" s="10" t="inlineStr">
        <is>
          <t>Yes</t>
        </is>
      </c>
      <c r="K249" s="10" t="inlineStr">
        <is>
          <t>AFT</t>
        </is>
      </c>
    </row>
    <row r="250" ht="18" customHeight="1" s="104">
      <c r="A250" s="74" t="n">
        <v>720</v>
      </c>
      <c r="B250" s="69" t="n">
        <v>32799639</v>
      </c>
      <c r="C250" s="8" t="inlineStr">
        <is>
          <t>CAB - NO CALL BACK LAVATORY "E" WATER HEATER INOP.</t>
        </is>
      </c>
      <c r="D250" s="9" t="inlineStr">
        <is>
          <t>LAVATORY</t>
        </is>
      </c>
      <c r="E250" s="10" t="inlineStr">
        <is>
          <t>Open</t>
        </is>
      </c>
      <c r="F250" s="10" t="inlineStr">
        <is>
          <t>Normal</t>
        </is>
      </c>
      <c r="G250" s="9" t="inlineStr">
        <is>
          <t>CAB</t>
        </is>
      </c>
      <c r="H250" s="11" t="inlineStr">
        <is>
          <t>Requested - R</t>
        </is>
      </c>
      <c r="I250" s="10" t="inlineStr">
        <is>
          <t xml:space="preserve">OPS CHECK </t>
        </is>
      </c>
      <c r="J250" s="10" t="n"/>
      <c r="K250" s="10" t="inlineStr">
        <is>
          <t>AFT</t>
        </is>
      </c>
    </row>
    <row r="251" ht="18" customHeight="1" s="104">
      <c r="A251" s="74" t="n">
        <v>721</v>
      </c>
      <c r="B251" s="69" t="n">
        <v>32799641</v>
      </c>
      <c r="C251" s="8" t="inlineStr">
        <is>
          <t>CAB - NO CALL BACK LAV "E" WATER FAUCET LEAKING</t>
        </is>
      </c>
      <c r="D251" s="9" t="inlineStr">
        <is>
          <t>LAVATORY</t>
        </is>
      </c>
      <c r="E251" s="10" t="inlineStr">
        <is>
          <t>Closed</t>
        </is>
      </c>
      <c r="F251" s="10" t="inlineStr">
        <is>
          <t>Normal</t>
        </is>
      </c>
      <c r="G251" s="9" t="inlineStr">
        <is>
          <t>CAB</t>
        </is>
      </c>
      <c r="H251" s="11" t="inlineStr">
        <is>
          <t>Requested - CR</t>
        </is>
      </c>
      <c r="I251" s="10" t="n"/>
      <c r="J251" s="10" t="inlineStr">
        <is>
          <t>Yes</t>
        </is>
      </c>
      <c r="K251" s="10" t="inlineStr">
        <is>
          <t>AFT</t>
        </is>
      </c>
    </row>
    <row r="252" ht="18" customHeight="1" s="104">
      <c r="A252" s="74" t="n">
        <v>722</v>
      </c>
      <c r="B252" s="69" t="n">
        <v>32799647</v>
      </c>
      <c r="C252" s="8" t="inlineStr">
        <is>
          <t>PAINT - NO CALL BACK LAV "A" NURSING TABLE DISCOLORED</t>
        </is>
      </c>
      <c r="D252" s="9" t="inlineStr">
        <is>
          <t>LAVATORY</t>
        </is>
      </c>
      <c r="E252" s="10" t="inlineStr">
        <is>
          <t>Open</t>
        </is>
      </c>
      <c r="F252" s="10" t="inlineStr">
        <is>
          <t>Normal</t>
        </is>
      </c>
      <c r="G252" s="9" t="inlineStr">
        <is>
          <t>PAINT</t>
        </is>
      </c>
      <c r="H252" s="11" t="n"/>
      <c r="I252" s="10" t="n"/>
      <c r="J252" s="10" t="n"/>
      <c r="K252" s="10" t="inlineStr">
        <is>
          <t>FWD</t>
        </is>
      </c>
    </row>
    <row r="253" ht="18" customHeight="1" s="104">
      <c r="A253" s="74" t="n">
        <v>723</v>
      </c>
      <c r="B253" s="69" t="n">
        <v>32800126</v>
      </c>
      <c r="C253" s="8" t="inlineStr">
        <is>
          <t>AVIO---------RII--------FINDING (NRC) TASKCARD 25-65-00-01-0-SVA FWD MEGAPHONE WILL EXPIRE ON 23JUN2026 P/N  A12SA S/N  1143748</t>
        </is>
      </c>
      <c r="D253" s="9" t="inlineStr">
        <is>
          <t>GENERAL CABIN</t>
        </is>
      </c>
      <c r="E253" s="10" t="inlineStr">
        <is>
          <t>Closed</t>
        </is>
      </c>
      <c r="F253" s="10" t="inlineStr">
        <is>
          <t>Normal</t>
        </is>
      </c>
      <c r="G253" s="9" t="inlineStr">
        <is>
          <t>AV</t>
        </is>
      </c>
      <c r="H253" s="11" t="n"/>
      <c r="I253" s="10" t="n"/>
      <c r="J253" s="10" t="inlineStr">
        <is>
          <t>Yes</t>
        </is>
      </c>
      <c r="K253" s="10" t="inlineStr">
        <is>
          <t>FWD</t>
        </is>
      </c>
    </row>
    <row r="254" ht="18" customHeight="1" s="104">
      <c r="A254" s="74" t="n">
        <v>724</v>
      </c>
      <c r="B254" s="69" t="n">
        <v>32800141</v>
      </c>
      <c r="C254" s="8" t="inlineStr">
        <is>
          <t>CABIN-----NO CALL BACK------FINDING (NRC) TASKCARD 25-65-00-01-0-SVA PORTABLE OXYGEN CYLINDER AFT OF SEAT 5JL WILL EXPIRE ON 14 AUG 2026  P/N  9700-C1A-BF23A S/N  P21110181</t>
        </is>
      </c>
      <c r="D254" s="9" t="inlineStr">
        <is>
          <t>GENERAL CABIN</t>
        </is>
      </c>
      <c r="E254" s="10" t="inlineStr">
        <is>
          <t>Closed</t>
        </is>
      </c>
      <c r="F254" s="10" t="inlineStr">
        <is>
          <t>Normal</t>
        </is>
      </c>
      <c r="G254" s="9" t="inlineStr">
        <is>
          <t>CAB</t>
        </is>
      </c>
      <c r="H254" s="11" t="n"/>
      <c r="I254" s="10" t="n"/>
      <c r="J254" s="10" t="inlineStr">
        <is>
          <t>Yes</t>
        </is>
      </c>
      <c r="K254" s="10" t="inlineStr">
        <is>
          <t>FWD</t>
        </is>
      </c>
    </row>
    <row r="255" ht="18" customHeight="1" s="104">
      <c r="A255" s="74" t="n">
        <v>725</v>
      </c>
      <c r="B255" s="69" t="n">
        <v>32800163</v>
      </c>
      <c r="C255" s="8" t="inlineStr">
        <is>
          <t>CABIN--------RII--------FINDING (NRC) TASKCARD 25-65-00-01-0-SVA LOWER PORTABLE OXYGEN CYLINDER MISSING OVERHAUL CERTIFICATE TAG  AT  AFT OF SEAT 5JL</t>
        </is>
      </c>
      <c r="D255" s="9" t="inlineStr">
        <is>
          <t>GENERAL CABIN</t>
        </is>
      </c>
      <c r="E255" s="10" t="inlineStr">
        <is>
          <t>Closed</t>
        </is>
      </c>
      <c r="F255" s="10" t="inlineStr">
        <is>
          <t>Normal</t>
        </is>
      </c>
      <c r="G255" s="9" t="inlineStr">
        <is>
          <t>CAB</t>
        </is>
      </c>
      <c r="H255" s="11" t="inlineStr">
        <is>
          <t>Requested</t>
        </is>
      </c>
      <c r="I255" s="10" t="n"/>
      <c r="J255" s="10" t="inlineStr">
        <is>
          <t>Yes</t>
        </is>
      </c>
      <c r="K255" s="10" t="inlineStr">
        <is>
          <t>FWD</t>
        </is>
      </c>
    </row>
    <row r="256" ht="18" customHeight="1" s="104">
      <c r="A256" s="74" t="n">
        <v>726</v>
      </c>
      <c r="B256" s="69" t="n">
        <v>32800175</v>
      </c>
      <c r="C256" s="8" t="inlineStr">
        <is>
          <t>S/M--------RII--------FINDING (NRC) TASKCARD 25-65-00-01-0-SVA PORTABLE OXYGEN CYLINDER HOLDER BROKEN AT AFT OF SEAT 44ABC</t>
        </is>
      </c>
      <c r="D256" s="9" t="inlineStr">
        <is>
          <t>GENERAL CABIN</t>
        </is>
      </c>
      <c r="E256" s="10" t="inlineStr">
        <is>
          <t>Open</t>
        </is>
      </c>
      <c r="F256" s="10" t="inlineStr">
        <is>
          <t>Normal</t>
        </is>
      </c>
      <c r="G256" s="9" t="inlineStr">
        <is>
          <t>S/M</t>
        </is>
      </c>
      <c r="H256" s="11" t="n"/>
      <c r="I256" s="10" t="n"/>
      <c r="J256" s="10" t="n"/>
      <c r="K256" s="10" t="inlineStr">
        <is>
          <t>AFT</t>
        </is>
      </c>
    </row>
    <row r="257" ht="18" customHeight="1" s="104">
      <c r="A257" s="74" t="n">
        <v>728</v>
      </c>
      <c r="B257" s="69" t="n">
        <v>32800196</v>
      </c>
      <c r="C257" s="8" t="inlineStr">
        <is>
          <t>CABIN--------RII--------FINDING (NRC) TASKCARD 25-65-00-01-0-SVA R2 DOOR PORTABLE FIRE EXTINGUSHER OVERHAUL CERTIFICATE TAG INSPECTION STAMP FADED P/N  P3APP003010D S/N  103900 EXP  12MAR2037</t>
        </is>
      </c>
      <c r="D257" s="9" t="inlineStr">
        <is>
          <t>GENERAL CABIN</t>
        </is>
      </c>
      <c r="E257" s="10" t="inlineStr">
        <is>
          <t>Closed</t>
        </is>
      </c>
      <c r="F257" s="10" t="inlineStr">
        <is>
          <t>Normal</t>
        </is>
      </c>
      <c r="G257" s="9" t="inlineStr">
        <is>
          <t>CAB</t>
        </is>
      </c>
      <c r="H257" s="11" t="inlineStr">
        <is>
          <t>Requested</t>
        </is>
      </c>
      <c r="I257" s="10" t="n"/>
      <c r="J257" s="10" t="inlineStr">
        <is>
          <t>Yes</t>
        </is>
      </c>
      <c r="K257" s="10" t="inlineStr">
        <is>
          <t>AFT</t>
        </is>
      </c>
    </row>
    <row r="258" ht="18" customHeight="1" s="104">
      <c r="A258" s="74" t="n">
        <v>729</v>
      </c>
      <c r="B258" s="69" t="n">
        <v>32800225</v>
      </c>
      <c r="C258" s="8" t="inlineStr">
        <is>
          <t>CABIN--------RII--------FINDING (NRC) TASKCARD 25-65-00-01-0-SVA L2 DOOR PORTABLE FIRE EXTINGUSHER OVERHAUL CERTIFICATE TAG INSPECTION STAMP UNREADABLE P/N  P3APP003010D S/N  104285 EXP  12MAR2037</t>
        </is>
      </c>
      <c r="D258" s="9" t="inlineStr">
        <is>
          <t>GENERAL CABIN</t>
        </is>
      </c>
      <c r="E258" s="10" t="inlineStr">
        <is>
          <t>Closed</t>
        </is>
      </c>
      <c r="F258" s="10" t="inlineStr">
        <is>
          <t>Normal</t>
        </is>
      </c>
      <c r="G258" s="9" t="inlineStr">
        <is>
          <t>CAB</t>
        </is>
      </c>
      <c r="H258" s="11" t="inlineStr">
        <is>
          <t>Requested</t>
        </is>
      </c>
      <c r="I258" s="10" t="n"/>
      <c r="J258" s="10" t="inlineStr">
        <is>
          <t>Yes</t>
        </is>
      </c>
      <c r="K258" s="10" t="inlineStr">
        <is>
          <t>AFT</t>
        </is>
      </c>
    </row>
    <row r="259" ht="18" customHeight="1" s="104">
      <c r="A259" s="74" t="n">
        <v>742</v>
      </c>
      <c r="B259" s="69" t="n">
        <v>32801170</v>
      </c>
      <c r="C259" s="8" t="inlineStr">
        <is>
          <t>CAB - NO CALLBACK - FWD GALLEY G2 GALLEY COMP. 201 DOOR FRAME DETTACHED.</t>
        </is>
      </c>
      <c r="D259" s="9" t="inlineStr">
        <is>
          <t>GALLEY</t>
        </is>
      </c>
      <c r="E259" s="10" t="inlineStr">
        <is>
          <t>Closed</t>
        </is>
      </c>
      <c r="F259" s="10" t="inlineStr">
        <is>
          <t>Normal</t>
        </is>
      </c>
      <c r="G259" s="9" t="inlineStr">
        <is>
          <t>CAB</t>
        </is>
      </c>
      <c r="H259" s="11" t="inlineStr">
        <is>
          <t>Requested</t>
        </is>
      </c>
      <c r="I259" s="10" t="n"/>
      <c r="J259" s="10" t="inlineStr">
        <is>
          <t>Yes</t>
        </is>
      </c>
      <c r="K259" s="10" t="inlineStr">
        <is>
          <t>FWD</t>
        </is>
      </c>
    </row>
    <row r="260" ht="18" customHeight="1" s="104">
      <c r="A260" s="74" t="n">
        <v>743</v>
      </c>
      <c r="B260" s="69" t="n">
        <v>32801193</v>
      </c>
      <c r="C260" s="8" t="inlineStr">
        <is>
          <t>CAB - NO CALLBACK - FWD GALLEY G2 GALLEY COMP. 209 DOOR SLAMLATCH LOOSE.</t>
        </is>
      </c>
      <c r="D260" s="9" t="inlineStr">
        <is>
          <t>GALLEY</t>
        </is>
      </c>
      <c r="E260" s="10" t="inlineStr">
        <is>
          <t>Closed</t>
        </is>
      </c>
      <c r="F260" s="10" t="inlineStr">
        <is>
          <t>Normal</t>
        </is>
      </c>
      <c r="G260" s="9" t="inlineStr">
        <is>
          <t>CAB</t>
        </is>
      </c>
      <c r="H260" s="11" t="inlineStr">
        <is>
          <t>N/R</t>
        </is>
      </c>
      <c r="I260" s="10" t="n"/>
      <c r="J260" s="10" t="inlineStr">
        <is>
          <t>Yes</t>
        </is>
      </c>
      <c r="K260" s="10" t="inlineStr">
        <is>
          <t>FWD</t>
        </is>
      </c>
    </row>
    <row r="261" ht="18" customHeight="1" s="104">
      <c r="A261" s="74" t="n">
        <v>744</v>
      </c>
      <c r="B261" s="69" t="n">
        <v>32801209</v>
      </c>
      <c r="C261" s="8" t="inlineStr">
        <is>
          <t>CAB - NO CALLBACK - FWD GALLEY FWD GALLEY (G1-G2) GALLEY WORKTOP SEALANT PARTIALLY MISSING.</t>
        </is>
      </c>
      <c r="D261" s="9" t="inlineStr">
        <is>
          <t>GALLEY</t>
        </is>
      </c>
      <c r="E261" s="10" t="inlineStr">
        <is>
          <t>Open</t>
        </is>
      </c>
      <c r="F261" s="10" t="inlineStr">
        <is>
          <t>Normal</t>
        </is>
      </c>
      <c r="G261" s="9" t="inlineStr">
        <is>
          <t>CAB</t>
        </is>
      </c>
      <c r="H261" s="11" t="inlineStr">
        <is>
          <t>Requested</t>
        </is>
      </c>
      <c r="I261" s="10" t="inlineStr">
        <is>
          <t>P/S 4472654</t>
        </is>
      </c>
      <c r="J261" s="10" t="n"/>
      <c r="K261" s="10" t="inlineStr">
        <is>
          <t>FWD</t>
        </is>
      </c>
    </row>
    <row r="262" ht="18" customHeight="1" s="104">
      <c r="A262" s="74" t="n">
        <v>748</v>
      </c>
      <c r="B262" s="69" t="n">
        <v>32801440</v>
      </c>
      <c r="C262" s="8" t="inlineStr">
        <is>
          <t>CAB - NO CALLBACK - SIDEWALL SIDEWALL SPLINE AT 1LJ B/C CHIPPED.</t>
        </is>
      </c>
      <c r="D262" s="9" t="inlineStr">
        <is>
          <t>TEDLAR/SIDEWALL</t>
        </is>
      </c>
      <c r="E262" s="10" t="inlineStr">
        <is>
          <t>Closed</t>
        </is>
      </c>
      <c r="F262" s="10" t="inlineStr">
        <is>
          <t>Normal</t>
        </is>
      </c>
      <c r="G262" s="9" t="inlineStr">
        <is>
          <t>CAB</t>
        </is>
      </c>
      <c r="H262" s="11" t="inlineStr">
        <is>
          <t>Requested</t>
        </is>
      </c>
      <c r="I262" s="10" t="n"/>
      <c r="J262" s="10" t="inlineStr">
        <is>
          <t>Yes</t>
        </is>
      </c>
      <c r="K262" s="10" t="inlineStr">
        <is>
          <t>FWD</t>
        </is>
      </c>
    </row>
    <row r="263" ht="18" customHeight="1" s="104">
      <c r="A263" s="74" t="n">
        <v>749</v>
      </c>
      <c r="B263" s="69" t="n">
        <v>32801510</v>
      </c>
      <c r="C263" s="8" t="inlineStr">
        <is>
          <t>CAB - NO CALLBACK - SIDEWALL SIDEWALL SPLINE AT 4LJ B/C CHIPPED.</t>
        </is>
      </c>
      <c r="D263" s="9" t="inlineStr">
        <is>
          <t>TEDLAR/SIDEWALL</t>
        </is>
      </c>
      <c r="E263" s="10" t="inlineStr">
        <is>
          <t>Closed</t>
        </is>
      </c>
      <c r="F263" s="10" t="inlineStr">
        <is>
          <t>Normal</t>
        </is>
      </c>
      <c r="G263" s="9" t="inlineStr">
        <is>
          <t>CAB</t>
        </is>
      </c>
      <c r="H263" s="11" t="inlineStr">
        <is>
          <t>Requested</t>
        </is>
      </c>
      <c r="I263" s="10" t="n"/>
      <c r="J263" s="10" t="inlineStr">
        <is>
          <t>Yes</t>
        </is>
      </c>
      <c r="K263" s="10" t="inlineStr">
        <is>
          <t>FWD</t>
        </is>
      </c>
    </row>
    <row r="264" ht="18" customHeight="1" s="104">
      <c r="A264" s="74" t="n">
        <v>751</v>
      </c>
      <c r="B264" s="69" t="n">
        <v>32801511</v>
      </c>
      <c r="C264" s="8" t="inlineStr">
        <is>
          <t>CAB - NO CALLBACK RUBBER SEAL IS CUT AT FWD GALLEY DIRECTLY ABOVE COMP. 101</t>
        </is>
      </c>
      <c r="D264" s="9" t="inlineStr">
        <is>
          <t>GALLEY</t>
        </is>
      </c>
      <c r="E264" s="10" t="inlineStr">
        <is>
          <t>Closed</t>
        </is>
      </c>
      <c r="F264" s="10" t="inlineStr">
        <is>
          <t>Normal</t>
        </is>
      </c>
      <c r="G264" s="9" t="inlineStr">
        <is>
          <t>CAB</t>
        </is>
      </c>
      <c r="H264" s="11" t="inlineStr">
        <is>
          <t>Requested</t>
        </is>
      </c>
      <c r="I264" s="10" t="n"/>
      <c r="J264" s="10" t="inlineStr">
        <is>
          <t>Yes</t>
        </is>
      </c>
      <c r="K264" s="10" t="inlineStr">
        <is>
          <t>FWD</t>
        </is>
      </c>
    </row>
    <row r="265" ht="18" customHeight="1" s="104">
      <c r="A265" s="74" t="n">
        <v>752</v>
      </c>
      <c r="B265" s="69" t="n">
        <v>32801532</v>
      </c>
      <c r="C265" s="8" t="inlineStr">
        <is>
          <t>CAB - NO CALLBACK RUBBER SEAL BETWEEN FWD GALLEY AND COCKPIT MISSING.</t>
        </is>
      </c>
      <c r="D265" s="9" t="inlineStr">
        <is>
          <t>GALLEY</t>
        </is>
      </c>
      <c r="E265" s="10" t="inlineStr">
        <is>
          <t>Closed</t>
        </is>
      </c>
      <c r="F265" s="10" t="inlineStr">
        <is>
          <t>Normal</t>
        </is>
      </c>
      <c r="G265" s="9" t="inlineStr">
        <is>
          <t>CAB</t>
        </is>
      </c>
      <c r="H265" s="11" t="inlineStr">
        <is>
          <t>Requested</t>
        </is>
      </c>
      <c r="I265" s="10" t="n"/>
      <c r="J265" s="10" t="inlineStr">
        <is>
          <t>Yes</t>
        </is>
      </c>
      <c r="K265" s="10" t="inlineStr">
        <is>
          <t>FWD</t>
        </is>
      </c>
    </row>
    <row r="266" ht="18" customHeight="1" s="104">
      <c r="A266" s="74" t="n">
        <v>753</v>
      </c>
      <c r="B266" s="69" t="n">
        <v>32801634</v>
      </c>
      <c r="C266" s="8" t="inlineStr">
        <is>
          <t>CAB - NO CALLBACK - STOWAGE BIN STOWAGE BIN DIRECTLY INFRONT OF SEAT 30LKJ MISSING DOOR DAMPENER.</t>
        </is>
      </c>
      <c r="D266" s="9" t="inlineStr">
        <is>
          <t>GENERAL CABIN</t>
        </is>
      </c>
      <c r="E266" s="10" t="inlineStr">
        <is>
          <t>Closed</t>
        </is>
      </c>
      <c r="F266" s="10" t="inlineStr">
        <is>
          <t>Normal</t>
        </is>
      </c>
      <c r="G266" s="9" t="inlineStr">
        <is>
          <t>CAB</t>
        </is>
      </c>
      <c r="H266" s="11" t="inlineStr">
        <is>
          <t>Requested</t>
        </is>
      </c>
      <c r="I266" s="10" t="n"/>
      <c r="J266" s="10" t="inlineStr">
        <is>
          <t>Yes</t>
        </is>
      </c>
      <c r="K266" s="10" t="inlineStr">
        <is>
          <t>FWD</t>
        </is>
      </c>
    </row>
    <row r="267" ht="18" customHeight="1" s="104">
      <c r="A267" s="74" t="n">
        <v>754</v>
      </c>
      <c r="B267" s="69" t="n">
        <v>32801637</v>
      </c>
      <c r="C267" s="8" t="inlineStr">
        <is>
          <t>CAB - NO CALLBACK - STOWAGE BIN STOWAGE BIN OF SEAT 4LJ MISSING 2EA DOOR DAMPENER.</t>
        </is>
      </c>
      <c r="D267" s="9" t="inlineStr">
        <is>
          <t>GENERAL CABIN</t>
        </is>
      </c>
      <c r="E267" s="10" t="inlineStr">
        <is>
          <t>Closed</t>
        </is>
      </c>
      <c r="F267" s="10" t="inlineStr">
        <is>
          <t>Normal</t>
        </is>
      </c>
      <c r="G267" s="9" t="inlineStr">
        <is>
          <t>CAB</t>
        </is>
      </c>
      <c r="H267" s="11" t="inlineStr">
        <is>
          <t>Requested</t>
        </is>
      </c>
      <c r="I267" s="10" t="n"/>
      <c r="J267" s="10" t="inlineStr">
        <is>
          <t>Yes</t>
        </is>
      </c>
      <c r="K267" s="10" t="inlineStr">
        <is>
          <t>FWD</t>
        </is>
      </c>
    </row>
    <row r="268" ht="18" customHeight="1" s="104">
      <c r="A268" s="74" t="n">
        <v>755</v>
      </c>
      <c r="B268" s="69" t="n">
        <v>32801640</v>
      </c>
      <c r="C268" s="8" t="inlineStr">
        <is>
          <t>CAB - NO CALLBACK - STOWAGE BIN STOWAGE BIN OF SEAT 5LJ MISSING DOOR DAMPENER.</t>
        </is>
      </c>
      <c r="D268" s="9" t="inlineStr">
        <is>
          <t>GENERAL CABIN</t>
        </is>
      </c>
      <c r="E268" s="10" t="inlineStr">
        <is>
          <t>Closed</t>
        </is>
      </c>
      <c r="F268" s="10" t="inlineStr">
        <is>
          <t>Normal</t>
        </is>
      </c>
      <c r="G268" s="9" t="inlineStr">
        <is>
          <t>CAB</t>
        </is>
      </c>
      <c r="H268" s="11" t="inlineStr">
        <is>
          <t>Requested</t>
        </is>
      </c>
      <c r="I268" s="10" t="n"/>
      <c r="J268" s="10" t="inlineStr">
        <is>
          <t>Yes</t>
        </is>
      </c>
      <c r="K268" s="10" t="inlineStr">
        <is>
          <t>FWD</t>
        </is>
      </c>
    </row>
    <row r="269" ht="18" customHeight="1" s="104">
      <c r="A269" s="74" t="n">
        <v>756</v>
      </c>
      <c r="B269" s="69" t="n">
        <v>32801651</v>
      </c>
      <c r="C269" s="8" t="inlineStr">
        <is>
          <t>CAB - NO CALL BACK - CAPTAIN ARMREST CAPTAIN ARMREST UPPER SHROUD LOOSE.</t>
        </is>
      </c>
      <c r="D269" s="9" t="inlineStr">
        <is>
          <t>FLIGHT DECK</t>
        </is>
      </c>
      <c r="E269" s="10" t="inlineStr">
        <is>
          <t>Closed</t>
        </is>
      </c>
      <c r="F269" s="10" t="inlineStr">
        <is>
          <t>Normal</t>
        </is>
      </c>
      <c r="G269" s="9" t="inlineStr">
        <is>
          <t>CAB</t>
        </is>
      </c>
      <c r="H269" s="11" t="inlineStr">
        <is>
          <t>Requested</t>
        </is>
      </c>
      <c r="I269" s="10" t="n"/>
      <c r="J269" s="10" t="inlineStr">
        <is>
          <t>Yes</t>
        </is>
      </c>
      <c r="K269" s="10" t="inlineStr">
        <is>
          <t>FWD</t>
        </is>
      </c>
    </row>
    <row r="270" ht="18" customHeight="1" s="104">
      <c r="A270" s="74" t="inlineStr">
        <is>
          <t>757</t>
        </is>
      </c>
      <c r="B270" s="69" t="inlineStr">
        <is>
          <t>32801649</t>
        </is>
      </c>
      <c r="C270" s="8" t="inlineStr">
        <is>
          <t>ESCAPE SLIDE---RII ESCAPE SLIDE L/H FWD REQ REMOVAL FOR ACCESS</t>
        </is>
      </c>
      <c r="D270" s="9" t="inlineStr">
        <is>
          <t>PAX DOORS</t>
        </is>
      </c>
      <c r="E270" s="10" t="inlineStr">
        <is>
          <t>In Progress</t>
        </is>
      </c>
      <c r="F270" s="10" t="inlineStr">
        <is>
          <t>Normal</t>
        </is>
      </c>
      <c r="G270" s="9" t="inlineStr">
        <is>
          <t>CAB</t>
        </is>
      </c>
      <c r="H270" s="11" t="n"/>
      <c r="I270" s="10" t="n"/>
      <c r="J270" s="10" t="n"/>
      <c r="K270" s="10" t="inlineStr">
        <is>
          <t>FWD</t>
        </is>
      </c>
    </row>
    <row r="271" ht="18" customHeight="1" s="104">
      <c r="A271" s="74" t="inlineStr">
        <is>
          <t>758</t>
        </is>
      </c>
      <c r="B271" s="69" t="inlineStr">
        <is>
          <t>32801735</t>
        </is>
      </c>
      <c r="C271" s="8" t="inlineStr">
        <is>
          <t>ESCAPE SLIDE---RII ESCAPE SLIDE R/H FWD REQ REMOVAL FOR ACCESS</t>
        </is>
      </c>
      <c r="D271" s="9" t="inlineStr">
        <is>
          <t>PAX DOORS</t>
        </is>
      </c>
      <c r="E271" s="10" t="inlineStr">
        <is>
          <t>In Progress</t>
        </is>
      </c>
      <c r="F271" s="10" t="inlineStr">
        <is>
          <t>Normal</t>
        </is>
      </c>
      <c r="G271" s="9" t="inlineStr">
        <is>
          <t>CAB</t>
        </is>
      </c>
      <c r="H271" s="11" t="n"/>
      <c r="I271" s="10" t="n"/>
      <c r="J271" s="10" t="n"/>
      <c r="K271" s="10" t="inlineStr">
        <is>
          <t>FWD</t>
        </is>
      </c>
    </row>
    <row r="272" ht="18" customHeight="1" s="104">
      <c r="A272" s="74" t="inlineStr">
        <is>
          <t>759</t>
        </is>
      </c>
      <c r="B272" s="69" t="inlineStr">
        <is>
          <t>32801738</t>
        </is>
      </c>
      <c r="C272" s="8" t="inlineStr">
        <is>
          <t>CAB - NO CALL BACK - CAPTAIN SEAT CAPTAIN SEAT AFT SHROUD CRACKED.</t>
        </is>
      </c>
      <c r="D272" s="9" t="inlineStr">
        <is>
          <t>FLIGHT DECK</t>
        </is>
      </c>
      <c r="E272" s="10" t="inlineStr">
        <is>
          <t>Closed</t>
        </is>
      </c>
      <c r="F272" s="10" t="inlineStr">
        <is>
          <t>Normal</t>
        </is>
      </c>
      <c r="G272" s="9" t="inlineStr">
        <is>
          <t>CAB</t>
        </is>
      </c>
      <c r="H272" s="11" t="inlineStr">
        <is>
          <t>Requested</t>
        </is>
      </c>
      <c r="I272" s="10" t="n"/>
      <c r="J272" s="10" t="inlineStr">
        <is>
          <t>Yes</t>
        </is>
      </c>
      <c r="K272" s="10" t="inlineStr">
        <is>
          <t>FWD</t>
        </is>
      </c>
    </row>
    <row r="273" ht="18" customHeight="1" s="104">
      <c r="A273" s="74" t="inlineStr">
        <is>
          <t>779</t>
        </is>
      </c>
      <c r="B273" s="69" t="inlineStr">
        <is>
          <t>32804054</t>
        </is>
      </c>
      <c r="C273" s="8" t="inlineStr">
        <is>
          <t>ESCAPE SLIDE---RII L2 DOOR ESCAPE SLIDE REQ REMOVAL FOR ACCESS</t>
        </is>
      </c>
      <c r="D273" s="9" t="inlineStr">
        <is>
          <t>PAX DOORS</t>
        </is>
      </c>
      <c r="E273" s="10" t="inlineStr">
        <is>
          <t>In Progress</t>
        </is>
      </c>
      <c r="F273" s="10" t="inlineStr">
        <is>
          <t>Normal</t>
        </is>
      </c>
      <c r="G273" s="9" t="inlineStr">
        <is>
          <t>CAB</t>
        </is>
      </c>
      <c r="H273" s="11" t="n"/>
      <c r="I273" s="10" t="n"/>
      <c r="J273" s="10" t="n"/>
      <c r="K273" s="10" t="inlineStr">
        <is>
          <t>AFT</t>
        </is>
      </c>
    </row>
    <row r="274" ht="18" customHeight="1" s="104">
      <c r="A274" s="74" t="inlineStr">
        <is>
          <t>780</t>
        </is>
      </c>
      <c r="B274" s="69" t="inlineStr">
        <is>
          <t>32804056</t>
        </is>
      </c>
      <c r="C274" s="8" t="inlineStr">
        <is>
          <t>ESCAPE SLIDE---RII R2 DOOR  ESCAPE SLIDE REQ REMOVAL FOR ACCESS</t>
        </is>
      </c>
      <c r="D274" s="9" t="inlineStr">
        <is>
          <t>PAX DOORS</t>
        </is>
      </c>
      <c r="E274" s="10" t="inlineStr">
        <is>
          <t>In Progress</t>
        </is>
      </c>
      <c r="F274" s="10" t="inlineStr">
        <is>
          <t>Normal</t>
        </is>
      </c>
      <c r="G274" s="9" t="inlineStr">
        <is>
          <t>CAB</t>
        </is>
      </c>
      <c r="H274" s="11" t="n"/>
      <c r="I274" s="10" t="n"/>
      <c r="J274" s="10" t="n"/>
      <c r="K274" s="10" t="inlineStr">
        <is>
          <t>AFT</t>
        </is>
      </c>
    </row>
    <row r="275" ht="18" customHeight="1" s="104">
      <c r="A275" s="74" t="inlineStr">
        <is>
          <t>785</t>
        </is>
      </c>
      <c r="B275" s="69" t="inlineStr">
        <is>
          <t>32804526</t>
        </is>
      </c>
      <c r="C275" s="8" t="inlineStr">
        <is>
          <t>CAB - NO CALL BACK LAV A BABY BASSINET TABLE LATCH DIRTY</t>
        </is>
      </c>
      <c r="D275" s="9" t="inlineStr">
        <is>
          <t>LAVATORY</t>
        </is>
      </c>
      <c r="E275" s="10" t="inlineStr">
        <is>
          <t>Closed</t>
        </is>
      </c>
      <c r="F275" s="10" t="inlineStr">
        <is>
          <t>Normal</t>
        </is>
      </c>
      <c r="G275" s="9" t="inlineStr">
        <is>
          <t>CAB</t>
        </is>
      </c>
      <c r="H275" s="11" t="inlineStr">
        <is>
          <t>Requested</t>
        </is>
      </c>
      <c r="I275" s="10" t="n"/>
      <c r="J275" s="10" t="inlineStr">
        <is>
          <t>Yes</t>
        </is>
      </c>
      <c r="K275" s="10" t="inlineStr">
        <is>
          <t>FWD</t>
        </is>
      </c>
    </row>
    <row r="276" ht="18" customHeight="1" s="104">
      <c r="A276" s="74" t="inlineStr">
        <is>
          <t>786</t>
        </is>
      </c>
      <c r="B276" s="69" t="inlineStr">
        <is>
          <t>32804529</t>
        </is>
      </c>
      <c r="C276" s="8" t="inlineStr">
        <is>
          <t>CAB - NO CALL BACK LAV E BABY BASSINET TABLE LATCH DIRTY</t>
        </is>
      </c>
      <c r="D276" s="9" t="inlineStr">
        <is>
          <t>LAVATORY</t>
        </is>
      </c>
      <c r="E276" s="10" t="inlineStr">
        <is>
          <t>Closed</t>
        </is>
      </c>
      <c r="F276" s="10" t="inlineStr">
        <is>
          <t>Normal</t>
        </is>
      </c>
      <c r="G276" s="9" t="inlineStr">
        <is>
          <t>CAB</t>
        </is>
      </c>
      <c r="H276" s="11" t="inlineStr">
        <is>
          <t>Requested</t>
        </is>
      </c>
      <c r="I276" s="10" t="n"/>
      <c r="J276" s="10" t="inlineStr">
        <is>
          <t>Yes</t>
        </is>
      </c>
      <c r="K276" s="10" t="inlineStr">
        <is>
          <t>AFT</t>
        </is>
      </c>
    </row>
    <row r="277" ht="18" customHeight="1" s="104">
      <c r="A277" s="74" t="inlineStr">
        <is>
          <t>787</t>
        </is>
      </c>
      <c r="B277" s="69" t="inlineStr">
        <is>
          <t>32804530</t>
        </is>
      </c>
      <c r="C277" s="8" t="inlineStr">
        <is>
          <t>CAB - NO CALL BACK LAV D BABY BASSINET TABLE LATCH DIRTY</t>
        </is>
      </c>
      <c r="D277" s="9" t="inlineStr">
        <is>
          <t>LAVATORY</t>
        </is>
      </c>
      <c r="E277" s="10" t="inlineStr">
        <is>
          <t>Closed</t>
        </is>
      </c>
      <c r="F277" s="10" t="inlineStr">
        <is>
          <t>Normal</t>
        </is>
      </c>
      <c r="G277" s="9" t="inlineStr">
        <is>
          <t>CAB</t>
        </is>
      </c>
      <c r="H277" s="11" t="inlineStr">
        <is>
          <t>Requested</t>
        </is>
      </c>
      <c r="I277" s="10" t="n"/>
      <c r="J277" s="10" t="inlineStr">
        <is>
          <t>Yes</t>
        </is>
      </c>
      <c r="K277" s="10" t="inlineStr">
        <is>
          <t>AFT</t>
        </is>
      </c>
    </row>
    <row r="278" ht="18" customHeight="1" s="104">
      <c r="A278" s="74" t="inlineStr">
        <is>
          <t>788</t>
        </is>
      </c>
      <c r="B278" s="69" t="inlineStr">
        <is>
          <t>32804532</t>
        </is>
      </c>
      <c r="C278" s="8" t="inlineStr">
        <is>
          <t>CAB - NO CALL BACK FWD GALLEY COMPT 208 ICE BOX SURFACE DIRTY AND MISSING SEALANT.</t>
        </is>
      </c>
      <c r="D278" s="9" t="inlineStr">
        <is>
          <t>GALLEY</t>
        </is>
      </c>
      <c r="E278" s="10" t="inlineStr">
        <is>
          <t>Closed</t>
        </is>
      </c>
      <c r="F278" s="10" t="inlineStr">
        <is>
          <t>Normal</t>
        </is>
      </c>
      <c r="G278" s="9" t="inlineStr">
        <is>
          <t>CAB</t>
        </is>
      </c>
      <c r="H278" s="11" t="inlineStr">
        <is>
          <t>Requested</t>
        </is>
      </c>
      <c r="I278" s="10" t="n"/>
      <c r="J278" s="10" t="n"/>
      <c r="K278" s="10" t="inlineStr">
        <is>
          <t>FWD</t>
        </is>
      </c>
    </row>
    <row r="279" ht="18" customHeight="1" s="104">
      <c r="A279" s="74" t="inlineStr">
        <is>
          <t>789</t>
        </is>
      </c>
      <c r="B279" s="69" t="inlineStr">
        <is>
          <t>32804533</t>
        </is>
      </c>
      <c r="C279" s="95" t="inlineStr">
        <is>
          <t>PAINT - NO CALL BACK FWD GALLEY COMPT 214 LONG AND SHORT CART CATCHES CHIPPED PAINT.</t>
        </is>
      </c>
      <c r="D279" s="9" t="inlineStr">
        <is>
          <t>GALLEY</t>
        </is>
      </c>
      <c r="E279" s="10" t="inlineStr">
        <is>
          <t>Open</t>
        </is>
      </c>
      <c r="F279" s="10" t="inlineStr">
        <is>
          <t>Normal</t>
        </is>
      </c>
      <c r="G279" s="9" t="inlineStr">
        <is>
          <t>CAB</t>
        </is>
      </c>
      <c r="H279" s="11" t="inlineStr">
        <is>
          <t>Requested</t>
        </is>
      </c>
      <c r="I279" s="10" t="inlineStr">
        <is>
          <t>P/S 4472626</t>
        </is>
      </c>
      <c r="J279" s="10" t="n"/>
      <c r="K279" s="10" t="inlineStr">
        <is>
          <t>FWD</t>
        </is>
      </c>
    </row>
    <row r="280" ht="18" customHeight="1" s="104">
      <c r="A280" s="74" t="inlineStr">
        <is>
          <t>790</t>
        </is>
      </c>
      <c r="B280" s="69" t="inlineStr">
        <is>
          <t>32804535</t>
        </is>
      </c>
      <c r="C280" s="8" t="inlineStr">
        <is>
          <t>CAB - NO CALL BACK FWD GALLEY BUN WARMER LATCH LOOSE.</t>
        </is>
      </c>
      <c r="D280" s="9" t="inlineStr">
        <is>
          <t>GALLEY</t>
        </is>
      </c>
      <c r="E280" s="10" t="inlineStr">
        <is>
          <t>Closed</t>
        </is>
      </c>
      <c r="F280" s="10" t="inlineStr">
        <is>
          <t>Normal</t>
        </is>
      </c>
      <c r="G280" s="9" t="inlineStr">
        <is>
          <t>CAB</t>
        </is>
      </c>
      <c r="H280" s="11" t="inlineStr">
        <is>
          <t>Requested - R</t>
        </is>
      </c>
      <c r="I280" s="10" t="n"/>
      <c r="J280" s="10" t="inlineStr">
        <is>
          <t>Yes</t>
        </is>
      </c>
      <c r="K280" s="10" t="inlineStr">
        <is>
          <t>FWD</t>
        </is>
      </c>
    </row>
    <row r="281" ht="18" customHeight="1" s="104">
      <c r="A281" s="74" t="inlineStr">
        <is>
          <t>791</t>
        </is>
      </c>
      <c r="B281" s="69" t="inlineStr">
        <is>
          <t>32804540</t>
        </is>
      </c>
      <c r="C281" s="8" t="inlineStr">
        <is>
          <t>CAB - NO CALL BACK FWD GALLEY CART CATCHES 3EA LONG NO. 111 , 110 AND 109 1 SHORT CART CATCHES NO.111</t>
        </is>
      </c>
      <c r="D281" s="9" t="inlineStr">
        <is>
          <t>GALLEY</t>
        </is>
      </c>
      <c r="E281" s="10" t="inlineStr">
        <is>
          <t>Closed</t>
        </is>
      </c>
      <c r="F281" s="10" t="inlineStr">
        <is>
          <t>Normal</t>
        </is>
      </c>
      <c r="G281" s="9" t="inlineStr">
        <is>
          <t>CAB</t>
        </is>
      </c>
      <c r="H281" s="11" t="inlineStr">
        <is>
          <t>Requested</t>
        </is>
      </c>
      <c r="I281" s="10" t="n"/>
      <c r="J281" s="10" t="inlineStr">
        <is>
          <t>Yes</t>
        </is>
      </c>
      <c r="K281" s="10" t="inlineStr">
        <is>
          <t>FWD</t>
        </is>
      </c>
    </row>
    <row r="282" ht="18" customHeight="1" s="104">
      <c r="A282" s="74" t="inlineStr">
        <is>
          <t>792</t>
        </is>
      </c>
      <c r="B282" s="69" t="inlineStr">
        <is>
          <t>32804543</t>
        </is>
      </c>
      <c r="C282" s="8" t="inlineStr">
        <is>
          <t>AVIO - NO CALL BACK FWD GALLEY LIGHT LENS DISCOLORATION</t>
        </is>
      </c>
      <c r="D282" s="9" t="inlineStr">
        <is>
          <t>GALLEY</t>
        </is>
      </c>
      <c r="E282" s="10" t="inlineStr">
        <is>
          <t>Open</t>
        </is>
      </c>
      <c r="F282" s="10" t="inlineStr">
        <is>
          <t>Normal</t>
        </is>
      </c>
      <c r="G282" s="9" t="inlineStr">
        <is>
          <t>CAB</t>
        </is>
      </c>
      <c r="H282" s="11" t="n"/>
      <c r="I282" s="91" t="inlineStr">
        <is>
          <t>PAINT OR R/R</t>
        </is>
      </c>
      <c r="J282" s="10" t="n"/>
      <c r="K282" s="10" t="inlineStr">
        <is>
          <t>FWD</t>
        </is>
      </c>
    </row>
    <row r="283" ht="18" customHeight="1" s="104">
      <c r="A283" s="74" t="inlineStr">
        <is>
          <t>793</t>
        </is>
      </c>
      <c r="B283" s="69" t="inlineStr">
        <is>
          <t>32804553</t>
        </is>
      </c>
      <c r="C283" s="8" t="inlineStr">
        <is>
          <t>CAB - NO CALL BACK - COCKPIT SEAT CAPTIN AND FIRST OFFICER SEAT AFT SHROUD CRACKED</t>
        </is>
      </c>
      <c r="D283" s="9" t="inlineStr">
        <is>
          <t>FLIGHT DECK</t>
        </is>
      </c>
      <c r="E283" s="10" t="inlineStr">
        <is>
          <t>Closed</t>
        </is>
      </c>
      <c r="F283" s="10" t="inlineStr">
        <is>
          <t>Normal</t>
        </is>
      </c>
      <c r="G283" s="9" t="inlineStr">
        <is>
          <t>CAB</t>
        </is>
      </c>
      <c r="H283" s="11" t="inlineStr">
        <is>
          <t>Requested</t>
        </is>
      </c>
      <c r="I283" s="10" t="n"/>
      <c r="J283" s="10" t="inlineStr">
        <is>
          <t>Yes</t>
        </is>
      </c>
      <c r="K283" s="10" t="inlineStr">
        <is>
          <t>FWD</t>
        </is>
      </c>
    </row>
    <row r="284" ht="18" customHeight="1" s="104">
      <c r="A284" s="74" t="inlineStr">
        <is>
          <t>794</t>
        </is>
      </c>
      <c r="B284" s="69" t="inlineStr">
        <is>
          <t>32804554</t>
        </is>
      </c>
      <c r="C284" s="8" t="inlineStr">
        <is>
          <t>CAB - NO CALL BACK - COCKPIT SEAT CAPTAIN SEAT PLACRAD DEATTACHED</t>
        </is>
      </c>
      <c r="D284" s="9" t="inlineStr">
        <is>
          <t>FLIGHT DECK</t>
        </is>
      </c>
      <c r="E284" s="10" t="inlineStr">
        <is>
          <t>Open</t>
        </is>
      </c>
      <c r="F284" s="10" t="inlineStr">
        <is>
          <t>Normal</t>
        </is>
      </c>
      <c r="G284" s="9" t="inlineStr">
        <is>
          <t>PAINT</t>
        </is>
      </c>
      <c r="H284" s="11" t="n"/>
      <c r="I284" s="10" t="n"/>
      <c r="J284" s="10" t="n"/>
      <c r="K284" s="10" t="inlineStr">
        <is>
          <t>FWD</t>
        </is>
      </c>
    </row>
    <row r="285" ht="18" customHeight="1" s="104">
      <c r="A285" s="74" t="inlineStr">
        <is>
          <t>795</t>
        </is>
      </c>
      <c r="B285" s="69" t="inlineStr">
        <is>
          <t>32804556</t>
        </is>
      </c>
      <c r="C285" s="8" t="inlineStr">
        <is>
          <t>CAB - NO CALL BACK - COCKPIT FROUTH OBSERVER FOURTH OBSERVER CUP HOLDER LOOSE</t>
        </is>
      </c>
      <c r="D285" s="9" t="inlineStr">
        <is>
          <t>FLIGHT DECK</t>
        </is>
      </c>
      <c r="E285" s="10" t="inlineStr">
        <is>
          <t>Closed</t>
        </is>
      </c>
      <c r="F285" s="10" t="inlineStr">
        <is>
          <t>Normal</t>
        </is>
      </c>
      <c r="G285" s="9" t="inlineStr">
        <is>
          <t>CAB</t>
        </is>
      </c>
      <c r="H285" s="11" t="inlineStr">
        <is>
          <t>N/R</t>
        </is>
      </c>
      <c r="I285" s="10" t="n"/>
      <c r="J285" s="10" t="inlineStr">
        <is>
          <t>Yes</t>
        </is>
      </c>
      <c r="K285" s="10" t="inlineStr">
        <is>
          <t>FWD</t>
        </is>
      </c>
    </row>
    <row r="286" ht="18" customHeight="1" s="104">
      <c r="A286" s="74" t="inlineStr">
        <is>
          <t>796</t>
        </is>
      </c>
      <c r="B286" s="69" t="inlineStr">
        <is>
          <t>32804558</t>
        </is>
      </c>
      <c r="C286" s="8" t="inlineStr">
        <is>
          <t>CAB - NO CALL BACK - COCKPIT ESCAPE ROPE COVER VELCRO DETACHED.</t>
        </is>
      </c>
      <c r="D286" s="9" t="inlineStr">
        <is>
          <t>FLIGHT DECK</t>
        </is>
      </c>
      <c r="E286" s="10" t="inlineStr">
        <is>
          <t>Closed</t>
        </is>
      </c>
      <c r="F286" s="10" t="inlineStr">
        <is>
          <t>Normal</t>
        </is>
      </c>
      <c r="G286" s="9" t="inlineStr">
        <is>
          <t>CAB</t>
        </is>
      </c>
      <c r="H286" s="11" t="inlineStr">
        <is>
          <t>N/R</t>
        </is>
      </c>
      <c r="I286" s="10" t="n"/>
      <c r="J286" s="10" t="inlineStr">
        <is>
          <t>Yes</t>
        </is>
      </c>
      <c r="K286" s="10" t="inlineStr">
        <is>
          <t>FWD</t>
        </is>
      </c>
    </row>
    <row r="287" ht="18" customHeight="1" s="104">
      <c r="A287" s="74" t="inlineStr">
        <is>
          <t>797</t>
        </is>
      </c>
      <c r="B287" s="69" t="inlineStr">
        <is>
          <t>32804560</t>
        </is>
      </c>
      <c r="C287" s="8" t="inlineStr">
        <is>
          <t>CAB - NO CALL BACK - COCKPIT DISC STOWAGE F/O DISC STOWAGE LATCH INOP</t>
        </is>
      </c>
      <c r="D287" s="9" t="inlineStr">
        <is>
          <t>FLIGHT DECK</t>
        </is>
      </c>
      <c r="E287" s="10" t="inlineStr">
        <is>
          <t>Closed</t>
        </is>
      </c>
      <c r="F287" s="10" t="inlineStr">
        <is>
          <t>Normal</t>
        </is>
      </c>
      <c r="G287" s="9" t="inlineStr">
        <is>
          <t>CAB</t>
        </is>
      </c>
      <c r="H287" s="11" t="inlineStr">
        <is>
          <t>Requested - CR</t>
        </is>
      </c>
      <c r="I287" s="10" t="n"/>
      <c r="J287" s="10" t="inlineStr">
        <is>
          <t>Yes</t>
        </is>
      </c>
      <c r="K287" s="10" t="inlineStr">
        <is>
          <t>FWD</t>
        </is>
      </c>
    </row>
    <row r="288" ht="18" customHeight="1" s="104">
      <c r="A288" s="74" t="inlineStr">
        <is>
          <t>798</t>
        </is>
      </c>
      <c r="B288" s="69" t="inlineStr">
        <is>
          <t>32804565</t>
        </is>
      </c>
      <c r="C288" s="8" t="inlineStr">
        <is>
          <t>CAB - NO CALL BACK - COCKPT CAPTIN  WASTE AND OXY DOOR MAKE NOISY SOUND</t>
        </is>
      </c>
      <c r="D288" s="9" t="inlineStr">
        <is>
          <t>FLIGHT DECK</t>
        </is>
      </c>
      <c r="E288" s="10" t="inlineStr">
        <is>
          <t>Closed</t>
        </is>
      </c>
      <c r="F288" s="10" t="inlineStr">
        <is>
          <t>Normal</t>
        </is>
      </c>
      <c r="G288" s="9" t="inlineStr">
        <is>
          <t>CAB</t>
        </is>
      </c>
      <c r="H288" s="11" t="inlineStr">
        <is>
          <t>N/R</t>
        </is>
      </c>
      <c r="I288" s="10" t="n"/>
      <c r="J288" s="10" t="inlineStr">
        <is>
          <t>Yes</t>
        </is>
      </c>
      <c r="K288" s="10" t="inlineStr">
        <is>
          <t>FWD</t>
        </is>
      </c>
    </row>
    <row r="289" ht="18" customHeight="1" s="104">
      <c r="A289" s="74" t="inlineStr">
        <is>
          <t>799</t>
        </is>
      </c>
      <c r="B289" s="69" t="inlineStr">
        <is>
          <t>32804566</t>
        </is>
      </c>
      <c r="C289" s="8" t="inlineStr">
        <is>
          <t>CAB - NO CALL BACK - COCKPIT CAPTAIN ARMREST CAPTAIN ARMREST DISCOLORED</t>
        </is>
      </c>
      <c r="D289" s="9" t="inlineStr">
        <is>
          <t>FLIGHT DECK</t>
        </is>
      </c>
      <c r="E289" s="10" t="inlineStr">
        <is>
          <t>Closed</t>
        </is>
      </c>
      <c r="F289" s="10" t="inlineStr">
        <is>
          <t>Normal</t>
        </is>
      </c>
      <c r="G289" s="9" t="inlineStr">
        <is>
          <t>CAB</t>
        </is>
      </c>
      <c r="H289" s="11" t="inlineStr">
        <is>
          <t>Requested</t>
        </is>
      </c>
      <c r="I289" s="10" t="n"/>
      <c r="J289" s="10" t="inlineStr">
        <is>
          <t>Yes</t>
        </is>
      </c>
      <c r="K289" s="10" t="inlineStr">
        <is>
          <t>FWD</t>
        </is>
      </c>
    </row>
    <row r="290" ht="18" customHeight="1" s="104">
      <c r="A290" s="74" t="inlineStr">
        <is>
          <t>800</t>
        </is>
      </c>
      <c r="B290" s="69" t="inlineStr">
        <is>
          <t>32804567</t>
        </is>
      </c>
      <c r="C290" s="8" t="inlineStr">
        <is>
          <t>CAB - NO CALL BACK - COCKPIT CAPTAIN ARMREST COCKPIT CAPTAIN ARMREST LOOSE</t>
        </is>
      </c>
      <c r="D290" s="9" t="inlineStr">
        <is>
          <t>FLIGHT DECK</t>
        </is>
      </c>
      <c r="E290" s="10" t="inlineStr">
        <is>
          <t>Closed</t>
        </is>
      </c>
      <c r="F290" s="10" t="inlineStr">
        <is>
          <t>Normal</t>
        </is>
      </c>
      <c r="G290" s="9" t="inlineStr">
        <is>
          <t>CAB</t>
        </is>
      </c>
      <c r="H290" s="11" t="inlineStr">
        <is>
          <t>Requested</t>
        </is>
      </c>
      <c r="I290" s="10" t="n"/>
      <c r="J290" s="10" t="inlineStr">
        <is>
          <t>Yes</t>
        </is>
      </c>
      <c r="K290" s="10" t="inlineStr">
        <is>
          <t>FWD</t>
        </is>
      </c>
    </row>
    <row r="291" ht="18" customHeight="1" s="104">
      <c r="A291" s="74" t="inlineStr">
        <is>
          <t>801</t>
        </is>
      </c>
      <c r="B291" s="69" t="inlineStr">
        <is>
          <t>32804568</t>
        </is>
      </c>
      <c r="C291" s="8" t="inlineStr">
        <is>
          <t>CAB - NO CALL BACK - COCKPIT MEAL TABLE CAPTAIN AND F/O MEAL TABLE DISCOLORED</t>
        </is>
      </c>
      <c r="D291" s="9" t="inlineStr">
        <is>
          <t>FLIGHT DECK</t>
        </is>
      </c>
      <c r="E291" s="10" t="inlineStr">
        <is>
          <t>Open</t>
        </is>
      </c>
      <c r="F291" s="10" t="inlineStr">
        <is>
          <t>Normal</t>
        </is>
      </c>
      <c r="G291" s="9" t="inlineStr">
        <is>
          <t>PAINT</t>
        </is>
      </c>
      <c r="H291" s="11" t="inlineStr">
        <is>
          <t>Requested - CR</t>
        </is>
      </c>
      <c r="I291" s="10" t="n"/>
      <c r="J291" s="10" t="n"/>
      <c r="K291" s="10" t="inlineStr">
        <is>
          <t>FWD</t>
        </is>
      </c>
    </row>
    <row r="292" ht="18" customHeight="1" s="104">
      <c r="A292" s="74" t="inlineStr">
        <is>
          <t>802</t>
        </is>
      </c>
      <c r="B292" s="69" t="inlineStr">
        <is>
          <t>32804570</t>
        </is>
      </c>
      <c r="C292" s="8" t="inlineStr">
        <is>
          <t>CAB - NO CALL BACK - COCKPIT SPEAKERS COCKPIT CAPTAIN AND F/O SPEAKERS PANEL SCREWS MISSING</t>
        </is>
      </c>
      <c r="D292" s="9" t="inlineStr">
        <is>
          <t>FLIGHT DECK</t>
        </is>
      </c>
      <c r="E292" s="10" t="inlineStr">
        <is>
          <t>Closed</t>
        </is>
      </c>
      <c r="F292" s="10" t="inlineStr">
        <is>
          <t>Normal</t>
        </is>
      </c>
      <c r="G292" s="9" t="inlineStr">
        <is>
          <t>CAB</t>
        </is>
      </c>
      <c r="H292" s="11" t="inlineStr">
        <is>
          <t>Requested</t>
        </is>
      </c>
      <c r="I292" s="10" t="n"/>
      <c r="J292" s="10" t="inlineStr">
        <is>
          <t>Yes</t>
        </is>
      </c>
      <c r="K292" s="10" t="inlineStr">
        <is>
          <t>FWD</t>
        </is>
      </c>
    </row>
    <row r="293" ht="18" customHeight="1" s="104">
      <c r="A293" s="74" t="inlineStr">
        <is>
          <t>803</t>
        </is>
      </c>
      <c r="B293" s="69" t="inlineStr">
        <is>
          <t>32804571</t>
        </is>
      </c>
      <c r="C293" s="8" t="inlineStr">
        <is>
          <t>CAB - NO CALL BACK - COCKPIT LIFE VEST COVER THIRD OBSERVER LIFE VEST COVER MISALIGNED</t>
        </is>
      </c>
      <c r="D293" s="9" t="inlineStr">
        <is>
          <t>FLIGHT DECK</t>
        </is>
      </c>
      <c r="E293" s="10" t="inlineStr">
        <is>
          <t>Closed</t>
        </is>
      </c>
      <c r="F293" s="10" t="inlineStr">
        <is>
          <t>Normal</t>
        </is>
      </c>
      <c r="G293" s="9" t="inlineStr">
        <is>
          <t>CAB</t>
        </is>
      </c>
      <c r="H293" s="11" t="inlineStr">
        <is>
          <t>Requested</t>
        </is>
      </c>
      <c r="I293" s="10" t="n"/>
      <c r="J293" s="10" t="inlineStr">
        <is>
          <t>Yes</t>
        </is>
      </c>
      <c r="K293" s="10" t="inlineStr">
        <is>
          <t>FWD</t>
        </is>
      </c>
    </row>
    <row r="294" ht="18" customHeight="1" s="104">
      <c r="A294" s="74" t="inlineStr">
        <is>
          <t>804</t>
        </is>
      </c>
      <c r="B294" s="69" t="inlineStr">
        <is>
          <t>32804573</t>
        </is>
      </c>
      <c r="C294" s="8" t="inlineStr">
        <is>
          <t>CAB - NO CALL BACK - COCKPIT LIGHT PNL COCKPIT OVER HEAD LIGHT PNL SCREW MISSING</t>
        </is>
      </c>
      <c r="D294" s="9" t="inlineStr">
        <is>
          <t>FLIGHT DECK</t>
        </is>
      </c>
      <c r="E294" s="10" t="inlineStr">
        <is>
          <t>Closed</t>
        </is>
      </c>
      <c r="F294" s="10" t="inlineStr">
        <is>
          <t>Normal</t>
        </is>
      </c>
      <c r="G294" s="9" t="inlineStr">
        <is>
          <t>CAB</t>
        </is>
      </c>
      <c r="H294" s="11" t="inlineStr">
        <is>
          <t>Requested</t>
        </is>
      </c>
      <c r="I294" s="10" t="n"/>
      <c r="J294" s="10" t="inlineStr">
        <is>
          <t>Yes</t>
        </is>
      </c>
      <c r="K294" s="10" t="inlineStr">
        <is>
          <t>FWD</t>
        </is>
      </c>
    </row>
    <row r="295" ht="18" customHeight="1" s="104">
      <c r="A295" s="74" t="inlineStr">
        <is>
          <t>805</t>
        </is>
      </c>
      <c r="B295" s="69" t="inlineStr">
        <is>
          <t>32804575</t>
        </is>
      </c>
      <c r="C295" s="8" t="inlineStr">
        <is>
          <t>CAB - RII - COCKPIT SEAT BELT COCKPIT FOURTH OBSERVER SEAT BELT INOP</t>
        </is>
      </c>
      <c r="D295" s="9" t="inlineStr">
        <is>
          <t>FLIGHT DECK</t>
        </is>
      </c>
      <c r="E295" s="10" t="inlineStr">
        <is>
          <t>Closed</t>
        </is>
      </c>
      <c r="F295" s="10" t="inlineStr">
        <is>
          <t>Normal</t>
        </is>
      </c>
      <c r="G295" s="9" t="inlineStr">
        <is>
          <t>CAB</t>
        </is>
      </c>
      <c r="H295" s="11" t="inlineStr">
        <is>
          <t>Requested</t>
        </is>
      </c>
      <c r="I295" s="10" t="n"/>
      <c r="J295" s="10" t="inlineStr">
        <is>
          <t>Yes</t>
        </is>
      </c>
      <c r="K295" s="10" t="inlineStr">
        <is>
          <t>FWD</t>
        </is>
      </c>
    </row>
    <row r="296" ht="18" customHeight="1" s="104">
      <c r="A296" s="74" t="inlineStr">
        <is>
          <t>806</t>
        </is>
      </c>
      <c r="B296" s="69" t="inlineStr">
        <is>
          <t>32804576</t>
        </is>
      </c>
      <c r="C296" s="8" t="inlineStr">
        <is>
          <t>CAB - NO CALL BACK - COCKPIT F/O WASTE DOOR COCKPIT F/O WASTE DOOR MAKE NOISY SOUND</t>
        </is>
      </c>
      <c r="D296" s="9" t="inlineStr">
        <is>
          <t>FLIGHT DECK</t>
        </is>
      </c>
      <c r="E296" s="10" t="inlineStr">
        <is>
          <t>Closed</t>
        </is>
      </c>
      <c r="F296" s="10" t="inlineStr">
        <is>
          <t>Normal</t>
        </is>
      </c>
      <c r="G296" s="9" t="inlineStr">
        <is>
          <t>CAB</t>
        </is>
      </c>
      <c r="H296" s="11" t="inlineStr">
        <is>
          <t>N/R</t>
        </is>
      </c>
      <c r="I296" s="10" t="n"/>
      <c r="J296" s="10" t="inlineStr">
        <is>
          <t>Yes</t>
        </is>
      </c>
      <c r="K296" s="10" t="inlineStr">
        <is>
          <t>FWD</t>
        </is>
      </c>
    </row>
    <row r="297" ht="18" customHeight="1" s="104">
      <c r="A297" s="74" t="inlineStr">
        <is>
          <t>807</t>
        </is>
      </c>
      <c r="B297" s="69" t="inlineStr">
        <is>
          <t>32804577</t>
        </is>
      </c>
      <c r="C297" s="8" t="inlineStr">
        <is>
          <t>CAB - NO CALL BACK - COCKPIT CAPTAIN SEAT COCKPIT CAPTAIN SEAT AFT SHROUD MISSING SCREW</t>
        </is>
      </c>
      <c r="D297" s="9" t="inlineStr">
        <is>
          <t>FLIGHT DECK</t>
        </is>
      </c>
      <c r="E297" s="10" t="inlineStr">
        <is>
          <t>Closed</t>
        </is>
      </c>
      <c r="F297" s="10" t="inlineStr">
        <is>
          <t>Normal</t>
        </is>
      </c>
      <c r="G297" s="9" t="inlineStr">
        <is>
          <t>CAB</t>
        </is>
      </c>
      <c r="H297" s="11" t="inlineStr">
        <is>
          <t>Requested</t>
        </is>
      </c>
      <c r="I297" s="10" t="n"/>
      <c r="J297" s="10" t="inlineStr">
        <is>
          <t>Yes</t>
        </is>
      </c>
      <c r="K297" s="10" t="inlineStr">
        <is>
          <t>FWD</t>
        </is>
      </c>
    </row>
    <row r="298" ht="18" customHeight="1" s="104">
      <c r="A298" s="74" t="inlineStr">
        <is>
          <t>826</t>
        </is>
      </c>
      <c r="B298" s="69" t="inlineStr">
        <is>
          <t>32817167</t>
        </is>
      </c>
      <c r="C298" s="8" t="inlineStr">
        <is>
          <t>PAX DOOR LINING FWD R/H PAX DOOR SUPPORT ARM LINING REQ PNT</t>
        </is>
      </c>
      <c r="D298" s="9" t="inlineStr">
        <is>
          <t>PAX DOORS</t>
        </is>
      </c>
      <c r="E298" s="10" t="inlineStr">
        <is>
          <t>Open</t>
        </is>
      </c>
      <c r="F298" s="10" t="inlineStr">
        <is>
          <t>Normal</t>
        </is>
      </c>
      <c r="G298" s="9" t="inlineStr">
        <is>
          <t>PAINT</t>
        </is>
      </c>
      <c r="H298" s="11" t="n"/>
      <c r="I298" s="10" t="n"/>
      <c r="J298" s="10" t="n"/>
      <c r="K298" s="10" t="inlineStr">
        <is>
          <t>FWD</t>
        </is>
      </c>
    </row>
    <row r="299" ht="18" customHeight="1" s="104">
      <c r="A299" s="74" t="inlineStr">
        <is>
          <t>827</t>
        </is>
      </c>
      <c r="B299" s="69" t="inlineStr">
        <is>
          <t>32817204</t>
        </is>
      </c>
      <c r="C299" s="8" t="inlineStr">
        <is>
          <t>PAX DOOR LINING FWD L/H PAX DOOR SUPPORT ARM LINING REQ PNT</t>
        </is>
      </c>
      <c r="D299" s="9" t="inlineStr">
        <is>
          <t>PAX DOORS</t>
        </is>
      </c>
      <c r="E299" s="10" t="inlineStr">
        <is>
          <t>Open</t>
        </is>
      </c>
      <c r="F299" s="10" t="inlineStr">
        <is>
          <t>Normal</t>
        </is>
      </c>
      <c r="G299" s="9" t="inlineStr">
        <is>
          <t>PAINT</t>
        </is>
      </c>
      <c r="H299" s="11" t="n"/>
      <c r="I299" s="10" t="n"/>
      <c r="J299" s="10" t="n"/>
      <c r="K299" s="10" t="inlineStr">
        <is>
          <t>FWD</t>
        </is>
      </c>
    </row>
    <row r="300" ht="18" customHeight="1" s="104">
      <c r="A300" s="74" t="inlineStr">
        <is>
          <t>828</t>
        </is>
      </c>
      <c r="B300" s="69" t="inlineStr">
        <is>
          <t>32817224</t>
        </is>
      </c>
      <c r="C300" s="8" t="inlineStr">
        <is>
          <t>PAX DOOR LINING AFT L/H PAX DOOR SUPPORT ARM LINING REQ PNT</t>
        </is>
      </c>
      <c r="D300" s="9" t="inlineStr">
        <is>
          <t>PAX DOORS</t>
        </is>
      </c>
      <c r="E300" s="10" t="inlineStr">
        <is>
          <t>Open</t>
        </is>
      </c>
      <c r="F300" s="10" t="inlineStr">
        <is>
          <t>Normal</t>
        </is>
      </c>
      <c r="G300" s="9" t="inlineStr">
        <is>
          <t>PAINT</t>
        </is>
      </c>
      <c r="H300" s="11" t="n"/>
      <c r="I300" s="10" t="n"/>
      <c r="J300" s="10" t="n"/>
      <c r="K300" s="10" t="inlineStr">
        <is>
          <t>AFT</t>
        </is>
      </c>
    </row>
    <row r="301" ht="18" customHeight="1" s="104">
      <c r="A301" s="74" t="inlineStr">
        <is>
          <t>829</t>
        </is>
      </c>
      <c r="B301" s="69" t="inlineStr">
        <is>
          <t>32817230</t>
        </is>
      </c>
      <c r="C301" s="8" t="inlineStr">
        <is>
          <t>PAX DOOR LINING ALL PAX DOOR SLIDE COVER REQ PNT</t>
        </is>
      </c>
      <c r="D301" s="9" t="inlineStr">
        <is>
          <t>PAX DOORS</t>
        </is>
      </c>
      <c r="E301" s="10" t="inlineStr">
        <is>
          <t>Open</t>
        </is>
      </c>
      <c r="F301" s="10" t="inlineStr">
        <is>
          <t>Normal</t>
        </is>
      </c>
      <c r="G301" s="9" t="inlineStr">
        <is>
          <t>PAINT</t>
        </is>
      </c>
      <c r="H301" s="11" t="n"/>
      <c r="I301" s="10" t="n"/>
      <c r="J301" s="10" t="n"/>
      <c r="K301" s="10" t="inlineStr">
        <is>
          <t>JOINT</t>
        </is>
      </c>
    </row>
    <row r="302" ht="18" customHeight="1" s="104">
      <c r="A302" s="74" t="inlineStr">
        <is>
          <t>839</t>
        </is>
      </c>
      <c r="B302" s="69" t="inlineStr">
        <is>
          <t>32823153</t>
        </is>
      </c>
      <c r="C302" s="8" t="inlineStr">
        <is>
          <t>CAB - RII -L2 F/A L2 F/A REMOVED FOR ACCESS</t>
        </is>
      </c>
      <c r="D302" s="9" t="inlineStr">
        <is>
          <t>F/A SEAT</t>
        </is>
      </c>
      <c r="E302" s="10" t="inlineStr">
        <is>
          <t>Open</t>
        </is>
      </c>
      <c r="F302" s="10" t="inlineStr">
        <is>
          <t>Normal</t>
        </is>
      </c>
      <c r="G302" s="9" t="inlineStr">
        <is>
          <t>CAB</t>
        </is>
      </c>
      <c r="H302" s="11" t="n"/>
      <c r="I302" s="10" t="n"/>
      <c r="J302" s="10" t="n"/>
      <c r="K302" s="10" t="inlineStr">
        <is>
          <t>AFT</t>
        </is>
      </c>
    </row>
    <row r="303" ht="18" customHeight="1" s="104">
      <c r="A303" s="74" t="inlineStr">
        <is>
          <t>840</t>
        </is>
      </c>
      <c r="B303" s="69" t="inlineStr">
        <is>
          <t>32823140</t>
        </is>
      </c>
      <c r="C303" s="8" t="inlineStr">
        <is>
          <t>AV - NO CALL BACK REMOVE ELECTRICAL WIRE  B/C SEAT  5A , 5L</t>
        </is>
      </c>
      <c r="D303" s="9" t="inlineStr">
        <is>
          <t>PAX SEAT</t>
        </is>
      </c>
      <c r="E303" s="10" t="inlineStr">
        <is>
          <t>Open</t>
        </is>
      </c>
      <c r="F303" s="10" t="inlineStr">
        <is>
          <t>Normal</t>
        </is>
      </c>
      <c r="G303" s="9" t="inlineStr">
        <is>
          <t>AV</t>
        </is>
      </c>
      <c r="H303" s="11" t="n"/>
      <c r="I303" s="10" t="n"/>
      <c r="J303" s="10" t="n"/>
      <c r="K303" s="10" t="inlineStr">
        <is>
          <t>JOINT</t>
        </is>
      </c>
    </row>
    <row r="304" ht="18" customHeight="1" s="104">
      <c r="A304" s="74" t="inlineStr">
        <is>
          <t>841</t>
        </is>
      </c>
      <c r="B304" s="69" t="inlineStr">
        <is>
          <t>32823160</t>
        </is>
      </c>
      <c r="C304" s="8" t="inlineStr">
        <is>
          <t>AV - NO CALL BACK REMOVE ELECTRICAL WIRE  SEAT 30ABC  TO 34ABC .</t>
        </is>
      </c>
      <c r="D304" s="9" t="inlineStr">
        <is>
          <t>PAX SEAT</t>
        </is>
      </c>
      <c r="E304" s="10" t="inlineStr">
        <is>
          <t>Open</t>
        </is>
      </c>
      <c r="F304" s="10" t="inlineStr">
        <is>
          <t>Normal</t>
        </is>
      </c>
      <c r="G304" s="9" t="inlineStr">
        <is>
          <t>AV</t>
        </is>
      </c>
      <c r="H304" s="11" t="n"/>
      <c r="I304" s="10" t="n"/>
      <c r="J304" s="10" t="n"/>
      <c r="K304" s="10" t="inlineStr">
        <is>
          <t>JOINT</t>
        </is>
      </c>
    </row>
    <row r="305" ht="18" customHeight="1" s="104">
      <c r="A305" s="74" t="inlineStr">
        <is>
          <t>842</t>
        </is>
      </c>
      <c r="B305" s="69" t="inlineStr">
        <is>
          <t>32823162</t>
        </is>
      </c>
      <c r="C305" s="8" t="inlineStr">
        <is>
          <t>AV - NO CALL BACK REMOVE ELECTRICAL WIRE  SEAT  30JKL TO 34JKL .</t>
        </is>
      </c>
      <c r="D305" s="9" t="inlineStr">
        <is>
          <t>PAX SEAT</t>
        </is>
      </c>
      <c r="E305" s="10" t="inlineStr">
        <is>
          <t>Open</t>
        </is>
      </c>
      <c r="F305" s="10" t="inlineStr">
        <is>
          <t>Normal</t>
        </is>
      </c>
      <c r="G305" s="9" t="inlineStr">
        <is>
          <t>AV</t>
        </is>
      </c>
      <c r="H305" s="11" t="n"/>
      <c r="I305" s="10" t="n"/>
      <c r="J305" s="10" t="n"/>
      <c r="K305" s="10" t="inlineStr">
        <is>
          <t>JOINT</t>
        </is>
      </c>
    </row>
    <row r="306" ht="36.75" customHeight="1" s="104">
      <c r="A306" s="74" t="inlineStr">
        <is>
          <t>843</t>
        </is>
      </c>
      <c r="B306" s="69" t="inlineStr">
        <is>
          <t>32823272</t>
        </is>
      </c>
      <c r="C306" s="92" t="inlineStr">
        <is>
          <t>CAB-CALL BACK SEAT#5JL,5AC,30ABC,31ABC,32ABC,33ABC34ABC,30JKL,31JKL.32JKL,33JKL&amp;34JKL REQ    REMOVAL  SEAT`S FOR ACCESS.</t>
        </is>
      </c>
      <c r="D306" s="9" t="inlineStr">
        <is>
          <t>PAX SEAT</t>
        </is>
      </c>
      <c r="E306" s="10" t="inlineStr">
        <is>
          <t>In Progress</t>
        </is>
      </c>
      <c r="F306" s="10" t="inlineStr">
        <is>
          <t>Normal</t>
        </is>
      </c>
      <c r="G306" s="9" t="inlineStr">
        <is>
          <t>CAB</t>
        </is>
      </c>
      <c r="H306" s="11" t="n"/>
      <c r="I306" s="91" t="inlineStr">
        <is>
          <t>INSTALLATION IW</t>
        </is>
      </c>
      <c r="J306" s="10" t="n"/>
      <c r="K306" s="10" t="inlineStr">
        <is>
          <t>JOINT</t>
        </is>
      </c>
    </row>
    <row r="307" ht="18" customHeight="1" s="104">
      <c r="A307" s="74" t="n">
        <v>852</v>
      </c>
      <c r="B307" s="69" t="n">
        <v>32824863</v>
      </c>
      <c r="C307" s="8" t="inlineStr">
        <is>
          <t>CAB - NO CALLBACK - SIDEWALL SIDEWALL SPLINE AT 1AC -  B/C SHIFTED DOWNWARD.</t>
        </is>
      </c>
      <c r="D307" s="9" t="inlineStr">
        <is>
          <t>TEDLAR/SIDEWALL</t>
        </is>
      </c>
      <c r="E307" s="10" t="inlineStr">
        <is>
          <t>Closed</t>
        </is>
      </c>
      <c r="F307" s="10" t="inlineStr">
        <is>
          <t>Normal</t>
        </is>
      </c>
      <c r="G307" s="9" t="inlineStr">
        <is>
          <t>CAB</t>
        </is>
      </c>
      <c r="H307" s="11" t="inlineStr">
        <is>
          <t>N/R</t>
        </is>
      </c>
      <c r="I307" s="10" t="n"/>
      <c r="J307" s="10" t="inlineStr">
        <is>
          <t>Yes</t>
        </is>
      </c>
      <c r="K307" s="10" t="inlineStr">
        <is>
          <t>FWD</t>
        </is>
      </c>
    </row>
    <row r="308" ht="18" customHeight="1" s="104">
      <c r="A308" s="74" t="n">
        <v>866</v>
      </c>
      <c r="B308" s="69" t="n">
        <v>32825358</v>
      </c>
      <c r="C308" s="8" t="inlineStr">
        <is>
          <t>PAX DOOR LINING FWD R/H AND L/H PAX DOOR ALL LINING REQ PNT</t>
        </is>
      </c>
      <c r="D308" s="9" t="inlineStr">
        <is>
          <t>PAX DOORS</t>
        </is>
      </c>
      <c r="E308" s="10" t="inlineStr">
        <is>
          <t>Open</t>
        </is>
      </c>
      <c r="F308" s="10" t="inlineStr">
        <is>
          <t>Normal</t>
        </is>
      </c>
      <c r="G308" s="9" t="inlineStr">
        <is>
          <t>PAINT</t>
        </is>
      </c>
      <c r="H308" s="11" t="n"/>
      <c r="I308" s="10" t="n"/>
      <c r="J308" s="10" t="n"/>
      <c r="K308" s="10" t="inlineStr">
        <is>
          <t>FWD</t>
        </is>
      </c>
    </row>
    <row r="309" ht="18" customHeight="1" s="104">
      <c r="A309" s="74" t="n">
        <v>867</v>
      </c>
      <c r="B309" s="69" t="n">
        <v>32825368</v>
      </c>
      <c r="C309" s="8" t="inlineStr">
        <is>
          <t>PAX DOOR LINING AFT R/H AND L/H PAX DOOR ALL LINING REQ PNT</t>
        </is>
      </c>
      <c r="D309" s="9" t="inlineStr">
        <is>
          <t>PAX DOORS</t>
        </is>
      </c>
      <c r="E309" s="10" t="inlineStr">
        <is>
          <t>Open</t>
        </is>
      </c>
      <c r="F309" s="10" t="inlineStr">
        <is>
          <t>Normal</t>
        </is>
      </c>
      <c r="G309" s="9" t="inlineStr">
        <is>
          <t>PAINT</t>
        </is>
      </c>
      <c r="H309" s="11" t="n"/>
      <c r="I309" s="10" t="n"/>
      <c r="J309" s="10" t="n"/>
      <c r="K309" s="10" t="inlineStr">
        <is>
          <t>AFT</t>
        </is>
      </c>
    </row>
    <row r="310" ht="18" customHeight="1" s="104">
      <c r="A310" s="74" t="n">
        <v>869</v>
      </c>
      <c r="B310" s="69" t="n">
        <v>32825361</v>
      </c>
      <c r="C310" s="8" t="inlineStr">
        <is>
          <t>FINDING (NRC) TASKCARD 25-SVA-03 (00) / ITEM ONE B/C SEAT# 1AC,2AC,3AC,4AC,5CJ FOOD TRAY DOOR - SHROUD ASSEMBLY BROKEN</t>
        </is>
      </c>
      <c r="D310" s="9" t="inlineStr">
        <is>
          <t>PAX SEAT</t>
        </is>
      </c>
      <c r="E310" s="10" t="inlineStr">
        <is>
          <t>Open</t>
        </is>
      </c>
      <c r="F310" s="10" t="inlineStr">
        <is>
          <t>Normal</t>
        </is>
      </c>
      <c r="G310" s="9" t="inlineStr">
        <is>
          <t>SEAT</t>
        </is>
      </c>
      <c r="H310" s="11" t="n"/>
      <c r="I310" s="10" t="n"/>
      <c r="J310" s="10" t="n"/>
      <c r="K310" s="10" t="n"/>
    </row>
    <row r="311" ht="18" customHeight="1" s="104">
      <c r="A311" s="74" t="n">
        <v>870</v>
      </c>
      <c r="B311" s="69" t="n">
        <v>32825385</v>
      </c>
      <c r="C311" s="8" t="inlineStr">
        <is>
          <t>FINDING (NRC) TASKCARD 25-SVA-03 (00) / ITEM ONE B/C SEAT# 1ACL,3C,4L OVERRIDE - MANUAL  BROKEN</t>
        </is>
      </c>
      <c r="D311" s="9" t="inlineStr">
        <is>
          <t>PAX SEAT</t>
        </is>
      </c>
      <c r="E311" s="10" t="inlineStr">
        <is>
          <t>Open</t>
        </is>
      </c>
      <c r="F311" s="10" t="inlineStr">
        <is>
          <t>Normal</t>
        </is>
      </c>
      <c r="G311" s="9" t="inlineStr">
        <is>
          <t>SEAT</t>
        </is>
      </c>
      <c r="H311" s="11" t="n"/>
      <c r="I311" s="10" t="n"/>
      <c r="J311" s="10" t="n"/>
      <c r="K311" s="10" t="n"/>
    </row>
    <row r="312" ht="18" customHeight="1" s="104">
      <c r="A312" s="74" t="n">
        <v>871</v>
      </c>
      <c r="B312" s="69" t="n">
        <v>32825434</v>
      </c>
      <c r="C312" s="8" t="inlineStr">
        <is>
          <t>FINDING (NRC) TASKCARD 25-SVA-03 (00) / ITEM ONE B/C SEAT# 1ACJL,2C,3ACJ,5CJL ARMREST LOOSE</t>
        </is>
      </c>
      <c r="D312" s="9" t="inlineStr">
        <is>
          <t>PAX SEAT</t>
        </is>
      </c>
      <c r="E312" s="10" t="inlineStr">
        <is>
          <t>Open</t>
        </is>
      </c>
      <c r="F312" s="10" t="inlineStr">
        <is>
          <t>Normal</t>
        </is>
      </c>
      <c r="G312" s="9" t="inlineStr">
        <is>
          <t>SEAT</t>
        </is>
      </c>
      <c r="H312" s="11" t="n"/>
      <c r="I312" s="10" t="n"/>
      <c r="J312" s="10" t="n"/>
      <c r="K312" s="10" t="n"/>
    </row>
    <row r="313" ht="18" customHeight="1" s="104">
      <c r="A313" s="74" t="n">
        <v>875</v>
      </c>
      <c r="B313" s="69" t="n">
        <v>32825488</v>
      </c>
      <c r="C313" s="8" t="inlineStr">
        <is>
          <t>CAB - NO CALLBACK - FWD GALLEY FWD GALLEY G2 MODULE COMPT. 209 DOOR HINGE LOOSE.</t>
        </is>
      </c>
      <c r="D313" s="9" t="inlineStr">
        <is>
          <t>GALLEY</t>
        </is>
      </c>
      <c r="E313" s="10" t="inlineStr">
        <is>
          <t>Closed</t>
        </is>
      </c>
      <c r="F313" s="10" t="inlineStr">
        <is>
          <t>Normal</t>
        </is>
      </c>
      <c r="G313" s="9" t="inlineStr">
        <is>
          <t>CAB</t>
        </is>
      </c>
      <c r="H313" s="11" t="inlineStr">
        <is>
          <t>N/R</t>
        </is>
      </c>
      <c r="I313" s="10" t="n"/>
      <c r="J313" s="10" t="inlineStr">
        <is>
          <t>Yes</t>
        </is>
      </c>
      <c r="K313" s="10" t="inlineStr">
        <is>
          <t>FWD</t>
        </is>
      </c>
    </row>
    <row r="314" ht="18" customHeight="1" s="104">
      <c r="A314" s="74" t="n">
        <v>876</v>
      </c>
      <c r="B314" s="69" t="n">
        <v>32825451</v>
      </c>
      <c r="C314" s="8" t="inlineStr">
        <is>
          <t>FINDING (NRC) TASKCARD 25-SVA-03 (00) / ITEM ONE B/C SEAT# 4J,5C RUBSTRIP - FRONT BROKEN</t>
        </is>
      </c>
      <c r="D314" s="9" t="inlineStr">
        <is>
          <t>PAX SEAT</t>
        </is>
      </c>
      <c r="E314" s="10" t="inlineStr">
        <is>
          <t>Open</t>
        </is>
      </c>
      <c r="F314" s="10" t="inlineStr">
        <is>
          <t>Normal</t>
        </is>
      </c>
      <c r="G314" s="9" t="inlineStr">
        <is>
          <t>SEAT</t>
        </is>
      </c>
      <c r="H314" s="11" t="n"/>
      <c r="I314" s="10" t="n"/>
      <c r="J314" s="10" t="n"/>
      <c r="K314" s="10" t="n"/>
    </row>
    <row r="315" ht="18" customHeight="1" s="104">
      <c r="A315" s="74" t="n">
        <v>877</v>
      </c>
      <c r="B315" s="69" t="n">
        <v>32825594</v>
      </c>
      <c r="C315" s="8" t="inlineStr">
        <is>
          <t>FINDING (NRC) TASKCARD 25-SVA-03 (00) / ITEM ONE B/C SEAT# 1J  RUBSTRIP - SHELL BROKEN</t>
        </is>
      </c>
      <c r="D315" s="9" t="inlineStr">
        <is>
          <t>PAX SEAT</t>
        </is>
      </c>
      <c r="E315" s="10" t="inlineStr">
        <is>
          <t>Open</t>
        </is>
      </c>
      <c r="F315" s="10" t="inlineStr">
        <is>
          <t>Normal</t>
        </is>
      </c>
      <c r="G315" s="9" t="inlineStr">
        <is>
          <t>SEAT</t>
        </is>
      </c>
      <c r="H315" s="11" t="n"/>
      <c r="I315" s="10" t="n"/>
      <c r="J315" s="10" t="n"/>
      <c r="K315" s="10" t="n"/>
    </row>
    <row r="316" ht="18" customHeight="1" s="104">
      <c r="A316" s="74" t="n">
        <v>878</v>
      </c>
      <c r="B316" s="69" t="n">
        <v>32825599</v>
      </c>
      <c r="C316" s="8" t="inlineStr">
        <is>
          <t>FINDING (NRC) TASKCARD 25-SVA-03 (00) / ITEM ONE B/C SEAT# 1C,5A PANEL ASSEMBLY - ACCESS CRACK</t>
        </is>
      </c>
      <c r="D316" s="9" t="inlineStr">
        <is>
          <t>PAX SEAT</t>
        </is>
      </c>
      <c r="E316" s="10" t="inlineStr">
        <is>
          <t>Open</t>
        </is>
      </c>
      <c r="F316" s="10" t="inlineStr">
        <is>
          <t>Normal</t>
        </is>
      </c>
      <c r="G316" s="9" t="inlineStr">
        <is>
          <t>SEAT</t>
        </is>
      </c>
      <c r="H316" s="11" t="n"/>
      <c r="I316" s="10" t="n"/>
      <c r="J316" s="10" t="n"/>
      <c r="K316" s="10" t="n"/>
    </row>
    <row r="317" ht="18" customHeight="1" s="104">
      <c r="A317" s="74" t="n">
        <v>879</v>
      </c>
      <c r="B317" s="69" t="n">
        <v>32825631</v>
      </c>
      <c r="C317" s="8" t="inlineStr">
        <is>
          <t>CAB - NO CALLBACK - LAV A "LAVATORY A" AIR VENTILATION HOOD FOUND BROKEN.</t>
        </is>
      </c>
      <c r="D317" s="9" t="inlineStr">
        <is>
          <t>LAVATORY</t>
        </is>
      </c>
      <c r="E317" s="10" t="inlineStr">
        <is>
          <t>Closed</t>
        </is>
      </c>
      <c r="F317" s="10" t="inlineStr">
        <is>
          <t>Normal</t>
        </is>
      </c>
      <c r="G317" s="9" t="inlineStr">
        <is>
          <t>CAB</t>
        </is>
      </c>
      <c r="H317" s="11" t="inlineStr">
        <is>
          <t>Requested</t>
        </is>
      </c>
      <c r="I317" s="10" t="n"/>
      <c r="J317" s="10" t="inlineStr">
        <is>
          <t>Yes</t>
        </is>
      </c>
      <c r="K317" s="10" t="inlineStr">
        <is>
          <t>FWD</t>
        </is>
      </c>
    </row>
    <row r="318" ht="18" customHeight="1" s="104">
      <c r="A318" s="74" t="n">
        <v>880</v>
      </c>
      <c r="B318" s="69" t="n">
        <v>32825612</v>
      </c>
      <c r="C318" s="8" t="inlineStr">
        <is>
          <t>FINDING (NRC) TASKCARD 25-SVA-03 (00) / ITEM ONE B/C SEAT# 1A SEAT CLOSEOUT ASSEMBLY MISSING</t>
        </is>
      </c>
      <c r="D318" s="9" t="inlineStr">
        <is>
          <t>PAX SEAT</t>
        </is>
      </c>
      <c r="E318" s="10" t="inlineStr">
        <is>
          <t>Open</t>
        </is>
      </c>
      <c r="F318" s="10" t="inlineStr">
        <is>
          <t>Normal</t>
        </is>
      </c>
      <c r="G318" s="9" t="inlineStr">
        <is>
          <t>SEAT</t>
        </is>
      </c>
      <c r="H318" s="11" t="n"/>
      <c r="I318" s="10" t="n"/>
      <c r="J318" s="10" t="n"/>
      <c r="K318" s="10" t="n"/>
    </row>
    <row r="319" ht="18" customHeight="1" s="104">
      <c r="A319" s="74" t="n">
        <v>881</v>
      </c>
      <c r="B319" s="69" t="n">
        <v>32825658</v>
      </c>
      <c r="C319" s="8" t="inlineStr">
        <is>
          <t>FINDING (NRC) TASKCARD 25-SVA-03 (00) / ITEM ONE ALL B/C SEAT LANYARD AND PIN - DETENT  MISSING</t>
        </is>
      </c>
      <c r="D319" s="9" t="inlineStr">
        <is>
          <t>PAX SEAT</t>
        </is>
      </c>
      <c r="E319" s="10" t="inlineStr">
        <is>
          <t>Open</t>
        </is>
      </c>
      <c r="F319" s="10" t="inlineStr">
        <is>
          <t>Normal</t>
        </is>
      </c>
      <c r="G319" s="9" t="inlineStr">
        <is>
          <t>SEAT</t>
        </is>
      </c>
      <c r="H319" s="11" t="n"/>
      <c r="I319" s="10" t="n"/>
      <c r="J319" s="10" t="n"/>
      <c r="K319" s="10" t="n"/>
    </row>
    <row r="320" ht="18" customHeight="1" s="104">
      <c r="A320" s="74" t="n">
        <v>882</v>
      </c>
      <c r="B320" s="69" t="n">
        <v>32825968</v>
      </c>
      <c r="C320" s="8" t="inlineStr">
        <is>
          <t>FINDING (NRC) TASKCARD 2521000103-001 (04) / ITEM-1 ALL B/C SEAT BELT DIRTY</t>
        </is>
      </c>
      <c r="D320" s="9" t="inlineStr">
        <is>
          <t>PAX SEAT</t>
        </is>
      </c>
      <c r="E320" s="10" t="inlineStr">
        <is>
          <t>Open</t>
        </is>
      </c>
      <c r="F320" s="10" t="inlineStr">
        <is>
          <t>Normal</t>
        </is>
      </c>
      <c r="G320" s="9" t="inlineStr">
        <is>
          <t>SEAT</t>
        </is>
      </c>
      <c r="H320" s="11" t="n"/>
      <c r="I320" s="10" t="n"/>
      <c r="J320" s="10" t="n"/>
      <c r="K320" s="10" t="n"/>
    </row>
    <row r="321" ht="18" customHeight="1" s="104">
      <c r="A321" s="74" t="n">
        <v>883</v>
      </c>
      <c r="B321" s="69" t="n">
        <v>32825978</v>
      </c>
      <c r="C321" s="8" t="inlineStr">
        <is>
          <t>FINDING (NRC) TASKCARD 25-SVA-03 (00) / ITEM ONE ALL B/C SEAT ARMCAP AISLE AND CTR DIRTY</t>
        </is>
      </c>
      <c r="D321" s="9" t="inlineStr">
        <is>
          <t>PAX SEAT</t>
        </is>
      </c>
      <c r="E321" s="10" t="inlineStr">
        <is>
          <t>Open</t>
        </is>
      </c>
      <c r="F321" s="10" t="inlineStr">
        <is>
          <t>Normal</t>
        </is>
      </c>
      <c r="G321" s="9" t="inlineStr">
        <is>
          <t>SEAT</t>
        </is>
      </c>
      <c r="H321" s="11" t="n"/>
      <c r="I321" s="10" t="n"/>
      <c r="J321" s="10" t="n"/>
      <c r="K321" s="10" t="n"/>
    </row>
    <row r="322" ht="18" customHeight="1" s="104">
      <c r="A322" s="74" t="n">
        <v>884</v>
      </c>
      <c r="B322" s="69" t="n">
        <v>32825996</v>
      </c>
      <c r="C322" s="8" t="inlineStr">
        <is>
          <t>FINDING (NRC) TASKCARD 25-SVA-03 (00) / ITEM ONE ALL B/C SEAT STRUCTURE  DIRTY</t>
        </is>
      </c>
      <c r="D322" s="9" t="inlineStr">
        <is>
          <t>PAX SEAT</t>
        </is>
      </c>
      <c r="E322" s="10" t="inlineStr">
        <is>
          <t>Open</t>
        </is>
      </c>
      <c r="F322" s="10" t="inlineStr">
        <is>
          <t>Normal</t>
        </is>
      </c>
      <c r="G322" s="9" t="inlineStr">
        <is>
          <t>SEAT</t>
        </is>
      </c>
      <c r="H322" s="11" t="n"/>
      <c r="I322" s="10" t="n"/>
      <c r="J322" s="10" t="n"/>
      <c r="K322" s="10" t="n"/>
    </row>
    <row r="323" ht="18" customHeight="1" s="104">
      <c r="A323" s="74" t="n">
        <v>885</v>
      </c>
      <c r="B323" s="69" t="n">
        <v>32826054</v>
      </c>
      <c r="C323" s="8" t="inlineStr">
        <is>
          <t>FINDING (NRC) TASKCARD 25-SVA-03 (00) / ITEM ONE ALL B/C SEAT HEADREST REQUIRED REMOVAL FOR ACCESS</t>
        </is>
      </c>
      <c r="D323" s="9" t="inlineStr">
        <is>
          <t>PAX SEAT</t>
        </is>
      </c>
      <c r="E323" s="10" t="inlineStr">
        <is>
          <t>Open</t>
        </is>
      </c>
      <c r="F323" s="10" t="inlineStr">
        <is>
          <t>Normal</t>
        </is>
      </c>
      <c r="G323" s="9" t="inlineStr">
        <is>
          <t>SEAT</t>
        </is>
      </c>
      <c r="H323" s="11" t="n"/>
      <c r="I323" s="10" t="n"/>
      <c r="J323" s="10" t="n"/>
      <c r="K323" s="10" t="n"/>
    </row>
    <row r="324" ht="18" customHeight="1" s="104">
      <c r="A324" s="74" t="n">
        <v>886</v>
      </c>
      <c r="B324" s="69" t="n">
        <v>32826162</v>
      </c>
      <c r="C324" s="8" t="inlineStr">
        <is>
          <t>FINDING (NRC) TASKCARD 25-SVA-05 (00) / ITEM ONE ALL G/C SEAT MAGAZINE SPRING LOOSE</t>
        </is>
      </c>
      <c r="D324" s="9" t="inlineStr">
        <is>
          <t>PAX SEAT</t>
        </is>
      </c>
      <c r="E324" s="10" t="inlineStr">
        <is>
          <t>Open</t>
        </is>
      </c>
      <c r="F324" s="10" t="inlineStr">
        <is>
          <t>Normal</t>
        </is>
      </c>
      <c r="G324" s="9" t="inlineStr">
        <is>
          <t>SEAT</t>
        </is>
      </c>
      <c r="H324" s="11" t="n"/>
      <c r="I324" s="10" t="n"/>
      <c r="J324" s="10" t="n"/>
      <c r="K324" s="10" t="n"/>
    </row>
    <row r="325" ht="18" customHeight="1" s="104">
      <c r="A325" s="74" t="n">
        <v>887</v>
      </c>
      <c r="B325" s="69" t="n">
        <v>32826217</v>
      </c>
      <c r="C325" s="8" t="inlineStr">
        <is>
          <t>FINDING (NRC) TASKCARD 25-SVA-05 (00) / ITEM ONE ALL G/C SEAT STRUCTURE DIRTY</t>
        </is>
      </c>
      <c r="D325" s="9" t="inlineStr">
        <is>
          <t>PAX SEAT</t>
        </is>
      </c>
      <c r="E325" s="10" t="inlineStr">
        <is>
          <t>Open</t>
        </is>
      </c>
      <c r="F325" s="10" t="inlineStr">
        <is>
          <t>Normal</t>
        </is>
      </c>
      <c r="G325" s="9" t="inlineStr">
        <is>
          <t>SEAT</t>
        </is>
      </c>
      <c r="H325" s="11" t="n"/>
      <c r="I325" s="10" t="n"/>
      <c r="J325" s="10" t="n"/>
      <c r="K325" s="10" t="n"/>
    </row>
    <row r="326" ht="18" customHeight="1" s="104">
      <c r="A326" s="74" t="n">
        <v>888</v>
      </c>
      <c r="B326" s="69" t="n">
        <v>32826246</v>
      </c>
      <c r="C326" s="8" t="inlineStr">
        <is>
          <t>FINDING (NRC) TASKCARD 25-SVA-05 (00) / ITEM ONE ALL G/C SEAT ARMREST LOOSE</t>
        </is>
      </c>
      <c r="D326" s="9" t="inlineStr">
        <is>
          <t>PAX SEAT</t>
        </is>
      </c>
      <c r="E326" s="10" t="inlineStr">
        <is>
          <t>Open</t>
        </is>
      </c>
      <c r="F326" s="10" t="inlineStr">
        <is>
          <t>Normal</t>
        </is>
      </c>
      <c r="G326" s="9" t="inlineStr">
        <is>
          <t>SEAT</t>
        </is>
      </c>
      <c r="H326" s="11" t="n"/>
      <c r="I326" s="10" t="n"/>
      <c r="J326" s="10" t="n"/>
      <c r="K326" s="10" t="n"/>
    </row>
    <row r="327" ht="18" customHeight="1" s="104">
      <c r="A327" s="74" t="n">
        <v>908</v>
      </c>
      <c r="B327" s="69" t="n">
        <v>32827664</v>
      </c>
      <c r="C327" s="8" t="inlineStr">
        <is>
          <t>FINDING (NRC) TASKCARD 25-SVA-05 (00) / ITEM ONE G/C SEAT# 30B SIDE PAD CRACK</t>
        </is>
      </c>
      <c r="D327" s="9" t="inlineStr">
        <is>
          <t>PAX SEAT</t>
        </is>
      </c>
      <c r="E327" s="10" t="inlineStr">
        <is>
          <t>Open</t>
        </is>
      </c>
      <c r="F327" s="10" t="inlineStr">
        <is>
          <t>Normal</t>
        </is>
      </c>
      <c r="G327" s="9" t="inlineStr">
        <is>
          <t>SEAT</t>
        </is>
      </c>
      <c r="H327" s="11" t="n"/>
      <c r="I327" s="10" t="n"/>
      <c r="J327" s="10" t="n"/>
      <c r="K327" s="10" t="n"/>
    </row>
    <row r="328" ht="18" customHeight="1" s="104">
      <c r="A328" s="74" t="n">
        <v>909</v>
      </c>
      <c r="B328" s="69" t="n">
        <v>32827686</v>
      </c>
      <c r="C328" s="8" t="inlineStr">
        <is>
          <t>FINDING (NRC) TASKCARD 25-SVA-05 (00) / ITEM ONE ALL G/C SEAT  FOODTRAY DIRTY</t>
        </is>
      </c>
      <c r="D328" s="9" t="inlineStr">
        <is>
          <t>PAX SEAT</t>
        </is>
      </c>
      <c r="E328" s="10" t="inlineStr">
        <is>
          <t>Open</t>
        </is>
      </c>
      <c r="F328" s="10" t="inlineStr">
        <is>
          <t>Normal</t>
        </is>
      </c>
      <c r="G328" s="9" t="inlineStr">
        <is>
          <t>SEAT</t>
        </is>
      </c>
      <c r="H328" s="11" t="n"/>
      <c r="I328" s="10" t="n"/>
      <c r="J328" s="10" t="n"/>
      <c r="K328" s="10" t="n"/>
    </row>
    <row r="329" ht="18" customHeight="1" s="104">
      <c r="A329" s="74" t="n">
        <v>913</v>
      </c>
      <c r="B329" s="69" t="n">
        <v>32827700</v>
      </c>
      <c r="C329" s="8" t="inlineStr">
        <is>
          <t>FINDING (NRC) TASKCARD 25-SVA-05 (00) / ITEM ONE G/C SEAT# 37J BUMPER – ENDBAY  DAMAGE</t>
        </is>
      </c>
      <c r="D329" s="9" t="inlineStr">
        <is>
          <t>PAX SEAT</t>
        </is>
      </c>
      <c r="E329" s="10" t="inlineStr">
        <is>
          <t>Open</t>
        </is>
      </c>
      <c r="F329" s="10" t="inlineStr">
        <is>
          <t>Normal</t>
        </is>
      </c>
      <c r="G329" s="9" t="inlineStr">
        <is>
          <t>SEAT</t>
        </is>
      </c>
      <c r="H329" s="11" t="n"/>
      <c r="I329" s="10" t="n"/>
      <c r="J329" s="10" t="n"/>
      <c r="K329" s="10" t="n"/>
    </row>
    <row r="330" ht="18" customHeight="1" s="104">
      <c r="A330" s="74" t="n">
        <v>914</v>
      </c>
      <c r="B330" s="69" t="n">
        <v>32827716</v>
      </c>
      <c r="C330" s="8" t="inlineStr">
        <is>
          <t>FINDING (NRC) TASKCARD 2521000103-002 (05) / ITEM-1 ALL G/C SEAT HEADREST REQUIRE REMOVE FOR ACCESS</t>
        </is>
      </c>
      <c r="D330" s="9" t="inlineStr">
        <is>
          <t>PAX SEAT</t>
        </is>
      </c>
      <c r="E330" s="10" t="inlineStr">
        <is>
          <t>Open</t>
        </is>
      </c>
      <c r="F330" s="10" t="inlineStr">
        <is>
          <t>Normal</t>
        </is>
      </c>
      <c r="G330" s="9" t="inlineStr">
        <is>
          <t>SEAT</t>
        </is>
      </c>
      <c r="H330" s="11" t="n"/>
      <c r="I330" s="10" t="n"/>
      <c r="J330" s="10" t="n"/>
      <c r="K330" s="10" t="n"/>
    </row>
    <row r="331" ht="18" customHeight="1" s="104">
      <c r="A331" s="74" t="n">
        <v>915</v>
      </c>
      <c r="B331" s="69" t="n">
        <v>32827826</v>
      </c>
      <c r="C331" s="8" t="inlineStr">
        <is>
          <t>FINDING (NRC) TASKCARD 25-SVA-03 (00) / ITEM ONE B/C SEAT#2JL,3L,5L  LATCH - BACK MISSING</t>
        </is>
      </c>
      <c r="D331" s="9" t="inlineStr">
        <is>
          <t>PAX SEAT</t>
        </is>
      </c>
      <c r="E331" s="10" t="inlineStr">
        <is>
          <t>Open</t>
        </is>
      </c>
      <c r="F331" s="10" t="inlineStr">
        <is>
          <t>Normal</t>
        </is>
      </c>
      <c r="G331" s="9" t="inlineStr">
        <is>
          <t>SEAT</t>
        </is>
      </c>
      <c r="H331" s="11" t="n"/>
      <c r="I331" s="10" t="n"/>
      <c r="J331" s="10" t="n"/>
      <c r="K331" s="10" t="n"/>
    </row>
    <row r="332" ht="18" customHeight="1" s="104">
      <c r="A332" s="74" t="n">
        <v>916</v>
      </c>
      <c r="B332" s="69" t="n">
        <v>32828287</v>
      </c>
      <c r="C332" s="8" t="inlineStr">
        <is>
          <t>FINDING (NRC) TASKCARD DCC-32S (11) / ITEM ONE DURING DCC FOUND LAV A INNER DOOR TEDLAR DAMAGED</t>
        </is>
      </c>
      <c r="D332" s="9" t="inlineStr">
        <is>
          <t>TEDLAR/SIDEWALL</t>
        </is>
      </c>
      <c r="E332" s="10" t="inlineStr">
        <is>
          <t>Open</t>
        </is>
      </c>
      <c r="F332" s="10" t="inlineStr">
        <is>
          <t>Normal</t>
        </is>
      </c>
      <c r="G332" s="9" t="inlineStr">
        <is>
          <t>S/W</t>
        </is>
      </c>
      <c r="H332" s="11" t="n"/>
      <c r="I332" s="10" t="n"/>
      <c r="J332" s="10" t="n"/>
      <c r="K332" s="10" t="n"/>
    </row>
    <row r="333" ht="18" customHeight="1" s="104">
      <c r="A333" s="74" t="n">
        <v>917</v>
      </c>
      <c r="B333" s="69" t="n">
        <v>32828299</v>
      </c>
      <c r="C333" s="8" t="inlineStr">
        <is>
          <t>FINDING (NRC) TASKCARD DCC-32S (11) / ITEM ONE DURING DCC FOUND LAV A OUTER DOOR TEDLAR DAMAGED</t>
        </is>
      </c>
      <c r="D333" s="9" t="inlineStr">
        <is>
          <t>TEDLAR/SIDEWALL</t>
        </is>
      </c>
      <c r="E333" s="10" t="inlineStr">
        <is>
          <t>Open</t>
        </is>
      </c>
      <c r="F333" s="10" t="inlineStr">
        <is>
          <t>Normal</t>
        </is>
      </c>
      <c r="G333" s="9" t="inlineStr">
        <is>
          <t>S/W</t>
        </is>
      </c>
      <c r="H333" s="11" t="n"/>
      <c r="I333" s="10" t="n"/>
      <c r="J333" s="10" t="n"/>
      <c r="K333" s="10" t="n"/>
    </row>
    <row r="334" ht="18" customHeight="1" s="104">
      <c r="A334" s="74" t="n">
        <v>918</v>
      </c>
      <c r="B334" s="69" t="n">
        <v>32828375</v>
      </c>
      <c r="C334" s="8" t="inlineStr">
        <is>
          <t>FINDING (NRC) TASKCARD DCC-32S (11) / ITEM ONE DURING DCC FOUND UPPER SIDE OF COCKPIT DOOR OUTER SIDE TEDLAR DAMAGED</t>
        </is>
      </c>
      <c r="D334" s="9" t="inlineStr">
        <is>
          <t>TEDLAR/SIDEWALL</t>
        </is>
      </c>
      <c r="E334" s="10" t="inlineStr">
        <is>
          <t>Closed</t>
        </is>
      </c>
      <c r="F334" s="10" t="inlineStr">
        <is>
          <t>Normal</t>
        </is>
      </c>
      <c r="G334" s="9" t="inlineStr">
        <is>
          <t>S/W</t>
        </is>
      </c>
      <c r="H334" s="11" t="n"/>
      <c r="I334" s="10" t="n"/>
      <c r="J334" s="10" t="inlineStr">
        <is>
          <t>Yes</t>
        </is>
      </c>
      <c r="K334" s="10" t="n"/>
    </row>
    <row r="335" ht="18" customHeight="1" s="104">
      <c r="A335" s="74" t="n">
        <v>919</v>
      </c>
      <c r="B335" s="69" t="n">
        <v>32828382</v>
      </c>
      <c r="C335" s="8" t="inlineStr">
        <is>
          <t>FINDING (NRC) TASKCARD DCC-32S (11) / ITEM ONE DURING DCC FOUND GALLEY DOOR 210 TEDLAR DAMAGED</t>
        </is>
      </c>
      <c r="D335" s="9" t="inlineStr">
        <is>
          <t>TEDLAR/SIDEWALL</t>
        </is>
      </c>
      <c r="E335" s="10" t="inlineStr">
        <is>
          <t>Closed</t>
        </is>
      </c>
      <c r="F335" s="10" t="inlineStr">
        <is>
          <t>Normal</t>
        </is>
      </c>
      <c r="G335" s="9" t="inlineStr">
        <is>
          <t>S/W</t>
        </is>
      </c>
      <c r="H335" s="11" t="n"/>
      <c r="I335" s="10" t="n"/>
      <c r="J335" s="10" t="inlineStr">
        <is>
          <t>Yes</t>
        </is>
      </c>
      <c r="K335" s="10" t="n"/>
    </row>
    <row r="336" ht="18" customHeight="1" s="104">
      <c r="A336" s="74" t="n">
        <v>920</v>
      </c>
      <c r="B336" s="69" t="n">
        <v>32828383</v>
      </c>
      <c r="C336" s="8" t="inlineStr">
        <is>
          <t>FINDING (NRC) TASKCARD DCC-32S (11) / ITEM ONE DURING DCC FOUND GALLEY DOOR 205 TEDLAR DAMAGED</t>
        </is>
      </c>
      <c r="D336" s="9" t="inlineStr">
        <is>
          <t>TEDLAR/SIDEWALL</t>
        </is>
      </c>
      <c r="E336" s="10" t="inlineStr">
        <is>
          <t>Open</t>
        </is>
      </c>
      <c r="F336" s="10" t="inlineStr">
        <is>
          <t>Normal</t>
        </is>
      </c>
      <c r="G336" s="9" t="inlineStr">
        <is>
          <t>S/W</t>
        </is>
      </c>
      <c r="H336" s="11" t="n"/>
      <c r="I336" s="10" t="n"/>
      <c r="J336" s="10" t="n"/>
      <c r="K336" s="10" t="n"/>
    </row>
    <row r="337" ht="18" customHeight="1" s="104">
      <c r="A337" s="74" t="n">
        <v>921</v>
      </c>
      <c r="B337" s="69" t="n">
        <v>32828385</v>
      </c>
      <c r="C337" s="8" t="inlineStr">
        <is>
          <t>MACHINE SHOP FWD GALLEY AND AFT GALLEY ALL OVENS FOUND BOLTS FROZEN</t>
        </is>
      </c>
      <c r="D337" s="9" t="inlineStr">
        <is>
          <t>GALLEY</t>
        </is>
      </c>
      <c r="E337" s="10" t="inlineStr">
        <is>
          <t>Closed</t>
        </is>
      </c>
      <c r="F337" s="10" t="inlineStr">
        <is>
          <t>Normal</t>
        </is>
      </c>
      <c r="G337" s="9" t="inlineStr">
        <is>
          <t>S/M</t>
        </is>
      </c>
      <c r="H337" s="11" t="n"/>
      <c r="I337" s="10" t="n"/>
      <c r="J337" s="10" t="inlineStr">
        <is>
          <t>Yes</t>
        </is>
      </c>
      <c r="K337" s="10" t="inlineStr">
        <is>
          <t>JOINT</t>
        </is>
      </c>
    </row>
    <row r="338" ht="34.5" customHeight="1" s="104">
      <c r="A338" s="74" t="n">
        <v>922</v>
      </c>
      <c r="B338" s="69" t="n">
        <v>32828386</v>
      </c>
      <c r="C338" s="92" t="inlineStr">
        <is>
          <t>FINDING (NRC) TASKCARD DCC-32S (11) / ITEM ONE DURING DCC FOUND SIDE WALL PANEL AT SEATS 4 AC ,5 AC ,39 ABC ,40 ABC ,33 JKL ,38 JKL ,39 JKL TEDLAR DAMAGED</t>
        </is>
      </c>
      <c r="D338" s="9" t="inlineStr">
        <is>
          <t>TEDLAR/SIDEWALL</t>
        </is>
      </c>
      <c r="E338" s="10" t="inlineStr">
        <is>
          <t>Open</t>
        </is>
      </c>
      <c r="F338" s="10" t="inlineStr">
        <is>
          <t>Normal</t>
        </is>
      </c>
      <c r="G338" s="9" t="inlineStr">
        <is>
          <t>S/W</t>
        </is>
      </c>
      <c r="H338" s="11" t="n"/>
      <c r="I338" s="10" t="inlineStr">
        <is>
          <t>C/W</t>
        </is>
      </c>
      <c r="J338" s="10" t="n"/>
      <c r="K338" s="10" t="inlineStr">
        <is>
          <t>JOINT</t>
        </is>
      </c>
    </row>
    <row r="339" ht="18" customHeight="1" s="104">
      <c r="A339" s="74" t="n">
        <v>923</v>
      </c>
      <c r="B339" s="69" t="n">
        <v>32828395</v>
      </c>
      <c r="C339" s="8" t="inlineStr">
        <is>
          <t>FINDING (NRC) TASKCARD DCC-32S (11) / ITEM ONE DURING DCC FOUND FWD OUTER WALL OF LAV D TEDLAR DAMAGED</t>
        </is>
      </c>
      <c r="D339" s="9" t="inlineStr">
        <is>
          <t>TEDLAR/SIDEWALL</t>
        </is>
      </c>
      <c r="E339" s="10" t="inlineStr">
        <is>
          <t>Closed</t>
        </is>
      </c>
      <c r="F339" s="10" t="inlineStr">
        <is>
          <t>Normal</t>
        </is>
      </c>
      <c r="G339" s="9" t="inlineStr">
        <is>
          <t>S/W</t>
        </is>
      </c>
      <c r="H339" s="11" t="n"/>
      <c r="I339" s="10" t="n"/>
      <c r="J339" s="10" t="inlineStr">
        <is>
          <t>Yes</t>
        </is>
      </c>
      <c r="K339" s="10" t="n"/>
    </row>
    <row r="340" ht="18" customHeight="1" s="104">
      <c r="A340" s="74" t="n">
        <v>924</v>
      </c>
      <c r="B340" s="69" t="n">
        <v>32828415</v>
      </c>
      <c r="C340" s="8" t="inlineStr">
        <is>
          <t>FINDING (NRC) TASKCARD DCC-32S (11) / ITEM ONE DURING DCC FOUND AFT WALL OF LAV D BESIDE F/A SEAT TEDLAR DAMAGED</t>
        </is>
      </c>
      <c r="D340" s="9" t="inlineStr">
        <is>
          <t>TEDLAR/SIDEWALL</t>
        </is>
      </c>
      <c r="E340" s="10" t="inlineStr">
        <is>
          <t>Open</t>
        </is>
      </c>
      <c r="F340" s="10" t="inlineStr">
        <is>
          <t>Normal</t>
        </is>
      </c>
      <c r="G340" s="9" t="inlineStr">
        <is>
          <t>S/W</t>
        </is>
      </c>
      <c r="H340" s="11" t="n"/>
      <c r="I340" s="10" t="n"/>
      <c r="J340" s="10" t="n"/>
      <c r="K340" s="10" t="n"/>
    </row>
    <row r="341" ht="18" customHeight="1" s="104">
      <c r="A341" s="74" t="n">
        <v>925</v>
      </c>
      <c r="B341" s="69" t="n">
        <v>32829036</v>
      </c>
      <c r="C341" s="8" t="inlineStr">
        <is>
          <t>CAB - NO CALL BACK - AFT GALLEY AIR CHILLET AFT GALLEY AIR CHILLER FILTER MISSING</t>
        </is>
      </c>
      <c r="D341" s="9" t="inlineStr">
        <is>
          <t>GALLEY</t>
        </is>
      </c>
      <c r="E341" s="10" t="inlineStr">
        <is>
          <t>Closed</t>
        </is>
      </c>
      <c r="F341" s="10" t="inlineStr">
        <is>
          <t>Normal</t>
        </is>
      </c>
      <c r="G341" s="9" t="inlineStr">
        <is>
          <t>CAB</t>
        </is>
      </c>
      <c r="H341" s="11" t="inlineStr">
        <is>
          <t>Requested</t>
        </is>
      </c>
      <c r="I341" s="10" t="n"/>
      <c r="J341" s="10" t="inlineStr">
        <is>
          <t>Yes</t>
        </is>
      </c>
      <c r="K341" s="10" t="inlineStr">
        <is>
          <t>AFT</t>
        </is>
      </c>
    </row>
    <row r="342" ht="18" customHeight="1" s="104">
      <c r="A342" s="74" t="n">
        <v>929</v>
      </c>
      <c r="B342" s="69" t="n">
        <v>32830299</v>
      </c>
      <c r="C342" s="8" t="inlineStr">
        <is>
          <t>L2 DOOR SILL PANEL REQ REMOVAL FOR ACCESS</t>
        </is>
      </c>
      <c r="D342" s="9" t="inlineStr">
        <is>
          <t>PAX DOORS</t>
        </is>
      </c>
      <c r="E342" s="10" t="inlineStr">
        <is>
          <t>Closed</t>
        </is>
      </c>
      <c r="F342" s="10" t="inlineStr">
        <is>
          <t>Normal</t>
        </is>
      </c>
      <c r="G342" s="9" t="inlineStr">
        <is>
          <t>CAB</t>
        </is>
      </c>
      <c r="H342" s="11" t="n"/>
      <c r="I342" s="10" t="n"/>
      <c r="J342" s="10" t="n"/>
      <c r="K342" s="10" t="inlineStr">
        <is>
          <t>AFT</t>
        </is>
      </c>
    </row>
    <row r="343" ht="18" customHeight="1" s="104">
      <c r="A343" s="74" t="n">
        <v>931</v>
      </c>
      <c r="B343" s="69" t="n">
        <v>32830452</v>
      </c>
      <c r="C343" s="8" t="inlineStr">
        <is>
          <t>CAB - NO CALL BACK - SIDEWALL MISSING SPLINE AT 5 AC</t>
        </is>
      </c>
      <c r="D343" s="9" t="inlineStr">
        <is>
          <t>TEDLAR/SIDEWALL</t>
        </is>
      </c>
      <c r="E343" s="10" t="inlineStr">
        <is>
          <t>Closed</t>
        </is>
      </c>
      <c r="F343" s="10" t="inlineStr">
        <is>
          <t>Normal</t>
        </is>
      </c>
      <c r="G343" s="9" t="inlineStr">
        <is>
          <t>CAB</t>
        </is>
      </c>
      <c r="H343" s="11" t="n"/>
      <c r="I343" s="10" t="n"/>
      <c r="J343" s="10" t="n"/>
      <c r="K343" s="10" t="inlineStr">
        <is>
          <t>FWD</t>
        </is>
      </c>
    </row>
    <row r="344" ht="18" customHeight="1" s="104">
      <c r="A344" s="74" t="n">
        <v>932</v>
      </c>
      <c r="B344" s="69" t="n">
        <v>32830902</v>
      </c>
      <c r="C344" s="8" t="inlineStr">
        <is>
          <t>FINDING (NRC) TASKCARD 25-SVA-05 (00) / ITEM ONE G/C SEAT#37B,C,K 38A VIDEO BEZEL ASSEMBLY CRACK</t>
        </is>
      </c>
      <c r="D344" s="9" t="inlineStr">
        <is>
          <t>PAX SEAT</t>
        </is>
      </c>
      <c r="E344" s="10" t="inlineStr">
        <is>
          <t>Open</t>
        </is>
      </c>
      <c r="F344" s="10" t="inlineStr">
        <is>
          <t>Normal</t>
        </is>
      </c>
      <c r="G344" s="9" t="inlineStr">
        <is>
          <t>SEAT</t>
        </is>
      </c>
      <c r="H344" s="11" t="n"/>
      <c r="I344" s="10" t="n"/>
      <c r="J344" s="10" t="n"/>
      <c r="K344" s="10" t="n"/>
    </row>
    <row r="345" ht="18" customHeight="1" s="104">
      <c r="A345" s="74" t="n">
        <v>933</v>
      </c>
      <c r="B345" s="69" t="n">
        <v>32831610</v>
      </c>
      <c r="C345" s="8" t="inlineStr">
        <is>
          <t>FINDING (NRC) TASKCARD 25-SVA-03 (00) / ITEM ONE B/C SEAT# 2AC, 3J AND 4L SHROUD - CONSOLE SIDE DAMAGED.</t>
        </is>
      </c>
      <c r="D345" s="9" t="inlineStr">
        <is>
          <t>PAX SEAT</t>
        </is>
      </c>
      <c r="E345" s="10" t="inlineStr">
        <is>
          <t>Open</t>
        </is>
      </c>
      <c r="F345" s="10" t="inlineStr">
        <is>
          <t>Normal</t>
        </is>
      </c>
      <c r="G345" s="9" t="inlineStr">
        <is>
          <t>SEAT</t>
        </is>
      </c>
      <c r="H345" s="11" t="n"/>
      <c r="I345" s="10" t="n"/>
      <c r="J345" s="10" t="n"/>
      <c r="K345" s="10" t="n"/>
    </row>
    <row r="346" ht="18" customHeight="1" s="104">
      <c r="A346" s="74" t="n">
        <v>938</v>
      </c>
      <c r="B346" s="69" t="n">
        <v>32832622</v>
      </c>
      <c r="C346" s="8" t="inlineStr">
        <is>
          <t>CKPT,,,,,PNT,,,,NO CALL BACK DURING INSP OF INTERNAL STRUCTURE OF THESE SLIDING WINDOW FOUND CAPTIN &amp; F/O INNER FRAME PNT PEELED OFF</t>
        </is>
      </c>
      <c r="D346" s="9" t="inlineStr">
        <is>
          <t>FLIGHT DECK</t>
        </is>
      </c>
      <c r="E346" s="10" t="inlineStr">
        <is>
          <t>Open</t>
        </is>
      </c>
      <c r="F346" s="10" t="inlineStr">
        <is>
          <t>Normal</t>
        </is>
      </c>
      <c r="G346" s="9" t="inlineStr">
        <is>
          <t>PAINT</t>
        </is>
      </c>
      <c r="H346" s="11" t="n"/>
      <c r="I346" s="10" t="n"/>
      <c r="J346" s="10" t="n"/>
      <c r="K346" s="10" t="n"/>
    </row>
    <row r="347" ht="18" customHeight="1" s="104">
      <c r="A347" s="74" t="n">
        <v>941</v>
      </c>
      <c r="B347" s="69" t="n">
        <v>32835180</v>
      </c>
      <c r="C347" s="8" t="inlineStr">
        <is>
          <t>R1 DOOR DAMPER GUIDE WITH CRACK</t>
        </is>
      </c>
      <c r="D347" s="9" t="inlineStr">
        <is>
          <t>PAX DOORS</t>
        </is>
      </c>
      <c r="E347" s="10" t="inlineStr">
        <is>
          <t>Closed</t>
        </is>
      </c>
      <c r="F347" s="10" t="inlineStr">
        <is>
          <t>Normal</t>
        </is>
      </c>
      <c r="G347" s="9" t="inlineStr">
        <is>
          <t>CAB</t>
        </is>
      </c>
      <c r="H347" s="11" t="inlineStr">
        <is>
          <t>Requested - R</t>
        </is>
      </c>
      <c r="I347" s="10" t="n"/>
      <c r="J347" s="10" t="inlineStr">
        <is>
          <t>Yes</t>
        </is>
      </c>
      <c r="K347" s="10" t="n"/>
    </row>
    <row r="348" ht="18" customHeight="1" s="104">
      <c r="A348" s="74" t="n">
        <v>947</v>
      </c>
      <c r="B348" s="69" t="n">
        <v>32836864</v>
      </c>
      <c r="C348" s="8" t="inlineStr">
        <is>
          <t>CAB - RII - L1 F/A SEAT L1 INBOARD AND OUTBOARD F/A SEAT REQUIRE REMOVAL FOR ACCESS.</t>
        </is>
      </c>
      <c r="D348" s="9" t="inlineStr">
        <is>
          <t>F/A SEAT</t>
        </is>
      </c>
      <c r="E348" s="10" t="inlineStr">
        <is>
          <t>Open</t>
        </is>
      </c>
      <c r="F348" s="10" t="inlineStr">
        <is>
          <t>Normal</t>
        </is>
      </c>
      <c r="G348" s="9" t="inlineStr">
        <is>
          <t>CAB</t>
        </is>
      </c>
      <c r="H348" s="11" t="n"/>
      <c r="I348" s="10" t="n"/>
      <c r="J348" s="10" t="n"/>
      <c r="K348" s="10" t="n"/>
    </row>
    <row r="349" ht="18" customHeight="1" s="104">
      <c r="A349" s="74" t="n">
        <v>954</v>
      </c>
      <c r="B349" s="69" t="n">
        <v>32849864</v>
      </c>
      <c r="C349" s="8" t="inlineStr">
        <is>
          <t>CAB - NO CALLBACK - AFT GALLEY AFT GALLEY COMPARTMENT 520 MID LATCH LEVER LOOSE.</t>
        </is>
      </c>
      <c r="D349" s="9" t="inlineStr">
        <is>
          <t>GALLEY</t>
        </is>
      </c>
      <c r="E349" s="10" t="inlineStr">
        <is>
          <t>Closed</t>
        </is>
      </c>
      <c r="F349" s="10" t="inlineStr">
        <is>
          <t>Normal</t>
        </is>
      </c>
      <c r="G349" s="9" t="inlineStr">
        <is>
          <t>CAB</t>
        </is>
      </c>
      <c r="H349" s="11" t="inlineStr">
        <is>
          <t>Requested</t>
        </is>
      </c>
      <c r="I349" s="10" t="n"/>
      <c r="J349" s="10" t="inlineStr">
        <is>
          <t>Yes</t>
        </is>
      </c>
      <c r="K349" s="10" t="n"/>
    </row>
    <row r="350" ht="18" customHeight="1" s="104">
      <c r="A350" s="74" t="n">
        <v>955</v>
      </c>
      <c r="B350" s="69" t="n">
        <v>32849891</v>
      </c>
      <c r="C350" s="8" t="inlineStr">
        <is>
          <t>CAB - NO CALLBACK - AFT GALLEY AFT GALLEY 7 EA SMALL CART TURN CATCHES AND 7 EA LONG CART CATCHES PAINT FADED.</t>
        </is>
      </c>
      <c r="D350" s="9" t="inlineStr">
        <is>
          <t>GALLEY</t>
        </is>
      </c>
      <c r="E350" s="10" t="inlineStr">
        <is>
          <t>Closed</t>
        </is>
      </c>
      <c r="F350" s="10" t="inlineStr">
        <is>
          <t>Normal</t>
        </is>
      </c>
      <c r="G350" s="9" t="inlineStr">
        <is>
          <t>CAB</t>
        </is>
      </c>
      <c r="H350" s="11" t="inlineStr">
        <is>
          <t>Requested</t>
        </is>
      </c>
      <c r="I350" s="10" t="n"/>
      <c r="J350" s="10" t="inlineStr">
        <is>
          <t>Yes</t>
        </is>
      </c>
      <c r="K350" s="10" t="n"/>
    </row>
    <row r="351" ht="18" customHeight="1" s="104">
      <c r="A351" s="74" t="n">
        <v>956</v>
      </c>
      <c r="B351" s="69" t="n">
        <v>32849898</v>
      </c>
      <c r="C351" s="8" t="inlineStr">
        <is>
          <t>CAB - NO CALLBACK - FWD GALLEY G2 GALLEY CART COMPT. 213 T-DIVIDER BUMPER DETACHED.</t>
        </is>
      </c>
      <c r="D351" s="9" t="inlineStr">
        <is>
          <t>GALLEY</t>
        </is>
      </c>
      <c r="E351" s="10" t="inlineStr">
        <is>
          <t>Closed</t>
        </is>
      </c>
      <c r="F351" s="10" t="inlineStr">
        <is>
          <t>Normal</t>
        </is>
      </c>
      <c r="G351" s="9" t="inlineStr">
        <is>
          <t>CAB</t>
        </is>
      </c>
      <c r="H351" s="11" t="inlineStr">
        <is>
          <t>Requested</t>
        </is>
      </c>
      <c r="I351" s="10" t="n"/>
      <c r="J351" s="10" t="inlineStr">
        <is>
          <t>Yes</t>
        </is>
      </c>
      <c r="K351" s="10" t="n"/>
    </row>
    <row r="352" ht="18" customHeight="1" s="104">
      <c r="A352" s="74" t="n">
        <v>957</v>
      </c>
      <c r="B352" s="69" t="n">
        <v>32849904</v>
      </c>
      <c r="C352" s="8" t="inlineStr">
        <is>
          <t>CAB - NO CALLBACK - FWD GALLEY G2 GALLEY COMPT. 204 TURN CATCHES PAINT FADED.</t>
        </is>
      </c>
      <c r="D352" s="9" t="inlineStr">
        <is>
          <t>GALLEY</t>
        </is>
      </c>
      <c r="E352" s="10" t="inlineStr">
        <is>
          <t>Closed</t>
        </is>
      </c>
      <c r="F352" s="10" t="inlineStr">
        <is>
          <t>AOG</t>
        </is>
      </c>
      <c r="G352" s="9" t="inlineStr">
        <is>
          <t>CAB</t>
        </is>
      </c>
      <c r="H352" s="11" t="inlineStr">
        <is>
          <t>Requested</t>
        </is>
      </c>
      <c r="I352" s="10" t="n"/>
      <c r="J352" s="10" t="inlineStr">
        <is>
          <t>Yes</t>
        </is>
      </c>
      <c r="K352" s="10" t="n"/>
    </row>
    <row r="353" ht="18" customHeight="1" s="104">
      <c r="A353" s="74" t="n">
        <v>958</v>
      </c>
      <c r="B353" s="69" t="n">
        <v>32849910</v>
      </c>
      <c r="C353" s="8" t="inlineStr">
        <is>
          <t>CAB - NO CALLBACK - FWD GALLEY G1 GALLEY 3 EA MID LATCH LEVER LOOSE.</t>
        </is>
      </c>
      <c r="D353" s="9" t="inlineStr">
        <is>
          <t>GALLEY</t>
        </is>
      </c>
      <c r="E353" s="10" t="inlineStr">
        <is>
          <t>Closed</t>
        </is>
      </c>
      <c r="F353" s="10" t="inlineStr">
        <is>
          <t>Normal</t>
        </is>
      </c>
      <c r="G353" s="9" t="inlineStr">
        <is>
          <t>CAB</t>
        </is>
      </c>
      <c r="H353" s="11" t="inlineStr">
        <is>
          <t>Requested</t>
        </is>
      </c>
      <c r="I353" s="10" t="n"/>
      <c r="J353" s="10" t="inlineStr">
        <is>
          <t>Yes</t>
        </is>
      </c>
      <c r="K353" s="10" t="n"/>
    </row>
    <row r="354" ht="18" customHeight="1" s="104">
      <c r="A354" s="74" t="n">
        <v>959</v>
      </c>
      <c r="B354" s="69" t="n">
        <v>32849919</v>
      </c>
      <c r="C354" s="8" t="inlineStr">
        <is>
          <t>CAB - NO CALLBACK - FWD GALLEY G1 GALLEY CART COMPT. 111 T-DIVIDER BUMPER DAMAGED.</t>
        </is>
      </c>
      <c r="D354" s="9" t="inlineStr">
        <is>
          <t>GALLEY</t>
        </is>
      </c>
      <c r="E354" s="10" t="inlineStr">
        <is>
          <t>Closed</t>
        </is>
      </c>
      <c r="F354" s="10" t="inlineStr">
        <is>
          <t>Normal</t>
        </is>
      </c>
      <c r="G354" s="9" t="inlineStr">
        <is>
          <t>CAB</t>
        </is>
      </c>
      <c r="H354" s="11" t="inlineStr">
        <is>
          <t>Requested</t>
        </is>
      </c>
      <c r="I354" s="10" t="n"/>
      <c r="J354" s="10" t="inlineStr">
        <is>
          <t>Yes</t>
        </is>
      </c>
      <c r="K354" s="10" t="n"/>
    </row>
    <row r="355" ht="18" customHeight="1" s="104">
      <c r="A355" s="74" t="n">
        <v>960</v>
      </c>
      <c r="B355" s="69" t="n">
        <v>32849934</v>
      </c>
      <c r="C355" s="8" t="inlineStr">
        <is>
          <t>CAB - NO CALLBACK - FWD GALLEY G1 GALLEY CART COMPT. 110 UPPER LH AIR FLAP SEAL TORN.</t>
        </is>
      </c>
      <c r="D355" s="9" t="inlineStr">
        <is>
          <t>GALLEY</t>
        </is>
      </c>
      <c r="E355" s="10" t="inlineStr">
        <is>
          <t>Closed</t>
        </is>
      </c>
      <c r="F355" s="10" t="inlineStr">
        <is>
          <t>Normal</t>
        </is>
      </c>
      <c r="G355" s="9" t="inlineStr">
        <is>
          <t>CAB</t>
        </is>
      </c>
      <c r="H355" s="11" t="inlineStr">
        <is>
          <t>Requested</t>
        </is>
      </c>
      <c r="I355" s="10" t="n"/>
      <c r="J355" s="10" t="inlineStr">
        <is>
          <t>Yes</t>
        </is>
      </c>
      <c r="K355" s="10" t="n"/>
    </row>
    <row r="356" ht="18" customHeight="1" s="104">
      <c r="A356" s="74" t="n">
        <v>961</v>
      </c>
      <c r="B356" s="69" t="n">
        <v>32849935</v>
      </c>
      <c r="C356" s="8" t="inlineStr">
        <is>
          <t>CAB - NO CALLBACK - FWD GALLEY G1 GALLEY 4 EA SHORT CART CATCHES AND 1 EA LONG CART CATCH PAINT FADED.</t>
        </is>
      </c>
      <c r="D356" s="9" t="inlineStr">
        <is>
          <t>GALLEY</t>
        </is>
      </c>
      <c r="E356" s="10" t="inlineStr">
        <is>
          <t>Closed</t>
        </is>
      </c>
      <c r="F356" s="10" t="inlineStr">
        <is>
          <t>Normal</t>
        </is>
      </c>
      <c r="G356" s="9" t="inlineStr">
        <is>
          <t>CAB</t>
        </is>
      </c>
      <c r="H356" s="11" t="inlineStr">
        <is>
          <t>Requested</t>
        </is>
      </c>
      <c r="I356" s="10" t="n"/>
      <c r="J356" s="10" t="inlineStr">
        <is>
          <t>Yes</t>
        </is>
      </c>
      <c r="K356" s="10" t="n"/>
    </row>
    <row r="357" ht="18" customHeight="1" s="104">
      <c r="A357" s="74" t="n">
        <v>962</v>
      </c>
      <c r="B357" s="69" t="n">
        <v>32849936</v>
      </c>
      <c r="C357" s="8" t="inlineStr">
        <is>
          <t>CAB - NO CALLBACK - FWD GALLEY G2 GALLEY ALL CART TURN CATCHES PAINT FADED.</t>
        </is>
      </c>
      <c r="D357" s="9" t="inlineStr">
        <is>
          <t>GALLEY</t>
        </is>
      </c>
      <c r="E357" s="10" t="inlineStr">
        <is>
          <t>Open</t>
        </is>
      </c>
      <c r="F357" s="10" t="inlineStr">
        <is>
          <t>Normal</t>
        </is>
      </c>
      <c r="G357" s="9" t="inlineStr">
        <is>
          <t>CAB</t>
        </is>
      </c>
      <c r="H357" s="11" t="inlineStr">
        <is>
          <t>Requested</t>
        </is>
      </c>
      <c r="I357" s="10" t="inlineStr">
        <is>
          <t>AFTER S/M REPAIR</t>
        </is>
      </c>
      <c r="J357" s="10" t="n"/>
      <c r="K357" s="10" t="n"/>
    </row>
    <row r="358" ht="18" customHeight="1" s="104">
      <c r="A358" s="74" t="n">
        <v>963</v>
      </c>
      <c r="B358" s="69" t="n">
        <v>32849940</v>
      </c>
      <c r="C358" s="8" t="inlineStr">
        <is>
          <t>CAB - NO CALLBACK - STOWAGE C201 STOWAGE C201 INNER DOOR SURFACE WITH PEN MARKS.</t>
        </is>
      </c>
      <c r="D358" s="9" t="inlineStr">
        <is>
          <t>GENERAL CABIN</t>
        </is>
      </c>
      <c r="E358" s="10" t="inlineStr">
        <is>
          <t>Closed</t>
        </is>
      </c>
      <c r="F358" s="10" t="inlineStr">
        <is>
          <t>Normal</t>
        </is>
      </c>
      <c r="G358" s="9" t="inlineStr">
        <is>
          <t>CAB</t>
        </is>
      </c>
      <c r="H358" s="11" t="inlineStr">
        <is>
          <t>Requested</t>
        </is>
      </c>
      <c r="I358" s="10" t="n"/>
      <c r="J358" s="10" t="inlineStr">
        <is>
          <t>Yes</t>
        </is>
      </c>
      <c r="K358" s="10" t="n"/>
    </row>
    <row r="359" ht="18" customHeight="1" s="104">
      <c r="A359" s="74" t="n">
        <v>964</v>
      </c>
      <c r="B359" s="69" t="n">
        <v>32849947</v>
      </c>
      <c r="C359" s="8" t="inlineStr">
        <is>
          <t>PAINT - NO CALLBACK - LAV E LAVATORY "E" WASHBASIN PANELS WITH CHIPPED PAINT.</t>
        </is>
      </c>
      <c r="D359" s="9" t="inlineStr">
        <is>
          <t>LAVATORY</t>
        </is>
      </c>
      <c r="E359" s="10" t="inlineStr">
        <is>
          <t>Open</t>
        </is>
      </c>
      <c r="F359" s="10" t="inlineStr">
        <is>
          <t>Normal</t>
        </is>
      </c>
      <c r="G359" s="9" t="inlineStr">
        <is>
          <t>PAINT</t>
        </is>
      </c>
      <c r="H359" s="11" t="n"/>
      <c r="I359" s="10" t="n"/>
      <c r="J359" s="10" t="n"/>
      <c r="K359" s="10" t="n"/>
    </row>
    <row r="360" ht="18" customHeight="1" s="104">
      <c r="A360" s="74" t="n">
        <v>965</v>
      </c>
      <c r="B360" s="69" t="n">
        <v>32849950</v>
      </c>
      <c r="C360" s="8" t="inlineStr">
        <is>
          <t>CAB - NO CALLBACK - LAV D LAVATORY "D" MIRROR LOWER SIDE FADED.</t>
        </is>
      </c>
      <c r="D360" s="9" t="inlineStr">
        <is>
          <t>LAVATORY</t>
        </is>
      </c>
      <c r="E360" s="10" t="inlineStr">
        <is>
          <t>Open</t>
        </is>
      </c>
      <c r="F360" s="10" t="inlineStr">
        <is>
          <t>AOG</t>
        </is>
      </c>
      <c r="G360" s="9" t="inlineStr">
        <is>
          <t>CAB</t>
        </is>
      </c>
      <c r="H360" s="11" t="inlineStr">
        <is>
          <t>Requested</t>
        </is>
      </c>
      <c r="I360" s="10" t="n"/>
      <c r="J360" s="10" t="n"/>
      <c r="K360" s="10" t="n"/>
    </row>
    <row r="361" ht="18" customHeight="1" s="104">
      <c r="A361" s="74" t="n">
        <v>967</v>
      </c>
      <c r="B361" s="69" t="n">
        <v>32849953</v>
      </c>
      <c r="C361" s="8" t="inlineStr">
        <is>
          <t>CAB - NO CALLBACK - FLIGHT DECK CAPTAIN PEDAL RUBBER MAT DETACHED AND DIRTY.</t>
        </is>
      </c>
      <c r="D361" s="9" t="inlineStr">
        <is>
          <t>FLIGHT DECK</t>
        </is>
      </c>
      <c r="E361" s="10" t="inlineStr">
        <is>
          <t>Closed</t>
        </is>
      </c>
      <c r="F361" s="10" t="inlineStr">
        <is>
          <t>Normal</t>
        </is>
      </c>
      <c r="G361" s="9" t="inlineStr">
        <is>
          <t>CAB</t>
        </is>
      </c>
      <c r="H361" s="11" t="inlineStr">
        <is>
          <t>Requested</t>
        </is>
      </c>
      <c r="I361" s="10" t="n"/>
      <c r="J361" s="10" t="inlineStr">
        <is>
          <t>Yes</t>
        </is>
      </c>
      <c r="K361" s="10" t="n"/>
    </row>
    <row r="362" ht="18" customHeight="1" s="104">
      <c r="A362" s="74" t="n">
        <v>968</v>
      </c>
      <c r="B362" s="69" t="n">
        <v>32849961</v>
      </c>
      <c r="C362" s="8" t="inlineStr">
        <is>
          <t>CAB - NO CALLBACK - FLIGHT DECK F/O PEDAL RUBBER MAT DETACHED AND DIRTY.</t>
        </is>
      </c>
      <c r="D362" s="9" t="inlineStr">
        <is>
          <t>FLIGHT DECK</t>
        </is>
      </c>
      <c r="E362" s="10" t="inlineStr">
        <is>
          <t>Closed</t>
        </is>
      </c>
      <c r="F362" s="10" t="inlineStr">
        <is>
          <t>Normal</t>
        </is>
      </c>
      <c r="G362" s="9" t="inlineStr">
        <is>
          <t>CAB</t>
        </is>
      </c>
      <c r="H362" s="11" t="inlineStr">
        <is>
          <t>Requested</t>
        </is>
      </c>
      <c r="I362" s="10" t="n"/>
      <c r="J362" s="10" t="inlineStr">
        <is>
          <t>Yes</t>
        </is>
      </c>
      <c r="K362" s="10" t="n"/>
    </row>
    <row r="363" ht="18" customHeight="1" s="104">
      <c r="A363" s="74" t="n">
        <v>971</v>
      </c>
      <c r="B363" s="69" t="n">
        <v>32850062</v>
      </c>
      <c r="C363" s="8" t="inlineStr">
        <is>
          <t>CAB - RII - LAV A LAVATORY "A" WASTE FLAP FOUND WITH FAST RETRACTING.</t>
        </is>
      </c>
      <c r="D363" s="9" t="inlineStr">
        <is>
          <t>LAVATORY</t>
        </is>
      </c>
      <c r="E363" s="10" t="inlineStr">
        <is>
          <t>Open</t>
        </is>
      </c>
      <c r="F363" s="10" t="inlineStr">
        <is>
          <t>AOG</t>
        </is>
      </c>
      <c r="G363" s="9" t="inlineStr">
        <is>
          <t>CAB</t>
        </is>
      </c>
      <c r="H363" s="11" t="inlineStr">
        <is>
          <t>Requested</t>
        </is>
      </c>
      <c r="I363" s="10" t="n"/>
      <c r="J363" s="10" t="n"/>
      <c r="K363" s="10" t="n"/>
    </row>
    <row r="364" ht="18" customHeight="1" s="104">
      <c r="A364" s="74" t="n">
        <v>972</v>
      </c>
      <c r="B364" s="69" t="n">
        <v>32850080</v>
      </c>
      <c r="C364" s="8" t="inlineStr">
        <is>
          <t>CAB - NO CALLBACK - FLIGHT DECK CAPTAIN SLIDING TABLE WITH MISSING PAPER CLIP.</t>
        </is>
      </c>
      <c r="D364" s="9" t="inlineStr">
        <is>
          <t>FLIGHT DECK</t>
        </is>
      </c>
      <c r="E364" s="10" t="inlineStr">
        <is>
          <t>Closed</t>
        </is>
      </c>
      <c r="F364" s="10" t="inlineStr">
        <is>
          <t>Normal</t>
        </is>
      </c>
      <c r="G364" s="9" t="inlineStr">
        <is>
          <t>CAB</t>
        </is>
      </c>
      <c r="H364" s="11" t="n"/>
      <c r="I364" s="10" t="inlineStr">
        <is>
          <t>C/W</t>
        </is>
      </c>
      <c r="J364" s="10" t="n"/>
      <c r="K364" s="10" t="n"/>
    </row>
    <row r="365" ht="18" customHeight="1" s="104">
      <c r="A365" s="74" t="n">
        <v>973</v>
      </c>
      <c r="B365" s="69" t="n">
        <v>32850114</v>
      </c>
      <c r="C365" s="8" t="inlineStr">
        <is>
          <t>CAB - NO CALLBACK - STOWAGE S3 STOWAGE S3 THRESHOLD WARNING TAPE FADED.</t>
        </is>
      </c>
      <c r="D365" s="9" t="inlineStr">
        <is>
          <t>GENERAL CABIN</t>
        </is>
      </c>
      <c r="E365" s="10" t="inlineStr">
        <is>
          <t>Closed</t>
        </is>
      </c>
      <c r="F365" s="10" t="inlineStr">
        <is>
          <t>Normal</t>
        </is>
      </c>
      <c r="G365" s="9" t="inlineStr">
        <is>
          <t>CAB</t>
        </is>
      </c>
      <c r="H365" s="11" t="inlineStr">
        <is>
          <t>Requested</t>
        </is>
      </c>
      <c r="I365" s="10" t="n"/>
      <c r="J365" s="10" t="inlineStr">
        <is>
          <t>Yes</t>
        </is>
      </c>
      <c r="K365" s="10" t="n"/>
    </row>
    <row r="366" ht="18" customHeight="1" s="104">
      <c r="A366" s="74" t="n">
        <v>978</v>
      </c>
      <c r="B366" s="69" t="n">
        <v>32850652</v>
      </c>
      <c r="C366" s="8" t="inlineStr">
        <is>
          <t>PNT - NO CALLBACK - FWD GALLEY G1 GALLEY SLIDING TABLE WITH CHIPPED PAINT.</t>
        </is>
      </c>
      <c r="D366" s="9" t="inlineStr">
        <is>
          <t>GALLEY</t>
        </is>
      </c>
      <c r="E366" s="10" t="inlineStr">
        <is>
          <t>Open</t>
        </is>
      </c>
      <c r="F366" s="10" t="inlineStr">
        <is>
          <t>Normal</t>
        </is>
      </c>
      <c r="G366" s="9" t="inlineStr">
        <is>
          <t>PAINT</t>
        </is>
      </c>
      <c r="H366" s="11" t="n"/>
      <c r="I366" s="10" t="n"/>
      <c r="J366" s="10" t="n"/>
      <c r="K366" s="10" t="n"/>
    </row>
    <row r="367" ht="36" customHeight="1" s="104">
      <c r="A367" s="74" t="inlineStr">
        <is>
          <t>981</t>
        </is>
      </c>
      <c r="B367" s="69" t="inlineStr">
        <is>
          <t>32854724</t>
        </is>
      </c>
      <c r="C367" s="92" t="inlineStr">
        <is>
          <t>COCKPIT CEILING PANEL- CAB - RII REMOVAL OF COCKPIT CEILING PNL/S 211AC, 212AC, 211BC, 212BC, 211DC, 212DC, 211EC, 212EC, 211FC  212FC ,211LC,212LC,211MW, AND 211LW FOR ACCESS</t>
        </is>
      </c>
      <c r="D367" s="9" t="inlineStr">
        <is>
          <t>FLIGHT DECK</t>
        </is>
      </c>
      <c r="E367" s="10" t="inlineStr">
        <is>
          <t>Open</t>
        </is>
      </c>
      <c r="F367" s="10" t="inlineStr">
        <is>
          <t>Normal</t>
        </is>
      </c>
      <c r="G367" s="9" t="inlineStr">
        <is>
          <t>CAB</t>
        </is>
      </c>
      <c r="H367" s="11" t="inlineStr">
        <is>
          <t>N/R</t>
        </is>
      </c>
      <c r="I367" s="10" t="n"/>
      <c r="J367" s="10" t="n"/>
      <c r="K367" s="10" t="n"/>
    </row>
    <row r="368" ht="18" customHeight="1" s="104">
      <c r="A368" s="74" t="n">
        <v>993</v>
      </c>
      <c r="B368" s="69" t="n">
        <v>32867377</v>
      </c>
      <c r="C368" s="92" t="inlineStr">
        <is>
          <t>CAB - RII - R2 F/A SEAT R2 F/A SEAT BELT FRAYED.</t>
        </is>
      </c>
      <c r="D368" s="9" t="inlineStr">
        <is>
          <t>F/A SEAT</t>
        </is>
      </c>
      <c r="E368" s="10" t="inlineStr">
        <is>
          <t>Open</t>
        </is>
      </c>
      <c r="F368" s="10" t="inlineStr">
        <is>
          <t>AOG</t>
        </is>
      </c>
      <c r="G368" s="9" t="inlineStr">
        <is>
          <t>CAB</t>
        </is>
      </c>
      <c r="H368" s="11" t="inlineStr">
        <is>
          <t>Requested</t>
        </is>
      </c>
      <c r="I368" s="10" t="n"/>
      <c r="J368" s="10" t="n"/>
      <c r="K368" s="10" t="n"/>
    </row>
    <row r="369" ht="18" customHeight="1" s="104">
      <c r="A369" s="74" t="n">
        <v>994</v>
      </c>
      <c r="B369" s="69" t="n">
        <v>32867426</v>
      </c>
      <c r="C369" s="92" t="inlineStr">
        <is>
          <t>CAB - RII - L1 F/A SEAT L1 INBOARD AND OUTBOARD F/A SEAT BELTS FRAYED.</t>
        </is>
      </c>
      <c r="D369" s="9" t="inlineStr">
        <is>
          <t>F/A SEAT</t>
        </is>
      </c>
      <c r="E369" s="10" t="inlineStr">
        <is>
          <t>Open</t>
        </is>
      </c>
      <c r="F369" s="10" t="inlineStr">
        <is>
          <t>AOG</t>
        </is>
      </c>
      <c r="G369" s="9" t="inlineStr">
        <is>
          <t>CAB</t>
        </is>
      </c>
      <c r="H369" s="11" t="inlineStr">
        <is>
          <t>Requested</t>
        </is>
      </c>
      <c r="I369" s="10" t="n"/>
      <c r="J369" s="10" t="n"/>
      <c r="K369" s="10" t="n"/>
    </row>
    <row r="370" ht="18" customHeight="1" s="104">
      <c r="A370" s="74" t="n">
        <v>995</v>
      </c>
      <c r="B370" s="69" t="inlineStr">
        <is>
          <t>352142-01-1</t>
        </is>
      </c>
      <c r="C370" s="92" t="inlineStr">
        <is>
          <t>352142-01-1 (7) / DISCARD CHEMICAL OXYGEN GENERATORS</t>
        </is>
      </c>
      <c r="D370" s="9" t="inlineStr">
        <is>
          <t>GENERAL CABIN</t>
        </is>
      </c>
      <c r="E370" s="10" t="inlineStr">
        <is>
          <t>Open</t>
        </is>
      </c>
      <c r="F370" s="10" t="inlineStr">
        <is>
          <t>Normal</t>
        </is>
      </c>
      <c r="G370" s="9" t="inlineStr">
        <is>
          <t>CAB</t>
        </is>
      </c>
      <c r="H370" s="11" t="inlineStr">
        <is>
          <t>Requested</t>
        </is>
      </c>
      <c r="I370" s="10" t="n"/>
      <c r="J370" s="10" t="n"/>
      <c r="K370" s="10" t="n"/>
    </row>
    <row r="371" ht="18" customHeight="1" s="104">
      <c r="A371" s="74" t="n">
        <v>996</v>
      </c>
      <c r="B371" s="69" t="n">
        <v>32867568</v>
      </c>
      <c r="C371" s="92" t="inlineStr">
        <is>
          <t>CAB - RII - L2 F/A SEAT L2 F/A SEAT BELT FRAYED.</t>
        </is>
      </c>
      <c r="D371" s="9" t="inlineStr">
        <is>
          <t>F/A SEAT</t>
        </is>
      </c>
      <c r="E371" s="10" t="inlineStr">
        <is>
          <t>Open</t>
        </is>
      </c>
      <c r="F371" s="10" t="inlineStr">
        <is>
          <t>AOG</t>
        </is>
      </c>
      <c r="G371" s="9" t="inlineStr">
        <is>
          <t>CAB</t>
        </is>
      </c>
      <c r="H371" s="11" t="inlineStr">
        <is>
          <t>Requested</t>
        </is>
      </c>
      <c r="I371" s="10" t="n"/>
      <c r="J371" s="10" t="n"/>
      <c r="K371" s="10" t="n"/>
    </row>
    <row r="372" ht="18" customHeight="1" s="104">
      <c r="A372" s="74" t="n">
        <v>997</v>
      </c>
      <c r="B372" s="69" t="n">
        <v>32867643</v>
      </c>
      <c r="C372" s="92" t="inlineStr">
        <is>
          <t>CAB - RII - SWIVEL F/A SEAT SWIVEL F/A SEAT BELT FRAYED.</t>
        </is>
      </c>
      <c r="D372" s="9" t="inlineStr">
        <is>
          <t>F/A SEAT</t>
        </is>
      </c>
      <c r="E372" s="10" t="inlineStr">
        <is>
          <t>Open</t>
        </is>
      </c>
      <c r="F372" s="10" t="inlineStr">
        <is>
          <t>AOG</t>
        </is>
      </c>
      <c r="G372" s="9" t="inlineStr">
        <is>
          <t>CAB</t>
        </is>
      </c>
      <c r="H372" s="11" t="inlineStr">
        <is>
          <t>Requested</t>
        </is>
      </c>
      <c r="I372" s="10" t="n"/>
      <c r="J372" s="10" t="n"/>
      <c r="K372" s="10" t="n"/>
    </row>
    <row r="373" ht="18" customHeight="1" s="104">
      <c r="A373" s="74" t="n">
        <v>998</v>
      </c>
      <c r="B373" s="69" t="n">
        <v>32867427</v>
      </c>
      <c r="C373" s="92" t="inlineStr">
        <is>
          <t>CAB - RII - CAPTAIN SEAT BELT CAPTAIN SEAT BELT L/H SHOULDER HARNESS FRAYED AND LAP BELT DETERIORATED</t>
        </is>
      </c>
      <c r="D373" s="9" t="inlineStr">
        <is>
          <t>FLIGHT DECK</t>
        </is>
      </c>
      <c r="E373" s="10" t="inlineStr">
        <is>
          <t>Open</t>
        </is>
      </c>
      <c r="F373" s="10" t="inlineStr">
        <is>
          <t>Normal</t>
        </is>
      </c>
      <c r="G373" s="9" t="inlineStr">
        <is>
          <t>CAB</t>
        </is>
      </c>
      <c r="H373" s="11" t="inlineStr">
        <is>
          <t>Requested - R</t>
        </is>
      </c>
      <c r="I373" s="10" t="n"/>
      <c r="J373" s="10" t="n"/>
      <c r="K373" s="10" t="n"/>
    </row>
    <row r="374" ht="18" customHeight="1" s="104">
      <c r="A374" s="74" t="n">
        <v>999</v>
      </c>
      <c r="B374" s="69" t="n">
        <v>32867877</v>
      </c>
      <c r="C374" s="92" t="inlineStr">
        <is>
          <t>CAB - RII - FIRST OFFICER SEAT BELT F/O SEAT BELT SHOULDER HARNESS WEAK RETRACTION AND LAP BELTS DETERIORATED</t>
        </is>
      </c>
      <c r="D374" s="9" t="inlineStr">
        <is>
          <t>FLIGHT DECK</t>
        </is>
      </c>
      <c r="E374" s="10" t="inlineStr">
        <is>
          <t>Open</t>
        </is>
      </c>
      <c r="F374" s="10" t="inlineStr">
        <is>
          <t>Normal</t>
        </is>
      </c>
      <c r="G374" s="9" t="inlineStr">
        <is>
          <t>CAB</t>
        </is>
      </c>
      <c r="H374" s="11" t="inlineStr">
        <is>
          <t>Requested - R</t>
        </is>
      </c>
      <c r="I374" s="10" t="n"/>
      <c r="J374" s="10" t="n"/>
      <c r="K374" s="10" t="n"/>
    </row>
    <row r="375" ht="18" customHeight="1" s="104">
      <c r="A375" s="74" t="n">
        <v>1000</v>
      </c>
      <c r="B375" s="69" t="n">
        <v>32867879</v>
      </c>
      <c r="C375" s="95" t="inlineStr">
        <is>
          <t>CAB - RII - 3D OBSERVER SEAT BELT 3RD OBSERVER SEAT BELT DETERIORATED</t>
        </is>
      </c>
      <c r="D375" s="9" t="inlineStr">
        <is>
          <t>FLIGHT DECK</t>
        </is>
      </c>
      <c r="E375" s="10" t="inlineStr">
        <is>
          <t>Open</t>
        </is>
      </c>
      <c r="F375" s="10" t="inlineStr">
        <is>
          <t>Normal</t>
        </is>
      </c>
      <c r="G375" s="9" t="inlineStr">
        <is>
          <t>CAB</t>
        </is>
      </c>
      <c r="H375" s="11" t="inlineStr">
        <is>
          <t>Requested</t>
        </is>
      </c>
      <c r="I375" s="10" t="n"/>
      <c r="J375" s="10" t="n"/>
      <c r="K375" s="10" t="n"/>
    </row>
    <row r="376" ht="18" customHeight="1" s="104">
      <c r="A376" s="6" t="n"/>
      <c r="B376" s="7" t="n"/>
      <c r="C376" s="8" t="n"/>
      <c r="D376" s="9" t="n"/>
      <c r="E376" s="10" t="inlineStr">
        <is>
          <t>Open</t>
        </is>
      </c>
      <c r="F376" s="10" t="inlineStr">
        <is>
          <t>Normal</t>
        </is>
      </c>
      <c r="G376" s="9" t="n"/>
      <c r="H376" s="11" t="n"/>
      <c r="I376" s="10" t="n"/>
      <c r="J376" s="10" t="n"/>
      <c r="K376" s="10" t="n"/>
    </row>
    <row r="377" ht="18" customHeight="1" s="104">
      <c r="A377" s="6" t="n"/>
      <c r="B377" s="7" t="n"/>
      <c r="C377" s="8" t="n"/>
      <c r="D377" s="9" t="n"/>
      <c r="E377" s="10" t="inlineStr">
        <is>
          <t>Open</t>
        </is>
      </c>
      <c r="F377" s="10" t="inlineStr">
        <is>
          <t>Normal</t>
        </is>
      </c>
      <c r="G377" s="9" t="n"/>
      <c r="H377" s="11" t="n"/>
      <c r="I377" s="10" t="n"/>
      <c r="J377" s="10" t="n"/>
      <c r="K377" s="10" t="n"/>
    </row>
    <row r="378" ht="18" customHeight="1" s="104">
      <c r="A378" s="6" t="n"/>
      <c r="B378" s="7" t="n"/>
      <c r="C378" s="8" t="n"/>
      <c r="D378" s="9" t="n"/>
      <c r="E378" s="10" t="inlineStr">
        <is>
          <t>Open</t>
        </is>
      </c>
      <c r="F378" s="10" t="inlineStr">
        <is>
          <t>Normal</t>
        </is>
      </c>
      <c r="G378" s="9" t="n"/>
      <c r="H378" s="11" t="n"/>
      <c r="I378" s="10" t="n"/>
      <c r="J378" s="10" t="n"/>
      <c r="K378" s="10" t="n"/>
    </row>
    <row r="379" ht="18" customHeight="1" s="104">
      <c r="A379" s="6" t="n"/>
      <c r="B379" s="7" t="n"/>
      <c r="C379" s="8" t="n"/>
      <c r="D379" s="9" t="n"/>
      <c r="E379" s="10" t="inlineStr">
        <is>
          <t>Open</t>
        </is>
      </c>
      <c r="F379" s="10" t="inlineStr">
        <is>
          <t>Normal</t>
        </is>
      </c>
      <c r="G379" s="9" t="n"/>
      <c r="H379" s="11" t="n"/>
      <c r="I379" s="10" t="n"/>
      <c r="J379" s="10" t="n"/>
      <c r="K379" s="10" t="n"/>
    </row>
    <row r="380" ht="18" customHeight="1" s="104">
      <c r="A380" s="6" t="n"/>
      <c r="B380" s="7" t="n"/>
      <c r="C380" s="8" t="n"/>
      <c r="D380" s="9" t="n"/>
      <c r="E380" s="10" t="inlineStr">
        <is>
          <t>Open</t>
        </is>
      </c>
      <c r="F380" s="10" t="inlineStr">
        <is>
          <t>Normal</t>
        </is>
      </c>
      <c r="G380" s="9" t="n"/>
      <c r="H380" s="11" t="n"/>
      <c r="I380" s="10" t="n"/>
      <c r="J380" s="10" t="n"/>
      <c r="K380" s="10" t="n"/>
    </row>
    <row r="381" ht="18" customHeight="1" s="104">
      <c r="A381" s="6" t="n"/>
      <c r="B381" s="7" t="n"/>
      <c r="C381" s="8" t="n"/>
      <c r="D381" s="9" t="n"/>
      <c r="E381" s="10" t="inlineStr">
        <is>
          <t>Open</t>
        </is>
      </c>
      <c r="F381" s="10" t="inlineStr">
        <is>
          <t>Normal</t>
        </is>
      </c>
      <c r="G381" s="9" t="n"/>
      <c r="H381" s="11" t="n"/>
      <c r="I381" s="10" t="n"/>
      <c r="J381" s="10" t="n"/>
      <c r="K381" s="10" t="n"/>
    </row>
    <row r="382" ht="18" customHeight="1" s="104">
      <c r="A382" s="6" t="n"/>
      <c r="B382" s="7" t="n"/>
      <c r="C382" s="8" t="n"/>
      <c r="D382" s="9" t="n"/>
      <c r="E382" s="10" t="inlineStr">
        <is>
          <t>Open</t>
        </is>
      </c>
      <c r="F382" s="10" t="inlineStr">
        <is>
          <t>Normal</t>
        </is>
      </c>
      <c r="G382" s="9" t="n"/>
      <c r="H382" s="11" t="n"/>
      <c r="I382" s="10" t="n"/>
      <c r="J382" s="10" t="n"/>
      <c r="K382" s="10" t="n"/>
    </row>
    <row r="383" ht="18" customHeight="1" s="104">
      <c r="A383" s="6" t="n"/>
      <c r="B383" s="7" t="n"/>
      <c r="C383" s="8" t="n"/>
      <c r="D383" s="9" t="n"/>
      <c r="E383" s="10" t="inlineStr">
        <is>
          <t>Open</t>
        </is>
      </c>
      <c r="F383" s="10" t="inlineStr">
        <is>
          <t>Normal</t>
        </is>
      </c>
      <c r="G383" s="9" t="n"/>
      <c r="H383" s="11" t="n"/>
      <c r="I383" s="10" t="n"/>
      <c r="J383" s="10" t="n"/>
      <c r="K383" s="10" t="n"/>
    </row>
    <row r="384" ht="18" customHeight="1" s="104">
      <c r="A384" s="6" t="n"/>
      <c r="B384" s="7" t="n"/>
      <c r="C384" s="8" t="n"/>
      <c r="D384" s="9" t="n"/>
      <c r="E384" s="10" t="inlineStr">
        <is>
          <t>Open</t>
        </is>
      </c>
      <c r="F384" s="10" t="inlineStr">
        <is>
          <t>Normal</t>
        </is>
      </c>
      <c r="G384" s="9" t="n"/>
      <c r="H384" s="11" t="n"/>
      <c r="I384" s="10" t="n"/>
      <c r="J384" s="10" t="n"/>
      <c r="K384" s="10" t="n"/>
    </row>
    <row r="385" ht="18" customHeight="1" s="104">
      <c r="A385" s="6" t="n"/>
      <c r="B385" s="7" t="n"/>
      <c r="C385" s="8" t="n"/>
      <c r="D385" s="9" t="n"/>
      <c r="E385" s="10" t="inlineStr">
        <is>
          <t>Open</t>
        </is>
      </c>
      <c r="F385" s="10" t="inlineStr">
        <is>
          <t>Normal</t>
        </is>
      </c>
      <c r="G385" s="9" t="n"/>
      <c r="H385" s="11" t="n"/>
      <c r="I385" s="10" t="n"/>
      <c r="J385" s="10" t="n"/>
      <c r="K385" s="10" t="n"/>
    </row>
    <row r="386" ht="18" customHeight="1" s="104">
      <c r="A386" s="6" t="n"/>
      <c r="B386" s="7" t="n"/>
      <c r="C386" s="8" t="n"/>
      <c r="D386" s="9" t="n"/>
      <c r="E386" s="10" t="inlineStr">
        <is>
          <t>Open</t>
        </is>
      </c>
      <c r="F386" s="10" t="inlineStr">
        <is>
          <t>Normal</t>
        </is>
      </c>
      <c r="G386" s="9" t="n"/>
      <c r="H386" s="11" t="n"/>
      <c r="I386" s="10" t="n"/>
      <c r="J386" s="10" t="n"/>
      <c r="K386" s="10" t="n"/>
    </row>
    <row r="387" ht="18" customHeight="1" s="104">
      <c r="A387" s="6" t="n"/>
      <c r="B387" s="7" t="n"/>
      <c r="C387" s="8" t="n"/>
      <c r="D387" s="9" t="n"/>
      <c r="E387" s="10" t="inlineStr">
        <is>
          <t>Open</t>
        </is>
      </c>
      <c r="F387" s="10" t="inlineStr">
        <is>
          <t>Normal</t>
        </is>
      </c>
      <c r="G387" s="9" t="n"/>
      <c r="H387" s="11" t="n"/>
      <c r="I387" s="10" t="n"/>
      <c r="J387" s="10" t="n"/>
      <c r="K387" s="10" t="n"/>
    </row>
    <row r="388" ht="18" customHeight="1" s="104">
      <c r="A388" s="6" t="n"/>
      <c r="B388" s="7" t="n"/>
      <c r="C388" s="8" t="n"/>
      <c r="D388" s="9" t="n"/>
      <c r="E388" s="10" t="inlineStr">
        <is>
          <t>Open</t>
        </is>
      </c>
      <c r="F388" s="10" t="inlineStr">
        <is>
          <t>Normal</t>
        </is>
      </c>
      <c r="G388" s="9" t="n"/>
      <c r="H388" s="11" t="n"/>
      <c r="I388" s="10" t="n"/>
      <c r="J388" s="10" t="n"/>
      <c r="K388" s="10" t="n"/>
    </row>
    <row r="389" ht="18" customHeight="1" s="104">
      <c r="A389" s="6" t="n"/>
      <c r="B389" s="7" t="n"/>
      <c r="C389" s="8" t="n"/>
      <c r="D389" s="9" t="n"/>
      <c r="E389" s="10" t="inlineStr">
        <is>
          <t>Open</t>
        </is>
      </c>
      <c r="F389" s="10" t="inlineStr">
        <is>
          <t>Normal</t>
        </is>
      </c>
      <c r="G389" s="9" t="n"/>
      <c r="H389" s="11" t="n"/>
      <c r="I389" s="10" t="n"/>
      <c r="J389" s="10" t="n"/>
      <c r="K389" s="10" t="n"/>
    </row>
    <row r="390" ht="18" customHeight="1" s="104">
      <c r="A390" s="6" t="n"/>
      <c r="B390" s="7" t="n"/>
      <c r="C390" s="8" t="n"/>
      <c r="D390" s="9" t="n"/>
      <c r="E390" s="10" t="inlineStr">
        <is>
          <t>Open</t>
        </is>
      </c>
      <c r="F390" s="10" t="inlineStr">
        <is>
          <t>Normal</t>
        </is>
      </c>
      <c r="G390" s="9" t="n"/>
      <c r="H390" s="11" t="n"/>
      <c r="I390" s="10" t="n"/>
      <c r="J390" s="10" t="n"/>
      <c r="K390" s="10" t="n"/>
    </row>
    <row r="391" ht="18" customHeight="1" s="104">
      <c r="A391" s="6" t="n"/>
      <c r="B391" s="7" t="n"/>
      <c r="C391" s="8" t="n"/>
      <c r="D391" s="9" t="n"/>
      <c r="E391" s="10" t="inlineStr">
        <is>
          <t>Open</t>
        </is>
      </c>
      <c r="F391" s="10" t="inlineStr">
        <is>
          <t>Normal</t>
        </is>
      </c>
      <c r="G391" s="9" t="n"/>
      <c r="H391" s="11" t="n"/>
      <c r="I391" s="10" t="n"/>
      <c r="J391" s="10" t="n"/>
      <c r="K391" s="10" t="n"/>
    </row>
    <row r="392" ht="18" customHeight="1" s="104">
      <c r="A392" s="6" t="n"/>
      <c r="B392" s="7" t="n"/>
      <c r="C392" s="8" t="n"/>
      <c r="D392" s="9" t="n"/>
      <c r="E392" s="10" t="inlineStr">
        <is>
          <t>Open</t>
        </is>
      </c>
      <c r="F392" s="10" t="inlineStr">
        <is>
          <t>Normal</t>
        </is>
      </c>
      <c r="G392" s="9" t="n"/>
      <c r="H392" s="11" t="n"/>
      <c r="I392" s="10" t="n"/>
      <c r="J392" s="10" t="n"/>
      <c r="K392" s="10" t="n"/>
    </row>
    <row r="393" ht="18" customHeight="1" s="104">
      <c r="A393" s="6" t="n"/>
      <c r="B393" s="7" t="n"/>
      <c r="C393" s="8" t="n"/>
      <c r="D393" s="9" t="n"/>
      <c r="E393" s="10" t="inlineStr">
        <is>
          <t>Open</t>
        </is>
      </c>
      <c r="F393" s="10" t="inlineStr">
        <is>
          <t>Normal</t>
        </is>
      </c>
      <c r="G393" s="9" t="n"/>
      <c r="H393" s="11" t="n"/>
      <c r="I393" s="10" t="n"/>
      <c r="J393" s="10" t="n"/>
      <c r="K393" s="10" t="n"/>
    </row>
    <row r="394" ht="18" customHeight="1" s="104">
      <c r="A394" s="6" t="n"/>
      <c r="B394" s="7" t="n"/>
      <c r="C394" s="8" t="n"/>
      <c r="D394" s="9" t="n"/>
      <c r="E394" s="10" t="inlineStr">
        <is>
          <t>Open</t>
        </is>
      </c>
      <c r="F394" s="10" t="inlineStr">
        <is>
          <t>Normal</t>
        </is>
      </c>
      <c r="G394" s="9" t="n"/>
      <c r="H394" s="11" t="n"/>
      <c r="I394" s="10" t="n"/>
      <c r="J394" s="10" t="n"/>
      <c r="K394" s="10" t="n"/>
    </row>
    <row r="395" ht="18" customHeight="1" s="104">
      <c r="A395" s="6" t="n"/>
      <c r="B395" s="7" t="n"/>
      <c r="C395" s="8" t="n"/>
      <c r="D395" s="9" t="n"/>
      <c r="E395" s="10" t="inlineStr">
        <is>
          <t>Open</t>
        </is>
      </c>
      <c r="F395" s="10" t="inlineStr">
        <is>
          <t>Normal</t>
        </is>
      </c>
      <c r="G395" s="9" t="n"/>
      <c r="H395" s="11" t="n"/>
      <c r="I395" s="10" t="n"/>
      <c r="J395" s="10" t="n"/>
      <c r="K395" s="10" t="n"/>
    </row>
    <row r="396" ht="18" customHeight="1" s="104">
      <c r="A396" s="6" t="n"/>
      <c r="B396" s="7" t="n"/>
      <c r="C396" s="8" t="n"/>
      <c r="D396" s="9" t="n"/>
      <c r="E396" s="10" t="inlineStr">
        <is>
          <t>Open</t>
        </is>
      </c>
      <c r="F396" s="10" t="inlineStr">
        <is>
          <t>Normal</t>
        </is>
      </c>
      <c r="G396" s="9" t="n"/>
      <c r="H396" s="11" t="n"/>
      <c r="I396" s="10" t="n"/>
      <c r="J396" s="10" t="n"/>
      <c r="K396" s="10" t="n"/>
    </row>
    <row r="397" ht="18" customHeight="1" s="104">
      <c r="A397" s="6" t="n"/>
      <c r="B397" s="7" t="n"/>
      <c r="C397" s="8" t="n"/>
      <c r="D397" s="9" t="n"/>
      <c r="E397" s="10" t="inlineStr">
        <is>
          <t>Open</t>
        </is>
      </c>
      <c r="F397" s="10" t="inlineStr">
        <is>
          <t>Normal</t>
        </is>
      </c>
      <c r="G397" s="9" t="n"/>
      <c r="H397" s="11" t="n"/>
      <c r="I397" s="10" t="n"/>
      <c r="J397" s="10" t="n"/>
      <c r="K397" s="10" t="n"/>
    </row>
    <row r="398" ht="18" customHeight="1" s="104">
      <c r="A398" s="6" t="n"/>
      <c r="B398" s="7" t="n"/>
      <c r="C398" s="8" t="n"/>
      <c r="D398" s="9" t="n"/>
      <c r="E398" s="10" t="inlineStr">
        <is>
          <t>Open</t>
        </is>
      </c>
      <c r="F398" s="10" t="inlineStr">
        <is>
          <t>Normal</t>
        </is>
      </c>
      <c r="G398" s="9" t="n"/>
      <c r="H398" s="11" t="n"/>
      <c r="I398" s="10" t="n"/>
      <c r="J398" s="10" t="n"/>
      <c r="K398" s="10" t="n"/>
    </row>
    <row r="399" ht="18" customHeight="1" s="104">
      <c r="A399" s="6" t="n"/>
      <c r="B399" s="7" t="n"/>
      <c r="C399" s="8" t="n"/>
      <c r="D399" s="9" t="n"/>
      <c r="E399" s="10" t="inlineStr">
        <is>
          <t>Open</t>
        </is>
      </c>
      <c r="F399" s="10" t="inlineStr">
        <is>
          <t>Normal</t>
        </is>
      </c>
      <c r="G399" s="9" t="n"/>
      <c r="H399" s="11" t="n"/>
      <c r="I399" s="10" t="n"/>
      <c r="J399" s="10" t="n"/>
      <c r="K399" s="10" t="n"/>
    </row>
    <row r="400" ht="18" customHeight="1" s="104">
      <c r="A400" s="6" t="n"/>
      <c r="B400" s="7" t="n"/>
      <c r="C400" s="8" t="n"/>
      <c r="D400" s="9" t="n"/>
      <c r="E400" s="10" t="inlineStr">
        <is>
          <t>Open</t>
        </is>
      </c>
      <c r="F400" s="10" t="inlineStr">
        <is>
          <t>Normal</t>
        </is>
      </c>
      <c r="G400" s="9" t="n"/>
      <c r="H400" s="11" t="n"/>
      <c r="I400" s="10" t="n"/>
      <c r="J400" s="10" t="n"/>
      <c r="K400" s="10" t="n"/>
    </row>
    <row r="401" ht="18" customHeight="1" s="104">
      <c r="A401" s="6" t="n"/>
      <c r="B401" s="7" t="n"/>
      <c r="C401" s="8" t="n"/>
      <c r="D401" s="9" t="n"/>
      <c r="E401" s="10" t="inlineStr">
        <is>
          <t>Open</t>
        </is>
      </c>
      <c r="F401" s="10" t="inlineStr">
        <is>
          <t>Normal</t>
        </is>
      </c>
      <c r="G401" s="9" t="n"/>
      <c r="H401" s="11" t="n"/>
      <c r="I401" s="10" t="n"/>
      <c r="J401" s="10" t="n"/>
      <c r="K401" s="10" t="n"/>
    </row>
    <row r="402" ht="18" customHeight="1" s="104">
      <c r="A402" s="6" t="n"/>
      <c r="B402" s="7" t="n"/>
      <c r="C402" s="8" t="n"/>
      <c r="D402" s="9" t="n"/>
      <c r="E402" s="10" t="inlineStr">
        <is>
          <t>Open</t>
        </is>
      </c>
      <c r="F402" s="10" t="inlineStr">
        <is>
          <t>Normal</t>
        </is>
      </c>
      <c r="G402" s="9" t="n"/>
      <c r="H402" s="11" t="n"/>
      <c r="I402" s="10" t="n"/>
      <c r="J402" s="10" t="n"/>
      <c r="K402" s="10" t="n"/>
    </row>
    <row r="403" ht="18" customHeight="1" s="104">
      <c r="A403" s="6" t="n"/>
      <c r="B403" s="7" t="n"/>
      <c r="C403" s="8" t="n"/>
      <c r="D403" s="9" t="n"/>
      <c r="E403" s="10" t="inlineStr">
        <is>
          <t>Open</t>
        </is>
      </c>
      <c r="F403" s="10" t="inlineStr">
        <is>
          <t>Normal</t>
        </is>
      </c>
      <c r="G403" s="9" t="n"/>
      <c r="H403" s="11" t="n"/>
      <c r="I403" s="10" t="n"/>
      <c r="J403" s="10" t="n"/>
      <c r="K403" s="10" t="n"/>
    </row>
    <row r="404" ht="18" customHeight="1" s="104">
      <c r="A404" s="6" t="n"/>
      <c r="B404" s="7" t="n"/>
      <c r="C404" s="8" t="n"/>
      <c r="D404" s="9" t="n"/>
      <c r="E404" s="10" t="inlineStr">
        <is>
          <t>Open</t>
        </is>
      </c>
      <c r="F404" s="10" t="inlineStr">
        <is>
          <t>Normal</t>
        </is>
      </c>
      <c r="G404" s="9" t="n"/>
      <c r="H404" s="11" t="n"/>
      <c r="I404" s="10" t="n"/>
      <c r="J404" s="10" t="n"/>
      <c r="K404" s="10" t="n"/>
    </row>
    <row r="405" ht="18" customHeight="1" s="104">
      <c r="A405" s="6" t="n"/>
      <c r="B405" s="7" t="n"/>
      <c r="C405" s="8" t="n"/>
      <c r="D405" s="9" t="n"/>
      <c r="E405" s="10" t="inlineStr">
        <is>
          <t>Open</t>
        </is>
      </c>
      <c r="F405" s="10" t="inlineStr">
        <is>
          <t>Normal</t>
        </is>
      </c>
      <c r="G405" s="9" t="n"/>
      <c r="H405" s="11" t="n"/>
      <c r="I405" s="10" t="n"/>
      <c r="J405" s="10" t="n"/>
      <c r="K405" s="10" t="n"/>
    </row>
    <row r="406" ht="18" customHeight="1" s="104">
      <c r="A406" s="6" t="n"/>
      <c r="B406" s="7" t="n"/>
      <c r="C406" s="8" t="n"/>
      <c r="D406" s="9" t="n"/>
      <c r="E406" s="10" t="inlineStr">
        <is>
          <t>Open</t>
        </is>
      </c>
      <c r="F406" s="10" t="inlineStr">
        <is>
          <t>Normal</t>
        </is>
      </c>
      <c r="G406" s="9" t="n"/>
      <c r="H406" s="11" t="n"/>
      <c r="I406" s="10" t="n"/>
      <c r="J406" s="10" t="n"/>
      <c r="K406" s="10" t="n"/>
    </row>
    <row r="407" ht="18" customHeight="1" s="104">
      <c r="A407" s="6" t="n"/>
      <c r="B407" s="7" t="n"/>
      <c r="C407" s="8" t="n"/>
      <c r="D407" s="9" t="n"/>
      <c r="E407" s="10" t="inlineStr">
        <is>
          <t>Open</t>
        </is>
      </c>
      <c r="F407" s="10" t="inlineStr">
        <is>
          <t>Normal</t>
        </is>
      </c>
      <c r="G407" s="9" t="n"/>
      <c r="H407" s="11" t="n"/>
      <c r="I407" s="10" t="n"/>
      <c r="J407" s="10" t="n"/>
      <c r="K407" s="10" t="n"/>
    </row>
    <row r="408" ht="18" customHeight="1" s="104">
      <c r="A408" s="6" t="n"/>
      <c r="B408" s="7" t="n"/>
      <c r="C408" s="8" t="n"/>
      <c r="D408" s="9" t="n"/>
      <c r="E408" s="10" t="inlineStr">
        <is>
          <t>Open</t>
        </is>
      </c>
      <c r="F408" s="10" t="inlineStr">
        <is>
          <t>Normal</t>
        </is>
      </c>
      <c r="G408" s="9" t="n"/>
      <c r="H408" s="11" t="n"/>
      <c r="I408" s="10" t="n"/>
      <c r="J408" s="10" t="n"/>
      <c r="K408" s="10" t="n"/>
    </row>
    <row r="409" ht="18" customHeight="1" s="104">
      <c r="A409" s="6" t="n"/>
      <c r="B409" s="7" t="n"/>
      <c r="C409" s="8" t="n"/>
      <c r="D409" s="9" t="n"/>
      <c r="E409" s="10" t="inlineStr">
        <is>
          <t>Open</t>
        </is>
      </c>
      <c r="F409" s="10" t="inlineStr">
        <is>
          <t>Normal</t>
        </is>
      </c>
      <c r="G409" s="9" t="n"/>
      <c r="H409" s="11" t="n"/>
      <c r="I409" s="10" t="n"/>
      <c r="J409" s="10" t="n"/>
      <c r="K409" s="10" t="n"/>
    </row>
    <row r="410" ht="18" customHeight="1" s="104">
      <c r="A410" s="6" t="n"/>
      <c r="B410" s="7" t="n"/>
      <c r="C410" s="8" t="n"/>
      <c r="D410" s="9" t="n"/>
      <c r="E410" s="10" t="inlineStr">
        <is>
          <t>Open</t>
        </is>
      </c>
      <c r="F410" s="10" t="inlineStr">
        <is>
          <t>Normal</t>
        </is>
      </c>
      <c r="G410" s="9" t="n"/>
      <c r="H410" s="11" t="n"/>
      <c r="I410" s="10" t="n"/>
      <c r="J410" s="10" t="n"/>
      <c r="K410" s="10" t="n"/>
    </row>
    <row r="411" ht="18" customHeight="1" s="104">
      <c r="A411" s="6" t="n"/>
      <c r="B411" s="7" t="n"/>
      <c r="C411" s="8" t="n"/>
      <c r="D411" s="9" t="n"/>
      <c r="E411" s="10" t="inlineStr">
        <is>
          <t>Open</t>
        </is>
      </c>
      <c r="F411" s="10" t="inlineStr">
        <is>
          <t>Normal</t>
        </is>
      </c>
      <c r="G411" s="9" t="n"/>
      <c r="H411" s="11" t="n"/>
      <c r="I411" s="10" t="n"/>
      <c r="J411" s="10" t="n"/>
      <c r="K411" s="10" t="n"/>
    </row>
    <row r="412" ht="18" customHeight="1" s="104">
      <c r="A412" s="6" t="n"/>
      <c r="B412" s="7" t="n"/>
      <c r="C412" s="8" t="n"/>
      <c r="D412" s="9" t="n"/>
      <c r="E412" s="10" t="inlineStr">
        <is>
          <t>Open</t>
        </is>
      </c>
      <c r="F412" s="10" t="inlineStr">
        <is>
          <t>Normal</t>
        </is>
      </c>
      <c r="G412" s="9" t="n"/>
      <c r="H412" s="11" t="n"/>
      <c r="I412" s="10" t="n"/>
      <c r="J412" s="10" t="n"/>
      <c r="K412" s="10" t="n"/>
    </row>
    <row r="413" ht="18" customHeight="1" s="104">
      <c r="A413" s="6" t="n"/>
      <c r="B413" s="7" t="n"/>
      <c r="C413" s="8" t="n"/>
      <c r="D413" s="9" t="n"/>
      <c r="E413" s="10" t="inlineStr">
        <is>
          <t>Open</t>
        </is>
      </c>
      <c r="F413" s="10" t="inlineStr">
        <is>
          <t>Normal</t>
        </is>
      </c>
      <c r="G413" s="9" t="n"/>
      <c r="H413" s="11" t="n"/>
      <c r="I413" s="10" t="n"/>
      <c r="J413" s="10" t="n"/>
      <c r="K413" s="10" t="n"/>
    </row>
    <row r="414" ht="18" customHeight="1" s="104">
      <c r="A414" s="6" t="n"/>
      <c r="B414" s="7" t="n"/>
      <c r="C414" s="8" t="n"/>
      <c r="D414" s="9" t="n"/>
      <c r="E414" s="10" t="inlineStr">
        <is>
          <t>Open</t>
        </is>
      </c>
      <c r="F414" s="10" t="inlineStr">
        <is>
          <t>Normal</t>
        </is>
      </c>
      <c r="G414" s="9" t="n"/>
      <c r="H414" s="11" t="n"/>
      <c r="I414" s="10" t="n"/>
      <c r="J414" s="10" t="n"/>
      <c r="K414" s="10" t="n"/>
    </row>
    <row r="415" ht="18" customHeight="1" s="104">
      <c r="A415" s="6" t="n"/>
      <c r="B415" s="7" t="n"/>
      <c r="C415" s="8" t="n"/>
      <c r="D415" s="9" t="n"/>
      <c r="E415" s="10" t="inlineStr">
        <is>
          <t>Open</t>
        </is>
      </c>
      <c r="F415" s="10" t="inlineStr">
        <is>
          <t>Normal</t>
        </is>
      </c>
      <c r="G415" s="9" t="n"/>
      <c r="H415" s="11" t="n"/>
      <c r="I415" s="10" t="n"/>
      <c r="J415" s="10" t="n"/>
      <c r="K415" s="10" t="n"/>
    </row>
    <row r="416" ht="18" customHeight="1" s="104">
      <c r="A416" s="6" t="n"/>
      <c r="B416" s="7" t="n"/>
      <c r="C416" s="8" t="n"/>
      <c r="D416" s="9" t="n"/>
      <c r="E416" s="10" t="inlineStr">
        <is>
          <t>Open</t>
        </is>
      </c>
      <c r="F416" s="10" t="inlineStr">
        <is>
          <t>Normal</t>
        </is>
      </c>
      <c r="G416" s="9" t="n"/>
      <c r="H416" s="11" t="n"/>
      <c r="I416" s="10" t="n"/>
      <c r="J416" s="10" t="n"/>
      <c r="K416" s="10" t="n"/>
    </row>
    <row r="417" ht="18" customHeight="1" s="104">
      <c r="A417" s="6" t="n"/>
      <c r="B417" s="7" t="n"/>
      <c r="C417" s="8" t="n"/>
      <c r="D417" s="9" t="n"/>
      <c r="E417" s="10" t="inlineStr">
        <is>
          <t>Open</t>
        </is>
      </c>
      <c r="F417" s="10" t="inlineStr">
        <is>
          <t>Normal</t>
        </is>
      </c>
      <c r="G417" s="9" t="n"/>
      <c r="H417" s="11" t="n"/>
      <c r="I417" s="10" t="n"/>
      <c r="J417" s="10" t="n"/>
      <c r="K417" s="10" t="n"/>
    </row>
    <row r="418" ht="18" customHeight="1" s="104">
      <c r="A418" s="6" t="n"/>
      <c r="B418" s="7" t="n"/>
      <c r="C418" s="8" t="n"/>
      <c r="D418" s="9" t="n"/>
      <c r="E418" s="10" t="inlineStr">
        <is>
          <t>Open</t>
        </is>
      </c>
      <c r="F418" s="10" t="inlineStr">
        <is>
          <t>Normal</t>
        </is>
      </c>
      <c r="G418" s="9" t="n"/>
      <c r="H418" s="11" t="n"/>
      <c r="I418" s="10" t="n"/>
      <c r="J418" s="10" t="n"/>
      <c r="K418" s="10" t="n"/>
    </row>
    <row r="419" ht="18" customHeight="1" s="104">
      <c r="A419" s="6" t="n"/>
      <c r="B419" s="7" t="n"/>
      <c r="C419" s="8" t="n"/>
      <c r="D419" s="9" t="n"/>
      <c r="E419" s="10" t="inlineStr">
        <is>
          <t>Open</t>
        </is>
      </c>
      <c r="F419" s="10" t="inlineStr">
        <is>
          <t>Normal</t>
        </is>
      </c>
      <c r="G419" s="9" t="n"/>
      <c r="H419" s="11" t="n"/>
      <c r="I419" s="10" t="n"/>
      <c r="J419" s="10" t="n"/>
      <c r="K419" s="10" t="n"/>
    </row>
    <row r="420" ht="18" customHeight="1" s="104">
      <c r="A420" s="6" t="n"/>
      <c r="B420" s="7" t="n"/>
      <c r="C420" s="8" t="n"/>
      <c r="D420" s="9" t="n"/>
      <c r="E420" s="10" t="inlineStr">
        <is>
          <t>Open</t>
        </is>
      </c>
      <c r="F420" s="10" t="inlineStr">
        <is>
          <t>Normal</t>
        </is>
      </c>
      <c r="G420" s="9" t="n"/>
      <c r="H420" s="11" t="n"/>
      <c r="I420" s="10" t="n"/>
      <c r="J420" s="10" t="n"/>
      <c r="K420" s="10" t="n"/>
    </row>
    <row r="421" ht="18" customHeight="1" s="104">
      <c r="A421" s="6" t="n"/>
      <c r="B421" s="7" t="n"/>
      <c r="C421" s="8" t="n"/>
      <c r="D421" s="9" t="n"/>
      <c r="E421" s="10" t="inlineStr">
        <is>
          <t>Open</t>
        </is>
      </c>
      <c r="F421" s="10" t="inlineStr">
        <is>
          <t>Normal</t>
        </is>
      </c>
      <c r="G421" s="9" t="n"/>
      <c r="H421" s="11" t="n"/>
      <c r="I421" s="10" t="n"/>
      <c r="J421" s="10" t="n"/>
      <c r="K421" s="10" t="n"/>
    </row>
    <row r="422" ht="18" customHeight="1" s="104">
      <c r="A422" s="6" t="n"/>
      <c r="B422" s="7" t="n"/>
      <c r="C422" s="8" t="n"/>
      <c r="D422" s="9" t="n"/>
      <c r="E422" s="10" t="inlineStr">
        <is>
          <t>Open</t>
        </is>
      </c>
      <c r="F422" s="10" t="inlineStr">
        <is>
          <t>Normal</t>
        </is>
      </c>
      <c r="G422" s="9" t="n"/>
      <c r="H422" s="11" t="n"/>
      <c r="I422" s="10" t="n"/>
      <c r="J422" s="10" t="n"/>
      <c r="K422" s="10" t="n"/>
    </row>
    <row r="423" ht="18" customHeight="1" s="104">
      <c r="A423" s="6" t="n"/>
      <c r="B423" s="7" t="n"/>
      <c r="C423" s="8" t="n"/>
      <c r="D423" s="9" t="n"/>
      <c r="E423" s="10" t="inlineStr">
        <is>
          <t>Open</t>
        </is>
      </c>
      <c r="F423" s="10" t="inlineStr">
        <is>
          <t>Normal</t>
        </is>
      </c>
      <c r="G423" s="9" t="n"/>
      <c r="H423" s="11" t="n"/>
      <c r="I423" s="10" t="n"/>
      <c r="J423" s="10" t="n"/>
      <c r="K423" s="10" t="n"/>
    </row>
    <row r="424" ht="18" customHeight="1" s="104">
      <c r="A424" s="6" t="n"/>
      <c r="B424" s="7" t="n"/>
      <c r="C424" s="8" t="n"/>
      <c r="D424" s="9" t="n"/>
      <c r="E424" s="10" t="inlineStr">
        <is>
          <t>Open</t>
        </is>
      </c>
      <c r="F424" s="10" t="inlineStr">
        <is>
          <t>Normal</t>
        </is>
      </c>
      <c r="G424" s="9" t="n"/>
      <c r="H424" s="11" t="n"/>
      <c r="I424" s="10" t="n"/>
      <c r="J424" s="10" t="n"/>
      <c r="K424" s="10" t="n"/>
    </row>
    <row r="425" ht="18" customHeight="1" s="104">
      <c r="A425" s="6" t="n"/>
      <c r="B425" s="7" t="n"/>
      <c r="C425" s="8" t="n"/>
      <c r="D425" s="9" t="n"/>
      <c r="E425" s="10" t="inlineStr">
        <is>
          <t>Open</t>
        </is>
      </c>
      <c r="F425" s="10" t="inlineStr">
        <is>
          <t>Normal</t>
        </is>
      </c>
      <c r="G425" s="9" t="n"/>
      <c r="H425" s="11" t="n"/>
      <c r="I425" s="10" t="n"/>
      <c r="J425" s="10" t="n"/>
      <c r="K425" s="10" t="n"/>
    </row>
    <row r="426" ht="18" customHeight="1" s="104">
      <c r="A426" s="6" t="n"/>
      <c r="B426" s="7" t="n"/>
      <c r="C426" s="8" t="n"/>
      <c r="D426" s="9" t="n"/>
      <c r="E426" s="10" t="inlineStr">
        <is>
          <t>Open</t>
        </is>
      </c>
      <c r="F426" s="10" t="inlineStr">
        <is>
          <t>Normal</t>
        </is>
      </c>
      <c r="G426" s="9" t="n"/>
      <c r="H426" s="11" t="n"/>
      <c r="I426" s="10" t="n"/>
      <c r="J426" s="10" t="n"/>
      <c r="K426" s="10" t="n"/>
    </row>
    <row r="427" ht="18" customHeight="1" s="104">
      <c r="A427" s="6" t="n"/>
      <c r="B427" s="7" t="n"/>
      <c r="C427" s="8" t="n"/>
      <c r="D427" s="9" t="n"/>
      <c r="E427" s="10" t="inlineStr">
        <is>
          <t>Open</t>
        </is>
      </c>
      <c r="F427" s="10" t="inlineStr">
        <is>
          <t>Normal</t>
        </is>
      </c>
      <c r="G427" s="9" t="n"/>
      <c r="H427" s="11" t="n"/>
      <c r="I427" s="10" t="n"/>
      <c r="J427" s="10" t="n"/>
      <c r="K427" s="10" t="n"/>
    </row>
    <row r="428" ht="18" customHeight="1" s="104">
      <c r="A428" s="6" t="n"/>
      <c r="B428" s="7" t="n"/>
      <c r="C428" s="8" t="n"/>
      <c r="D428" s="9" t="n"/>
      <c r="E428" s="10" t="inlineStr">
        <is>
          <t>Open</t>
        </is>
      </c>
      <c r="F428" s="10" t="inlineStr">
        <is>
          <t>Normal</t>
        </is>
      </c>
      <c r="G428" s="9" t="n"/>
      <c r="H428" s="11" t="n"/>
      <c r="I428" s="10" t="n"/>
      <c r="J428" s="10" t="n"/>
      <c r="K428" s="10" t="n"/>
    </row>
    <row r="429" ht="18" customHeight="1" s="104">
      <c r="A429" s="6" t="n"/>
      <c r="B429" s="7" t="n"/>
      <c r="C429" s="8" t="n"/>
      <c r="D429" s="9" t="n"/>
      <c r="E429" s="10" t="inlineStr">
        <is>
          <t>Open</t>
        </is>
      </c>
      <c r="F429" s="10" t="inlineStr">
        <is>
          <t>Normal</t>
        </is>
      </c>
      <c r="G429" s="9" t="n"/>
      <c r="H429" s="11" t="n"/>
      <c r="I429" s="10" t="n"/>
      <c r="J429" s="10" t="n"/>
      <c r="K429" s="10" t="n"/>
    </row>
    <row r="430" ht="18" customHeight="1" s="104">
      <c r="A430" s="6" t="n"/>
      <c r="B430" s="7" t="n"/>
      <c r="C430" s="8" t="n"/>
      <c r="D430" s="9" t="n"/>
      <c r="E430" s="10" t="inlineStr">
        <is>
          <t>Open</t>
        </is>
      </c>
      <c r="F430" s="10" t="inlineStr">
        <is>
          <t>Normal</t>
        </is>
      </c>
      <c r="G430" s="9" t="n"/>
      <c r="H430" s="11" t="n"/>
      <c r="I430" s="10" t="n"/>
      <c r="J430" s="10" t="n"/>
      <c r="K430" s="10" t="n"/>
    </row>
    <row r="431" ht="18" customHeight="1" s="104">
      <c r="A431" s="6" t="n"/>
      <c r="B431" s="7" t="n"/>
      <c r="C431" s="8" t="n"/>
      <c r="D431" s="9" t="n"/>
      <c r="E431" s="10" t="inlineStr">
        <is>
          <t>Open</t>
        </is>
      </c>
      <c r="F431" s="10" t="inlineStr">
        <is>
          <t>Normal</t>
        </is>
      </c>
      <c r="G431" s="9" t="n"/>
      <c r="H431" s="11" t="n"/>
      <c r="I431" s="10" t="n"/>
      <c r="J431" s="10" t="n"/>
      <c r="K431" s="10" t="n"/>
    </row>
    <row r="432" ht="18" customHeight="1" s="104">
      <c r="A432" s="6" t="n"/>
      <c r="B432" s="7" t="n"/>
      <c r="C432" s="8" t="n"/>
      <c r="D432" s="9" t="n"/>
      <c r="E432" s="10" t="inlineStr">
        <is>
          <t>Open</t>
        </is>
      </c>
      <c r="F432" s="10" t="inlineStr">
        <is>
          <t>Normal</t>
        </is>
      </c>
      <c r="G432" s="9" t="n"/>
      <c r="H432" s="11" t="n"/>
      <c r="I432" s="10" t="n"/>
      <c r="J432" s="10" t="n"/>
      <c r="K432" s="10" t="n"/>
    </row>
    <row r="433" ht="18" customHeight="1" s="104">
      <c r="A433" s="6" t="n"/>
      <c r="B433" s="7" t="n"/>
      <c r="C433" s="8" t="n"/>
      <c r="D433" s="9" t="n"/>
      <c r="E433" s="10" t="inlineStr">
        <is>
          <t>Open</t>
        </is>
      </c>
      <c r="F433" s="10" t="inlineStr">
        <is>
          <t>Normal</t>
        </is>
      </c>
      <c r="G433" s="9" t="n"/>
      <c r="H433" s="11" t="n"/>
      <c r="I433" s="10" t="n"/>
      <c r="J433" s="10" t="n"/>
      <c r="K433" s="10" t="n"/>
    </row>
    <row r="434" ht="18" customHeight="1" s="104">
      <c r="A434" s="6" t="n"/>
      <c r="B434" s="7" t="n"/>
      <c r="C434" s="8" t="n"/>
      <c r="D434" s="9" t="n"/>
      <c r="E434" s="10" t="inlineStr">
        <is>
          <t>Open</t>
        </is>
      </c>
      <c r="F434" s="10" t="inlineStr">
        <is>
          <t>Normal</t>
        </is>
      </c>
      <c r="G434" s="9" t="n"/>
      <c r="H434" s="11" t="n"/>
      <c r="I434" s="10" t="n"/>
      <c r="J434" s="10" t="n"/>
      <c r="K434" s="10" t="n"/>
    </row>
    <row r="435" ht="18" customHeight="1" s="104">
      <c r="A435" s="6" t="n"/>
      <c r="B435" s="7" t="n"/>
      <c r="C435" s="8" t="n"/>
      <c r="D435" s="9" t="n"/>
      <c r="E435" s="10" t="inlineStr">
        <is>
          <t>Open</t>
        </is>
      </c>
      <c r="F435" s="10" t="inlineStr">
        <is>
          <t>Normal</t>
        </is>
      </c>
      <c r="G435" s="9" t="n"/>
      <c r="H435" s="11" t="n"/>
      <c r="I435" s="10" t="n"/>
      <c r="J435" s="10" t="n"/>
      <c r="K435" s="10" t="n"/>
    </row>
    <row r="436" ht="18" customHeight="1" s="104">
      <c r="A436" s="6" t="n"/>
      <c r="B436" s="7" t="n"/>
      <c r="C436" s="8" t="n"/>
      <c r="D436" s="9" t="n"/>
      <c r="E436" s="10" t="inlineStr">
        <is>
          <t>Open</t>
        </is>
      </c>
      <c r="F436" s="10" t="inlineStr">
        <is>
          <t>Normal</t>
        </is>
      </c>
      <c r="G436" s="9" t="n"/>
      <c r="H436" s="11" t="n"/>
      <c r="I436" s="10" t="n"/>
      <c r="J436" s="10" t="n"/>
      <c r="K436" s="10" t="n"/>
    </row>
    <row r="437" ht="18" customHeight="1" s="104">
      <c r="A437" s="6" t="n"/>
      <c r="B437" s="7" t="n"/>
      <c r="C437" s="8" t="n"/>
      <c r="D437" s="9" t="n"/>
      <c r="E437" s="10" t="inlineStr">
        <is>
          <t>Open</t>
        </is>
      </c>
      <c r="F437" s="10" t="inlineStr">
        <is>
          <t>Normal</t>
        </is>
      </c>
      <c r="G437" s="9" t="n"/>
      <c r="H437" s="11" t="n"/>
      <c r="I437" s="10" t="n"/>
      <c r="J437" s="10" t="n"/>
      <c r="K437" s="10" t="n"/>
    </row>
    <row r="438" ht="18" customHeight="1" s="104">
      <c r="A438" s="6" t="n"/>
      <c r="B438" s="7" t="n"/>
      <c r="C438" s="8" t="n"/>
      <c r="D438" s="9" t="n"/>
      <c r="E438" s="10" t="inlineStr">
        <is>
          <t>Open</t>
        </is>
      </c>
      <c r="F438" s="10" t="inlineStr">
        <is>
          <t>Normal</t>
        </is>
      </c>
      <c r="G438" s="9" t="n"/>
      <c r="H438" s="11" t="n"/>
      <c r="I438" s="10" t="n"/>
      <c r="J438" s="10" t="n"/>
      <c r="K438" s="10" t="n"/>
    </row>
    <row r="439" ht="18" customHeight="1" s="104">
      <c r="A439" s="6" t="n"/>
      <c r="B439" s="7" t="n"/>
      <c r="C439" s="8" t="n"/>
      <c r="D439" s="9" t="n"/>
      <c r="E439" s="10" t="inlineStr">
        <is>
          <t>Open</t>
        </is>
      </c>
      <c r="F439" s="10" t="inlineStr">
        <is>
          <t>Normal</t>
        </is>
      </c>
      <c r="G439" s="9" t="n"/>
      <c r="H439" s="11" t="n"/>
      <c r="I439" s="10" t="n"/>
      <c r="J439" s="10" t="n"/>
      <c r="K439" s="10" t="n"/>
    </row>
    <row r="440" ht="18" customHeight="1" s="104">
      <c r="A440" s="6" t="n"/>
      <c r="B440" s="7" t="n"/>
      <c r="C440" s="8" t="n"/>
      <c r="D440" s="9" t="n"/>
      <c r="E440" s="10" t="inlineStr">
        <is>
          <t>Open</t>
        </is>
      </c>
      <c r="F440" s="10" t="inlineStr">
        <is>
          <t>Normal</t>
        </is>
      </c>
      <c r="G440" s="9" t="n"/>
      <c r="H440" s="11" t="n"/>
      <c r="I440" s="10" t="n"/>
      <c r="J440" s="10" t="n"/>
      <c r="K440" s="10" t="n"/>
    </row>
    <row r="441" ht="18" customHeight="1" s="104">
      <c r="A441" s="6" t="n"/>
      <c r="B441" s="7" t="n"/>
      <c r="C441" s="8" t="n"/>
      <c r="D441" s="9" t="n"/>
      <c r="E441" s="10" t="inlineStr">
        <is>
          <t>Open</t>
        </is>
      </c>
      <c r="F441" s="10" t="inlineStr">
        <is>
          <t>Normal</t>
        </is>
      </c>
      <c r="G441" s="9" t="n"/>
      <c r="H441" s="11" t="n"/>
      <c r="I441" s="10" t="n"/>
      <c r="J441" s="10" t="n"/>
      <c r="K441" s="10" t="n"/>
    </row>
    <row r="442" ht="18" customHeight="1" s="104">
      <c r="A442" s="6" t="n"/>
      <c r="B442" s="7" t="n"/>
      <c r="C442" s="8" t="n"/>
      <c r="D442" s="9" t="n"/>
      <c r="E442" s="10" t="inlineStr">
        <is>
          <t>Open</t>
        </is>
      </c>
      <c r="F442" s="10" t="inlineStr">
        <is>
          <t>Normal</t>
        </is>
      </c>
      <c r="G442" s="9" t="n"/>
      <c r="H442" s="11" t="n"/>
      <c r="I442" s="10" t="n"/>
      <c r="J442" s="10" t="n"/>
      <c r="K442" s="10" t="n"/>
    </row>
    <row r="443" ht="18" customHeight="1" s="104">
      <c r="A443" s="6" t="n"/>
      <c r="B443" s="7" t="n"/>
      <c r="C443" s="8" t="n"/>
      <c r="D443" s="9" t="n"/>
      <c r="E443" s="10" t="inlineStr">
        <is>
          <t>Open</t>
        </is>
      </c>
      <c r="F443" s="10" t="inlineStr">
        <is>
          <t>Normal</t>
        </is>
      </c>
      <c r="G443" s="9" t="n"/>
      <c r="H443" s="11" t="n"/>
      <c r="I443" s="10" t="n"/>
      <c r="J443" s="10" t="n"/>
      <c r="K443" s="10" t="n"/>
    </row>
    <row r="444" ht="18" customHeight="1" s="104">
      <c r="A444" s="6" t="n"/>
      <c r="B444" s="7" t="n"/>
      <c r="C444" s="8" t="n"/>
      <c r="D444" s="9" t="n"/>
      <c r="E444" s="10" t="inlineStr">
        <is>
          <t>Open</t>
        </is>
      </c>
      <c r="F444" s="10" t="inlineStr">
        <is>
          <t>Normal</t>
        </is>
      </c>
      <c r="G444" s="9" t="n"/>
      <c r="H444" s="11" t="n"/>
      <c r="I444" s="10" t="n"/>
      <c r="J444" s="10" t="n"/>
      <c r="K444" s="10" t="n"/>
    </row>
    <row r="445" ht="18" customHeight="1" s="104">
      <c r="A445" s="6" t="n"/>
      <c r="B445" s="7" t="n"/>
      <c r="C445" s="8" t="n"/>
      <c r="D445" s="9" t="n"/>
      <c r="E445" s="10" t="inlineStr">
        <is>
          <t>Open</t>
        </is>
      </c>
      <c r="F445" s="10" t="inlineStr">
        <is>
          <t>Normal</t>
        </is>
      </c>
      <c r="G445" s="9" t="n"/>
      <c r="H445" s="11" t="n"/>
      <c r="I445" s="10" t="n"/>
      <c r="J445" s="10" t="n"/>
      <c r="K445" s="10" t="n"/>
    </row>
    <row r="446" ht="18" customHeight="1" s="104">
      <c r="A446" s="6" t="n"/>
      <c r="B446" s="7" t="n"/>
      <c r="C446" s="8" t="n"/>
      <c r="D446" s="9" t="n"/>
      <c r="E446" s="10" t="inlineStr">
        <is>
          <t>Open</t>
        </is>
      </c>
      <c r="F446" s="10" t="inlineStr">
        <is>
          <t>Normal</t>
        </is>
      </c>
      <c r="G446" s="9" t="n"/>
      <c r="H446" s="11" t="n"/>
      <c r="I446" s="10" t="n"/>
      <c r="J446" s="10" t="n"/>
      <c r="K446" s="10" t="n"/>
    </row>
    <row r="447" ht="18" customHeight="1" s="104">
      <c r="A447" s="6" t="n"/>
      <c r="B447" s="7" t="n"/>
      <c r="C447" s="8" t="n"/>
      <c r="D447" s="9" t="n"/>
      <c r="E447" s="10" t="inlineStr">
        <is>
          <t>Open</t>
        </is>
      </c>
      <c r="F447" s="10" t="inlineStr">
        <is>
          <t>Normal</t>
        </is>
      </c>
      <c r="G447" s="9" t="n"/>
      <c r="H447" s="11" t="n"/>
      <c r="I447" s="10" t="n"/>
      <c r="J447" s="10" t="n"/>
      <c r="K447" s="10" t="n"/>
    </row>
    <row r="448" ht="18" customHeight="1" s="104">
      <c r="A448" s="6" t="n"/>
      <c r="B448" s="7" t="n"/>
      <c r="C448" s="8" t="n"/>
      <c r="D448" s="9" t="n"/>
      <c r="E448" s="10" t="inlineStr">
        <is>
          <t>Open</t>
        </is>
      </c>
      <c r="F448" s="10" t="inlineStr">
        <is>
          <t>Normal</t>
        </is>
      </c>
      <c r="G448" s="9" t="n"/>
      <c r="H448" s="11" t="n"/>
      <c r="I448" s="10" t="n"/>
      <c r="J448" s="10" t="n"/>
      <c r="K448" s="10" t="n"/>
    </row>
    <row r="449" ht="18" customHeight="1" s="104">
      <c r="A449" s="6" t="n"/>
      <c r="B449" s="7" t="n"/>
      <c r="C449" s="8" t="n"/>
      <c r="D449" s="9" t="n"/>
      <c r="E449" s="10" t="inlineStr">
        <is>
          <t>Open</t>
        </is>
      </c>
      <c r="F449" s="10" t="inlineStr">
        <is>
          <t>Normal</t>
        </is>
      </c>
      <c r="G449" s="9" t="n"/>
      <c r="H449" s="11" t="n"/>
      <c r="I449" s="10" t="n"/>
      <c r="J449" s="10" t="n"/>
      <c r="K449" s="10" t="n"/>
    </row>
    <row r="450" ht="18" customHeight="1" s="104">
      <c r="A450" s="6" t="n"/>
      <c r="B450" s="7" t="n"/>
      <c r="C450" s="8" t="n"/>
      <c r="D450" s="9" t="n"/>
      <c r="E450" s="10" t="inlineStr">
        <is>
          <t>Open</t>
        </is>
      </c>
      <c r="F450" s="10" t="inlineStr">
        <is>
          <t>Normal</t>
        </is>
      </c>
      <c r="G450" s="9" t="n"/>
      <c r="H450" s="11" t="n"/>
      <c r="I450" s="10" t="n"/>
      <c r="J450" s="10" t="n"/>
      <c r="K450" s="10" t="n"/>
    </row>
    <row r="451" ht="18" customHeight="1" s="104">
      <c r="A451" s="6" t="n"/>
      <c r="B451" s="7" t="n"/>
      <c r="C451" s="8" t="n"/>
      <c r="D451" s="9" t="n"/>
      <c r="E451" s="10" t="inlineStr">
        <is>
          <t>Open</t>
        </is>
      </c>
      <c r="F451" s="10" t="inlineStr">
        <is>
          <t>Normal</t>
        </is>
      </c>
      <c r="G451" s="9" t="n"/>
      <c r="H451" s="11" t="n"/>
      <c r="I451" s="10" t="n"/>
      <c r="J451" s="10" t="n"/>
      <c r="K451" s="10" t="n"/>
    </row>
    <row r="452" ht="18" customHeight="1" s="104">
      <c r="A452" s="6" t="n"/>
      <c r="B452" s="7" t="n"/>
      <c r="C452" s="8" t="n"/>
      <c r="D452" s="9" t="n"/>
      <c r="E452" s="10" t="inlineStr">
        <is>
          <t>Open</t>
        </is>
      </c>
      <c r="F452" s="10" t="inlineStr">
        <is>
          <t>Normal</t>
        </is>
      </c>
      <c r="G452" s="9" t="n"/>
      <c r="H452" s="11" t="n"/>
      <c r="I452" s="10" t="n"/>
      <c r="J452" s="10" t="n"/>
      <c r="K452" s="10" t="n"/>
    </row>
    <row r="453" ht="18" customHeight="1" s="104">
      <c r="A453" s="6" t="n"/>
      <c r="B453" s="7" t="n"/>
      <c r="C453" s="8" t="n"/>
      <c r="D453" s="9" t="n"/>
      <c r="E453" s="10" t="inlineStr">
        <is>
          <t>Open</t>
        </is>
      </c>
      <c r="F453" s="10" t="inlineStr">
        <is>
          <t>Normal</t>
        </is>
      </c>
      <c r="G453" s="9" t="n"/>
      <c r="H453" s="11" t="n"/>
      <c r="I453" s="10" t="n"/>
      <c r="J453" s="10" t="n"/>
      <c r="K453" s="10" t="n"/>
    </row>
    <row r="454" ht="18" customHeight="1" s="104">
      <c r="A454" s="6" t="n"/>
      <c r="B454" s="7" t="n"/>
      <c r="C454" s="8" t="n"/>
      <c r="D454" s="9" t="n"/>
      <c r="E454" s="10" t="inlineStr">
        <is>
          <t>Open</t>
        </is>
      </c>
      <c r="F454" s="10" t="inlineStr">
        <is>
          <t>Normal</t>
        </is>
      </c>
      <c r="G454" s="9" t="n"/>
      <c r="H454" s="11" t="n"/>
      <c r="I454" s="10" t="n"/>
      <c r="J454" s="10" t="n"/>
      <c r="K454" s="10" t="n"/>
    </row>
    <row r="455" ht="18" customHeight="1" s="104">
      <c r="A455" s="6" t="n"/>
      <c r="B455" s="7" t="n"/>
      <c r="C455" s="8" t="n"/>
      <c r="D455" s="9" t="n"/>
      <c r="E455" s="10" t="inlineStr">
        <is>
          <t>Open</t>
        </is>
      </c>
      <c r="F455" s="10" t="inlineStr">
        <is>
          <t>Normal</t>
        </is>
      </c>
      <c r="G455" s="9" t="n"/>
      <c r="H455" s="11" t="n"/>
      <c r="I455" s="10" t="n"/>
      <c r="J455" s="10" t="n"/>
      <c r="K455" s="10" t="n"/>
    </row>
    <row r="456" ht="18" customHeight="1" s="104">
      <c r="A456" s="6" t="n"/>
      <c r="B456" s="7" t="n"/>
      <c r="C456" s="8" t="n"/>
      <c r="D456" s="9" t="n"/>
      <c r="E456" s="10" t="inlineStr">
        <is>
          <t>Open</t>
        </is>
      </c>
      <c r="F456" s="10" t="inlineStr">
        <is>
          <t>Normal</t>
        </is>
      </c>
      <c r="G456" s="9" t="n"/>
      <c r="H456" s="11" t="n"/>
      <c r="I456" s="10" t="n"/>
      <c r="J456" s="10" t="n"/>
      <c r="K456" s="10" t="n"/>
    </row>
    <row r="457" ht="18" customHeight="1" s="104">
      <c r="A457" s="6" t="n"/>
      <c r="B457" s="7" t="n"/>
      <c r="C457" s="8" t="n"/>
      <c r="D457" s="9" t="n"/>
      <c r="E457" s="10" t="inlineStr">
        <is>
          <t>Open</t>
        </is>
      </c>
      <c r="F457" s="10" t="inlineStr">
        <is>
          <t>Normal</t>
        </is>
      </c>
      <c r="G457" s="9" t="n"/>
      <c r="H457" s="11" t="n"/>
      <c r="I457" s="10" t="n"/>
      <c r="J457" s="10" t="n"/>
      <c r="K457" s="10" t="n"/>
    </row>
    <row r="458" ht="18" customHeight="1" s="104">
      <c r="A458" s="6" t="n"/>
      <c r="B458" s="7" t="n"/>
      <c r="C458" s="8" t="n"/>
      <c r="D458" s="9" t="n"/>
      <c r="E458" s="10" t="inlineStr">
        <is>
          <t>Open</t>
        </is>
      </c>
      <c r="F458" s="10" t="inlineStr">
        <is>
          <t>Normal</t>
        </is>
      </c>
      <c r="G458" s="9" t="n"/>
      <c r="H458" s="11" t="n"/>
      <c r="I458" s="10" t="n"/>
      <c r="J458" s="10" t="n"/>
      <c r="K458" s="10" t="n"/>
    </row>
    <row r="459" ht="18" customHeight="1" s="104">
      <c r="A459" s="6" t="n"/>
      <c r="B459" s="69" t="n"/>
      <c r="C459" s="8" t="n"/>
      <c r="D459" s="9" t="n"/>
      <c r="E459" s="10" t="inlineStr">
        <is>
          <t>Open</t>
        </is>
      </c>
      <c r="F459" s="10" t="inlineStr">
        <is>
          <t>Normal</t>
        </is>
      </c>
      <c r="G459" s="9" t="n"/>
      <c r="H459" s="11" t="n"/>
      <c r="I459" s="10" t="n"/>
      <c r="J459" s="10" t="n"/>
      <c r="K459" s="10" t="n"/>
    </row>
    <row r="460" ht="18" customHeight="1" s="104">
      <c r="A460" s="6" t="n"/>
      <c r="B460" s="7" t="n"/>
      <c r="C460" s="8" t="n"/>
      <c r="D460" s="9" t="n"/>
      <c r="E460" s="10" t="inlineStr">
        <is>
          <t>Open</t>
        </is>
      </c>
      <c r="F460" s="10" t="inlineStr">
        <is>
          <t>Normal</t>
        </is>
      </c>
      <c r="G460" s="9" t="n"/>
      <c r="H460" s="11" t="n"/>
      <c r="I460" s="10" t="n"/>
      <c r="J460" s="10" t="n"/>
      <c r="K460" s="10" t="n"/>
    </row>
    <row r="461" ht="18" customHeight="1" s="104">
      <c r="A461" s="6" t="n"/>
      <c r="B461" s="7" t="n"/>
      <c r="C461" s="8" t="n"/>
      <c r="D461" s="9" t="n"/>
      <c r="E461" s="10" t="inlineStr">
        <is>
          <t>Open</t>
        </is>
      </c>
      <c r="F461" s="10" t="inlineStr">
        <is>
          <t>Normal</t>
        </is>
      </c>
      <c r="G461" s="9" t="n"/>
      <c r="H461" s="11" t="n"/>
      <c r="I461" s="10" t="n"/>
      <c r="J461" s="10" t="n"/>
      <c r="K461" s="10" t="n"/>
    </row>
    <row r="462" ht="18" customHeight="1" s="104">
      <c r="A462" s="6" t="n"/>
      <c r="B462" s="7" t="n"/>
      <c r="C462" s="8" t="n"/>
      <c r="D462" s="9" t="n"/>
      <c r="E462" s="10" t="inlineStr">
        <is>
          <t>Open</t>
        </is>
      </c>
      <c r="F462" s="10" t="inlineStr">
        <is>
          <t>Normal</t>
        </is>
      </c>
      <c r="G462" s="9" t="n"/>
      <c r="H462" s="11" t="n"/>
      <c r="I462" s="10" t="n"/>
      <c r="J462" s="10" t="n"/>
      <c r="K462" s="10" t="n"/>
    </row>
    <row r="463" ht="18" customHeight="1" s="104">
      <c r="A463" s="6" t="n"/>
      <c r="B463" s="7" t="n"/>
      <c r="C463" s="8" t="n"/>
      <c r="D463" s="9" t="n"/>
      <c r="E463" s="10" t="inlineStr">
        <is>
          <t>Open</t>
        </is>
      </c>
      <c r="F463" s="10" t="inlineStr">
        <is>
          <t>Normal</t>
        </is>
      </c>
      <c r="G463" s="9" t="n"/>
      <c r="H463" s="11" t="n"/>
      <c r="I463" s="10" t="n"/>
      <c r="J463" s="10" t="n"/>
      <c r="K463" s="10" t="n"/>
    </row>
    <row r="464" ht="18" customHeight="1" s="104">
      <c r="A464" s="6" t="n"/>
      <c r="B464" s="7" t="n"/>
      <c r="C464" s="8" t="n"/>
      <c r="D464" s="9" t="n"/>
      <c r="E464" s="10" t="inlineStr">
        <is>
          <t>Open</t>
        </is>
      </c>
      <c r="F464" s="10" t="inlineStr">
        <is>
          <t>Normal</t>
        </is>
      </c>
      <c r="G464" s="9" t="n"/>
      <c r="H464" s="11" t="n"/>
      <c r="I464" s="10" t="n"/>
      <c r="J464" s="10" t="n"/>
      <c r="K464" s="10" t="n"/>
    </row>
    <row r="465" ht="18" customHeight="1" s="104">
      <c r="A465" s="6" t="n"/>
      <c r="B465" s="7" t="n"/>
      <c r="C465" s="8" t="n"/>
      <c r="D465" s="9" t="n"/>
      <c r="E465" s="10" t="inlineStr">
        <is>
          <t>Open</t>
        </is>
      </c>
      <c r="F465" s="10" t="inlineStr">
        <is>
          <t>Normal</t>
        </is>
      </c>
      <c r="G465" s="9" t="n"/>
      <c r="H465" s="11" t="n"/>
      <c r="I465" s="10" t="n"/>
      <c r="J465" s="10" t="n"/>
      <c r="K465" s="10" t="n"/>
    </row>
    <row r="466" ht="18" customHeight="1" s="104">
      <c r="A466" s="6" t="n"/>
      <c r="B466" s="7" t="n"/>
      <c r="C466" s="8" t="n"/>
      <c r="D466" s="9" t="n"/>
      <c r="E466" s="10" t="inlineStr">
        <is>
          <t>Open</t>
        </is>
      </c>
      <c r="F466" s="10" t="inlineStr">
        <is>
          <t>Normal</t>
        </is>
      </c>
      <c r="G466" s="9" t="n"/>
      <c r="H466" s="11" t="n"/>
      <c r="I466" s="10" t="n"/>
      <c r="J466" s="10" t="n"/>
      <c r="K466" s="10" t="n"/>
    </row>
    <row r="467" ht="18" customHeight="1" s="104">
      <c r="A467" s="6" t="n"/>
      <c r="B467" s="7" t="n"/>
      <c r="C467" s="8" t="n"/>
      <c r="D467" s="9" t="n"/>
      <c r="E467" s="10" t="inlineStr">
        <is>
          <t>Open</t>
        </is>
      </c>
      <c r="F467" s="10" t="inlineStr">
        <is>
          <t>Normal</t>
        </is>
      </c>
      <c r="G467" s="9" t="n"/>
      <c r="H467" s="11" t="n"/>
      <c r="I467" s="10" t="n"/>
      <c r="J467" s="10" t="n"/>
      <c r="K467" s="10" t="n"/>
    </row>
    <row r="468" ht="18" customHeight="1" s="104">
      <c r="A468" s="6" t="n"/>
      <c r="B468" s="7" t="n"/>
      <c r="C468" s="8" t="n"/>
      <c r="D468" s="9" t="n"/>
      <c r="E468" s="10" t="inlineStr">
        <is>
          <t>Open</t>
        </is>
      </c>
      <c r="F468" s="10" t="inlineStr">
        <is>
          <t>Normal</t>
        </is>
      </c>
      <c r="G468" s="9" t="n"/>
      <c r="H468" s="11" t="n"/>
      <c r="I468" s="10" t="n"/>
      <c r="J468" s="10" t="n"/>
      <c r="K468" s="10" t="n"/>
    </row>
    <row r="469" ht="18" customHeight="1" s="104">
      <c r="A469" s="6" t="n"/>
      <c r="B469" s="7" t="n"/>
      <c r="C469" s="8" t="n"/>
      <c r="D469" s="9" t="n"/>
      <c r="E469" s="10" t="inlineStr">
        <is>
          <t>Open</t>
        </is>
      </c>
      <c r="F469" s="10" t="inlineStr">
        <is>
          <t>Normal</t>
        </is>
      </c>
      <c r="G469" s="9" t="n"/>
      <c r="H469" s="11" t="n"/>
      <c r="I469" s="10" t="n"/>
      <c r="J469" s="10" t="n"/>
      <c r="K469" s="10" t="n"/>
    </row>
    <row r="470" ht="18" customHeight="1" s="104">
      <c r="A470" s="6" t="n"/>
      <c r="B470" s="7" t="n"/>
      <c r="C470" s="8" t="n"/>
      <c r="D470" s="9" t="n"/>
      <c r="E470" s="10" t="inlineStr">
        <is>
          <t>Open</t>
        </is>
      </c>
      <c r="F470" s="10" t="inlineStr">
        <is>
          <t>Normal</t>
        </is>
      </c>
      <c r="G470" s="9" t="n"/>
      <c r="H470" s="11" t="n"/>
      <c r="I470" s="10" t="n"/>
      <c r="J470" s="10" t="n"/>
      <c r="K470" s="10" t="n"/>
    </row>
    <row r="471" ht="18" customHeight="1" s="104">
      <c r="A471" s="6" t="n"/>
      <c r="B471" s="7" t="n"/>
      <c r="C471" s="8" t="n"/>
      <c r="D471" s="9" t="n"/>
      <c r="E471" s="10" t="inlineStr">
        <is>
          <t>Open</t>
        </is>
      </c>
      <c r="F471" s="10" t="inlineStr">
        <is>
          <t>Normal</t>
        </is>
      </c>
      <c r="G471" s="9" t="n"/>
      <c r="H471" s="11" t="n"/>
      <c r="I471" s="10" t="n"/>
      <c r="J471" s="10" t="n"/>
      <c r="K471" s="10" t="n"/>
    </row>
    <row r="472" ht="18" customHeight="1" s="104">
      <c r="A472" s="6" t="n"/>
      <c r="B472" s="7" t="n"/>
      <c r="C472" s="8" t="n"/>
      <c r="D472" s="9" t="n"/>
      <c r="E472" s="10" t="inlineStr">
        <is>
          <t>Open</t>
        </is>
      </c>
      <c r="F472" s="10" t="inlineStr">
        <is>
          <t>Normal</t>
        </is>
      </c>
      <c r="G472" s="9" t="n"/>
      <c r="H472" s="11" t="n"/>
      <c r="I472" s="10" t="n"/>
      <c r="J472" s="10" t="n"/>
      <c r="K472" s="10" t="n"/>
    </row>
    <row r="473" ht="18" customHeight="1" s="104">
      <c r="A473" s="6" t="n"/>
      <c r="B473" s="7" t="n"/>
      <c r="C473" s="8" t="n"/>
      <c r="D473" s="9" t="n"/>
      <c r="E473" s="10" t="inlineStr">
        <is>
          <t>Open</t>
        </is>
      </c>
      <c r="F473" s="10" t="inlineStr">
        <is>
          <t>Normal</t>
        </is>
      </c>
      <c r="G473" s="9" t="n"/>
      <c r="H473" s="11" t="n"/>
      <c r="I473" s="10" t="n"/>
      <c r="J473" s="10" t="n"/>
      <c r="K473" s="10" t="n"/>
    </row>
    <row r="474" ht="18" customHeight="1" s="104">
      <c r="A474" s="6" t="n"/>
      <c r="B474" s="7" t="n"/>
      <c r="C474" s="8" t="n"/>
      <c r="D474" s="9" t="n"/>
      <c r="E474" s="10" t="inlineStr">
        <is>
          <t>Open</t>
        </is>
      </c>
      <c r="F474" s="10" t="inlineStr">
        <is>
          <t>Normal</t>
        </is>
      </c>
      <c r="G474" s="9" t="n"/>
      <c r="H474" s="11" t="n"/>
      <c r="I474" s="10" t="n"/>
      <c r="J474" s="10" t="n"/>
      <c r="K474" s="10" t="n"/>
    </row>
    <row r="475" ht="18" customHeight="1" s="104">
      <c r="A475" s="6" t="n"/>
      <c r="B475" s="7" t="n"/>
      <c r="C475" s="8" t="n"/>
      <c r="D475" s="9" t="n"/>
      <c r="E475" s="10" t="inlineStr">
        <is>
          <t>Open</t>
        </is>
      </c>
      <c r="F475" s="10" t="inlineStr">
        <is>
          <t>Normal</t>
        </is>
      </c>
      <c r="G475" s="9" t="n"/>
      <c r="H475" s="11" t="n"/>
      <c r="I475" s="10" t="n"/>
      <c r="J475" s="10" t="n"/>
      <c r="K475" s="10" t="n"/>
    </row>
    <row r="476" ht="18" customHeight="1" s="104">
      <c r="A476" s="6" t="n"/>
      <c r="B476" s="7" t="n"/>
      <c r="C476" s="8" t="n"/>
      <c r="D476" s="9" t="n"/>
      <c r="E476" s="10" t="inlineStr">
        <is>
          <t>Open</t>
        </is>
      </c>
      <c r="F476" s="10" t="inlineStr">
        <is>
          <t>Normal</t>
        </is>
      </c>
      <c r="G476" s="9" t="n"/>
      <c r="H476" s="11" t="n"/>
      <c r="I476" s="10" t="n"/>
      <c r="J476" s="10" t="n"/>
      <c r="K476" s="10" t="n"/>
    </row>
    <row r="477" ht="18" customHeight="1" s="104">
      <c r="A477" s="6" t="n"/>
      <c r="B477" s="7" t="n"/>
      <c r="C477" s="8" t="n"/>
      <c r="D477" s="9" t="n"/>
      <c r="E477" s="10" t="inlineStr">
        <is>
          <t>Open</t>
        </is>
      </c>
      <c r="F477" s="10" t="inlineStr">
        <is>
          <t>Normal</t>
        </is>
      </c>
      <c r="G477" s="9" t="n"/>
      <c r="H477" s="11" t="n"/>
      <c r="I477" s="10" t="n"/>
      <c r="J477" s="10" t="n"/>
      <c r="K477" s="10" t="n"/>
    </row>
    <row r="478" ht="18" customHeight="1" s="104">
      <c r="A478" s="6" t="n"/>
      <c r="B478" s="7" t="n"/>
      <c r="C478" s="8" t="n"/>
      <c r="D478" s="9" t="n"/>
      <c r="E478" s="10" t="inlineStr">
        <is>
          <t>Open</t>
        </is>
      </c>
      <c r="F478" s="10" t="inlineStr">
        <is>
          <t>Normal</t>
        </is>
      </c>
      <c r="G478" s="9" t="n"/>
      <c r="H478" s="11" t="n"/>
      <c r="I478" s="10" t="n"/>
      <c r="J478" s="10" t="n"/>
      <c r="K478" s="10" t="n"/>
    </row>
    <row r="479" ht="18" customHeight="1" s="104">
      <c r="A479" s="6" t="n"/>
      <c r="B479" s="7" t="n"/>
      <c r="C479" s="8" t="n"/>
      <c r="D479" s="9" t="n"/>
      <c r="E479" s="10" t="inlineStr">
        <is>
          <t>Open</t>
        </is>
      </c>
      <c r="F479" s="10" t="inlineStr">
        <is>
          <t>Normal</t>
        </is>
      </c>
      <c r="G479" s="9" t="n"/>
      <c r="H479" s="11" t="n"/>
      <c r="I479" s="10" t="n"/>
      <c r="J479" s="10" t="n"/>
      <c r="K479" s="10" t="n"/>
    </row>
    <row r="480" ht="18" customHeight="1" s="104">
      <c r="A480" s="6" t="n"/>
      <c r="B480" s="7" t="n"/>
      <c r="C480" s="8" t="n"/>
      <c r="D480" s="9" t="n"/>
      <c r="E480" s="10" t="inlineStr">
        <is>
          <t>Open</t>
        </is>
      </c>
      <c r="F480" s="10" t="inlineStr">
        <is>
          <t>Normal</t>
        </is>
      </c>
      <c r="G480" s="9" t="n"/>
      <c r="H480" s="11" t="n"/>
      <c r="I480" s="10" t="n"/>
      <c r="J480" s="10" t="n"/>
      <c r="K480" s="10" t="n"/>
    </row>
    <row r="481" ht="18" customHeight="1" s="104">
      <c r="A481" s="6" t="n"/>
      <c r="B481" s="7" t="n"/>
      <c r="C481" s="8" t="n"/>
      <c r="D481" s="9" t="n"/>
      <c r="E481" s="10" t="inlineStr">
        <is>
          <t>Open</t>
        </is>
      </c>
      <c r="F481" s="10" t="inlineStr">
        <is>
          <t>Normal</t>
        </is>
      </c>
      <c r="G481" s="9" t="n"/>
      <c r="H481" s="11" t="n"/>
      <c r="I481" s="10" t="n"/>
      <c r="J481" s="10" t="n"/>
      <c r="K481" s="10" t="n"/>
    </row>
    <row r="482" ht="18" customHeight="1" s="104">
      <c r="A482" s="6" t="n"/>
      <c r="B482" s="7" t="n"/>
      <c r="C482" s="8" t="n"/>
      <c r="D482" s="9" t="n"/>
      <c r="E482" s="10" t="inlineStr">
        <is>
          <t>Open</t>
        </is>
      </c>
      <c r="F482" s="10" t="inlineStr">
        <is>
          <t>Normal</t>
        </is>
      </c>
      <c r="G482" s="9" t="n"/>
      <c r="H482" s="11" t="n"/>
      <c r="I482" s="10" t="n"/>
      <c r="J482" s="10" t="n"/>
      <c r="K482" s="10" t="n"/>
    </row>
    <row r="483" ht="18" customHeight="1" s="104">
      <c r="A483" s="6" t="n"/>
      <c r="B483" s="7" t="n"/>
      <c r="C483" s="8" t="n"/>
      <c r="D483" s="9" t="n"/>
      <c r="E483" s="10" t="inlineStr">
        <is>
          <t>Open</t>
        </is>
      </c>
      <c r="F483" s="10" t="inlineStr">
        <is>
          <t>Normal</t>
        </is>
      </c>
      <c r="G483" s="9" t="n"/>
      <c r="H483" s="11" t="n"/>
      <c r="I483" s="10" t="n"/>
      <c r="J483" s="10" t="n"/>
      <c r="K483" s="10" t="n"/>
    </row>
    <row r="484" ht="18" customHeight="1" s="104">
      <c r="A484" s="6" t="n"/>
      <c r="B484" s="7" t="n"/>
      <c r="C484" s="8" t="n"/>
      <c r="D484" s="9" t="n"/>
      <c r="E484" s="10" t="inlineStr">
        <is>
          <t>Open</t>
        </is>
      </c>
      <c r="F484" s="10" t="inlineStr">
        <is>
          <t>Normal</t>
        </is>
      </c>
      <c r="G484" s="9" t="n"/>
      <c r="H484" s="11" t="n"/>
      <c r="I484" s="10" t="n"/>
      <c r="J484" s="10" t="n"/>
      <c r="K484" s="10" t="n"/>
    </row>
    <row r="485" ht="18" customHeight="1" s="104">
      <c r="A485" s="6" t="n"/>
      <c r="B485" s="7" t="n"/>
      <c r="C485" s="8" t="n"/>
      <c r="D485" s="9" t="n"/>
      <c r="E485" s="10" t="inlineStr">
        <is>
          <t>Open</t>
        </is>
      </c>
      <c r="F485" s="10" t="inlineStr">
        <is>
          <t>Normal</t>
        </is>
      </c>
      <c r="G485" s="9" t="n"/>
      <c r="H485" s="11" t="n"/>
      <c r="I485" s="10" t="n"/>
      <c r="J485" s="10" t="n"/>
      <c r="K485" s="10" t="n"/>
    </row>
    <row r="486" ht="18" customHeight="1" s="104">
      <c r="A486" s="6" t="n"/>
      <c r="B486" s="7" t="n"/>
      <c r="C486" s="8" t="n"/>
      <c r="D486" s="9" t="n"/>
      <c r="E486" s="10" t="inlineStr">
        <is>
          <t>Open</t>
        </is>
      </c>
      <c r="F486" s="10" t="inlineStr">
        <is>
          <t>Normal</t>
        </is>
      </c>
      <c r="G486" s="9" t="n"/>
      <c r="H486" s="11" t="n"/>
      <c r="I486" s="10" t="n"/>
      <c r="J486" s="10" t="n"/>
      <c r="K486" s="10" t="n"/>
    </row>
    <row r="487" ht="18" customHeight="1" s="104">
      <c r="A487" s="6" t="n"/>
      <c r="B487" s="7" t="n"/>
      <c r="C487" s="8" t="n"/>
      <c r="D487" s="9" t="n"/>
      <c r="E487" s="10" t="inlineStr">
        <is>
          <t>Open</t>
        </is>
      </c>
      <c r="F487" s="10" t="inlineStr">
        <is>
          <t>Normal</t>
        </is>
      </c>
      <c r="G487" s="9" t="n"/>
      <c r="H487" s="11" t="n"/>
      <c r="I487" s="10" t="n"/>
      <c r="J487" s="10" t="n"/>
      <c r="K487" s="10" t="n"/>
    </row>
    <row r="488" ht="18" customHeight="1" s="104">
      <c r="A488" s="6" t="n"/>
      <c r="B488" s="7" t="n"/>
      <c r="C488" s="8" t="n"/>
      <c r="D488" s="9" t="n"/>
      <c r="E488" s="10" t="inlineStr">
        <is>
          <t>Open</t>
        </is>
      </c>
      <c r="F488" s="10" t="inlineStr">
        <is>
          <t>Normal</t>
        </is>
      </c>
      <c r="G488" s="9" t="n"/>
      <c r="H488" s="11" t="n"/>
      <c r="I488" s="10" t="n"/>
      <c r="J488" s="10" t="n"/>
      <c r="K488" s="10" t="n"/>
    </row>
    <row r="489" ht="18" customHeight="1" s="104">
      <c r="A489" s="6" t="n"/>
      <c r="B489" s="7" t="n"/>
      <c r="C489" s="8" t="n"/>
      <c r="D489" s="9" t="n"/>
      <c r="E489" s="10" t="inlineStr">
        <is>
          <t>Open</t>
        </is>
      </c>
      <c r="F489" s="10" t="inlineStr">
        <is>
          <t>Normal</t>
        </is>
      </c>
      <c r="G489" s="9" t="n"/>
      <c r="H489" s="11" t="n"/>
      <c r="I489" s="10" t="n"/>
      <c r="J489" s="10" t="n"/>
      <c r="K489" s="10" t="n"/>
    </row>
    <row r="490" ht="18" customHeight="1" s="104">
      <c r="A490" s="6" t="n"/>
      <c r="B490" s="7" t="n"/>
      <c r="C490" s="8" t="n"/>
      <c r="D490" s="9" t="n"/>
      <c r="E490" s="10" t="inlineStr">
        <is>
          <t>Open</t>
        </is>
      </c>
      <c r="F490" s="10" t="inlineStr">
        <is>
          <t>Normal</t>
        </is>
      </c>
      <c r="G490" s="9" t="n"/>
      <c r="H490" s="11" t="n"/>
      <c r="I490" s="10" t="n"/>
      <c r="J490" s="10" t="n"/>
      <c r="K490" s="10" t="n"/>
    </row>
    <row r="491" ht="18" customHeight="1" s="104">
      <c r="A491" s="6" t="n"/>
      <c r="B491" s="7" t="n"/>
      <c r="C491" s="8" t="n"/>
      <c r="D491" s="9" t="n"/>
      <c r="E491" s="10" t="inlineStr">
        <is>
          <t>Open</t>
        </is>
      </c>
      <c r="F491" s="10" t="inlineStr">
        <is>
          <t>Normal</t>
        </is>
      </c>
      <c r="G491" s="9" t="n"/>
      <c r="H491" s="11" t="n"/>
      <c r="I491" s="10" t="n"/>
      <c r="J491" s="10" t="n"/>
      <c r="K491" s="10" t="n"/>
    </row>
    <row r="492" ht="18" customHeight="1" s="104">
      <c r="A492" s="6" t="n"/>
      <c r="B492" s="7" t="n"/>
      <c r="C492" s="8" t="n"/>
      <c r="D492" s="9" t="n"/>
      <c r="E492" s="10" t="inlineStr">
        <is>
          <t>Open</t>
        </is>
      </c>
      <c r="F492" s="10" t="inlineStr">
        <is>
          <t>Normal</t>
        </is>
      </c>
      <c r="G492" s="9" t="n"/>
      <c r="H492" s="11" t="n"/>
      <c r="I492" s="10" t="n"/>
      <c r="J492" s="10" t="n"/>
      <c r="K492" s="10" t="n"/>
    </row>
    <row r="493" ht="18" customHeight="1" s="104">
      <c r="A493" s="6" t="n"/>
      <c r="B493" s="7" t="n"/>
      <c r="C493" s="8" t="n"/>
      <c r="D493" s="9" t="n"/>
      <c r="E493" s="10" t="inlineStr">
        <is>
          <t>Open</t>
        </is>
      </c>
      <c r="F493" s="10" t="inlineStr">
        <is>
          <t>Normal</t>
        </is>
      </c>
      <c r="G493" s="9" t="n"/>
      <c r="H493" s="11" t="n"/>
      <c r="I493" s="10" t="n"/>
      <c r="J493" s="10" t="n"/>
      <c r="K493" s="10" t="n"/>
    </row>
    <row r="494" ht="18" customHeight="1" s="104">
      <c r="A494" s="6" t="n"/>
      <c r="B494" s="7" t="n"/>
      <c r="C494" s="8" t="n"/>
      <c r="D494" s="9" t="n"/>
      <c r="E494" s="10" t="inlineStr">
        <is>
          <t>Open</t>
        </is>
      </c>
      <c r="F494" s="10" t="inlineStr">
        <is>
          <t>Normal</t>
        </is>
      </c>
      <c r="G494" s="9" t="n"/>
      <c r="H494" s="11" t="n"/>
      <c r="I494" s="10" t="n"/>
      <c r="J494" s="10" t="n"/>
      <c r="K494" s="10" t="n"/>
    </row>
    <row r="495" ht="18" customHeight="1" s="104">
      <c r="A495" s="6" t="n"/>
      <c r="B495" s="7" t="n"/>
      <c r="C495" s="8" t="n"/>
      <c r="D495" s="9" t="n"/>
      <c r="E495" s="10" t="inlineStr">
        <is>
          <t>Open</t>
        </is>
      </c>
      <c r="F495" s="10" t="inlineStr">
        <is>
          <t>Normal</t>
        </is>
      </c>
      <c r="G495" s="9" t="n"/>
      <c r="H495" s="11" t="n"/>
      <c r="I495" s="10" t="n"/>
      <c r="J495" s="10" t="n"/>
      <c r="K495" s="10" t="n"/>
    </row>
    <row r="496" ht="18" customHeight="1" s="104">
      <c r="A496" s="6" t="n"/>
      <c r="B496" s="7" t="n"/>
      <c r="C496" s="8" t="n"/>
      <c r="D496" s="9" t="n"/>
      <c r="E496" s="10" t="inlineStr">
        <is>
          <t>Open</t>
        </is>
      </c>
      <c r="F496" s="10" t="inlineStr">
        <is>
          <t>Normal</t>
        </is>
      </c>
      <c r="G496" s="9" t="n"/>
      <c r="H496" s="11" t="n"/>
      <c r="I496" s="10" t="n"/>
      <c r="J496" s="10" t="n"/>
      <c r="K496" s="10" t="n"/>
    </row>
    <row r="497" ht="18" customHeight="1" s="104">
      <c r="A497" s="6" t="n"/>
      <c r="B497" s="7" t="n"/>
      <c r="C497" s="8" t="n"/>
      <c r="D497" s="9" t="n"/>
      <c r="E497" s="10" t="inlineStr">
        <is>
          <t>Open</t>
        </is>
      </c>
      <c r="F497" s="10" t="inlineStr">
        <is>
          <t>Normal</t>
        </is>
      </c>
      <c r="G497" s="9" t="n"/>
      <c r="H497" s="11" t="n"/>
      <c r="I497" s="10" t="n"/>
      <c r="J497" s="10" t="n"/>
      <c r="K497" s="10" t="n"/>
    </row>
    <row r="498" ht="18" customHeight="1" s="104">
      <c r="A498" s="6" t="n"/>
      <c r="B498" s="7" t="n"/>
      <c r="C498" s="8" t="n"/>
      <c r="D498" s="9" t="n"/>
      <c r="E498" s="10" t="inlineStr">
        <is>
          <t>Open</t>
        </is>
      </c>
      <c r="F498" s="10" t="inlineStr">
        <is>
          <t>Normal</t>
        </is>
      </c>
      <c r="G498" s="9" t="n"/>
      <c r="H498" s="11" t="n"/>
      <c r="I498" s="10" t="n"/>
      <c r="J498" s="10" t="n"/>
      <c r="K498" s="10" t="n"/>
    </row>
    <row r="499" ht="18" customHeight="1" s="104">
      <c r="A499" s="6" t="n"/>
      <c r="B499" s="7" t="n"/>
      <c r="C499" s="8" t="n"/>
      <c r="D499" s="9" t="n"/>
      <c r="E499" s="10" t="inlineStr">
        <is>
          <t>Open</t>
        </is>
      </c>
      <c r="F499" s="10" t="inlineStr">
        <is>
          <t>Normal</t>
        </is>
      </c>
      <c r="G499" s="9" t="n"/>
      <c r="H499" s="11" t="n"/>
      <c r="I499" s="10" t="n"/>
      <c r="J499" s="10" t="n"/>
      <c r="K499" s="10" t="n"/>
    </row>
    <row r="500" ht="18" customHeight="1" s="104">
      <c r="A500" s="6" t="n"/>
      <c r="B500" s="7" t="n"/>
      <c r="C500" s="8" t="n"/>
      <c r="D500" s="9" t="n"/>
      <c r="E500" s="10" t="inlineStr">
        <is>
          <t>Open</t>
        </is>
      </c>
      <c r="F500" s="10" t="inlineStr">
        <is>
          <t>Normal</t>
        </is>
      </c>
      <c r="G500" s="9" t="n"/>
      <c r="H500" s="11" t="n"/>
      <c r="I500" s="10" t="n"/>
      <c r="J500" s="10" t="n"/>
      <c r="K500" s="10" t="n"/>
    </row>
    <row r="501" ht="18" customHeight="1" s="104">
      <c r="A501" s="6" t="n"/>
      <c r="B501" s="7" t="n"/>
      <c r="C501" s="8" t="n"/>
      <c r="D501" s="9" t="n"/>
      <c r="E501" s="10" t="inlineStr">
        <is>
          <t>Open</t>
        </is>
      </c>
      <c r="F501" s="10" t="inlineStr">
        <is>
          <t>Normal</t>
        </is>
      </c>
      <c r="G501" s="9" t="n"/>
      <c r="H501" s="11" t="n"/>
      <c r="I501" s="10" t="n"/>
      <c r="J501" s="10" t="n"/>
      <c r="K501" s="10" t="n"/>
    </row>
    <row r="502" ht="18" customHeight="1" s="104">
      <c r="A502" s="6" t="n"/>
      <c r="B502" s="7" t="n"/>
      <c r="C502" s="8" t="n"/>
      <c r="D502" s="9" t="n"/>
      <c r="E502" s="10" t="inlineStr">
        <is>
          <t>Open</t>
        </is>
      </c>
      <c r="F502" s="10" t="inlineStr">
        <is>
          <t>Normal</t>
        </is>
      </c>
      <c r="G502" s="9" t="n"/>
      <c r="H502" s="11" t="n"/>
      <c r="I502" s="10" t="n"/>
      <c r="J502" s="10" t="n"/>
      <c r="K502" s="10" t="n"/>
    </row>
    <row r="503" ht="18" customHeight="1" s="104">
      <c r="A503" s="6" t="n"/>
      <c r="B503" s="7" t="n"/>
      <c r="C503" s="8" t="n"/>
      <c r="D503" s="9" t="n"/>
      <c r="E503" s="10" t="n"/>
      <c r="F503" s="10" t="n"/>
      <c r="G503" s="9" t="n"/>
      <c r="H503" s="11" t="n"/>
      <c r="I503" s="10" t="n"/>
      <c r="J503" s="10" t="n"/>
      <c r="K503" s="10" t="n"/>
    </row>
    <row r="504" ht="18" customHeight="1" s="104">
      <c r="A504" s="6" t="n"/>
      <c r="B504" s="7" t="n"/>
      <c r="C504" s="8" t="n"/>
      <c r="D504" s="9" t="n"/>
      <c r="E504" s="10" t="n"/>
      <c r="F504" s="10" t="n"/>
      <c r="G504" s="9" t="n"/>
      <c r="H504" s="11" t="n"/>
      <c r="I504" s="10" t="n"/>
      <c r="J504" s="10" t="n"/>
      <c r="K504" s="10" t="n"/>
    </row>
    <row r="505" ht="18" customHeight="1" s="104">
      <c r="A505" s="6" t="n"/>
      <c r="B505" s="7" t="n"/>
      <c r="C505" s="8" t="n"/>
      <c r="D505" s="9" t="n"/>
      <c r="E505" s="10" t="n"/>
      <c r="F505" s="10" t="n"/>
      <c r="G505" s="9" t="n"/>
      <c r="H505" s="11" t="n"/>
      <c r="I505" s="10" t="n"/>
      <c r="J505" s="10" t="n"/>
      <c r="K505" s="10" t="n"/>
    </row>
    <row r="506" ht="18" customHeight="1" s="104">
      <c r="A506" s="6" t="n"/>
      <c r="B506" s="7" t="n"/>
      <c r="C506" s="8" t="n"/>
      <c r="D506" s="9" t="n"/>
      <c r="E506" s="10" t="n"/>
      <c r="F506" s="10" t="n"/>
      <c r="G506" s="9" t="n"/>
      <c r="H506" s="11" t="n"/>
      <c r="I506" s="10" t="n"/>
      <c r="J506" s="10" t="n"/>
      <c r="K506" s="10" t="n"/>
    </row>
    <row r="507" ht="18" customHeight="1" s="104">
      <c r="A507" s="6" t="n"/>
      <c r="B507" s="7" t="n"/>
      <c r="C507" s="8" t="n"/>
      <c r="D507" s="9" t="n"/>
      <c r="E507" s="10" t="n"/>
      <c r="F507" s="10" t="n"/>
      <c r="G507" s="9" t="n"/>
      <c r="H507" s="11" t="n"/>
      <c r="I507" s="10" t="n"/>
      <c r="J507" s="10" t="n"/>
      <c r="K507" s="10" t="n"/>
    </row>
    <row r="508" ht="18" customHeight="1" s="104">
      <c r="A508" s="6" t="n"/>
      <c r="B508" s="7" t="n"/>
      <c r="C508" s="8" t="n"/>
      <c r="D508" s="9" t="n"/>
      <c r="E508" s="10" t="n"/>
      <c r="F508" s="10" t="n"/>
      <c r="G508" s="9" t="n"/>
      <c r="H508" s="11" t="n"/>
      <c r="I508" s="10" t="n"/>
      <c r="J508" s="10" t="n"/>
      <c r="K508" s="10" t="n"/>
    </row>
    <row r="509" ht="18" customHeight="1" s="104">
      <c r="A509" s="6" t="n"/>
      <c r="B509" s="7" t="n"/>
      <c r="C509" s="8" t="n"/>
      <c r="D509" s="9" t="n"/>
      <c r="E509" s="10" t="n"/>
      <c r="F509" s="10" t="n"/>
      <c r="G509" s="9" t="n"/>
      <c r="H509" s="11" t="n"/>
      <c r="I509" s="10" t="n"/>
      <c r="J509" s="10" t="n"/>
      <c r="K509" s="10" t="n"/>
    </row>
    <row r="510" ht="18" customHeight="1" s="104">
      <c r="A510" s="6" t="n"/>
      <c r="B510" s="7" t="n"/>
      <c r="C510" s="8" t="n"/>
      <c r="D510" s="9" t="n"/>
      <c r="E510" s="10" t="n"/>
      <c r="F510" s="10" t="n"/>
      <c r="G510" s="9" t="n"/>
      <c r="H510" s="11" t="n"/>
      <c r="I510" s="10" t="n"/>
      <c r="J510" s="10" t="n"/>
      <c r="K510" s="10" t="n"/>
    </row>
    <row r="511" ht="18" customHeight="1" s="104">
      <c r="A511" s="6" t="n"/>
      <c r="B511" s="7" t="n"/>
      <c r="C511" s="8" t="n"/>
      <c r="D511" s="9" t="n"/>
      <c r="E511" s="10" t="n"/>
      <c r="F511" s="10" t="n"/>
      <c r="G511" s="9" t="n"/>
      <c r="H511" s="11" t="n"/>
      <c r="I511" s="10" t="n"/>
      <c r="J511" s="10" t="n"/>
      <c r="K511" s="10" t="n"/>
    </row>
    <row r="512" ht="18" customHeight="1" s="104">
      <c r="A512" s="6" t="n"/>
      <c r="B512" s="7" t="n"/>
      <c r="C512" s="8" t="n"/>
      <c r="D512" s="9" t="n"/>
      <c r="E512" s="10" t="n"/>
      <c r="F512" s="10" t="n"/>
      <c r="G512" s="9" t="n"/>
      <c r="H512" s="11" t="n"/>
      <c r="I512" s="10" t="n"/>
      <c r="J512" s="10" t="n"/>
      <c r="K512" s="10" t="n"/>
    </row>
    <row r="513" ht="18" customHeight="1" s="104">
      <c r="A513" s="6" t="n"/>
      <c r="B513" s="7" t="n"/>
      <c r="C513" s="8" t="n"/>
      <c r="D513" s="9" t="n"/>
      <c r="E513" s="10" t="n"/>
      <c r="F513" s="10" t="n"/>
      <c r="G513" s="9" t="n"/>
      <c r="H513" s="11" t="n"/>
      <c r="I513" s="10" t="n"/>
      <c r="J513" s="10" t="n"/>
      <c r="K513" s="10" t="n"/>
    </row>
    <row r="514" ht="18" customHeight="1" s="104">
      <c r="A514" s="6" t="n"/>
      <c r="B514" s="7" t="n"/>
      <c r="C514" s="8" t="n"/>
      <c r="D514" s="9" t="n"/>
      <c r="E514" s="10" t="n"/>
      <c r="F514" s="10" t="n"/>
      <c r="G514" s="9" t="n"/>
      <c r="H514" s="11" t="n"/>
      <c r="I514" s="10" t="n"/>
      <c r="J514" s="10" t="n"/>
      <c r="K514" s="10" t="n"/>
    </row>
    <row r="515" ht="18" customHeight="1" s="104">
      <c r="A515" s="6" t="n"/>
      <c r="B515" s="7" t="n"/>
      <c r="C515" s="8" t="n"/>
      <c r="D515" s="9" t="n"/>
      <c r="E515" s="10" t="n"/>
      <c r="F515" s="10" t="n"/>
      <c r="G515" s="9" t="n"/>
      <c r="H515" s="11" t="n"/>
      <c r="I515" s="10" t="n"/>
      <c r="J515" s="10" t="n"/>
      <c r="K515" s="10" t="n"/>
    </row>
    <row r="516" ht="18" customHeight="1" s="104">
      <c r="A516" s="6" t="n"/>
      <c r="B516" s="7" t="n"/>
      <c r="C516" s="8" t="n"/>
      <c r="D516" s="9" t="n"/>
      <c r="E516" s="10" t="n"/>
      <c r="F516" s="10" t="n"/>
      <c r="G516" s="9" t="n"/>
      <c r="H516" s="11" t="n"/>
      <c r="I516" s="10" t="n"/>
      <c r="J516" s="10" t="n"/>
      <c r="K516" s="10" t="n"/>
    </row>
    <row r="517" ht="18" customHeight="1" s="104">
      <c r="A517" s="6" t="n"/>
      <c r="B517" s="7" t="n"/>
      <c r="C517" s="8" t="n"/>
      <c r="D517" s="9" t="n"/>
      <c r="E517" s="10" t="n"/>
      <c r="F517" s="10" t="n"/>
      <c r="G517" s="9" t="n"/>
      <c r="H517" s="11" t="n"/>
      <c r="I517" s="10" t="n"/>
      <c r="J517" s="10" t="n"/>
      <c r="K517" s="10" t="n"/>
    </row>
    <row r="518" ht="18" customHeight="1" s="104">
      <c r="A518" s="6" t="n"/>
      <c r="B518" s="7" t="n"/>
      <c r="C518" s="8" t="n"/>
      <c r="D518" s="9" t="n"/>
      <c r="E518" s="10" t="n"/>
      <c r="F518" s="10" t="n"/>
      <c r="G518" s="9" t="n"/>
      <c r="H518" s="11" t="n"/>
      <c r="I518" s="10" t="n"/>
      <c r="J518" s="10" t="n"/>
      <c r="K518" s="10" t="n"/>
    </row>
    <row r="519" ht="18" customHeight="1" s="104">
      <c r="A519" s="6" t="n"/>
      <c r="B519" s="7" t="n"/>
      <c r="C519" s="8" t="n"/>
      <c r="D519" s="9" t="n"/>
      <c r="E519" s="10" t="n"/>
      <c r="F519" s="10" t="n"/>
      <c r="G519" s="9" t="n"/>
      <c r="H519" s="11" t="n"/>
      <c r="I519" s="10" t="n"/>
      <c r="J519" s="10" t="n"/>
      <c r="K519" s="10" t="n"/>
    </row>
    <row r="520" ht="18" customHeight="1" s="104">
      <c r="A520" s="6" t="n"/>
      <c r="B520" s="7" t="n"/>
      <c r="C520" s="8" t="n"/>
      <c r="D520" s="9" t="n"/>
      <c r="E520" s="10" t="n"/>
      <c r="F520" s="10" t="n"/>
      <c r="G520" s="9" t="n"/>
      <c r="H520" s="11" t="n"/>
      <c r="I520" s="10" t="n"/>
      <c r="J520" s="10" t="n"/>
      <c r="K520" s="10" t="n"/>
    </row>
    <row r="521" ht="18" customHeight="1" s="104">
      <c r="A521" s="6" t="n"/>
      <c r="B521" s="7" t="n"/>
      <c r="C521" s="8" t="n"/>
      <c r="D521" s="9" t="n"/>
      <c r="E521" s="10" t="n"/>
      <c r="F521" s="10" t="n"/>
      <c r="G521" s="9" t="n"/>
      <c r="H521" s="11" t="n"/>
      <c r="I521" s="10" t="n"/>
      <c r="J521" s="10" t="n"/>
      <c r="K521" s="10" t="n"/>
    </row>
    <row r="522" ht="18" customHeight="1" s="104">
      <c r="A522" s="6" t="n"/>
      <c r="B522" s="7" t="n"/>
      <c r="C522" s="8" t="n"/>
      <c r="D522" s="9" t="n"/>
      <c r="E522" s="10" t="n"/>
      <c r="F522" s="10" t="n"/>
      <c r="G522" s="9" t="n"/>
      <c r="H522" s="11" t="n"/>
      <c r="I522" s="10" t="n"/>
      <c r="J522" s="10" t="n"/>
      <c r="K522" s="10" t="n"/>
    </row>
    <row r="523" ht="18" customHeight="1" s="104">
      <c r="A523" s="6" t="n"/>
      <c r="B523" s="7" t="n"/>
      <c r="C523" s="8" t="n"/>
      <c r="D523" s="9" t="n"/>
      <c r="E523" s="10" t="n"/>
      <c r="F523" s="10" t="n"/>
      <c r="G523" s="9" t="n"/>
      <c r="H523" s="11" t="n"/>
      <c r="I523" s="10" t="n"/>
      <c r="J523" s="10" t="n"/>
      <c r="K523" s="10" t="n"/>
    </row>
    <row r="524" ht="18" customHeight="1" s="104">
      <c r="A524" s="6" t="n"/>
      <c r="B524" s="7" t="n"/>
      <c r="C524" s="8" t="n"/>
      <c r="D524" s="9" t="n"/>
      <c r="E524" s="10" t="n"/>
      <c r="F524" s="10" t="n"/>
      <c r="G524" s="9" t="n"/>
      <c r="H524" s="11" t="n"/>
      <c r="I524" s="10" t="n"/>
      <c r="J524" s="10" t="n"/>
      <c r="K524" s="10" t="n"/>
    </row>
    <row r="525" ht="18" customHeight="1" s="104">
      <c r="A525" s="6" t="n"/>
      <c r="B525" s="7" t="n"/>
      <c r="C525" s="8" t="n"/>
      <c r="D525" s="9" t="n"/>
      <c r="E525" s="10" t="n"/>
      <c r="F525" s="10" t="n"/>
      <c r="G525" s="9" t="n"/>
      <c r="H525" s="11" t="n"/>
      <c r="I525" s="10" t="n"/>
      <c r="J525" s="10" t="n"/>
      <c r="K525" s="10" t="n"/>
    </row>
    <row r="526" ht="18" customHeight="1" s="104">
      <c r="A526" s="6" t="n"/>
      <c r="B526" s="7" t="n"/>
      <c r="C526" s="8" t="n"/>
      <c r="D526" s="9" t="n"/>
      <c r="E526" s="10" t="n"/>
      <c r="F526" s="10" t="n"/>
      <c r="G526" s="9" t="n"/>
      <c r="H526" s="11" t="n"/>
      <c r="I526" s="10" t="n"/>
      <c r="J526" s="10" t="n"/>
      <c r="K526" s="10" t="n"/>
    </row>
    <row r="527" ht="18" customHeight="1" s="104">
      <c r="A527" s="6" t="n"/>
      <c r="B527" s="7" t="n"/>
      <c r="C527" s="8" t="n"/>
      <c r="D527" s="9" t="n"/>
      <c r="E527" s="10" t="n"/>
      <c r="F527" s="10" t="n"/>
      <c r="G527" s="9" t="n"/>
      <c r="H527" s="11" t="n"/>
      <c r="I527" s="10" t="n"/>
      <c r="J527" s="10" t="n"/>
      <c r="K527" s="10" t="n"/>
    </row>
    <row r="528" ht="18" customHeight="1" s="104">
      <c r="A528" s="6" t="n"/>
      <c r="B528" s="7" t="n"/>
      <c r="C528" s="8" t="n"/>
      <c r="D528" s="9" t="n"/>
      <c r="E528" s="10" t="n"/>
      <c r="F528" s="10" t="n"/>
      <c r="G528" s="9" t="n"/>
      <c r="H528" s="11" t="n"/>
      <c r="I528" s="10" t="n"/>
      <c r="J528" s="10" t="n"/>
      <c r="K528" s="10" t="n"/>
    </row>
    <row r="529" ht="18" customHeight="1" s="104">
      <c r="A529" s="6" t="n"/>
      <c r="B529" s="7" t="n"/>
      <c r="C529" s="8" t="n"/>
      <c r="D529" s="9" t="n"/>
      <c r="E529" s="10" t="n"/>
      <c r="F529" s="10" t="n"/>
      <c r="G529" s="9" t="n"/>
      <c r="H529" s="11" t="n"/>
      <c r="I529" s="10" t="n"/>
      <c r="J529" s="10" t="n"/>
      <c r="K529" s="10" t="n"/>
    </row>
    <row r="530" ht="18" customHeight="1" s="104">
      <c r="A530" s="6" t="n"/>
      <c r="B530" s="7" t="n"/>
      <c r="C530" s="8" t="n"/>
      <c r="D530" s="9" t="n"/>
      <c r="E530" s="10" t="n"/>
      <c r="F530" s="10" t="n"/>
      <c r="G530" s="9" t="n"/>
      <c r="H530" s="11" t="n"/>
      <c r="I530" s="10" t="n"/>
      <c r="J530" s="10" t="n"/>
      <c r="K530" s="10" t="n"/>
    </row>
    <row r="531" ht="18" customHeight="1" s="104">
      <c r="A531" s="6" t="n"/>
      <c r="B531" s="7" t="n"/>
      <c r="C531" s="8" t="n"/>
      <c r="D531" s="9" t="n"/>
      <c r="E531" s="10" t="n"/>
      <c r="F531" s="10" t="n"/>
      <c r="G531" s="9" t="n"/>
      <c r="H531" s="11" t="n"/>
      <c r="I531" s="10" t="n"/>
      <c r="J531" s="10" t="n"/>
      <c r="K531" s="10" t="n"/>
    </row>
    <row r="532" ht="18" customHeight="1" s="104">
      <c r="A532" s="6" t="n"/>
      <c r="B532" s="7" t="n"/>
      <c r="C532" s="8" t="n"/>
      <c r="D532" s="9" t="n"/>
      <c r="E532" s="10" t="n"/>
      <c r="F532" s="10" t="n"/>
      <c r="G532" s="9" t="n"/>
      <c r="H532" s="11" t="n"/>
      <c r="I532" s="10" t="n"/>
      <c r="J532" s="10" t="n"/>
      <c r="K532" s="10" t="n"/>
    </row>
    <row r="533" ht="18" customHeight="1" s="104">
      <c r="A533" s="6" t="n"/>
      <c r="B533" s="7" t="n"/>
      <c r="C533" s="8" t="n"/>
      <c r="D533" s="9" t="n"/>
      <c r="E533" s="10" t="n"/>
      <c r="F533" s="10" t="n"/>
      <c r="G533" s="9" t="n"/>
      <c r="H533" s="11" t="n"/>
      <c r="I533" s="10" t="n"/>
      <c r="J533" s="10" t="n"/>
      <c r="K533" s="10" t="n"/>
    </row>
    <row r="534" ht="18" customHeight="1" s="104">
      <c r="A534" s="6" t="n"/>
      <c r="B534" s="7" t="n"/>
      <c r="C534" s="8" t="n"/>
      <c r="D534" s="9" t="n"/>
      <c r="E534" s="10" t="n"/>
      <c r="F534" s="10" t="n"/>
      <c r="G534" s="9" t="n"/>
      <c r="H534" s="11" t="n"/>
      <c r="I534" s="10" t="n"/>
      <c r="J534" s="10" t="n"/>
      <c r="K534" s="10" t="n"/>
    </row>
    <row r="535" ht="18" customHeight="1" s="104">
      <c r="A535" s="6" t="n"/>
      <c r="B535" s="7" t="n"/>
      <c r="C535" s="8" t="n"/>
      <c r="D535" s="9" t="n"/>
      <c r="E535" s="10" t="n"/>
      <c r="F535" s="10" t="n"/>
      <c r="G535" s="9" t="n"/>
      <c r="H535" s="11" t="n"/>
      <c r="I535" s="10" t="n"/>
      <c r="J535" s="10" t="n"/>
      <c r="K535" s="10" t="n"/>
    </row>
    <row r="536" ht="18" customHeight="1" s="104">
      <c r="A536" s="6" t="n"/>
      <c r="B536" s="7" t="n"/>
      <c r="C536" s="8" t="n"/>
      <c r="D536" s="9" t="n"/>
      <c r="E536" s="10" t="n"/>
      <c r="F536" s="10" t="n"/>
      <c r="G536" s="9" t="n"/>
      <c r="H536" s="11" t="n"/>
      <c r="I536" s="10" t="n"/>
      <c r="J536" s="10" t="n"/>
      <c r="K536" s="10" t="n"/>
    </row>
    <row r="537" ht="18" customHeight="1" s="104">
      <c r="A537" s="6" t="n"/>
      <c r="B537" s="7" t="n"/>
      <c r="C537" s="8" t="n"/>
      <c r="D537" s="9" t="n"/>
      <c r="E537" s="10" t="n"/>
      <c r="F537" s="10" t="n"/>
      <c r="G537" s="9" t="n"/>
      <c r="H537" s="11" t="n"/>
      <c r="I537" s="10" t="n"/>
      <c r="J537" s="10" t="n"/>
      <c r="K537" s="10" t="n"/>
    </row>
    <row r="538" ht="18" customHeight="1" s="104">
      <c r="A538" s="6" t="n"/>
      <c r="B538" s="7" t="n"/>
      <c r="C538" s="8" t="n"/>
      <c r="D538" s="9" t="n"/>
      <c r="E538" s="10" t="n"/>
      <c r="F538" s="10" t="n"/>
      <c r="G538" s="9" t="n"/>
      <c r="H538" s="11" t="n"/>
      <c r="I538" s="10" t="n"/>
      <c r="J538" s="10" t="n"/>
      <c r="K538" s="10" t="n"/>
    </row>
    <row r="539" ht="18" customHeight="1" s="104">
      <c r="A539" s="6" t="n"/>
      <c r="B539" s="7" t="n"/>
      <c r="C539" s="8" t="n"/>
      <c r="D539" s="9" t="n"/>
      <c r="E539" s="10" t="n"/>
      <c r="F539" s="10" t="n"/>
      <c r="G539" s="9" t="n"/>
      <c r="H539" s="11" t="n"/>
      <c r="I539" s="10" t="n"/>
      <c r="J539" s="10" t="n"/>
      <c r="K539" s="10" t="n"/>
    </row>
    <row r="540" ht="18" customHeight="1" s="104">
      <c r="A540" s="6" t="n"/>
      <c r="B540" s="7" t="n"/>
      <c r="C540" s="8" t="n"/>
      <c r="D540" s="9" t="n"/>
      <c r="E540" s="10" t="n"/>
      <c r="F540" s="10" t="n"/>
      <c r="G540" s="9" t="n"/>
      <c r="H540" s="11" t="n"/>
      <c r="I540" s="10" t="n"/>
      <c r="J540" s="10" t="n"/>
      <c r="K540" s="10" t="n"/>
    </row>
    <row r="541" ht="18" customHeight="1" s="104">
      <c r="A541" s="6" t="n"/>
      <c r="B541" s="7" t="n"/>
      <c r="C541" s="8" t="n"/>
      <c r="D541" s="9" t="n"/>
      <c r="E541" s="10" t="n"/>
      <c r="F541" s="10" t="n"/>
      <c r="G541" s="9" t="n"/>
      <c r="H541" s="11" t="n"/>
      <c r="I541" s="10" t="n"/>
      <c r="J541" s="10" t="n"/>
      <c r="K541" s="10" t="n"/>
    </row>
    <row r="542" ht="18" customHeight="1" s="104">
      <c r="A542" s="6" t="n"/>
      <c r="B542" s="7" t="n"/>
      <c r="C542" s="8" t="n"/>
      <c r="D542" s="9" t="n"/>
      <c r="E542" s="10" t="n"/>
      <c r="F542" s="10" t="n"/>
      <c r="G542" s="9" t="n"/>
      <c r="H542" s="11" t="n"/>
      <c r="I542" s="10" t="n"/>
      <c r="J542" s="10" t="n"/>
      <c r="K542" s="10" t="n"/>
    </row>
    <row r="543" ht="18" customHeight="1" s="104">
      <c r="A543" s="6" t="n"/>
      <c r="B543" s="7" t="n"/>
      <c r="C543" s="8" t="n"/>
      <c r="D543" s="9" t="n"/>
      <c r="E543" s="10" t="n"/>
      <c r="F543" s="10" t="n"/>
      <c r="G543" s="9" t="n"/>
      <c r="H543" s="11" t="n"/>
      <c r="I543" s="10" t="n"/>
      <c r="J543" s="10" t="n"/>
      <c r="K543" s="10" t="n"/>
    </row>
    <row r="544" ht="18" customHeight="1" s="104">
      <c r="A544" s="6" t="n"/>
      <c r="B544" s="7" t="n"/>
      <c r="C544" s="8" t="n"/>
      <c r="D544" s="9" t="n"/>
      <c r="E544" s="10" t="n"/>
      <c r="F544" s="10" t="n"/>
      <c r="G544" s="9" t="n"/>
      <c r="H544" s="11" t="n"/>
      <c r="I544" s="10" t="n"/>
      <c r="J544" s="10" t="n"/>
      <c r="K544" s="10" t="n"/>
    </row>
    <row r="545" ht="18" customHeight="1" s="104">
      <c r="A545" s="6" t="n"/>
      <c r="B545" s="7" t="n"/>
      <c r="C545" s="8" t="n"/>
      <c r="D545" s="9" t="n"/>
      <c r="E545" s="10" t="n"/>
      <c r="F545" s="10" t="n"/>
      <c r="G545" s="9" t="n"/>
      <c r="H545" s="11" t="n"/>
      <c r="I545" s="10" t="n"/>
      <c r="J545" s="10" t="n"/>
      <c r="K545" s="10" t="n"/>
    </row>
    <row r="546" ht="18" customHeight="1" s="104">
      <c r="A546" s="6" t="n"/>
      <c r="B546" s="7" t="n"/>
      <c r="C546" s="8" t="n"/>
      <c r="D546" s="9" t="n"/>
      <c r="E546" s="10" t="n"/>
      <c r="F546" s="10" t="n"/>
      <c r="G546" s="9" t="n"/>
      <c r="H546" s="11" t="n"/>
      <c r="I546" s="10" t="n"/>
      <c r="J546" s="10" t="n"/>
      <c r="K546" s="10" t="n"/>
    </row>
    <row r="547" ht="18" customHeight="1" s="104">
      <c r="A547" s="6" t="n"/>
      <c r="B547" s="7" t="n"/>
      <c r="C547" s="8" t="n"/>
      <c r="D547" s="9" t="n"/>
      <c r="E547" s="10" t="n"/>
      <c r="F547" s="10" t="n"/>
      <c r="G547" s="9" t="n"/>
      <c r="H547" s="11" t="n"/>
      <c r="I547" s="10" t="n"/>
      <c r="J547" s="10" t="n"/>
      <c r="K547" s="10" t="n"/>
    </row>
    <row r="548" ht="18" customHeight="1" s="104">
      <c r="A548" s="6" t="n"/>
      <c r="B548" s="7" t="n"/>
      <c r="C548" s="8" t="n"/>
      <c r="D548" s="9" t="n"/>
      <c r="E548" s="10" t="n"/>
      <c r="F548" s="10" t="n"/>
      <c r="G548" s="9" t="n"/>
      <c r="H548" s="11" t="n"/>
      <c r="I548" s="10" t="n"/>
      <c r="J548" s="10" t="n"/>
      <c r="K548" s="10" t="n"/>
    </row>
    <row r="549" ht="18" customHeight="1" s="104">
      <c r="A549" s="6" t="n"/>
      <c r="B549" s="7" t="n"/>
      <c r="C549" s="8" t="n"/>
      <c r="D549" s="9" t="n"/>
      <c r="E549" s="10" t="n"/>
      <c r="F549" s="10" t="n"/>
      <c r="G549" s="9" t="n"/>
      <c r="H549" s="11" t="n"/>
      <c r="I549" s="10" t="n"/>
      <c r="J549" s="10" t="n"/>
      <c r="K549" s="10" t="n"/>
    </row>
    <row r="550" ht="18" customHeight="1" s="104">
      <c r="A550" s="6" t="n"/>
      <c r="B550" s="7" t="n"/>
      <c r="C550" s="8" t="n"/>
      <c r="D550" s="9" t="n"/>
      <c r="E550" s="10" t="n"/>
      <c r="F550" s="10" t="n"/>
      <c r="G550" s="9" t="n"/>
      <c r="H550" s="11" t="n"/>
      <c r="I550" s="10" t="n"/>
      <c r="J550" s="10" t="n"/>
      <c r="K550" s="10" t="n"/>
    </row>
    <row r="551" ht="18" customHeight="1" s="104">
      <c r="A551" s="6" t="n"/>
      <c r="B551" s="7" t="n"/>
      <c r="C551" s="8" t="n"/>
      <c r="D551" s="9" t="n"/>
      <c r="E551" s="10" t="n"/>
      <c r="F551" s="10" t="n"/>
      <c r="G551" s="9" t="n"/>
      <c r="H551" s="11" t="n"/>
      <c r="I551" s="10" t="n"/>
      <c r="J551" s="10" t="n"/>
      <c r="K551" s="10" t="n"/>
    </row>
    <row r="552" ht="18" customHeight="1" s="104">
      <c r="A552" s="6" t="n"/>
      <c r="B552" s="7" t="n"/>
      <c r="C552" s="8" t="n"/>
      <c r="D552" s="9" t="n"/>
      <c r="E552" s="10" t="n"/>
      <c r="F552" s="10" t="n"/>
      <c r="G552" s="9" t="n"/>
      <c r="H552" s="11" t="n"/>
      <c r="I552" s="10" t="n"/>
      <c r="J552" s="10" t="n"/>
      <c r="K552" s="10" t="n"/>
    </row>
    <row r="553" ht="18" customHeight="1" s="104">
      <c r="A553" s="6" t="n"/>
      <c r="B553" s="7" t="n"/>
      <c r="C553" s="8" t="n"/>
      <c r="D553" s="9" t="n"/>
      <c r="E553" s="10" t="n"/>
      <c r="F553" s="10" t="n"/>
      <c r="G553" s="9" t="n"/>
      <c r="H553" s="11" t="n"/>
      <c r="I553" s="10" t="n"/>
      <c r="J553" s="10" t="n"/>
      <c r="K553" s="10" t="n"/>
    </row>
    <row r="554" ht="18" customHeight="1" s="104">
      <c r="A554" s="6" t="n"/>
      <c r="B554" s="7" t="n"/>
      <c r="C554" s="8" t="n"/>
      <c r="D554" s="9" t="n"/>
      <c r="E554" s="10" t="n"/>
      <c r="F554" s="10" t="n"/>
      <c r="G554" s="9" t="n"/>
      <c r="H554" s="11" t="n"/>
      <c r="I554" s="10" t="n"/>
      <c r="J554" s="10" t="n"/>
      <c r="K554" s="10" t="n"/>
    </row>
    <row r="555" ht="18" customHeight="1" s="104">
      <c r="A555" s="6" t="n"/>
      <c r="B555" s="7" t="n"/>
      <c r="C555" s="8" t="n"/>
      <c r="D555" s="9" t="n"/>
      <c r="E555" s="10" t="n"/>
      <c r="F555" s="10" t="n"/>
      <c r="G555" s="9" t="n"/>
      <c r="H555" s="11" t="n"/>
      <c r="I555" s="10" t="n"/>
      <c r="J555" s="10" t="n"/>
      <c r="K555" s="10" t="n"/>
    </row>
    <row r="556" ht="18" customHeight="1" s="104">
      <c r="A556" s="6" t="n"/>
      <c r="B556" s="7" t="n"/>
      <c r="C556" s="8" t="n"/>
      <c r="D556" s="9" t="n"/>
      <c r="E556" s="10" t="n"/>
      <c r="F556" s="10" t="n"/>
      <c r="G556" s="9" t="n"/>
      <c r="H556" s="11" t="n"/>
      <c r="I556" s="10" t="n"/>
      <c r="J556" s="10" t="n"/>
      <c r="K556" s="10" t="n"/>
    </row>
    <row r="557" ht="18" customHeight="1" s="104">
      <c r="A557" s="6" t="n"/>
      <c r="B557" s="7" t="n"/>
      <c r="C557" s="8" t="n"/>
      <c r="D557" s="9" t="n"/>
      <c r="E557" s="10" t="n"/>
      <c r="F557" s="10" t="n"/>
      <c r="G557" s="9" t="n"/>
      <c r="H557" s="11" t="n"/>
      <c r="I557" s="10" t="n"/>
      <c r="J557" s="10" t="n"/>
      <c r="K557" s="10" t="n"/>
    </row>
    <row r="558" ht="18" customHeight="1" s="104">
      <c r="A558" s="6" t="n"/>
      <c r="B558" s="7" t="n"/>
      <c r="C558" s="8" t="n"/>
      <c r="D558" s="9" t="n"/>
      <c r="E558" s="10" t="n"/>
      <c r="F558" s="10" t="n"/>
      <c r="G558" s="9" t="n"/>
      <c r="H558" s="11" t="n"/>
      <c r="I558" s="10" t="n"/>
      <c r="J558" s="10" t="n"/>
      <c r="K558" s="10" t="n"/>
    </row>
    <row r="559" ht="18" customHeight="1" s="104">
      <c r="A559" s="6" t="n"/>
      <c r="B559" s="7" t="n"/>
      <c r="C559" s="8" t="n"/>
      <c r="D559" s="9" t="n"/>
      <c r="E559" s="10" t="n"/>
      <c r="F559" s="10" t="n"/>
      <c r="G559" s="9" t="n"/>
      <c r="H559" s="11" t="n"/>
      <c r="I559" s="10" t="n"/>
      <c r="J559" s="10" t="n"/>
      <c r="K559" s="10" t="n"/>
    </row>
    <row r="560" ht="18" customHeight="1" s="104">
      <c r="A560" s="6" t="n"/>
      <c r="B560" s="7" t="n"/>
      <c r="C560" s="8" t="n"/>
      <c r="D560" s="9" t="n"/>
      <c r="E560" s="10" t="n"/>
      <c r="F560" s="10" t="n"/>
      <c r="G560" s="9" t="n"/>
      <c r="H560" s="11" t="n"/>
      <c r="I560" s="10" t="n"/>
      <c r="J560" s="10" t="n"/>
      <c r="K560" s="10" t="n"/>
    </row>
    <row r="561" ht="18" customHeight="1" s="104">
      <c r="A561" s="6" t="n"/>
      <c r="B561" s="7" t="n"/>
      <c r="C561" s="8" t="n"/>
      <c r="D561" s="9" t="n"/>
      <c r="E561" s="10" t="n"/>
      <c r="F561" s="10" t="n"/>
      <c r="G561" s="9" t="n"/>
      <c r="H561" s="11" t="n"/>
      <c r="I561" s="10" t="n"/>
      <c r="J561" s="10" t="n"/>
      <c r="K561" s="10" t="n"/>
    </row>
    <row r="562" ht="18" customHeight="1" s="104">
      <c r="A562" s="6" t="n"/>
      <c r="B562" s="7" t="n"/>
      <c r="C562" s="8" t="n"/>
      <c r="D562" s="9" t="n"/>
      <c r="E562" s="10" t="n"/>
      <c r="F562" s="10" t="n"/>
      <c r="G562" s="9" t="n"/>
      <c r="H562" s="11" t="n"/>
      <c r="I562" s="10" t="n"/>
      <c r="J562" s="10" t="n"/>
      <c r="K562" s="10" t="n"/>
    </row>
    <row r="563" ht="18" customHeight="1" s="104">
      <c r="A563" s="6" t="n"/>
      <c r="B563" s="7" t="n"/>
      <c r="C563" s="8" t="n"/>
      <c r="D563" s="9" t="n"/>
      <c r="E563" s="10" t="n"/>
      <c r="F563" s="10" t="n"/>
      <c r="G563" s="9" t="n"/>
      <c r="H563" s="11" t="n"/>
      <c r="I563" s="10" t="n"/>
      <c r="J563" s="10" t="n"/>
      <c r="K563" s="10" t="n"/>
    </row>
    <row r="564" ht="18" customHeight="1" s="104">
      <c r="A564" s="6" t="n"/>
      <c r="B564" s="69" t="n"/>
      <c r="C564" s="8" t="n"/>
      <c r="D564" s="9" t="n"/>
      <c r="E564" s="10" t="n"/>
      <c r="F564" s="10" t="n"/>
      <c r="G564" s="9" t="n"/>
      <c r="H564" s="11" t="n"/>
      <c r="I564" s="10" t="n"/>
      <c r="J564" s="10" t="n"/>
      <c r="K564" s="10" t="n"/>
    </row>
    <row r="565" ht="18" customHeight="1" s="104">
      <c r="A565" s="6" t="n"/>
      <c r="B565" s="7" t="n"/>
      <c r="C565" s="8" t="n"/>
      <c r="D565" s="9" t="n"/>
      <c r="E565" s="10" t="n"/>
      <c r="F565" s="10" t="n"/>
      <c r="G565" s="9" t="n"/>
      <c r="H565" s="11" t="n"/>
      <c r="I565" s="10" t="n"/>
      <c r="J565" s="10" t="n"/>
      <c r="K565" s="10" t="n"/>
    </row>
    <row r="566" ht="18" customHeight="1" s="104">
      <c r="A566" s="6" t="n"/>
      <c r="B566" s="7" t="n"/>
      <c r="C566" s="8" t="n"/>
      <c r="D566" s="9" t="n"/>
      <c r="E566" s="10" t="n"/>
      <c r="F566" s="10" t="n"/>
      <c r="G566" s="9" t="n"/>
      <c r="H566" s="11" t="n"/>
      <c r="I566" s="10" t="n"/>
      <c r="J566" s="10" t="n"/>
      <c r="K566" s="10" t="n"/>
    </row>
    <row r="567" ht="18" customHeight="1" s="104">
      <c r="A567" s="6" t="n"/>
      <c r="B567" s="7" t="n"/>
      <c r="C567" s="8" t="n"/>
      <c r="D567" s="9" t="n"/>
      <c r="E567" s="10" t="n"/>
      <c r="F567" s="10" t="n"/>
      <c r="G567" s="9" t="n"/>
      <c r="H567" s="11" t="n"/>
      <c r="I567" s="10" t="n"/>
      <c r="J567" s="10" t="n"/>
      <c r="K567" s="10" t="n"/>
    </row>
    <row r="568" ht="18" customHeight="1" s="104">
      <c r="A568" s="6" t="n"/>
      <c r="B568" s="7" t="n"/>
      <c r="C568" s="8" t="n"/>
      <c r="D568" s="9" t="n"/>
      <c r="E568" s="10" t="n"/>
      <c r="F568" s="10" t="n"/>
      <c r="G568" s="9" t="n"/>
      <c r="H568" s="11" t="n"/>
      <c r="I568" s="10" t="n"/>
      <c r="J568" s="10" t="n"/>
      <c r="K568" s="10" t="n"/>
    </row>
    <row r="569" ht="18" customHeight="1" s="104">
      <c r="A569" s="6" t="n"/>
      <c r="B569" s="7" t="n"/>
      <c r="C569" s="8" t="n"/>
      <c r="D569" s="9" t="n"/>
      <c r="E569" s="10" t="n"/>
      <c r="F569" s="10" t="n"/>
      <c r="G569" s="9" t="n"/>
      <c r="H569" s="11" t="n"/>
      <c r="I569" s="10" t="n"/>
      <c r="J569" s="10" t="n"/>
      <c r="K569" s="10" t="n"/>
    </row>
    <row r="570" ht="18" customHeight="1" s="104">
      <c r="A570" s="6" t="n"/>
      <c r="B570" s="7" t="n"/>
      <c r="C570" s="8" t="n"/>
      <c r="D570" s="9" t="n"/>
      <c r="E570" s="10" t="n"/>
      <c r="F570" s="10" t="n"/>
      <c r="G570" s="9" t="n"/>
      <c r="H570" s="11" t="n"/>
      <c r="I570" s="10" t="n"/>
      <c r="J570" s="10" t="n"/>
      <c r="K570" s="10" t="n"/>
    </row>
    <row r="571" ht="18" customHeight="1" s="104">
      <c r="A571" s="6" t="n"/>
      <c r="B571" s="7" t="n"/>
      <c r="C571" s="8" t="n"/>
      <c r="D571" s="9" t="n"/>
      <c r="E571" s="10" t="n"/>
      <c r="F571" s="10" t="n"/>
      <c r="G571" s="9" t="n"/>
      <c r="H571" s="11" t="n"/>
      <c r="I571" s="10" t="n"/>
      <c r="J571" s="10" t="n"/>
      <c r="K571" s="10" t="n"/>
    </row>
    <row r="572" ht="18" customHeight="1" s="104">
      <c r="A572" s="6" t="n"/>
      <c r="B572" s="7" t="n"/>
      <c r="C572" s="8" t="n"/>
      <c r="D572" s="9" t="n"/>
      <c r="E572" s="10" t="n"/>
      <c r="F572" s="10" t="n"/>
      <c r="G572" s="9" t="n"/>
      <c r="H572" s="11" t="n"/>
      <c r="I572" s="10" t="n"/>
      <c r="J572" s="10" t="n"/>
      <c r="K572" s="10" t="n"/>
    </row>
    <row r="573" ht="18" customHeight="1" s="104">
      <c r="A573" s="6" t="n"/>
      <c r="B573" s="7" t="n"/>
      <c r="C573" s="8" t="n"/>
      <c r="D573" s="9" t="n"/>
      <c r="E573" s="10" t="n"/>
      <c r="F573" s="10" t="n"/>
      <c r="G573" s="9" t="n"/>
      <c r="H573" s="11" t="n"/>
      <c r="I573" s="10" t="n"/>
      <c r="J573" s="10" t="n"/>
      <c r="K573" s="10" t="n"/>
    </row>
    <row r="574" ht="18" customHeight="1" s="104">
      <c r="A574" s="6" t="n"/>
      <c r="B574" s="7" t="n"/>
      <c r="C574" s="8" t="n"/>
      <c r="D574" s="9" t="n"/>
      <c r="E574" s="10" t="n"/>
      <c r="F574" s="10" t="n"/>
      <c r="G574" s="9" t="n"/>
      <c r="H574" s="11" t="n"/>
      <c r="I574" s="10" t="n"/>
      <c r="J574" s="10" t="n"/>
      <c r="K574" s="10" t="n"/>
    </row>
    <row r="575" ht="18" customHeight="1" s="104">
      <c r="A575" s="6" t="n"/>
      <c r="B575" s="7" t="n"/>
      <c r="C575" s="8" t="n"/>
      <c r="D575" s="9" t="n"/>
      <c r="E575" s="10" t="n"/>
      <c r="F575" s="10" t="n"/>
      <c r="G575" s="9" t="n"/>
      <c r="H575" s="11" t="n"/>
      <c r="I575" s="10" t="n"/>
      <c r="J575" s="10" t="n"/>
      <c r="K575" s="10" t="n"/>
    </row>
    <row r="576" ht="18" customHeight="1" s="104">
      <c r="A576" s="6" t="n"/>
      <c r="B576" s="7" t="n"/>
      <c r="C576" s="8" t="n"/>
      <c r="D576" s="9" t="n"/>
      <c r="E576" s="10" t="n"/>
      <c r="F576" s="10" t="n"/>
      <c r="G576" s="9" t="n"/>
      <c r="H576" s="11" t="n"/>
      <c r="I576" s="10" t="n"/>
      <c r="J576" s="10" t="n"/>
      <c r="K576" s="10" t="n"/>
    </row>
    <row r="577" ht="18" customHeight="1" s="104">
      <c r="A577" s="6" t="n"/>
      <c r="B577" s="7" t="n"/>
      <c r="C577" s="8" t="n"/>
      <c r="D577" s="9" t="n"/>
      <c r="E577" s="10" t="n"/>
      <c r="F577" s="10" t="n"/>
      <c r="G577" s="9" t="n"/>
      <c r="H577" s="11" t="n"/>
      <c r="I577" s="10" t="n"/>
      <c r="J577" s="10" t="n"/>
      <c r="K577" s="10" t="n"/>
    </row>
    <row r="578" ht="18" customHeight="1" s="104">
      <c r="A578" s="6" t="n"/>
      <c r="B578" s="7" t="n"/>
      <c r="C578" s="8" t="n"/>
      <c r="D578" s="9" t="n"/>
      <c r="E578" s="10" t="n"/>
      <c r="F578" s="10" t="n"/>
      <c r="G578" s="9" t="n"/>
      <c r="H578" s="11" t="n"/>
      <c r="I578" s="10" t="n"/>
      <c r="J578" s="10" t="n"/>
      <c r="K578" s="10" t="n"/>
    </row>
    <row r="579" ht="18" customHeight="1" s="104">
      <c r="A579" s="6" t="n"/>
      <c r="B579" s="7" t="n"/>
      <c r="C579" s="8" t="n"/>
      <c r="D579" s="9" t="n"/>
      <c r="E579" s="10" t="n"/>
      <c r="F579" s="10" t="n"/>
      <c r="G579" s="9" t="n"/>
      <c r="H579" s="11" t="n"/>
      <c r="I579" s="10" t="n"/>
      <c r="J579" s="10" t="n"/>
      <c r="K579" s="10" t="n"/>
    </row>
    <row r="580" ht="18" customHeight="1" s="104">
      <c r="A580" s="6" t="n"/>
      <c r="B580" s="7" t="n"/>
      <c r="C580" s="8" t="n"/>
      <c r="D580" s="9" t="n"/>
      <c r="E580" s="10" t="n"/>
      <c r="F580" s="10" t="n"/>
      <c r="G580" s="9" t="n"/>
      <c r="H580" s="11" t="n"/>
      <c r="I580" s="10" t="n"/>
      <c r="J580" s="10" t="n"/>
      <c r="K580" s="10" t="n"/>
    </row>
    <row r="581" ht="18" customHeight="1" s="104">
      <c r="A581" s="6" t="n"/>
      <c r="B581" s="7" t="n"/>
      <c r="C581" s="8" t="n"/>
      <c r="D581" s="9" t="n"/>
      <c r="E581" s="10" t="n"/>
      <c r="F581" s="10" t="n"/>
      <c r="G581" s="9" t="n"/>
      <c r="H581" s="11" t="n"/>
      <c r="I581" s="10" t="n"/>
      <c r="J581" s="10" t="n"/>
      <c r="K581" s="10" t="n"/>
    </row>
    <row r="582" ht="18" customHeight="1" s="104">
      <c r="A582" s="6" t="n"/>
      <c r="B582" s="7" t="n"/>
      <c r="C582" s="8" t="n"/>
      <c r="D582" s="9" t="n"/>
      <c r="E582" s="10" t="n"/>
      <c r="F582" s="10" t="n"/>
      <c r="G582" s="9" t="n"/>
      <c r="H582" s="11" t="n"/>
      <c r="I582" s="10" t="n"/>
      <c r="J582" s="10" t="n"/>
      <c r="K582" s="10" t="n"/>
    </row>
    <row r="583" ht="18" customHeight="1" s="104">
      <c r="A583" s="6" t="n"/>
      <c r="B583" s="7" t="n"/>
      <c r="C583" s="8" t="n"/>
      <c r="D583" s="9" t="n"/>
      <c r="E583" s="10" t="n"/>
      <c r="F583" s="10" t="n"/>
      <c r="G583" s="9" t="n"/>
      <c r="H583" s="11" t="n"/>
      <c r="I583" s="10" t="n"/>
      <c r="J583" s="10" t="n"/>
      <c r="K583" s="10" t="n"/>
    </row>
    <row r="584" ht="18" customHeight="1" s="104">
      <c r="A584" s="6" t="n"/>
      <c r="B584" s="7" t="n"/>
      <c r="C584" s="8" t="n"/>
      <c r="D584" s="9" t="n"/>
      <c r="E584" s="10" t="n"/>
      <c r="F584" s="10" t="n"/>
      <c r="G584" s="9" t="n"/>
      <c r="H584" s="11" t="n"/>
      <c r="I584" s="10" t="n"/>
      <c r="J584" s="10" t="n"/>
      <c r="K584" s="10" t="n"/>
    </row>
    <row r="585" ht="18" customHeight="1" s="104">
      <c r="A585" s="6" t="n"/>
      <c r="B585" s="7" t="n"/>
      <c r="C585" s="8" t="n"/>
      <c r="D585" s="9" t="n"/>
      <c r="E585" s="10" t="n"/>
      <c r="F585" s="10" t="n"/>
      <c r="G585" s="9" t="n"/>
      <c r="H585" s="11" t="n"/>
      <c r="I585" s="10" t="n"/>
      <c r="J585" s="10" t="n"/>
      <c r="K585" s="10" t="n"/>
    </row>
    <row r="586" ht="18" customHeight="1" s="104">
      <c r="A586" s="6" t="n"/>
      <c r="B586" s="7" t="n"/>
      <c r="C586" s="8" t="n"/>
      <c r="D586" s="9" t="n"/>
      <c r="E586" s="10" t="n"/>
      <c r="F586" s="10" t="n"/>
      <c r="G586" s="9" t="n"/>
      <c r="H586" s="11" t="n"/>
      <c r="I586" s="10" t="n"/>
      <c r="J586" s="10" t="n"/>
      <c r="K586" s="10" t="n"/>
    </row>
    <row r="587" ht="18" customHeight="1" s="104">
      <c r="A587" s="6" t="n"/>
      <c r="B587" s="7" t="n"/>
      <c r="C587" s="8" t="n"/>
      <c r="D587" s="9" t="n"/>
      <c r="E587" s="10" t="n"/>
      <c r="F587" s="10" t="n"/>
      <c r="G587" s="9" t="n"/>
      <c r="H587" s="11" t="n"/>
      <c r="I587" s="10" t="n"/>
      <c r="J587" s="10" t="n"/>
      <c r="K587" s="10" t="n"/>
    </row>
    <row r="588" ht="18" customHeight="1" s="104">
      <c r="A588" s="6" t="n"/>
      <c r="B588" s="7" t="n"/>
      <c r="C588" s="8" t="n"/>
      <c r="D588" s="9" t="n"/>
      <c r="E588" s="10" t="n"/>
      <c r="F588" s="10" t="n"/>
      <c r="G588" s="9" t="n"/>
      <c r="H588" s="11" t="n"/>
      <c r="I588" s="10" t="n"/>
      <c r="J588" s="10" t="n"/>
      <c r="K588" s="10" t="n"/>
    </row>
    <row r="589" ht="18" customHeight="1" s="104">
      <c r="A589" s="6" t="n"/>
      <c r="B589" s="7" t="n"/>
      <c r="C589" s="8" t="n"/>
      <c r="D589" s="9" t="n"/>
      <c r="E589" s="10" t="n"/>
      <c r="F589" s="10" t="n"/>
      <c r="G589" s="9" t="n"/>
      <c r="H589" s="11" t="n"/>
      <c r="I589" s="10" t="n"/>
      <c r="J589" s="10" t="n"/>
      <c r="K589" s="10" t="n"/>
    </row>
    <row r="590" ht="18" customHeight="1" s="104">
      <c r="A590" s="6" t="n"/>
      <c r="B590" s="7" t="n"/>
      <c r="C590" s="8" t="n"/>
      <c r="D590" s="9" t="n"/>
      <c r="E590" s="10" t="n"/>
      <c r="F590" s="10" t="n"/>
      <c r="G590" s="9" t="n"/>
      <c r="H590" s="11" t="n"/>
      <c r="I590" s="10" t="n"/>
      <c r="J590" s="10" t="n"/>
      <c r="K590" s="10" t="n"/>
    </row>
    <row r="591" ht="18" customHeight="1" s="104">
      <c r="A591" s="6" t="n"/>
      <c r="B591" s="7" t="n"/>
      <c r="C591" s="8" t="n"/>
      <c r="D591" s="9" t="n"/>
      <c r="E591" s="10" t="n"/>
      <c r="F591" s="10" t="n"/>
      <c r="G591" s="9" t="n"/>
      <c r="H591" s="11" t="n"/>
      <c r="I591" s="10" t="n"/>
      <c r="J591" s="10" t="n"/>
      <c r="K591" s="10" t="n"/>
    </row>
    <row r="592" ht="18" customHeight="1" s="104">
      <c r="A592" s="6" t="n"/>
      <c r="B592" s="7" t="n"/>
      <c r="C592" s="8" t="n"/>
      <c r="D592" s="9" t="n"/>
      <c r="E592" s="10" t="n"/>
      <c r="F592" s="10" t="n"/>
      <c r="G592" s="9" t="n"/>
      <c r="H592" s="11" t="n"/>
      <c r="I592" s="10" t="n"/>
      <c r="J592" s="10" t="n"/>
      <c r="K592" s="10" t="n"/>
    </row>
    <row r="593" ht="18" customHeight="1" s="104">
      <c r="A593" s="6" t="n"/>
      <c r="B593" s="7" t="n"/>
      <c r="C593" s="8" t="n"/>
      <c r="D593" s="9" t="n"/>
      <c r="E593" s="10" t="n"/>
      <c r="F593" s="10" t="n"/>
      <c r="G593" s="9" t="n"/>
      <c r="H593" s="11" t="n"/>
      <c r="I593" s="10" t="n"/>
      <c r="J593" s="10" t="n"/>
      <c r="K593" s="10" t="n"/>
    </row>
    <row r="594" ht="18" customHeight="1" s="104">
      <c r="A594" s="6" t="n"/>
      <c r="B594" s="7" t="n"/>
      <c r="C594" s="8" t="n"/>
      <c r="D594" s="9" t="n"/>
      <c r="E594" s="10" t="n"/>
      <c r="F594" s="10" t="n"/>
      <c r="G594" s="9" t="n"/>
      <c r="H594" s="11" t="n"/>
      <c r="I594" s="10" t="n"/>
      <c r="J594" s="10" t="n"/>
      <c r="K594" s="10" t="n"/>
    </row>
    <row r="595" ht="18" customHeight="1" s="104">
      <c r="A595" s="6" t="n"/>
      <c r="B595" s="7" t="n"/>
      <c r="C595" s="8" t="n"/>
      <c r="D595" s="9" t="n"/>
      <c r="E595" s="10" t="n"/>
      <c r="F595" s="10" t="n"/>
      <c r="G595" s="9" t="n"/>
      <c r="H595" s="11" t="n"/>
      <c r="I595" s="10" t="n"/>
      <c r="J595" s="10" t="n"/>
      <c r="K595" s="10" t="n"/>
    </row>
    <row r="596" ht="18" customHeight="1" s="104">
      <c r="A596" s="6" t="n"/>
      <c r="B596" s="7" t="n"/>
      <c r="C596" s="8" t="n"/>
      <c r="D596" s="9" t="n"/>
      <c r="E596" s="10" t="n"/>
      <c r="F596" s="10" t="n"/>
      <c r="G596" s="9" t="n"/>
      <c r="H596" s="11" t="n"/>
      <c r="I596" s="10" t="n"/>
      <c r="J596" s="10" t="n"/>
      <c r="K596" s="10" t="n"/>
    </row>
    <row r="597" ht="18" customHeight="1" s="104">
      <c r="A597" s="6" t="n"/>
      <c r="B597" s="7" t="n"/>
      <c r="C597" s="8" t="n"/>
      <c r="D597" s="9" t="n"/>
      <c r="E597" s="10" t="n"/>
      <c r="F597" s="10" t="n"/>
      <c r="G597" s="9" t="n"/>
      <c r="H597" s="11" t="n"/>
      <c r="I597" s="10" t="n"/>
      <c r="J597" s="10" t="n"/>
      <c r="K597" s="10" t="n"/>
    </row>
    <row r="598" ht="18" customHeight="1" s="104">
      <c r="A598" s="6" t="n"/>
      <c r="B598" s="7" t="n"/>
      <c r="C598" s="8" t="n"/>
      <c r="D598" s="9" t="n"/>
      <c r="E598" s="10" t="n"/>
      <c r="F598" s="10" t="n"/>
      <c r="G598" s="9" t="n"/>
      <c r="H598" s="11" t="n"/>
      <c r="I598" s="10" t="n"/>
      <c r="J598" s="10" t="n"/>
      <c r="K598" s="10" t="n"/>
    </row>
    <row r="599" ht="18" customHeight="1" s="104">
      <c r="A599" s="6" t="n"/>
      <c r="B599" s="7" t="n"/>
      <c r="C599" s="8" t="n"/>
      <c r="D599" s="9" t="n"/>
      <c r="E599" s="10" t="n"/>
      <c r="F599" s="10" t="n"/>
      <c r="G599" s="9" t="n"/>
      <c r="H599" s="11" t="n"/>
      <c r="I599" s="10" t="n"/>
      <c r="J599" s="10" t="n"/>
      <c r="K599" s="10" t="n"/>
    </row>
    <row r="600" ht="18" customHeight="1" s="104">
      <c r="A600" s="6" t="n"/>
      <c r="B600" s="7" t="n"/>
      <c r="C600" s="8" t="n"/>
      <c r="D600" s="9" t="n"/>
      <c r="E600" s="10" t="n"/>
      <c r="F600" s="10" t="n"/>
      <c r="G600" s="9" t="n"/>
      <c r="H600" s="11" t="n"/>
      <c r="I600" s="10" t="n"/>
      <c r="J600" s="10" t="n"/>
      <c r="K600" s="10" t="n"/>
    </row>
    <row r="601" ht="18" customHeight="1" s="104">
      <c r="A601" s="6" t="n"/>
      <c r="B601" s="7" t="n"/>
      <c r="C601" s="8" t="n"/>
      <c r="D601" s="9" t="n"/>
      <c r="E601" s="10" t="n"/>
      <c r="F601" s="10" t="n"/>
      <c r="G601" s="9" t="n"/>
      <c r="H601" s="11" t="n"/>
      <c r="I601" s="10" t="n"/>
      <c r="J601" s="10" t="n"/>
      <c r="K601" s="10" t="n"/>
    </row>
    <row r="602" ht="18" customHeight="1" s="104">
      <c r="A602" s="6" t="n"/>
      <c r="B602" s="7" t="n"/>
      <c r="C602" s="8" t="n"/>
      <c r="D602" s="9" t="n"/>
      <c r="E602" s="10" t="n"/>
      <c r="F602" s="10" t="n"/>
      <c r="G602" s="9" t="n"/>
      <c r="H602" s="11" t="n"/>
      <c r="I602" s="10" t="n"/>
      <c r="J602" s="10" t="n"/>
      <c r="K602" s="10" t="n"/>
    </row>
    <row r="603" ht="18" customHeight="1" s="104">
      <c r="A603" s="6" t="n"/>
      <c r="B603" s="7" t="n"/>
      <c r="C603" s="8" t="n"/>
      <c r="D603" s="9" t="n"/>
      <c r="E603" s="10" t="n"/>
      <c r="F603" s="10" t="n"/>
      <c r="G603" s="9" t="n"/>
      <c r="H603" s="11" t="n"/>
      <c r="I603" s="10" t="n"/>
      <c r="J603" s="10" t="n"/>
      <c r="K603" s="10" t="n"/>
    </row>
    <row r="604" ht="18" customHeight="1" s="104">
      <c r="A604" s="6" t="n"/>
      <c r="B604" s="7" t="n"/>
      <c r="C604" s="8" t="n"/>
      <c r="D604" s="9" t="n"/>
      <c r="E604" s="10" t="n"/>
      <c r="F604" s="10" t="n"/>
      <c r="G604" s="9" t="n"/>
      <c r="H604" s="11" t="n"/>
      <c r="I604" s="10" t="n"/>
      <c r="J604" s="10" t="n"/>
      <c r="K604" s="10" t="n"/>
    </row>
    <row r="605" ht="18" customHeight="1" s="104">
      <c r="A605" s="6" t="n"/>
      <c r="B605" s="7" t="n"/>
      <c r="C605" s="8" t="n"/>
      <c r="D605" s="9" t="n"/>
      <c r="E605" s="10" t="n"/>
      <c r="F605" s="10" t="n"/>
      <c r="G605" s="9" t="n"/>
      <c r="H605" s="11" t="n"/>
      <c r="I605" s="10" t="n"/>
      <c r="J605" s="10" t="n"/>
      <c r="K605" s="10" t="n"/>
    </row>
    <row r="606" ht="18" customHeight="1" s="104">
      <c r="A606" s="6" t="n"/>
      <c r="B606" s="7" t="n"/>
      <c r="C606" s="8" t="n"/>
      <c r="D606" s="9" t="n"/>
      <c r="E606" s="10" t="n"/>
      <c r="F606" s="10" t="n"/>
      <c r="G606" s="9" t="n"/>
      <c r="H606" s="11" t="n"/>
      <c r="I606" s="10" t="n"/>
      <c r="J606" s="10" t="n"/>
      <c r="K606" s="10" t="n"/>
    </row>
    <row r="607" ht="18" customHeight="1" s="104">
      <c r="A607" s="6" t="n"/>
      <c r="B607" s="7" t="n"/>
      <c r="C607" s="8" t="n"/>
      <c r="D607" s="9" t="n"/>
      <c r="E607" s="10" t="n"/>
      <c r="F607" s="10" t="n"/>
      <c r="G607" s="9" t="n"/>
      <c r="H607" s="11" t="n"/>
      <c r="I607" s="10" t="n"/>
      <c r="J607" s="10" t="n"/>
      <c r="K607" s="10" t="n"/>
    </row>
    <row r="608" ht="18" customHeight="1" s="104">
      <c r="A608" s="6" t="n"/>
      <c r="B608" s="7" t="n"/>
      <c r="C608" s="8" t="n"/>
      <c r="D608" s="9" t="n"/>
      <c r="E608" s="10" t="n"/>
      <c r="F608" s="10" t="n"/>
      <c r="G608" s="9" t="n"/>
      <c r="H608" s="11" t="n"/>
      <c r="I608" s="10" t="n"/>
      <c r="J608" s="10" t="n"/>
      <c r="K608" s="10" t="n"/>
    </row>
    <row r="609" ht="18" customHeight="1" s="104">
      <c r="A609" s="6" t="n"/>
      <c r="B609" s="7" t="n"/>
      <c r="C609" s="8" t="n"/>
      <c r="D609" s="9" t="n"/>
      <c r="E609" s="10" t="n"/>
      <c r="F609" s="10" t="n"/>
      <c r="G609" s="9" t="n"/>
      <c r="H609" s="11" t="n"/>
      <c r="I609" s="10" t="n"/>
      <c r="J609" s="10" t="n"/>
      <c r="K609" s="10" t="n"/>
    </row>
    <row r="610" ht="18" customHeight="1" s="104">
      <c r="A610" s="6" t="n"/>
      <c r="B610" s="7" t="n"/>
      <c r="C610" s="8" t="n"/>
      <c r="D610" s="9" t="n"/>
      <c r="E610" s="10" t="n"/>
      <c r="F610" s="10" t="n"/>
      <c r="G610" s="9" t="n"/>
      <c r="H610" s="11" t="n"/>
      <c r="I610" s="10" t="n"/>
      <c r="J610" s="10" t="n"/>
      <c r="K610" s="10" t="n"/>
    </row>
    <row r="611" ht="18" customHeight="1" s="104">
      <c r="A611" s="6" t="n"/>
      <c r="B611" s="7" t="n"/>
      <c r="C611" s="8" t="n"/>
      <c r="D611" s="9" t="n"/>
      <c r="E611" s="10" t="n"/>
      <c r="F611" s="10" t="n"/>
      <c r="G611" s="9" t="n"/>
      <c r="H611" s="11" t="n"/>
      <c r="I611" s="10" t="n"/>
      <c r="J611" s="10" t="n"/>
      <c r="K611" s="10" t="n"/>
    </row>
    <row r="612" ht="18" customHeight="1" s="104">
      <c r="A612" s="6" t="n"/>
      <c r="B612" s="7" t="n"/>
      <c r="C612" s="8" t="n"/>
      <c r="D612" s="9" t="n"/>
      <c r="E612" s="10" t="n"/>
      <c r="F612" s="10" t="n"/>
      <c r="G612" s="9" t="n"/>
      <c r="H612" s="11" t="n"/>
      <c r="I612" s="10" t="n"/>
      <c r="J612" s="10" t="n"/>
      <c r="K612" s="10" t="n"/>
    </row>
    <row r="613" ht="18" customHeight="1" s="104">
      <c r="A613" s="6" t="n"/>
      <c r="B613" s="7" t="n"/>
      <c r="C613" s="8" t="n"/>
      <c r="D613" s="9" t="n"/>
      <c r="E613" s="10" t="n"/>
      <c r="F613" s="10" t="n"/>
      <c r="G613" s="9" t="n"/>
      <c r="H613" s="11" t="n"/>
      <c r="I613" s="10" t="n"/>
      <c r="J613" s="10" t="n"/>
      <c r="K613" s="10" t="n"/>
    </row>
    <row r="614" ht="18" customHeight="1" s="104">
      <c r="A614" s="6" t="n"/>
      <c r="B614" s="7" t="n"/>
      <c r="C614" s="8" t="n"/>
      <c r="D614" s="9" t="n"/>
      <c r="E614" s="10" t="n"/>
      <c r="F614" s="10" t="n"/>
      <c r="G614" s="9" t="n"/>
      <c r="H614" s="11" t="n"/>
      <c r="I614" s="10" t="n"/>
      <c r="J614" s="10" t="n"/>
      <c r="K614" s="10" t="n"/>
    </row>
    <row r="615" ht="18" customHeight="1" s="104">
      <c r="A615" s="6" t="n"/>
      <c r="B615" s="7" t="n"/>
      <c r="C615" s="8" t="n"/>
      <c r="D615" s="9" t="n"/>
      <c r="E615" s="10" t="n"/>
      <c r="F615" s="10" t="n"/>
      <c r="G615" s="9" t="n"/>
      <c r="H615" s="11" t="n"/>
      <c r="I615" s="10" t="n"/>
      <c r="J615" s="10" t="n"/>
      <c r="K615" s="10" t="n"/>
    </row>
    <row r="616" ht="18" customHeight="1" s="104">
      <c r="A616" s="6" t="n"/>
      <c r="B616" s="7" t="n"/>
      <c r="C616" s="8" t="n"/>
      <c r="D616" s="9" t="n"/>
      <c r="E616" s="10" t="n"/>
      <c r="F616" s="10" t="n"/>
      <c r="G616" s="9" t="n"/>
      <c r="H616" s="11" t="n"/>
      <c r="I616" s="10" t="n"/>
      <c r="J616" s="10" t="n"/>
      <c r="K616" s="10" t="n"/>
    </row>
    <row r="617" ht="18" customHeight="1" s="104">
      <c r="A617" s="6" t="n"/>
      <c r="B617" s="7" t="n"/>
      <c r="C617" s="8" t="n"/>
      <c r="D617" s="9" t="n"/>
      <c r="E617" s="10" t="n"/>
      <c r="F617" s="10" t="n"/>
      <c r="G617" s="9" t="n"/>
      <c r="H617" s="11" t="n"/>
      <c r="I617" s="10" t="n"/>
      <c r="J617" s="10" t="n"/>
      <c r="K617" s="10" t="n"/>
    </row>
    <row r="618" ht="18" customHeight="1" s="104">
      <c r="A618" s="6" t="n"/>
      <c r="B618" s="7" t="n"/>
      <c r="C618" s="8" t="n"/>
      <c r="D618" s="9" t="n"/>
      <c r="E618" s="10" t="n"/>
      <c r="F618" s="10" t="n"/>
      <c r="G618" s="9" t="n"/>
      <c r="H618" s="11" t="n"/>
      <c r="I618" s="10" t="n"/>
      <c r="J618" s="10" t="n"/>
      <c r="K618" s="10" t="n"/>
    </row>
    <row r="619" ht="18" customHeight="1" s="104">
      <c r="A619" s="6" t="n"/>
      <c r="B619" s="7" t="n"/>
      <c r="C619" s="8" t="n"/>
      <c r="D619" s="9" t="n"/>
      <c r="E619" s="10" t="n"/>
      <c r="F619" s="10" t="n"/>
      <c r="G619" s="9" t="n"/>
      <c r="H619" s="11" t="n"/>
      <c r="I619" s="10" t="n"/>
      <c r="J619" s="10" t="n"/>
      <c r="K619" s="10" t="n"/>
    </row>
    <row r="620" ht="18" customHeight="1" s="104">
      <c r="A620" s="6" t="n"/>
      <c r="B620" s="7" t="n"/>
      <c r="C620" s="8" t="n"/>
      <c r="D620" s="9" t="n"/>
      <c r="E620" s="10" t="n"/>
      <c r="F620" s="10" t="n"/>
      <c r="G620" s="9" t="n"/>
      <c r="H620" s="11" t="n"/>
      <c r="I620" s="10" t="n"/>
      <c r="J620" s="10" t="n"/>
      <c r="K620" s="10" t="n"/>
    </row>
    <row r="621" ht="18" customHeight="1" s="104">
      <c r="A621" s="6" t="n"/>
      <c r="B621" s="7" t="n"/>
      <c r="C621" s="8" t="n"/>
      <c r="D621" s="9" t="n"/>
      <c r="E621" s="10" t="n"/>
      <c r="F621" s="10" t="n"/>
      <c r="G621" s="9" t="n"/>
      <c r="H621" s="11" t="n"/>
      <c r="I621" s="10" t="n"/>
      <c r="J621" s="10" t="n"/>
      <c r="K621" s="10" t="n"/>
    </row>
    <row r="622" ht="18" customHeight="1" s="104">
      <c r="A622" s="6" t="n"/>
      <c r="B622" s="7" t="n"/>
      <c r="C622" s="8" t="n"/>
      <c r="D622" s="9" t="n"/>
      <c r="E622" s="10" t="n"/>
      <c r="F622" s="10" t="n"/>
      <c r="G622" s="9" t="n"/>
      <c r="H622" s="11" t="n"/>
      <c r="I622" s="10" t="n"/>
      <c r="J622" s="10" t="n"/>
      <c r="K622" s="10" t="n"/>
    </row>
    <row r="623" ht="18" customHeight="1" s="104">
      <c r="A623" s="6" t="n"/>
      <c r="B623" s="7" t="n"/>
      <c r="C623" s="8" t="n"/>
      <c r="D623" s="9" t="n"/>
      <c r="E623" s="10" t="n"/>
      <c r="F623" s="10" t="n"/>
      <c r="G623" s="9" t="n"/>
      <c r="H623" s="11" t="n"/>
      <c r="I623" s="10" t="n"/>
      <c r="J623" s="10" t="n"/>
      <c r="K623" s="10" t="n"/>
    </row>
    <row r="624" ht="18" customHeight="1" s="104">
      <c r="A624" s="6" t="n"/>
      <c r="B624" s="7" t="n"/>
      <c r="C624" s="8" t="n"/>
      <c r="D624" s="9" t="n"/>
      <c r="E624" s="10" t="n"/>
      <c r="F624" s="10" t="n"/>
      <c r="G624" s="9" t="n"/>
      <c r="H624" s="11" t="n"/>
      <c r="I624" s="10" t="n"/>
      <c r="J624" s="10" t="n"/>
      <c r="K624" s="10" t="n"/>
    </row>
    <row r="625" ht="18" customHeight="1" s="104">
      <c r="A625" s="6" t="n"/>
      <c r="B625" s="7" t="n"/>
      <c r="C625" s="8" t="n"/>
      <c r="D625" s="9" t="n"/>
      <c r="E625" s="10" t="n"/>
      <c r="F625" s="10" t="n"/>
      <c r="G625" s="9" t="n"/>
      <c r="H625" s="11" t="n"/>
      <c r="I625" s="10" t="n"/>
      <c r="J625" s="10" t="n"/>
      <c r="K625" s="10" t="n"/>
    </row>
    <row r="626" ht="18" customHeight="1" s="104">
      <c r="A626" s="6" t="n"/>
      <c r="B626" s="7" t="n"/>
      <c r="C626" s="8" t="n"/>
      <c r="D626" s="9" t="n"/>
      <c r="E626" s="10" t="n"/>
      <c r="F626" s="10" t="n"/>
      <c r="G626" s="9" t="n"/>
      <c r="H626" s="11" t="n"/>
      <c r="I626" s="10" t="n"/>
      <c r="J626" s="10" t="n"/>
      <c r="K626" s="10" t="n"/>
    </row>
    <row r="627" ht="18" customHeight="1" s="104">
      <c r="A627" s="6" t="n"/>
      <c r="B627" s="7" t="n"/>
      <c r="C627" s="8" t="n"/>
      <c r="D627" s="9" t="n"/>
      <c r="E627" s="10" t="n"/>
      <c r="F627" s="10" t="n"/>
      <c r="G627" s="9" t="n"/>
      <c r="H627" s="11" t="n"/>
      <c r="I627" s="10" t="n"/>
      <c r="J627" s="10" t="n"/>
      <c r="K627" s="10" t="n"/>
    </row>
    <row r="628" ht="18" customHeight="1" s="104">
      <c r="A628" s="6" t="n"/>
      <c r="B628" s="7" t="n"/>
      <c r="C628" s="8" t="n"/>
      <c r="D628" s="9" t="n"/>
      <c r="E628" s="10" t="n"/>
      <c r="F628" s="10" t="n"/>
      <c r="G628" s="9" t="n"/>
      <c r="H628" s="11" t="n"/>
      <c r="I628" s="10" t="n"/>
      <c r="J628" s="10" t="n"/>
      <c r="K628" s="10" t="n"/>
    </row>
    <row r="629" ht="18" customHeight="1" s="104">
      <c r="A629" s="6" t="n"/>
      <c r="B629" s="7" t="n"/>
      <c r="C629" s="8" t="n"/>
      <c r="D629" s="9" t="n"/>
      <c r="E629" s="10" t="n"/>
      <c r="F629" s="10" t="n"/>
      <c r="G629" s="9" t="n"/>
      <c r="H629" s="11" t="n"/>
      <c r="I629" s="10" t="n"/>
      <c r="J629" s="10" t="n"/>
      <c r="K629" s="10" t="n"/>
    </row>
    <row r="630" ht="18" customHeight="1" s="104">
      <c r="A630" s="6" t="n"/>
      <c r="B630" s="7" t="n"/>
      <c r="C630" s="8" t="n"/>
      <c r="D630" s="9" t="n"/>
      <c r="E630" s="10" t="n"/>
      <c r="F630" s="10" t="n"/>
      <c r="G630" s="9" t="n"/>
      <c r="H630" s="11" t="n"/>
      <c r="I630" s="10" t="n"/>
      <c r="J630" s="10" t="n"/>
      <c r="K630" s="10" t="n"/>
    </row>
    <row r="631" ht="18" customHeight="1" s="104">
      <c r="A631" s="6" t="n"/>
      <c r="B631" s="7" t="n"/>
      <c r="C631" s="8" t="n"/>
      <c r="D631" s="9" t="n"/>
      <c r="E631" s="10" t="n"/>
      <c r="F631" s="10" t="n"/>
      <c r="G631" s="9" t="n"/>
      <c r="H631" s="11" t="n"/>
      <c r="I631" s="10" t="n"/>
      <c r="J631" s="10" t="n"/>
      <c r="K631" s="10" t="n"/>
    </row>
    <row r="632" ht="18" customHeight="1" s="104">
      <c r="A632" s="6" t="n"/>
      <c r="B632" s="7" t="n"/>
      <c r="C632" s="8" t="n"/>
      <c r="D632" s="9" t="n"/>
      <c r="E632" s="10" t="n"/>
      <c r="F632" s="10" t="n"/>
      <c r="G632" s="9" t="n"/>
      <c r="H632" s="11" t="n"/>
      <c r="I632" s="10" t="n"/>
      <c r="J632" s="10" t="n"/>
      <c r="K632" s="10" t="n"/>
    </row>
    <row r="633" ht="18" customHeight="1" s="104">
      <c r="A633" s="6" t="n"/>
      <c r="B633" s="7" t="n"/>
      <c r="C633" s="8" t="n"/>
      <c r="D633" s="9" t="n"/>
      <c r="E633" s="10" t="n"/>
      <c r="F633" s="10" t="n"/>
      <c r="G633" s="9" t="n"/>
      <c r="H633" s="11" t="n"/>
      <c r="I633" s="10" t="n"/>
      <c r="J633" s="10" t="n"/>
      <c r="K633" s="10" t="n"/>
    </row>
    <row r="634" ht="18" customHeight="1" s="104">
      <c r="A634" s="6" t="n"/>
      <c r="B634" s="7" t="n"/>
      <c r="C634" s="8" t="n"/>
      <c r="D634" s="9" t="n"/>
      <c r="E634" s="10" t="n"/>
      <c r="F634" s="10" t="n"/>
      <c r="G634" s="9" t="n"/>
      <c r="H634" s="11" t="n"/>
      <c r="I634" s="10" t="n"/>
      <c r="J634" s="10" t="n"/>
      <c r="K634" s="10" t="n"/>
    </row>
    <row r="635" ht="18" customHeight="1" s="104">
      <c r="A635" s="6" t="n"/>
      <c r="B635" s="7" t="n"/>
      <c r="C635" s="8" t="n"/>
      <c r="D635" s="9" t="n"/>
      <c r="E635" s="10" t="n"/>
      <c r="F635" s="10" t="n"/>
      <c r="G635" s="9" t="n"/>
      <c r="H635" s="11" t="n"/>
      <c r="I635" s="10" t="n"/>
      <c r="J635" s="10" t="n"/>
      <c r="K635" s="10" t="n"/>
    </row>
    <row r="636" ht="18" customHeight="1" s="104">
      <c r="A636" s="6" t="n"/>
      <c r="B636" s="7" t="n"/>
      <c r="C636" s="8" t="n"/>
      <c r="D636" s="9" t="n"/>
      <c r="E636" s="10" t="n"/>
      <c r="F636" s="10" t="n"/>
      <c r="G636" s="9" t="n"/>
      <c r="H636" s="11" t="n"/>
      <c r="I636" s="10" t="n"/>
      <c r="J636" s="10" t="n"/>
      <c r="K636" s="10" t="n"/>
    </row>
    <row r="637" ht="18" customHeight="1" s="104">
      <c r="A637" s="6" t="n"/>
      <c r="B637" s="7" t="n"/>
      <c r="C637" s="8" t="n"/>
      <c r="D637" s="9" t="n"/>
      <c r="E637" s="10" t="n"/>
      <c r="F637" s="10" t="n"/>
      <c r="G637" s="9" t="n"/>
      <c r="H637" s="11" t="n"/>
      <c r="I637" s="10" t="n"/>
      <c r="J637" s="10" t="n"/>
      <c r="K637" s="10" t="n"/>
    </row>
    <row r="638" ht="18" customHeight="1" s="104">
      <c r="A638" s="6" t="n"/>
      <c r="B638" s="7" t="n"/>
      <c r="C638" s="8" t="n"/>
      <c r="D638" s="9" t="n"/>
      <c r="E638" s="10" t="n"/>
      <c r="F638" s="10" t="n"/>
      <c r="G638" s="9" t="n"/>
      <c r="H638" s="11" t="n"/>
      <c r="I638" s="10" t="n"/>
      <c r="J638" s="10" t="n"/>
      <c r="K638" s="10" t="n"/>
    </row>
    <row r="639" ht="18" customHeight="1" s="104">
      <c r="A639" s="6" t="n"/>
      <c r="B639" s="7" t="n"/>
      <c r="C639" s="8" t="n"/>
      <c r="D639" s="9" t="n"/>
      <c r="E639" s="10" t="n"/>
      <c r="F639" s="10" t="n"/>
      <c r="G639" s="9" t="n"/>
      <c r="H639" s="11" t="n"/>
      <c r="I639" s="10" t="n"/>
      <c r="J639" s="10" t="n"/>
      <c r="K639" s="10" t="n"/>
    </row>
    <row r="640" ht="18" customHeight="1" s="104">
      <c r="A640" s="6" t="n"/>
      <c r="B640" s="7" t="n"/>
      <c r="C640" s="8" t="n"/>
      <c r="D640" s="9" t="n"/>
      <c r="E640" s="10" t="n"/>
      <c r="F640" s="10" t="n"/>
      <c r="G640" s="9" t="n"/>
      <c r="H640" s="11" t="n"/>
      <c r="I640" s="10" t="n"/>
      <c r="J640" s="10" t="n"/>
      <c r="K640" s="10" t="n"/>
    </row>
    <row r="641" ht="18" customHeight="1" s="104">
      <c r="A641" s="6" t="n"/>
      <c r="B641" s="7" t="n"/>
      <c r="C641" s="8" t="n"/>
      <c r="D641" s="9" t="n"/>
      <c r="E641" s="10" t="n"/>
      <c r="F641" s="10" t="n"/>
      <c r="G641" s="9" t="n"/>
      <c r="H641" s="11" t="n"/>
      <c r="I641" s="10" t="n"/>
      <c r="J641" s="10" t="n"/>
      <c r="K641" s="10" t="n"/>
    </row>
    <row r="642" ht="18" customHeight="1" s="104">
      <c r="A642" s="6" t="n"/>
      <c r="B642" s="7" t="n"/>
      <c r="C642" s="8" t="n"/>
      <c r="D642" s="9" t="n"/>
      <c r="E642" s="10" t="n"/>
      <c r="F642" s="10" t="n"/>
      <c r="G642" s="9" t="n"/>
      <c r="H642" s="11" t="n"/>
      <c r="I642" s="10" t="n"/>
      <c r="J642" s="10" t="n"/>
      <c r="K642" s="10" t="n"/>
    </row>
    <row r="643" ht="18" customHeight="1" s="104">
      <c r="A643" s="6" t="n"/>
      <c r="B643" s="7" t="n"/>
      <c r="C643" s="8" t="n"/>
      <c r="D643" s="9" t="n"/>
      <c r="E643" s="10" t="n"/>
      <c r="F643" s="10" t="n"/>
      <c r="G643" s="9" t="n"/>
      <c r="H643" s="11" t="n"/>
      <c r="I643" s="10" t="n"/>
      <c r="J643" s="10" t="n"/>
      <c r="K643" s="10" t="n"/>
    </row>
    <row r="644" ht="18" customHeight="1" s="104">
      <c r="A644" s="6" t="n"/>
      <c r="B644" s="7" t="n"/>
      <c r="C644" s="8" t="n"/>
      <c r="D644" s="9" t="n"/>
      <c r="E644" s="10" t="n"/>
      <c r="F644" s="10" t="n"/>
      <c r="G644" s="9" t="n"/>
      <c r="H644" s="11" t="n"/>
      <c r="I644" s="10" t="n"/>
      <c r="J644" s="10" t="n"/>
      <c r="K644" s="10" t="n"/>
    </row>
    <row r="645" ht="18" customHeight="1" s="104">
      <c r="A645" s="6" t="n"/>
      <c r="B645" s="7" t="n"/>
      <c r="C645" s="8" t="n"/>
      <c r="D645" s="9" t="n"/>
      <c r="E645" s="10" t="n"/>
      <c r="F645" s="10" t="n"/>
      <c r="G645" s="9" t="n"/>
      <c r="H645" s="11" t="n"/>
      <c r="I645" s="10" t="n"/>
      <c r="J645" s="10" t="n"/>
      <c r="K645" s="10" t="n"/>
    </row>
    <row r="646" ht="18" customHeight="1" s="104">
      <c r="A646" s="6" t="n"/>
      <c r="B646" s="7" t="n"/>
      <c r="C646" s="8" t="n"/>
      <c r="D646" s="9" t="n"/>
      <c r="E646" s="10" t="n"/>
      <c r="F646" s="10" t="n"/>
      <c r="G646" s="9" t="n"/>
      <c r="H646" s="11" t="n"/>
      <c r="I646" s="10" t="n"/>
      <c r="J646" s="10" t="n"/>
      <c r="K646" s="10" t="n"/>
    </row>
    <row r="647" ht="18" customHeight="1" s="104">
      <c r="A647" s="6" t="n"/>
      <c r="B647" s="7" t="n"/>
      <c r="C647" s="8" t="n"/>
      <c r="D647" s="9" t="n"/>
      <c r="E647" s="10" t="n"/>
      <c r="F647" s="10" t="n"/>
      <c r="G647" s="9" t="n"/>
      <c r="H647" s="11" t="n"/>
      <c r="I647" s="10" t="n"/>
      <c r="J647" s="10" t="n"/>
      <c r="K647" s="10" t="n"/>
    </row>
    <row r="648" ht="18" customHeight="1" s="104">
      <c r="A648" s="6" t="n"/>
      <c r="B648" s="7" t="n"/>
      <c r="C648" s="8" t="n"/>
      <c r="D648" s="9" t="n"/>
      <c r="E648" s="10" t="n"/>
      <c r="F648" s="10" t="n"/>
      <c r="G648" s="9" t="n"/>
      <c r="H648" s="11" t="n"/>
      <c r="I648" s="10" t="n"/>
      <c r="J648" s="10" t="n"/>
      <c r="K648" s="10" t="n"/>
    </row>
    <row r="649" ht="18" customHeight="1" s="104">
      <c r="A649" s="6" t="n"/>
      <c r="B649" s="7" t="n"/>
      <c r="C649" s="8" t="n"/>
      <c r="D649" s="9" t="n"/>
      <c r="E649" s="10" t="n"/>
      <c r="F649" s="10" t="n"/>
      <c r="G649" s="9" t="n"/>
      <c r="H649" s="11" t="n"/>
      <c r="I649" s="10" t="n"/>
      <c r="J649" s="10" t="n"/>
      <c r="K649" s="10" t="n"/>
    </row>
    <row r="650" ht="18" customHeight="1" s="104">
      <c r="A650" s="6" t="n"/>
      <c r="B650" s="7" t="n"/>
      <c r="C650" s="8" t="n"/>
      <c r="D650" s="9" t="n"/>
      <c r="E650" s="10" t="n"/>
      <c r="F650" s="10" t="n"/>
      <c r="G650" s="9" t="n"/>
      <c r="H650" s="11" t="n"/>
      <c r="I650" s="10" t="n"/>
      <c r="J650" s="10" t="n"/>
      <c r="K650" s="10" t="n"/>
    </row>
    <row r="651" ht="18" customHeight="1" s="104">
      <c r="A651" s="6" t="n"/>
      <c r="B651" s="7" t="n"/>
      <c r="C651" s="8" t="n"/>
      <c r="D651" s="9" t="n"/>
      <c r="E651" s="10" t="n"/>
      <c r="F651" s="10" t="n"/>
      <c r="G651" s="9" t="n"/>
      <c r="H651" s="11" t="n"/>
      <c r="I651" s="10" t="n"/>
      <c r="J651" s="10" t="n"/>
      <c r="K651" s="10" t="n"/>
    </row>
    <row r="652" ht="18" customHeight="1" s="104">
      <c r="A652" s="6" t="n"/>
      <c r="B652" s="7" t="n"/>
      <c r="C652" s="8" t="n"/>
      <c r="D652" s="9" t="n"/>
      <c r="E652" s="10" t="n"/>
      <c r="F652" s="10" t="n"/>
      <c r="G652" s="9" t="n"/>
      <c r="H652" s="11" t="n"/>
      <c r="I652" s="10" t="n"/>
      <c r="J652" s="10" t="n"/>
      <c r="K652" s="10" t="n"/>
    </row>
    <row r="653" ht="18" customHeight="1" s="104">
      <c r="A653" s="6" t="n"/>
      <c r="B653" s="7" t="n"/>
      <c r="C653" s="8" t="n"/>
      <c r="D653" s="9" t="n"/>
      <c r="E653" s="10" t="n"/>
      <c r="F653" s="10" t="n"/>
      <c r="G653" s="9" t="n"/>
      <c r="H653" s="11" t="n"/>
      <c r="I653" s="10" t="n"/>
      <c r="J653" s="10" t="n"/>
      <c r="K653" s="10" t="n"/>
    </row>
    <row r="654" ht="18" customHeight="1" s="104">
      <c r="A654" s="6" t="n"/>
      <c r="B654" s="7" t="n"/>
      <c r="C654" s="8" t="n"/>
      <c r="D654" s="9" t="n"/>
      <c r="E654" s="10" t="n"/>
      <c r="F654" s="10" t="n"/>
      <c r="G654" s="9" t="n"/>
      <c r="H654" s="11" t="n"/>
      <c r="I654" s="10" t="n"/>
      <c r="J654" s="10" t="n"/>
      <c r="K654" s="10" t="n"/>
    </row>
    <row r="655" ht="18" customHeight="1" s="104">
      <c r="A655" s="6" t="n"/>
      <c r="B655" s="7" t="n"/>
      <c r="C655" s="8" t="n"/>
      <c r="D655" s="9" t="n"/>
      <c r="E655" s="10" t="n"/>
      <c r="F655" s="10" t="n"/>
      <c r="G655" s="9" t="n"/>
      <c r="H655" s="11" t="n"/>
      <c r="I655" s="10" t="n"/>
      <c r="J655" s="10" t="n"/>
      <c r="K655" s="10" t="n"/>
    </row>
    <row r="656" ht="18" customHeight="1" s="104">
      <c r="A656" s="6" t="n"/>
      <c r="B656" s="7" t="n"/>
      <c r="C656" s="8" t="n"/>
      <c r="D656" s="9" t="n"/>
      <c r="E656" s="10" t="n"/>
      <c r="F656" s="10" t="n"/>
      <c r="G656" s="9" t="n"/>
      <c r="H656" s="11" t="n"/>
      <c r="I656" s="10" t="n"/>
      <c r="J656" s="10" t="n"/>
      <c r="K656" s="10" t="n"/>
    </row>
    <row r="657" ht="18" customHeight="1" s="104">
      <c r="A657" s="6" t="n"/>
      <c r="B657" s="7" t="n"/>
      <c r="C657" s="8" t="n"/>
      <c r="D657" s="9" t="n"/>
      <c r="E657" s="10" t="n"/>
      <c r="F657" s="10" t="n"/>
      <c r="G657" s="9" t="n"/>
      <c r="H657" s="11" t="n"/>
      <c r="I657" s="10" t="n"/>
      <c r="J657" s="10" t="n"/>
      <c r="K657" s="10" t="n"/>
    </row>
    <row r="658" ht="18" customHeight="1" s="104">
      <c r="A658" s="6" t="n"/>
      <c r="B658" s="7" t="n"/>
      <c r="C658" s="8" t="n"/>
      <c r="D658" s="9" t="n"/>
      <c r="E658" s="10" t="n"/>
      <c r="F658" s="10" t="n"/>
      <c r="G658" s="9" t="n"/>
      <c r="H658" s="11" t="n"/>
      <c r="I658" s="10" t="n"/>
      <c r="J658" s="10" t="n"/>
      <c r="K658" s="10" t="n"/>
    </row>
    <row r="659" ht="18" customHeight="1" s="104">
      <c r="A659" s="6" t="n"/>
      <c r="B659" s="7" t="n"/>
      <c r="C659" s="8" t="n"/>
      <c r="D659" s="9" t="n"/>
      <c r="E659" s="10" t="n"/>
      <c r="F659" s="10" t="n"/>
      <c r="G659" s="9" t="n"/>
      <c r="H659" s="11" t="n"/>
      <c r="I659" s="10" t="n"/>
      <c r="J659" s="10" t="n"/>
      <c r="K659" s="10" t="n"/>
    </row>
    <row r="660" ht="18" customHeight="1" s="104">
      <c r="A660" s="6" t="n"/>
      <c r="B660" s="7" t="n"/>
      <c r="C660" s="8" t="n"/>
      <c r="D660" s="9" t="n"/>
      <c r="E660" s="10" t="n"/>
      <c r="F660" s="10" t="n"/>
      <c r="G660" s="9" t="n"/>
      <c r="H660" s="11" t="n"/>
      <c r="I660" s="10" t="n"/>
      <c r="J660" s="10" t="n"/>
      <c r="K660" s="10" t="n"/>
    </row>
    <row r="661" ht="18" customHeight="1" s="104">
      <c r="A661" s="6" t="n"/>
      <c r="B661" s="7" t="n"/>
      <c r="C661" s="8" t="n"/>
      <c r="D661" s="9" t="n"/>
      <c r="E661" s="10" t="n"/>
      <c r="F661" s="10" t="n"/>
      <c r="G661" s="9" t="n"/>
      <c r="H661" s="11" t="n"/>
      <c r="I661" s="10" t="n"/>
      <c r="J661" s="10" t="n"/>
      <c r="K661" s="10" t="n"/>
    </row>
    <row r="662" ht="18" customHeight="1" s="104">
      <c r="A662" s="6" t="n"/>
      <c r="B662" s="7" t="n"/>
      <c r="C662" s="8" t="n"/>
      <c r="D662" s="9" t="n"/>
      <c r="E662" s="10" t="n"/>
      <c r="F662" s="10" t="n"/>
      <c r="G662" s="9" t="n"/>
      <c r="H662" s="11" t="n"/>
      <c r="I662" s="10" t="n"/>
      <c r="J662" s="10" t="n"/>
      <c r="K662" s="10" t="n"/>
    </row>
    <row r="663" ht="18" customHeight="1" s="104">
      <c r="A663" s="6" t="n"/>
      <c r="B663" s="7" t="n"/>
      <c r="C663" s="8" t="n"/>
      <c r="D663" s="9" t="n"/>
      <c r="E663" s="10" t="n"/>
      <c r="F663" s="10" t="n"/>
      <c r="G663" s="9" t="n"/>
      <c r="H663" s="11" t="n"/>
      <c r="I663" s="10" t="n"/>
      <c r="J663" s="10" t="n"/>
      <c r="K663" s="10" t="n"/>
    </row>
    <row r="664" ht="18" customHeight="1" s="104">
      <c r="A664" s="6" t="n"/>
      <c r="B664" s="7" t="n"/>
      <c r="C664" s="8" t="n"/>
      <c r="D664" s="9" t="n"/>
      <c r="E664" s="10" t="n"/>
      <c r="F664" s="10" t="n"/>
      <c r="G664" s="9" t="n"/>
      <c r="H664" s="11" t="n"/>
      <c r="I664" s="10" t="n"/>
      <c r="J664" s="10" t="n"/>
      <c r="K664" s="10" t="n"/>
    </row>
    <row r="665" ht="18" customHeight="1" s="104">
      <c r="A665" s="74" t="n"/>
      <c r="B665" s="69" t="n"/>
      <c r="C665" s="8" t="n"/>
      <c r="D665" s="9" t="n"/>
      <c r="E665" s="10" t="n"/>
      <c r="F665" s="10" t="n"/>
      <c r="G665" s="9" t="n"/>
      <c r="H665" s="67" t="n"/>
      <c r="I665" s="10" t="n"/>
      <c r="J665" s="10" t="n"/>
      <c r="K665" s="10" t="n"/>
    </row>
    <row r="666" ht="18" customHeight="1" s="104">
      <c r="A666" s="74" t="n"/>
      <c r="B666" s="69" t="n"/>
      <c r="C666" s="8" t="n"/>
      <c r="D666" s="9" t="n"/>
      <c r="E666" s="10" t="n"/>
      <c r="F666" s="10" t="n"/>
      <c r="G666" s="9" t="n"/>
      <c r="H666" s="67" t="n"/>
      <c r="I666" s="10" t="n"/>
      <c r="J666" s="10" t="n"/>
      <c r="K666" s="10" t="n"/>
    </row>
    <row r="667" ht="18" customHeight="1" s="104">
      <c r="A667" s="74" t="n"/>
      <c r="B667" s="69" t="n"/>
      <c r="C667" s="8" t="n"/>
      <c r="D667" s="67" t="n"/>
      <c r="E667" s="10" t="n"/>
      <c r="F667" s="10" t="n"/>
      <c r="G667" s="67" t="n"/>
      <c r="H667" s="67" t="n"/>
      <c r="I667" s="10" t="n"/>
      <c r="J667" s="10" t="n"/>
      <c r="K667" s="10" t="n"/>
    </row>
    <row r="668" ht="18" customHeight="1" s="104">
      <c r="A668" s="74" t="n"/>
      <c r="B668" s="69" t="n"/>
      <c r="C668" s="8" t="n"/>
      <c r="D668" s="67" t="n"/>
      <c r="E668" s="10" t="n"/>
      <c r="F668" s="10" t="n"/>
      <c r="G668" s="67" t="n"/>
      <c r="H668" s="67" t="n"/>
      <c r="I668" s="10" t="n"/>
      <c r="J668" s="10" t="n"/>
      <c r="K668" s="10" t="n"/>
    </row>
    <row r="669" ht="18" customHeight="1" s="104">
      <c r="A669" s="74" t="n"/>
      <c r="B669" s="69" t="n"/>
      <c r="C669" s="8" t="n"/>
      <c r="D669" s="67" t="n"/>
      <c r="E669" s="10" t="n"/>
      <c r="F669" s="10" t="n"/>
      <c r="G669" s="67" t="n"/>
      <c r="H669" s="67" t="n"/>
      <c r="I669" s="10" t="n"/>
      <c r="J669" s="10" t="n"/>
      <c r="K669" s="10" t="n"/>
    </row>
    <row r="670" ht="18" customHeight="1" s="104">
      <c r="A670" s="74" t="n"/>
      <c r="B670" s="69" t="n"/>
      <c r="C670" s="8" t="n"/>
      <c r="D670" s="67" t="n"/>
      <c r="E670" s="10" t="n"/>
      <c r="F670" s="10" t="n"/>
      <c r="G670" s="67" t="n"/>
      <c r="H670" s="67" t="n"/>
      <c r="I670" s="10" t="n"/>
      <c r="J670" s="10" t="n"/>
      <c r="K670" s="10" t="n"/>
    </row>
    <row r="671" ht="18" customHeight="1" s="104">
      <c r="A671" s="74" t="n"/>
      <c r="B671" s="69" t="n"/>
      <c r="C671" s="8" t="n"/>
      <c r="D671" s="67" t="n"/>
      <c r="E671" s="10" t="n"/>
      <c r="F671" s="10" t="n"/>
      <c r="G671" s="67" t="n"/>
      <c r="H671" s="67" t="n"/>
      <c r="I671" s="10" t="n"/>
      <c r="J671" s="10" t="n"/>
      <c r="K671" s="10" t="n"/>
    </row>
    <row r="672" ht="18" customHeight="1" s="104">
      <c r="A672" s="74" t="n"/>
      <c r="B672" s="69" t="n"/>
      <c r="C672" s="8" t="n"/>
      <c r="D672" s="67" t="n"/>
      <c r="E672" s="10" t="n"/>
      <c r="F672" s="10" t="n"/>
      <c r="G672" s="67" t="n"/>
      <c r="H672" s="67" t="n"/>
      <c r="I672" s="10" t="n"/>
      <c r="J672" s="10" t="n"/>
      <c r="K672" s="10" t="n"/>
    </row>
    <row r="673" ht="18" customHeight="1" s="104">
      <c r="A673" s="74" t="n"/>
      <c r="B673" s="69" t="n"/>
      <c r="C673" s="8" t="n"/>
      <c r="D673" s="67" t="n"/>
      <c r="E673" s="10" t="n"/>
      <c r="F673" s="10" t="n"/>
      <c r="G673" s="67" t="n"/>
      <c r="H673" s="67" t="n"/>
      <c r="I673" s="10" t="n"/>
      <c r="J673" s="10" t="n"/>
      <c r="K673" s="10" t="n"/>
    </row>
    <row r="674" ht="18" customHeight="1" s="104">
      <c r="A674" s="74" t="n"/>
      <c r="B674" s="69" t="n"/>
      <c r="C674" s="8" t="n"/>
      <c r="D674" s="67" t="n"/>
      <c r="E674" s="10" t="n"/>
      <c r="F674" s="67" t="n"/>
      <c r="G674" s="67" t="n"/>
      <c r="H674" s="67" t="n"/>
      <c r="I674" s="10" t="n"/>
      <c r="J674" s="10" t="n"/>
      <c r="K674" s="10" t="n"/>
    </row>
    <row r="675" ht="18" customHeight="1" s="104">
      <c r="A675" s="74" t="n"/>
      <c r="B675" s="69" t="n"/>
      <c r="C675" s="8" t="n"/>
      <c r="D675" s="67" t="n"/>
      <c r="E675" s="10" t="n"/>
      <c r="F675" s="67" t="n"/>
      <c r="G675" s="67" t="n"/>
      <c r="H675" s="67" t="n"/>
      <c r="I675" s="10" t="n"/>
      <c r="J675" s="10" t="n"/>
      <c r="K675" s="10" t="n"/>
    </row>
    <row r="676" ht="18" customHeight="1" s="104">
      <c r="A676" s="74" t="n"/>
      <c r="B676" s="69" t="n"/>
      <c r="C676" s="8" t="n"/>
      <c r="D676" s="67" t="n"/>
      <c r="E676" s="10" t="n"/>
      <c r="F676" s="67" t="n"/>
      <c r="G676" s="67" t="n"/>
      <c r="H676" s="67" t="n"/>
      <c r="I676" s="10" t="n"/>
      <c r="J676" s="10" t="n"/>
      <c r="K676" s="10" t="n"/>
    </row>
    <row r="677" ht="18" customHeight="1" s="104">
      <c r="A677" s="74" t="n"/>
      <c r="B677" s="69" t="n"/>
      <c r="C677" s="8" t="n"/>
      <c r="D677" s="67" t="n"/>
      <c r="E677" s="10" t="n"/>
      <c r="F677" s="67" t="n"/>
      <c r="G677" s="67" t="n"/>
      <c r="H677" s="67" t="n"/>
      <c r="I677" s="10" t="n"/>
      <c r="J677" s="10" t="n"/>
      <c r="K677" s="10" t="n"/>
    </row>
    <row r="678" ht="18" customHeight="1" s="104">
      <c r="A678" s="74" t="n"/>
      <c r="B678" s="69" t="n"/>
      <c r="C678" s="8" t="n"/>
      <c r="D678" s="67" t="n"/>
      <c r="E678" s="10" t="n"/>
      <c r="F678" s="67" t="n"/>
      <c r="G678" s="67" t="n"/>
      <c r="H678" s="67" t="n"/>
      <c r="I678" s="10" t="n"/>
      <c r="J678" s="10" t="n"/>
      <c r="K678" s="10" t="n"/>
    </row>
    <row r="679" ht="18" customHeight="1" s="104">
      <c r="A679" s="74" t="n"/>
      <c r="B679" s="69" t="n"/>
      <c r="C679" s="8" t="n"/>
      <c r="D679" s="67" t="n"/>
      <c r="E679" s="10" t="n"/>
      <c r="F679" s="67" t="n"/>
      <c r="G679" s="67" t="n"/>
      <c r="H679" s="67" t="n"/>
      <c r="I679" s="10" t="n"/>
      <c r="J679" s="10" t="n"/>
      <c r="K679" s="10" t="n"/>
    </row>
    <row r="680" ht="18" customHeight="1" s="104">
      <c r="A680" s="74" t="n"/>
      <c r="B680" s="69" t="n"/>
      <c r="C680" s="8" t="n"/>
      <c r="D680" s="67" t="n"/>
      <c r="E680" s="10" t="n"/>
      <c r="F680" s="67" t="n"/>
      <c r="G680" s="67" t="n"/>
      <c r="H680" s="67" t="n"/>
      <c r="I680" s="10" t="n"/>
      <c r="J680" s="10" t="n"/>
      <c r="K680" s="10" t="n"/>
    </row>
    <row r="681" ht="18" customHeight="1" s="104">
      <c r="A681" s="74" t="n"/>
      <c r="B681" s="69" t="n"/>
      <c r="C681" s="8" t="n"/>
      <c r="D681" s="67" t="n"/>
      <c r="E681" s="10" t="n"/>
      <c r="F681" s="67" t="n"/>
      <c r="G681" s="67" t="n"/>
      <c r="H681" s="67" t="n"/>
      <c r="I681" s="67" t="n"/>
      <c r="J681" s="10" t="n"/>
      <c r="K681" s="10" t="n"/>
    </row>
    <row r="682" ht="18" customHeight="1" s="104">
      <c r="A682" s="74" t="n"/>
      <c r="B682" s="69" t="n"/>
      <c r="C682" s="8" t="n"/>
      <c r="D682" s="67" t="n"/>
      <c r="E682" s="10" t="n"/>
      <c r="F682" s="67" t="n"/>
      <c r="G682" s="67" t="n"/>
      <c r="H682" s="67" t="n"/>
      <c r="I682" s="67" t="n"/>
      <c r="J682" s="10" t="n"/>
      <c r="K682" s="10" t="n"/>
    </row>
    <row r="683" ht="18" customHeight="1" s="104">
      <c r="A683" s="74" t="n"/>
      <c r="B683" s="69" t="n"/>
      <c r="C683" s="8" t="n"/>
      <c r="D683" s="67" t="n"/>
      <c r="E683" s="10" t="n"/>
      <c r="F683" s="67" t="n"/>
      <c r="G683" s="67" t="n"/>
      <c r="H683" s="67" t="n"/>
      <c r="I683" s="67" t="n"/>
      <c r="J683" s="10" t="n"/>
      <c r="K683" s="10" t="n"/>
    </row>
    <row r="684" ht="18" customHeight="1" s="104">
      <c r="A684" s="74" t="n"/>
      <c r="B684" s="69" t="n"/>
      <c r="C684" s="8" t="n"/>
      <c r="D684" s="67" t="n"/>
      <c r="E684" s="10" t="n"/>
      <c r="F684" s="67" t="n"/>
      <c r="G684" s="67" t="n"/>
      <c r="H684" s="67" t="n"/>
      <c r="I684" s="67" t="n"/>
      <c r="J684" s="10" t="n"/>
      <c r="K684" s="10" t="n"/>
    </row>
    <row r="685" ht="18" customHeight="1" s="104">
      <c r="A685" s="74" t="n"/>
      <c r="B685" s="69" t="n"/>
      <c r="C685" s="8" t="n"/>
      <c r="D685" s="67" t="n"/>
      <c r="E685" s="10" t="n"/>
      <c r="F685" s="67" t="n"/>
      <c r="G685" s="67" t="n"/>
      <c r="H685" s="67" t="n"/>
      <c r="I685" s="67" t="n"/>
      <c r="J685" s="10" t="n"/>
      <c r="K685" s="10" t="n"/>
    </row>
    <row r="686" ht="18" customHeight="1" s="104">
      <c r="A686" s="74" t="n"/>
      <c r="B686" s="69" t="n"/>
      <c r="C686" s="8" t="n"/>
      <c r="D686" s="67" t="n"/>
      <c r="E686" s="10" t="n"/>
      <c r="F686" s="67" t="n"/>
      <c r="G686" s="67" t="n"/>
      <c r="H686" s="67" t="n"/>
      <c r="I686" s="67" t="n"/>
      <c r="J686" s="10" t="n"/>
      <c r="K686" s="10" t="n"/>
    </row>
    <row r="687" ht="18" customHeight="1" s="104">
      <c r="A687" s="68" t="n"/>
      <c r="B687" s="68" t="n"/>
      <c r="C687" s="68" t="n"/>
      <c r="D687" s="67" t="n"/>
      <c r="E687" s="67" t="n"/>
      <c r="F687" s="67" t="n"/>
      <c r="G687" s="67" t="n"/>
      <c r="H687" s="67" t="n"/>
      <c r="I687" s="67" t="n"/>
      <c r="J687" s="67" t="n"/>
    </row>
    <row r="688" ht="18" customHeight="1" s="104">
      <c r="A688" s="68" t="n"/>
      <c r="B688" s="68" t="n"/>
      <c r="C688" s="68" t="n"/>
      <c r="D688" s="67" t="n"/>
      <c r="E688" s="67" t="n"/>
      <c r="F688" s="67" t="n"/>
      <c r="G688" s="67" t="n"/>
      <c r="H688" s="67" t="n"/>
      <c r="I688" s="67" t="n"/>
      <c r="J688" s="67" t="n"/>
    </row>
    <row r="689" ht="18" customHeight="1" s="104">
      <c r="A689" s="68" t="n"/>
      <c r="B689" s="68" t="n"/>
      <c r="C689" s="68" t="n"/>
      <c r="D689" s="67" t="n"/>
      <c r="E689" s="67" t="n"/>
      <c r="F689" s="67" t="n"/>
      <c r="G689" s="67" t="n"/>
      <c r="H689" s="67" t="n"/>
      <c r="I689" s="67" t="n"/>
      <c r="J689" s="67" t="n"/>
    </row>
    <row r="690" ht="18" customHeight="1" s="104">
      <c r="A690" s="68" t="n"/>
      <c r="B690" s="68" t="n"/>
      <c r="C690" s="68" t="n"/>
      <c r="D690" s="67" t="n"/>
      <c r="E690" s="67" t="n"/>
      <c r="F690" s="67" t="n"/>
      <c r="G690" s="67" t="n"/>
      <c r="H690" s="67" t="n"/>
      <c r="I690" s="67" t="n"/>
      <c r="J690" s="67" t="n"/>
    </row>
    <row r="691" ht="18" customHeight="1" s="104">
      <c r="A691" s="68" t="n"/>
      <c r="B691" s="68" t="n"/>
      <c r="C691" s="68" t="n"/>
      <c r="D691" s="67" t="n"/>
      <c r="E691" s="67" t="n"/>
      <c r="F691" s="67" t="n"/>
      <c r="G691" s="67" t="n"/>
      <c r="H691" s="67" t="n"/>
      <c r="I691" s="67" t="n"/>
      <c r="J691" s="67" t="n"/>
    </row>
    <row r="692" ht="18" customHeight="1" s="104">
      <c r="A692" s="68" t="n"/>
      <c r="B692" s="68" t="n"/>
      <c r="C692" s="68" t="n"/>
      <c r="D692" s="67" t="n"/>
      <c r="E692" s="67" t="n"/>
      <c r="F692" s="67" t="n"/>
      <c r="G692" s="67" t="n"/>
      <c r="H692" s="67" t="n"/>
      <c r="I692" s="67" t="n"/>
      <c r="J692" s="67" t="n"/>
    </row>
    <row r="693" ht="18" customHeight="1" s="104">
      <c r="A693" s="68" t="n"/>
      <c r="B693" s="68" t="n"/>
      <c r="C693" s="68" t="n"/>
      <c r="D693" s="67" t="n"/>
      <c r="E693" s="67" t="n"/>
      <c r="F693" s="67" t="n"/>
      <c r="G693" s="67" t="n"/>
      <c r="H693" s="67" t="n"/>
      <c r="I693" s="67" t="n"/>
      <c r="J693" s="67" t="n"/>
    </row>
    <row r="694" ht="18" customHeight="1" s="104">
      <c r="A694" s="68" t="n"/>
      <c r="B694" s="68" t="n"/>
      <c r="C694" s="68" t="n"/>
      <c r="D694" s="67" t="n"/>
      <c r="E694" s="67" t="n"/>
      <c r="F694" s="67" t="n"/>
      <c r="G694" s="67" t="n"/>
      <c r="H694" s="67" t="n"/>
      <c r="I694" s="67" t="n"/>
      <c r="J694" s="67" t="n"/>
    </row>
    <row r="695" ht="18" customHeight="1" s="104">
      <c r="A695" s="68" t="n"/>
      <c r="B695" s="68" t="n"/>
      <c r="C695" s="68" t="n"/>
      <c r="D695" s="67" t="n"/>
      <c r="E695" s="67" t="n"/>
      <c r="F695" s="67" t="n"/>
      <c r="G695" s="67" t="n"/>
      <c r="H695" s="67" t="n"/>
      <c r="I695" s="67" t="n"/>
      <c r="J695" s="67" t="n"/>
    </row>
    <row r="696" ht="18" customHeight="1" s="104">
      <c r="A696" s="68" t="n"/>
      <c r="B696" s="68" t="n"/>
      <c r="C696" s="68" t="n"/>
      <c r="D696" s="67" t="n"/>
      <c r="E696" s="67" t="n"/>
      <c r="F696" s="67" t="n"/>
      <c r="G696" s="67" t="n"/>
      <c r="H696" s="67" t="n"/>
      <c r="I696" s="67" t="n"/>
      <c r="J696" s="67" t="n"/>
    </row>
    <row r="697" ht="18" customHeight="1" s="104">
      <c r="A697" s="68" t="n"/>
      <c r="B697" s="68" t="n"/>
      <c r="C697" s="68" t="n"/>
      <c r="D697" s="67" t="n"/>
      <c r="E697" s="67" t="n"/>
      <c r="F697" s="67" t="n"/>
      <c r="G697" s="67" t="n"/>
      <c r="H697" s="67" t="n"/>
      <c r="I697" s="67" t="n"/>
      <c r="J697" s="67" t="n"/>
    </row>
    <row r="698" ht="18" customHeight="1" s="104">
      <c r="A698" s="68" t="n"/>
      <c r="B698" s="68" t="n"/>
      <c r="C698" s="68" t="n"/>
      <c r="D698" s="67" t="n"/>
      <c r="E698" s="67" t="n"/>
      <c r="F698" s="67" t="n"/>
      <c r="G698" s="67" t="n"/>
      <c r="H698" s="67" t="n"/>
      <c r="I698" s="67" t="n"/>
      <c r="J698" s="67" t="n"/>
    </row>
    <row r="699" ht="18" customHeight="1" s="104">
      <c r="A699" s="68" t="n"/>
      <c r="B699" s="68" t="n"/>
      <c r="C699" s="68" t="n"/>
      <c r="D699" s="67" t="n"/>
      <c r="E699" s="67" t="n"/>
      <c r="F699" s="67" t="n"/>
      <c r="G699" s="67" t="n"/>
      <c r="H699" s="67" t="n"/>
      <c r="I699" s="67" t="n"/>
      <c r="J699" s="67" t="n"/>
    </row>
    <row r="700" ht="18" customHeight="1" s="104">
      <c r="A700" s="68" t="n"/>
      <c r="B700" s="68" t="n"/>
      <c r="C700" s="68" t="n"/>
      <c r="D700" s="67" t="n"/>
      <c r="E700" s="67" t="n"/>
      <c r="F700" s="67" t="n"/>
      <c r="G700" s="67" t="n"/>
      <c r="H700" s="67" t="n"/>
      <c r="I700" s="67" t="n"/>
      <c r="J700" s="67" t="n"/>
    </row>
    <row r="701" ht="18" customHeight="1" s="104">
      <c r="A701" s="68" t="n"/>
      <c r="B701" s="68" t="n"/>
      <c r="C701" s="68" t="n"/>
      <c r="D701" s="67" t="n"/>
      <c r="E701" s="67" t="n"/>
      <c r="F701" s="67" t="n"/>
      <c r="G701" s="67" t="n"/>
      <c r="H701" s="67" t="n"/>
      <c r="I701" s="67" t="n"/>
      <c r="J701" s="67" t="n"/>
    </row>
    <row r="702" ht="18" customHeight="1" s="104">
      <c r="A702" s="68" t="n"/>
      <c r="B702" s="68" t="n"/>
      <c r="C702" s="68" t="n"/>
      <c r="D702" s="67" t="n"/>
      <c r="E702" s="67" t="n"/>
      <c r="F702" s="67" t="n"/>
      <c r="G702" s="67" t="n"/>
      <c r="H702" s="67" t="n"/>
      <c r="I702" s="67" t="n"/>
      <c r="J702" s="67" t="n"/>
    </row>
    <row r="703" ht="18" customHeight="1" s="104">
      <c r="A703" s="68" t="n"/>
      <c r="B703" s="68" t="n"/>
      <c r="C703" s="68" t="n"/>
      <c r="D703" s="67" t="n"/>
      <c r="E703" s="67" t="n"/>
      <c r="F703" s="67" t="n"/>
      <c r="G703" s="67" t="n"/>
      <c r="H703" s="67" t="n"/>
      <c r="I703" s="67" t="n"/>
      <c r="J703" s="67" t="n"/>
    </row>
    <row r="704" ht="18" customHeight="1" s="104">
      <c r="A704" s="68" t="n"/>
      <c r="B704" s="68" t="n"/>
      <c r="C704" s="68" t="n"/>
      <c r="D704" s="67" t="n"/>
      <c r="E704" s="67" t="n"/>
      <c r="F704" s="67" t="n"/>
      <c r="G704" s="67" t="n"/>
      <c r="H704" s="67" t="n"/>
      <c r="I704" s="67" t="n"/>
      <c r="J704" s="67" t="n"/>
    </row>
    <row r="705" ht="18" customHeight="1" s="104">
      <c r="A705" s="68" t="n"/>
      <c r="B705" s="68" t="n"/>
      <c r="C705" s="68" t="n"/>
      <c r="D705" s="67" t="n"/>
      <c r="E705" s="67" t="n"/>
      <c r="F705" s="67" t="n"/>
      <c r="G705" s="67" t="n"/>
      <c r="H705" s="67" t="n"/>
      <c r="I705" s="67" t="n"/>
      <c r="J705" s="67" t="n"/>
    </row>
    <row r="706" ht="18" customHeight="1" s="104">
      <c r="A706" s="68" t="n"/>
      <c r="B706" s="68" t="n"/>
      <c r="C706" s="68" t="n"/>
      <c r="D706" s="67" t="n"/>
      <c r="E706" s="67" t="n"/>
      <c r="F706" s="67" t="n"/>
      <c r="G706" s="67" t="n"/>
      <c r="H706" s="67" t="n"/>
      <c r="I706" s="67" t="n"/>
      <c r="J706" s="67" t="n"/>
    </row>
    <row r="707" ht="18" customHeight="1" s="104">
      <c r="A707" s="68" t="n"/>
      <c r="B707" s="68" t="n"/>
      <c r="C707" s="68" t="n"/>
      <c r="D707" s="67" t="n"/>
      <c r="E707" s="67" t="n"/>
      <c r="F707" s="67" t="n"/>
      <c r="G707" s="67" t="n"/>
      <c r="H707" s="67" t="n"/>
      <c r="I707" s="67" t="n"/>
      <c r="J707" s="67" t="n"/>
    </row>
    <row r="708" ht="18" customHeight="1" s="104">
      <c r="A708" s="68" t="n"/>
      <c r="B708" s="68" t="n"/>
      <c r="C708" s="68" t="n"/>
      <c r="D708" s="67" t="n"/>
      <c r="E708" s="67" t="n"/>
      <c r="F708" s="67" t="n"/>
      <c r="G708" s="67" t="n"/>
      <c r="H708" s="67" t="n"/>
      <c r="I708" s="67" t="n"/>
      <c r="J708" s="67" t="n"/>
    </row>
    <row r="709" ht="18" customHeight="1" s="104">
      <c r="A709" s="68" t="n"/>
      <c r="B709" s="68" t="n"/>
      <c r="C709" s="68" t="n"/>
      <c r="D709" s="67" t="n"/>
      <c r="E709" s="67" t="n"/>
      <c r="F709" s="67" t="n"/>
      <c r="G709" s="67" t="n"/>
      <c r="H709" s="67" t="n"/>
      <c r="I709" s="67" t="n"/>
      <c r="J709" s="67" t="n"/>
    </row>
    <row r="710" ht="18" customHeight="1" s="104">
      <c r="A710" s="68" t="n"/>
      <c r="B710" s="68" t="n"/>
      <c r="C710" s="68" t="n"/>
      <c r="D710" s="67" t="n"/>
      <c r="E710" s="67" t="n"/>
      <c r="F710" s="67" t="n"/>
      <c r="G710" s="67" t="n"/>
      <c r="H710" s="67" t="n"/>
      <c r="I710" s="67" t="n"/>
      <c r="J710" s="67" t="n"/>
    </row>
    <row r="711" ht="18" customHeight="1" s="104">
      <c r="A711" s="68" t="n"/>
      <c r="B711" s="68" t="n"/>
      <c r="C711" s="68" t="n"/>
      <c r="D711" s="67" t="n"/>
      <c r="E711" s="67" t="n"/>
      <c r="F711" s="67" t="n"/>
      <c r="G711" s="67" t="n"/>
      <c r="H711" s="67" t="n"/>
      <c r="I711" s="67" t="n"/>
      <c r="J711" s="67" t="n"/>
    </row>
    <row r="712" ht="18" customHeight="1" s="104">
      <c r="A712" s="68" t="n"/>
      <c r="B712" s="68" t="n"/>
      <c r="C712" s="68" t="n"/>
      <c r="D712" s="67" t="n"/>
      <c r="E712" s="67" t="n"/>
      <c r="F712" s="67" t="n"/>
      <c r="G712" s="67" t="n"/>
      <c r="H712" s="67" t="n"/>
      <c r="I712" s="67" t="n"/>
      <c r="J712" s="67" t="n"/>
    </row>
    <row r="713" ht="18" customHeight="1" s="104">
      <c r="A713" s="68" t="n"/>
      <c r="B713" s="68" t="n"/>
      <c r="C713" s="68" t="n"/>
      <c r="D713" s="67" t="n"/>
      <c r="E713" s="67" t="n"/>
      <c r="F713" s="67" t="n"/>
      <c r="G713" s="67" t="n"/>
      <c r="H713" s="67" t="n"/>
      <c r="I713" s="67" t="n"/>
      <c r="J713" s="67" t="n"/>
    </row>
    <row r="714" ht="18" customHeight="1" s="104">
      <c r="A714" s="68" t="n"/>
      <c r="B714" s="68" t="n"/>
      <c r="C714" s="68" t="n"/>
      <c r="D714" s="67" t="n"/>
      <c r="E714" s="67" t="n"/>
      <c r="F714" s="67" t="n"/>
      <c r="G714" s="67" t="n"/>
      <c r="H714" s="67" t="n"/>
      <c r="I714" s="67" t="n"/>
      <c r="J714" s="67" t="n"/>
    </row>
    <row r="715" ht="18" customHeight="1" s="104">
      <c r="A715" s="68" t="n"/>
      <c r="B715" s="68" t="n"/>
      <c r="C715" s="68" t="n"/>
      <c r="D715" s="67" t="n"/>
      <c r="E715" s="67" t="n"/>
      <c r="F715" s="67" t="n"/>
      <c r="G715" s="67" t="n"/>
      <c r="H715" s="67" t="n"/>
      <c r="I715" s="67" t="n"/>
      <c r="J715" s="67" t="n"/>
    </row>
    <row r="716" ht="18" customHeight="1" s="104">
      <c r="A716" s="68" t="n"/>
      <c r="B716" s="68" t="n"/>
      <c r="C716" s="68" t="n"/>
      <c r="D716" s="67" t="n"/>
      <c r="E716" s="67" t="n"/>
      <c r="F716" s="67" t="n"/>
      <c r="G716" s="67" t="n"/>
      <c r="H716" s="67" t="n"/>
      <c r="I716" s="67" t="n"/>
      <c r="J716" s="67" t="n"/>
    </row>
    <row r="717" ht="18" customHeight="1" s="104">
      <c r="A717" s="68" t="n"/>
      <c r="B717" s="68" t="n"/>
      <c r="C717" s="68" t="n"/>
      <c r="D717" s="67" t="n"/>
      <c r="E717" s="67" t="n"/>
      <c r="F717" s="67" t="n"/>
      <c r="G717" s="67" t="n"/>
      <c r="H717" s="67" t="n"/>
      <c r="I717" s="67" t="n"/>
      <c r="J717" s="67" t="n"/>
    </row>
    <row r="718" ht="18" customHeight="1" s="104">
      <c r="A718" s="68" t="n"/>
      <c r="B718" s="68" t="n"/>
      <c r="C718" s="68" t="n"/>
      <c r="D718" s="67" t="n"/>
      <c r="E718" s="67" t="n"/>
      <c r="F718" s="67" t="n"/>
      <c r="G718" s="67" t="n"/>
      <c r="H718" s="67" t="n"/>
      <c r="I718" s="67" t="n"/>
      <c r="J718" s="67" t="n"/>
    </row>
    <row r="719" ht="18" customHeight="1" s="104">
      <c r="A719" s="68" t="n"/>
      <c r="B719" s="68" t="n"/>
      <c r="C719" s="68" t="n"/>
      <c r="D719" s="67" t="n"/>
      <c r="E719" s="67" t="n"/>
      <c r="F719" s="67" t="n"/>
      <c r="G719" s="67" t="n"/>
      <c r="H719" s="67" t="n"/>
      <c r="I719" s="67" t="n"/>
      <c r="J719" s="67" t="n"/>
    </row>
    <row r="720" ht="18" customHeight="1" s="104">
      <c r="A720" s="68" t="n"/>
      <c r="B720" s="68" t="n"/>
      <c r="C720" s="68" t="n"/>
      <c r="D720" s="67" t="n"/>
      <c r="E720" s="67" t="n"/>
      <c r="F720" s="67" t="n"/>
      <c r="G720" s="67" t="n"/>
      <c r="H720" s="67" t="n"/>
      <c r="I720" s="67" t="n"/>
      <c r="J720" s="67" t="n"/>
    </row>
    <row r="721" ht="18" customHeight="1" s="104">
      <c r="A721" s="68" t="n"/>
      <c r="B721" s="68" t="n"/>
      <c r="C721" s="68" t="n"/>
      <c r="D721" s="67" t="n"/>
      <c r="E721" s="67" t="n"/>
      <c r="F721" s="67" t="n"/>
      <c r="G721" s="67" t="n"/>
      <c r="H721" s="67" t="n"/>
      <c r="I721" s="67" t="n"/>
      <c r="J721" s="67" t="n"/>
    </row>
    <row r="722" ht="18" customHeight="1" s="104">
      <c r="A722" s="68" t="n"/>
      <c r="B722" s="68" t="n"/>
      <c r="C722" s="68" t="n"/>
      <c r="D722" s="67" t="n"/>
      <c r="E722" s="67" t="n"/>
      <c r="F722" s="67" t="n"/>
      <c r="G722" s="67" t="n"/>
      <c r="H722" s="67" t="n"/>
      <c r="I722" s="67" t="n"/>
      <c r="J722" s="67" t="n"/>
    </row>
    <row r="723" ht="18" customHeight="1" s="104">
      <c r="A723" s="68" t="n"/>
      <c r="B723" s="68" t="n"/>
      <c r="C723" s="68" t="n"/>
      <c r="D723" s="67" t="n"/>
      <c r="E723" s="67" t="n"/>
      <c r="F723" s="67" t="n"/>
      <c r="G723" s="67" t="n"/>
      <c r="H723" s="67" t="n"/>
      <c r="I723" s="67" t="n"/>
      <c r="J723" s="67" t="n"/>
    </row>
    <row r="724" ht="18" customHeight="1" s="104">
      <c r="A724" s="68" t="n"/>
      <c r="B724" s="68" t="n"/>
      <c r="C724" s="68" t="n"/>
      <c r="D724" s="67" t="n"/>
      <c r="E724" s="67" t="n"/>
      <c r="F724" s="67" t="n"/>
      <c r="G724" s="67" t="n"/>
      <c r="H724" s="67" t="n"/>
      <c r="I724" s="67" t="n"/>
      <c r="J724" s="67" t="n"/>
    </row>
    <row r="725" ht="18" customHeight="1" s="104">
      <c r="A725" s="68" t="n"/>
      <c r="B725" s="68" t="n"/>
      <c r="C725" s="68" t="n"/>
      <c r="D725" s="67" t="n"/>
      <c r="E725" s="67" t="n"/>
      <c r="F725" s="67" t="n"/>
      <c r="G725" s="67" t="n"/>
      <c r="H725" s="67" t="n"/>
      <c r="I725" s="67" t="n"/>
      <c r="J725" s="67" t="n"/>
    </row>
    <row r="726" ht="18" customHeight="1" s="104">
      <c r="A726" s="68" t="n"/>
      <c r="B726" s="68" t="n"/>
      <c r="C726" s="68" t="n"/>
      <c r="D726" s="67" t="n"/>
      <c r="E726" s="67" t="n"/>
      <c r="F726" s="67" t="n"/>
      <c r="G726" s="67" t="n"/>
      <c r="H726" s="67" t="n"/>
      <c r="I726" s="67" t="n"/>
      <c r="J726" s="67" t="n"/>
    </row>
    <row r="727" ht="18" customHeight="1" s="104">
      <c r="A727" s="68" t="n"/>
      <c r="B727" s="68" t="n"/>
      <c r="C727" s="68" t="n"/>
      <c r="D727" s="67" t="n"/>
      <c r="E727" s="67" t="n"/>
      <c r="F727" s="67" t="n"/>
      <c r="G727" s="67" t="n"/>
      <c r="H727" s="67" t="n"/>
      <c r="I727" s="67" t="n"/>
      <c r="J727" s="67" t="n"/>
    </row>
    <row r="728" ht="18" customHeight="1" s="104">
      <c r="A728" s="68" t="n"/>
      <c r="B728" s="68" t="n"/>
      <c r="C728" s="68" t="n"/>
      <c r="D728" s="67" t="n"/>
      <c r="E728" s="67" t="n"/>
      <c r="F728" s="67" t="n"/>
      <c r="G728" s="67" t="n"/>
      <c r="H728" s="67" t="n"/>
      <c r="I728" s="67" t="n"/>
      <c r="J728" s="67" t="n"/>
    </row>
    <row r="729" ht="18" customHeight="1" s="104">
      <c r="A729" s="68" t="n"/>
      <c r="B729" s="68" t="n"/>
      <c r="C729" s="68" t="n"/>
      <c r="D729" s="67" t="n"/>
      <c r="E729" s="67" t="n"/>
      <c r="F729" s="67" t="n"/>
      <c r="G729" s="67" t="n"/>
      <c r="H729" s="67" t="n"/>
      <c r="I729" s="67" t="n"/>
      <c r="J729" s="67" t="n"/>
    </row>
    <row r="730" ht="18" customHeight="1" s="104">
      <c r="A730" s="68" t="n"/>
      <c r="B730" s="68" t="n"/>
      <c r="C730" s="68" t="n"/>
      <c r="D730" s="67" t="n"/>
      <c r="E730" s="67" t="n"/>
      <c r="F730" s="67" t="n"/>
      <c r="G730" s="67" t="n"/>
      <c r="H730" s="67" t="n"/>
      <c r="I730" s="67" t="n"/>
      <c r="J730" s="67" t="n"/>
    </row>
    <row r="731" ht="18" customHeight="1" s="104">
      <c r="A731" s="68" t="n"/>
      <c r="B731" s="68" t="n"/>
      <c r="C731" s="68" t="n"/>
      <c r="D731" s="67" t="n"/>
      <c r="E731" s="67" t="n"/>
      <c r="F731" s="67" t="n"/>
      <c r="G731" s="67" t="n"/>
      <c r="H731" s="67" t="n"/>
      <c r="I731" s="67" t="n"/>
      <c r="J731" s="67" t="n"/>
    </row>
    <row r="732" ht="18" customHeight="1" s="104">
      <c r="A732" s="68" t="n"/>
      <c r="B732" s="68" t="n"/>
      <c r="C732" s="68" t="n"/>
      <c r="D732" s="67" t="n"/>
      <c r="E732" s="67" t="n"/>
      <c r="F732" s="67" t="n"/>
      <c r="G732" s="67" t="n"/>
      <c r="H732" s="67" t="n"/>
      <c r="I732" s="67" t="n"/>
      <c r="J732" s="67" t="n"/>
    </row>
    <row r="733" ht="18" customHeight="1" s="104">
      <c r="A733" s="68" t="n"/>
      <c r="B733" s="68" t="n"/>
      <c r="C733" s="68" t="n"/>
      <c r="D733" s="67" t="n"/>
      <c r="E733" s="67" t="n"/>
      <c r="F733" s="67" t="n"/>
      <c r="G733" s="67" t="n"/>
      <c r="H733" s="67" t="n"/>
      <c r="I733" s="67" t="n"/>
      <c r="J733" s="67" t="n"/>
    </row>
    <row r="734" ht="18" customHeight="1" s="104">
      <c r="A734" s="68" t="n"/>
      <c r="B734" s="68" t="n"/>
      <c r="C734" s="68" t="n"/>
      <c r="D734" s="67" t="n"/>
      <c r="E734" s="67" t="n"/>
      <c r="F734" s="67" t="n"/>
      <c r="G734" s="67" t="n"/>
      <c r="H734" s="67" t="n"/>
      <c r="I734" s="67" t="n"/>
      <c r="J734" s="67" t="n"/>
    </row>
    <row r="735" ht="18" customHeight="1" s="104">
      <c r="A735" s="68" t="n"/>
      <c r="B735" s="68" t="n"/>
      <c r="C735" s="68" t="n"/>
      <c r="D735" s="67" t="n"/>
      <c r="E735" s="67" t="n"/>
      <c r="F735" s="67" t="n"/>
      <c r="G735" s="67" t="n"/>
      <c r="H735" s="67" t="n"/>
      <c r="I735" s="67" t="n"/>
      <c r="J735" s="67" t="n"/>
    </row>
    <row r="736" ht="18" customHeight="1" s="104">
      <c r="A736" s="68" t="n"/>
      <c r="B736" s="68" t="n"/>
      <c r="C736" s="68" t="n"/>
      <c r="D736" s="67" t="n"/>
      <c r="E736" s="67" t="n"/>
      <c r="F736" s="67" t="n"/>
      <c r="G736" s="67" t="n"/>
      <c r="H736" s="67" t="n"/>
      <c r="I736" s="67" t="n"/>
      <c r="J736" s="67" t="n"/>
    </row>
    <row r="737" ht="18" customHeight="1" s="104">
      <c r="A737" s="68" t="n"/>
      <c r="B737" s="68" t="n"/>
      <c r="C737" s="68" t="n"/>
      <c r="D737" s="67" t="n"/>
      <c r="E737" s="67" t="n"/>
      <c r="F737" s="67" t="n"/>
      <c r="G737" s="67" t="n"/>
      <c r="H737" s="67" t="n"/>
      <c r="I737" s="67" t="n"/>
      <c r="J737" s="67" t="n"/>
    </row>
    <row r="738" ht="18" customHeight="1" s="104">
      <c r="A738" s="68" t="n"/>
      <c r="B738" s="68" t="n"/>
      <c r="C738" s="68" t="n"/>
      <c r="D738" s="67" t="n"/>
      <c r="E738" s="67" t="n"/>
      <c r="F738" s="67" t="n"/>
      <c r="G738" s="67" t="n"/>
      <c r="H738" s="67" t="n"/>
      <c r="I738" s="67" t="n"/>
      <c r="J738" s="67" t="n"/>
    </row>
    <row r="739" ht="18" customHeight="1" s="104">
      <c r="A739" s="68" t="n"/>
      <c r="B739" s="68" t="n"/>
      <c r="C739" s="68" t="n"/>
      <c r="D739" s="67" t="n"/>
      <c r="E739" s="67" t="n"/>
      <c r="F739" s="67" t="n"/>
      <c r="G739" s="67" t="n"/>
      <c r="H739" s="67" t="n"/>
      <c r="I739" s="67" t="n"/>
      <c r="J739" s="67" t="n"/>
    </row>
    <row r="740" ht="18" customHeight="1" s="104">
      <c r="A740" s="68" t="n"/>
      <c r="B740" s="68" t="n"/>
      <c r="C740" s="68" t="n"/>
      <c r="D740" s="67" t="n"/>
      <c r="E740" s="67" t="n"/>
      <c r="F740" s="67" t="n"/>
      <c r="G740" s="67" t="n"/>
      <c r="H740" s="67" t="n"/>
      <c r="I740" s="67" t="n"/>
      <c r="J740" s="67" t="n"/>
    </row>
    <row r="741" ht="18" customHeight="1" s="104">
      <c r="A741" s="68" t="n"/>
      <c r="B741" s="68" t="n"/>
      <c r="C741" s="68" t="n"/>
      <c r="D741" s="67" t="n"/>
      <c r="E741" s="67" t="n"/>
      <c r="F741" s="67" t="n"/>
      <c r="G741" s="67" t="n"/>
      <c r="H741" s="67" t="n"/>
      <c r="I741" s="67" t="n"/>
      <c r="J741" s="67" t="n"/>
    </row>
    <row r="742" ht="18" customHeight="1" s="104">
      <c r="A742" s="68" t="n"/>
      <c r="B742" s="68" t="n"/>
      <c r="C742" s="68" t="n"/>
      <c r="D742" s="67" t="n"/>
      <c r="E742" s="67" t="n"/>
      <c r="F742" s="67" t="n"/>
      <c r="G742" s="67" t="n"/>
      <c r="H742" s="67" t="n"/>
      <c r="I742" s="67" t="n"/>
      <c r="J742" s="67" t="n"/>
    </row>
    <row r="743" ht="18" customHeight="1" s="104">
      <c r="A743" s="68" t="n"/>
      <c r="B743" s="68" t="n"/>
      <c r="C743" s="68" t="n"/>
      <c r="D743" s="67" t="n"/>
      <c r="E743" s="67" t="n"/>
      <c r="F743" s="67" t="n"/>
      <c r="G743" s="67" t="n"/>
      <c r="H743" s="67" t="n"/>
      <c r="I743" s="67" t="n"/>
      <c r="J743" s="67" t="n"/>
    </row>
    <row r="744" ht="18" customHeight="1" s="104">
      <c r="A744" s="68" t="n"/>
      <c r="B744" s="68" t="n"/>
      <c r="C744" s="68" t="n"/>
      <c r="D744" s="67" t="n"/>
      <c r="E744" s="67" t="n"/>
      <c r="F744" s="67" t="n"/>
      <c r="G744" s="67" t="n"/>
      <c r="H744" s="67" t="n"/>
      <c r="I744" s="67" t="n"/>
      <c r="J744" s="67" t="n"/>
    </row>
    <row r="745" ht="18" customHeight="1" s="104">
      <c r="A745" s="68" t="n"/>
      <c r="B745" s="68" t="n"/>
      <c r="C745" s="68" t="n"/>
      <c r="D745" s="67" t="n"/>
      <c r="E745" s="67" t="n"/>
      <c r="F745" s="67" t="n"/>
      <c r="G745" s="67" t="n"/>
      <c r="H745" s="67" t="n"/>
      <c r="I745" s="67" t="n"/>
      <c r="J745" s="67" t="n"/>
    </row>
    <row r="746" ht="18" customHeight="1" s="104">
      <c r="A746" s="68" t="n"/>
      <c r="B746" s="68" t="n"/>
      <c r="C746" s="68" t="n"/>
      <c r="D746" s="67" t="n"/>
      <c r="E746" s="67" t="n"/>
      <c r="F746" s="67" t="n"/>
      <c r="G746" s="67" t="n"/>
      <c r="H746" s="67" t="n"/>
      <c r="I746" s="67" t="n"/>
      <c r="J746" s="67" t="n"/>
    </row>
    <row r="747" ht="18" customHeight="1" s="104">
      <c r="A747" s="68" t="n"/>
      <c r="B747" s="68" t="n"/>
      <c r="C747" s="68" t="n"/>
      <c r="D747" s="67" t="n"/>
      <c r="E747" s="67" t="n"/>
      <c r="F747" s="67" t="n"/>
      <c r="G747" s="67" t="n"/>
      <c r="H747" s="67" t="n"/>
      <c r="I747" s="67" t="n"/>
      <c r="J747" s="67" t="n"/>
    </row>
    <row r="748" ht="18" customHeight="1" s="104">
      <c r="A748" s="68" t="n"/>
      <c r="B748" s="68" t="n"/>
      <c r="C748" s="68" t="n"/>
      <c r="D748" s="67" t="n"/>
      <c r="E748" s="67" t="n"/>
      <c r="F748" s="67" t="n"/>
      <c r="G748" s="67" t="n"/>
      <c r="H748" s="67" t="n"/>
      <c r="I748" s="67" t="n"/>
      <c r="J748" s="67" t="n"/>
    </row>
    <row r="749" ht="18" customHeight="1" s="104">
      <c r="A749" s="68" t="n"/>
      <c r="B749" s="68" t="n"/>
      <c r="C749" s="68" t="n"/>
      <c r="D749" s="67" t="n"/>
      <c r="E749" s="67" t="n"/>
      <c r="F749" s="67" t="n"/>
      <c r="G749" s="67" t="n"/>
      <c r="H749" s="67" t="n"/>
      <c r="I749" s="67" t="n"/>
      <c r="J749" s="67" t="n"/>
    </row>
    <row r="750" ht="18" customHeight="1" s="104">
      <c r="A750" s="68" t="n"/>
      <c r="B750" s="68" t="n"/>
      <c r="C750" s="68" t="n"/>
      <c r="D750" s="67" t="n"/>
      <c r="E750" s="67" t="n"/>
      <c r="F750" s="67" t="n"/>
      <c r="G750" s="67" t="n"/>
      <c r="H750" s="67" t="n"/>
      <c r="I750" s="67" t="n"/>
      <c r="J750" s="67" t="n"/>
    </row>
    <row r="751" ht="18" customHeight="1" s="104">
      <c r="A751" s="68" t="n"/>
      <c r="B751" s="68" t="n"/>
      <c r="C751" s="68" t="n"/>
      <c r="D751" s="67" t="n"/>
      <c r="E751" s="67" t="n"/>
      <c r="F751" s="67" t="n"/>
      <c r="G751" s="67" t="n"/>
      <c r="H751" s="67" t="n"/>
      <c r="I751" s="67" t="n"/>
      <c r="J751" s="67" t="n"/>
    </row>
    <row r="752" ht="18" customHeight="1" s="104">
      <c r="A752" s="68" t="n"/>
      <c r="B752" s="68" t="n"/>
      <c r="C752" s="68" t="n"/>
      <c r="D752" s="67" t="n"/>
      <c r="E752" s="67" t="n"/>
      <c r="F752" s="67" t="n"/>
      <c r="G752" s="67" t="n"/>
      <c r="H752" s="67" t="n"/>
      <c r="I752" s="67" t="n"/>
      <c r="J752" s="67" t="n"/>
    </row>
    <row r="753" ht="18" customHeight="1" s="104">
      <c r="A753" s="68" t="n"/>
      <c r="B753" s="68" t="n"/>
      <c r="C753" s="68" t="n"/>
      <c r="D753" s="67" t="n"/>
      <c r="E753" s="67" t="n"/>
      <c r="F753" s="67" t="n"/>
      <c r="G753" s="67" t="n"/>
      <c r="H753" s="67" t="n"/>
      <c r="I753" s="67" t="n"/>
      <c r="J753" s="67" t="n"/>
    </row>
    <row r="754" ht="18" customHeight="1" s="104">
      <c r="A754" s="68" t="n"/>
      <c r="B754" s="68" t="n"/>
      <c r="C754" s="68" t="n"/>
      <c r="D754" s="67" t="n"/>
      <c r="E754" s="67" t="n"/>
      <c r="F754" s="67" t="n"/>
      <c r="G754" s="67" t="n"/>
      <c r="H754" s="67" t="n"/>
      <c r="I754" s="67" t="n"/>
      <c r="J754" s="67" t="n"/>
    </row>
    <row r="755" ht="18" customHeight="1" s="104">
      <c r="A755" s="68" t="n"/>
      <c r="B755" s="68" t="n"/>
      <c r="C755" s="68" t="n"/>
      <c r="D755" s="67" t="n"/>
      <c r="E755" s="67" t="n"/>
      <c r="F755" s="67" t="n"/>
      <c r="G755" s="67" t="n"/>
      <c r="H755" s="67" t="n"/>
      <c r="I755" s="67" t="n"/>
      <c r="J755" s="67" t="n"/>
    </row>
    <row r="756" ht="18" customHeight="1" s="104">
      <c r="A756" s="68" t="n"/>
      <c r="B756" s="68" t="n"/>
      <c r="C756" s="68" t="n"/>
      <c r="D756" s="67" t="n"/>
      <c r="E756" s="67" t="n"/>
      <c r="F756" s="67" t="n"/>
      <c r="G756" s="67" t="n"/>
      <c r="H756" s="67" t="n"/>
      <c r="I756" s="67" t="n"/>
      <c r="J756" s="67" t="n"/>
    </row>
    <row r="757" ht="18" customHeight="1" s="104">
      <c r="A757" s="68" t="n"/>
      <c r="B757" s="68" t="n"/>
      <c r="C757" s="68" t="n"/>
      <c r="D757" s="67" t="n"/>
      <c r="E757" s="67" t="n"/>
      <c r="F757" s="67" t="n"/>
      <c r="G757" s="67" t="n"/>
      <c r="H757" s="67" t="n"/>
      <c r="I757" s="67" t="n"/>
      <c r="J757" s="67" t="n"/>
    </row>
    <row r="758" ht="18" customHeight="1" s="104">
      <c r="A758" s="68" t="n"/>
      <c r="B758" s="68" t="n"/>
      <c r="C758" s="68" t="n"/>
      <c r="D758" s="67" t="n"/>
      <c r="E758" s="67" t="n"/>
      <c r="F758" s="67" t="n"/>
      <c r="G758" s="67" t="n"/>
      <c r="H758" s="67" t="n"/>
      <c r="I758" s="67" t="n"/>
      <c r="J758" s="67" t="n"/>
    </row>
    <row r="759" ht="18" customHeight="1" s="104">
      <c r="A759" s="68" t="n"/>
      <c r="B759" s="68" t="n"/>
      <c r="C759" s="68" t="n"/>
      <c r="D759" s="67" t="n"/>
      <c r="E759" s="67" t="n"/>
      <c r="F759" s="67" t="n"/>
      <c r="G759" s="67" t="n"/>
      <c r="H759" s="67" t="n"/>
      <c r="I759" s="67" t="n"/>
      <c r="J759" s="67" t="n"/>
    </row>
    <row r="760" ht="18" customHeight="1" s="104">
      <c r="A760" s="68" t="n"/>
      <c r="B760" s="68" t="n"/>
      <c r="C760" s="68" t="n"/>
      <c r="D760" s="67" t="n"/>
      <c r="E760" s="67" t="n"/>
      <c r="F760" s="67" t="n"/>
      <c r="G760" s="67" t="n"/>
      <c r="H760" s="67" t="n"/>
      <c r="I760" s="67" t="n"/>
      <c r="J760" s="67" t="n"/>
    </row>
    <row r="761" ht="18" customHeight="1" s="104">
      <c r="A761" s="68" t="n"/>
      <c r="B761" s="68" t="n"/>
      <c r="C761" s="68" t="n"/>
      <c r="D761" s="67" t="n"/>
      <c r="E761" s="67" t="n"/>
      <c r="F761" s="67" t="n"/>
      <c r="G761" s="67" t="n"/>
      <c r="H761" s="67" t="n"/>
      <c r="I761" s="67" t="n"/>
      <c r="J761" s="67" t="n"/>
    </row>
    <row r="762" ht="18" customHeight="1" s="104">
      <c r="A762" s="68" t="n"/>
      <c r="B762" s="68" t="n"/>
      <c r="C762" s="68" t="n"/>
      <c r="D762" s="67" t="n"/>
      <c r="E762" s="67" t="n"/>
      <c r="F762" s="67" t="n"/>
      <c r="G762" s="67" t="n"/>
      <c r="H762" s="67" t="n"/>
      <c r="I762" s="67" t="n"/>
      <c r="J762" s="67" t="n"/>
    </row>
    <row r="763" ht="18" customHeight="1" s="104">
      <c r="A763" s="68" t="n"/>
      <c r="B763" s="68" t="n"/>
      <c r="C763" s="68" t="n"/>
      <c r="D763" s="67" t="n"/>
      <c r="E763" s="67" t="n"/>
      <c r="F763" s="67" t="n"/>
      <c r="G763" s="67" t="n"/>
      <c r="H763" s="67" t="n"/>
      <c r="I763" s="67" t="n"/>
      <c r="J763" s="67" t="n"/>
    </row>
    <row r="764" ht="18" customHeight="1" s="104">
      <c r="A764" s="68" t="n"/>
      <c r="B764" s="68" t="n"/>
      <c r="C764" s="68" t="n"/>
      <c r="D764" s="67" t="n"/>
      <c r="E764" s="67" t="n"/>
      <c r="F764" s="67" t="n"/>
      <c r="G764" s="67" t="n"/>
      <c r="H764" s="67" t="n"/>
      <c r="I764" s="67" t="n"/>
      <c r="J764" s="67" t="n"/>
    </row>
    <row r="765" ht="18" customHeight="1" s="104">
      <c r="A765" s="68" t="n"/>
      <c r="B765" s="68" t="n"/>
      <c r="C765" s="68" t="n"/>
      <c r="D765" s="67" t="n"/>
      <c r="E765" s="67" t="n"/>
      <c r="F765" s="67" t="n"/>
      <c r="G765" s="67" t="n"/>
      <c r="H765" s="67" t="n"/>
      <c r="I765" s="67" t="n"/>
      <c r="J765" s="67" t="n"/>
    </row>
    <row r="766" ht="18" customHeight="1" s="104">
      <c r="A766" s="68" t="n"/>
      <c r="B766" s="68" t="n"/>
      <c r="C766" s="68" t="n"/>
      <c r="D766" s="67" t="n"/>
      <c r="E766" s="67" t="n"/>
      <c r="F766" s="67" t="n"/>
      <c r="G766" s="67" t="n"/>
      <c r="H766" s="67" t="n"/>
      <c r="I766" s="67" t="n"/>
      <c r="J766" s="67" t="n"/>
    </row>
    <row r="767" ht="18" customHeight="1" s="104">
      <c r="A767" s="68" t="n"/>
      <c r="B767" s="68" t="n"/>
      <c r="C767" s="68" t="n"/>
      <c r="D767" s="67" t="n"/>
      <c r="E767" s="67" t="n"/>
      <c r="F767" s="67" t="n"/>
      <c r="G767" s="67" t="n"/>
      <c r="H767" s="67" t="n"/>
      <c r="I767" s="67" t="n"/>
      <c r="J767" s="67" t="n"/>
    </row>
    <row r="768" ht="18" customHeight="1" s="104">
      <c r="A768" s="68" t="n"/>
      <c r="B768" s="68" t="n"/>
      <c r="C768" s="68" t="n"/>
      <c r="D768" s="67" t="n"/>
      <c r="E768" s="67" t="n"/>
      <c r="F768" s="67" t="n"/>
      <c r="G768" s="67" t="n"/>
      <c r="H768" s="67" t="n"/>
      <c r="I768" s="67" t="n"/>
      <c r="J768" s="67" t="n"/>
    </row>
    <row r="769" ht="18" customHeight="1" s="104">
      <c r="A769" s="68" t="n"/>
      <c r="B769" s="68" t="n"/>
      <c r="C769" s="68" t="n"/>
      <c r="D769" s="67" t="n"/>
      <c r="E769" s="67" t="n"/>
      <c r="F769" s="67" t="n"/>
      <c r="G769" s="67" t="n"/>
      <c r="H769" s="67" t="n"/>
      <c r="I769" s="67" t="n"/>
      <c r="J769" s="67" t="n"/>
    </row>
    <row r="770" ht="18" customHeight="1" s="104">
      <c r="A770" s="68" t="n"/>
      <c r="B770" s="68" t="n"/>
      <c r="C770" s="68" t="n"/>
      <c r="D770" s="67" t="n"/>
      <c r="E770" s="67" t="n"/>
      <c r="F770" s="67" t="n"/>
      <c r="G770" s="67" t="n"/>
      <c r="H770" s="67" t="n"/>
      <c r="I770" s="67" t="n"/>
      <c r="J770" s="67" t="n"/>
    </row>
    <row r="771" ht="18" customHeight="1" s="104">
      <c r="A771" s="68" t="n"/>
      <c r="B771" s="68" t="n"/>
      <c r="C771" s="68" t="n"/>
      <c r="D771" s="67" t="n"/>
      <c r="E771" s="67" t="n"/>
      <c r="F771" s="67" t="n"/>
      <c r="G771" s="67" t="n"/>
      <c r="H771" s="67" t="n"/>
      <c r="I771" s="67" t="n"/>
      <c r="J771" s="67" t="n"/>
    </row>
    <row r="772" ht="18" customHeight="1" s="104">
      <c r="A772" s="68" t="n"/>
      <c r="B772" s="68" t="n"/>
      <c r="C772" s="68" t="n"/>
      <c r="D772" s="67" t="n"/>
      <c r="E772" s="67" t="n"/>
      <c r="F772" s="67" t="n"/>
      <c r="G772" s="67" t="n"/>
      <c r="H772" s="67" t="n"/>
      <c r="I772" s="67" t="n"/>
      <c r="J772" s="67" t="n"/>
    </row>
    <row r="773" ht="18" customHeight="1" s="104">
      <c r="A773" s="68" t="n"/>
      <c r="B773" s="68" t="n"/>
      <c r="C773" s="68" t="n"/>
      <c r="D773" s="67" t="n"/>
      <c r="E773" s="67" t="n"/>
      <c r="F773" s="67" t="n"/>
      <c r="G773" s="67" t="n"/>
      <c r="H773" s="67" t="n"/>
      <c r="I773" s="67" t="n"/>
      <c r="J773" s="67" t="n"/>
    </row>
    <row r="774" ht="18" customHeight="1" s="104">
      <c r="A774" s="68" t="n"/>
      <c r="B774" s="68" t="n"/>
      <c r="C774" s="68" t="n"/>
      <c r="D774" s="67" t="n"/>
      <c r="E774" s="67" t="n"/>
      <c r="F774" s="67" t="n"/>
      <c r="G774" s="67" t="n"/>
      <c r="H774" s="67" t="n"/>
      <c r="I774" s="67" t="n"/>
      <c r="J774" s="67" t="n"/>
    </row>
    <row r="775" ht="18" customHeight="1" s="104">
      <c r="A775" s="68" t="n"/>
      <c r="B775" s="68" t="n"/>
      <c r="C775" s="68" t="n"/>
      <c r="D775" s="67" t="n"/>
      <c r="E775" s="67" t="n"/>
      <c r="F775" s="67" t="n"/>
      <c r="G775" s="67" t="n"/>
      <c r="H775" s="67" t="n"/>
      <c r="I775" s="67" t="n"/>
      <c r="J775" s="67" t="n"/>
    </row>
    <row r="776" ht="18" customHeight="1" s="104">
      <c r="A776" s="68" t="n"/>
      <c r="B776" s="68" t="n"/>
      <c r="C776" s="68" t="n"/>
      <c r="D776" s="67" t="n"/>
      <c r="E776" s="67" t="n"/>
      <c r="F776" s="67" t="n"/>
      <c r="G776" s="67" t="n"/>
      <c r="H776" s="67" t="n"/>
      <c r="I776" s="67" t="n"/>
      <c r="J776" s="67" t="n"/>
    </row>
    <row r="777" ht="18" customHeight="1" s="104">
      <c r="A777" s="68" t="n"/>
      <c r="B777" s="68" t="n"/>
      <c r="C777" s="68" t="n"/>
      <c r="D777" s="67" t="n"/>
      <c r="E777" s="67" t="n"/>
      <c r="F777" s="67" t="n"/>
      <c r="G777" s="67" t="n"/>
      <c r="H777" s="67" t="n"/>
      <c r="I777" s="67" t="n"/>
      <c r="J777" s="67" t="n"/>
    </row>
    <row r="778" ht="18" customHeight="1" s="104">
      <c r="A778" s="68" t="n"/>
      <c r="B778" s="68" t="n"/>
      <c r="C778" s="68" t="n"/>
      <c r="D778" s="67" t="n"/>
      <c r="E778" s="67" t="n"/>
      <c r="F778" s="67" t="n"/>
      <c r="G778" s="67" t="n"/>
      <c r="H778" s="67" t="n"/>
      <c r="I778" s="67" t="n"/>
      <c r="J778" s="67" t="n"/>
    </row>
    <row r="779" ht="18" customHeight="1" s="104">
      <c r="A779" s="68" t="n"/>
      <c r="B779" s="68" t="n"/>
      <c r="C779" s="68" t="n"/>
      <c r="D779" s="67" t="n"/>
      <c r="E779" s="67" t="n"/>
      <c r="F779" s="67" t="n"/>
      <c r="G779" s="67" t="n"/>
      <c r="H779" s="67" t="n"/>
      <c r="I779" s="67" t="n"/>
      <c r="J779" s="67" t="n"/>
    </row>
    <row r="780" ht="18" customHeight="1" s="104">
      <c r="A780" s="68" t="n"/>
      <c r="B780" s="68" t="n"/>
      <c r="C780" s="68" t="n"/>
      <c r="D780" s="67" t="n"/>
      <c r="E780" s="67" t="n"/>
      <c r="F780" s="67" t="n"/>
      <c r="G780" s="67" t="n"/>
      <c r="H780" s="67" t="n"/>
      <c r="I780" s="67" t="n"/>
      <c r="J780" s="67" t="n"/>
    </row>
    <row r="781" ht="18" customHeight="1" s="104">
      <c r="A781" s="68" t="n"/>
      <c r="B781" s="68" t="n"/>
      <c r="C781" s="68" t="n"/>
      <c r="D781" s="67" t="n"/>
      <c r="E781" s="67" t="n"/>
      <c r="F781" s="67" t="n"/>
      <c r="G781" s="67" t="n"/>
      <c r="H781" s="67" t="n"/>
      <c r="I781" s="67" t="n"/>
      <c r="J781" s="67" t="n"/>
    </row>
    <row r="782" ht="18" customHeight="1" s="104">
      <c r="A782" s="68" t="n"/>
      <c r="B782" s="68" t="n"/>
      <c r="C782" s="68" t="n"/>
      <c r="D782" s="67" t="n"/>
      <c r="E782" s="67" t="n"/>
      <c r="F782" s="67" t="n"/>
      <c r="G782" s="67" t="n"/>
      <c r="H782" s="67" t="n"/>
      <c r="I782" s="67" t="n"/>
      <c r="J782" s="67" t="n"/>
    </row>
    <row r="783" ht="18" customHeight="1" s="104">
      <c r="A783" s="68" t="n"/>
      <c r="B783" s="68" t="n"/>
      <c r="C783" s="68" t="n"/>
      <c r="D783" s="67" t="n"/>
      <c r="E783" s="67" t="n"/>
      <c r="F783" s="67" t="n"/>
      <c r="G783" s="67" t="n"/>
      <c r="H783" s="67" t="n"/>
      <c r="I783" s="67" t="n"/>
      <c r="J783" s="67" t="n"/>
    </row>
    <row r="784" ht="18" customHeight="1" s="104">
      <c r="A784" s="68" t="n"/>
      <c r="B784" s="68" t="n"/>
      <c r="C784" s="68" t="n"/>
      <c r="D784" s="67" t="n"/>
      <c r="E784" s="67" t="n"/>
      <c r="F784" s="67" t="n"/>
      <c r="G784" s="67" t="n"/>
      <c r="H784" s="67" t="n"/>
      <c r="I784" s="67" t="n"/>
      <c r="J784" s="67" t="n"/>
    </row>
    <row r="785" ht="18" customHeight="1" s="104">
      <c r="A785" s="68" t="n"/>
      <c r="B785" s="68" t="n"/>
      <c r="C785" s="68" t="n"/>
      <c r="D785" s="67" t="n"/>
      <c r="E785" s="67" t="n"/>
      <c r="F785" s="67" t="n"/>
      <c r="G785" s="67" t="n"/>
      <c r="H785" s="67" t="n"/>
      <c r="I785" s="67" t="n"/>
      <c r="J785" s="67" t="n"/>
    </row>
    <row r="786" ht="18" customHeight="1" s="104">
      <c r="A786" s="68" t="n"/>
      <c r="B786" s="68" t="n"/>
      <c r="C786" s="68" t="n"/>
      <c r="D786" s="67" t="n"/>
      <c r="E786" s="67" t="n"/>
      <c r="F786" s="67" t="n"/>
      <c r="G786" s="67" t="n"/>
      <c r="H786" s="67" t="n"/>
      <c r="I786" s="67" t="n"/>
      <c r="J786" s="67" t="n"/>
    </row>
    <row r="787" ht="18" customHeight="1" s="104">
      <c r="A787" s="68" t="n"/>
      <c r="B787" s="68" t="n"/>
      <c r="C787" s="68" t="n"/>
      <c r="D787" s="67" t="n"/>
      <c r="E787" s="67" t="n"/>
      <c r="F787" s="67" t="n"/>
      <c r="G787" s="67" t="n"/>
      <c r="H787" s="67" t="n"/>
      <c r="I787" s="67" t="n"/>
      <c r="J787" s="67" t="n"/>
    </row>
    <row r="788" ht="18" customHeight="1" s="104">
      <c r="A788" s="68" t="n"/>
      <c r="B788" s="68" t="n"/>
      <c r="C788" s="68" t="n"/>
      <c r="D788" s="67" t="n"/>
      <c r="E788" s="67" t="n"/>
      <c r="F788" s="67" t="n"/>
      <c r="G788" s="67" t="n"/>
      <c r="H788" s="67" t="n"/>
      <c r="I788" s="67" t="n"/>
      <c r="J788" s="67" t="n"/>
    </row>
    <row r="789" ht="18" customHeight="1" s="104">
      <c r="A789" s="68" t="n"/>
      <c r="B789" s="68" t="n"/>
      <c r="C789" s="68" t="n"/>
      <c r="D789" s="67" t="n"/>
      <c r="E789" s="67" t="n"/>
      <c r="F789" s="67" t="n"/>
      <c r="G789" s="67" t="n"/>
      <c r="H789" s="67" t="n"/>
      <c r="I789" s="67" t="n"/>
      <c r="J789" s="67" t="n"/>
    </row>
    <row r="790" ht="18" customHeight="1" s="104">
      <c r="A790" s="68" t="n"/>
      <c r="B790" s="68" t="n"/>
      <c r="C790" s="68" t="n"/>
      <c r="D790" s="67" t="n"/>
      <c r="E790" s="67" t="n"/>
      <c r="F790" s="67" t="n"/>
      <c r="G790" s="67" t="n"/>
      <c r="H790" s="67" t="n"/>
      <c r="I790" s="67" t="n"/>
      <c r="J790" s="67" t="n"/>
    </row>
    <row r="791" ht="18" customHeight="1" s="104">
      <c r="A791" s="68" t="n"/>
      <c r="B791" s="68" t="n"/>
      <c r="C791" s="68" t="n"/>
      <c r="D791" s="67" t="n"/>
      <c r="E791" s="67" t="n"/>
      <c r="F791" s="67" t="n"/>
      <c r="G791" s="67" t="n"/>
      <c r="H791" s="67" t="n"/>
      <c r="I791" s="67" t="n"/>
      <c r="J791" s="67" t="n"/>
    </row>
    <row r="792" ht="18" customHeight="1" s="104">
      <c r="A792" s="68" t="n"/>
      <c r="B792" s="68" t="n"/>
      <c r="C792" s="68" t="n"/>
      <c r="D792" s="67" t="n"/>
      <c r="E792" s="67" t="n"/>
      <c r="F792" s="67" t="n"/>
      <c r="G792" s="67" t="n"/>
      <c r="H792" s="67" t="n"/>
      <c r="I792" s="67" t="n"/>
      <c r="J792" s="67" t="n"/>
    </row>
    <row r="793" ht="18" customHeight="1" s="104">
      <c r="A793" s="68" t="n"/>
      <c r="B793" s="68" t="n"/>
      <c r="C793" s="68" t="n"/>
      <c r="D793" s="67" t="n"/>
      <c r="E793" s="67" t="n"/>
      <c r="F793" s="67" t="n"/>
      <c r="G793" s="67" t="n"/>
      <c r="H793" s="67" t="n"/>
      <c r="I793" s="67" t="n"/>
      <c r="J793" s="67" t="n"/>
    </row>
    <row r="794" ht="18" customHeight="1" s="104">
      <c r="A794" s="68" t="n"/>
      <c r="B794" s="68" t="n"/>
      <c r="C794" s="68" t="n"/>
      <c r="D794" s="67" t="n"/>
      <c r="E794" s="67" t="n"/>
      <c r="F794" s="67" t="n"/>
      <c r="G794" s="67" t="n"/>
      <c r="H794" s="67" t="n"/>
      <c r="I794" s="67" t="n"/>
      <c r="J794" s="67" t="n"/>
    </row>
    <row r="795" ht="18" customHeight="1" s="104">
      <c r="A795" s="68" t="n"/>
      <c r="B795" s="68" t="n"/>
      <c r="C795" s="68" t="n"/>
      <c r="D795" s="67" t="n"/>
      <c r="E795" s="67" t="n"/>
      <c r="F795" s="67" t="n"/>
      <c r="G795" s="67" t="n"/>
      <c r="H795" s="67" t="n"/>
      <c r="I795" s="67" t="n"/>
      <c r="J795" s="67" t="n"/>
    </row>
    <row r="796" ht="18" customHeight="1" s="104">
      <c r="A796" s="68" t="n"/>
      <c r="B796" s="68" t="n"/>
      <c r="C796" s="68" t="n"/>
      <c r="D796" s="67" t="n"/>
      <c r="E796" s="67" t="n"/>
      <c r="F796" s="67" t="n"/>
      <c r="G796" s="67" t="n"/>
      <c r="H796" s="67" t="n"/>
      <c r="I796" s="67" t="n"/>
      <c r="J796" s="67" t="n"/>
    </row>
    <row r="797" ht="18" customHeight="1" s="104">
      <c r="A797" s="68" t="n"/>
      <c r="B797" s="68" t="n"/>
      <c r="C797" s="68" t="n"/>
      <c r="D797" s="67" t="n"/>
      <c r="E797" s="67" t="n"/>
      <c r="F797" s="67" t="n"/>
      <c r="G797" s="67" t="n"/>
      <c r="H797" s="67" t="n"/>
      <c r="I797" s="67" t="n"/>
      <c r="J797" s="67" t="n"/>
    </row>
    <row r="798" ht="18" customHeight="1" s="104">
      <c r="A798" s="68" t="n"/>
      <c r="B798" s="68" t="n"/>
      <c r="C798" s="68" t="n"/>
      <c r="D798" s="67" t="n"/>
      <c r="E798" s="67" t="n"/>
      <c r="F798" s="67" t="n"/>
      <c r="G798" s="67" t="n"/>
      <c r="H798" s="67" t="n"/>
      <c r="I798" s="67" t="n"/>
      <c r="J798" s="67" t="n"/>
    </row>
    <row r="799" ht="18" customHeight="1" s="104">
      <c r="A799" s="68" t="n"/>
      <c r="B799" s="68" t="n"/>
      <c r="C799" s="68" t="n"/>
      <c r="D799" s="67" t="n"/>
      <c r="E799" s="67" t="n"/>
      <c r="F799" s="67" t="n"/>
      <c r="G799" s="67" t="n"/>
      <c r="H799" s="67" t="n"/>
      <c r="I799" s="67" t="n"/>
      <c r="J799" s="67" t="n"/>
    </row>
    <row r="800" ht="18" customHeight="1" s="104">
      <c r="A800" s="68" t="n"/>
      <c r="B800" s="68" t="n"/>
      <c r="C800" s="68" t="n"/>
      <c r="D800" s="67" t="n"/>
      <c r="E800" s="67" t="n"/>
      <c r="F800" s="67" t="n"/>
      <c r="G800" s="67" t="n"/>
      <c r="H800" s="67" t="n"/>
      <c r="I800" s="67" t="n"/>
      <c r="J800" s="67" t="n"/>
    </row>
    <row r="801" ht="18" customHeight="1" s="104">
      <c r="A801" s="68" t="n"/>
      <c r="B801" s="68" t="n"/>
      <c r="C801" s="68" t="n"/>
      <c r="D801" s="67" t="n"/>
      <c r="E801" s="67" t="n"/>
      <c r="F801" s="67" t="n"/>
      <c r="G801" s="67" t="n"/>
      <c r="H801" s="67" t="n"/>
      <c r="I801" s="67" t="n"/>
      <c r="J801" s="67" t="n"/>
    </row>
    <row r="802" ht="18" customHeight="1" s="104">
      <c r="A802" s="68" t="n"/>
      <c r="B802" s="68" t="n"/>
      <c r="C802" s="68" t="n"/>
      <c r="D802" s="67" t="n"/>
      <c r="E802" s="67" t="n"/>
      <c r="F802" s="67" t="n"/>
      <c r="G802" s="67" t="n"/>
      <c r="H802" s="67" t="n"/>
      <c r="I802" s="67" t="n"/>
      <c r="J802" s="67" t="n"/>
    </row>
    <row r="803" ht="18" customHeight="1" s="104">
      <c r="A803" s="68" t="n"/>
      <c r="B803" s="68" t="n"/>
      <c r="C803" s="68" t="n"/>
      <c r="D803" s="67" t="n"/>
      <c r="E803" s="67" t="n"/>
      <c r="F803" s="67" t="n"/>
      <c r="G803" s="67" t="n"/>
      <c r="H803" s="67" t="n"/>
      <c r="I803" s="67" t="n"/>
      <c r="J803" s="67" t="n"/>
    </row>
    <row r="804" ht="18" customHeight="1" s="104">
      <c r="A804" s="68" t="n"/>
      <c r="B804" s="68" t="n"/>
      <c r="C804" s="68" t="n"/>
      <c r="D804" s="67" t="n"/>
      <c r="E804" s="67" t="n"/>
      <c r="F804" s="67" t="n"/>
      <c r="G804" s="67" t="n"/>
      <c r="H804" s="67" t="n"/>
      <c r="I804" s="67" t="n"/>
      <c r="J804" s="67" t="n"/>
    </row>
    <row r="805" ht="18" customHeight="1" s="104">
      <c r="A805" s="68" t="n"/>
      <c r="B805" s="68" t="n"/>
      <c r="C805" s="68" t="n"/>
      <c r="D805" s="67" t="n"/>
      <c r="E805" s="67" t="n"/>
      <c r="F805" s="67" t="n"/>
      <c r="G805" s="67" t="n"/>
      <c r="H805" s="67" t="n"/>
      <c r="I805" s="67" t="n"/>
      <c r="J805" s="67" t="n"/>
    </row>
    <row r="806" ht="18" customHeight="1" s="104">
      <c r="A806" s="68" t="n"/>
      <c r="B806" s="68" t="n"/>
      <c r="C806" s="68" t="n"/>
      <c r="D806" s="67" t="n"/>
      <c r="E806" s="67" t="n"/>
      <c r="F806" s="67" t="n"/>
      <c r="G806" s="67" t="n"/>
      <c r="H806" s="67" t="n"/>
      <c r="I806" s="67" t="n"/>
      <c r="J806" s="67" t="n"/>
    </row>
    <row r="807" ht="18" customHeight="1" s="104">
      <c r="A807" s="68" t="n"/>
      <c r="B807" s="68" t="n"/>
      <c r="C807" s="68" t="n"/>
      <c r="D807" s="67" t="n"/>
      <c r="E807" s="67" t="n"/>
      <c r="F807" s="67" t="n"/>
      <c r="G807" s="67" t="n"/>
      <c r="H807" s="67" t="n"/>
      <c r="I807" s="67" t="n"/>
      <c r="J807" s="67" t="n"/>
    </row>
    <row r="808" ht="18" customHeight="1" s="104">
      <c r="A808" s="68" t="n"/>
      <c r="B808" s="68" t="n"/>
      <c r="C808" s="68" t="n"/>
      <c r="D808" s="67" t="n"/>
      <c r="E808" s="67" t="n"/>
      <c r="F808" s="67" t="n"/>
      <c r="G808" s="67" t="n"/>
      <c r="H808" s="67" t="n"/>
      <c r="I808" s="67" t="n"/>
      <c r="J808" s="67" t="n"/>
    </row>
    <row r="809" ht="18" customHeight="1" s="104">
      <c r="A809" s="68" t="n"/>
      <c r="B809" s="68" t="n"/>
      <c r="C809" s="68" t="n"/>
      <c r="D809" s="67" t="n"/>
      <c r="E809" s="67" t="n"/>
      <c r="F809" s="67" t="n"/>
      <c r="G809" s="67" t="n"/>
      <c r="H809" s="67" t="n"/>
      <c r="I809" s="67" t="n"/>
      <c r="J809" s="67" t="n"/>
    </row>
    <row r="810" ht="18" customHeight="1" s="104">
      <c r="A810" s="68" t="n"/>
      <c r="B810" s="68" t="n"/>
      <c r="C810" s="68" t="n"/>
      <c r="D810" s="67" t="n"/>
      <c r="E810" s="67" t="n"/>
      <c r="F810" s="67" t="n"/>
      <c r="G810" s="67" t="n"/>
      <c r="H810" s="67" t="n"/>
      <c r="I810" s="67" t="n"/>
      <c r="J810" s="67" t="n"/>
    </row>
    <row r="811" ht="18" customHeight="1" s="104">
      <c r="A811" s="68" t="n"/>
      <c r="B811" s="68" t="n"/>
      <c r="C811" s="68" t="n"/>
      <c r="D811" s="67" t="n"/>
      <c r="E811" s="67" t="n"/>
      <c r="F811" s="67" t="n"/>
      <c r="G811" s="67" t="n"/>
      <c r="H811" s="67" t="n"/>
      <c r="I811" s="67" t="n"/>
      <c r="J811" s="67" t="n"/>
    </row>
    <row r="812" ht="18" customHeight="1" s="104">
      <c r="A812" s="68" t="n"/>
      <c r="B812" s="68" t="n"/>
      <c r="C812" s="68" t="n"/>
      <c r="D812" s="67" t="n"/>
      <c r="E812" s="67" t="n"/>
      <c r="F812" s="67" t="n"/>
      <c r="G812" s="67" t="n"/>
      <c r="H812" s="67" t="n"/>
      <c r="I812" s="67" t="n"/>
      <c r="J812" s="67" t="n"/>
    </row>
    <row r="813" ht="18" customHeight="1" s="104">
      <c r="A813" s="68" t="n"/>
      <c r="B813" s="68" t="n"/>
      <c r="C813" s="68" t="n"/>
      <c r="D813" s="67" t="n"/>
      <c r="E813" s="67" t="n"/>
      <c r="F813" s="67" t="n"/>
      <c r="G813" s="67" t="n"/>
      <c r="H813" s="67" t="n"/>
      <c r="I813" s="67" t="n"/>
      <c r="J813" s="67" t="n"/>
    </row>
    <row r="814" ht="18" customHeight="1" s="104">
      <c r="A814" s="68" t="n"/>
      <c r="B814" s="68" t="n"/>
      <c r="C814" s="68" t="n"/>
      <c r="D814" s="67" t="n"/>
      <c r="E814" s="67" t="n"/>
      <c r="F814" s="67" t="n"/>
      <c r="G814" s="67" t="n"/>
      <c r="H814" s="67" t="n"/>
      <c r="I814" s="67" t="n"/>
      <c r="J814" s="67" t="n"/>
    </row>
    <row r="815" ht="18" customHeight="1" s="104">
      <c r="A815" s="68" t="n"/>
      <c r="B815" s="68" t="n"/>
      <c r="C815" s="68" t="n"/>
      <c r="D815" s="67" t="n"/>
      <c r="E815" s="67" t="n"/>
      <c r="F815" s="67" t="n"/>
      <c r="G815" s="67" t="n"/>
      <c r="H815" s="67" t="n"/>
      <c r="I815" s="67" t="n"/>
      <c r="J815" s="67" t="n"/>
    </row>
    <row r="816" ht="18" customHeight="1" s="104">
      <c r="A816" s="68" t="n"/>
      <c r="B816" s="68" t="n"/>
      <c r="C816" s="68" t="n"/>
      <c r="D816" s="67" t="n"/>
      <c r="E816" s="67" t="n"/>
      <c r="F816" s="67" t="n"/>
      <c r="G816" s="67" t="n"/>
      <c r="H816" s="67" t="n"/>
      <c r="I816" s="67" t="n"/>
      <c r="J816" s="67" t="n"/>
    </row>
    <row r="817" ht="18" customHeight="1" s="104">
      <c r="A817" s="68" t="n"/>
      <c r="B817" s="68" t="n"/>
      <c r="C817" s="68" t="n"/>
      <c r="D817" s="67" t="n"/>
      <c r="E817" s="67" t="n"/>
      <c r="F817" s="67" t="n"/>
      <c r="G817" s="67" t="n"/>
      <c r="H817" s="67" t="n"/>
      <c r="I817" s="67" t="n"/>
      <c r="J817" s="67" t="n"/>
    </row>
    <row r="818" ht="18" customHeight="1" s="104">
      <c r="A818" s="68" t="n"/>
      <c r="B818" s="68" t="n"/>
      <c r="C818" s="68" t="n"/>
      <c r="D818" s="67" t="n"/>
      <c r="E818" s="67" t="n"/>
      <c r="F818" s="67" t="n"/>
      <c r="G818" s="67" t="n"/>
      <c r="H818" s="67" t="n"/>
      <c r="I818" s="67" t="n"/>
      <c r="J818" s="67" t="n"/>
    </row>
    <row r="819" ht="18" customHeight="1" s="104">
      <c r="A819" s="68" t="n"/>
      <c r="B819" s="68" t="n"/>
      <c r="C819" s="68" t="n"/>
      <c r="D819" s="67" t="n"/>
      <c r="E819" s="67" t="n"/>
      <c r="F819" s="67" t="n"/>
      <c r="G819" s="67" t="n"/>
      <c r="H819" s="67" t="n"/>
      <c r="I819" s="67" t="n"/>
      <c r="J819" s="67" t="n"/>
    </row>
    <row r="820" ht="18" customHeight="1" s="104">
      <c r="A820" s="68" t="n"/>
      <c r="B820" s="68" t="n"/>
      <c r="C820" s="68" t="n"/>
      <c r="D820" s="67" t="n"/>
      <c r="E820" s="67" t="n"/>
      <c r="F820" s="67" t="n"/>
      <c r="G820" s="67" t="n"/>
      <c r="H820" s="67" t="n"/>
      <c r="I820" s="67" t="n"/>
      <c r="J820" s="67" t="n"/>
    </row>
    <row r="821" ht="18" customHeight="1" s="104">
      <c r="A821" s="68" t="n"/>
      <c r="B821" s="68" t="n"/>
      <c r="C821" s="68" t="n"/>
      <c r="D821" s="67" t="n"/>
      <c r="E821" s="67" t="n"/>
      <c r="F821" s="67" t="n"/>
      <c r="G821" s="67" t="n"/>
      <c r="H821" s="67" t="n"/>
      <c r="I821" s="67" t="n"/>
      <c r="J821" s="67" t="n"/>
    </row>
    <row r="822" ht="18" customHeight="1" s="104">
      <c r="A822" s="68" t="n"/>
      <c r="B822" s="68" t="n"/>
      <c r="C822" s="68" t="n"/>
      <c r="D822" s="67" t="n"/>
      <c r="E822" s="67" t="n"/>
      <c r="F822" s="67" t="n"/>
      <c r="G822" s="67" t="n"/>
      <c r="H822" s="67" t="n"/>
      <c r="I822" s="67" t="n"/>
      <c r="J822" s="67" t="n"/>
    </row>
    <row r="823" ht="18" customHeight="1" s="104">
      <c r="A823" s="68" t="n"/>
      <c r="B823" s="68" t="n"/>
      <c r="C823" s="68" t="n"/>
      <c r="D823" s="67" t="n"/>
      <c r="E823" s="67" t="n"/>
      <c r="F823" s="67" t="n"/>
      <c r="G823" s="67" t="n"/>
      <c r="H823" s="67" t="n"/>
      <c r="I823" s="67" t="n"/>
      <c r="J823" s="67" t="n"/>
    </row>
    <row r="824" ht="18" customHeight="1" s="104">
      <c r="A824" s="68" t="n"/>
      <c r="B824" s="68" t="n"/>
      <c r="C824" s="68" t="n"/>
      <c r="D824" s="67" t="n"/>
      <c r="E824" s="67" t="n"/>
      <c r="F824" s="67" t="n"/>
      <c r="G824" s="67" t="n"/>
      <c r="H824" s="67" t="n"/>
      <c r="I824" s="67" t="n"/>
      <c r="J824" s="67" t="n"/>
    </row>
    <row r="825" ht="18" customHeight="1" s="104">
      <c r="A825" s="68" t="n"/>
      <c r="B825" s="68" t="n"/>
      <c r="C825" s="68" t="n"/>
      <c r="D825" s="67" t="n"/>
      <c r="E825" s="67" t="n"/>
      <c r="F825" s="67" t="n"/>
      <c r="G825" s="67" t="n"/>
      <c r="H825" s="67" t="n"/>
      <c r="I825" s="67" t="n"/>
      <c r="J825" s="67" t="n"/>
    </row>
    <row r="826" ht="18" customHeight="1" s="104">
      <c r="A826" s="68" t="n"/>
      <c r="B826" s="68" t="n"/>
      <c r="C826" s="68" t="n"/>
      <c r="D826" s="67" t="n"/>
      <c r="E826" s="67" t="n"/>
      <c r="F826" s="67" t="n"/>
      <c r="G826" s="67" t="n"/>
      <c r="H826" s="67" t="n"/>
      <c r="I826" s="67" t="n"/>
      <c r="J826" s="67" t="n"/>
    </row>
    <row r="827" ht="18" customHeight="1" s="104">
      <c r="A827" s="68" t="n"/>
      <c r="B827" s="68" t="n"/>
      <c r="C827" s="68" t="n"/>
      <c r="D827" s="67" t="n"/>
      <c r="E827" s="67" t="n"/>
      <c r="F827" s="67" t="n"/>
      <c r="G827" s="67" t="n"/>
      <c r="H827" s="67" t="n"/>
      <c r="I827" s="67" t="n"/>
      <c r="J827" s="67" t="n"/>
    </row>
    <row r="828" ht="18" customHeight="1" s="104">
      <c r="A828" s="68" t="n"/>
      <c r="B828" s="68" t="n"/>
      <c r="C828" s="68" t="n"/>
      <c r="D828" s="67" t="n"/>
      <c r="E828" s="67" t="n"/>
      <c r="F828" s="67" t="n"/>
      <c r="G828" s="67" t="n"/>
      <c r="H828" s="67" t="n"/>
      <c r="I828" s="67" t="n"/>
      <c r="J828" s="67" t="n"/>
    </row>
    <row r="829" ht="18" customHeight="1" s="104">
      <c r="A829" s="68" t="n"/>
      <c r="B829" s="68" t="n"/>
      <c r="C829" s="68" t="n"/>
      <c r="D829" s="67" t="n"/>
      <c r="E829" s="67" t="n"/>
      <c r="F829" s="67" t="n"/>
      <c r="G829" s="67" t="n"/>
      <c r="H829" s="67" t="n"/>
      <c r="I829" s="67" t="n"/>
      <c r="J829" s="67" t="n"/>
    </row>
    <row r="830" ht="18" customHeight="1" s="104">
      <c r="A830" s="68" t="n"/>
      <c r="B830" s="68" t="n"/>
      <c r="C830" s="68" t="n"/>
      <c r="D830" s="67" t="n"/>
      <c r="E830" s="67" t="n"/>
      <c r="F830" s="67" t="n"/>
      <c r="G830" s="67" t="n"/>
      <c r="H830" s="67" t="n"/>
      <c r="I830" s="67" t="n"/>
      <c r="J830" s="67" t="n"/>
    </row>
    <row r="831" ht="18" customHeight="1" s="104">
      <c r="A831" s="68" t="n"/>
      <c r="B831" s="68" t="n"/>
      <c r="C831" s="68" t="n"/>
      <c r="D831" s="67" t="n"/>
      <c r="E831" s="67" t="n"/>
      <c r="F831" s="67" t="n"/>
      <c r="G831" s="67" t="n"/>
      <c r="H831" s="67" t="n"/>
      <c r="I831" s="67" t="n"/>
      <c r="J831" s="67" t="n"/>
    </row>
    <row r="832" ht="18" customHeight="1" s="104">
      <c r="A832" s="68" t="n"/>
      <c r="B832" s="68" t="n"/>
      <c r="C832" s="68" t="n"/>
      <c r="D832" s="67" t="n"/>
      <c r="E832" s="67" t="n"/>
      <c r="F832" s="67" t="n"/>
      <c r="G832" s="67" t="n"/>
      <c r="H832" s="67" t="n"/>
      <c r="I832" s="67" t="n"/>
      <c r="J832" s="67" t="n"/>
    </row>
    <row r="833" ht="18" customHeight="1" s="104">
      <c r="A833" s="68" t="n"/>
      <c r="B833" s="68" t="n"/>
      <c r="C833" s="68" t="n"/>
      <c r="D833" s="67" t="n"/>
      <c r="E833" s="67" t="n"/>
      <c r="F833" s="67" t="n"/>
      <c r="G833" s="67" t="n"/>
      <c r="H833" s="67" t="n"/>
      <c r="I833" s="67" t="n"/>
      <c r="J833" s="67" t="n"/>
    </row>
    <row r="834" ht="18" customHeight="1" s="104">
      <c r="A834" s="68" t="n"/>
      <c r="B834" s="68" t="n"/>
      <c r="C834" s="68" t="n"/>
      <c r="D834" s="67" t="n"/>
      <c r="E834" s="67" t="n"/>
      <c r="F834" s="67" t="n"/>
      <c r="G834" s="67" t="n"/>
      <c r="H834" s="67" t="n"/>
      <c r="I834" s="67" t="n"/>
      <c r="J834" s="67" t="n"/>
    </row>
    <row r="835" ht="18" customHeight="1" s="104">
      <c r="A835" s="68" t="n"/>
      <c r="B835" s="68" t="n"/>
      <c r="C835" s="68" t="n"/>
      <c r="D835" s="67" t="n"/>
      <c r="E835" s="67" t="n"/>
      <c r="F835" s="67" t="n"/>
      <c r="G835" s="67" t="n"/>
      <c r="H835" s="67" t="n"/>
      <c r="I835" s="67" t="n"/>
      <c r="J835" s="67" t="n"/>
    </row>
    <row r="836" ht="18" customHeight="1" s="104">
      <c r="A836" s="68" t="n"/>
      <c r="B836" s="68" t="n"/>
      <c r="C836" s="68" t="n"/>
      <c r="D836" s="67" t="n"/>
      <c r="E836" s="67" t="n"/>
      <c r="F836" s="67" t="n"/>
      <c r="G836" s="67" t="n"/>
      <c r="H836" s="67" t="n"/>
      <c r="I836" s="67" t="n"/>
      <c r="J836" s="67" t="n"/>
    </row>
    <row r="837" ht="18" customHeight="1" s="104">
      <c r="A837" s="68" t="n"/>
      <c r="B837" s="68" t="n"/>
      <c r="C837" s="68" t="n"/>
      <c r="D837" s="67" t="n"/>
      <c r="E837" s="67" t="n"/>
      <c r="F837" s="67" t="n"/>
      <c r="G837" s="67" t="n"/>
      <c r="H837" s="67" t="n"/>
      <c r="I837" s="67" t="n"/>
      <c r="J837" s="67" t="n"/>
    </row>
    <row r="838" ht="18" customHeight="1" s="104">
      <c r="A838" s="68" t="n"/>
      <c r="B838" s="68" t="n"/>
      <c r="C838" s="68" t="n"/>
      <c r="D838" s="67" t="n"/>
      <c r="E838" s="67" t="n"/>
      <c r="F838" s="67" t="n"/>
      <c r="G838" s="67" t="n"/>
      <c r="H838" s="67" t="n"/>
      <c r="I838" s="67" t="n"/>
      <c r="J838" s="67" t="n"/>
    </row>
    <row r="839" ht="18" customHeight="1" s="104">
      <c r="A839" s="68" t="n"/>
      <c r="B839" s="68" t="n"/>
      <c r="C839" s="68" t="n"/>
      <c r="D839" s="67" t="n"/>
      <c r="E839" s="67" t="n"/>
      <c r="F839" s="67" t="n"/>
      <c r="G839" s="67" t="n"/>
      <c r="H839" s="67" t="n"/>
      <c r="I839" s="67" t="n"/>
      <c r="J839" s="67" t="n"/>
    </row>
    <row r="840" ht="18" customHeight="1" s="104">
      <c r="A840" s="68" t="n"/>
      <c r="B840" s="68" t="n"/>
      <c r="C840" s="68" t="n"/>
      <c r="D840" s="67" t="n"/>
      <c r="E840" s="67" t="n"/>
      <c r="F840" s="67" t="n"/>
      <c r="G840" s="67" t="n"/>
      <c r="H840" s="67" t="n"/>
      <c r="I840" s="67" t="n"/>
      <c r="J840" s="67" t="n"/>
    </row>
    <row r="841" ht="18" customHeight="1" s="104">
      <c r="A841" s="68" t="n"/>
      <c r="B841" s="68" t="n"/>
      <c r="C841" s="68" t="n"/>
      <c r="D841" s="67" t="n"/>
      <c r="E841" s="67" t="n"/>
      <c r="F841" s="67" t="n"/>
      <c r="G841" s="67" t="n"/>
      <c r="H841" s="67" t="n"/>
      <c r="I841" s="67" t="n"/>
      <c r="J841" s="67" t="n"/>
    </row>
    <row r="842" ht="18" customHeight="1" s="104">
      <c r="A842" s="68" t="n"/>
      <c r="B842" s="68" t="n"/>
      <c r="C842" s="68" t="n"/>
      <c r="D842" s="67" t="n"/>
      <c r="E842" s="67" t="n"/>
      <c r="F842" s="67" t="n"/>
      <c r="G842" s="67" t="n"/>
      <c r="H842" s="67" t="n"/>
      <c r="I842" s="67" t="n"/>
      <c r="J842" s="67" t="n"/>
    </row>
    <row r="843" ht="18" customHeight="1" s="104">
      <c r="A843" s="68" t="n"/>
      <c r="B843" s="68" t="n"/>
      <c r="C843" s="68" t="n"/>
      <c r="D843" s="67" t="n"/>
      <c r="E843" s="67" t="n"/>
      <c r="F843" s="67" t="n"/>
      <c r="G843" s="67" t="n"/>
      <c r="H843" s="67" t="n"/>
      <c r="I843" s="67" t="n"/>
      <c r="J843" s="67" t="n"/>
    </row>
    <row r="844" ht="18" customHeight="1" s="104">
      <c r="A844" s="68" t="n"/>
      <c r="B844" s="68" t="n"/>
      <c r="C844" s="68" t="n"/>
      <c r="D844" s="67" t="n"/>
      <c r="E844" s="67" t="n"/>
      <c r="F844" s="67" t="n"/>
      <c r="G844" s="67" t="n"/>
      <c r="H844" s="67" t="n"/>
      <c r="I844" s="67" t="n"/>
      <c r="J844" s="67" t="n"/>
    </row>
    <row r="845" ht="18" customHeight="1" s="104">
      <c r="A845" s="68" t="n"/>
      <c r="B845" s="68" t="n"/>
      <c r="C845" s="68" t="n"/>
      <c r="D845" s="67" t="n"/>
      <c r="E845" s="67" t="n"/>
      <c r="F845" s="67" t="n"/>
      <c r="G845" s="67" t="n"/>
      <c r="H845" s="67" t="n"/>
      <c r="I845" s="67" t="n"/>
      <c r="J845" s="67" t="n"/>
    </row>
    <row r="846" ht="18" customHeight="1" s="104">
      <c r="A846" s="68" t="n"/>
      <c r="B846" s="68" t="n"/>
      <c r="C846" s="68" t="n"/>
      <c r="D846" s="67" t="n"/>
      <c r="E846" s="67" t="n"/>
      <c r="F846" s="67" t="n"/>
      <c r="G846" s="67" t="n"/>
      <c r="H846" s="67" t="n"/>
      <c r="I846" s="67" t="n"/>
      <c r="J846" s="67" t="n"/>
    </row>
    <row r="847" ht="18" customHeight="1" s="104">
      <c r="A847" s="68" t="n"/>
      <c r="B847" s="68" t="n"/>
      <c r="C847" s="68" t="n"/>
      <c r="D847" s="67" t="n"/>
      <c r="E847" s="67" t="n"/>
      <c r="F847" s="67" t="n"/>
      <c r="G847" s="67" t="n"/>
      <c r="H847" s="67" t="n"/>
      <c r="I847" s="67" t="n"/>
      <c r="J847" s="67" t="n"/>
    </row>
    <row r="848" ht="18" customHeight="1" s="104">
      <c r="A848" s="68" t="n"/>
      <c r="B848" s="68" t="n"/>
      <c r="C848" s="68" t="n"/>
      <c r="D848" s="67" t="n"/>
      <c r="E848" s="67" t="n"/>
      <c r="F848" s="67" t="n"/>
      <c r="G848" s="67" t="n"/>
      <c r="H848" s="67" t="n"/>
      <c r="I848" s="67" t="n"/>
      <c r="J848" s="67" t="n"/>
    </row>
    <row r="849" ht="18" customHeight="1" s="104">
      <c r="A849" s="68" t="n"/>
      <c r="B849" s="68" t="n"/>
      <c r="C849" s="68" t="n"/>
      <c r="D849" s="67" t="n"/>
      <c r="E849" s="67" t="n"/>
      <c r="F849" s="67" t="n"/>
      <c r="G849" s="67" t="n"/>
      <c r="H849" s="67" t="n"/>
      <c r="I849" s="67" t="n"/>
      <c r="J849" s="67" t="n"/>
    </row>
    <row r="850" ht="18" customHeight="1" s="104">
      <c r="A850" s="68" t="n"/>
      <c r="B850" s="68" t="n"/>
      <c r="C850" s="68" t="n"/>
      <c r="D850" s="67" t="n"/>
      <c r="E850" s="67" t="n"/>
      <c r="F850" s="67" t="n"/>
      <c r="G850" s="67" t="n"/>
      <c r="H850" s="67" t="n"/>
      <c r="I850" s="67" t="n"/>
      <c r="J850" s="67" t="n"/>
    </row>
    <row r="851" ht="18" customHeight="1" s="104">
      <c r="A851" s="68" t="n"/>
      <c r="B851" s="68" t="n"/>
      <c r="C851" s="68" t="n"/>
      <c r="D851" s="67" t="n"/>
      <c r="E851" s="67" t="n"/>
      <c r="F851" s="67" t="n"/>
      <c r="G851" s="67" t="n"/>
      <c r="H851" s="67" t="n"/>
      <c r="I851" s="67" t="n"/>
      <c r="J851" s="67" t="n"/>
    </row>
    <row r="852" ht="18" customHeight="1" s="104">
      <c r="A852" s="68" t="n"/>
      <c r="B852" s="68" t="n"/>
      <c r="C852" s="68" t="n"/>
      <c r="D852" s="67" t="n"/>
      <c r="E852" s="67" t="n"/>
      <c r="F852" s="67" t="n"/>
      <c r="G852" s="67" t="n"/>
      <c r="H852" s="67" t="n"/>
      <c r="I852" s="67" t="n"/>
      <c r="J852" s="67" t="n"/>
    </row>
    <row r="853" ht="18" customHeight="1" s="104">
      <c r="A853" s="68" t="n"/>
      <c r="B853" s="68" t="n"/>
      <c r="C853" s="68" t="n"/>
      <c r="D853" s="67" t="n"/>
      <c r="E853" s="67" t="n"/>
      <c r="F853" s="67" t="n"/>
      <c r="G853" s="67" t="n"/>
      <c r="H853" s="67" t="n"/>
      <c r="I853" s="67" t="n"/>
      <c r="J853" s="67" t="n"/>
    </row>
    <row r="854" ht="18" customHeight="1" s="104">
      <c r="A854" s="68" t="n"/>
      <c r="B854" s="68" t="n"/>
      <c r="C854" s="68" t="n"/>
      <c r="D854" s="67" t="n"/>
      <c r="E854" s="67" t="n"/>
      <c r="F854" s="67" t="n"/>
      <c r="G854" s="67" t="n"/>
      <c r="H854" s="67" t="n"/>
      <c r="I854" s="67" t="n"/>
      <c r="J854" s="67" t="n"/>
    </row>
    <row r="855" ht="18" customHeight="1" s="104">
      <c r="A855" s="68" t="n"/>
      <c r="B855" s="68" t="n"/>
      <c r="C855" s="68" t="n"/>
      <c r="D855" s="67" t="n"/>
      <c r="E855" s="67" t="n"/>
      <c r="F855" s="67" t="n"/>
      <c r="G855" s="67" t="n"/>
      <c r="H855" s="67" t="n"/>
      <c r="I855" s="67" t="n"/>
      <c r="J855" s="67" t="n"/>
    </row>
    <row r="856" ht="18" customHeight="1" s="104">
      <c r="A856" s="68" t="n"/>
      <c r="B856" s="68" t="n"/>
      <c r="C856" s="68" t="n"/>
      <c r="D856" s="67" t="n"/>
      <c r="E856" s="67" t="n"/>
      <c r="F856" s="67" t="n"/>
      <c r="G856" s="67" t="n"/>
      <c r="H856" s="67" t="n"/>
      <c r="I856" s="67" t="n"/>
      <c r="J856" s="67" t="n"/>
    </row>
    <row r="857" ht="18" customHeight="1" s="104">
      <c r="A857" s="68" t="n"/>
      <c r="B857" s="68" t="n"/>
      <c r="C857" s="68" t="n"/>
      <c r="D857" s="67" t="n"/>
      <c r="E857" s="67" t="n"/>
      <c r="F857" s="67" t="n"/>
      <c r="G857" s="67" t="n"/>
      <c r="H857" s="67" t="n"/>
      <c r="I857" s="67" t="n"/>
      <c r="J857" s="67" t="n"/>
    </row>
    <row r="858" ht="18" customHeight="1" s="104">
      <c r="A858" s="68" t="n"/>
      <c r="B858" s="68" t="n"/>
      <c r="C858" s="68" t="n"/>
      <c r="D858" s="67" t="n"/>
      <c r="E858" s="67" t="n"/>
      <c r="F858" s="67" t="n"/>
      <c r="G858" s="67" t="n"/>
      <c r="H858" s="67" t="n"/>
      <c r="I858" s="67" t="n"/>
      <c r="J858" s="67" t="n"/>
    </row>
    <row r="859" ht="18" customHeight="1" s="104">
      <c r="A859" s="68" t="n"/>
      <c r="B859" s="68" t="n"/>
      <c r="C859" s="68" t="n"/>
      <c r="D859" s="67" t="n"/>
      <c r="E859" s="67" t="n"/>
      <c r="F859" s="67" t="n"/>
      <c r="G859" s="67" t="n"/>
      <c r="H859" s="67" t="n"/>
      <c r="I859" s="67" t="n"/>
      <c r="J859" s="67" t="n"/>
    </row>
    <row r="860" ht="18" customHeight="1" s="104">
      <c r="A860" s="68" t="n"/>
      <c r="B860" s="68" t="n"/>
      <c r="C860" s="68" t="n"/>
      <c r="D860" s="67" t="n"/>
      <c r="E860" s="67" t="n"/>
      <c r="F860" s="67" t="n"/>
      <c r="G860" s="67" t="n"/>
      <c r="H860" s="67" t="n"/>
      <c r="I860" s="67" t="n"/>
      <c r="J860" s="67" t="n"/>
    </row>
    <row r="861" ht="18" customHeight="1" s="104">
      <c r="A861" s="68" t="n"/>
      <c r="B861" s="68" t="n"/>
      <c r="C861" s="68" t="n"/>
      <c r="D861" s="67" t="n"/>
      <c r="E861" s="67" t="n"/>
      <c r="F861" s="67" t="n"/>
      <c r="G861" s="67" t="n"/>
      <c r="H861" s="67" t="n"/>
      <c r="I861" s="67" t="n"/>
      <c r="J861" s="67" t="n"/>
    </row>
    <row r="862" ht="18" customHeight="1" s="104">
      <c r="A862" s="68" t="n"/>
      <c r="B862" s="68" t="n"/>
      <c r="C862" s="68" t="n"/>
      <c r="D862" s="67" t="n"/>
      <c r="E862" s="67" t="n"/>
      <c r="F862" s="67" t="n"/>
      <c r="G862" s="67" t="n"/>
      <c r="H862" s="67" t="n"/>
      <c r="I862" s="67" t="n"/>
      <c r="J862" s="67" t="n"/>
    </row>
    <row r="863" ht="18" customHeight="1" s="104">
      <c r="A863" s="68" t="n"/>
      <c r="B863" s="68" t="n"/>
      <c r="C863" s="68" t="n"/>
      <c r="D863" s="67" t="n"/>
      <c r="E863" s="67" t="n"/>
      <c r="F863" s="67" t="n"/>
      <c r="G863" s="67" t="n"/>
      <c r="H863" s="67" t="n"/>
      <c r="I863" s="67" t="n"/>
      <c r="J863" s="67" t="n"/>
    </row>
    <row r="864" ht="18" customHeight="1" s="104">
      <c r="A864" s="68" t="n"/>
      <c r="B864" s="68" t="n"/>
      <c r="C864" s="68" t="n"/>
      <c r="D864" s="67" t="n"/>
      <c r="E864" s="67" t="n"/>
      <c r="F864" s="67" t="n"/>
      <c r="G864" s="67" t="n"/>
      <c r="H864" s="67" t="n"/>
      <c r="I864" s="67" t="n"/>
      <c r="J864" s="67" t="n"/>
    </row>
    <row r="865" ht="18" customHeight="1" s="104">
      <c r="A865" s="68" t="n"/>
      <c r="B865" s="68" t="n"/>
      <c r="C865" s="68" t="n"/>
      <c r="D865" s="67" t="n"/>
      <c r="E865" s="67" t="n"/>
      <c r="F865" s="67" t="n"/>
      <c r="G865" s="67" t="n"/>
      <c r="H865" s="67" t="n"/>
      <c r="I865" s="67" t="n"/>
      <c r="J865" s="67" t="n"/>
    </row>
    <row r="866" ht="18" customHeight="1" s="104">
      <c r="A866" s="68" t="n"/>
      <c r="B866" s="68" t="n"/>
      <c r="C866" s="68" t="n"/>
      <c r="D866" s="67" t="n"/>
      <c r="E866" s="67" t="n"/>
      <c r="F866" s="67" t="n"/>
      <c r="G866" s="67" t="n"/>
      <c r="H866" s="67" t="n"/>
      <c r="I866" s="67" t="n"/>
      <c r="J866" s="67" t="n"/>
    </row>
    <row r="867" ht="18" customHeight="1" s="104">
      <c r="A867" s="68" t="n"/>
      <c r="B867" s="68" t="n"/>
      <c r="C867" s="68" t="n"/>
      <c r="D867" s="67" t="n"/>
      <c r="E867" s="67" t="n"/>
      <c r="F867" s="67" t="n"/>
      <c r="G867" s="67" t="n"/>
      <c r="H867" s="67" t="n"/>
      <c r="I867" s="67" t="n"/>
      <c r="J867" s="67" t="n"/>
    </row>
    <row r="868" ht="18" customHeight="1" s="104">
      <c r="A868" s="68" t="n"/>
      <c r="B868" s="68" t="n"/>
      <c r="C868" s="68" t="n"/>
      <c r="D868" s="67" t="n"/>
      <c r="E868" s="67" t="n"/>
      <c r="F868" s="67" t="n"/>
      <c r="G868" s="67" t="n"/>
      <c r="H868" s="67" t="n"/>
      <c r="I868" s="67" t="n"/>
      <c r="J868" s="67" t="n"/>
    </row>
    <row r="869" ht="18" customHeight="1" s="104">
      <c r="A869" s="68" t="n"/>
      <c r="B869" s="68" t="n"/>
      <c r="C869" s="68" t="n"/>
      <c r="D869" s="67" t="n"/>
      <c r="E869" s="67" t="n"/>
      <c r="F869" s="67" t="n"/>
      <c r="G869" s="67" t="n"/>
      <c r="H869" s="67" t="n"/>
      <c r="I869" s="67" t="n"/>
      <c r="J869" s="67" t="n"/>
    </row>
    <row r="870" ht="18" customHeight="1" s="104">
      <c r="A870" s="68" t="n"/>
      <c r="B870" s="68" t="n"/>
      <c r="C870" s="68" t="n"/>
      <c r="D870" s="67" t="n"/>
      <c r="E870" s="67" t="n"/>
      <c r="F870" s="67" t="n"/>
      <c r="G870" s="67" t="n"/>
      <c r="H870" s="67" t="n"/>
      <c r="I870" s="67" t="n"/>
      <c r="J870" s="67" t="n"/>
    </row>
    <row r="871" ht="18" customHeight="1" s="104">
      <c r="A871" s="68" t="n"/>
      <c r="B871" s="68" t="n"/>
      <c r="C871" s="68" t="n"/>
      <c r="D871" s="67" t="n"/>
      <c r="E871" s="67" t="n"/>
      <c r="F871" s="67" t="n"/>
      <c r="G871" s="67" t="n"/>
      <c r="H871" s="67" t="n"/>
      <c r="I871" s="67" t="n"/>
      <c r="J871" s="67" t="n"/>
    </row>
    <row r="872" ht="18" customHeight="1" s="104">
      <c r="A872" s="68" t="n"/>
      <c r="B872" s="68" t="n"/>
      <c r="C872" s="68" t="n"/>
      <c r="D872" s="67" t="n"/>
      <c r="E872" s="67" t="n"/>
      <c r="F872" s="67" t="n"/>
      <c r="G872" s="67" t="n"/>
      <c r="H872" s="67" t="n"/>
      <c r="I872" s="67" t="n"/>
      <c r="J872" s="67" t="n"/>
    </row>
    <row r="873" ht="18" customHeight="1" s="104">
      <c r="A873" s="68" t="n"/>
      <c r="B873" s="68" t="n"/>
      <c r="C873" s="68" t="n"/>
      <c r="D873" s="67" t="n"/>
      <c r="E873" s="67" t="n"/>
      <c r="F873" s="67" t="n"/>
      <c r="G873" s="67" t="n"/>
      <c r="H873" s="67" t="n"/>
      <c r="I873" s="67" t="n"/>
      <c r="J873" s="67" t="n"/>
    </row>
    <row r="874" ht="18" customHeight="1" s="104">
      <c r="A874" s="68" t="n"/>
      <c r="B874" s="68" t="n"/>
      <c r="C874" s="68" t="n"/>
      <c r="D874" s="67" t="n"/>
      <c r="E874" s="67" t="n"/>
      <c r="F874" s="67" t="n"/>
      <c r="G874" s="67" t="n"/>
      <c r="H874" s="67" t="n"/>
      <c r="I874" s="67" t="n"/>
      <c r="J874" s="67" t="n"/>
    </row>
    <row r="875" ht="18" customHeight="1" s="104">
      <c r="A875" s="68" t="n"/>
      <c r="B875" s="68" t="n"/>
      <c r="C875" s="68" t="n"/>
      <c r="D875" s="67" t="n"/>
      <c r="E875" s="67" t="n"/>
      <c r="F875" s="67" t="n"/>
      <c r="G875" s="67" t="n"/>
      <c r="H875" s="67" t="n"/>
      <c r="I875" s="67" t="n"/>
      <c r="J875" s="67" t="n"/>
    </row>
    <row r="876" ht="18" customHeight="1" s="104">
      <c r="A876" s="68" t="n"/>
      <c r="B876" s="68" t="n"/>
      <c r="C876" s="68" t="n"/>
      <c r="D876" s="67" t="n"/>
      <c r="E876" s="67" t="n"/>
      <c r="F876" s="67" t="n"/>
      <c r="G876" s="67" t="n"/>
      <c r="H876" s="67" t="n"/>
      <c r="I876" s="67" t="n"/>
      <c r="J876" s="67" t="n"/>
    </row>
    <row r="877" ht="18" customHeight="1" s="104">
      <c r="A877" s="68" t="n"/>
      <c r="B877" s="68" t="n"/>
      <c r="C877" s="68" t="n"/>
      <c r="D877" s="67" t="n"/>
      <c r="E877" s="67" t="n"/>
      <c r="F877" s="67" t="n"/>
      <c r="G877" s="67" t="n"/>
      <c r="H877" s="67" t="n"/>
      <c r="I877" s="67" t="n"/>
      <c r="J877" s="67" t="n"/>
    </row>
    <row r="878" ht="18" customHeight="1" s="104">
      <c r="A878" s="68" t="n"/>
      <c r="B878" s="68" t="n"/>
      <c r="C878" s="68" t="n"/>
      <c r="D878" s="67" t="n"/>
      <c r="E878" s="67" t="n"/>
      <c r="F878" s="67" t="n"/>
      <c r="G878" s="67" t="n"/>
      <c r="H878" s="67" t="n"/>
      <c r="I878" s="67" t="n"/>
      <c r="J878" s="67" t="n"/>
    </row>
    <row r="879" ht="18" customHeight="1" s="104">
      <c r="A879" s="68" t="n"/>
      <c r="B879" s="68" t="n"/>
      <c r="C879" s="68" t="n"/>
      <c r="D879" s="67" t="n"/>
      <c r="E879" s="67" t="n"/>
      <c r="F879" s="67" t="n"/>
      <c r="G879" s="67" t="n"/>
      <c r="H879" s="67" t="n"/>
      <c r="I879" s="67" t="n"/>
      <c r="J879" s="67" t="n"/>
    </row>
    <row r="880" ht="18" customHeight="1" s="104">
      <c r="A880" s="68" t="n"/>
      <c r="B880" s="68" t="n"/>
      <c r="C880" s="68" t="n"/>
      <c r="D880" s="67" t="n"/>
      <c r="E880" s="67" t="n"/>
      <c r="F880" s="67" t="n"/>
      <c r="G880" s="67" t="n"/>
      <c r="H880" s="67" t="n"/>
      <c r="I880" s="67" t="n"/>
      <c r="J880" s="67" t="n"/>
    </row>
    <row r="881" ht="18" customHeight="1" s="104">
      <c r="A881" s="68" t="n"/>
      <c r="B881" s="68" t="n"/>
      <c r="C881" s="68" t="n"/>
      <c r="D881" s="67" t="n"/>
      <c r="E881" s="67" t="n"/>
      <c r="F881" s="67" t="n"/>
      <c r="G881" s="67" t="n"/>
      <c r="H881" s="67" t="n"/>
      <c r="I881" s="67" t="n"/>
      <c r="J881" s="67" t="n"/>
    </row>
    <row r="882" ht="18" customHeight="1" s="104">
      <c r="A882" s="68" t="n"/>
      <c r="B882" s="68" t="n"/>
      <c r="C882" s="68" t="n"/>
      <c r="D882" s="67" t="n"/>
      <c r="E882" s="67" t="n"/>
      <c r="F882" s="67" t="n"/>
      <c r="G882" s="67" t="n"/>
      <c r="H882" s="67" t="n"/>
      <c r="I882" s="67" t="n"/>
      <c r="J882" s="67" t="n"/>
    </row>
    <row r="883" ht="18" customHeight="1" s="104">
      <c r="A883" s="68" t="n"/>
      <c r="B883" s="68" t="n"/>
      <c r="C883" s="68" t="n"/>
      <c r="D883" s="67" t="n"/>
      <c r="E883" s="67" t="n"/>
      <c r="F883" s="67" t="n"/>
      <c r="G883" s="67" t="n"/>
      <c r="H883" s="67" t="n"/>
      <c r="I883" s="67" t="n"/>
      <c r="J883" s="67" t="n"/>
    </row>
    <row r="884" ht="18" customHeight="1" s="104">
      <c r="A884" s="68" t="n"/>
      <c r="B884" s="68" t="n"/>
      <c r="C884" s="68" t="n"/>
      <c r="D884" s="67" t="n"/>
      <c r="E884" s="67" t="n"/>
      <c r="F884" s="67" t="n"/>
      <c r="G884" s="67" t="n"/>
      <c r="H884" s="67" t="n"/>
      <c r="I884" s="67" t="n"/>
      <c r="J884" s="67" t="n"/>
    </row>
    <row r="885" ht="18" customHeight="1" s="104">
      <c r="A885" s="68" t="n"/>
      <c r="B885" s="68" t="n"/>
      <c r="C885" s="68" t="n"/>
      <c r="D885" s="67" t="n"/>
      <c r="E885" s="67" t="n"/>
      <c r="F885" s="67" t="n"/>
      <c r="G885" s="67" t="n"/>
      <c r="H885" s="67" t="n"/>
      <c r="I885" s="67" t="n"/>
      <c r="J885" s="67" t="n"/>
    </row>
    <row r="886" ht="18" customHeight="1" s="104">
      <c r="A886" s="68" t="n"/>
      <c r="B886" s="68" t="n"/>
      <c r="C886" s="68" t="n"/>
      <c r="D886" s="67" t="n"/>
      <c r="E886" s="67" t="n"/>
      <c r="F886" s="67" t="n"/>
      <c r="G886" s="67" t="n"/>
      <c r="H886" s="67" t="n"/>
      <c r="I886" s="67" t="n"/>
      <c r="J886" s="67" t="n"/>
    </row>
    <row r="887" ht="18" customHeight="1" s="104">
      <c r="A887" s="68" t="n"/>
      <c r="B887" s="68" t="n"/>
      <c r="C887" s="68" t="n"/>
      <c r="D887" s="67" t="n"/>
      <c r="E887" s="67" t="n"/>
      <c r="F887" s="67" t="n"/>
      <c r="G887" s="67" t="n"/>
      <c r="H887" s="67" t="n"/>
      <c r="I887" s="67" t="n"/>
      <c r="J887" s="67" t="n"/>
    </row>
    <row r="888" ht="18" customHeight="1" s="104">
      <c r="A888" s="68" t="n"/>
      <c r="B888" s="68" t="n"/>
      <c r="C888" s="68" t="n"/>
      <c r="D888" s="67" t="n"/>
      <c r="E888" s="67" t="n"/>
      <c r="F888" s="67" t="n"/>
      <c r="G888" s="67" t="n"/>
      <c r="H888" s="67" t="n"/>
      <c r="I888" s="67" t="n"/>
      <c r="J888" s="67" t="n"/>
    </row>
    <row r="889" ht="18" customHeight="1" s="104">
      <c r="A889" s="68" t="n"/>
      <c r="B889" s="68" t="n"/>
      <c r="C889" s="68" t="n"/>
      <c r="D889" s="67" t="n"/>
      <c r="E889" s="67" t="n"/>
      <c r="F889" s="67" t="n"/>
      <c r="G889" s="67" t="n"/>
      <c r="H889" s="67" t="n"/>
      <c r="I889" s="67" t="n"/>
      <c r="J889" s="67" t="n"/>
    </row>
    <row r="890" ht="18" customHeight="1" s="104">
      <c r="A890" s="68" t="n"/>
      <c r="B890" s="68" t="n"/>
      <c r="C890" s="68" t="n"/>
      <c r="D890" s="67" t="n"/>
      <c r="E890" s="67" t="n"/>
      <c r="F890" s="67" t="n"/>
      <c r="G890" s="67" t="n"/>
      <c r="H890" s="67" t="n"/>
      <c r="I890" s="67" t="n"/>
      <c r="J890" s="67" t="n"/>
    </row>
    <row r="891" ht="18" customHeight="1" s="104">
      <c r="A891" s="68" t="n"/>
      <c r="B891" s="68" t="n"/>
      <c r="C891" s="68" t="n"/>
      <c r="D891" s="67" t="n"/>
      <c r="E891" s="67" t="n"/>
      <c r="F891" s="67" t="n"/>
      <c r="G891" s="67" t="n"/>
      <c r="H891" s="67" t="n"/>
      <c r="I891" s="67" t="n"/>
      <c r="J891" s="67" t="n"/>
    </row>
    <row r="892" ht="18" customHeight="1" s="104">
      <c r="A892" s="68" t="n"/>
      <c r="B892" s="68" t="n"/>
      <c r="C892" s="68" t="n"/>
      <c r="D892" s="67" t="n"/>
      <c r="E892" s="67" t="n"/>
      <c r="F892" s="67" t="n"/>
      <c r="G892" s="67" t="n"/>
      <c r="H892" s="67" t="n"/>
      <c r="I892" s="67" t="n"/>
      <c r="J892" s="67" t="n"/>
    </row>
    <row r="893" ht="18" customHeight="1" s="104">
      <c r="A893" s="68" t="n"/>
      <c r="B893" s="68" t="n"/>
      <c r="C893" s="68" t="n"/>
      <c r="D893" s="67" t="n"/>
      <c r="E893" s="67" t="n"/>
      <c r="F893" s="67" t="n"/>
      <c r="G893" s="67" t="n"/>
      <c r="H893" s="67" t="n"/>
      <c r="I893" s="67" t="n"/>
      <c r="J893" s="67" t="n"/>
    </row>
    <row r="894" ht="18" customHeight="1" s="104">
      <c r="A894" s="68" t="n"/>
      <c r="B894" s="68" t="n"/>
      <c r="C894" s="68" t="n"/>
      <c r="D894" s="67" t="n"/>
      <c r="E894" s="67" t="n"/>
      <c r="F894" s="67" t="n"/>
      <c r="G894" s="67" t="n"/>
      <c r="H894" s="67" t="n"/>
      <c r="I894" s="67" t="n"/>
      <c r="J894" s="67" t="n"/>
    </row>
    <row r="895" ht="18" customHeight="1" s="104">
      <c r="A895" s="68" t="n"/>
      <c r="B895" s="68" t="n"/>
      <c r="C895" s="68" t="n"/>
      <c r="D895" s="67" t="n"/>
      <c r="E895" s="67" t="n"/>
      <c r="F895" s="67" t="n"/>
      <c r="G895" s="67" t="n"/>
      <c r="H895" s="67" t="n"/>
      <c r="I895" s="67" t="n"/>
      <c r="J895" s="67" t="n"/>
    </row>
    <row r="896" ht="18" customHeight="1" s="104">
      <c r="A896" s="68" t="n"/>
      <c r="B896" s="68" t="n"/>
      <c r="C896" s="68" t="n"/>
      <c r="D896" s="67" t="n"/>
      <c r="E896" s="67" t="n"/>
      <c r="F896" s="67" t="n"/>
      <c r="G896" s="67" t="n"/>
      <c r="H896" s="67" t="n"/>
      <c r="I896" s="67" t="n"/>
      <c r="J896" s="67" t="n"/>
    </row>
    <row r="897" ht="18" customHeight="1" s="104">
      <c r="A897" s="68" t="n"/>
      <c r="B897" s="68" t="n"/>
      <c r="C897" s="68" t="n"/>
      <c r="D897" s="67" t="n"/>
      <c r="E897" s="67" t="n"/>
      <c r="F897" s="67" t="n"/>
      <c r="G897" s="67" t="n"/>
      <c r="H897" s="67" t="n"/>
      <c r="I897" s="67" t="n"/>
      <c r="J897" s="67" t="n"/>
    </row>
    <row r="898" ht="18" customHeight="1" s="104">
      <c r="A898" s="68" t="n"/>
      <c r="B898" s="68" t="n"/>
      <c r="C898" s="68" t="n"/>
      <c r="D898" s="67" t="n"/>
      <c r="E898" s="67" t="n"/>
      <c r="F898" s="67" t="n"/>
      <c r="G898" s="67" t="n"/>
      <c r="H898" s="67" t="n"/>
      <c r="I898" s="67" t="n"/>
      <c r="J898" s="67" t="n"/>
    </row>
    <row r="899" ht="18" customHeight="1" s="104">
      <c r="A899" s="68" t="n"/>
      <c r="B899" s="68" t="n"/>
      <c r="C899" s="68" t="n"/>
      <c r="D899" s="67" t="n"/>
      <c r="E899" s="67" t="n"/>
      <c r="F899" s="67" t="n"/>
      <c r="G899" s="67" t="n"/>
      <c r="H899" s="67" t="n"/>
      <c r="I899" s="67" t="n"/>
      <c r="J899" s="67" t="n"/>
    </row>
    <row r="900" ht="18" customHeight="1" s="104">
      <c r="A900" s="68" t="n"/>
      <c r="B900" s="68" t="n"/>
      <c r="C900" s="68" t="n"/>
      <c r="D900" s="67" t="n"/>
      <c r="E900" s="67" t="n"/>
      <c r="F900" s="67" t="n"/>
      <c r="G900" s="67" t="n"/>
      <c r="H900" s="67" t="n"/>
      <c r="I900" s="67" t="n"/>
      <c r="J900" s="67" t="n"/>
    </row>
    <row r="901" ht="18" customHeight="1" s="104">
      <c r="A901" s="68" t="n"/>
      <c r="B901" s="68" t="n"/>
      <c r="C901" s="68" t="n"/>
      <c r="D901" s="67" t="n"/>
      <c r="E901" s="67" t="n"/>
      <c r="F901" s="67" t="n"/>
      <c r="G901" s="67" t="n"/>
      <c r="H901" s="67" t="n"/>
      <c r="I901" s="67" t="n"/>
      <c r="J901" s="67" t="n"/>
    </row>
    <row r="902" ht="18" customHeight="1" s="104">
      <c r="A902" s="68" t="n"/>
      <c r="B902" s="68" t="n"/>
      <c r="C902" s="68" t="n"/>
      <c r="D902" s="67" t="n"/>
      <c r="E902" s="67" t="n"/>
      <c r="F902" s="67" t="n"/>
      <c r="G902" s="67" t="n"/>
      <c r="H902" s="67" t="n"/>
      <c r="I902" s="67" t="n"/>
      <c r="J902" s="67" t="n"/>
    </row>
    <row r="903" ht="18" customHeight="1" s="104">
      <c r="A903" s="68" t="n"/>
      <c r="B903" s="68" t="n"/>
      <c r="C903" s="68" t="n"/>
      <c r="D903" s="67" t="n"/>
      <c r="E903" s="67" t="n"/>
      <c r="F903" s="67" t="n"/>
      <c r="G903" s="67" t="n"/>
      <c r="H903" s="67" t="n"/>
      <c r="I903" s="67" t="n"/>
      <c r="J903" s="67" t="n"/>
    </row>
    <row r="904" ht="18" customHeight="1" s="104">
      <c r="A904" s="68" t="n"/>
      <c r="B904" s="68" t="n"/>
      <c r="C904" s="68" t="n"/>
      <c r="D904" s="67" t="n"/>
      <c r="E904" s="67" t="n"/>
      <c r="F904" s="67" t="n"/>
      <c r="G904" s="67" t="n"/>
      <c r="H904" s="67" t="n"/>
      <c r="I904" s="67" t="n"/>
      <c r="J904" s="67" t="n"/>
    </row>
    <row r="905" ht="18" customHeight="1" s="104">
      <c r="A905" s="68" t="n"/>
      <c r="B905" s="68" t="n"/>
      <c r="C905" s="68" t="n"/>
      <c r="D905" s="67" t="n"/>
      <c r="E905" s="67" t="n"/>
      <c r="F905" s="67" t="n"/>
      <c r="G905" s="67" t="n"/>
      <c r="H905" s="67" t="n"/>
      <c r="I905" s="67" t="n"/>
      <c r="J905" s="67" t="n"/>
    </row>
    <row r="906" ht="18" customHeight="1" s="104">
      <c r="A906" s="68" t="n"/>
      <c r="B906" s="68" t="n"/>
      <c r="C906" s="68" t="n"/>
      <c r="D906" s="67" t="n"/>
      <c r="E906" s="67" t="n"/>
      <c r="F906" s="67" t="n"/>
      <c r="G906" s="67" t="n"/>
      <c r="H906" s="67" t="n"/>
      <c r="I906" s="67" t="n"/>
      <c r="J906" s="67" t="n"/>
    </row>
    <row r="907" ht="18" customHeight="1" s="104">
      <c r="A907" s="68" t="n"/>
      <c r="B907" s="68" t="n"/>
      <c r="C907" s="68" t="n"/>
      <c r="D907" s="67" t="n"/>
      <c r="E907" s="67" t="n"/>
      <c r="F907" s="67" t="n"/>
      <c r="G907" s="67" t="n"/>
      <c r="H907" s="67" t="n"/>
      <c r="I907" s="67" t="n"/>
      <c r="J907" s="67" t="n"/>
    </row>
    <row r="908" ht="18" customHeight="1" s="104">
      <c r="A908" s="68" t="n"/>
      <c r="B908" s="68" t="n"/>
      <c r="C908" s="68" t="n"/>
      <c r="D908" s="67" t="n"/>
      <c r="E908" s="67" t="n"/>
      <c r="F908" s="67" t="n"/>
      <c r="G908" s="67" t="n"/>
      <c r="H908" s="67" t="n"/>
      <c r="I908" s="67" t="n"/>
      <c r="J908" s="67" t="n"/>
    </row>
    <row r="909" ht="18" customHeight="1" s="104">
      <c r="A909" s="68" t="n"/>
      <c r="B909" s="68" t="n"/>
      <c r="C909" s="68" t="n"/>
      <c r="D909" s="67" t="n"/>
      <c r="E909" s="67" t="n"/>
      <c r="F909" s="67" t="n"/>
      <c r="G909" s="67" t="n"/>
      <c r="H909" s="67" t="n"/>
      <c r="I909" s="67" t="n"/>
      <c r="J909" s="67" t="n"/>
    </row>
    <row r="910" ht="18" customHeight="1" s="104">
      <c r="A910" s="68" t="n"/>
      <c r="B910" s="68" t="n"/>
      <c r="C910" s="68" t="n"/>
      <c r="D910" s="67" t="n"/>
      <c r="E910" s="67" t="n"/>
      <c r="F910" s="67" t="n"/>
      <c r="G910" s="67" t="n"/>
      <c r="H910" s="67" t="n"/>
      <c r="I910" s="67" t="n"/>
      <c r="J910" s="67" t="n"/>
    </row>
    <row r="911" ht="18" customHeight="1" s="104">
      <c r="A911" s="68" t="n"/>
      <c r="B911" s="68" t="n"/>
      <c r="C911" s="68" t="n"/>
      <c r="D911" s="67" t="n"/>
      <c r="E911" s="67" t="n"/>
      <c r="F911" s="67" t="n"/>
      <c r="G911" s="67" t="n"/>
      <c r="H911" s="67" t="n"/>
      <c r="I911" s="67" t="n"/>
      <c r="J911" s="67" t="n"/>
    </row>
    <row r="912" ht="18" customHeight="1" s="104">
      <c r="A912" s="68" t="n"/>
      <c r="B912" s="68" t="n"/>
      <c r="C912" s="68" t="n"/>
      <c r="D912" s="67" t="n"/>
      <c r="E912" s="67" t="n"/>
      <c r="F912" s="67" t="n"/>
      <c r="G912" s="67" t="n"/>
      <c r="H912" s="67" t="n"/>
      <c r="I912" s="67" t="n"/>
      <c r="J912" s="67" t="n"/>
    </row>
    <row r="913" ht="18" customHeight="1" s="104">
      <c r="A913" s="68" t="n"/>
      <c r="B913" s="68" t="n"/>
      <c r="C913" s="68" t="n"/>
      <c r="D913" s="67" t="n"/>
      <c r="E913" s="67" t="n"/>
      <c r="F913" s="67" t="n"/>
      <c r="G913" s="67" t="n"/>
      <c r="H913" s="67" t="n"/>
      <c r="I913" s="67" t="n"/>
      <c r="J913" s="67" t="n"/>
    </row>
    <row r="914" ht="18" customHeight="1" s="104">
      <c r="A914" s="68" t="n"/>
      <c r="B914" s="68" t="n"/>
      <c r="C914" s="68" t="n"/>
      <c r="D914" s="67" t="n"/>
      <c r="E914" s="67" t="n"/>
      <c r="F914" s="67" t="n"/>
      <c r="G914" s="67" t="n"/>
      <c r="H914" s="67" t="n"/>
      <c r="I914" s="67" t="n"/>
      <c r="J914" s="67" t="n"/>
    </row>
    <row r="915" ht="18" customHeight="1" s="104">
      <c r="A915" s="68" t="n"/>
      <c r="B915" s="68" t="n"/>
      <c r="C915" s="68" t="n"/>
      <c r="D915" s="67" t="n"/>
      <c r="E915" s="67" t="n"/>
      <c r="F915" s="67" t="n"/>
      <c r="G915" s="67" t="n"/>
      <c r="H915" s="67" t="n"/>
      <c r="I915" s="67" t="n"/>
      <c r="J915" s="67" t="n"/>
    </row>
    <row r="916" ht="18" customHeight="1" s="104">
      <c r="A916" s="68" t="n"/>
      <c r="B916" s="68" t="n"/>
      <c r="C916" s="68" t="n"/>
      <c r="D916" s="67" t="n"/>
      <c r="E916" s="67" t="n"/>
      <c r="F916" s="67" t="n"/>
      <c r="G916" s="67" t="n"/>
      <c r="H916" s="67" t="n"/>
      <c r="I916" s="67" t="n"/>
      <c r="J916" s="67" t="n"/>
    </row>
    <row r="917" ht="18" customHeight="1" s="104">
      <c r="A917" s="68" t="n"/>
      <c r="B917" s="68" t="n"/>
      <c r="C917" s="68" t="n"/>
      <c r="D917" s="67" t="n"/>
      <c r="E917" s="67" t="n"/>
      <c r="F917" s="67" t="n"/>
      <c r="G917" s="67" t="n"/>
      <c r="H917" s="67" t="n"/>
      <c r="I917" s="67" t="n"/>
      <c r="J917" s="67" t="n"/>
    </row>
    <row r="918" ht="18" customHeight="1" s="104">
      <c r="A918" s="68" t="n"/>
      <c r="B918" s="68" t="n"/>
      <c r="C918" s="68" t="n"/>
      <c r="D918" s="67" t="n"/>
      <c r="E918" s="67" t="n"/>
      <c r="F918" s="67" t="n"/>
      <c r="G918" s="67" t="n"/>
      <c r="H918" s="67" t="n"/>
      <c r="I918" s="67" t="n"/>
      <c r="J918" s="67" t="n"/>
    </row>
    <row r="919" ht="18" customHeight="1" s="104">
      <c r="A919" s="68" t="n"/>
      <c r="B919" s="68" t="n"/>
      <c r="C919" s="68" t="n"/>
      <c r="D919" s="67" t="n"/>
      <c r="E919" s="67" t="n"/>
      <c r="F919" s="67" t="n"/>
      <c r="G919" s="67" t="n"/>
      <c r="H919" s="67" t="n"/>
      <c r="I919" s="67" t="n"/>
      <c r="J919" s="67" t="n"/>
    </row>
    <row r="920" ht="18" customHeight="1" s="104">
      <c r="A920" s="68" t="n"/>
      <c r="B920" s="68" t="n"/>
      <c r="C920" s="68" t="n"/>
      <c r="D920" s="67" t="n"/>
      <c r="E920" s="67" t="n"/>
      <c r="F920" s="67" t="n"/>
      <c r="G920" s="67" t="n"/>
      <c r="H920" s="67" t="n"/>
      <c r="I920" s="67" t="n"/>
      <c r="J920" s="67" t="n"/>
    </row>
    <row r="921" ht="18" customHeight="1" s="104">
      <c r="A921" s="68" t="n"/>
      <c r="B921" s="68" t="n"/>
      <c r="C921" s="68" t="n"/>
      <c r="D921" s="67" t="n"/>
      <c r="E921" s="67" t="n"/>
      <c r="F921" s="67" t="n"/>
      <c r="G921" s="67" t="n"/>
      <c r="H921" s="67" t="n"/>
      <c r="I921" s="67" t="n"/>
      <c r="J921" s="67" t="n"/>
    </row>
    <row r="922" ht="18" customHeight="1" s="104">
      <c r="A922" s="68" t="n"/>
      <c r="B922" s="68" t="n"/>
      <c r="C922" s="68" t="n"/>
      <c r="D922" s="67" t="n"/>
      <c r="E922" s="67" t="n"/>
      <c r="F922" s="67" t="n"/>
      <c r="G922" s="67" t="n"/>
      <c r="H922" s="67" t="n"/>
      <c r="I922" s="67" t="n"/>
      <c r="J922" s="67" t="n"/>
    </row>
    <row r="923" ht="18" customHeight="1" s="104">
      <c r="A923" s="68" t="n"/>
      <c r="B923" s="68" t="n"/>
      <c r="C923" s="68" t="n"/>
      <c r="D923" s="67" t="n"/>
      <c r="E923" s="67" t="n"/>
      <c r="F923" s="67" t="n"/>
      <c r="G923" s="67" t="n"/>
      <c r="H923" s="67" t="n"/>
      <c r="I923" s="67" t="n"/>
      <c r="J923" s="67" t="n"/>
    </row>
    <row r="924" ht="18" customHeight="1" s="104">
      <c r="A924" s="68" t="n"/>
      <c r="B924" s="68" t="n"/>
      <c r="C924" s="68" t="n"/>
      <c r="D924" s="67" t="n"/>
      <c r="E924" s="67" t="n"/>
      <c r="F924" s="67" t="n"/>
      <c r="G924" s="67" t="n"/>
      <c r="H924" s="67" t="n"/>
      <c r="I924" s="67" t="n"/>
      <c r="J924" s="67" t="n"/>
    </row>
    <row r="925" ht="18" customHeight="1" s="104">
      <c r="A925" s="68" t="n"/>
      <c r="B925" s="68" t="n"/>
      <c r="C925" s="68" t="n"/>
      <c r="D925" s="67" t="n"/>
      <c r="E925" s="67" t="n"/>
      <c r="F925" s="67" t="n"/>
      <c r="G925" s="67" t="n"/>
      <c r="H925" s="67" t="n"/>
      <c r="I925" s="67" t="n"/>
      <c r="J925" s="67" t="n"/>
    </row>
    <row r="926" ht="18" customHeight="1" s="104">
      <c r="A926" s="68" t="n"/>
      <c r="B926" s="68" t="n"/>
      <c r="C926" s="68" t="n"/>
      <c r="D926" s="67" t="n"/>
      <c r="E926" s="67" t="n"/>
      <c r="F926" s="67" t="n"/>
      <c r="G926" s="67" t="n"/>
      <c r="H926" s="67" t="n"/>
      <c r="I926" s="67" t="n"/>
      <c r="J926" s="67" t="n"/>
    </row>
    <row r="927" ht="18" customHeight="1" s="104">
      <c r="A927" s="68" t="n"/>
      <c r="B927" s="68" t="n"/>
      <c r="C927" s="68" t="n"/>
      <c r="D927" s="67" t="n"/>
      <c r="E927" s="67" t="n"/>
      <c r="F927" s="67" t="n"/>
      <c r="G927" s="67" t="n"/>
      <c r="H927" s="67" t="n"/>
      <c r="I927" s="67" t="n"/>
      <c r="J927" s="67" t="n"/>
    </row>
    <row r="928" ht="18" customHeight="1" s="104">
      <c r="A928" s="68" t="n"/>
      <c r="B928" s="68" t="n"/>
      <c r="C928" s="68" t="n"/>
      <c r="D928" s="67" t="n"/>
      <c r="E928" s="67" t="n"/>
      <c r="F928" s="67" t="n"/>
      <c r="G928" s="67" t="n"/>
      <c r="H928" s="67" t="n"/>
      <c r="I928" s="67" t="n"/>
      <c r="J928" s="67" t="n"/>
    </row>
    <row r="929" ht="18" customHeight="1" s="104">
      <c r="A929" s="68" t="n"/>
      <c r="B929" s="68" t="n"/>
      <c r="C929" s="68" t="n"/>
      <c r="D929" s="67" t="n"/>
      <c r="E929" s="67" t="n"/>
      <c r="F929" s="67" t="n"/>
      <c r="G929" s="67" t="n"/>
      <c r="H929" s="67" t="n"/>
      <c r="I929" s="67" t="n"/>
      <c r="J929" s="67" t="n"/>
    </row>
    <row r="930" ht="18" customHeight="1" s="104">
      <c r="A930" s="68" t="n"/>
      <c r="B930" s="68" t="n"/>
      <c r="C930" s="68" t="n"/>
      <c r="D930" s="67" t="n"/>
      <c r="E930" s="67" t="n"/>
      <c r="F930" s="67" t="n"/>
      <c r="G930" s="67" t="n"/>
      <c r="H930" s="67" t="n"/>
      <c r="I930" s="67" t="n"/>
      <c r="J930" s="67" t="n"/>
    </row>
    <row r="931" ht="18" customHeight="1" s="104">
      <c r="A931" s="68" t="n"/>
      <c r="B931" s="68" t="n"/>
      <c r="C931" s="68" t="n"/>
      <c r="D931" s="67" t="n"/>
      <c r="E931" s="67" t="n"/>
      <c r="F931" s="67" t="n"/>
      <c r="G931" s="67" t="n"/>
      <c r="H931" s="67" t="n"/>
      <c r="I931" s="67" t="n"/>
      <c r="J931" s="67" t="n"/>
    </row>
    <row r="932" ht="18" customHeight="1" s="104">
      <c r="A932" s="68" t="n"/>
      <c r="B932" s="68" t="n"/>
      <c r="C932" s="68" t="n"/>
      <c r="D932" s="67" t="n"/>
      <c r="E932" s="67" t="n"/>
      <c r="F932" s="67" t="n"/>
      <c r="G932" s="67" t="n"/>
      <c r="H932" s="67" t="n"/>
      <c r="I932" s="67" t="n"/>
      <c r="J932" s="67" t="n"/>
    </row>
    <row r="933" ht="18" customHeight="1" s="104">
      <c r="A933" s="68" t="n"/>
      <c r="B933" s="68" t="n"/>
      <c r="C933" s="68" t="n"/>
      <c r="D933" s="67" t="n"/>
      <c r="E933" s="67" t="n"/>
      <c r="F933" s="67" t="n"/>
      <c r="G933" s="67" t="n"/>
      <c r="H933" s="67" t="n"/>
      <c r="I933" s="67" t="n"/>
      <c r="J933" s="67" t="n"/>
    </row>
    <row r="934" ht="18" customHeight="1" s="104">
      <c r="A934" s="68" t="n"/>
      <c r="B934" s="68" t="n"/>
      <c r="C934" s="68" t="n"/>
      <c r="D934" s="67" t="n"/>
      <c r="E934" s="67" t="n"/>
      <c r="F934" s="67" t="n"/>
      <c r="G934" s="67" t="n"/>
      <c r="H934" s="67" t="n"/>
      <c r="I934" s="67" t="n"/>
      <c r="J934" s="67" t="n"/>
    </row>
    <row r="935" ht="18" customHeight="1" s="104">
      <c r="A935" s="68" t="n"/>
      <c r="B935" s="68" t="n"/>
      <c r="C935" s="68" t="n"/>
      <c r="D935" s="67" t="n"/>
      <c r="E935" s="67" t="n"/>
      <c r="F935" s="67" t="n"/>
      <c r="G935" s="67" t="n"/>
      <c r="H935" s="67" t="n"/>
      <c r="I935" s="67" t="n"/>
      <c r="J935" s="67" t="n"/>
    </row>
    <row r="936" ht="18" customHeight="1" s="104">
      <c r="A936" s="68" t="n"/>
      <c r="B936" s="68" t="n"/>
      <c r="C936" s="68" t="n"/>
      <c r="D936" s="67" t="n"/>
      <c r="E936" s="67" t="n"/>
      <c r="F936" s="67" t="n"/>
      <c r="G936" s="67" t="n"/>
      <c r="H936" s="67" t="n"/>
      <c r="I936" s="67" t="n"/>
      <c r="J936" s="67" t="n"/>
    </row>
    <row r="937" ht="18" customHeight="1" s="104">
      <c r="A937" s="68" t="n"/>
      <c r="B937" s="68" t="n"/>
      <c r="C937" s="68" t="n"/>
      <c r="D937" s="67" t="n"/>
      <c r="E937" s="67" t="n"/>
      <c r="F937" s="67" t="n"/>
      <c r="G937" s="67" t="n"/>
      <c r="H937" s="67" t="n"/>
      <c r="I937" s="67" t="n"/>
      <c r="J937" s="67" t="n"/>
    </row>
    <row r="938" ht="18" customHeight="1" s="104">
      <c r="A938" s="68" t="n"/>
      <c r="B938" s="68" t="n"/>
      <c r="C938" s="68" t="n"/>
      <c r="D938" s="67" t="n"/>
      <c r="E938" s="67" t="n"/>
      <c r="F938" s="67" t="n"/>
      <c r="G938" s="67" t="n"/>
      <c r="H938" s="67" t="n"/>
      <c r="I938" s="67" t="n"/>
      <c r="J938" s="67" t="n"/>
    </row>
    <row r="939" ht="18" customHeight="1" s="104">
      <c r="A939" s="68" t="n"/>
      <c r="B939" s="68" t="n"/>
      <c r="C939" s="68" t="n"/>
      <c r="D939" s="67" t="n"/>
      <c r="E939" s="67" t="n"/>
      <c r="F939" s="67" t="n"/>
      <c r="G939" s="67" t="n"/>
      <c r="H939" s="67" t="n"/>
      <c r="I939" s="67" t="n"/>
      <c r="J939" s="67" t="n"/>
    </row>
    <row r="940" ht="18" customHeight="1" s="104">
      <c r="A940" s="68" t="n"/>
      <c r="B940" s="68" t="n"/>
      <c r="C940" s="68" t="n"/>
      <c r="D940" s="67" t="n"/>
      <c r="E940" s="67" t="n"/>
      <c r="F940" s="67" t="n"/>
      <c r="G940" s="67" t="n"/>
      <c r="H940" s="67" t="n"/>
      <c r="I940" s="67" t="n"/>
      <c r="J940" s="67" t="n"/>
    </row>
    <row r="941" ht="18" customHeight="1" s="104">
      <c r="A941" s="68" t="n"/>
      <c r="B941" s="68" t="n"/>
      <c r="C941" s="68" t="n"/>
      <c r="D941" s="67" t="n"/>
      <c r="E941" s="67" t="n"/>
      <c r="F941" s="67" t="n"/>
      <c r="G941" s="67" t="n"/>
      <c r="H941" s="67" t="n"/>
      <c r="I941" s="67" t="n"/>
      <c r="J941" s="67" t="n"/>
    </row>
    <row r="942" ht="18" customHeight="1" s="104">
      <c r="A942" s="68" t="n"/>
      <c r="B942" s="68" t="n"/>
      <c r="C942" s="68" t="n"/>
      <c r="D942" s="67" t="n"/>
      <c r="E942" s="67" t="n"/>
      <c r="F942" s="67" t="n"/>
      <c r="G942" s="67" t="n"/>
      <c r="H942" s="67" t="n"/>
      <c r="I942" s="67" t="n"/>
      <c r="J942" s="67" t="n"/>
    </row>
    <row r="943" ht="18" customHeight="1" s="104">
      <c r="A943" s="68" t="n"/>
      <c r="B943" s="68" t="n"/>
      <c r="C943" s="68" t="n"/>
      <c r="D943" s="67" t="n"/>
      <c r="E943" s="67" t="n"/>
      <c r="F943" s="67" t="n"/>
      <c r="G943" s="67" t="n"/>
      <c r="H943" s="67" t="n"/>
      <c r="I943" s="67" t="n"/>
      <c r="J943" s="67" t="n"/>
    </row>
    <row r="944" ht="18" customHeight="1" s="104">
      <c r="A944" s="68" t="n"/>
      <c r="B944" s="68" t="n"/>
      <c r="C944" s="68" t="n"/>
      <c r="D944" s="67" t="n"/>
      <c r="E944" s="67" t="n"/>
      <c r="F944" s="67" t="n"/>
      <c r="G944" s="67" t="n"/>
      <c r="H944" s="67" t="n"/>
      <c r="I944" s="67" t="n"/>
      <c r="J944" s="67" t="n"/>
    </row>
    <row r="945" ht="18" customHeight="1" s="104">
      <c r="A945" s="68" t="n"/>
      <c r="B945" s="68" t="n"/>
      <c r="C945" s="68" t="n"/>
      <c r="D945" s="67" t="n"/>
      <c r="E945" s="67" t="n"/>
      <c r="F945" s="67" t="n"/>
      <c r="G945" s="67" t="n"/>
      <c r="H945" s="67" t="n"/>
      <c r="I945" s="67" t="n"/>
      <c r="J945" s="67" t="n"/>
    </row>
    <row r="946" ht="18" customHeight="1" s="104">
      <c r="A946" s="68" t="n"/>
      <c r="B946" s="68" t="n"/>
      <c r="C946" s="68" t="n"/>
      <c r="D946" s="67" t="n"/>
      <c r="E946" s="67" t="n"/>
      <c r="F946" s="67" t="n"/>
      <c r="G946" s="67" t="n"/>
      <c r="H946" s="67" t="n"/>
      <c r="I946" s="67" t="n"/>
      <c r="J946" s="67" t="n"/>
    </row>
    <row r="947" ht="18" customHeight="1" s="104">
      <c r="A947" s="68" t="n"/>
      <c r="B947" s="68" t="n"/>
      <c r="C947" s="68" t="n"/>
      <c r="D947" s="67" t="n"/>
      <c r="E947" s="67" t="n"/>
      <c r="F947" s="67" t="n"/>
      <c r="G947" s="67" t="n"/>
      <c r="H947" s="67" t="n"/>
      <c r="I947" s="67" t="n"/>
      <c r="J947" s="67" t="n"/>
    </row>
    <row r="948" ht="18" customHeight="1" s="104">
      <c r="A948" s="68" t="n"/>
      <c r="B948" s="68" t="n"/>
      <c r="C948" s="68" t="n"/>
      <c r="D948" s="67" t="n"/>
      <c r="E948" s="67" t="n"/>
      <c r="F948" s="67" t="n"/>
      <c r="G948" s="67" t="n"/>
      <c r="H948" s="67" t="n"/>
      <c r="I948" s="67" t="n"/>
      <c r="J948" s="67" t="n"/>
    </row>
    <row r="949" ht="18" customHeight="1" s="104">
      <c r="A949" s="68" t="n"/>
      <c r="B949" s="68" t="n"/>
      <c r="C949" s="68" t="n"/>
      <c r="D949" s="67" t="n"/>
      <c r="E949" s="67" t="n"/>
      <c r="F949" s="67" t="n"/>
      <c r="G949" s="67" t="n"/>
      <c r="H949" s="67" t="n"/>
      <c r="I949" s="67" t="n"/>
      <c r="J949" s="67" t="n"/>
    </row>
    <row r="950" ht="18" customHeight="1" s="104">
      <c r="A950" s="68" t="n"/>
      <c r="B950" s="68" t="n"/>
      <c r="C950" s="68" t="n"/>
      <c r="D950" s="67" t="n"/>
      <c r="E950" s="67" t="n"/>
      <c r="F950" s="67" t="n"/>
      <c r="G950" s="67" t="n"/>
      <c r="H950" s="67" t="n"/>
      <c r="I950" s="67" t="n"/>
      <c r="J950" s="67" t="n"/>
    </row>
    <row r="951" ht="18" customHeight="1" s="104">
      <c r="A951" s="68" t="n"/>
      <c r="B951" s="68" t="n"/>
      <c r="C951" s="68" t="n"/>
      <c r="D951" s="67" t="n"/>
      <c r="E951" s="67" t="n"/>
      <c r="F951" s="67" t="n"/>
      <c r="G951" s="67" t="n"/>
      <c r="H951" s="67" t="n"/>
      <c r="I951" s="67" t="n"/>
      <c r="J951" s="67" t="n"/>
    </row>
    <row r="952" ht="18" customHeight="1" s="104">
      <c r="A952" s="68" t="n"/>
      <c r="B952" s="68" t="n"/>
      <c r="C952" s="68" t="n"/>
      <c r="D952" s="67" t="n"/>
      <c r="E952" s="67" t="n"/>
      <c r="F952" s="67" t="n"/>
      <c r="G952" s="67" t="n"/>
      <c r="H952" s="67" t="n"/>
      <c r="I952" s="67" t="n"/>
      <c r="J952" s="67" t="n"/>
    </row>
    <row r="953" ht="18" customHeight="1" s="104">
      <c r="A953" s="68" t="n"/>
      <c r="B953" s="68" t="n"/>
      <c r="C953" s="68" t="n"/>
      <c r="D953" s="67" t="n"/>
      <c r="E953" s="67" t="n"/>
      <c r="F953" s="67" t="n"/>
      <c r="G953" s="67" t="n"/>
      <c r="H953" s="67" t="n"/>
      <c r="I953" s="67" t="n"/>
      <c r="J953" s="67" t="n"/>
    </row>
    <row r="954" ht="18" customHeight="1" s="104">
      <c r="A954" s="68" t="n"/>
      <c r="B954" s="68" t="n"/>
      <c r="C954" s="68" t="n"/>
      <c r="D954" s="67" t="n"/>
      <c r="E954" s="67" t="n"/>
      <c r="F954" s="67" t="n"/>
      <c r="G954" s="67" t="n"/>
      <c r="H954" s="67" t="n"/>
      <c r="I954" s="67" t="n"/>
      <c r="J954" s="67" t="n"/>
    </row>
    <row r="955" ht="18" customHeight="1" s="104">
      <c r="A955" s="68" t="n"/>
      <c r="B955" s="68" t="n"/>
      <c r="C955" s="68" t="n"/>
      <c r="D955" s="67" t="n"/>
      <c r="E955" s="67" t="n"/>
      <c r="F955" s="67" t="n"/>
      <c r="G955" s="67" t="n"/>
      <c r="H955" s="67" t="n"/>
      <c r="I955" s="67" t="n"/>
      <c r="J955" s="67" t="n"/>
    </row>
    <row r="956" ht="18" customHeight="1" s="104">
      <c r="A956" s="68" t="n"/>
      <c r="B956" s="68" t="n"/>
      <c r="C956" s="68" t="n"/>
      <c r="D956" s="67" t="n"/>
      <c r="E956" s="67" t="n"/>
      <c r="F956" s="67" t="n"/>
      <c r="G956" s="67" t="n"/>
      <c r="H956" s="67" t="n"/>
      <c r="I956" s="67" t="n"/>
      <c r="J956" s="67" t="n"/>
    </row>
    <row r="957" ht="18" customHeight="1" s="104">
      <c r="A957" s="68" t="n"/>
      <c r="B957" s="68" t="n"/>
      <c r="C957" s="68" t="n"/>
      <c r="D957" s="67" t="n"/>
      <c r="E957" s="67" t="n"/>
      <c r="F957" s="67" t="n"/>
      <c r="G957" s="67" t="n"/>
      <c r="H957" s="67" t="n"/>
      <c r="I957" s="67" t="n"/>
      <c r="J957" s="67" t="n"/>
    </row>
    <row r="958" ht="18" customHeight="1" s="104">
      <c r="A958" s="68" t="n"/>
      <c r="B958" s="68" t="n"/>
      <c r="C958" s="68" t="n"/>
      <c r="D958" s="67" t="n"/>
      <c r="E958" s="67" t="n"/>
      <c r="F958" s="67" t="n"/>
      <c r="G958" s="67" t="n"/>
      <c r="H958" s="67" t="n"/>
      <c r="I958" s="67" t="n"/>
      <c r="J958" s="67" t="n"/>
    </row>
    <row r="959" ht="18" customHeight="1" s="104">
      <c r="A959" s="68" t="n"/>
      <c r="B959" s="68" t="n"/>
      <c r="C959" s="68" t="n"/>
      <c r="D959" s="67" t="n"/>
      <c r="E959" s="67" t="n"/>
      <c r="F959" s="67" t="n"/>
      <c r="G959" s="67" t="n"/>
      <c r="H959" s="67" t="n"/>
      <c r="I959" s="67" t="n"/>
      <c r="J959" s="67" t="n"/>
    </row>
    <row r="960" ht="18" customHeight="1" s="104">
      <c r="A960" s="68" t="n"/>
      <c r="B960" s="68" t="n"/>
      <c r="C960" s="68" t="n"/>
      <c r="D960" s="67" t="n"/>
      <c r="E960" s="67" t="n"/>
      <c r="F960" s="67" t="n"/>
      <c r="G960" s="67" t="n"/>
      <c r="H960" s="67" t="n"/>
      <c r="I960" s="67" t="n"/>
      <c r="J960" s="67" t="n"/>
    </row>
    <row r="961" ht="18" customHeight="1" s="104">
      <c r="A961" s="68" t="n"/>
      <c r="B961" s="68" t="n"/>
      <c r="C961" s="68" t="n"/>
      <c r="D961" s="67" t="n"/>
      <c r="E961" s="67" t="n"/>
      <c r="F961" s="67" t="n"/>
      <c r="G961" s="67" t="n"/>
      <c r="H961" s="67" t="n"/>
      <c r="I961" s="67" t="n"/>
      <c r="J961" s="67" t="n"/>
    </row>
    <row r="962" ht="18" customHeight="1" s="104">
      <c r="A962" s="68" t="n"/>
      <c r="B962" s="68" t="n"/>
      <c r="C962" s="68" t="n"/>
      <c r="D962" s="67" t="n"/>
      <c r="E962" s="67" t="n"/>
      <c r="F962" s="67" t="n"/>
      <c r="G962" s="67" t="n"/>
      <c r="H962" s="67" t="n"/>
      <c r="I962" s="67" t="n"/>
      <c r="J962" s="67" t="n"/>
    </row>
    <row r="963" ht="18" customHeight="1" s="104">
      <c r="A963" s="68" t="n"/>
      <c r="B963" s="68" t="n"/>
      <c r="C963" s="68" t="n"/>
      <c r="D963" s="67" t="n"/>
      <c r="E963" s="67" t="n"/>
      <c r="F963" s="67" t="n"/>
      <c r="G963" s="67" t="n"/>
      <c r="H963" s="67" t="n"/>
      <c r="I963" s="67" t="n"/>
      <c r="J963" s="67" t="n"/>
    </row>
    <row r="964" ht="18" customHeight="1" s="104">
      <c r="A964" s="68" t="n"/>
      <c r="B964" s="68" t="n"/>
      <c r="C964" s="68" t="n"/>
      <c r="D964" s="67" t="n"/>
      <c r="E964" s="67" t="n"/>
      <c r="F964" s="67" t="n"/>
      <c r="G964" s="67" t="n"/>
      <c r="H964" s="67" t="n"/>
      <c r="I964" s="67" t="n"/>
      <c r="J964" s="67" t="n"/>
    </row>
    <row r="965" ht="18" customHeight="1" s="104">
      <c r="A965" s="68" t="n"/>
      <c r="B965" s="68" t="n"/>
      <c r="C965" s="68" t="n"/>
      <c r="D965" s="67" t="n"/>
      <c r="E965" s="67" t="n"/>
      <c r="F965" s="67" t="n"/>
      <c r="G965" s="67" t="n"/>
      <c r="H965" s="67" t="n"/>
      <c r="I965" s="67" t="n"/>
      <c r="J965" s="67" t="n"/>
    </row>
    <row r="966" ht="18" customHeight="1" s="104">
      <c r="A966" s="68" t="n"/>
      <c r="B966" s="68" t="n"/>
      <c r="C966" s="68" t="n"/>
      <c r="D966" s="67" t="n"/>
      <c r="E966" s="67" t="n"/>
      <c r="F966" s="67" t="n"/>
      <c r="G966" s="67" t="n"/>
      <c r="H966" s="67" t="n"/>
      <c r="I966" s="67" t="n"/>
      <c r="J966" s="67" t="n"/>
    </row>
    <row r="967" ht="18" customHeight="1" s="104">
      <c r="A967" s="68" t="n"/>
      <c r="B967" s="68" t="n"/>
      <c r="C967" s="68" t="n"/>
      <c r="D967" s="67" t="n"/>
      <c r="E967" s="67" t="n"/>
      <c r="F967" s="67" t="n"/>
      <c r="G967" s="67" t="n"/>
      <c r="H967" s="67" t="n"/>
      <c r="I967" s="67" t="n"/>
      <c r="J967" s="67" t="n"/>
    </row>
    <row r="968" ht="18" customHeight="1" s="104">
      <c r="A968" s="68" t="n"/>
      <c r="B968" s="68" t="n"/>
      <c r="C968" s="68" t="n"/>
      <c r="D968" s="67" t="n"/>
      <c r="E968" s="67" t="n"/>
      <c r="F968" s="67" t="n"/>
      <c r="G968" s="67" t="n"/>
      <c r="H968" s="67" t="n"/>
      <c r="I968" s="67" t="n"/>
      <c r="J968" s="67" t="n"/>
    </row>
    <row r="969" ht="18" customHeight="1" s="104">
      <c r="A969" s="68" t="n"/>
      <c r="B969" s="68" t="n"/>
      <c r="C969" s="68" t="n"/>
      <c r="D969" s="67" t="n"/>
      <c r="E969" s="67" t="n"/>
      <c r="F969" s="67" t="n"/>
      <c r="G969" s="67" t="n"/>
      <c r="H969" s="67" t="n"/>
      <c r="I969" s="67" t="n"/>
      <c r="J969" s="67" t="n"/>
    </row>
    <row r="970" ht="18" customHeight="1" s="104">
      <c r="A970" s="68" t="n"/>
      <c r="B970" s="68" t="n"/>
      <c r="C970" s="68" t="n"/>
      <c r="D970" s="67" t="n"/>
      <c r="E970" s="67" t="n"/>
      <c r="F970" s="67" t="n"/>
      <c r="G970" s="67" t="n"/>
      <c r="H970" s="67" t="n"/>
      <c r="I970" s="67" t="n"/>
      <c r="J970" s="67" t="n"/>
    </row>
    <row r="971" ht="18" customHeight="1" s="104">
      <c r="A971" s="68" t="n"/>
      <c r="B971" s="68" t="n"/>
      <c r="C971" s="68" t="n"/>
      <c r="D971" s="67" t="n"/>
      <c r="E971" s="67" t="n"/>
      <c r="F971" s="67" t="n"/>
      <c r="G971" s="67" t="n"/>
      <c r="H971" s="67" t="n"/>
      <c r="I971" s="67" t="n"/>
      <c r="J971" s="67" t="n"/>
    </row>
    <row r="972" ht="18" customHeight="1" s="104">
      <c r="A972" s="68" t="n"/>
      <c r="B972" s="68" t="n"/>
      <c r="C972" s="68" t="n"/>
      <c r="D972" s="67" t="n"/>
      <c r="E972" s="67" t="n"/>
      <c r="F972" s="67" t="n"/>
      <c r="G972" s="67" t="n"/>
      <c r="H972" s="67" t="n"/>
      <c r="I972" s="67" t="n"/>
      <c r="J972" s="67" t="n"/>
    </row>
    <row r="973" ht="18" customHeight="1" s="104">
      <c r="A973" s="68" t="n"/>
      <c r="B973" s="68" t="n"/>
      <c r="C973" s="68" t="n"/>
      <c r="D973" s="67" t="n"/>
      <c r="E973" s="67" t="n"/>
      <c r="F973" s="67" t="n"/>
      <c r="G973" s="67" t="n"/>
      <c r="H973" s="67" t="n"/>
      <c r="I973" s="67" t="n"/>
      <c r="J973" s="67" t="n"/>
    </row>
    <row r="974" ht="18" customHeight="1" s="104">
      <c r="A974" s="68" t="n"/>
      <c r="B974" s="68" t="n"/>
      <c r="C974" s="68" t="n"/>
      <c r="D974" s="67" t="n"/>
      <c r="E974" s="67" t="n"/>
      <c r="F974" s="67" t="n"/>
      <c r="G974" s="67" t="n"/>
      <c r="H974" s="67" t="n"/>
      <c r="I974" s="67" t="n"/>
      <c r="J974" s="67" t="n"/>
    </row>
    <row r="975" ht="18" customHeight="1" s="104">
      <c r="A975" s="68" t="n"/>
      <c r="B975" s="68" t="n"/>
      <c r="C975" s="68" t="n"/>
      <c r="D975" s="67" t="n"/>
      <c r="E975" s="67" t="n"/>
      <c r="F975" s="67" t="n"/>
      <c r="G975" s="67" t="n"/>
      <c r="H975" s="67" t="n"/>
      <c r="I975" s="67" t="n"/>
      <c r="J975" s="67" t="n"/>
    </row>
    <row r="976" ht="18" customHeight="1" s="104">
      <c r="A976" s="68" t="n"/>
      <c r="B976" s="68" t="n"/>
      <c r="C976" s="68" t="n"/>
      <c r="D976" s="67" t="n"/>
      <c r="E976" s="67" t="n"/>
      <c r="F976" s="67" t="n"/>
      <c r="G976" s="67" t="n"/>
      <c r="H976" s="67" t="n"/>
      <c r="I976" s="67" t="n"/>
      <c r="J976" s="67" t="n"/>
    </row>
    <row r="977" ht="18" customHeight="1" s="104">
      <c r="A977" s="68" t="n"/>
      <c r="B977" s="68" t="n"/>
      <c r="C977" s="68" t="n"/>
      <c r="D977" s="67" t="n"/>
      <c r="E977" s="67" t="n"/>
      <c r="F977" s="67" t="n"/>
      <c r="G977" s="67" t="n"/>
      <c r="H977" s="67" t="n"/>
      <c r="I977" s="67" t="n"/>
      <c r="J977" s="67" t="n"/>
    </row>
    <row r="978" ht="18" customHeight="1" s="104">
      <c r="A978" s="68" t="n"/>
      <c r="B978" s="68" t="n"/>
      <c r="C978" s="68" t="n"/>
      <c r="D978" s="67" t="n"/>
      <c r="E978" s="67" t="n"/>
      <c r="F978" s="67" t="n"/>
      <c r="G978" s="67" t="n"/>
      <c r="H978" s="67" t="n"/>
      <c r="I978" s="67" t="n"/>
      <c r="J978" s="67" t="n"/>
    </row>
    <row r="979" ht="18" customHeight="1" s="104">
      <c r="A979" s="68" t="n"/>
      <c r="B979" s="68" t="n"/>
      <c r="C979" s="68" t="n"/>
      <c r="D979" s="67" t="n"/>
      <c r="E979" s="67" t="n"/>
      <c r="F979" s="67" t="n"/>
      <c r="G979" s="67" t="n"/>
      <c r="H979" s="67" t="n"/>
      <c r="I979" s="67" t="n"/>
      <c r="J979" s="67" t="n"/>
    </row>
    <row r="980" ht="18" customHeight="1" s="104">
      <c r="A980" s="68" t="n"/>
      <c r="B980" s="68" t="n"/>
      <c r="C980" s="68" t="n"/>
      <c r="D980" s="67" t="n"/>
      <c r="E980" s="67" t="n"/>
      <c r="F980" s="67" t="n"/>
      <c r="G980" s="67" t="n"/>
      <c r="H980" s="67" t="n"/>
      <c r="I980" s="67" t="n"/>
      <c r="J980" s="67" t="n"/>
    </row>
    <row r="981" ht="18" customHeight="1" s="104">
      <c r="A981" s="68" t="n"/>
      <c r="B981" s="68" t="n"/>
      <c r="C981" s="68" t="n"/>
      <c r="D981" s="67" t="n"/>
      <c r="E981" s="67" t="n"/>
      <c r="F981" s="67" t="n"/>
      <c r="G981" s="67" t="n"/>
      <c r="H981" s="67" t="n"/>
      <c r="I981" s="67" t="n"/>
      <c r="J981" s="67" t="n"/>
    </row>
    <row r="982" ht="18" customHeight="1" s="104">
      <c r="A982" s="68" t="n"/>
      <c r="B982" s="68" t="n"/>
      <c r="C982" s="68" t="n"/>
      <c r="D982" s="67" t="n"/>
      <c r="E982" s="67" t="n"/>
      <c r="F982" s="67" t="n"/>
      <c r="G982" s="67" t="n"/>
      <c r="H982" s="67" t="n"/>
      <c r="I982" s="67" t="n"/>
      <c r="J982" s="67" t="n"/>
    </row>
    <row r="983" ht="18" customHeight="1" s="104">
      <c r="A983" s="68" t="n"/>
      <c r="B983" s="68" t="n"/>
      <c r="C983" s="68" t="n"/>
      <c r="D983" s="67" t="n"/>
      <c r="E983" s="67" t="n"/>
      <c r="F983" s="67" t="n"/>
      <c r="G983" s="67" t="n"/>
      <c r="H983" s="67" t="n"/>
      <c r="I983" s="67" t="n"/>
      <c r="J983" s="67" t="n"/>
    </row>
    <row r="984" ht="18" customHeight="1" s="104">
      <c r="A984" s="68" t="n"/>
      <c r="B984" s="68" t="n"/>
      <c r="C984" s="68" t="n"/>
      <c r="D984" s="67" t="n"/>
      <c r="E984" s="67" t="n"/>
      <c r="F984" s="67" t="n"/>
      <c r="G984" s="67" t="n"/>
      <c r="H984" s="67" t="n"/>
      <c r="I984" s="67" t="n"/>
      <c r="J984" s="67" t="n"/>
    </row>
    <row r="985" ht="18" customHeight="1" s="104">
      <c r="A985" s="68" t="n"/>
      <c r="B985" s="68" t="n"/>
      <c r="C985" s="68" t="n"/>
      <c r="D985" s="67" t="n"/>
      <c r="E985" s="67" t="n"/>
      <c r="F985" s="67" t="n"/>
      <c r="G985" s="67" t="n"/>
      <c r="H985" s="67" t="n"/>
      <c r="I985" s="67" t="n"/>
      <c r="J985" s="67" t="n"/>
    </row>
    <row r="986" ht="18" customHeight="1" s="104">
      <c r="A986" s="68" t="n"/>
      <c r="B986" s="68" t="n"/>
      <c r="C986" s="68" t="n"/>
      <c r="D986" s="67" t="n"/>
      <c r="E986" s="67" t="n"/>
      <c r="F986" s="67" t="n"/>
      <c r="G986" s="67" t="n"/>
      <c r="H986" s="67" t="n"/>
      <c r="I986" s="67" t="n"/>
      <c r="J986" s="67" t="n"/>
    </row>
    <row r="987" ht="18" customHeight="1" s="104">
      <c r="A987" s="68" t="n"/>
      <c r="B987" s="68" t="n"/>
      <c r="C987" s="68" t="n"/>
      <c r="D987" s="67" t="n"/>
      <c r="E987" s="67" t="n"/>
      <c r="F987" s="67" t="n"/>
      <c r="G987" s="67" t="n"/>
      <c r="H987" s="67" t="n"/>
      <c r="I987" s="67" t="n"/>
      <c r="J987" s="67" t="n"/>
    </row>
    <row r="988" ht="18" customHeight="1" s="104">
      <c r="A988" s="68" t="n"/>
      <c r="B988" s="68" t="n"/>
      <c r="C988" s="68" t="n"/>
      <c r="D988" s="67" t="n"/>
      <c r="E988" s="67" t="n"/>
      <c r="F988" s="67" t="n"/>
      <c r="G988" s="67" t="n"/>
      <c r="H988" s="67" t="n"/>
      <c r="I988" s="67" t="n"/>
      <c r="J988" s="67" t="n"/>
    </row>
    <row r="989" ht="18" customHeight="1" s="104">
      <c r="A989" s="68" t="n"/>
      <c r="B989" s="68" t="n"/>
      <c r="C989" s="68" t="n"/>
      <c r="D989" s="67" t="n"/>
      <c r="E989" s="67" t="n"/>
      <c r="F989" s="67" t="n"/>
      <c r="G989" s="67" t="n"/>
      <c r="H989" s="67" t="n"/>
      <c r="I989" s="67" t="n"/>
      <c r="J989" s="67" t="n"/>
    </row>
    <row r="990" ht="18" customHeight="1" s="104">
      <c r="A990" s="68" t="n"/>
      <c r="B990" s="68" t="n"/>
      <c r="C990" s="68" t="n"/>
      <c r="D990" s="67" t="n"/>
      <c r="E990" s="67" t="n"/>
      <c r="F990" s="67" t="n"/>
      <c r="G990" s="67" t="n"/>
      <c r="H990" s="67" t="n"/>
      <c r="I990" s="67" t="n"/>
      <c r="J990" s="67" t="n"/>
    </row>
    <row r="991" ht="18" customHeight="1" s="104">
      <c r="A991" s="68" t="n"/>
      <c r="B991" s="68" t="n"/>
      <c r="C991" s="68" t="n"/>
      <c r="D991" s="67" t="n"/>
      <c r="E991" s="67" t="n"/>
      <c r="F991" s="67" t="n"/>
      <c r="G991" s="67" t="n"/>
      <c r="H991" s="67" t="n"/>
      <c r="I991" s="67" t="n"/>
      <c r="J991" s="67" t="n"/>
    </row>
    <row r="992" ht="18" customHeight="1" s="104">
      <c r="A992" s="68" t="n"/>
      <c r="B992" s="68" t="n"/>
      <c r="C992" s="68" t="n"/>
      <c r="D992" s="67" t="n"/>
      <c r="E992" s="67" t="n"/>
      <c r="F992" s="67" t="n"/>
      <c r="G992" s="67" t="n"/>
      <c r="H992" s="67" t="n"/>
      <c r="I992" s="67" t="n"/>
      <c r="J992" s="67" t="n"/>
    </row>
    <row r="993" ht="18" customHeight="1" s="104">
      <c r="A993" s="68" t="n"/>
      <c r="B993" s="68" t="n"/>
      <c r="C993" s="68" t="n"/>
      <c r="D993" s="67" t="n"/>
      <c r="E993" s="67" t="n"/>
      <c r="F993" s="67" t="n"/>
      <c r="G993" s="67" t="n"/>
      <c r="H993" s="67" t="n"/>
      <c r="I993" s="67" t="n"/>
      <c r="J993" s="67" t="n"/>
    </row>
    <row r="994" ht="18" customHeight="1" s="104">
      <c r="A994" s="68" t="n"/>
      <c r="B994" s="68" t="n"/>
      <c r="C994" s="68" t="n"/>
      <c r="D994" s="67" t="n"/>
      <c r="E994" s="67" t="n"/>
      <c r="F994" s="67" t="n"/>
      <c r="G994" s="67" t="n"/>
      <c r="H994" s="67" t="n"/>
      <c r="I994" s="67" t="n"/>
      <c r="J994" s="67" t="n"/>
    </row>
    <row r="995" ht="18" customHeight="1" s="104">
      <c r="A995" s="68" t="n"/>
      <c r="B995" s="68" t="n"/>
      <c r="C995" s="68" t="n"/>
      <c r="D995" s="67" t="n"/>
      <c r="E995" s="67" t="n"/>
      <c r="F995" s="67" t="n"/>
      <c r="G995" s="67" t="n"/>
      <c r="H995" s="67" t="n"/>
      <c r="I995" s="67" t="n"/>
      <c r="J995" s="67" t="n"/>
    </row>
    <row r="996" ht="18" customHeight="1" s="104">
      <c r="A996" s="68" t="n"/>
      <c r="B996" s="68" t="n"/>
      <c r="C996" s="68" t="n"/>
      <c r="D996" s="67" t="n"/>
      <c r="E996" s="67" t="n"/>
      <c r="F996" s="67" t="n"/>
      <c r="G996" s="67" t="n"/>
      <c r="H996" s="67" t="n"/>
      <c r="I996" s="67" t="n"/>
      <c r="J996" s="67" t="n"/>
    </row>
    <row r="997" ht="18" customHeight="1" s="104">
      <c r="A997" s="68" t="n"/>
      <c r="B997" s="68" t="n"/>
      <c r="C997" s="68" t="n"/>
      <c r="D997" s="67" t="n"/>
      <c r="E997" s="67" t="n"/>
      <c r="F997" s="67" t="n"/>
      <c r="G997" s="67" t="n"/>
      <c r="H997" s="67" t="n"/>
      <c r="I997" s="67" t="n"/>
      <c r="J997" s="67" t="n"/>
    </row>
    <row r="998" ht="18" customHeight="1" s="104">
      <c r="A998" s="68" t="n"/>
      <c r="B998" s="68" t="n"/>
      <c r="C998" s="68" t="n"/>
      <c r="D998" s="67" t="n"/>
      <c r="E998" s="67" t="n"/>
      <c r="F998" s="67" t="n"/>
      <c r="G998" s="67" t="n"/>
      <c r="H998" s="67" t="n"/>
      <c r="I998" s="67" t="n"/>
      <c r="J998" s="67" t="n"/>
    </row>
    <row r="999" ht="18" customHeight="1" s="104">
      <c r="A999" s="68" t="n"/>
      <c r="B999" s="68" t="n"/>
      <c r="C999" s="68" t="n"/>
      <c r="D999" s="67" t="n"/>
      <c r="E999" s="67" t="n"/>
      <c r="F999" s="67" t="n"/>
      <c r="G999" s="67" t="n"/>
      <c r="H999" s="67" t="n"/>
      <c r="I999" s="67" t="n"/>
      <c r="J999" s="67" t="n"/>
    </row>
    <row r="1000" ht="18" customHeight="1" s="104">
      <c r="A1000" s="68" t="n"/>
      <c r="B1000" s="68" t="n"/>
      <c r="C1000" s="68" t="n"/>
      <c r="D1000" s="67" t="n"/>
      <c r="E1000" s="67" t="n"/>
      <c r="F1000" s="67" t="n"/>
      <c r="G1000" s="67" t="n"/>
      <c r="H1000" s="67" t="n"/>
      <c r="I1000" s="67" t="n"/>
      <c r="J1000" s="67" t="n"/>
    </row>
    <row r="1001" ht="18" customHeight="1" s="104">
      <c r="A1001" s="68" t="n"/>
      <c r="B1001" s="68" t="n"/>
      <c r="C1001" s="68" t="n"/>
      <c r="D1001" s="67" t="n"/>
      <c r="E1001" s="67" t="n"/>
      <c r="F1001" s="67" t="n"/>
      <c r="G1001" s="67" t="n"/>
      <c r="H1001" s="67" t="n"/>
      <c r="I1001" s="67" t="n"/>
      <c r="J1001" s="67" t="n"/>
    </row>
    <row r="1002" ht="15.75" customHeight="1" s="104">
      <c r="A1002" s="6" t="n"/>
      <c r="B1002" s="7" t="n"/>
      <c r="C1002" s="8" t="n"/>
      <c r="D1002" s="9" t="n"/>
      <c r="E1002" s="10" t="n"/>
      <c r="F1002" s="10" t="n"/>
      <c r="G1002" s="9" t="n"/>
      <c r="H1002" s="11" t="n"/>
      <c r="I1002" s="6" t="n"/>
      <c r="J1002" s="10" t="n"/>
    </row>
  </sheetData>
  <mergeCells count="5">
    <mergeCell ref="A1:D1"/>
    <mergeCell ref="G2:K2"/>
    <mergeCell ref="G1:K1"/>
    <mergeCell ref="E1:F2"/>
    <mergeCell ref="A2:D2"/>
  </mergeCells>
  <conditionalFormatting sqref="A4:A1002">
    <cfRule type="expression" priority="5" dxfId="66">
      <formula>$F4="AOG"</formula>
    </cfRule>
    <cfRule type="expression" priority="114" dxfId="68">
      <formula>$F4="Critical"</formula>
    </cfRule>
  </conditionalFormatting>
  <conditionalFormatting sqref="B4:B1002">
    <cfRule type="expression" priority="9" dxfId="66">
      <formula>$F4="AOG"</formula>
    </cfRule>
    <cfRule type="expression" priority="115" dxfId="68">
      <formula>$F4="Critical"</formula>
    </cfRule>
  </conditionalFormatting>
  <conditionalFormatting sqref="C4:C1002">
    <cfRule type="expression" priority="116" dxfId="68">
      <formula>$F4="Critical"</formula>
    </cfRule>
  </conditionalFormatting>
  <conditionalFormatting sqref="C253:C347">
    <cfRule type="expression" priority="11" dxfId="66">
      <formula>$F253="AOG"</formula>
    </cfRule>
  </conditionalFormatting>
  <conditionalFormatting sqref="D4:D1002">
    <cfRule type="cellIs" priority="43" operator="equal" dxfId="24">
      <formula>"GENERAL CABIN"</formula>
    </cfRule>
    <cfRule type="cellIs" priority="44" operator="equal" dxfId="23">
      <formula>"GALLEY"</formula>
    </cfRule>
    <cfRule type="cellIs" priority="45" operator="equal" dxfId="22">
      <formula>"LAVATORY"</formula>
    </cfRule>
    <cfRule type="cellIs" priority="46" operator="equal" dxfId="21">
      <formula>"PAX DOORS"</formula>
    </cfRule>
    <cfRule type="cellIs" priority="47" operator="equal" dxfId="20">
      <formula>"F/A SEAT"</formula>
    </cfRule>
    <cfRule type="cellIs" priority="48" operator="equal" dxfId="19">
      <formula>"PAX SEAT"</formula>
    </cfRule>
    <cfRule type="cellIs" priority="49" operator="equal" dxfId="18">
      <formula>"FLIGHT DECK"</formula>
    </cfRule>
    <cfRule type="cellIs" priority="50" operator="equal" dxfId="17">
      <formula>"OFAR/OFCR"</formula>
    </cfRule>
    <cfRule type="cellIs" priority="51" operator="equal" dxfId="16">
      <formula>"TEDLAR/SIDEWALL"</formula>
    </cfRule>
    <cfRule type="cellIs" priority="52" operator="equal" dxfId="15">
      <formula>"PAINT"</formula>
    </cfRule>
    <cfRule type="cellIs" priority="53" operator="equal" dxfId="72">
      <formula>"TASK CARD"</formula>
    </cfRule>
  </conditionalFormatting>
  <conditionalFormatting sqref="E4:E1002">
    <cfRule type="cellIs" priority="55" operator="equal" dxfId="71">
      <formula>"Open"</formula>
    </cfRule>
    <cfRule type="cellIs" priority="56" operator="equal" dxfId="70">
      <formula>"In Progress"</formula>
    </cfRule>
    <cfRule type="cellIs" priority="59" operator="equal" dxfId="69">
      <formula>"N/A"</formula>
    </cfRule>
    <cfRule type="expression" priority="117" dxfId="68">
      <formula>$F4="Critical"</formula>
    </cfRule>
    <cfRule type="cellIs" priority="117" operator="equal" dxfId="67">
      <formula>"On Hold"</formula>
    </cfRule>
    <cfRule type="expression" priority="117" dxfId="66">
      <formula>$F4="AOG"</formula>
    </cfRule>
    <cfRule type="cellIs" priority="117" operator="equal" dxfId="65">
      <formula>"Deferred"</formula>
    </cfRule>
    <cfRule type="cellIs" priority="117" operator="equal" dxfId="64">
      <formula>"Closed"</formula>
    </cfRule>
  </conditionalFormatting>
  <conditionalFormatting sqref="F4:F1002">
    <cfRule type="cellIs" priority="60" operator="equal" dxfId="63">
      <formula>"AOG"</formula>
    </cfRule>
    <cfRule type="cellIs" priority="61" operator="equal" dxfId="62">
      <formula>"Critical"</formula>
    </cfRule>
    <cfRule type="cellIs" priority="62" operator="equal" dxfId="61">
      <formula>"High"</formula>
    </cfRule>
    <cfRule type="cellIs" priority="63" operator="equal" dxfId="60">
      <formula>"Normal"</formula>
    </cfRule>
    <cfRule type="cellIs" priority="64" operator="equal" dxfId="59">
      <formula>"Low"</formula>
    </cfRule>
  </conditionalFormatting>
  <conditionalFormatting sqref="G4:G1002">
    <cfRule type="cellIs" priority="103" operator="equal" dxfId="58">
      <formula>"CAB"</formula>
    </cfRule>
    <cfRule type="cellIs" priority="104" operator="equal" dxfId="57">
      <formula>"SEAT"</formula>
    </cfRule>
    <cfRule type="cellIs" priority="105" operator="equal" dxfId="56">
      <formula>"AV"</formula>
    </cfRule>
    <cfRule type="cellIs" priority="106" operator="equal" dxfId="55">
      <formula>"S/W"</formula>
    </cfRule>
    <cfRule type="cellIs" priority="107" operator="equal" dxfId="54">
      <formula>"S/M"</formula>
    </cfRule>
    <cfRule type="cellIs" priority="108" operator="equal" dxfId="53">
      <formula>"PAINT"</formula>
    </cfRule>
    <cfRule type="cellIs" priority="110" operator="equal" dxfId="52">
      <formula>"INSP"</formula>
    </cfRule>
    <cfRule type="cellIs" priority="109" operator="equal" dxfId="51">
      <formula>"JOINT"</formula>
    </cfRule>
  </conditionalFormatting>
  <conditionalFormatting sqref="H4:H1002">
    <cfRule type="cellIs" priority="101" operator="equal" dxfId="50">
      <formula>"Pending EVAL"</formula>
    </cfRule>
    <cfRule type="cellIs" priority="102" operator="equal" dxfId="49">
      <formula>"N/A"</formula>
    </cfRule>
    <cfRule type="cellIs" priority="91" operator="equal" dxfId="48">
      <formula>"N/R"</formula>
    </cfRule>
    <cfRule type="cellIs" priority="92" operator="equal" dxfId="47">
      <formula>"Requested"</formula>
    </cfRule>
    <cfRule type="cellIs" priority="94" operator="equal" dxfId="46">
      <formula>"Requested - R"</formula>
    </cfRule>
    <cfRule type="cellIs" priority="99" operator="equal" dxfId="45">
      <formula>"Requested - CR"</formula>
    </cfRule>
  </conditionalFormatting>
  <conditionalFormatting sqref="I4:I1002">
    <cfRule type="expression" priority="86" dxfId="44">
      <formula>OR(TRIM(I4)="C/W",TRIM(I4)="CW")</formula>
    </cfRule>
  </conditionalFormatting>
  <conditionalFormatting sqref="J4:J1002">
    <cfRule type="cellIs" priority="111" operator="equal" dxfId="41">
      <formula>"Yes"</formula>
    </cfRule>
    <cfRule type="cellIs" priority="112" operator="equal" dxfId="41">
      <formula>"No"</formula>
    </cfRule>
    <cfRule type="cellIs" priority="113" operator="equal" dxfId="41">
      <formula>"N/A"</formula>
    </cfRule>
  </conditionalFormatting>
  <conditionalFormatting sqref="K4:K1002">
    <cfRule type="cellIs" priority="84" operator="equal" dxfId="40">
      <formula>"JOINT"</formula>
    </cfRule>
    <cfRule type="cellIs" priority="83" operator="equal" dxfId="39">
      <formula>"AFT"</formula>
    </cfRule>
    <cfRule type="cellIs" priority="82" operator="equal" dxfId="38">
      <formula>"FWD"</formula>
    </cfRule>
  </conditionalFormatting>
  <dataValidations count="7">
    <dataValidation sqref="E4:E1002" showDropDown="0" showInputMessage="0" showErrorMessage="0" allowBlank="1" type="list">
      <formula1>"Open,In Progress,Closed,Deferred,On Hold,N/A"</formula1>
    </dataValidation>
    <dataValidation sqref="F4:F1002" showDropDown="0" showInputMessage="0" showErrorMessage="0" allowBlank="1" type="list">
      <formula1>"AOG,Critical,High,Normal,Low"</formula1>
    </dataValidation>
    <dataValidation sqref="D4:D1002" showDropDown="0" showInputMessage="0" showErrorMessage="0" allowBlank="1" type="list">
      <formula1>"GENERAL CABIN,GALLEY,LAVATORY,PAX DOORS,F/A SEAT,PAX SEAT,FLIGHT DECK,TEDLAR/SIDEWALL,TASK CARD"</formula1>
    </dataValidation>
    <dataValidation sqref="J4:J1002" showDropDown="0" showInputMessage="0" showErrorMessage="0" allowBlank="1" type="list">
      <formula1>"Yes,No,N/A"</formula1>
    </dataValidation>
    <dataValidation sqref="G4:G1002" showDropDown="0" showInputMessage="0" showErrorMessage="0" allowBlank="1" type="list">
      <formula1>"CAB,SEAT,AV,S/W,S/M,PAINT,JOINT,INSP"</formula1>
    </dataValidation>
    <dataValidation sqref="K4:K1003" showDropDown="0" showInputMessage="0" showErrorMessage="0" allowBlank="1" type="list">
      <formula1>"FWD,AFT,JOINT"</formula1>
    </dataValidation>
    <dataValidation sqref="H5:H1002" showDropDown="0" showInputMessage="0" showErrorMessage="0" allowBlank="1" type="list">
      <formula1>"N/R,Requested,Requested - CR,Requested - R,Pending EVAL,N/A"</formula1>
    </dataValidation>
  </dataValidations>
  <pageMargins left="0.75" right="0.75" top="1" bottom="1" header="0.511811023622047" footer="0.511811023622047"/>
  <pageSetup orientation="landscape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J39"/>
  <sheetViews>
    <sheetView showGridLines="0" workbookViewId="0">
      <selection activeCell="U17" sqref="U17"/>
    </sheetView>
  </sheetViews>
  <sheetFormatPr baseColWidth="8" defaultRowHeight="14.4"/>
  <cols>
    <col width="3" customWidth="1" style="104" min="1" max="1"/>
    <col width="26" customWidth="1" style="104" min="2" max="2"/>
    <col width="14" customWidth="1" style="104" min="3" max="3"/>
    <col width="3" customWidth="1" style="104" min="4" max="4"/>
    <col width="26" customWidth="1" style="104" min="5" max="5"/>
    <col width="14" customWidth="1" style="104" min="6" max="6"/>
    <col width="3" customWidth="1" style="104" min="7" max="7"/>
    <col width="26" customWidth="1" style="104" min="8" max="8"/>
    <col width="14" customWidth="1" style="104" min="9" max="9"/>
    <col width="3" customWidth="1" style="104" min="10" max="10"/>
  </cols>
  <sheetData>
    <row r="1" ht="36" customHeight="1" s="104">
      <c r="A1" s="108" t="inlineStr">
        <is>
          <t>📊  ASF C3-CHECK — WORK PACKAGE DASHBOARD</t>
        </is>
      </c>
      <c r="I1" s="112">
        <f>"Day "&amp;TEXT(MAX(1,MIN(TODAY()-DATE(2026,6,8)+1,36)),"0")&amp;"/36"</f>
        <v/>
      </c>
    </row>
    <row r="2" ht="13.95" customHeight="1" s="104">
      <c r="A2" s="118" t="inlineStr">
        <is>
          <t>All figures update automatically from ASF Tracker</t>
        </is>
      </c>
    </row>
    <row r="3" ht="18" customHeight="1" s="104">
      <c r="A3" s="111" t="inlineStr">
        <is>
          <t xml:space="preserve">  STATUS OVERVIEW</t>
        </is>
      </c>
    </row>
    <row r="4" ht="4.2" customHeight="1" s="104"/>
    <row r="5" ht="31.95" customHeight="1" s="104">
      <c r="B5" s="70" t="inlineStr">
        <is>
          <t>Total Items/WOs</t>
        </is>
      </c>
      <c r="C5" s="13">
        <f>COUNTIF('ASF Tracker'!B4:B1002,"&lt;&gt;")</f>
        <v/>
      </c>
      <c r="E5" s="14" t="inlineStr">
        <is>
          <t>Closed</t>
        </is>
      </c>
      <c r="F5" s="15">
        <f>COUNTIFS('ASF Tracker'!B4:B1002,"&lt;&gt;",'ASF Tracker'!E4:E1002,"Closed")</f>
        <v/>
      </c>
      <c r="H5" s="16" t="inlineStr">
        <is>
          <t>Completion</t>
        </is>
      </c>
      <c r="I5" s="17">
        <f>TEXT(IFERROR(COUNTIFS('ASF Tracker'!B4:B1002,"&lt;&gt;",'ASF Tracker'!E4:E1002,"Closed")/COUNTIF('ASF Tracker'!B4:B1002,"&lt;&gt;"),0),"0%")</f>
        <v/>
      </c>
    </row>
    <row r="6" ht="4.2" customHeight="1" s="104"/>
    <row r="7" ht="31.95" customHeight="1" s="104">
      <c r="B7" s="71" t="inlineStr">
        <is>
          <t>Open</t>
        </is>
      </c>
      <c r="C7" s="18">
        <f>COUNTIFS('ASF Tracker'!B4:B1002,"&lt;&gt;",'ASF Tracker'!E4:E1002,"Open")</f>
        <v/>
      </c>
      <c r="E7" s="19" t="inlineStr">
        <is>
          <t>In Progress</t>
        </is>
      </c>
      <c r="F7" s="20">
        <f>COUNTIFS('ASF Tracker'!B4:B1002,"&lt;&gt;",'ASF Tracker'!E4:E1002,"In Progress")</f>
        <v/>
      </c>
      <c r="H7" s="21" t="inlineStr">
        <is>
          <t>Deferred / Hold</t>
        </is>
      </c>
      <c r="I7" s="22">
        <f>COUNTIFS('ASF Tracker'!B4:B1002,"&lt;&gt;",'ASF Tracker'!E4:E1002,"Deferred")+COUNTIFS('ASF Tracker'!B4:B1002,"&lt;&gt;",'ASF Tracker'!E4:E1002,"On Hold")</f>
        <v/>
      </c>
    </row>
    <row r="8" ht="4.2" customHeight="1" s="104"/>
    <row r="9" ht="18" customHeight="1" s="104">
      <c r="A9" s="117" t="inlineStr">
        <is>
          <t xml:space="preserve">  PRIORITY ALERTS</t>
        </is>
      </c>
    </row>
    <row r="10" ht="4.2" customHeight="1" s="104"/>
    <row r="11" ht="31.95" customHeight="1" s="104">
      <c r="B11" s="72" t="inlineStr">
        <is>
          <t>AOG</t>
        </is>
      </c>
      <c r="C11" s="23">
        <f>COUNTIFS('ASF Tracker'!B4:B1002,"&lt;&gt;",'ASF Tracker'!F4:F1002,"AOG")</f>
        <v/>
      </c>
      <c r="E11" s="19" t="inlineStr">
        <is>
          <t>Critical</t>
        </is>
      </c>
      <c r="F11" s="20">
        <f>COUNTIFS('ASF Tracker'!B4:B1002,"&lt;&gt;",'ASF Tracker'!F4:F1002,"Critical")</f>
        <v/>
      </c>
      <c r="H11" s="24" t="inlineStr">
        <is>
          <t>High</t>
        </is>
      </c>
      <c r="I11" s="25">
        <f>COUNTIFS('ASF Tracker'!B4:B1002,"&lt;&gt;",'ASF Tracker'!F4:F1002,"High")</f>
        <v/>
      </c>
    </row>
    <row r="12" ht="4.2" customHeight="1" s="104"/>
    <row r="13" ht="18" customHeight="1" s="104">
      <c r="A13" s="111" t="inlineStr">
        <is>
          <t xml:space="preserve">  PARTS REQUIREMENTS  (count of WOs with each status)</t>
        </is>
      </c>
    </row>
    <row r="14" ht="4.2" customHeight="1" s="104"/>
    <row r="15" ht="31.95" customHeight="1" s="104">
      <c r="B15" s="26" t="inlineStr">
        <is>
          <t>Requested</t>
        </is>
      </c>
      <c r="C15" s="27">
        <f>COUNTIFS('ASF Tracker'!B4:B1002,"&lt;&gt;",'ASF Tracker'!H4:H1002,"Requested")</f>
        <v/>
      </c>
      <c r="E15" s="28" t="inlineStr">
        <is>
          <t>Requested – CR</t>
        </is>
      </c>
      <c r="F15" s="29">
        <f>COUNTIFS('ASF Tracker'!B4:B1002,"&lt;&gt;",'ASF Tracker'!H4:H1002,"Requested - CR")</f>
        <v/>
      </c>
      <c r="H15" s="30" t="inlineStr">
        <is>
          <t>Requested – R</t>
        </is>
      </c>
      <c r="I15" s="31">
        <f>COUNTIFS('ASF Tracker'!B4:B1002,"&lt;&gt;",'ASF Tracker'!H4:H1002,"Requested - R")</f>
        <v/>
      </c>
    </row>
    <row r="16" ht="4.2" customHeight="1" s="104"/>
    <row r="17" ht="31.95" customHeight="1" s="104">
      <c r="B17" s="75" t="inlineStr">
        <is>
          <t>Pending - Require Evaluation</t>
        </is>
      </c>
      <c r="C17" s="32">
        <f>COUNTIFS('ASF Tracker'!B4:B1002,"&lt;&gt;",'ASF Tracker'!H4:H1002,"Pending EVAL")</f>
        <v/>
      </c>
      <c r="E17" s="14" t="inlineStr">
        <is>
          <t>N/R  (not required)</t>
        </is>
      </c>
      <c r="F17" s="15">
        <f>COUNTIFS('ASF Tracker'!B4:B1002,"&lt;&gt;",'ASF Tracker'!H4:H1002,"N/R")</f>
        <v/>
      </c>
      <c r="H17" s="33" t="inlineStr">
        <is>
          <t>N/A (Not available)</t>
        </is>
      </c>
      <c r="I17" s="34">
        <f>COUNTIFS('ASF Tracker'!B4:B1002,"&lt;&gt;",'ASF Tracker'!H4:H1002,"N/A")</f>
        <v/>
      </c>
    </row>
    <row r="18" ht="4.2" customHeight="1" s="104"/>
    <row r="19" ht="18" customHeight="1" s="104">
      <c r="A19" s="111" t="inlineStr">
        <is>
          <t xml:space="preserve">  BY CATEGORY</t>
        </is>
      </c>
    </row>
    <row r="20" ht="4.2" customHeight="1" s="104"/>
    <row r="21" ht="31.95" customHeight="1" s="104">
      <c r="B21" s="35" t="inlineStr">
        <is>
          <t>TASK CARD</t>
        </is>
      </c>
      <c r="C21" s="36">
        <f>IFERROR(COUNTIFS('ASF Tracker'!$B$4:$B$1002,"&lt;&gt;",'ASF Tracker'!$D$4:$D$1002,"TASK CARD",'ASF Tracker'!$E$4:$E$1002,"Closed")&amp;" / "&amp;COUNTIFS('ASF Tracker'!$B$4:$B$1002,"&lt;&gt;",'ASF Tracker'!$D$4:$D$1002,"TASK CARD"),"-")</f>
        <v/>
      </c>
      <c r="E21" s="37" t="inlineStr">
        <is>
          <t>LAVATORY</t>
        </is>
      </c>
      <c r="F21" s="38">
        <f>IFERROR(COUNTIFS('ASF Tracker'!$B$4:$B$1002,"&lt;&gt;",'ASF Tracker'!$D$4:$D$1002,"LAVATORY",'ASF Tracker'!$E$4:$E$1002,"Closed")&amp;" / "&amp;COUNTIFS('ASF Tracker'!$B$4:$B$1002,"&lt;&gt;",'ASF Tracker'!$D$4:$D$1002,"LAVATORY"),"-")</f>
        <v/>
      </c>
      <c r="H21" s="39" t="inlineStr">
        <is>
          <t>GALLEY</t>
        </is>
      </c>
      <c r="I21" s="40">
        <f>IFERROR(COUNTIFS('ASF Tracker'!$B$4:$B$1002,"&lt;&gt;",'ASF Tracker'!$D$4:$D$1002,"GALLEY",'ASF Tracker'!$E$4:$E$1002,"Closed")&amp;" / "&amp;COUNTIFS('ASF Tracker'!$B$4:$B$1002,"&lt;&gt;",'ASF Tracker'!$D$4:$D$1002,"GALLEY"),"-")</f>
        <v/>
      </c>
    </row>
    <row r="22" ht="14.4" customHeight="1" s="104">
      <c r="B22" s="116">
        <f>IFERROR("Completion: "&amp;TEXT(COUNTIFS('ASF Tracker'!$B$4:$B$1002,"&lt;&gt;",'ASF Tracker'!$D$4:$D$1002,"TASK CARD",'ASF Tracker'!$E$4:$E$1002,"Closed")/COUNTIFS('ASF Tracker'!$B$4:$B$1002,"&lt;&gt;",'ASF Tracker'!$D$4:$D$1002,"TASK CARD"),"0%"),"-")</f>
        <v/>
      </c>
      <c r="C22" s="110" t="n"/>
      <c r="E22" s="119">
        <f>IFERROR("Completion: "&amp;TEXT(COUNTIFS('ASF Tracker'!$B$4:$B$1002,"&lt;&gt;",'ASF Tracker'!$D$4:$D$1002,"LAVATORY",'ASF Tracker'!$E$4:$E$1002,"Closed")/COUNTIFS('ASF Tracker'!$B$4:$B$1002,"&lt;&gt;",'ASF Tracker'!$D$4:$D$1002,"LAVATORY"),"0%"),"-")</f>
        <v/>
      </c>
      <c r="F22" s="110" t="n"/>
      <c r="H22" s="114">
        <f>IFERROR("Completion: "&amp;TEXT(COUNTIFS('ASF Tracker'!$B$4:$B$1002,"&lt;&gt;",'ASF Tracker'!$D$4:$D$1002,"GALLEY",'ASF Tracker'!$E$4:$E$1002,"Closed")/COUNTIFS('ASF Tracker'!$B$4:$B$1002,"&lt;&gt;",'ASF Tracker'!$D$4:$D$1002,"GALLEY"),"0%"),"-")</f>
        <v/>
      </c>
      <c r="I22" s="110" t="n"/>
    </row>
    <row r="23" ht="4.2" customHeight="1" s="104">
      <c r="B23" s="58" t="n"/>
      <c r="E23" s="58" t="n"/>
      <c r="H23" s="58" t="n"/>
    </row>
    <row r="24" ht="31.95" customHeight="1" s="104">
      <c r="B24" s="41" t="inlineStr">
        <is>
          <t>GENERAL CABIN</t>
        </is>
      </c>
      <c r="C24" s="42">
        <f>IFERROR(COUNTIFS('ASF Tracker'!$D$4:$D$1002,"GENERAL CABIN",'ASF Tracker'!$E$4:$E$1002,"Closed",'ASF Tracker'!$B$4:$B$1002,"&lt;&gt;")&amp;" / "&amp;COUNTIFS('ASF Tracker'!$D$4:$D$1002,"GENERAL CABIN",'ASF Tracker'!$B$4:$B$1002,"&lt;&gt;"),"-")</f>
        <v/>
      </c>
      <c r="E24" s="43" t="inlineStr">
        <is>
          <t>TEDLAR/SIDEWALL</t>
        </is>
      </c>
      <c r="F24" s="44">
        <f>IFERROR(COUNTIFS('ASF Tracker'!$B$4:$B$1002,"&lt;&gt;",'ASF Tracker'!$D$4:$D$1002,"TEDLAR/SIDEWALL",'ASF Tracker'!$E$4:$E$1002,"Closed")&amp;" / "&amp;COUNTIFS('ASF Tracker'!$B$4:$B$1002,"&lt;&gt;",'ASF Tracker'!$D$4:$D$1002,"TEDLAR/SIDEWALL"),"-")</f>
        <v/>
      </c>
      <c r="H24" s="73" t="inlineStr">
        <is>
          <t>PAX SEAT</t>
        </is>
      </c>
      <c r="I24" s="45">
        <f>IFERROR(COUNTIFS('ASF Tracker'!$B$4:$B$1002,"&lt;&gt;",'ASF Tracker'!$D$4:$D$1002,"PAX SEAT",'ASF Tracker'!$E$4:$E$1002,"Closed")&amp;" / "&amp;COUNTIFS('ASF Tracker'!$B$4:$B$1002,"&lt;&gt;",'ASF Tracker'!$D$4:$D$1002,"PAX SEAT"),"-")</f>
        <v/>
      </c>
    </row>
    <row r="25" ht="14.4" customHeight="1" s="104">
      <c r="B25" s="121">
        <f>IFERROR("Completion: "&amp;TEXT(COUNTIFS('ASF Tracker'!$D$4:$D$1002,"GENERAL CABIN",'ASF Tracker'!$E$4:$E$1002,"Closed",'ASF Tracker'!$B$4:$B$1002,"&lt;&gt;")/COUNTIFS('ASF Tracker'!$D$4:$D$1002,"GENERAL CABIN",'ASF Tracker'!$B$4:$B$1002,"&lt;&gt;"),"0%"),"-")</f>
        <v/>
      </c>
      <c r="C25" s="110" t="n"/>
      <c r="E25" s="122">
        <f>IFERROR("Completion: "&amp;TEXT(COUNTIFS('ASF Tracker'!$B$4:$B$1002,"&lt;&gt;",'ASF Tracker'!$D$4:$D$1002,"TEDLAR/SIDEWALL",'ASF Tracker'!$E$4:$E$1002,"Closed")/COUNTIFS('ASF Tracker'!$B$4:$B$1002,"&lt;&gt;",'ASF Tracker'!$D$4:$D$1002,"TEDLAR/SIDEWALL"),"0%"),"-")</f>
        <v/>
      </c>
      <c r="F25" s="110" t="n"/>
      <c r="H25" s="120">
        <f>IFERROR("Completion: "&amp;TEXT(COUNTIFS('ASF Tracker'!$B$4:$B$1002,"&lt;&gt;",'ASF Tracker'!$D$4:$D$1002,"PAX SEAT",'ASF Tracker'!$E$4:$E$1002,"Closed")/COUNTIFS('ASF Tracker'!$B$4:$B$1002,"&lt;&gt;",'ASF Tracker'!$D$4:$D$1002,"PAX SEAT"),"0%"),"-")</f>
        <v/>
      </c>
      <c r="I25" s="110" t="n"/>
    </row>
    <row r="26" ht="4.2" customHeight="1" s="104">
      <c r="B26" s="58" t="n"/>
      <c r="E26" s="58" t="n"/>
      <c r="H26" s="58" t="n"/>
    </row>
    <row r="27" ht="31.95" customHeight="1" s="104">
      <c r="B27" s="46" t="inlineStr">
        <is>
          <t>PAX DOORS</t>
        </is>
      </c>
      <c r="C27" s="47">
        <f>IFERROR(COUNTIFS('ASF Tracker'!$B$4:$B$1002,"&lt;&gt;",'ASF Tracker'!$D$4:$D$1002,"PAX DOORS",'ASF Tracker'!$E$4:$E$1002,"Closed")&amp;" / "&amp;COUNTIFS('ASF Tracker'!$B$4:$B$1002,"&lt;&gt;",'ASF Tracker'!$D$4:$D$1002,"PAX DOORS"),"-")</f>
        <v/>
      </c>
      <c r="E27" s="48" t="inlineStr">
        <is>
          <t>F/A SEAT</t>
        </is>
      </c>
      <c r="F27" s="49">
        <f>IFERROR(COUNTIFS('ASF Tracker'!$B$4:$B$1002,"&lt;&gt;",'ASF Tracker'!$D$4:$D$1002,"F/A SEAT",'ASF Tracker'!$E$4:$E$1002,"Closed")&amp;" / "&amp;COUNTIFS('ASF Tracker'!$B$4:$B$1002,"&lt;&gt;",'ASF Tracker'!$D$4:$D$1002,"F/A SEAT"),"-")</f>
        <v/>
      </c>
      <c r="H27" s="59" t="inlineStr">
        <is>
          <t>OTHERS</t>
        </is>
      </c>
      <c r="I27" s="60">
        <f>IFERROR((COUNTIFS('ASF Tracker'!$B$4:$B$1002,"&lt;&gt;",'ASF Tracker'!$E$4:$E$1002,"Closed")-(COUNTIFS('ASF Tracker'!$B$4:$B$1002,"&lt;&gt;",'ASF Tracker'!$D$4:$D$1002,"TASK CARD",'ASF Tracker'!$E$4:$E$1002,"Closed")+COUNTIFS('ASF Tracker'!$B$4:$B$1002,"&lt;&gt;",'ASF Tracker'!$D$4:$D$1002,"LAVATORY",'ASF Tracker'!$E$4:$E$1002,"Closed")+COUNTIFS('ASF Tracker'!$B$4:$B$1002,"&lt;&gt;",'ASF Tracker'!$D$4:$D$1002,"GALLEY",'ASF Tracker'!$E$4:$E$1002,"Closed")+COUNTIFS('ASF Tracker'!$B$4:$B$1002,"&lt;&gt;",'ASF Tracker'!$D$4:$D$1002,"GENERAL CABIN",'ASF Tracker'!$E$4:$E$1002,"Closed")+COUNTIFS('ASF Tracker'!$B$4:$B$1002,"&lt;&gt;",'ASF Tracker'!$D$4:$D$1002,"TEDLAR/SIDEWALL",'ASF Tracker'!$E$4:$E$1002,"Closed")+COUNTIFS('ASF Tracker'!$B$4:$B$1002,"&lt;&gt;",'ASF Tracker'!$D$4:$D$1002,"PAX SEAT",'ASF Tracker'!$E$4:$E$1002,"Closed")+COUNTIFS('ASF Tracker'!$B$4:$B$1002,"&lt;&gt;",'ASF Tracker'!$D$4:$D$1002,"PAX DOORS",'ASF Tracker'!$E$4:$E$1002,"Closed")+COUNTIFS('ASF Tracker'!$B$4:$B$1002,"&lt;&gt;",'ASF Tracker'!$D$4:$D$1002,"F/A SEAT",'ASF Tracker'!$E$4:$E$1002,"Closed")+COUNTIFS('ASF Tracker'!$B$4:$B$1002,"&lt;&gt;",'ASF Tracker'!$D$4:$D$1002,"OFAR/OFCR",'ASF Tracker'!$E$4:$E$1002,"Closed")+COUNTIFS('ASF Tracker'!$B$4:$B$1002,"&lt;&gt;",'ASF Tracker'!$D$4:$D$1002,"FLIGHT DECK",'ASF Tracker'!$E$4:$E$1002,"Closed")))&amp;" / "&amp;(COUNTIFS('ASF Tracker'!$B$4:$B$1002,"&lt;&gt;")-(COUNTIFS('ASF Tracker'!$B$4:$B$1002,"&lt;&gt;",'ASF Tracker'!$D$4:$D$1002,"TASK CARD")+COUNTIFS('ASF Tracker'!$B$4:$B$1002,"&lt;&gt;",'ASF Tracker'!$D$4:$D$1002,"LAVATORY")+COUNTIFS('ASF Tracker'!$B$4:$B$1002,"&lt;&gt;",'ASF Tracker'!$D$4:$D$1002,"GALLEY")+COUNTIFS('ASF Tracker'!$B$4:$B$1002,"&lt;&gt;",'ASF Tracker'!$D$4:$D$1002,"GENERAL CABIN")+COUNTIFS('ASF Tracker'!$B$4:$B$1002,"&lt;&gt;",'ASF Tracker'!$D$4:$D$1002,"TEDLAR/SIDEWALL")+COUNTIFS('ASF Tracker'!$B$4:$B$1002,"&lt;&gt;",'ASF Tracker'!$D$4:$D$1002,"PAX SEAT")+COUNTIFS('ASF Tracker'!$B$4:$B$1002,"&lt;&gt;",'ASF Tracker'!$D$4:$D$1002,"PAX DOORS")+COUNTIFS('ASF Tracker'!$B$4:$B$1002,"&lt;&gt;",'ASF Tracker'!$D$4:$D$1002,"F/A SEAT")+COUNTIFS('ASF Tracker'!$B$4:$B$1002,"&lt;&gt;",'ASF Tracker'!$D$4:$D$1002,"OFAR/OFCR")+COUNTIFS('ASF Tracker'!$B$4:$B$1002,"&lt;&gt;",'ASF Tracker'!$D$4:$D$1002,"FLIGHT DECK"))),"-")</f>
        <v/>
      </c>
    </row>
    <row r="28" ht="14.4" customHeight="1" s="104">
      <c r="B28" s="113">
        <f>IFERROR("Completion: "&amp;TEXT(COUNTIFS('ASF Tracker'!$B$4:$B$1002,"&lt;&gt;",'ASF Tracker'!$D$4:$D$1002,"PAX DOORS",'ASF Tracker'!$E$4:$E$1002,"Closed")/COUNTIFS('ASF Tracker'!$B$4:$B$1002,"&lt;&gt;",'ASF Tracker'!$D$4:$D$1002,"PAX DOORS"),"0%"),"-")</f>
        <v/>
      </c>
      <c r="C28" s="110" t="n"/>
      <c r="E28" s="115">
        <f>IFERROR("Completion: "&amp;TEXT(COUNTIFS('ASF Tracker'!$B$4:$B$1002,"&lt;&gt;",'ASF Tracker'!$D$4:$D$1002,"F/A SEAT",'ASF Tracker'!$E$4:$E$1002,"Closed")/COUNTIFS('ASF Tracker'!$B$4:$B$1002,"&lt;&gt;",'ASF Tracker'!$D$4:$D$1002,"F/A SEAT"),"0%"),"-")</f>
        <v/>
      </c>
      <c r="F28" s="110" t="n"/>
      <c r="H28" s="109">
        <f>IFERROR("Completion: "&amp;TEXT(((COUNTIFS('ASF Tracker'!$B$4:$B$1002,"&lt;&gt;",'ASF Tracker'!$E$4:$E$1002,"Closed")-(COUNTIFS('ASF Tracker'!$B$4:$B$1002,"&lt;&gt;",'ASF Tracker'!$D$4:$D$1002,"TASK CARD",'ASF Tracker'!$E$4:$E$1002,"Closed")+COUNTIFS('ASF Tracker'!$B$4:$B$1002,"&lt;&gt;",'ASF Tracker'!$D$4:$D$1002,"LAVATORY",'ASF Tracker'!$E$4:$E$1002,"Closed")+COUNTIFS('ASF Tracker'!$B$4:$B$1002,"&lt;&gt;",'ASF Tracker'!$D$4:$D$1002,"GALLEY",'ASF Tracker'!$E$4:$E$1002,"Closed")+COUNTIFS('ASF Tracker'!$B$4:$B$1002,"&lt;&gt;",'ASF Tracker'!$D$4:$D$1002,"GENERAL CABIN",'ASF Tracker'!$E$4:$E$1002,"Closed")+COUNTIFS('ASF Tracker'!$B$4:$B$1002,"&lt;&gt;",'ASF Tracker'!$D$4:$D$1002,"TEDLAR/SIDEWALL",'ASF Tracker'!$E$4:$E$1002,"Closed")+COUNTIFS('ASF Tracker'!$B$4:$B$1002,"&lt;&gt;",'ASF Tracker'!$D$4:$D$1002,"PAX SEAT",'ASF Tracker'!$E$4:$E$1002,"Closed")+COUNTIFS('ASF Tracker'!$B$4:$B$1002,"&lt;&gt;",'ASF Tracker'!$D$4:$D$1002,"PAX DOORS",'ASF Tracker'!$E$4:$E$1002,"Closed")+COUNTIFS('ASF Tracker'!$B$4:$B$1002,"&lt;&gt;",'ASF Tracker'!$D$4:$D$1002,"F/A SEAT",'ASF Tracker'!$E$4:$E$1002,"Closed")+COUNTIFS('ASF Tracker'!$B$4:$B$1002,"&lt;&gt;",'ASF Tracker'!$D$4:$D$1002,"OFAR/OFCR",'ASF Tracker'!$E$4:$E$1002,"Closed")+COUNTIFS('ASF Tracker'!$B$4:$B$1002,"&lt;&gt;",'ASF Tracker'!$D$4:$D$1002,"FLIGHT DECK",'ASF Tracker'!$E$4:$E$1002,"Closed"))))/((COUNTIFS('ASF Tracker'!$B$4:$B$1002,"&lt;&gt;")-(COUNTIFS('ASF Tracker'!$B$4:$B$1002,"&lt;&gt;",'ASF Tracker'!$D$4:$D$1002,"TASK CARD")+COUNTIFS('ASF Tracker'!$B$4:$B$1002,"&lt;&gt;",'ASF Tracker'!$D$4:$D$1002,"LAVATORY")+COUNTIFS('ASF Tracker'!$B$4:$B$1002,"&lt;&gt;",'ASF Tracker'!$D$4:$D$1002,"GALLEY")+COUNTIFS('ASF Tracker'!$B$4:$B$1002,"&lt;&gt;",'ASF Tracker'!$D$4:$D$1002,"GENERAL CABIN")+COUNTIFS('ASF Tracker'!$B$4:$B$1002,"&lt;&gt;",'ASF Tracker'!$D$4:$D$1002,"TEDLAR/SIDEWALL")+COUNTIFS('ASF Tracker'!$B$4:$B$1002,"&lt;&gt;",'ASF Tracker'!$D$4:$D$1002,"PAX SEAT")+COUNTIFS('ASF Tracker'!$B$4:$B$1002,"&lt;&gt;",'ASF Tracker'!$D$4:$D$1002,"PAX DOORS")+COUNTIFS('ASF Tracker'!$B$4:$B$1002,"&lt;&gt;",'ASF Tracker'!$D$4:$D$1002,"F/A SEAT")+COUNTIFS('ASF Tracker'!$B$4:$B$1002,"&lt;&gt;",'ASF Tracker'!$D$4:$D$1002,"OFAR/OFCR")+COUNTIFS('ASF Tracker'!$B$4:$B$1002,"&lt;&gt;",'ASF Tracker'!$D$4:$D$1002,"FLIGHT DECK")))),"0%"),"-")</f>
        <v/>
      </c>
      <c r="I28" s="110" t="n"/>
    </row>
    <row r="29" ht="4.2" customHeight="1" s="104">
      <c r="B29" s="58" t="n"/>
      <c r="E29" s="58" t="n"/>
    </row>
    <row r="30" ht="31.95" customHeight="1" s="104">
      <c r="B30" s="50" t="inlineStr">
        <is>
          <t>FLIGHT DECK</t>
        </is>
      </c>
      <c r="C30" s="51">
        <f>IFERROR(COUNTIFS('ASF Tracker'!$B$4:$B$1002,"&lt;&gt;",'ASF Tracker'!$D$4:$D$1002,"FLIGHT DECK",'ASF Tracker'!$E$4:$E$1002,"Closed")&amp;" / "&amp;COUNTIFS('ASF Tracker'!$B$4:$B$1002,"&lt;&gt;",'ASF Tracker'!$D$4:$D$1002,"FLIGHT DECK"),"-")</f>
        <v/>
      </c>
    </row>
    <row r="31">
      <c r="B31" s="120">
        <f>IFERROR("Completion: "&amp;TEXT(COUNTIFS('ASF Tracker'!$B$4:$B$1002,"&lt;&gt;",'ASF Tracker'!$D$4:$D$1002,"FLIGHT DECK",'ASF Tracker'!$E$4:$E$1002,"Closed")/COUNTIFS('ASF Tracker'!$B$4:$B$1002,"&lt;&gt;",'ASF Tracker'!$D$4:$D$1002,"FLIGHT DECK"),"0%"),"-")</f>
        <v/>
      </c>
      <c r="C31" s="110" t="n"/>
    </row>
    <row r="32" ht="4.2" customHeight="1" s="104"/>
    <row r="33" ht="18" customHeight="1" s="104">
      <c r="A33" s="111" t="inlineStr">
        <is>
          <t xml:space="preserve">  SPECIALTY</t>
        </is>
      </c>
    </row>
    <row r="34" ht="4.2" customHeight="1" s="104"/>
    <row r="35" ht="32.1" customHeight="1" s="104">
      <c r="B35" s="37" t="inlineStr">
        <is>
          <t>CAB</t>
        </is>
      </c>
      <c r="C35" s="38">
        <f>COUNTIFS('ASF Tracker'!B4:B1002,"&lt;&gt;",'ASF Tracker'!G4:G1002,"CAB")</f>
        <v/>
      </c>
      <c r="E35" s="46" t="inlineStr">
        <is>
          <t>SEAT</t>
        </is>
      </c>
      <c r="F35" s="47">
        <f>COUNTIFS('ASF Tracker'!B4:B1002,"&lt;&gt;",'ASF Tracker'!G4:G1002,"SEAT")</f>
        <v/>
      </c>
      <c r="H35" s="30" t="inlineStr">
        <is>
          <t>AV</t>
        </is>
      </c>
      <c r="I35" s="52">
        <f>COUNTIFS('ASF Tracker'!B4:B1002,"&lt;&gt;",'ASF Tracker'!G4:G1002,"AV")</f>
        <v/>
      </c>
    </row>
    <row r="36" ht="4.2" customHeight="1" s="104"/>
    <row r="37" ht="32.1" customHeight="1" s="104">
      <c r="B37" s="43" t="inlineStr">
        <is>
          <t>S/W</t>
        </is>
      </c>
      <c r="C37" s="44">
        <f>COUNTIFS('ASF Tracker'!B4:B1002,"&lt;&gt;",'ASF Tracker'!G4:G1002,"S/W")</f>
        <v/>
      </c>
      <c r="E37" s="53" t="inlineStr">
        <is>
          <t>S/M</t>
        </is>
      </c>
      <c r="F37" s="54">
        <f>COUNTIFS('ASF Tracker'!B4:B1002,"&lt;&gt;",'ASF Tracker'!G4:G1002,"S/M")</f>
        <v/>
      </c>
      <c r="H37" s="61" t="inlineStr">
        <is>
          <t>PAINT</t>
        </is>
      </c>
      <c r="I37" s="62">
        <f>COUNTIFS('ASF Tracker'!B4:B1002,"&lt;&gt;",'ASF Tracker'!G4:G1002,"PAINT")</f>
        <v/>
      </c>
    </row>
    <row r="38" ht="4.2" customHeight="1" s="104"/>
    <row r="39" ht="32.1" customHeight="1" s="104">
      <c r="B39" s="55" t="inlineStr">
        <is>
          <t>JOINT</t>
        </is>
      </c>
      <c r="C39" s="56">
        <f>COUNTIFS('ASF Tracker'!B4:B1002,"&lt;&gt;",'ASF Tracker'!G4:G1002,"JOINT")</f>
        <v/>
      </c>
      <c r="E39" s="2" t="inlineStr">
        <is>
          <t>INSP</t>
        </is>
      </c>
      <c r="F39" s="3">
        <f>COUNTIFS('ASF Tracker'!B4:B1002,"&lt;&gt;",'ASF Tracker'!G4:G1002,"INSP")</f>
        <v/>
      </c>
      <c r="H39" s="63" t="inlineStr">
        <is>
          <t>AP</t>
        </is>
      </c>
      <c r="I39" s="64">
        <f>COUNTIFS('ASF Tracker'!B4:B1002,"&lt;&gt;",'ASF Tracker'!G4:G1002,"AP")</f>
        <v/>
      </c>
    </row>
    <row r="40" ht="4.2" customHeight="1" s="104"/>
    <row r="41" ht="32.1" customHeight="1" s="104"/>
  </sheetData>
  <mergeCells count="18">
    <mergeCell ref="A1:H1"/>
    <mergeCell ref="H25:I25"/>
    <mergeCell ref="B25:C25"/>
    <mergeCell ref="E25:F25"/>
    <mergeCell ref="A9:J9"/>
    <mergeCell ref="H22:I22"/>
    <mergeCell ref="B28:C28"/>
    <mergeCell ref="A3:J3"/>
    <mergeCell ref="E28:F28"/>
    <mergeCell ref="B22:C22"/>
    <mergeCell ref="A33:J33"/>
    <mergeCell ref="E22:F22"/>
    <mergeCell ref="B31:C31"/>
    <mergeCell ref="A2:J2"/>
    <mergeCell ref="H28:I28"/>
    <mergeCell ref="A13:J13"/>
    <mergeCell ref="I1:J1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K157"/>
  <sheetViews>
    <sheetView showGridLines="0" zoomScale="60" zoomScaleNormal="60" workbookViewId="0">
      <pane ySplit="3" topLeftCell="A153" activePane="bottomLeft" state="frozen"/>
      <selection pane="bottomLeft" activeCell="E67" sqref="E67"/>
    </sheetView>
  </sheetViews>
  <sheetFormatPr baseColWidth="8" defaultRowHeight="14.4"/>
  <cols>
    <col width="4" customWidth="1" style="104" min="1" max="1"/>
    <col width="10.88671875" customWidth="1" style="104" min="2" max="2"/>
    <col width="21.6640625" bestFit="1" customWidth="1" style="104" min="3" max="3"/>
    <col width="28.6640625" bestFit="1" customWidth="1" style="104" min="4" max="4"/>
    <col width="167.5546875" customWidth="1" style="104" min="5" max="5"/>
    <col width="32.5546875" bestFit="1" customWidth="1" style="104" min="6" max="6"/>
    <col width="42.88671875" customWidth="1" style="104" min="7" max="7"/>
    <col width="15.88671875" bestFit="1" customWidth="1" style="104" min="8" max="8"/>
    <col width="14.5546875" customWidth="1" style="104" min="9" max="9"/>
    <col width="16.88671875" customWidth="1" style="104" min="10" max="10"/>
  </cols>
  <sheetData>
    <row r="1" ht="33.75" customHeight="1" s="104">
      <c r="A1" s="124" t="inlineStr">
        <is>
          <t xml:space="preserve">📋  FINDINGS DRAFT — Pre-AMOS </t>
        </is>
      </c>
    </row>
    <row r="2" ht="16.2" customHeight="1" s="104" thickBot="1">
      <c r="A2" s="123" t="inlineStr">
        <is>
          <t>Findings sourced from ACFT Finding Report App · Review &amp; assign P/N before raising on AMOS</t>
        </is>
      </c>
    </row>
    <row r="3" ht="27.75" customHeight="1" s="104" thickBot="1">
      <c r="A3" s="65" t="inlineStr">
        <is>
          <t>#</t>
        </is>
      </c>
      <c r="B3" s="65" t="inlineStr">
        <is>
          <t xml:space="preserve"> By</t>
        </is>
      </c>
      <c r="C3" s="65" t="inlineStr">
        <is>
          <t>Category</t>
        </is>
      </c>
      <c r="D3" s="65" t="inlineStr">
        <is>
          <t>Sub-Category</t>
        </is>
      </c>
      <c r="E3" s="65" t="inlineStr">
        <is>
          <t>Finding Description</t>
        </is>
      </c>
      <c r="F3" s="65" t="inlineStr">
        <is>
          <t>Remarks</t>
        </is>
      </c>
      <c r="G3" s="65" t="inlineStr">
        <is>
          <t>Photo URL</t>
        </is>
      </c>
      <c r="H3" s="65" t="inlineStr">
        <is>
          <t>AMOS Status</t>
        </is>
      </c>
      <c r="I3" s="65" t="inlineStr">
        <is>
          <t>WO No.</t>
        </is>
      </c>
      <c r="J3" s="65" t="inlineStr">
        <is>
          <t>P/N Required</t>
        </is>
      </c>
      <c r="K3" s="65" t="inlineStr">
        <is>
          <t>Qty</t>
        </is>
      </c>
    </row>
    <row r="4" ht="19.5" customHeight="1" s="104">
      <c r="A4" s="66" t="n">
        <v>1</v>
      </c>
      <c r="B4" s="83" t="inlineStr">
        <is>
          <t>BAY 4 CREW</t>
        </is>
      </c>
      <c r="C4" s="9" t="inlineStr">
        <is>
          <t>LAVATORY</t>
        </is>
      </c>
      <c r="D4" s="68" t="inlineStr">
        <is>
          <t>LAV A</t>
        </is>
      </c>
      <c r="E4" s="12" t="inlineStr">
        <is>
          <t>LAVATORY A NURSING TABLE WITH MISSING BUMPER.</t>
        </is>
      </c>
      <c r="F4" s="9" t="n"/>
      <c r="G4" s="68" t="n"/>
      <c r="H4" s="57" t="inlineStr">
        <is>
          <t>Raised</t>
        </is>
      </c>
      <c r="I4" s="67" t="n"/>
      <c r="J4" s="67" t="n"/>
      <c r="K4" s="67" t="n"/>
    </row>
    <row r="5" ht="19.5" customHeight="1" s="104">
      <c r="A5" s="66" t="n">
        <v>2</v>
      </c>
      <c r="B5" s="83" t="inlineStr">
        <is>
          <t>BAY 4 CREW</t>
        </is>
      </c>
      <c r="C5" s="9" t="inlineStr">
        <is>
          <t>LAVATORY</t>
        </is>
      </c>
      <c r="D5" s="68" t="n"/>
      <c r="E5" s="12" t="inlineStr">
        <is>
          <t>LAVATORY A NURSING TABLE DISCOLORED.</t>
        </is>
      </c>
      <c r="F5" s="9" t="inlineStr">
        <is>
          <t>PAINT</t>
        </is>
      </c>
      <c r="G5" s="68" t="n"/>
      <c r="H5" s="57" t="inlineStr">
        <is>
          <t>Not Raised</t>
        </is>
      </c>
      <c r="I5" s="67" t="n"/>
      <c r="J5" s="67" t="n"/>
      <c r="K5" s="67" t="n"/>
    </row>
    <row r="6" ht="19.5" customHeight="1" s="104">
      <c r="A6" s="66" t="n">
        <v>3</v>
      </c>
      <c r="B6" s="83" t="inlineStr">
        <is>
          <t>BAY 4 CREW</t>
        </is>
      </c>
      <c r="C6" s="9" t="inlineStr">
        <is>
          <t>LAVATORY</t>
        </is>
      </c>
      <c r="D6" s="68" t="n"/>
      <c r="E6" s="12" t="inlineStr">
        <is>
          <t>LAVATORY A SERVICE CABINET STORAGE DRAWER RUBBER SEAL NOT SECURED.</t>
        </is>
      </c>
      <c r="F6" s="9" t="n"/>
      <c r="G6" s="68" t="n"/>
      <c r="H6" s="57" t="inlineStr">
        <is>
          <t>Raised</t>
        </is>
      </c>
      <c r="I6" s="67" t="n"/>
      <c r="J6" s="67" t="n"/>
      <c r="K6" s="67" t="n"/>
    </row>
    <row r="7" ht="19.5" customHeight="1" s="104">
      <c r="A7" s="66" t="n">
        <v>4</v>
      </c>
      <c r="B7" s="83" t="inlineStr">
        <is>
          <t>BAY 4 CREW</t>
        </is>
      </c>
      <c r="C7" s="9" t="inlineStr">
        <is>
          <t>LAVATORY</t>
        </is>
      </c>
      <c r="D7" s="68" t="n"/>
      <c r="E7" s="12" t="inlineStr">
        <is>
          <t>LAVATORY A TOILET SHROUD WITH MISSING 2 EA SCREWS.</t>
        </is>
      </c>
      <c r="F7" s="9" t="n"/>
      <c r="G7" s="68" t="n"/>
      <c r="H7" s="57" t="inlineStr">
        <is>
          <t>Raised</t>
        </is>
      </c>
      <c r="I7" s="67" t="n"/>
      <c r="J7" s="67" t="n"/>
      <c r="K7" s="67" t="n"/>
    </row>
    <row r="8" ht="19.5" customHeight="1" s="104">
      <c r="A8" s="66" t="n">
        <v>5</v>
      </c>
      <c r="B8" s="83" t="inlineStr">
        <is>
          <t>BAY 4 CREW</t>
        </is>
      </c>
      <c r="C8" s="9" t="inlineStr">
        <is>
          <t>LAVATORY</t>
        </is>
      </c>
      <c r="D8" s="68" t="n"/>
      <c r="E8" s="12" t="inlineStr">
        <is>
          <t>LAVATORY A TOILET PAPER DISPENSER COVER COLOR FADED.</t>
        </is>
      </c>
      <c r="F8" s="9" t="n"/>
      <c r="G8" s="68" t="n"/>
      <c r="H8" s="57" t="inlineStr">
        <is>
          <t>Raised</t>
        </is>
      </c>
      <c r="I8" s="67" t="n"/>
      <c r="J8" s="67" t="n"/>
      <c r="K8" s="67" t="n"/>
    </row>
    <row r="9" ht="19.5" customHeight="1" s="104">
      <c r="A9" s="66" t="n">
        <v>6</v>
      </c>
      <c r="B9" s="83" t="inlineStr">
        <is>
          <t>BAY 4 CREW</t>
        </is>
      </c>
      <c r="C9" s="9" t="inlineStr">
        <is>
          <t>LAVATORY</t>
        </is>
      </c>
      <c r="D9" s="68" t="n"/>
      <c r="E9" s="12" t="inlineStr">
        <is>
          <t>LAVATORY A FAUCET LEAKING</t>
        </is>
      </c>
      <c r="F9" s="9" t="n"/>
      <c r="G9" s="68" t="n"/>
      <c r="H9" s="57" t="inlineStr">
        <is>
          <t>Raised</t>
        </is>
      </c>
      <c r="I9" s="67" t="n"/>
      <c r="J9" s="67" t="n"/>
      <c r="K9" s="67" t="n"/>
    </row>
    <row r="10" ht="19.5" customHeight="1" s="104">
      <c r="A10" s="66" t="n">
        <v>7</v>
      </c>
      <c r="B10" s="83" t="inlineStr">
        <is>
          <t>BAY 4 CREW</t>
        </is>
      </c>
      <c r="C10" s="9" t="inlineStr">
        <is>
          <t>LAVATORY</t>
        </is>
      </c>
      <c r="D10" s="68" t="inlineStr">
        <is>
          <t>LAV E</t>
        </is>
      </c>
      <c r="E10" s="12" t="inlineStr">
        <is>
          <t>LAVATORY E TOILET SHROUD NOT SECURED.</t>
        </is>
      </c>
      <c r="F10" s="9" t="n"/>
      <c r="G10" s="68" t="n"/>
      <c r="H10" s="57" t="inlineStr">
        <is>
          <t>Raised</t>
        </is>
      </c>
      <c r="I10" s="67" t="n"/>
      <c r="J10" s="67" t="n"/>
      <c r="K10" s="67" t="n"/>
    </row>
    <row r="11" ht="19.5" customHeight="1" s="104">
      <c r="A11" s="66" t="n">
        <v>8</v>
      </c>
      <c r="B11" s="83" t="inlineStr">
        <is>
          <t>BAY 4 CREW</t>
        </is>
      </c>
      <c r="C11" s="9" t="inlineStr">
        <is>
          <t>LAVATORY</t>
        </is>
      </c>
      <c r="D11" s="68" t="n"/>
      <c r="E11" s="76" t="inlineStr">
        <is>
          <t>LAVATORY E TOILET SHROUD SCREW CORRODED</t>
        </is>
      </c>
      <c r="F11" s="9" t="n"/>
      <c r="G11" s="68" t="n"/>
      <c r="H11" s="57" t="inlineStr">
        <is>
          <t>Not Raised</t>
        </is>
      </c>
      <c r="I11" s="67" t="n"/>
      <c r="J11" s="67" t="n"/>
      <c r="K11" s="67" t="n"/>
    </row>
    <row r="12" ht="19.5" customHeight="1" s="104">
      <c r="A12" s="66" t="n">
        <v>9</v>
      </c>
      <c r="B12" s="83" t="inlineStr">
        <is>
          <t>BAY 4 CREW</t>
        </is>
      </c>
      <c r="C12" s="9" t="inlineStr">
        <is>
          <t>LAVATORY</t>
        </is>
      </c>
      <c r="D12" s="68" t="n"/>
      <c r="E12" s="12" t="inlineStr">
        <is>
          <t>LAVATORY E TOILET SHROUD COVER DISCOLORED.</t>
        </is>
      </c>
      <c r="F12" s="9" t="inlineStr">
        <is>
          <t>PAINT</t>
        </is>
      </c>
      <c r="G12" s="68" t="n"/>
      <c r="H12" s="57" t="inlineStr">
        <is>
          <t>Raised</t>
        </is>
      </c>
      <c r="I12" s="67" t="n"/>
      <c r="J12" s="67" t="n"/>
      <c r="K12" s="67" t="n"/>
    </row>
    <row r="13" ht="19.5" customHeight="1" s="104">
      <c r="A13" s="66" t="n">
        <v>10</v>
      </c>
      <c r="B13" s="83" t="inlineStr">
        <is>
          <t>BAY 4 CREW</t>
        </is>
      </c>
      <c r="C13" s="9" t="inlineStr">
        <is>
          <t>LAVATORY</t>
        </is>
      </c>
      <c r="D13" s="68" t="n"/>
      <c r="E13" s="12" t="inlineStr">
        <is>
          <t>LAVATORY E NURSING TABLE WITH MISSING BUMPER.</t>
        </is>
      </c>
      <c r="F13" s="9" t="n"/>
      <c r="G13" s="68" t="n"/>
      <c r="H13" s="57" t="inlineStr">
        <is>
          <t>Raised</t>
        </is>
      </c>
      <c r="I13" s="67" t="n"/>
      <c r="J13" s="67" t="n"/>
      <c r="K13" s="67" t="n"/>
    </row>
    <row r="14" ht="19.5" customHeight="1" s="104">
      <c r="A14" s="66" t="n">
        <v>11</v>
      </c>
      <c r="B14" s="83" t="inlineStr">
        <is>
          <t>BAY 4 CREW</t>
        </is>
      </c>
      <c r="C14" s="9" t="inlineStr">
        <is>
          <t>LAVATORY</t>
        </is>
      </c>
      <c r="D14" s="68" t="n"/>
      <c r="E14" s="12" t="inlineStr">
        <is>
          <t>LAVATORY E FAUCET LEAKING.</t>
        </is>
      </c>
      <c r="F14" s="9" t="n"/>
      <c r="G14" s="68" t="n"/>
      <c r="H14" s="57" t="inlineStr">
        <is>
          <t>Raised</t>
        </is>
      </c>
      <c r="I14" s="67" t="n"/>
      <c r="J14" s="67" t="n"/>
      <c r="K14" s="67" t="n"/>
    </row>
    <row r="15" ht="19.5" customHeight="1" s="104">
      <c r="A15" s="66" t="n">
        <v>12</v>
      </c>
      <c r="B15" s="83" t="inlineStr">
        <is>
          <t>BAY 4 CREW</t>
        </is>
      </c>
      <c r="C15" s="9" t="inlineStr">
        <is>
          <t>LAVATORY</t>
        </is>
      </c>
      <c r="D15" s="68" t="n"/>
      <c r="E15" s="12" t="inlineStr">
        <is>
          <t>LAVATORY E WATER HEATER INOP.</t>
        </is>
      </c>
      <c r="F15" s="9" t="n"/>
      <c r="G15" s="68" t="n"/>
      <c r="H15" s="57" t="inlineStr">
        <is>
          <t>Raised</t>
        </is>
      </c>
      <c r="I15" s="67" t="n"/>
      <c r="J15" s="67" t="n"/>
      <c r="K15" s="67" t="n"/>
    </row>
    <row r="16" ht="19.5" customHeight="1" s="104">
      <c r="A16" s="66" t="n">
        <v>13</v>
      </c>
      <c r="B16" s="83" t="inlineStr">
        <is>
          <t>BAY 4 CREW</t>
        </is>
      </c>
      <c r="C16" s="9" t="inlineStr">
        <is>
          <t>LAVATORY</t>
        </is>
      </c>
      <c r="D16" s="68" t="n"/>
      <c r="E16" s="12" t="inlineStr">
        <is>
          <t>LAVATORY E AIR VENTILATION COVER BROKEN.</t>
        </is>
      </c>
      <c r="F16" s="9" t="n"/>
      <c r="G16" s="68" t="n"/>
      <c r="H16" s="57" t="inlineStr">
        <is>
          <t>Raised</t>
        </is>
      </c>
      <c r="I16" s="67" t="n"/>
      <c r="J16" s="67" t="n"/>
      <c r="K16" s="67" t="n"/>
    </row>
    <row r="17" ht="19.5" customHeight="1" s="104">
      <c r="A17" s="66" t="n">
        <v>14</v>
      </c>
      <c r="B17" s="83" t="inlineStr">
        <is>
          <t>BAY 4 CREW</t>
        </is>
      </c>
      <c r="C17" s="9" t="inlineStr">
        <is>
          <t>LAVATORY</t>
        </is>
      </c>
      <c r="D17" s="68" t="inlineStr">
        <is>
          <t>LAV D</t>
        </is>
      </c>
      <c r="E17" s="12" t="inlineStr">
        <is>
          <t>LAVATORY D TOILET SHROUD COVER NOT SECURED.</t>
        </is>
      </c>
      <c r="F17" s="9" t="n"/>
      <c r="G17" s="68" t="n"/>
      <c r="H17" s="57" t="inlineStr">
        <is>
          <t>Raised</t>
        </is>
      </c>
      <c r="I17" s="67" t="n"/>
      <c r="J17" s="67" t="n"/>
      <c r="K17" s="67" t="n"/>
    </row>
    <row r="18" ht="19.5" customHeight="1" s="104">
      <c r="A18" s="66" t="n">
        <v>15</v>
      </c>
      <c r="B18" s="83" t="inlineStr">
        <is>
          <t>BAY 4 CREW</t>
        </is>
      </c>
      <c r="C18" s="9" t="inlineStr">
        <is>
          <t>LAVATORY</t>
        </is>
      </c>
      <c r="D18" s="68" t="n"/>
      <c r="E18" s="76" t="inlineStr">
        <is>
          <t>LAVATORY D WASHBASIN ACCESS DOOR REQ PAINT.</t>
        </is>
      </c>
      <c r="F18" s="9" t="n"/>
      <c r="G18" s="68" t="n"/>
      <c r="H18" s="57" t="inlineStr">
        <is>
          <t>Not Raised</t>
        </is>
      </c>
      <c r="I18" s="67" t="n"/>
      <c r="J18" s="67" t="n"/>
      <c r="K18" s="67" t="n"/>
    </row>
    <row r="19" ht="19.5" customHeight="1" s="104">
      <c r="A19" s="66" t="n">
        <v>16</v>
      </c>
      <c r="B19" s="83" t="inlineStr">
        <is>
          <t>BAY 4 CREW</t>
        </is>
      </c>
      <c r="C19" s="9" t="inlineStr">
        <is>
          <t>LAVATORY</t>
        </is>
      </c>
      <c r="D19" s="68" t="n"/>
      <c r="E19" s="12" t="inlineStr">
        <is>
          <t>LAVATORY D TOILET PAPER ROLLER IS MISSING.</t>
        </is>
      </c>
      <c r="F19" s="9" t="n"/>
      <c r="G19" s="68" t="n"/>
      <c r="H19" s="57" t="inlineStr">
        <is>
          <t>Raised</t>
        </is>
      </c>
      <c r="I19" s="67" t="n"/>
      <c r="J19" s="67" t="n"/>
      <c r="K19" s="67" t="n"/>
    </row>
    <row r="20" ht="19.5" customHeight="1" s="104">
      <c r="A20" s="66" t="n">
        <v>17</v>
      </c>
      <c r="B20" s="83" t="inlineStr">
        <is>
          <t>BAY 4 CREW</t>
        </is>
      </c>
      <c r="C20" s="9" t="inlineStr">
        <is>
          <t>LAVATORY</t>
        </is>
      </c>
      <c r="D20" s="68" t="n"/>
      <c r="E20" s="76" t="inlineStr">
        <is>
          <t>LAVATORY D FAUCET IS LEAKING.</t>
        </is>
      </c>
      <c r="F20" s="9" t="n"/>
      <c r="G20" s="68" t="n"/>
      <c r="H20" s="57" t="inlineStr">
        <is>
          <t>Not Raised</t>
        </is>
      </c>
      <c r="I20" s="67" t="n"/>
      <c r="J20" s="67" t="n"/>
      <c r="K20" s="67" t="n"/>
    </row>
    <row r="21" ht="19.5" customHeight="1" s="104">
      <c r="A21" s="66" t="n">
        <v>18</v>
      </c>
      <c r="B21" s="83" t="inlineStr">
        <is>
          <t>BAY 4 CREW</t>
        </is>
      </c>
      <c r="C21" s="9" t="inlineStr">
        <is>
          <t>LAVATORY</t>
        </is>
      </c>
      <c r="D21" s="68" t="n"/>
      <c r="E21" s="12" t="inlineStr">
        <is>
          <t>LAVATORY D SINK SIEVE NOT SECURED.</t>
        </is>
      </c>
      <c r="F21" s="9" t="n"/>
      <c r="G21" s="68" t="n"/>
      <c r="H21" s="57" t="inlineStr">
        <is>
          <t>Raised</t>
        </is>
      </c>
      <c r="I21" s="67" t="n"/>
      <c r="J21" s="67" t="n"/>
      <c r="K21" s="67" t="n"/>
    </row>
    <row r="22" ht="19.5" customHeight="1" s="104">
      <c r="A22" s="66" t="n">
        <v>19</v>
      </c>
      <c r="B22" s="83" t="inlineStr">
        <is>
          <t>BAY 4 CREW</t>
        </is>
      </c>
      <c r="C22" s="9" t="inlineStr">
        <is>
          <t>LAVATORY</t>
        </is>
      </c>
      <c r="D22" s="68" t="n"/>
      <c r="E22" s="12" t="inlineStr">
        <is>
          <t>LAVATORY D WASHBASIN SINK DRAINING SLOWLY.</t>
        </is>
      </c>
      <c r="F22" s="9" t="n"/>
      <c r="G22" s="68" t="n"/>
      <c r="H22" s="57" t="inlineStr">
        <is>
          <t>Raised</t>
        </is>
      </c>
      <c r="I22" s="67" t="n"/>
      <c r="J22" s="67" t="n"/>
      <c r="K22" s="67" t="n"/>
    </row>
    <row r="23" ht="19.5" customHeight="1" s="104">
      <c r="A23" s="66" t="n">
        <v>20</v>
      </c>
      <c r="B23" s="83" t="inlineStr">
        <is>
          <t>BAY 4 CREW</t>
        </is>
      </c>
      <c r="C23" s="9" t="inlineStr">
        <is>
          <t>LAVATORY</t>
        </is>
      </c>
      <c r="D23" s="68" t="n"/>
      <c r="E23" s="12" t="inlineStr">
        <is>
          <t>LAVATORY D DOOR HANDLE LOOSE.</t>
        </is>
      </c>
      <c r="F23" s="9" t="n"/>
      <c r="G23" s="68" t="n"/>
      <c r="H23" s="57" t="inlineStr">
        <is>
          <t>Raised</t>
        </is>
      </c>
      <c r="I23" s="67" t="n"/>
      <c r="J23" s="67" t="n"/>
      <c r="K23" s="67" t="n"/>
    </row>
    <row r="24" ht="19.5" customHeight="1" s="104">
      <c r="A24" s="66" t="n">
        <v>21</v>
      </c>
      <c r="B24" s="83" t="inlineStr">
        <is>
          <t>BAY 4 CREW</t>
        </is>
      </c>
      <c r="C24" s="9" t="inlineStr">
        <is>
          <t>LAVATORY</t>
        </is>
      </c>
      <c r="D24" s="68" t="n"/>
      <c r="E24" s="12" t="inlineStr">
        <is>
          <t>LAVATORY D TEDLAR DAMAGED.</t>
        </is>
      </c>
      <c r="F24" s="9" t="inlineStr">
        <is>
          <t>OUTERBOARD TEDLAR</t>
        </is>
      </c>
      <c r="G24" s="68" t="n"/>
      <c r="H24" s="57" t="inlineStr">
        <is>
          <t>Not Raised</t>
        </is>
      </c>
      <c r="I24" s="67" t="n"/>
      <c r="J24" s="67" t="n"/>
      <c r="K24" s="67" t="n"/>
    </row>
    <row r="25" ht="19.5" customHeight="1" s="104">
      <c r="A25" s="66" t="n">
        <v>22</v>
      </c>
      <c r="B25" s="83" t="inlineStr">
        <is>
          <t>BAY 4 CREW</t>
        </is>
      </c>
      <c r="C25" s="9" t="inlineStr">
        <is>
          <t>GALLEY</t>
        </is>
      </c>
      <c r="D25" s="68" t="n"/>
      <c r="E25" s="12" t="inlineStr">
        <is>
          <t>G1 GALLEY CART TURN CATCH AT 109 AND 111 FOUND LOOSE.</t>
        </is>
      </c>
      <c r="F25" s="9" t="n"/>
      <c r="G25" s="68" t="n"/>
      <c r="H25" s="57" t="inlineStr">
        <is>
          <t>Raised</t>
        </is>
      </c>
      <c r="I25" s="67" t="n"/>
      <c r="J25" s="67" t="n"/>
      <c r="K25" s="67" t="n"/>
    </row>
    <row r="26" ht="19.5" customHeight="1" s="104">
      <c r="A26" s="66" t="n">
        <v>23</v>
      </c>
      <c r="B26" s="83" t="inlineStr">
        <is>
          <t>BAY 4 CREW</t>
        </is>
      </c>
      <c r="C26" s="9" t="inlineStr">
        <is>
          <t>GALLEY</t>
        </is>
      </c>
      <c r="D26" s="68" t="n"/>
      <c r="E26" s="12" t="inlineStr">
        <is>
          <t>FWD GALLEY CART COMPT. 109 MID LATCH LEVER IS MISSING.</t>
        </is>
      </c>
      <c r="F26" s="9" t="n"/>
      <c r="G26" s="68" t="n"/>
      <c r="H26" s="57" t="inlineStr">
        <is>
          <t>Raised</t>
        </is>
      </c>
      <c r="I26" s="67" t="n"/>
      <c r="J26" s="67" t="n"/>
      <c r="K26" s="67" t="n"/>
    </row>
    <row r="27" ht="19.5" customHeight="1" s="104">
      <c r="A27" s="66" t="n">
        <v>24</v>
      </c>
      <c r="B27" s="83" t="inlineStr">
        <is>
          <t>BAY 4 CREW</t>
        </is>
      </c>
      <c r="C27" s="9" t="inlineStr">
        <is>
          <t>GALLEY</t>
        </is>
      </c>
      <c r="D27" s="68" t="n"/>
      <c r="E27" s="12" t="inlineStr">
        <is>
          <t>FWD GALLEY COUNTERTOP SEALANT DETERIORATED.</t>
        </is>
      </c>
      <c r="F27" s="9" t="inlineStr">
        <is>
          <t>REQ REWORK</t>
        </is>
      </c>
      <c r="G27" s="68" t="n"/>
      <c r="H27" s="57" t="inlineStr">
        <is>
          <t>Raised</t>
        </is>
      </c>
      <c r="I27" s="67" t="n"/>
      <c r="J27" s="67" t="n"/>
      <c r="K27" s="67" t="n"/>
    </row>
    <row r="28" ht="19.5" customHeight="1" s="104">
      <c r="A28" s="66" t="n">
        <v>25</v>
      </c>
      <c r="B28" s="83" t="inlineStr">
        <is>
          <t>BAY 4 CREW</t>
        </is>
      </c>
      <c r="C28" s="9" t="inlineStr">
        <is>
          <t>GALLEY</t>
        </is>
      </c>
      <c r="D28" s="68" t="n"/>
      <c r="E28" s="12" t="inlineStr">
        <is>
          <t>G1 GALLEY COMPT. 101 DOOR HINGE LOOSE.</t>
        </is>
      </c>
      <c r="F28" s="9" t="n"/>
      <c r="G28" s="68" t="n"/>
      <c r="H28" s="57" t="inlineStr">
        <is>
          <t>Not Raised</t>
        </is>
      </c>
      <c r="I28" s="67" t="n"/>
      <c r="J28" s="67" t="n"/>
      <c r="K28" s="67" t="n"/>
    </row>
    <row r="29" ht="19.5" customHeight="1" s="104">
      <c r="A29" s="66" t="n">
        <v>26</v>
      </c>
      <c r="B29" s="83" t="inlineStr">
        <is>
          <t>BAY 4 CREW</t>
        </is>
      </c>
      <c r="C29" s="9" t="inlineStr">
        <is>
          <t>GALLEY</t>
        </is>
      </c>
      <c r="D29" s="68" t="n"/>
      <c r="E29" s="76" t="inlineStr">
        <is>
          <t>G2 GALLEY ICE BOX LOWER TRIM WITH CORROSION</t>
        </is>
      </c>
      <c r="F29" s="79" t="inlineStr">
        <is>
          <t>REQ EVAL DONT RAISE NOW</t>
        </is>
      </c>
      <c r="G29" s="68" t="n"/>
      <c r="H29" s="57" t="inlineStr">
        <is>
          <t>Not Raised</t>
        </is>
      </c>
      <c r="I29" s="67" t="n"/>
      <c r="J29" s="67" t="n"/>
      <c r="K29" s="67" t="n"/>
    </row>
    <row r="30" ht="19.5" customHeight="1" s="104">
      <c r="A30" s="66" t="n">
        <v>27</v>
      </c>
      <c r="B30" s="83" t="inlineStr">
        <is>
          <t>BAY 4 CREW</t>
        </is>
      </c>
      <c r="C30" s="9" t="inlineStr">
        <is>
          <t>GALLEY</t>
        </is>
      </c>
      <c r="D30" s="68" t="n"/>
      <c r="E30" s="12" t="inlineStr">
        <is>
          <t>G2 GALLEY COMPT. 211 LOWER BUMPER IS MISSING.</t>
        </is>
      </c>
      <c r="F30" s="9" t="n"/>
      <c r="G30" s="68" t="n"/>
      <c r="H30" s="57" t="inlineStr">
        <is>
          <t>Raised</t>
        </is>
      </c>
      <c r="I30" s="67" t="n"/>
      <c r="J30" s="67" t="n"/>
      <c r="K30" s="67" t="n"/>
    </row>
    <row r="31" ht="19.5" customHeight="1" s="104">
      <c r="A31" s="66" t="n">
        <v>28</v>
      </c>
      <c r="B31" s="83" t="inlineStr">
        <is>
          <t>BAY 4 CREW</t>
        </is>
      </c>
      <c r="C31" s="9" t="inlineStr">
        <is>
          <t>GALLEY</t>
        </is>
      </c>
      <c r="D31" s="68" t="n"/>
      <c r="E31" s="12" t="inlineStr">
        <is>
          <t>G2 GALLEY COMPT. 210 DOOR TEDLAR CHIPPED OFF.</t>
        </is>
      </c>
      <c r="F31" s="9" t="n"/>
      <c r="G31" s="68" t="n"/>
      <c r="H31" s="57" t="inlineStr">
        <is>
          <t>Not Raised</t>
        </is>
      </c>
      <c r="I31" s="67" t="n"/>
      <c r="J31" s="67" t="n"/>
      <c r="K31" s="67" t="n"/>
    </row>
    <row r="32" ht="19.5" customHeight="1" s="104">
      <c r="A32" s="66" t="n">
        <v>29</v>
      </c>
      <c r="B32" s="83" t="inlineStr">
        <is>
          <t>BAY 4 CREW</t>
        </is>
      </c>
      <c r="C32" s="9" t="inlineStr">
        <is>
          <t>GALLEY</t>
        </is>
      </c>
      <c r="D32" s="68" t="n"/>
      <c r="E32" s="76" t="inlineStr">
        <is>
          <t>G2 GALLEY COUNTERTOP BULGED.</t>
        </is>
      </c>
      <c r="F32" s="79" t="inlineStr">
        <is>
          <t>REQ EVAL DONT RAISE NOW</t>
        </is>
      </c>
      <c r="G32" s="68" t="n"/>
      <c r="H32" s="57" t="inlineStr">
        <is>
          <t>Not Raised</t>
        </is>
      </c>
      <c r="I32" s="67" t="n"/>
      <c r="J32" s="67" t="n"/>
      <c r="K32" s="67" t="n"/>
    </row>
    <row r="33" ht="19.5" customHeight="1" s="104">
      <c r="A33" s="66" t="n">
        <v>30</v>
      </c>
      <c r="B33" s="83" t="inlineStr">
        <is>
          <t>BAY 4 CREW</t>
        </is>
      </c>
      <c r="C33" s="9" t="inlineStr">
        <is>
          <t>GALLEY</t>
        </is>
      </c>
      <c r="D33" s="68" t="n"/>
      <c r="E33" s="12" t="inlineStr">
        <is>
          <t>G2 GALLEY FOOTSTEP INOP.</t>
        </is>
      </c>
      <c r="F33" s="9" t="n"/>
      <c r="G33" s="68" t="n"/>
      <c r="H33" s="57" t="inlineStr">
        <is>
          <t>Raised</t>
        </is>
      </c>
      <c r="I33" s="67" t="n"/>
      <c r="J33" s="67" t="n"/>
      <c r="K33" s="67" t="n"/>
    </row>
    <row r="34" ht="19.5" customHeight="1" s="104">
      <c r="A34" s="66" t="n">
        <v>31</v>
      </c>
      <c r="B34" s="83" t="inlineStr">
        <is>
          <t>BAY 4 CREW</t>
        </is>
      </c>
      <c r="C34" s="9" t="inlineStr">
        <is>
          <t>GALLEY</t>
        </is>
      </c>
      <c r="D34" s="68" t="n"/>
      <c r="E34" s="12" t="inlineStr">
        <is>
          <t>G2 GALLEY COMPT. 210 DOOR LOCK LOOSE.</t>
        </is>
      </c>
      <c r="F34" s="9" t="n"/>
      <c r="G34" s="68" t="n"/>
      <c r="H34" s="57" t="inlineStr">
        <is>
          <t>Raised</t>
        </is>
      </c>
      <c r="I34" s="67" t="n"/>
      <c r="J34" s="67" t="n"/>
      <c r="K34" s="67" t="n"/>
    </row>
    <row r="35" ht="19.5" customHeight="1" s="104">
      <c r="A35" s="66" t="n">
        <v>32</v>
      </c>
      <c r="B35" s="83" t="inlineStr">
        <is>
          <t>BAY 4 CREW</t>
        </is>
      </c>
      <c r="C35" s="9" t="inlineStr">
        <is>
          <t>GALLEY</t>
        </is>
      </c>
      <c r="D35" s="68" t="n"/>
      <c r="E35" s="12" t="inlineStr">
        <is>
          <t>AFT GALLEY COMPT. 501 DOOR HINGE BROKEN.</t>
        </is>
      </c>
      <c r="F35" s="9" t="n"/>
      <c r="G35" s="68" t="n"/>
      <c r="H35" s="57" t="inlineStr">
        <is>
          <t>Raised</t>
        </is>
      </c>
      <c r="I35" s="67" t="n"/>
      <c r="J35" s="67" t="n"/>
      <c r="K35" s="67" t="n"/>
    </row>
    <row r="36" ht="19.5" customHeight="1" s="104">
      <c r="A36" s="66" t="n">
        <v>33</v>
      </c>
      <c r="B36" s="83" t="inlineStr">
        <is>
          <t>BAY 4 CREW</t>
        </is>
      </c>
      <c r="C36" s="9" t="inlineStr">
        <is>
          <t>GALLEY</t>
        </is>
      </c>
      <c r="D36" s="68" t="n"/>
      <c r="E36" s="76" t="inlineStr">
        <is>
          <t>AFT GALLEY COMPT. 501, 503 AND 504 STC DIVIDER KNOB BROKEN (WITHOUT LOCK).</t>
        </is>
      </c>
      <c r="F36" s="9" t="inlineStr">
        <is>
          <t>REQ EVAL</t>
        </is>
      </c>
      <c r="G36" s="68" t="n"/>
      <c r="H36" s="57" t="inlineStr">
        <is>
          <t>Not Raised</t>
        </is>
      </c>
      <c r="I36" s="67" t="n"/>
      <c r="J36" s="67" t="n"/>
      <c r="K36" s="67" t="n"/>
    </row>
    <row r="37" ht="19.5" customHeight="1" s="104">
      <c r="A37" s="66" t="n">
        <v>34</v>
      </c>
      <c r="B37" s="83" t="inlineStr">
        <is>
          <t>BAY 4 CREW</t>
        </is>
      </c>
      <c r="C37" s="9" t="inlineStr">
        <is>
          <t>GALLEY</t>
        </is>
      </c>
      <c r="D37" s="68" t="n"/>
      <c r="E37" s="76" t="inlineStr">
        <is>
          <t>AFT GALLEY 3 LONG CART CATCH AND 2 SHORT CART TURN CATCH REQ REPLACEMENT.</t>
        </is>
      </c>
      <c r="F37" s="9" t="n"/>
      <c r="G37" s="68" t="n"/>
      <c r="H37" s="57" t="inlineStr">
        <is>
          <t>Not Raised</t>
        </is>
      </c>
      <c r="I37" s="67" t="n"/>
      <c r="J37" s="67" t="n"/>
      <c r="K37" s="67" t="n"/>
    </row>
    <row r="38" ht="19.5" customHeight="1" s="104">
      <c r="A38" s="66" t="n">
        <v>35</v>
      </c>
      <c r="B38" s="83" t="inlineStr">
        <is>
          <t>BAY 4 CREW</t>
        </is>
      </c>
      <c r="C38" s="9" t="inlineStr">
        <is>
          <t>GALLEY</t>
        </is>
      </c>
      <c r="D38" s="68" t="n"/>
      <c r="E38" s="12" t="inlineStr">
        <is>
          <t>AFT GALLEY ALL OVENS REQ PAITN.</t>
        </is>
      </c>
      <c r="F38" s="9" t="n"/>
      <c r="G38" s="68" t="n"/>
      <c r="H38" s="57" t="inlineStr">
        <is>
          <t>Raised</t>
        </is>
      </c>
      <c r="I38" s="67" t="n"/>
      <c r="J38" s="67" t="n"/>
      <c r="K38" s="67" t="n"/>
    </row>
    <row r="39" ht="19.5" customHeight="1" s="104">
      <c r="A39" s="66" t="n">
        <v>36</v>
      </c>
      <c r="B39" s="83" t="inlineStr">
        <is>
          <t>BAY 4 CREW</t>
        </is>
      </c>
      <c r="C39" s="9" t="inlineStr">
        <is>
          <t>GALLEY</t>
        </is>
      </c>
      <c r="D39" s="68" t="n"/>
      <c r="E39" s="12" t="inlineStr">
        <is>
          <t>AFT GALLEY CART COMPARTMENT AT 517 T-DIVIDER WITH MISSING BUMPER.</t>
        </is>
      </c>
      <c r="F39" s="9" t="n"/>
      <c r="G39" s="68" t="n"/>
      <c r="H39" s="57" t="inlineStr">
        <is>
          <t>Not Raised</t>
        </is>
      </c>
      <c r="I39" s="67" t="n"/>
      <c r="J39" s="67" t="n"/>
      <c r="K39" s="67" t="n"/>
    </row>
    <row r="40" ht="19.5" customHeight="1" s="104">
      <c r="A40" s="66" t="n">
        <v>37</v>
      </c>
      <c r="B40" s="83" t="inlineStr">
        <is>
          <t>BAY 4 CREW</t>
        </is>
      </c>
      <c r="C40" s="9" t="inlineStr">
        <is>
          <t>GALLEY</t>
        </is>
      </c>
      <c r="D40" s="68" t="n"/>
      <c r="E40" s="12" t="inlineStr">
        <is>
          <t>AFT GALLEY CART COMPARTMENT AT 519 T-DIVIDER WITH BROKEN BUMPER.</t>
        </is>
      </c>
      <c r="F40" s="9" t="n"/>
      <c r="G40" s="68" t="n"/>
      <c r="H40" s="57" t="inlineStr">
        <is>
          <t>Not Raised</t>
        </is>
      </c>
      <c r="I40" s="67" t="n"/>
      <c r="J40" s="67" t="n"/>
      <c r="K40" s="67" t="n"/>
    </row>
    <row r="41" ht="19.5" customHeight="1" s="104">
      <c r="A41" s="66" t="n">
        <v>38</v>
      </c>
      <c r="B41" s="83" t="inlineStr">
        <is>
          <t>BAY 4 CREW</t>
        </is>
      </c>
      <c r="C41" s="9" t="inlineStr">
        <is>
          <t>GALLEY</t>
        </is>
      </c>
      <c r="D41" s="68" t="n"/>
      <c r="E41" s="12" t="inlineStr">
        <is>
          <t>AFT GALLEY CART COMPARTMENT AT 518 T-DIVIDER WITH BROKEN BUMPER.</t>
        </is>
      </c>
      <c r="F41" s="9" t="n"/>
      <c r="G41" s="68" t="n"/>
      <c r="H41" s="57" t="inlineStr">
        <is>
          <t>Not Raised</t>
        </is>
      </c>
      <c r="I41" s="67" t="n"/>
      <c r="J41" s="67" t="n"/>
      <c r="K41" s="67" t="n"/>
    </row>
    <row r="42" ht="19.5" customHeight="1" s="104">
      <c r="A42" s="66" t="n">
        <v>39</v>
      </c>
      <c r="B42" s="83" t="inlineStr">
        <is>
          <t>BAY 4 CREW</t>
        </is>
      </c>
      <c r="C42" s="9" t="inlineStr">
        <is>
          <t>GALLEY</t>
        </is>
      </c>
      <c r="D42" s="68" t="n"/>
      <c r="E42" s="12" t="inlineStr">
        <is>
          <t>AFT GALLEY COMPT. 504 DOOR LOOSE.</t>
        </is>
      </c>
      <c r="F42" s="9" t="n"/>
      <c r="G42" s="68" t="n"/>
      <c r="H42" s="57" t="inlineStr">
        <is>
          <t>Not Raised</t>
        </is>
      </c>
      <c r="I42" s="67" t="n"/>
      <c r="J42" s="67" t="n"/>
      <c r="K42" s="67" t="n"/>
    </row>
    <row r="43" ht="19.5" customHeight="1" s="104">
      <c r="A43" s="66" t="n">
        <v>40</v>
      </c>
      <c r="B43" s="83" t="inlineStr">
        <is>
          <t>BAY 4 CREW</t>
        </is>
      </c>
      <c r="C43" s="9" t="inlineStr">
        <is>
          <t>GENERAL CABIN</t>
        </is>
      </c>
      <c r="D43" s="68" t="n"/>
      <c r="E43" s="12" t="inlineStr">
        <is>
          <t>MOST FWD VIDEO EQUIPMENT OVERHEAD STOWAGE DOOR OPENS FAST.</t>
        </is>
      </c>
      <c r="F43" s="9" t="n"/>
      <c r="G43" s="68" t="n"/>
      <c r="H43" s="57" t="inlineStr">
        <is>
          <t>Raised</t>
        </is>
      </c>
      <c r="I43" s="67" t="n"/>
      <c r="J43" s="67" t="n"/>
      <c r="K43" s="67" t="n"/>
    </row>
    <row r="44" ht="19.5" customHeight="1" s="104">
      <c r="A44" s="66" t="n">
        <v>41</v>
      </c>
      <c r="B44" s="83" t="inlineStr">
        <is>
          <t>BAY 4 CREW</t>
        </is>
      </c>
      <c r="C44" s="9" t="inlineStr">
        <is>
          <t>GENERAL CABIN</t>
        </is>
      </c>
      <c r="D44" s="68" t="n"/>
      <c r="E44" s="12" t="inlineStr">
        <is>
          <t>MOST FWD RH MEDICAL KIT OVERHEAD STOWAGE BIN WITH INSIDE DENT.</t>
        </is>
      </c>
      <c r="F44" s="9" t="n"/>
      <c r="G44" s="68" t="n"/>
      <c r="H44" s="57" t="inlineStr">
        <is>
          <t>Raised</t>
        </is>
      </c>
      <c r="I44" s="67" t="n"/>
      <c r="J44" s="67" t="n"/>
      <c r="K44" s="67" t="n"/>
    </row>
    <row r="45" ht="19.5" customHeight="1" s="104">
      <c r="A45" s="66" t="n">
        <v>42</v>
      </c>
      <c r="B45" s="83" t="inlineStr">
        <is>
          <t>BAY 4 CREW</t>
        </is>
      </c>
      <c r="C45" s="9" t="inlineStr">
        <is>
          <t>GENERAL CABIN</t>
        </is>
      </c>
      <c r="D45" s="68" t="n"/>
      <c r="E45" s="12" t="inlineStr">
        <is>
          <t>OSB DOOR WITH INSIDE DENT AT 1AC, 3AC, 4LJ, 5LJ, FWD OF 30JKL, 30 ABC AND 44 JKL.</t>
        </is>
      </c>
      <c r="F45" s="9" t="n"/>
      <c r="G45" s="68" t="n"/>
      <c r="H45" s="57" t="inlineStr">
        <is>
          <t>Raised</t>
        </is>
      </c>
      <c r="I45" s="67" t="n"/>
      <c r="J45" s="67" t="n"/>
      <c r="K45" s="67" t="n"/>
    </row>
    <row r="46" ht="19.5" customHeight="1" s="104">
      <c r="A46" s="66" t="n">
        <v>43</v>
      </c>
      <c r="B46" s="83" t="inlineStr">
        <is>
          <t>BAY 4 CREW</t>
        </is>
      </c>
      <c r="C46" s="9" t="inlineStr">
        <is>
          <t>GENERAL CABIN</t>
        </is>
      </c>
      <c r="D46" s="68" t="n"/>
      <c r="E46" s="12" t="inlineStr">
        <is>
          <t>OSB DOOR MISSING WITH RUBBER BUMPER AT 1AC, 4LJ, 4AC, 5LJ, FWD OF 30 JKL, 30ABC, 31ABC AND 33ABC.</t>
        </is>
      </c>
      <c r="F46" s="9" t="n"/>
      <c r="G46" s="68" t="n"/>
      <c r="H46" s="57" t="inlineStr">
        <is>
          <t>Raised</t>
        </is>
      </c>
      <c r="I46" s="67" t="n"/>
      <c r="J46" s="67" t="n"/>
      <c r="K46" s="67" t="n"/>
    </row>
    <row r="47" ht="19.5" customHeight="1" s="104">
      <c r="A47" s="66" t="n">
        <v>44</v>
      </c>
      <c r="B47" s="83" t="inlineStr">
        <is>
          <t>BAY 4 CREW</t>
        </is>
      </c>
      <c r="C47" s="9" t="inlineStr">
        <is>
          <t>GENERAL CABIN</t>
        </is>
      </c>
      <c r="D47" s="68" t="n"/>
      <c r="E47" s="12" t="inlineStr">
        <is>
          <t>OSB DOOR WITH MISSING RUBBER BUMPER AT 34ABC, 37ABC, 38ABC, 40JKL, 41JKL, 42JKL, 44JKL AND 44ABC.</t>
        </is>
      </c>
      <c r="F47" s="9" t="n"/>
      <c r="G47" s="68" t="n"/>
      <c r="H47" s="57" t="inlineStr">
        <is>
          <t>Raised</t>
        </is>
      </c>
      <c r="I47" s="67" t="n"/>
      <c r="J47" s="67" t="n"/>
      <c r="K47" s="67" t="n"/>
    </row>
    <row r="48" ht="19.5" customHeight="1" s="104">
      <c r="A48" s="66" t="n">
        <v>45</v>
      </c>
      <c r="B48" s="83" t="inlineStr">
        <is>
          <t>BAY 4 CREW</t>
        </is>
      </c>
      <c r="C48" s="9" t="inlineStr">
        <is>
          <t>GENERAL CABIN</t>
        </is>
      </c>
      <c r="D48" s="68" t="n"/>
      <c r="E48" s="12" t="inlineStr">
        <is>
          <t>OSB WITH MISSING UPPER BUMPER AT 1AC, 5AC, 5LJ, 30JKL, 32JKL, 33JKL, 33JKL AND 34ABC.</t>
        </is>
      </c>
      <c r="F48" s="9" t="n"/>
      <c r="G48" s="68" t="n"/>
      <c r="H48" s="57" t="inlineStr">
        <is>
          <t>Raised</t>
        </is>
      </c>
      <c r="I48" s="67" t="n"/>
      <c r="J48" s="67" t="n"/>
      <c r="K48" s="67" t="n"/>
    </row>
    <row r="49" ht="19.5" customHeight="1" s="104">
      <c r="A49" s="66" t="n">
        <v>46</v>
      </c>
      <c r="B49" s="83" t="inlineStr">
        <is>
          <t>BAY 4 CREW</t>
        </is>
      </c>
      <c r="C49" s="9" t="inlineStr">
        <is>
          <t>GENERAL CABIN</t>
        </is>
      </c>
      <c r="D49" s="68" t="n"/>
      <c r="E49" s="12" t="inlineStr">
        <is>
          <t>OSB WITH MISSING UPPER BUMPER AT 36ABC, 38ABC, 38JKL, 40JKL, 40ABC, 41JKL AND 42JKL.</t>
        </is>
      </c>
      <c r="F49" s="9" t="n"/>
      <c r="G49" s="68" t="n"/>
      <c r="H49" s="57" t="inlineStr">
        <is>
          <t>Raised</t>
        </is>
      </c>
      <c r="I49" s="67" t="n"/>
      <c r="J49" s="67" t="n"/>
      <c r="K49" s="67" t="n"/>
    </row>
    <row r="50" ht="19.5" customHeight="1" s="104">
      <c r="A50" s="66" t="n">
        <v>47</v>
      </c>
      <c r="B50" s="83" t="inlineStr">
        <is>
          <t>BAY 4 CREW</t>
        </is>
      </c>
      <c r="C50" s="9" t="inlineStr">
        <is>
          <t>GENERAL CABIN</t>
        </is>
      </c>
      <c r="D50" s="68" t="n"/>
      <c r="E50" s="12" t="inlineStr">
        <is>
          <t>OSB SIDE TRIM BROKEN AT 4LJ AND 39 JKL.</t>
        </is>
      </c>
      <c r="F50" s="9" t="n"/>
      <c r="G50" s="68" t="n"/>
      <c r="H50" s="57" t="inlineStr">
        <is>
          <t>Raised</t>
        </is>
      </c>
      <c r="I50" s="67" t="n"/>
      <c r="J50" s="67" t="n"/>
      <c r="K50" s="67" t="n"/>
    </row>
    <row r="51" ht="19.5" customHeight="1" s="104">
      <c r="A51" s="66" t="n">
        <v>48</v>
      </c>
      <c r="B51" s="83" t="inlineStr">
        <is>
          <t>BAY 4 CREW</t>
        </is>
      </c>
      <c r="C51" s="9" t="inlineStr">
        <is>
          <t>GENERAL CABIN</t>
        </is>
      </c>
      <c r="D51" s="68" t="n"/>
      <c r="E51" s="12" t="inlineStr">
        <is>
          <t>OSB UPPER TRIM BROKEN AT 30ABC.</t>
        </is>
      </c>
      <c r="F51" s="9" t="n"/>
      <c r="G51" s="68" t="n"/>
      <c r="H51" s="57" t="inlineStr">
        <is>
          <t>Raised</t>
        </is>
      </c>
      <c r="I51" s="67" t="n"/>
      <c r="J51" s="67" t="n"/>
      <c r="K51" s="67" t="n"/>
    </row>
    <row r="52" ht="19.5" customHeight="1" s="104">
      <c r="A52" s="66" t="n">
        <v>49</v>
      </c>
      <c r="B52" s="83" t="inlineStr">
        <is>
          <t>BAY 4 CREW</t>
        </is>
      </c>
      <c r="C52" s="9" t="inlineStr">
        <is>
          <t>GENERAL CABIN</t>
        </is>
      </c>
      <c r="D52" s="68" t="n"/>
      <c r="E52" s="12" t="inlineStr">
        <is>
          <t>OSB HANDRAIL BROKEN AT 34ABC, 30JKL.</t>
        </is>
      </c>
      <c r="F52" s="9" t="n"/>
      <c r="G52" s="68" t="n"/>
      <c r="H52" s="57" t="inlineStr">
        <is>
          <t>Raised</t>
        </is>
      </c>
      <c r="I52" s="67" t="n"/>
      <c r="J52" s="67" t="n"/>
      <c r="K52" s="67" t="n"/>
    </row>
    <row r="53" ht="19.5" customHeight="1" s="104">
      <c r="A53" s="66" t="n">
        <v>50</v>
      </c>
      <c r="B53" s="83" t="inlineStr">
        <is>
          <t>BAY 4 CREW</t>
        </is>
      </c>
      <c r="C53" s="9" t="inlineStr">
        <is>
          <t>GENERAL CABIN</t>
        </is>
      </c>
      <c r="D53" s="68" t="n"/>
      <c r="E53" s="12" t="inlineStr">
        <is>
          <t>OSB HANDRAIL SEAT MARKING CLAER PLASTIC PIECE BROKEN AT 3AC AND 31JKL.</t>
        </is>
      </c>
      <c r="F53" s="9" t="n"/>
      <c r="G53" s="68" t="n"/>
      <c r="H53" s="57" t="inlineStr">
        <is>
          <t>Raised</t>
        </is>
      </c>
      <c r="I53" s="67" t="n"/>
      <c r="J53" s="67" t="n"/>
      <c r="K53" s="67" t="n"/>
    </row>
    <row r="54" ht="19.5" customHeight="1" s="104">
      <c r="A54" s="66" t="n">
        <v>51</v>
      </c>
      <c r="B54" s="83" t="inlineStr">
        <is>
          <t>BAY 4 CREW</t>
        </is>
      </c>
      <c r="C54" s="9" t="inlineStr">
        <is>
          <t>FLIGHT DECK</t>
        </is>
      </c>
      <c r="D54" s="68" t="n"/>
      <c r="E54" s="12" t="inlineStr">
        <is>
          <t>ALL FLIGHT PANELS REQUIRE CLEANING.</t>
        </is>
      </c>
      <c r="F54" s="9" t="n"/>
      <c r="G54" s="68" t="n"/>
      <c r="H54" s="57" t="inlineStr">
        <is>
          <t>Raised</t>
        </is>
      </c>
      <c r="I54" s="67" t="n"/>
      <c r="J54" s="67" t="n"/>
      <c r="K54" s="67" t="n"/>
    </row>
    <row r="55" ht="19.5" customHeight="1" s="104">
      <c r="A55" s="66" t="n">
        <v>52</v>
      </c>
      <c r="B55" s="83" t="inlineStr">
        <is>
          <t>BAY 4 CREW</t>
        </is>
      </c>
      <c r="C55" s="9" t="inlineStr">
        <is>
          <t>FLIGHT DECK</t>
        </is>
      </c>
      <c r="D55" s="68" t="n"/>
      <c r="E55" s="12" t="inlineStr">
        <is>
          <t>FLIGHT DECK CAPTAIN FOOT REST RUBBER TORN.</t>
        </is>
      </c>
      <c r="F55" s="9" t="n"/>
      <c r="G55" s="68" t="n"/>
      <c r="H55" s="57" t="inlineStr">
        <is>
          <t>Not Raised</t>
        </is>
      </c>
      <c r="I55" s="67" t="n"/>
      <c r="J55" s="67" t="n"/>
      <c r="K55" s="67" t="n"/>
    </row>
    <row r="56" ht="19.5" customHeight="1" s="104">
      <c r="A56" s="66" t="n">
        <v>53</v>
      </c>
      <c r="B56" s="83" t="inlineStr">
        <is>
          <t>BAY 4 CREW</t>
        </is>
      </c>
      <c r="C56" s="9" t="inlineStr">
        <is>
          <t>FLIGHT DECK</t>
        </is>
      </c>
      <c r="D56" s="68" t="n"/>
      <c r="E56" s="76" t="inlineStr">
        <is>
          <t>FLIGHT DECK CAPTAIN PEDALS DISK PAINT CHIPPED OFF.</t>
        </is>
      </c>
      <c r="F56" s="9" t="n"/>
      <c r="G56" s="68" t="n"/>
      <c r="H56" s="57" t="inlineStr">
        <is>
          <t>Not Raised</t>
        </is>
      </c>
      <c r="I56" s="67" t="n"/>
      <c r="J56" s="67" t="n"/>
      <c r="K56" s="67" t="n"/>
    </row>
    <row r="57" ht="19.5" customHeight="1" s="104">
      <c r="A57" s="66" t="n">
        <v>54</v>
      </c>
      <c r="B57" s="83" t="inlineStr">
        <is>
          <t>BAY 4 CREW</t>
        </is>
      </c>
      <c r="C57" s="9" t="inlineStr">
        <is>
          <t>FLIGHT DECK</t>
        </is>
      </c>
      <c r="D57" s="68" t="n"/>
      <c r="E57" s="12" t="inlineStr">
        <is>
          <t>FLIGHT DECK F/O ASHTRAY BROKEN.</t>
        </is>
      </c>
      <c r="F57" s="9" t="n"/>
      <c r="G57" s="68" t="n"/>
      <c r="H57" s="57" t="inlineStr">
        <is>
          <t>Not Raised</t>
        </is>
      </c>
      <c r="I57" s="67" t="n"/>
      <c r="J57" s="67" t="n"/>
      <c r="K57" s="67" t="n"/>
    </row>
    <row r="58" ht="19.5" customHeight="1" s="104">
      <c r="A58" s="66" t="n">
        <v>55</v>
      </c>
      <c r="B58" s="83" t="inlineStr">
        <is>
          <t>BAY 4 CREW</t>
        </is>
      </c>
      <c r="C58" s="9" t="inlineStr">
        <is>
          <t>FLIGHT DECK</t>
        </is>
      </c>
      <c r="D58" s="68" t="n"/>
      <c r="E58" s="12" t="inlineStr">
        <is>
          <t>FLIGHT DECK CAPTAIN SEAT R/H ARMREST RUBBER DETATCHED.</t>
        </is>
      </c>
      <c r="F58" s="9" t="n"/>
      <c r="G58" s="68" t="n"/>
      <c r="H58" s="57" t="inlineStr">
        <is>
          <t>Not Raised</t>
        </is>
      </c>
      <c r="I58" s="67" t="n"/>
      <c r="J58" s="67" t="n"/>
      <c r="K58" s="67" t="n"/>
    </row>
    <row r="59" ht="19.5" customHeight="1" s="104">
      <c r="A59" s="66" t="n">
        <v>56</v>
      </c>
      <c r="B59" s="83" t="inlineStr">
        <is>
          <t>BAY 4 CREW</t>
        </is>
      </c>
      <c r="C59" s="9" t="inlineStr">
        <is>
          <t>FLIGHT DECK</t>
        </is>
      </c>
      <c r="D59" s="68" t="n"/>
      <c r="E59" s="76" t="inlineStr">
        <is>
          <t>FLIGHT DECK F/O DISK STOWAGE HANDLE BROKEN.</t>
        </is>
      </c>
      <c r="F59" s="9" t="n"/>
      <c r="G59" s="68" t="n"/>
      <c r="H59" s="57" t="inlineStr">
        <is>
          <t>Not Raised</t>
        </is>
      </c>
      <c r="I59" s="67" t="n"/>
      <c r="J59" s="67" t="n"/>
      <c r="K59" s="67" t="n"/>
    </row>
    <row r="60" ht="19.5" customHeight="1" s="104">
      <c r="A60" s="66" t="n">
        <v>57</v>
      </c>
      <c r="B60" s="83" t="inlineStr">
        <is>
          <t>BAY 4 CREW</t>
        </is>
      </c>
      <c r="C60" s="9" t="inlineStr">
        <is>
          <t>FLIGHT DECK</t>
        </is>
      </c>
      <c r="D60" s="68" t="n"/>
      <c r="E60" s="12" t="inlineStr">
        <is>
          <t>FLIGHT DECK CAPTAIN SEAT L/H ARMREST LEATHER DIRTY.</t>
        </is>
      </c>
      <c r="F60" s="9" t="n"/>
      <c r="G60" s="68" t="n"/>
      <c r="H60" s="57" t="inlineStr">
        <is>
          <t>Not Raised</t>
        </is>
      </c>
      <c r="I60" s="67" t="n"/>
      <c r="J60" s="67" t="n"/>
      <c r="K60" s="67" t="n"/>
    </row>
    <row r="61" ht="19.5" customHeight="1" s="104">
      <c r="A61" s="66" t="n">
        <v>58</v>
      </c>
      <c r="B61" s="83" t="inlineStr">
        <is>
          <t>BAY 4 CREW</t>
        </is>
      </c>
      <c r="C61" s="9" t="inlineStr">
        <is>
          <t>FLIGHT DECK</t>
        </is>
      </c>
      <c r="D61" s="68" t="n"/>
      <c r="E61" s="76" t="inlineStr">
        <is>
          <t xml:space="preserve">FKUGHT DECK F/O SEATBELT PAINT CHIPPED OFF. </t>
        </is>
      </c>
      <c r="F61" s="9" t="n"/>
      <c r="G61" s="68" t="n"/>
      <c r="H61" s="57" t="inlineStr">
        <is>
          <t>Not Raised</t>
        </is>
      </c>
      <c r="I61" s="67" t="n"/>
      <c r="J61" s="67" t="n"/>
      <c r="K61" s="67" t="n"/>
    </row>
    <row r="62" ht="19.5" customHeight="1" s="104">
      <c r="A62" s="66" t="n">
        <v>59</v>
      </c>
      <c r="B62" s="83" t="inlineStr">
        <is>
          <t>BAY 4 CREW</t>
        </is>
      </c>
      <c r="C62" s="9" t="inlineStr">
        <is>
          <t>FLIGHT DECK</t>
        </is>
      </c>
      <c r="D62" s="68" t="n"/>
      <c r="E62" s="12" t="inlineStr">
        <is>
          <t>FLIGHT DECK DOOR LOCK SCREWS FOUND LOOSE</t>
        </is>
      </c>
      <c r="F62" s="9" t="n"/>
      <c r="G62" s="68" t="n"/>
      <c r="H62" s="57" t="inlineStr">
        <is>
          <t>Not Raised</t>
        </is>
      </c>
      <c r="I62" s="67" t="n"/>
      <c r="J62" s="67" t="n"/>
      <c r="K62" s="67" t="n"/>
    </row>
    <row r="63" ht="19.5" customHeight="1" s="104">
      <c r="A63" s="66" t="n">
        <v>60</v>
      </c>
      <c r="B63" s="83" t="inlineStr">
        <is>
          <t>BAY 4 CREW</t>
        </is>
      </c>
      <c r="C63" s="9" t="inlineStr">
        <is>
          <t>FLIGHT DECK</t>
        </is>
      </c>
      <c r="D63" s="68" t="n"/>
      <c r="E63" s="76" t="inlineStr">
        <is>
          <t>FLIGHT DECK FIRST OBSERVER SEAT PAINT CHIPPED OFF.</t>
        </is>
      </c>
      <c r="F63" s="9" t="n"/>
      <c r="G63" s="68" t="n"/>
      <c r="H63" s="57" t="inlineStr">
        <is>
          <t>Not Raised</t>
        </is>
      </c>
      <c r="I63" s="67" t="n"/>
      <c r="J63" s="67" t="n"/>
      <c r="K63" s="67" t="n"/>
    </row>
    <row r="64" ht="19.5" customHeight="1" s="104">
      <c r="A64" s="66" t="n">
        <v>61</v>
      </c>
      <c r="B64" s="83" t="inlineStr">
        <is>
          <t>BAY 4 CREW</t>
        </is>
      </c>
      <c r="C64" s="9" t="inlineStr">
        <is>
          <t>FLIGHT DECK</t>
        </is>
      </c>
      <c r="D64" s="68" t="n"/>
      <c r="E64" s="12" t="inlineStr">
        <is>
          <t>FLIGHT DECK FIRST OBSERVER SEAT HEAD WITH REST MISSING SCREWS.</t>
        </is>
      </c>
      <c r="F64" s="9" t="n"/>
      <c r="G64" s="68" t="n"/>
      <c r="H64" s="57" t="inlineStr">
        <is>
          <t>Not Raised</t>
        </is>
      </c>
      <c r="I64" s="67" t="n"/>
      <c r="J64" s="67" t="n"/>
      <c r="K64" s="67" t="n"/>
    </row>
    <row r="65" ht="19.5" customHeight="1" s="104">
      <c r="A65" s="66" t="n">
        <v>62</v>
      </c>
      <c r="B65" s="83" t="inlineStr">
        <is>
          <t>BAY 4 CREW</t>
        </is>
      </c>
      <c r="C65" s="9" t="inlineStr">
        <is>
          <t>FLIGHT DECK</t>
        </is>
      </c>
      <c r="D65" s="68" t="n"/>
      <c r="E65" s="12" t="inlineStr">
        <is>
          <t>FLIGHT DECK CAPTAIN AND F/O SEAT SHROUD FOUND BROKEN.</t>
        </is>
      </c>
      <c r="F65" s="9" t="n"/>
      <c r="G65" s="68" t="n"/>
      <c r="H65" s="57" t="inlineStr">
        <is>
          <t>Not Raised</t>
        </is>
      </c>
      <c r="I65" s="67" t="n"/>
      <c r="J65" s="67" t="n"/>
      <c r="K65" s="67" t="n"/>
    </row>
    <row r="66" ht="19.5" customHeight="1" s="104">
      <c r="A66" s="66" t="n">
        <v>63</v>
      </c>
      <c r="B66" s="83" t="inlineStr">
        <is>
          <t>BAY 4 CREW</t>
        </is>
      </c>
      <c r="C66" s="9" t="inlineStr">
        <is>
          <t>FLIGHT DECK</t>
        </is>
      </c>
      <c r="D66" s="68" t="n"/>
      <c r="E66" s="12" t="inlineStr">
        <is>
          <t>FLIGHT DECK F/O SEAT R/H ARMREST GAUGE DIRTY.</t>
        </is>
      </c>
      <c r="F66" s="9" t="n"/>
      <c r="G66" s="68" t="n"/>
      <c r="H66" s="57" t="inlineStr">
        <is>
          <t>Not Raised</t>
        </is>
      </c>
      <c r="I66" s="67" t="n"/>
      <c r="J66" s="67" t="n"/>
      <c r="K66" s="67" t="n"/>
    </row>
    <row r="67" ht="19.5" customHeight="1" s="104">
      <c r="A67" s="66" t="n">
        <v>64</v>
      </c>
      <c r="B67" s="83" t="inlineStr">
        <is>
          <t>FADUL</t>
        </is>
      </c>
      <c r="C67" s="9" t="inlineStr">
        <is>
          <t>TEDLAR/SIDEWALL</t>
        </is>
      </c>
      <c r="D67" s="12" t="inlineStr">
        <is>
          <t>1AC</t>
        </is>
      </c>
      <c r="E67" s="12" t="inlineStr">
        <is>
          <t>THE SPLINE BETWEEN SIDEWALLS SHIFTED DOWNWARD</t>
        </is>
      </c>
      <c r="F67" s="9" t="n"/>
      <c r="G67" s="89" t="inlineStr">
        <is>
          <t>https://i.ibb.co/QvkGH4GN/2133f228a54e.jpg</t>
        </is>
      </c>
      <c r="H67" s="57" t="inlineStr">
        <is>
          <t>Not Raised</t>
        </is>
      </c>
      <c r="I67" s="67" t="n"/>
      <c r="J67" s="67" t="n"/>
      <c r="K67" s="67" t="n"/>
    </row>
    <row r="68" ht="19.5" customHeight="1" s="104">
      <c r="A68" s="66" t="n">
        <v>65</v>
      </c>
      <c r="B68" s="83" t="inlineStr">
        <is>
          <t>FADUL</t>
        </is>
      </c>
      <c r="C68" s="9" t="inlineStr">
        <is>
          <t>GENERAL CABIN</t>
        </is>
      </c>
      <c r="D68" s="12" t="inlineStr">
        <is>
          <t>1AC</t>
        </is>
      </c>
      <c r="E68" s="12" t="inlineStr">
        <is>
          <t>CHIPPED RUBBER SEAL</t>
        </is>
      </c>
      <c r="F68" s="9" t="n"/>
      <c r="G68" s="89" t="inlineStr">
        <is>
          <t>https://i.ibb.co/9kG3gS87/885f1263c4b8.jpg</t>
        </is>
      </c>
      <c r="H68" s="57" t="inlineStr">
        <is>
          <t>Not Raised</t>
        </is>
      </c>
      <c r="I68" s="67" t="n"/>
      <c r="J68" s="67" t="n"/>
      <c r="K68" s="67" t="n"/>
    </row>
    <row r="69" ht="19.5" customHeight="1" s="104">
      <c r="A69" s="66" t="n">
        <v>66</v>
      </c>
      <c r="B69" s="83" t="inlineStr">
        <is>
          <t>FADUL</t>
        </is>
      </c>
      <c r="C69" s="9" t="inlineStr">
        <is>
          <t>GENERAL CABIN</t>
        </is>
      </c>
      <c r="D69" s="12" t="inlineStr">
        <is>
          <t>1AC</t>
        </is>
      </c>
      <c r="E69" s="12" t="inlineStr">
        <is>
          <t>DIRTY INTERIOR ON THE OVRHD COPMT</t>
        </is>
      </c>
      <c r="F69" s="9" t="n"/>
      <c r="G69" s="89" t="inlineStr">
        <is>
          <t>https://i.ibb.co/Q3qcK5VM/9f8fcdd169e1.jpg</t>
        </is>
      </c>
      <c r="H69" s="57" t="inlineStr">
        <is>
          <t>Not Raised</t>
        </is>
      </c>
      <c r="I69" s="67" t="n"/>
      <c r="J69" s="67" t="n"/>
      <c r="K69" s="67" t="n"/>
    </row>
    <row r="70" ht="19.5" customHeight="1" s="104">
      <c r="A70" s="66" t="n">
        <v>67</v>
      </c>
      <c r="B70" s="83" t="inlineStr">
        <is>
          <t>FADUL</t>
        </is>
      </c>
      <c r="C70" s="9" t="inlineStr">
        <is>
          <t>GENERAL CABIN</t>
        </is>
      </c>
      <c r="D70" s="12" t="inlineStr">
        <is>
          <t>2AC</t>
        </is>
      </c>
      <c r="E70" s="12" t="inlineStr">
        <is>
          <t>SMALL PAINT CHIPPED OF ON STOWAGE COMPT. HANDLE</t>
        </is>
      </c>
      <c r="F70" s="9" t="n"/>
      <c r="G70" s="89" t="inlineStr">
        <is>
          <t>https://i.ibb.co/C3x90KXc/6a668d46a2cf.jpg</t>
        </is>
      </c>
      <c r="H70" s="57" t="inlineStr">
        <is>
          <t>Not Raised</t>
        </is>
      </c>
      <c r="I70" s="67" t="n"/>
      <c r="J70" s="67" t="n"/>
      <c r="K70" s="67" t="n"/>
    </row>
    <row r="71" ht="19.5" customHeight="1" s="104">
      <c r="A71" s="66" t="n">
        <v>68</v>
      </c>
      <c r="B71" s="83" t="inlineStr">
        <is>
          <t>FADUL</t>
        </is>
      </c>
      <c r="C71" s="9" t="inlineStr">
        <is>
          <t>GENERAL CABIN</t>
        </is>
      </c>
      <c r="D71" s="12" t="inlineStr">
        <is>
          <t>1AC</t>
        </is>
      </c>
      <c r="E71" s="12" t="inlineStr">
        <is>
          <t>THE SMALL COMPT. STOWAGE STUCK IN THE CEILING AND NEED ADJUSTMENT</t>
        </is>
      </c>
      <c r="F71" s="9" t="n"/>
      <c r="G71" s="89" t="inlineStr">
        <is>
          <t>https://i.ibb.co/jvCZhrmg/7d9768c8e308.jpg</t>
        </is>
      </c>
      <c r="H71" s="57" t="inlineStr">
        <is>
          <t>Not Raised</t>
        </is>
      </c>
      <c r="I71" s="67" t="n"/>
      <c r="J71" s="67" t="n"/>
      <c r="K71" s="67" t="n"/>
    </row>
    <row r="72" ht="19.5" customHeight="1" s="104">
      <c r="A72" s="66" t="n">
        <v>69</v>
      </c>
      <c r="B72" s="83" t="inlineStr">
        <is>
          <t>FADUL</t>
        </is>
      </c>
      <c r="C72" s="9" t="inlineStr">
        <is>
          <t>GENERAL CABIN</t>
        </is>
      </c>
      <c r="D72" s="12" t="inlineStr">
        <is>
          <t>1AC</t>
        </is>
      </c>
      <c r="E72" s="12" t="inlineStr">
        <is>
          <t>MISSING DAMPER INSIDE STOWAGE COMPT.</t>
        </is>
      </c>
      <c r="F72" s="9" t="n"/>
      <c r="G72" s="89" t="inlineStr">
        <is>
          <t>https://i.ibb.co/Z6wVYkxP/5c3d5c9daf60.jpg</t>
        </is>
      </c>
      <c r="H72" s="57" t="inlineStr">
        <is>
          <t>Not Raised</t>
        </is>
      </c>
      <c r="I72" s="67" t="n"/>
      <c r="J72" s="67" t="n"/>
      <c r="K72" s="67" t="n"/>
    </row>
    <row r="73" ht="19.5" customHeight="1" s="104">
      <c r="A73" s="66" t="n">
        <v>70</v>
      </c>
      <c r="B73" s="83" t="inlineStr">
        <is>
          <t>FADUL</t>
        </is>
      </c>
      <c r="C73" s="9" t="inlineStr">
        <is>
          <t>GENERAL CABIN</t>
        </is>
      </c>
      <c r="D73" s="12" t="inlineStr">
        <is>
          <t>1AC</t>
        </is>
      </c>
      <c r="E73" s="12" t="inlineStr">
        <is>
          <t>TINY PAINT CHIPPED ABOVE PAX SEAT</t>
        </is>
      </c>
      <c r="F73" s="9" t="n"/>
      <c r="G73" s="89" t="inlineStr">
        <is>
          <t>https://i.ibb.co/QFscwxjY/8ad08b79170d.jpg</t>
        </is>
      </c>
      <c r="H73" s="57" t="inlineStr">
        <is>
          <t>Not Raised</t>
        </is>
      </c>
      <c r="I73" s="67" t="n"/>
      <c r="J73" s="67" t="n"/>
      <c r="K73" s="67" t="n"/>
    </row>
    <row r="74" ht="19.5" customHeight="1" s="104">
      <c r="A74" s="66" t="n">
        <v>71</v>
      </c>
      <c r="B74" s="83" t="inlineStr">
        <is>
          <t>FADUL</t>
        </is>
      </c>
      <c r="C74" s="9" t="inlineStr">
        <is>
          <t>GENERAL CABIN</t>
        </is>
      </c>
      <c r="D74" s="12" t="inlineStr">
        <is>
          <t>1AC</t>
        </is>
      </c>
      <c r="E74" s="12" t="inlineStr">
        <is>
          <t>MISSING SCREW ABOVE MIRROR INSIDE STOWAGE COMPT.</t>
        </is>
      </c>
      <c r="F74" s="9" t="n"/>
      <c r="G74" s="89" t="inlineStr">
        <is>
          <t>https://i.ibb.co/1Y4wsYSJ/813e1a75ef91.jpg</t>
        </is>
      </c>
      <c r="H74" s="57" t="inlineStr">
        <is>
          <t>Not Raised</t>
        </is>
      </c>
      <c r="I74" s="67" t="n"/>
      <c r="J74" s="67" t="n"/>
      <c r="K74" s="67" t="n"/>
    </row>
    <row r="75" ht="19.5" customHeight="1" s="104">
      <c r="A75" s="66" t="n">
        <v>72</v>
      </c>
      <c r="B75" s="83" t="inlineStr">
        <is>
          <t>FADUL</t>
        </is>
      </c>
      <c r="C75" s="9" t="inlineStr">
        <is>
          <t>GENERAL CABIN</t>
        </is>
      </c>
      <c r="D75" s="12" t="inlineStr">
        <is>
          <t>1AC</t>
        </is>
      </c>
      <c r="E75" s="12" t="inlineStr">
        <is>
          <t>MISSING SCREW ABOVE MIRROR INSIDE STOWAGE COMPT.</t>
        </is>
      </c>
      <c r="F75" s="9" t="n"/>
      <c r="G75" s="89" t="inlineStr">
        <is>
          <t>https://i.ibb.co/1Y4wsYSJ/813e1a75ef91.jpg</t>
        </is>
      </c>
      <c r="H75" s="57" t="inlineStr">
        <is>
          <t>Not Raised</t>
        </is>
      </c>
      <c r="I75" s="67" t="n"/>
      <c r="J75" s="67" t="n"/>
      <c r="K75" s="67" t="n"/>
    </row>
    <row r="76" ht="19.5" customHeight="1" s="104">
      <c r="A76" s="66" t="n">
        <v>73</v>
      </c>
      <c r="B76" s="83" t="inlineStr">
        <is>
          <t>FADUL</t>
        </is>
      </c>
      <c r="C76" s="9" t="inlineStr">
        <is>
          <t>GENERAL CABIN</t>
        </is>
      </c>
      <c r="D76" s="12" t="inlineStr">
        <is>
          <t>30ABC</t>
        </is>
      </c>
      <c r="E76" s="12" t="inlineStr">
        <is>
          <t>SMALL CHIPPED OF PAINT ON PSU</t>
        </is>
      </c>
      <c r="F76" s="9" t="n"/>
      <c r="G76" s="68" t="n"/>
      <c r="H76" s="57" t="inlineStr">
        <is>
          <t>Not Raised</t>
        </is>
      </c>
      <c r="I76" s="67" t="n"/>
      <c r="J76" s="67" t="n"/>
      <c r="K76" s="67" t="n"/>
    </row>
    <row r="77" ht="19.5" customHeight="1" s="104">
      <c r="A77" s="66" t="n">
        <v>74</v>
      </c>
      <c r="B77" s="83" t="inlineStr">
        <is>
          <t>FADUL</t>
        </is>
      </c>
      <c r="C77" s="9" t="inlineStr">
        <is>
          <t>TEDLAR/SIDEWALL</t>
        </is>
      </c>
      <c r="D77" s="12" t="inlineStr">
        <is>
          <t>2AC</t>
        </is>
      </c>
      <c r="E77" s="12" t="inlineStr">
        <is>
          <t>DIRTY LOWER SIDEWALL</t>
        </is>
      </c>
      <c r="F77" s="9" t="n"/>
      <c r="G77" s="68" t="n"/>
      <c r="H77" s="57" t="inlineStr">
        <is>
          <t>Not Raised</t>
        </is>
      </c>
      <c r="I77" s="67" t="n"/>
      <c r="J77" s="67" t="n"/>
      <c r="K77" s="67" t="n"/>
    </row>
    <row r="78" ht="19.5" customHeight="1" s="104">
      <c r="A78" s="66" t="n">
        <v>75</v>
      </c>
      <c r="B78" s="83" t="inlineStr">
        <is>
          <t>FADUL</t>
        </is>
      </c>
      <c r="C78" s="9" t="inlineStr">
        <is>
          <t>GENERAL CABIN</t>
        </is>
      </c>
      <c r="D78" s="12" t="inlineStr">
        <is>
          <t>3AC</t>
        </is>
      </c>
      <c r="E78" s="12" t="inlineStr">
        <is>
          <t>SMALL CHIPP OF PAINT ON STOWAGE COMPT</t>
        </is>
      </c>
      <c r="F78" s="9" t="n"/>
      <c r="G78" s="68" t="n"/>
      <c r="H78" s="57" t="inlineStr">
        <is>
          <t>Not Raised</t>
        </is>
      </c>
      <c r="I78" s="67" t="n"/>
      <c r="J78" s="67" t="n"/>
      <c r="K78" s="67" t="n"/>
    </row>
    <row r="79" ht="19.5" customHeight="1" s="104">
      <c r="A79" s="66" t="n">
        <v>76</v>
      </c>
      <c r="B79" s="83" t="inlineStr">
        <is>
          <t>FADUL</t>
        </is>
      </c>
      <c r="C79" s="9" t="inlineStr">
        <is>
          <t>GENERAL CABIN</t>
        </is>
      </c>
      <c r="D79" s="12" t="inlineStr">
        <is>
          <t>C101</t>
        </is>
      </c>
      <c r="E79" s="12" t="inlineStr">
        <is>
          <t>COMPT. C101 TEDLAR CHIPPED OF AND DIRTY</t>
        </is>
      </c>
      <c r="F79" s="9" t="n"/>
      <c r="G79" s="68" t="n"/>
      <c r="H79" s="57" t="inlineStr">
        <is>
          <t>Not Raised</t>
        </is>
      </c>
      <c r="I79" s="67" t="n"/>
      <c r="J79" s="67" t="n"/>
      <c r="K79" s="67" t="n"/>
    </row>
    <row r="80" ht="19.5" customHeight="1" s="104">
      <c r="A80" s="66" t="n">
        <v>77</v>
      </c>
      <c r="B80" s="83" t="inlineStr">
        <is>
          <t>FADUL</t>
        </is>
      </c>
      <c r="C80" s="9" t="inlineStr">
        <is>
          <t>GENERAL CABIN</t>
        </is>
      </c>
      <c r="D80" s="12" t="inlineStr">
        <is>
          <t>C101</t>
        </is>
      </c>
      <c r="E80" s="12" t="inlineStr">
        <is>
          <t>MISSING HINGE SCREW ON COMPT. C101</t>
        </is>
      </c>
      <c r="F80" s="9" t="n"/>
      <c r="G80" s="68" t="n"/>
      <c r="H80" s="57" t="inlineStr">
        <is>
          <t>Not Raised</t>
        </is>
      </c>
      <c r="I80" s="67" t="n"/>
      <c r="J80" s="67" t="n"/>
      <c r="K80" s="67" t="n"/>
    </row>
    <row r="81" ht="19.5" customHeight="1" s="104">
      <c r="A81" s="66" t="n">
        <v>78</v>
      </c>
      <c r="B81" s="83" t="inlineStr">
        <is>
          <t>FADUL</t>
        </is>
      </c>
      <c r="C81" s="9" t="inlineStr">
        <is>
          <t>GENERAL CABIN</t>
        </is>
      </c>
      <c r="D81" s="12" t="inlineStr">
        <is>
          <t>2AC</t>
        </is>
      </c>
      <c r="E81" s="12" t="inlineStr">
        <is>
          <t>CHIPPED STOWAGE COMPT HANDLE</t>
        </is>
      </c>
      <c r="F81" s="9" t="n"/>
      <c r="G81" s="68" t="n"/>
      <c r="H81" s="57" t="inlineStr">
        <is>
          <t>Not Raised</t>
        </is>
      </c>
      <c r="I81" s="67" t="n"/>
      <c r="J81" s="67" t="n"/>
      <c r="K81" s="67" t="n"/>
    </row>
    <row r="82" ht="19.5" customHeight="1" s="104">
      <c r="A82" s="66" t="n">
        <v>79</v>
      </c>
      <c r="B82" s="83" t="inlineStr">
        <is>
          <t>HOSSAM ALTHOBAITI 30001461</t>
        </is>
      </c>
      <c r="C82" s="9" t="inlineStr">
        <is>
          <t>FLIGHT DECK</t>
        </is>
      </c>
      <c r="D82" s="12" t="inlineStr">
        <is>
          <t>F/O WASTE</t>
        </is>
      </c>
      <c r="E82" s="12" t="inlineStr">
        <is>
          <t>F/O WASTER DOOR MAKE NOISY SOUND</t>
        </is>
      </c>
      <c r="F82" s="9" t="n"/>
      <c r="G82" s="89" t="inlineStr">
        <is>
          <t>https://i.ibb.co/jvwwc8nF/9906f344dd92.jpg</t>
        </is>
      </c>
      <c r="H82" s="57" t="inlineStr">
        <is>
          <t>Not Raised</t>
        </is>
      </c>
      <c r="I82" s="67" t="n"/>
      <c r="J82" s="67" t="n"/>
      <c r="K82" s="67" t="n"/>
    </row>
    <row r="83" ht="19.5" customHeight="1" s="104">
      <c r="A83" s="66" t="n">
        <v>80</v>
      </c>
      <c r="B83" s="83" t="inlineStr">
        <is>
          <t>HOSSAM ALTHOBAITI 30001461</t>
        </is>
      </c>
      <c r="C83" s="9" t="inlineStr">
        <is>
          <t>FLIGHT DECK</t>
        </is>
      </c>
      <c r="D83" s="12" t="inlineStr">
        <is>
          <t>FOURTH OBSERVER</t>
        </is>
      </c>
      <c r="E83" s="12" t="inlineStr">
        <is>
          <t>FOURTH OBSERVER SEAT BELT INOP</t>
        </is>
      </c>
      <c r="F83" s="9" t="n"/>
      <c r="G83" s="89" t="inlineStr">
        <is>
          <t>https://i.ibb.co/Z65R8btD/ba3eb900cb73.jpg</t>
        </is>
      </c>
      <c r="H83" s="57" t="inlineStr">
        <is>
          <t>Not Raised</t>
        </is>
      </c>
      <c r="I83" s="67" t="n"/>
      <c r="J83" s="67" t="n"/>
      <c r="K83" s="67" t="n"/>
    </row>
    <row r="84" ht="15" customHeight="1" s="104">
      <c r="A84" s="66" t="n">
        <v>81</v>
      </c>
      <c r="B84" s="83" t="inlineStr">
        <is>
          <t>HOSSAM ALTHOBAITI 30001461</t>
        </is>
      </c>
      <c r="C84" s="9" t="inlineStr">
        <is>
          <t>FLIGHT DECK</t>
        </is>
      </c>
      <c r="D84" s="12" t="inlineStr">
        <is>
          <t>CAPTAIN SEAT</t>
        </is>
      </c>
      <c r="E84" s="12" t="inlineStr">
        <is>
          <t>CAPTAIN SEAT OVERHEAD LIGHT SCREW MISSING</t>
        </is>
      </c>
      <c r="F84" s="9" t="n"/>
      <c r="G84" s="89" t="inlineStr">
        <is>
          <t>https://i.ibb.co/HTct01dB/c871b1f2c316.jpg</t>
        </is>
      </c>
      <c r="H84" s="57" t="inlineStr">
        <is>
          <t>Not Raised</t>
        </is>
      </c>
      <c r="I84" s="67" t="n"/>
      <c r="J84" s="67" t="n"/>
      <c r="K84" s="67" t="n"/>
    </row>
    <row r="85" ht="26.4" customHeight="1" s="104">
      <c r="A85" s="66" t="n">
        <v>82</v>
      </c>
      <c r="B85" s="83" t="inlineStr">
        <is>
          <t>HOSSAM ALTHOBAITI 30001461</t>
        </is>
      </c>
      <c r="C85" s="9" t="inlineStr">
        <is>
          <t>FLIGHT DECK</t>
        </is>
      </c>
      <c r="D85" s="12" t="inlineStr">
        <is>
          <t>THIRD OBSERVER</t>
        </is>
      </c>
      <c r="E85" s="12" t="inlineStr">
        <is>
          <t>THIRD OBSERVER LIFE VEST COVER MISSALIGNMENT</t>
        </is>
      </c>
      <c r="F85" s="9" t="n"/>
      <c r="G85" s="90" t="inlineStr">
        <is>
          <t>https://i.ibb.co/d46MH5DN/a29b0249d1be.jpg
https://i.ibb.co/RGGnWLqK/67b761ee5f93.jpg</t>
        </is>
      </c>
      <c r="H85" s="57" t="inlineStr">
        <is>
          <t>Not Raised</t>
        </is>
      </c>
      <c r="I85" s="67" t="n"/>
      <c r="J85" s="67" t="n"/>
      <c r="K85" s="67" t="n"/>
    </row>
    <row r="86" ht="26.4" customHeight="1" s="104">
      <c r="A86" s="66" t="n">
        <v>83</v>
      </c>
      <c r="B86" s="83" t="inlineStr">
        <is>
          <t>HOSSAM ALTHOBAITI 30001461</t>
        </is>
      </c>
      <c r="C86" s="9" t="inlineStr">
        <is>
          <t>FLIGHT DECK</t>
        </is>
      </c>
      <c r="D86" s="12" t="inlineStr">
        <is>
          <t>SEATBELT</t>
        </is>
      </c>
      <c r="E86" s="12" t="inlineStr">
        <is>
          <t>BOTH SEATBELT FOR CAPTAIN, F/O ( DOWN) FRYED</t>
        </is>
      </c>
      <c r="F86" s="9" t="n"/>
      <c r="G86" s="90" t="inlineStr">
        <is>
          <t>https://i.ibb.co/1J2sWRj4/fe904fa9e410.jpg
https://i.ibb.co/60HdM7sk/e732d4c17fad.jpg</t>
        </is>
      </c>
      <c r="H86" s="57" t="inlineStr">
        <is>
          <t>Not Raised</t>
        </is>
      </c>
      <c r="I86" s="67" t="n"/>
      <c r="J86" s="67" t="n"/>
      <c r="K86" s="67" t="n"/>
    </row>
    <row r="87" ht="19.5" customHeight="1" s="104">
      <c r="A87" s="66" t="n">
        <v>84</v>
      </c>
      <c r="B87" s="83" t="inlineStr">
        <is>
          <t>FADUL</t>
        </is>
      </c>
      <c r="C87" s="9" t="inlineStr">
        <is>
          <t>GENERAL CABIN</t>
        </is>
      </c>
      <c r="D87" s="12" t="inlineStr">
        <is>
          <t>3AC</t>
        </is>
      </c>
      <c r="E87" s="12" t="inlineStr">
        <is>
          <t>DIRTY INTERIOR STOWAGE COMPT</t>
        </is>
      </c>
      <c r="F87" s="9" t="n"/>
      <c r="G87" s="89" t="inlineStr">
        <is>
          <t>https://i.ibb.co/DHV4TfTZ/becdfce1cd48.jpg</t>
        </is>
      </c>
      <c r="H87" s="57" t="inlineStr">
        <is>
          <t>Not Raised</t>
        </is>
      </c>
      <c r="I87" s="67" t="n"/>
      <c r="J87" s="67" t="n"/>
      <c r="K87" s="67" t="n"/>
    </row>
    <row r="88" ht="19.5" customHeight="1" s="104">
      <c r="A88" s="66" t="n">
        <v>85</v>
      </c>
      <c r="B88" s="83" t="inlineStr">
        <is>
          <t>FADUL</t>
        </is>
      </c>
      <c r="C88" s="9" t="inlineStr">
        <is>
          <t>GENERAL CABIN</t>
        </is>
      </c>
      <c r="D88" s="12" t="inlineStr">
        <is>
          <t>3AC</t>
        </is>
      </c>
      <c r="E88" s="12" t="inlineStr">
        <is>
          <t>DEEP SCRATCH ON STOWAGE COMPT</t>
        </is>
      </c>
      <c r="F88" s="9" t="n"/>
      <c r="G88" s="68" t="n"/>
      <c r="H88" s="57" t="inlineStr">
        <is>
          <t>Not Raised</t>
        </is>
      </c>
      <c r="I88" s="67" t="n"/>
      <c r="J88" s="67" t="n"/>
      <c r="K88" s="67" t="n"/>
    </row>
    <row r="89" ht="19.5" customHeight="1" s="104">
      <c r="A89" s="66" t="n">
        <v>86</v>
      </c>
      <c r="B89" s="83" t="inlineStr">
        <is>
          <t>FADUL</t>
        </is>
      </c>
      <c r="C89" s="9" t="inlineStr">
        <is>
          <t>GENERAL CABIN</t>
        </is>
      </c>
      <c r="D89" s="12" t="inlineStr">
        <is>
          <t>4AC</t>
        </is>
      </c>
      <c r="E89" s="12" t="inlineStr">
        <is>
          <t>MISSING DAMPER ON STOWAGE COMPT.</t>
        </is>
      </c>
      <c r="F89" s="9" t="n"/>
      <c r="G89" s="89" t="inlineStr">
        <is>
          <t>https://i.ibb.co/Vc23wV6s/d97b3d0f503d.jpg</t>
        </is>
      </c>
      <c r="H89" s="57" t="inlineStr">
        <is>
          <t>Not Raised</t>
        </is>
      </c>
      <c r="I89" s="67" t="n"/>
      <c r="J89" s="67" t="n"/>
      <c r="K89" s="67" t="n"/>
    </row>
    <row r="90" ht="19.5" customHeight="1" s="104">
      <c r="A90" s="66" t="n">
        <v>87</v>
      </c>
      <c r="B90" s="83" t="inlineStr">
        <is>
          <t>HOSSAM ALTHOBAITI 30001461</t>
        </is>
      </c>
      <c r="C90" s="9" t="inlineStr">
        <is>
          <t>FLIGHT DECK</t>
        </is>
      </c>
      <c r="D90" s="12" t="inlineStr">
        <is>
          <t>SPEAKERS PANEL</t>
        </is>
      </c>
      <c r="E90" s="12" t="inlineStr">
        <is>
          <t>SPEAKERS PANEL FOR CAPTAIN , F/O MISSING SCREW</t>
        </is>
      </c>
      <c r="F90" s="9" t="n"/>
      <c r="G90" s="89" t="inlineStr">
        <is>
          <t>https://i.ibb.co/j9Sx4rbp/8d68053ab10f.jpg</t>
        </is>
      </c>
      <c r="H90" s="57" t="inlineStr">
        <is>
          <t>Not Raised</t>
        </is>
      </c>
      <c r="I90" s="67" t="n"/>
      <c r="J90" s="67" t="n"/>
      <c r="K90" s="67" t="n"/>
    </row>
    <row r="91" ht="19.5" customHeight="1" s="104">
      <c r="A91" s="66" t="n">
        <v>88</v>
      </c>
      <c r="B91" s="83" t="inlineStr">
        <is>
          <t>HOSSAM ALTHOBAITI 30001461</t>
        </is>
      </c>
      <c r="C91" s="9" t="inlineStr">
        <is>
          <t>FLIGHT DECK</t>
        </is>
      </c>
      <c r="D91" s="12" t="inlineStr">
        <is>
          <t>MEAL TABLE</t>
        </is>
      </c>
      <c r="E91" s="12" t="inlineStr">
        <is>
          <t>F/O MEAL TABLE DISCOLORED</t>
        </is>
      </c>
      <c r="F91" s="9" t="n"/>
      <c r="G91" s="89" t="inlineStr">
        <is>
          <t>https://i.ibb.co/v4xWgNG2/ca55a6de0799.jpg</t>
        </is>
      </c>
      <c r="H91" s="57" t="inlineStr">
        <is>
          <t>Not Raised</t>
        </is>
      </c>
      <c r="I91" s="67" t="n"/>
      <c r="J91" s="67" t="n"/>
      <c r="K91" s="67" t="n"/>
    </row>
    <row r="92" ht="19.5" customHeight="1" s="104">
      <c r="A92" s="66" t="n">
        <v>89</v>
      </c>
      <c r="B92" s="83" t="inlineStr">
        <is>
          <t>HOSSAM ALTHOBAITI 30001461</t>
        </is>
      </c>
      <c r="C92" s="9" t="inlineStr">
        <is>
          <t>FLIGHT DECK</t>
        </is>
      </c>
      <c r="D92" s="12" t="inlineStr">
        <is>
          <t>MEAL TABLE</t>
        </is>
      </c>
      <c r="E92" s="12" t="inlineStr">
        <is>
          <t>CAPTAIN MEAL TABLE DISCOLORED</t>
        </is>
      </c>
      <c r="F92" s="9" t="n"/>
      <c r="G92" s="89" t="inlineStr">
        <is>
          <t>https://i.ibb.co/cX1YSVxz/e4fdcb10fd6f.jpg</t>
        </is>
      </c>
      <c r="H92" s="57" t="inlineStr">
        <is>
          <t>Not Raised</t>
        </is>
      </c>
      <c r="I92" s="67" t="n"/>
      <c r="J92" s="67" t="n"/>
      <c r="K92" s="67" t="n"/>
    </row>
    <row r="93" ht="19.5" customHeight="1" s="104">
      <c r="A93" s="66" t="n">
        <v>90</v>
      </c>
      <c r="B93" s="83" t="inlineStr">
        <is>
          <t>FADUL</t>
        </is>
      </c>
      <c r="C93" s="9" t="inlineStr">
        <is>
          <t>GENERAL CABIN</t>
        </is>
      </c>
      <c r="D93" s="12" t="inlineStr">
        <is>
          <t>5AC</t>
        </is>
      </c>
      <c r="E93" s="12" t="inlineStr">
        <is>
          <t>WHITE PAINT ON THE ROUBBER SEAL</t>
        </is>
      </c>
      <c r="F93" s="9" t="n"/>
      <c r="G93" s="68" t="n"/>
      <c r="H93" s="57" t="inlineStr">
        <is>
          <t>Not Raised</t>
        </is>
      </c>
      <c r="I93" s="67" t="n"/>
      <c r="J93" s="67" t="n"/>
      <c r="K93" s="67" t="n"/>
    </row>
    <row r="94" ht="19.5" customHeight="1" s="104">
      <c r="A94" s="66" t="n">
        <v>91</v>
      </c>
      <c r="B94" s="83" t="inlineStr">
        <is>
          <t>HOSSAM ALTHOBAITI 30001461</t>
        </is>
      </c>
      <c r="C94" s="9" t="inlineStr">
        <is>
          <t>FLIGHT DECK</t>
        </is>
      </c>
      <c r="D94" s="12" t="inlineStr">
        <is>
          <t>CAPTAIN SEAT</t>
        </is>
      </c>
      <c r="E94" s="12" t="inlineStr">
        <is>
          <t>CAPTAIN SEAT ARM REST LH DISCOLORED</t>
        </is>
      </c>
      <c r="F94" s="9" t="n"/>
      <c r="G94" s="89" t="inlineStr">
        <is>
          <t>https://i.ibb.co/j9Ph7zwF/cff2b7d75a45.jpg</t>
        </is>
      </c>
      <c r="H94" s="57" t="inlineStr">
        <is>
          <t>Not Raised</t>
        </is>
      </c>
      <c r="I94" s="67" t="n"/>
      <c r="J94" s="67" t="n"/>
      <c r="K94" s="67" t="n"/>
    </row>
    <row r="95" ht="19.5" customHeight="1" s="104">
      <c r="A95" s="66" t="n">
        <v>92</v>
      </c>
      <c r="B95" s="83" t="inlineStr">
        <is>
          <t>FADUL</t>
        </is>
      </c>
      <c r="C95" s="9" t="inlineStr">
        <is>
          <t>TEDLAR/SIDEWALL</t>
        </is>
      </c>
      <c r="D95" s="12" t="inlineStr">
        <is>
          <t>5AC</t>
        </is>
      </c>
      <c r="E95" s="12" t="inlineStr">
        <is>
          <t>DEEP SCRATCH ON THE SIDEWALL</t>
        </is>
      </c>
      <c r="F95" s="9" t="n"/>
      <c r="G95" s="89" t="inlineStr">
        <is>
          <t>https://i.ibb.co/sJHHgLJ5/05dabf7f4f6d.jpg</t>
        </is>
      </c>
      <c r="H95" s="57" t="inlineStr">
        <is>
          <t>Not Raised</t>
        </is>
      </c>
      <c r="I95" s="67" t="n"/>
      <c r="J95" s="67" t="n"/>
      <c r="K95" s="67" t="n"/>
    </row>
    <row r="96" ht="19.5" customHeight="1" s="104">
      <c r="A96" s="66" t="n">
        <v>93</v>
      </c>
      <c r="B96" s="83" t="inlineStr">
        <is>
          <t>HOSSAM ALTHOBAITI 30001461</t>
        </is>
      </c>
      <c r="C96" s="9" t="inlineStr">
        <is>
          <t>FLIGHT DECK</t>
        </is>
      </c>
      <c r="D96" s="12" t="inlineStr">
        <is>
          <t>CAPTAIN SEAT</t>
        </is>
      </c>
      <c r="E96" s="12" t="inlineStr">
        <is>
          <t>CAPTAIN SEAT RH ARMREST LOOSE</t>
        </is>
      </c>
      <c r="F96" s="9" t="n"/>
      <c r="G96" s="89" t="inlineStr">
        <is>
          <t>https://i.ibb.co/RkQZ0nm8/e63f1c035f2f.jpg</t>
        </is>
      </c>
      <c r="H96" s="57" t="inlineStr">
        <is>
          <t>Not Raised</t>
        </is>
      </c>
      <c r="I96" s="67" t="n"/>
      <c r="J96" s="67" t="n"/>
      <c r="K96" s="67" t="n"/>
    </row>
    <row r="97" ht="19.5" customHeight="1" s="104">
      <c r="A97" s="66" t="n">
        <v>94</v>
      </c>
      <c r="B97" s="83" t="inlineStr">
        <is>
          <t>HOSSAM ALTHOBAITI 30001461</t>
        </is>
      </c>
      <c r="C97" s="9" t="inlineStr">
        <is>
          <t>FLIGHT DECK</t>
        </is>
      </c>
      <c r="D97" s="12" t="inlineStr">
        <is>
          <t>CAPTAIN SEAT</t>
        </is>
      </c>
      <c r="E97" s="12" t="inlineStr">
        <is>
          <t>WASTE AND OXYGEN MASK COVER MAKE NOISY SOUNDS WHEN OPEN AND CLOSE THE DOOR</t>
        </is>
      </c>
      <c r="F97" s="9" t="n"/>
      <c r="G97" s="89" t="inlineStr">
        <is>
          <t>https://i.ibb.co/tMv1RN30/a8351414fa95.jpg</t>
        </is>
      </c>
      <c r="H97" s="57" t="inlineStr">
        <is>
          <t>Not Raised</t>
        </is>
      </c>
      <c r="I97" s="67" t="n"/>
      <c r="J97" s="67" t="n"/>
      <c r="K97" s="67" t="n"/>
    </row>
    <row r="98" ht="19.5" customHeight="1" s="104">
      <c r="A98" s="66" t="n">
        <v>95</v>
      </c>
      <c r="B98" s="83" t="inlineStr">
        <is>
          <t>FADUL</t>
        </is>
      </c>
      <c r="C98" s="9" t="inlineStr">
        <is>
          <t>TEDLAR/SIDEWALL</t>
        </is>
      </c>
      <c r="D98" s="12" t="inlineStr">
        <is>
          <t>5AC</t>
        </is>
      </c>
      <c r="E98" s="12" t="inlineStr">
        <is>
          <t>DEEP SCRATCH ON THE SIDEWALL</t>
        </is>
      </c>
      <c r="F98" s="9" t="n"/>
      <c r="G98" s="68" t="n"/>
      <c r="H98" s="57" t="inlineStr">
        <is>
          <t>Not Raised</t>
        </is>
      </c>
      <c r="I98" s="67" t="n"/>
      <c r="J98" s="67" t="n"/>
      <c r="K98" s="67" t="n"/>
    </row>
    <row r="99" ht="19.5" customHeight="1" s="104">
      <c r="A99" s="66" t="n">
        <v>96</v>
      </c>
      <c r="B99" s="83" t="inlineStr">
        <is>
          <t>FADUL</t>
        </is>
      </c>
      <c r="C99" s="9" t="inlineStr">
        <is>
          <t>TEDLAR/SIDEWALL</t>
        </is>
      </c>
      <c r="D99" s="12" t="inlineStr">
        <is>
          <t>5AC</t>
        </is>
      </c>
      <c r="E99" s="12" t="inlineStr">
        <is>
          <t>DEEP SCRATCH ON THE SIDEWALL</t>
        </is>
      </c>
      <c r="F99" s="9" t="n"/>
      <c r="G99" s="68" t="n"/>
      <c r="H99" s="57" t="inlineStr">
        <is>
          <t>Not Raised</t>
        </is>
      </c>
      <c r="I99" s="67" t="n"/>
      <c r="J99" s="67" t="n"/>
      <c r="K99" s="67" t="n"/>
    </row>
    <row r="100" ht="19.5" customHeight="1" s="104">
      <c r="A100" s="66" t="n">
        <v>97</v>
      </c>
      <c r="B100" s="83" t="inlineStr">
        <is>
          <t>HOSSAM ALTHOBAITI 30001461</t>
        </is>
      </c>
      <c r="C100" s="9" t="inlineStr">
        <is>
          <t>FLIGHT DECK</t>
        </is>
      </c>
      <c r="D100" s="12" t="inlineStr">
        <is>
          <t>DISC STOWAGE</t>
        </is>
      </c>
      <c r="E100" s="12" t="inlineStr">
        <is>
          <t>DISC STOWAGE FOR F/O LATCH INOP</t>
        </is>
      </c>
      <c r="F100" s="9" t="n"/>
      <c r="G100" s="89" t="inlineStr">
        <is>
          <t>https://i.ibb.co/KQZC85f/f229511eccc0.jpg</t>
        </is>
      </c>
      <c r="H100" s="57" t="inlineStr">
        <is>
          <t>Not Raised</t>
        </is>
      </c>
      <c r="I100" s="67" t="n"/>
      <c r="J100" s="67" t="n"/>
      <c r="K100" s="67" t="n"/>
    </row>
    <row r="101" ht="19.5" customHeight="1" s="104">
      <c r="A101" s="66" t="n">
        <v>98</v>
      </c>
      <c r="B101" s="83" t="inlineStr">
        <is>
          <t>HOSSAM ALTHOBAITI 30001461</t>
        </is>
      </c>
      <c r="C101" s="9" t="inlineStr">
        <is>
          <t>FLIGHT DECK</t>
        </is>
      </c>
      <c r="D101" s="12" t="inlineStr">
        <is>
          <t>ESCAPE ROPE</t>
        </is>
      </c>
      <c r="E101" s="12" t="inlineStr">
        <is>
          <t>ESCAPE ROPE COVER ADHESIVE FOR CAPTAIN, F/O IS DAMAGED</t>
        </is>
      </c>
      <c r="F101" s="9" t="n"/>
      <c r="G101" s="89" t="inlineStr">
        <is>
          <t>https://i.ibb.co/bgykmt5v/3655217e4941.jpg</t>
        </is>
      </c>
      <c r="H101" s="57" t="inlineStr">
        <is>
          <t>Not Raised</t>
        </is>
      </c>
      <c r="I101" s="67" t="n"/>
      <c r="J101" s="67" t="n"/>
      <c r="K101" s="67" t="n"/>
    </row>
    <row r="102" ht="19.5" customHeight="1" s="104">
      <c r="A102" s="66" t="n">
        <v>99</v>
      </c>
      <c r="B102" s="83" t="inlineStr">
        <is>
          <t>FADUL</t>
        </is>
      </c>
      <c r="C102" s="9" t="inlineStr">
        <is>
          <t>TEDLAR/SIDEWALL</t>
        </is>
      </c>
      <c r="D102" s="12" t="inlineStr">
        <is>
          <t>5AC</t>
        </is>
      </c>
      <c r="E102" s="12" t="inlineStr">
        <is>
          <t>TWO BATCHES ON THE SIDEWALL</t>
        </is>
      </c>
      <c r="F102" s="9" t="n"/>
      <c r="G102" s="89" t="inlineStr">
        <is>
          <t>https://i.ibb.co/ZRR3xZ6x/dbb1d6096baf.jpg</t>
        </is>
      </c>
      <c r="H102" s="57" t="inlineStr">
        <is>
          <t>Not Raised</t>
        </is>
      </c>
      <c r="I102" s="67" t="n"/>
      <c r="J102" s="67" t="n"/>
      <c r="K102" s="67" t="n"/>
    </row>
    <row r="103" ht="19.5" customHeight="1" s="104">
      <c r="A103" s="66" t="n">
        <v>100</v>
      </c>
      <c r="B103" s="83" t="inlineStr">
        <is>
          <t>30001461 HOSSAM ALTHOBAITI</t>
        </is>
      </c>
      <c r="C103" s="9" t="inlineStr">
        <is>
          <t>FLIGHT DECK</t>
        </is>
      </c>
      <c r="D103" s="12" t="inlineStr">
        <is>
          <t>CAPTAIN SEAT</t>
        </is>
      </c>
      <c r="E103" s="12" t="inlineStr">
        <is>
          <t>CAPTAIN SEAT ARMREST SHROUD COVER NOT SECURED</t>
        </is>
      </c>
      <c r="F103" s="9" t="n"/>
      <c r="G103" s="89" t="inlineStr">
        <is>
          <t>https://i.ibb.co/0p70syTY/a44d76f59e12.jpg</t>
        </is>
      </c>
      <c r="H103" s="57" t="inlineStr">
        <is>
          <t>Not Raised</t>
        </is>
      </c>
      <c r="I103" s="67" t="n"/>
      <c r="J103" s="67" t="n"/>
      <c r="K103" s="67" t="n"/>
    </row>
    <row r="104" ht="15.6" customHeight="1" s="104">
      <c r="A104" s="66" t="n">
        <v>101</v>
      </c>
      <c r="B104" s="83" t="n">
        <v>30001451</v>
      </c>
      <c r="C104" s="9" t="inlineStr">
        <is>
          <t>GALLEY</t>
        </is>
      </c>
      <c r="D104" s="81" t="inlineStr">
        <is>
          <t>FWD GALLEY</t>
        </is>
      </c>
      <c r="E104" s="12" t="inlineStr">
        <is>
          <t>COMP.211 LOWER BUMPER MISSING</t>
        </is>
      </c>
      <c r="F104" s="9" t="n"/>
      <c r="G104" s="89" t="inlineStr">
        <is>
          <t>https://i.ibb.co/3yBSQLFR/ba2604ed74d5.jpg</t>
        </is>
      </c>
      <c r="H104" s="57" t="inlineStr">
        <is>
          <t>Not Raised</t>
        </is>
      </c>
      <c r="I104" s="82" t="n"/>
      <c r="J104" s="82" t="n"/>
      <c r="K104" s="82" t="n"/>
    </row>
    <row r="105" ht="15.6" customHeight="1" s="104">
      <c r="A105" s="66" t="n">
        <v>102</v>
      </c>
      <c r="B105" s="83" t="n">
        <v>30001451</v>
      </c>
      <c r="C105" s="9" t="inlineStr">
        <is>
          <t>GALLEY</t>
        </is>
      </c>
      <c r="D105" s="81" t="inlineStr">
        <is>
          <t>FWD GALLEY</t>
        </is>
      </c>
      <c r="E105" s="12" t="inlineStr">
        <is>
          <t>COMP. 208 ICEBOX SURFACE DIRTY AND MISSING SEALANT</t>
        </is>
      </c>
      <c r="F105" s="9" t="n"/>
      <c r="G105" s="89" t="inlineStr">
        <is>
          <t>https://i.ibb.co/YFnXFqdt/99d9f5a0d515.jpg
https://i.ibb.co/zhPBsr8V/7dbd40be0697.jpg</t>
        </is>
      </c>
      <c r="H105" s="57" t="inlineStr">
        <is>
          <t>Not Raised</t>
        </is>
      </c>
      <c r="I105" s="82" t="n"/>
      <c r="J105" s="82" t="n"/>
      <c r="K105" s="82" t="n"/>
    </row>
    <row r="106" ht="15.6" customHeight="1" s="104">
      <c r="A106" s="66" t="n">
        <v>103</v>
      </c>
      <c r="B106" s="83" t="n">
        <v>30001451</v>
      </c>
      <c r="C106" s="9" t="inlineStr">
        <is>
          <t>GALLEY</t>
        </is>
      </c>
      <c r="D106" s="81" t="inlineStr">
        <is>
          <t>FWD GALLEY</t>
        </is>
      </c>
      <c r="E106" s="12" t="inlineStr">
        <is>
          <t>COMP. 201 DOOR FRAME DETTACHED</t>
        </is>
      </c>
      <c r="F106" s="9" t="n"/>
      <c r="G106" s="89" t="inlineStr">
        <is>
          <t>https://i.ibb.co/tp5YzfQc/c17e312b3f39.jpg</t>
        </is>
      </c>
      <c r="H106" s="57" t="inlineStr">
        <is>
          <t>Not Raised</t>
        </is>
      </c>
      <c r="I106" s="82" t="n"/>
      <c r="J106" s="82" t="n"/>
      <c r="K106" s="82" t="n"/>
    </row>
    <row r="107" ht="15.6" customHeight="1" s="104">
      <c r="A107" s="66" t="n">
        <v>104</v>
      </c>
      <c r="B107" s="83" t="n">
        <v>30001451</v>
      </c>
      <c r="C107" s="9" t="inlineStr">
        <is>
          <t>GALLEY</t>
        </is>
      </c>
      <c r="D107" s="81" t="inlineStr">
        <is>
          <t>FWD GALLEY</t>
        </is>
      </c>
      <c r="E107" s="12" t="inlineStr">
        <is>
          <t>COMP. 209 SLAMLATCH LOOSE</t>
        </is>
      </c>
      <c r="F107" s="9" t="n"/>
      <c r="G107" s="89" t="inlineStr">
        <is>
          <t>https://i.ibb.co/wh6B6TTw/19cf42c4cdbd.jpg</t>
        </is>
      </c>
      <c r="H107" s="57" t="inlineStr">
        <is>
          <t>Not Raised</t>
        </is>
      </c>
      <c r="I107" s="82" t="n"/>
      <c r="J107" s="82" t="n"/>
      <c r="K107" s="82" t="n"/>
    </row>
    <row r="108" ht="15.6" customHeight="1" s="104">
      <c r="A108" s="66" t="n">
        <v>105</v>
      </c>
      <c r="B108" s="83" t="n">
        <v>30001451</v>
      </c>
      <c r="C108" s="9" t="inlineStr">
        <is>
          <t>GALLEY</t>
        </is>
      </c>
      <c r="D108" s="81" t="inlineStr">
        <is>
          <t>FWD GALLEY</t>
        </is>
      </c>
      <c r="E108" s="12" t="inlineStr">
        <is>
          <t>COMP. 209 DOOR LOOSE</t>
        </is>
      </c>
      <c r="F108" s="9" t="n"/>
      <c r="G108" s="89" t="inlineStr">
        <is>
          <t>https://i.ibb.co/3yg3R11B/41e240e81c2d.jpg</t>
        </is>
      </c>
      <c r="H108" s="57" t="inlineStr">
        <is>
          <t>Not Raised</t>
        </is>
      </c>
      <c r="I108" s="82" t="n"/>
      <c r="J108" s="82" t="n"/>
      <c r="K108" s="82" t="n"/>
    </row>
    <row r="109" ht="15.6" customHeight="1" s="104">
      <c r="A109" s="66" t="n">
        <v>106</v>
      </c>
      <c r="B109" s="83" t="n">
        <v>30001451</v>
      </c>
      <c r="C109" s="9" t="inlineStr">
        <is>
          <t>GALLEY</t>
        </is>
      </c>
      <c r="D109" s="81" t="inlineStr">
        <is>
          <t>FWD GALLEY</t>
        </is>
      </c>
      <c r="E109" s="12" t="inlineStr">
        <is>
          <t>COMP. 210 TEDLAR CHIPED OFF</t>
        </is>
      </c>
      <c r="F109" s="9" t="n"/>
      <c r="G109" s="89" t="inlineStr">
        <is>
          <t>https://i.ibb.co/gb1JSvc1/9fef0d776685.jpg</t>
        </is>
      </c>
      <c r="H109" s="57" t="inlineStr">
        <is>
          <t>Not Raised</t>
        </is>
      </c>
      <c r="I109" s="82" t="n"/>
      <c r="J109" s="82" t="n"/>
      <c r="K109" s="82" t="n"/>
    </row>
    <row r="110" ht="15.6" customHeight="1" s="104">
      <c r="A110" s="66" t="n">
        <v>107</v>
      </c>
      <c r="B110" s="83" t="n">
        <v>30001451</v>
      </c>
      <c r="C110" s="9" t="inlineStr">
        <is>
          <t>GALLEY</t>
        </is>
      </c>
      <c r="D110" s="81" t="inlineStr">
        <is>
          <t>FWD GALLEY</t>
        </is>
      </c>
      <c r="E110" s="12" t="inlineStr">
        <is>
          <t>COMP .101 DOOR LOOSE</t>
        </is>
      </c>
      <c r="F110" s="9" t="n"/>
      <c r="G110" s="89" t="inlineStr">
        <is>
          <t>https://i.ibb.co/Z6kMgkgd/ad0cfff2568b.jpg</t>
        </is>
      </c>
      <c r="H110" s="57" t="inlineStr">
        <is>
          <t>Not Raised</t>
        </is>
      </c>
      <c r="I110" s="82" t="n"/>
      <c r="J110" s="82" t="n"/>
      <c r="K110" s="82" t="n"/>
    </row>
    <row r="111" ht="15.6" customHeight="1" s="104">
      <c r="A111" s="66" t="n">
        <v>108</v>
      </c>
      <c r="B111" s="83" t="n">
        <v>30001451</v>
      </c>
      <c r="C111" s="9" t="inlineStr">
        <is>
          <t>GALLEY</t>
        </is>
      </c>
      <c r="D111" s="81" t="inlineStr">
        <is>
          <t>FWD GALLEY</t>
        </is>
      </c>
      <c r="E111" s="12" t="inlineStr">
        <is>
          <t>COMP.214 LONG AND SHORT CART CATCHES CHIPED PAINT</t>
        </is>
      </c>
      <c r="F111" s="9" t="n"/>
      <c r="G111" s="89" t="inlineStr">
        <is>
          <t>https://i.ibb.co/XZ3tSKZs/ca53d9566c66.jpg
https://i.ibb.co/C3dZF01L/3d450b97a6ef.jpg</t>
        </is>
      </c>
      <c r="H111" s="57" t="inlineStr">
        <is>
          <t>Not Raised</t>
        </is>
      </c>
      <c r="I111" s="82" t="n"/>
      <c r="J111" s="82" t="n"/>
      <c r="K111" s="82" t="n"/>
    </row>
    <row r="112" ht="15.6" customHeight="1" s="104">
      <c r="A112" s="66" t="n">
        <v>109</v>
      </c>
      <c r="B112" s="83" t="n">
        <v>30001451</v>
      </c>
      <c r="C112" s="9" t="inlineStr">
        <is>
          <t>GALLEY</t>
        </is>
      </c>
      <c r="D112" s="81" t="inlineStr">
        <is>
          <t>FWD GALLEY</t>
        </is>
      </c>
      <c r="E112" s="12" t="inlineStr">
        <is>
          <t>FWD GALLEY LIGHTS LENS SHROUD DISCOLORATION</t>
        </is>
      </c>
      <c r="F112" s="9" t="n"/>
      <c r="G112" s="89" t="inlineStr">
        <is>
          <t>https://i.ibb.co/QjbQbThx/ff93fdd4330b.jpg
https://i.ibb.co/GvXF4mMv/1a7f9414dfc8.jpg</t>
        </is>
      </c>
      <c r="H112" s="57" t="inlineStr">
        <is>
          <t>Not Raised</t>
        </is>
      </c>
      <c r="I112" s="82" t="n"/>
      <c r="J112" s="82" t="n"/>
      <c r="K112" s="82" t="n"/>
    </row>
    <row r="113" ht="15" customHeight="1" s="104">
      <c r="A113" s="66" t="n">
        <v>110</v>
      </c>
      <c r="B113" s="83" t="n">
        <v>30001451</v>
      </c>
      <c r="C113" s="9" t="inlineStr">
        <is>
          <t>GALLEY</t>
        </is>
      </c>
      <c r="D113" s="68" t="inlineStr">
        <is>
          <t>FWD GALLEY</t>
        </is>
      </c>
      <c r="E113" s="12" t="inlineStr">
        <is>
          <t>FWD GALLEY BOTH OVENS NEED PAINT</t>
        </is>
      </c>
      <c r="F113" s="9" t="n"/>
      <c r="G113" s="89" t="inlineStr">
        <is>
          <t>https://i.ibb.co/zWZ9jrft/0b6752a9105c.jpg
https://i.ibb.co/KcDr903X/18573f4ff7c0.jpg</t>
        </is>
      </c>
      <c r="H113" s="57" t="inlineStr">
        <is>
          <t>Not Raised</t>
        </is>
      </c>
      <c r="I113" s="82" t="n"/>
      <c r="J113" s="82" t="n"/>
      <c r="K113" s="82" t="n"/>
    </row>
    <row r="114" ht="15" customHeight="1" s="104">
      <c r="A114" s="66" t="n">
        <v>111</v>
      </c>
      <c r="B114" s="83" t="n">
        <v>30001451</v>
      </c>
      <c r="C114" s="9" t="inlineStr">
        <is>
          <t>GALLEY</t>
        </is>
      </c>
      <c r="D114" s="68" t="inlineStr">
        <is>
          <t>FWD GALLEY</t>
        </is>
      </c>
      <c r="E114" s="12" t="inlineStr">
        <is>
          <t>FWD GALLEY FWD AND AFT MODULE WORKTOP SEALANT PARTIALLY MISSING</t>
        </is>
      </c>
      <c r="F114" s="9" t="n"/>
      <c r="G114" s="89" t="inlineStr">
        <is>
          <t>https://i.ibb.co/yBcZ7W7Z/9968f3fc5e32.jpg
https://i.ibb.co/3yRWvSb3/2ac6d645f036.jpg</t>
        </is>
      </c>
      <c r="H114" s="57" t="inlineStr">
        <is>
          <t>Not Raised</t>
        </is>
      </c>
      <c r="I114" s="82" t="n"/>
      <c r="J114" s="82" t="n"/>
      <c r="K114" s="82" t="n"/>
    </row>
    <row r="115" ht="15.6" customHeight="1" s="104">
      <c r="A115" s="66" t="n">
        <v>112</v>
      </c>
      <c r="B115" s="83" t="n">
        <v>30001451</v>
      </c>
      <c r="C115" s="9" t="inlineStr">
        <is>
          <t>GALLEY</t>
        </is>
      </c>
      <c r="D115" s="68" t="inlineStr">
        <is>
          <t>FWD GALLEY</t>
        </is>
      </c>
      <c r="E115" s="12" t="inlineStr">
        <is>
          <t>FWD GALLEY BUN WARMER LATCH LOOSE</t>
        </is>
      </c>
      <c r="F115" s="9" t="n"/>
      <c r="G115" s="89" t="inlineStr">
        <is>
          <t>https://i.ibb.co/cSn68Zf6/69056fb21851.jpg</t>
        </is>
      </c>
      <c r="H115" s="57" t="inlineStr">
        <is>
          <t>Not Raised</t>
        </is>
      </c>
      <c r="I115" s="82" t="n"/>
      <c r="J115" s="82" t="n"/>
      <c r="K115" s="82" t="n"/>
    </row>
    <row r="116" ht="15.6" customHeight="1" s="104">
      <c r="A116" s="66" t="n">
        <v>113</v>
      </c>
      <c r="B116" s="83" t="n">
        <v>30001451</v>
      </c>
      <c r="C116" s="9" t="inlineStr">
        <is>
          <t>GALLEY</t>
        </is>
      </c>
      <c r="D116" s="68" t="inlineStr">
        <is>
          <t>FWD GALLEY CART CATCHES</t>
        </is>
      </c>
      <c r="E116" s="12" t="inlineStr">
        <is>
          <t>3 LONG CART CATCH : 111,110,109
1 SHORT CART CATCH : 111</t>
        </is>
      </c>
      <c r="F116" s="9" t="n"/>
      <c r="G116" s="68" t="n"/>
      <c r="H116" s="57" t="inlineStr">
        <is>
          <t>Not Raised</t>
        </is>
      </c>
      <c r="I116" s="82" t="n"/>
      <c r="J116" s="82" t="n"/>
      <c r="K116" s="82" t="n"/>
    </row>
    <row r="117" ht="15.6" customHeight="1" s="104">
      <c r="A117" s="66" t="n">
        <v>114</v>
      </c>
      <c r="B117" s="83" t="inlineStr">
        <is>
          <t>SHAREEF</t>
        </is>
      </c>
      <c r="C117" s="9" t="inlineStr">
        <is>
          <t>TEDLAR/SIDEWALL</t>
        </is>
      </c>
      <c r="D117" s="68" t="inlineStr">
        <is>
          <t>N/A</t>
        </is>
      </c>
      <c r="E117" s="12" t="inlineStr">
        <is>
          <t>RUBBER SEAL IS CUT AT FWD GALLEY DIRECTLY ABOVE COMP. 101</t>
        </is>
      </c>
      <c r="F117" s="9" t="n"/>
      <c r="G117" s="89" t="inlineStr">
        <is>
          <t>https://i.ibb.co/TyF7Ybm/3b9bb8dcead2.jpg</t>
        </is>
      </c>
      <c r="H117" s="57" t="inlineStr">
        <is>
          <t>Not Raised</t>
        </is>
      </c>
      <c r="I117" s="82" t="n"/>
      <c r="J117" s="82" t="n"/>
      <c r="K117" s="82" t="n"/>
    </row>
    <row r="118" ht="15.6" customHeight="1" s="104">
      <c r="A118" s="66" t="n">
        <v>115</v>
      </c>
      <c r="B118" s="83" t="inlineStr">
        <is>
          <t>30001461 HOSSAM ALTHOBAITI</t>
        </is>
      </c>
      <c r="C118" s="9" t="inlineStr">
        <is>
          <t>FLIGHT DECK</t>
        </is>
      </c>
      <c r="D118" s="68" t="inlineStr">
        <is>
          <t>CAPTAIN SEAT</t>
        </is>
      </c>
      <c r="E118" s="12" t="inlineStr">
        <is>
          <t>CAPTAIN SEAT AFT SHROUD CRACKED</t>
        </is>
      </c>
      <c r="F118" s="9" t="n"/>
      <c r="G118" s="68" t="n"/>
      <c r="H118" s="57" t="inlineStr">
        <is>
          <t>Not Raised</t>
        </is>
      </c>
      <c r="I118" s="82" t="n"/>
      <c r="J118" s="82" t="n"/>
      <c r="K118" s="82" t="n"/>
    </row>
    <row r="119" ht="15.6" customHeight="1" s="104">
      <c r="A119" s="66" t="n">
        <v>116</v>
      </c>
      <c r="B119" s="83" t="inlineStr">
        <is>
          <t>SHAREEF</t>
        </is>
      </c>
      <c r="C119" s="9" t="inlineStr">
        <is>
          <t>TEDLAR/SIDEWALL</t>
        </is>
      </c>
      <c r="D119" s="68" t="inlineStr">
        <is>
          <t>N/A</t>
        </is>
      </c>
      <c r="E119" s="12" t="inlineStr">
        <is>
          <t>CIELING PANEL SLIGHTLY DIRTY ABOVE 1CA</t>
        </is>
      </c>
      <c r="F119" s="9" t="n"/>
      <c r="G119" s="89" t="inlineStr">
        <is>
          <t>https://i.ibb.co/XrprLVsh/c4d70a313317.jpg</t>
        </is>
      </c>
      <c r="H119" s="57" t="inlineStr">
        <is>
          <t>Not Raised</t>
        </is>
      </c>
      <c r="I119" s="82" t="n"/>
      <c r="J119" s="82" t="n"/>
      <c r="K119" s="82" t="n"/>
    </row>
    <row r="120" ht="15" customHeight="1" s="104">
      <c r="A120" s="66" t="n">
        <v>117</v>
      </c>
      <c r="B120" s="83" t="inlineStr">
        <is>
          <t>30001461 HOSSAM ALTHOBAITI</t>
        </is>
      </c>
      <c r="C120" s="9" t="inlineStr">
        <is>
          <t>FLIGHT DECK</t>
        </is>
      </c>
      <c r="D120" s="68" t="inlineStr">
        <is>
          <t>THIRD OBSERVER</t>
        </is>
      </c>
      <c r="E120" s="12" t="inlineStr">
        <is>
          <t>THIRD OBSERVER CUP HOLDER NOT SECURED</t>
        </is>
      </c>
      <c r="F120" s="9" t="n"/>
      <c r="G120" s="68" t="n"/>
      <c r="H120" s="57" t="inlineStr">
        <is>
          <t>Not Raised</t>
        </is>
      </c>
      <c r="I120" s="82" t="n"/>
      <c r="J120" s="82" t="n"/>
      <c r="K120" s="82" t="n"/>
    </row>
    <row r="121" ht="15" customHeight="1" s="104">
      <c r="A121" s="66" t="n">
        <v>118</v>
      </c>
      <c r="B121" s="83" t="inlineStr">
        <is>
          <t>FADUL</t>
        </is>
      </c>
      <c r="C121" s="9" t="inlineStr">
        <is>
          <t>GENERAL CABIN</t>
        </is>
      </c>
      <c r="D121" s="68" t="inlineStr">
        <is>
          <t>LEFT MID CURTAIN</t>
        </is>
      </c>
      <c r="E121" s="12" t="inlineStr">
        <is>
          <t>DISCONNECTED</t>
        </is>
      </c>
      <c r="F121" s="9" t="n"/>
      <c r="G121" s="68" t="n"/>
      <c r="H121" s="57" t="inlineStr">
        <is>
          <t>Not Raised</t>
        </is>
      </c>
      <c r="I121" s="82" t="n"/>
      <c r="J121" s="82" t="n"/>
      <c r="K121" s="82" t="n"/>
    </row>
    <row r="122" ht="26.4" customHeight="1" s="104">
      <c r="A122" s="66" t="n">
        <v>119</v>
      </c>
      <c r="B122" s="83" t="inlineStr">
        <is>
          <t>SHAREEF</t>
        </is>
      </c>
      <c r="C122" s="9" t="inlineStr">
        <is>
          <t>TEDLAR/SIDEWALL</t>
        </is>
      </c>
      <c r="D122" s="68" t="inlineStr">
        <is>
          <t>N/A</t>
        </is>
      </c>
      <c r="E122" s="12" t="inlineStr">
        <is>
          <t>RUBBER SEAL CIELING PANEL ABOVE 3LJ</t>
        </is>
      </c>
      <c r="F122" s="9" t="n"/>
      <c r="G122" s="90" t="inlineStr">
        <is>
          <t>https://i.ibb.co/99zSdFRL/369e3462cd19.jpg
https://i.ibb.co/hJFwM5gR/40ec0aadabb4.jpg</t>
        </is>
      </c>
      <c r="H122" s="57" t="inlineStr">
        <is>
          <t>Not Raised</t>
        </is>
      </c>
      <c r="I122" s="82" t="n"/>
      <c r="J122" s="82" t="n"/>
      <c r="K122" s="82" t="n"/>
    </row>
    <row r="123" ht="15" customHeight="1" s="104">
      <c r="A123" s="66" t="n">
        <v>120</v>
      </c>
      <c r="B123" s="83" t="inlineStr">
        <is>
          <t>30001461 HOSSAM ALTHOBAITI</t>
        </is>
      </c>
      <c r="C123" s="9" t="inlineStr">
        <is>
          <t>FLIGHT DECK</t>
        </is>
      </c>
      <c r="D123" s="68" t="inlineStr">
        <is>
          <t>CAPTAIN SEAT</t>
        </is>
      </c>
      <c r="E123" s="12" t="inlineStr">
        <is>
          <t>CAPTAIN SEAT AFT SHROUD MISSING FASTENER</t>
        </is>
      </c>
      <c r="F123" s="9" t="n"/>
      <c r="G123" s="89" t="inlineStr">
        <is>
          <t>https://i.ibb.co/Cp9nLFGy/8533411807a8.jpg</t>
        </is>
      </c>
      <c r="H123" s="57" t="inlineStr">
        <is>
          <t>Not Raised</t>
        </is>
      </c>
      <c r="I123" s="82" t="n"/>
      <c r="J123" s="82" t="n"/>
      <c r="K123" s="82" t="n"/>
    </row>
    <row r="124" ht="15" customHeight="1" s="104">
      <c r="A124" s="66" t="n">
        <v>121</v>
      </c>
      <c r="B124" s="83" t="inlineStr">
        <is>
          <t>30001461 HOSSAM ALTHOBAITI</t>
        </is>
      </c>
      <c r="C124" s="9" t="inlineStr">
        <is>
          <t>FLIGHT DECK</t>
        </is>
      </c>
      <c r="D124" s="68" t="inlineStr">
        <is>
          <t>CAPTAIN SEAT</t>
        </is>
      </c>
      <c r="E124" s="12" t="inlineStr">
        <is>
          <t>CAPTAIN SEAT PLACARD FOR LIFE VEST CUTS</t>
        </is>
      </c>
      <c r="F124" s="9" t="n"/>
      <c r="G124" s="89" t="inlineStr">
        <is>
          <t>https://i.ibb.co/zTjMwz6W/b91e98834bf2.jpg</t>
        </is>
      </c>
      <c r="H124" s="57" t="inlineStr">
        <is>
          <t>Not Raised</t>
        </is>
      </c>
      <c r="I124" s="82" t="n"/>
      <c r="J124" s="82" t="n"/>
      <c r="K124" s="82" t="n"/>
    </row>
    <row r="125" ht="15" customHeight="1" s="104">
      <c r="A125" s="66" t="n">
        <v>122</v>
      </c>
      <c r="B125" s="83" t="inlineStr">
        <is>
          <t>SHAREEF</t>
        </is>
      </c>
      <c r="C125" s="9" t="inlineStr">
        <is>
          <t>TEDLAR/SIDEWALL</t>
        </is>
      </c>
      <c r="D125" s="68" t="inlineStr">
        <is>
          <t>N/A</t>
        </is>
      </c>
      <c r="E125" s="12" t="inlineStr">
        <is>
          <t>RUBBER SEAL OF CIELING PANEL SLIGHTLY DISCOLORED AT 3CA</t>
        </is>
      </c>
      <c r="F125" s="9" t="n"/>
      <c r="G125" s="89" t="inlineStr">
        <is>
          <t>https://i.ibb.co/ycwRPVns/dd45fd4fede7.jpg
https://i.ibb.co/tTwW7L6r/eff3971594a1.jpg</t>
        </is>
      </c>
      <c r="H125" s="57" t="inlineStr">
        <is>
          <t>Not Raised</t>
        </is>
      </c>
      <c r="I125" s="82" t="n"/>
      <c r="J125" s="82" t="n"/>
      <c r="K125" s="82" t="n"/>
    </row>
    <row r="126" ht="15" customHeight="1" s="104">
      <c r="A126" s="66" t="n">
        <v>123</v>
      </c>
      <c r="B126" s="83" t="inlineStr">
        <is>
          <t>FADUL</t>
        </is>
      </c>
      <c r="C126" s="9" t="inlineStr">
        <is>
          <t>GENERAL CABIN</t>
        </is>
      </c>
      <c r="D126" s="68" t="inlineStr">
        <is>
          <t>30 ABC</t>
        </is>
      </c>
      <c r="E126" s="12" t="inlineStr">
        <is>
          <t>PAINT ON PSU</t>
        </is>
      </c>
      <c r="F126" s="9" t="n"/>
      <c r="G126" s="68" t="n"/>
      <c r="H126" s="57" t="inlineStr">
        <is>
          <t>Not Raised</t>
        </is>
      </c>
      <c r="I126" s="82" t="n"/>
      <c r="J126" s="82" t="n"/>
      <c r="K126" s="82" t="n"/>
    </row>
    <row r="127" ht="15" customHeight="1" s="104">
      <c r="A127" s="66" t="n">
        <v>124</v>
      </c>
      <c r="B127" s="83" t="inlineStr">
        <is>
          <t>FADUL</t>
        </is>
      </c>
      <c r="C127" s="9" t="inlineStr">
        <is>
          <t>GENERAL CABIN</t>
        </is>
      </c>
      <c r="D127" s="68" t="inlineStr">
        <is>
          <t>30 ABC</t>
        </is>
      </c>
      <c r="E127" s="12" t="inlineStr">
        <is>
          <t>BATCH ON STOWAGE COMPT.</t>
        </is>
      </c>
      <c r="F127" s="9" t="n"/>
      <c r="G127" s="68" t="n"/>
      <c r="H127" s="57" t="inlineStr">
        <is>
          <t>Not Raised</t>
        </is>
      </c>
      <c r="I127" s="82" t="n"/>
      <c r="J127" s="82" t="n"/>
      <c r="K127" s="82" t="n"/>
    </row>
    <row r="128" ht="15" customHeight="1" s="104">
      <c r="A128" s="66" t="n">
        <v>125</v>
      </c>
      <c r="B128" s="83" t="inlineStr">
        <is>
          <t>30001461 HOSSAM ALTHOBAITI</t>
        </is>
      </c>
      <c r="C128" s="9" t="inlineStr">
        <is>
          <t>FLIGHT DECK</t>
        </is>
      </c>
      <c r="D128" s="68" t="inlineStr">
        <is>
          <t>F/O SEAT</t>
        </is>
      </c>
      <c r="E128" s="12" t="inlineStr">
        <is>
          <t>ASH TRAY NOT SECURED</t>
        </is>
      </c>
      <c r="F128" s="9" t="n"/>
      <c r="G128" s="89" t="inlineStr">
        <is>
          <t>https://i.ibb.co/7Jffd0NP/011fe2f3747b.jpg</t>
        </is>
      </c>
      <c r="H128" s="57" t="inlineStr">
        <is>
          <t>Not Raised</t>
        </is>
      </c>
      <c r="I128" s="82" t="n"/>
      <c r="J128" s="82" t="n"/>
      <c r="K128" s="82" t="n"/>
    </row>
    <row r="129" ht="26.4" customHeight="1" s="104">
      <c r="A129" s="66" t="n">
        <v>126</v>
      </c>
      <c r="B129" s="83" t="inlineStr">
        <is>
          <t>30001461 HOSSAM ALTHOBAITI</t>
        </is>
      </c>
      <c r="C129" s="9" t="inlineStr">
        <is>
          <t>FLIGHT DECK</t>
        </is>
      </c>
      <c r="D129" s="68" t="inlineStr">
        <is>
          <t>F/O SEAT</t>
        </is>
      </c>
      <c r="E129" s="12" t="inlineStr">
        <is>
          <t>CRACK IN THE AFT SHROUD OF F/O SEAT</t>
        </is>
      </c>
      <c r="F129" s="9" t="n"/>
      <c r="G129" s="90" t="inlineStr">
        <is>
          <t>https://i.ibb.co/q3FhB31S/295166227df7.jpg
https://i.ibb.co/TDfXZ1LQ/9162131ab1a5.jpg</t>
        </is>
      </c>
      <c r="H129" s="57" t="inlineStr">
        <is>
          <t>Not Raised</t>
        </is>
      </c>
      <c r="I129" s="82" t="n"/>
      <c r="J129" s="82" t="n"/>
      <c r="K129" s="82" t="n"/>
    </row>
    <row r="130" ht="15" customHeight="1" s="104">
      <c r="A130" s="66" t="n">
        <v>127</v>
      </c>
      <c r="B130" s="83" t="inlineStr">
        <is>
          <t>FADUL</t>
        </is>
      </c>
      <c r="C130" s="9" t="inlineStr">
        <is>
          <t>TEDLAR/SIDEWALL</t>
        </is>
      </c>
      <c r="D130" s="68" t="inlineStr">
        <is>
          <t>5 AC</t>
        </is>
      </c>
      <c r="E130" s="12" t="inlineStr">
        <is>
          <t>MISSING SPLINCE</t>
        </is>
      </c>
      <c r="F130" s="9" t="n"/>
      <c r="G130" s="89" t="inlineStr">
        <is>
          <t>https://i.ibb.co/j9RY234h/b7d69dc95e94.jpg</t>
        </is>
      </c>
      <c r="H130" s="57" t="inlineStr">
        <is>
          <t>Not Raised</t>
        </is>
      </c>
      <c r="I130" s="82" t="n"/>
      <c r="J130" s="82" t="n"/>
      <c r="K130" s="82" t="n"/>
    </row>
    <row r="131" ht="15" customHeight="1" s="104">
      <c r="A131" s="66" t="n">
        <v>128</v>
      </c>
      <c r="B131" s="83" t="inlineStr">
        <is>
          <t>SHAREEF</t>
        </is>
      </c>
      <c r="C131" s="9" t="inlineStr">
        <is>
          <t>TEDLAR/SIDEWALL</t>
        </is>
      </c>
      <c r="D131" s="68" t="inlineStr">
        <is>
          <t>N/A</t>
        </is>
      </c>
      <c r="E131" s="12" t="inlineStr">
        <is>
          <t>SIDEWALL SPLINE AT 1LJ</t>
        </is>
      </c>
      <c r="F131" s="9" t="n"/>
      <c r="G131" s="89" t="inlineStr">
        <is>
          <t>https://i.ibb.co/S4JHx2gV/2d9ab6b8876e.jpg</t>
        </is>
      </c>
      <c r="H131" s="57" t="inlineStr">
        <is>
          <t>Not Raised</t>
        </is>
      </c>
      <c r="I131" s="82" t="n"/>
      <c r="J131" s="82" t="n"/>
      <c r="K131" s="82" t="n"/>
    </row>
    <row r="132" ht="15" customHeight="1" s="104">
      <c r="A132" s="66" t="n">
        <v>129</v>
      </c>
      <c r="B132" s="83" t="inlineStr">
        <is>
          <t>FADUL</t>
        </is>
      </c>
      <c r="C132" s="9" t="inlineStr">
        <is>
          <t>TEDLAR/SIDEWALL</t>
        </is>
      </c>
      <c r="D132" s="68" t="inlineStr">
        <is>
          <t>5 AC</t>
        </is>
      </c>
      <c r="E132" s="12" t="inlineStr">
        <is>
          <t>SCRATCHES ON THE SIDEWALL</t>
        </is>
      </c>
      <c r="F132" s="9" t="n"/>
      <c r="G132" s="89" t="inlineStr">
        <is>
          <t>https://i.ibb.co/k2SZGzng/8371a4639a64.jpg</t>
        </is>
      </c>
      <c r="H132" s="57" t="inlineStr">
        <is>
          <t>Not Raised</t>
        </is>
      </c>
      <c r="I132" s="82" t="n"/>
      <c r="J132" s="82" t="n"/>
      <c r="K132" s="82" t="n"/>
    </row>
    <row r="133" ht="15" customHeight="1" s="104">
      <c r="A133" s="66" t="n">
        <v>130</v>
      </c>
      <c r="B133" s="83" t="inlineStr">
        <is>
          <t>SHAREEF</t>
        </is>
      </c>
      <c r="C133" s="9" t="inlineStr">
        <is>
          <t>TEDLAR/SIDEWALL</t>
        </is>
      </c>
      <c r="D133" s="68" t="inlineStr">
        <is>
          <t>N/A</t>
        </is>
      </c>
      <c r="E133" s="12" t="inlineStr">
        <is>
          <t>SMALL STOWAGE BIN DIRECTLY INFRONT OF 1LJ</t>
        </is>
      </c>
      <c r="F133" s="9" t="n"/>
      <c r="G133" s="89" t="inlineStr">
        <is>
          <t>https://i.ibb.co/5xGghRLG/fa453adcd9f2.jpg</t>
        </is>
      </c>
      <c r="H133" s="57" t="inlineStr">
        <is>
          <t>Not Raised</t>
        </is>
      </c>
      <c r="I133" s="82" t="n"/>
      <c r="J133" s="82" t="n"/>
      <c r="K133" s="82" t="n"/>
    </row>
    <row r="134" ht="15" customHeight="1" s="104">
      <c r="A134" s="66" t="n">
        <v>131</v>
      </c>
      <c r="B134" s="83" t="inlineStr">
        <is>
          <t>FADUL</t>
        </is>
      </c>
      <c r="C134" s="9" t="inlineStr">
        <is>
          <t>GENERAL CABIN</t>
        </is>
      </c>
      <c r="D134" s="68" t="inlineStr">
        <is>
          <t>30CBA</t>
        </is>
      </c>
      <c r="E134" s="12" t="inlineStr">
        <is>
          <t>DIRTY CEILING</t>
        </is>
      </c>
      <c r="F134" s="9" t="n"/>
      <c r="G134" s="89" t="inlineStr">
        <is>
          <t>https://i.ibb.co/QF0k1Z1r/0f159391b7f8.jpg</t>
        </is>
      </c>
      <c r="H134" s="57" t="inlineStr">
        <is>
          <t>Not Raised</t>
        </is>
      </c>
      <c r="I134" s="82" t="n"/>
      <c r="J134" s="82" t="n"/>
      <c r="K134" s="82" t="n"/>
    </row>
    <row r="135" ht="15" customHeight="1" s="104">
      <c r="A135" s="66" t="n">
        <v>132</v>
      </c>
      <c r="B135" s="83" t="inlineStr">
        <is>
          <t>FADUL</t>
        </is>
      </c>
      <c r="C135" s="9" t="inlineStr">
        <is>
          <t>GENERAL CABIN</t>
        </is>
      </c>
      <c r="D135" s="68" t="inlineStr">
        <is>
          <t>30CBA</t>
        </is>
      </c>
      <c r="E135" s="12" t="inlineStr">
        <is>
          <t>OVRHD DIRTY</t>
        </is>
      </c>
      <c r="F135" s="9" t="n"/>
      <c r="G135" s="89" t="inlineStr">
        <is>
          <t>https://i.ibb.co/Ldw5YQGq/8d7dbcfa18b2.jpg</t>
        </is>
      </c>
      <c r="H135" s="57" t="inlineStr">
        <is>
          <t>Not Raised</t>
        </is>
      </c>
      <c r="I135" s="82" t="n"/>
      <c r="J135" s="82" t="n"/>
      <c r="K135" s="82" t="n"/>
    </row>
    <row r="136" ht="15" customHeight="1" s="104">
      <c r="A136" s="66" t="n">
        <v>133</v>
      </c>
      <c r="B136" s="83" t="inlineStr">
        <is>
          <t>FADUL</t>
        </is>
      </c>
      <c r="C136" s="9" t="inlineStr">
        <is>
          <t>GENERAL CABIN</t>
        </is>
      </c>
      <c r="D136" s="68" t="inlineStr">
        <is>
          <t>30CBA</t>
        </is>
      </c>
      <c r="E136" s="12" t="inlineStr">
        <is>
          <t>MISSING DAMPER</t>
        </is>
      </c>
      <c r="F136" s="9" t="n"/>
      <c r="G136" s="89" t="inlineStr">
        <is>
          <t>https://i.ibb.co/pjBnRKrb/383da810c34a.jpg</t>
        </is>
      </c>
      <c r="H136" s="57" t="inlineStr">
        <is>
          <t>Not Raised</t>
        </is>
      </c>
      <c r="I136" s="82" t="n"/>
      <c r="J136" s="82" t="n"/>
      <c r="K136" s="82" t="n"/>
    </row>
    <row r="137" ht="39.6" customHeight="1" s="104">
      <c r="A137" s="66" t="n">
        <v>134</v>
      </c>
      <c r="B137" s="83" t="inlineStr">
        <is>
          <t>SHAREEF</t>
        </is>
      </c>
      <c r="C137" s="9" t="inlineStr">
        <is>
          <t>TEDLAR/SIDEWALL</t>
        </is>
      </c>
      <c r="D137" s="68" t="inlineStr">
        <is>
          <t>N/A</t>
        </is>
      </c>
      <c r="E137" s="12" t="inlineStr">
        <is>
          <t>STOWAGE BIN 4LJ</t>
        </is>
      </c>
      <c r="F137" s="9" t="n"/>
      <c r="G137" s="90" t="inlineStr">
        <is>
          <t>https://i.ibb.co/2787tV8G/f3f0bf71606b.jpg
https://i.ibb.co/VYC19fFR/aabaa3b3bc06.jpg
https://i.ibb.co/1GRD8VcV/5892c7e47f10.jpg</t>
        </is>
      </c>
      <c r="H137" s="57" t="inlineStr">
        <is>
          <t>Not Raised</t>
        </is>
      </c>
      <c r="I137" s="82" t="n"/>
      <c r="J137" s="82" t="n"/>
      <c r="K137" s="82" t="n"/>
    </row>
    <row r="138" ht="15" customHeight="1" s="104">
      <c r="A138" s="66" t="n">
        <v>135</v>
      </c>
      <c r="B138" s="83" t="inlineStr">
        <is>
          <t>SHAREEF</t>
        </is>
      </c>
      <c r="C138" s="9" t="inlineStr">
        <is>
          <t>TEDLAR/SIDEWALL</t>
        </is>
      </c>
      <c r="D138" s="68" t="inlineStr">
        <is>
          <t>N/A</t>
        </is>
      </c>
      <c r="E138" s="12" t="inlineStr">
        <is>
          <t>STOWAGE BIN THATS DIRECTLY INFRONT OF 5LJ IS SLIGHTLY DIRTY</t>
        </is>
      </c>
      <c r="F138" s="9" t="n"/>
      <c r="G138" s="68" t="inlineStr">
        <is>
          <t>https://i.ibb.co/hJrBrZ0Z/658903e811ab.jpg</t>
        </is>
      </c>
      <c r="H138" s="57" t="inlineStr">
        <is>
          <t>Not Raised</t>
        </is>
      </c>
      <c r="I138" s="82" t="n"/>
      <c r="J138" s="82" t="n"/>
      <c r="K138" s="82" t="n"/>
    </row>
    <row r="139" ht="26.4" customHeight="1" s="104">
      <c r="A139" s="66" t="n">
        <v>136</v>
      </c>
      <c r="B139" s="83" t="inlineStr">
        <is>
          <t>SHAREEF</t>
        </is>
      </c>
      <c r="C139" s="9" t="inlineStr">
        <is>
          <t>TEDLAR/SIDEWALL</t>
        </is>
      </c>
      <c r="D139" s="68" t="inlineStr">
        <is>
          <t>N/A</t>
        </is>
      </c>
      <c r="E139" s="12" t="inlineStr">
        <is>
          <t>STOWAGE BIN AT 5LJ</t>
        </is>
      </c>
      <c r="F139" s="9" t="n"/>
      <c r="G139" s="90" t="inlineStr">
        <is>
          <t>https://i.ibb.co/h1tTqR9r/ab7db8e1e1c6.jpg
https://i.ibb.co/Q3nsVB9g/a2109a796d79.jpg</t>
        </is>
      </c>
      <c r="H139" s="57" t="inlineStr">
        <is>
          <t>Not Raised</t>
        </is>
      </c>
      <c r="I139" s="82" t="n"/>
      <c r="J139" s="82" t="n"/>
      <c r="K139" s="82" t="n"/>
    </row>
    <row r="140" ht="15" customHeight="1" s="104">
      <c r="A140" s="66" t="n">
        <v>137</v>
      </c>
      <c r="B140" s="83" t="inlineStr">
        <is>
          <t>SHAREEF</t>
        </is>
      </c>
      <c r="C140" s="9" t="inlineStr">
        <is>
          <t>TEDLAR/SIDEWALL</t>
        </is>
      </c>
      <c r="D140" s="68" t="inlineStr">
        <is>
          <t>N/A</t>
        </is>
      </c>
      <c r="E140" s="12" t="inlineStr">
        <is>
          <t>OXYGEN PANEL AT 4LJ IS SLAGGING/LOWERED</t>
        </is>
      </c>
      <c r="F140" s="9" t="n"/>
      <c r="G140" s="89" t="inlineStr">
        <is>
          <t>https://i.ibb.co/jkHgvHN2/e4a5d430bd6b.jpg</t>
        </is>
      </c>
      <c r="H140" s="57" t="inlineStr">
        <is>
          <t>Not Raised</t>
        </is>
      </c>
      <c r="I140" s="82" t="n"/>
      <c r="J140" s="82" t="n"/>
      <c r="K140" s="82" t="n"/>
    </row>
    <row r="141" ht="15" customHeight="1" s="104">
      <c r="A141" s="66" t="n">
        <v>138</v>
      </c>
      <c r="B141" s="83" t="inlineStr">
        <is>
          <t>SHAREEF</t>
        </is>
      </c>
      <c r="C141" s="9" t="inlineStr">
        <is>
          <t>TEDLAR/SIDEWALL</t>
        </is>
      </c>
      <c r="D141" s="68" t="inlineStr">
        <is>
          <t>N/A</t>
        </is>
      </c>
      <c r="E141" s="12" t="inlineStr">
        <is>
          <t>R/H SIDEWALL B/C 4LJ SPLINE CRACKED AT BOTTOM</t>
        </is>
      </c>
      <c r="F141" s="9" t="n"/>
      <c r="G141" s="89" t="inlineStr">
        <is>
          <t>https://i.ibb.co/N25bxGVg/6fedffd831a8.jpg</t>
        </is>
      </c>
      <c r="H141" s="57" t="inlineStr">
        <is>
          <t>Not Raised</t>
        </is>
      </c>
      <c r="I141" s="82" t="n"/>
      <c r="J141" s="82" t="n"/>
      <c r="K141" s="82" t="n"/>
    </row>
    <row r="142" ht="26.4" customHeight="1" s="104">
      <c r="A142" s="66" t="n">
        <v>139</v>
      </c>
      <c r="B142" s="83" t="inlineStr">
        <is>
          <t>SHAREEF</t>
        </is>
      </c>
      <c r="C142" s="9" t="inlineStr">
        <is>
          <t>TEDLAR/SIDEWALL</t>
        </is>
      </c>
      <c r="D142" s="68" t="inlineStr">
        <is>
          <t>N/A</t>
        </is>
      </c>
      <c r="E142" s="12" t="inlineStr">
        <is>
          <t>R/H B/C PAX WINDOW FRAME DISCOLORED.</t>
        </is>
      </c>
      <c r="F142" s="9" t="n"/>
      <c r="G142" s="90" t="inlineStr">
        <is>
          <t>https://i.ibb.co/bjj98wjR/4f6287c9ed81.jpg
https://i.ibb.co/m58Yfstw/20e6cd6772cc.jpg</t>
        </is>
      </c>
      <c r="H142" s="57" t="inlineStr">
        <is>
          <t>Not Raised</t>
        </is>
      </c>
      <c r="I142" s="82" t="n"/>
      <c r="J142" s="82" t="n"/>
      <c r="K142" s="82" t="n"/>
    </row>
    <row r="143" ht="15" customHeight="1" s="104">
      <c r="A143" s="66" t="n">
        <v>140</v>
      </c>
      <c r="B143" s="83" t="inlineStr">
        <is>
          <t>SHAREEF</t>
        </is>
      </c>
      <c r="C143" s="9" t="inlineStr">
        <is>
          <t>TEDLAR/SIDEWALL</t>
        </is>
      </c>
      <c r="D143" s="68" t="inlineStr">
        <is>
          <t>N/A</t>
        </is>
      </c>
      <c r="E143" s="12" t="inlineStr">
        <is>
          <t>CIELING RUBBER SEAL AT R/H AND DIRECTLY AT THE BACK OF BUSINESS CLASS IS DISCOLORED.</t>
        </is>
      </c>
      <c r="F143" s="9" t="n"/>
      <c r="G143" s="89" t="inlineStr">
        <is>
          <t>https://i.ibb.co/Qq0CfWg/61f4131f873c.jpg</t>
        </is>
      </c>
      <c r="H143" s="57" t="inlineStr">
        <is>
          <t>Not Raised</t>
        </is>
      </c>
      <c r="I143" s="82" t="n"/>
      <c r="J143" s="82" t="n"/>
      <c r="K143" s="82" t="n"/>
    </row>
    <row r="144" ht="105" customHeight="1" s="104">
      <c r="A144" s="66" t="n">
        <v>141</v>
      </c>
      <c r="B144" s="83" t="n">
        <v>30001452</v>
      </c>
      <c r="C144" s="9" t="inlineStr">
        <is>
          <t>PAX DOORS</t>
        </is>
      </c>
      <c r="D144" s="68" t="inlineStr">
        <is>
          <t>R2 DOOR</t>
        </is>
      </c>
      <c r="E144" s="84" t="inlineStr">
        <is>
          <t>HINGE COVER ( HAS A WORKORDER ALREADY)
DOOR LINING MULTIPLE MARKS
DOOR LINING PAINT CHIPPING AND BUBBLING
OXYGEN GENERATOR COVER DMG
DOOR HANDLE
AFT DOOR CUTOUT</t>
        </is>
      </c>
      <c r="F144" s="9" t="n"/>
      <c r="G144" s="90" t="inlineStr">
        <is>
          <t>https://i.ibb.co/ycK9dghH/e6c85d02efd4.jpg
https://i.ibb.co/gM8S79dM/1a55b9aa8d06.jpg
https://i.ibb.co/5h3Rjt6w/6baad3680f1e.jpg
https://i.ibb.co/S4bRmHvk/6513e7d3c61d.jpg
https://i.ibb.co/qMkwfVg2/17db69ab86d9.jpg</t>
        </is>
      </c>
      <c r="H144" s="57" t="inlineStr">
        <is>
          <t>Not Raised</t>
        </is>
      </c>
      <c r="I144" s="82" t="n"/>
      <c r="J144" s="82" t="n"/>
      <c r="K144" s="82" t="n"/>
    </row>
    <row r="145" ht="15" customHeight="1" s="104">
      <c r="A145" s="66" t="n">
        <v>142</v>
      </c>
      <c r="B145" s="83" t="n">
        <v>30001452</v>
      </c>
      <c r="C145" s="9" t="inlineStr">
        <is>
          <t>PAX DOORS</t>
        </is>
      </c>
      <c r="D145" s="68" t="inlineStr">
        <is>
          <t>L2 DOOR LINING</t>
        </is>
      </c>
      <c r="E145" s="12" t="inlineStr">
        <is>
          <t>DOOR LINING L/H MARKING</t>
        </is>
      </c>
      <c r="F145" s="9" t="n"/>
      <c r="G145" s="89" t="inlineStr">
        <is>
          <t>https://i.ibb.co/VYJ2hmp8/f4745d62c3ae.jpg</t>
        </is>
      </c>
      <c r="H145" s="57" t="inlineStr">
        <is>
          <t>Not Raised</t>
        </is>
      </c>
      <c r="I145" s="82" t="n"/>
      <c r="J145" s="82" t="n"/>
      <c r="K145" s="82" t="n"/>
    </row>
    <row r="146" ht="58.2" customHeight="1" s="104">
      <c r="A146" s="66" t="n">
        <v>143</v>
      </c>
      <c r="B146" s="83" t="n">
        <v>30001452</v>
      </c>
      <c r="C146" s="9" t="inlineStr">
        <is>
          <t>PAX DOORS</t>
        </is>
      </c>
      <c r="D146" s="68" t="inlineStr">
        <is>
          <t>L2 DOOR</t>
        </is>
      </c>
      <c r="E146" s="12" t="inlineStr">
        <is>
          <t>SCRATCHES ON HINGE COVER
BUBBLING PAINT ON SLIDE RAFT COVER
MULTIPLE MARKINGS ON SLIDE RAFT COVER</t>
        </is>
      </c>
      <c r="F146" s="9" t="n"/>
      <c r="G146" s="90" t="inlineStr">
        <is>
          <t>https://i.ibb.co/vvfg3DMN/53243bc7870c.jpg
 https://i.ibb.co/ymXGHZRZ/776c1684c8a6.jpg
https://i.ibb.co/DgGWsc1B/d08953bb7656.jpg
https://i.ibb.co/RkVdPVF2/d858bde3ba35.jpg</t>
        </is>
      </c>
      <c r="H146" s="57" t="inlineStr">
        <is>
          <t>Not Raised</t>
        </is>
      </c>
      <c r="I146" s="82" t="n"/>
      <c r="J146" s="82" t="n"/>
      <c r="K146" s="82" t="n"/>
    </row>
    <row r="147" ht="26.4" customHeight="1" s="104">
      <c r="A147" s="66" t="n">
        <v>144</v>
      </c>
      <c r="B147" s="83" t="inlineStr">
        <is>
          <t>SHAREEF</t>
        </is>
      </c>
      <c r="C147" s="9" t="inlineStr">
        <is>
          <t>TEDLAR/SIDEWALL</t>
        </is>
      </c>
      <c r="D147" s="68" t="inlineStr">
        <is>
          <t>N/A</t>
        </is>
      </c>
      <c r="E147" s="12" t="inlineStr">
        <is>
          <t>RUBBER SEAL AT R/H EMERGENCY HATCH HAS SMALL TEARINGS</t>
        </is>
      </c>
      <c r="F147" s="9" t="n"/>
      <c r="G147" s="90" t="inlineStr">
        <is>
          <t>https://i.ibb.co/wFFVY5F2/1dee7c2062c2.jpg
https://i.ibb.co/tpwN3D0q/1ff64b8c0f2d.jpg</t>
        </is>
      </c>
      <c r="H147" s="57" t="inlineStr">
        <is>
          <t>Not Raised</t>
        </is>
      </c>
      <c r="I147" s="82" t="n"/>
      <c r="J147" s="82" t="n"/>
      <c r="K147" s="82" t="n"/>
    </row>
    <row r="148" ht="15" customHeight="1" s="104">
      <c r="A148" s="66" t="n">
        <v>145</v>
      </c>
      <c r="B148" s="83" t="inlineStr">
        <is>
          <t>SHAREEF</t>
        </is>
      </c>
      <c r="C148" s="9" t="inlineStr">
        <is>
          <t>TEDLAR/SIDEWALL</t>
        </is>
      </c>
      <c r="D148" s="68" t="inlineStr">
        <is>
          <t>N/A</t>
        </is>
      </c>
      <c r="E148" s="12" t="inlineStr">
        <is>
          <t>SIDEWALL AT R/H EMERGENCY HATCH SLIGHTLY DIRTY</t>
        </is>
      </c>
      <c r="F148" s="9" t="n"/>
      <c r="G148" s="89" t="inlineStr">
        <is>
          <t>https://i.ibb.co/qYsQtymV/051170f66490.jpg</t>
        </is>
      </c>
      <c r="H148" s="57" t="inlineStr">
        <is>
          <t>Not Raised</t>
        </is>
      </c>
      <c r="I148" s="82" t="n"/>
      <c r="J148" s="82" t="n"/>
      <c r="K148" s="82" t="n"/>
    </row>
    <row r="149" ht="15" customHeight="1" s="104">
      <c r="A149" s="66" t="n">
        <v>146</v>
      </c>
      <c r="B149" s="83" t="inlineStr">
        <is>
          <t>SHAREEF</t>
        </is>
      </c>
      <c r="C149" s="9" t="inlineStr">
        <is>
          <t>TEDLAR/SIDEWALL</t>
        </is>
      </c>
      <c r="D149" s="68" t="inlineStr">
        <is>
          <t>N/A</t>
        </is>
      </c>
      <c r="E149" s="12" t="inlineStr">
        <is>
          <t>CRACK AT STOWAGE BIN THATS DIRECTLY INFRONT OF THE 31 LKJ</t>
        </is>
      </c>
      <c r="F149" s="9" t="n"/>
      <c r="G149" s="89" t="inlineStr">
        <is>
          <t>https://i.ibb.co/CKLXDv05/31e2a52c6e94.jpg</t>
        </is>
      </c>
      <c r="H149" s="57" t="inlineStr">
        <is>
          <t>Not Raised</t>
        </is>
      </c>
      <c r="I149" s="82" t="n"/>
      <c r="J149" s="82" t="n"/>
      <c r="K149" s="82" t="n"/>
    </row>
    <row r="150" ht="15" customHeight="1" s="104">
      <c r="A150" s="66" t="n">
        <v>147</v>
      </c>
      <c r="B150" s="83" t="inlineStr">
        <is>
          <t>SHAREEF</t>
        </is>
      </c>
      <c r="C150" s="9" t="inlineStr">
        <is>
          <t>TEDLAR/SIDEWALL</t>
        </is>
      </c>
      <c r="D150" s="68" t="inlineStr">
        <is>
          <t>N/A</t>
        </is>
      </c>
      <c r="E150" s="12" t="inlineStr">
        <is>
          <t>SUSPICION ONLY:</t>
        </is>
      </c>
      <c r="F150" s="9" t="n"/>
      <c r="G150" s="89" t="inlineStr">
        <is>
          <t>https://i.ibb.co/ZRgD9Vt9/1bccac82848f.jpg</t>
        </is>
      </c>
      <c r="H150" s="57" t="inlineStr">
        <is>
          <t>Not Raised</t>
        </is>
      </c>
      <c r="I150" s="82" t="n"/>
      <c r="J150" s="82" t="n"/>
      <c r="K150" s="82" t="n"/>
    </row>
    <row r="151" ht="52.95" customHeight="1" s="104">
      <c r="A151" s="66" t="n">
        <v>148</v>
      </c>
      <c r="B151" s="83" t="inlineStr">
        <is>
          <t>SHAREEF</t>
        </is>
      </c>
      <c r="C151" s="9" t="inlineStr">
        <is>
          <t>TEDLAR/SIDEWALL</t>
        </is>
      </c>
      <c r="D151" s="68" t="inlineStr">
        <is>
          <t>N/A</t>
        </is>
      </c>
      <c r="E151" s="12" t="inlineStr">
        <is>
          <t>THE STOWAGE BIN THAT IS INFRONT OF 30LKJ</t>
        </is>
      </c>
      <c r="F151" s="9" t="n"/>
      <c r="G151" s="90" t="inlineStr">
        <is>
          <t>https://i.ibb.co/mVQTQ8RX/3b60c49a30ae.jpg
https://i.ibb.co/jksNdvBr/203600e4f78b.jpg
https://i.ibb.co/Gf4qgSRV/d45f3263d861.jpg
https://i.ibb.co/tpgH00Zq/0a8b748a5872.jpg</t>
        </is>
      </c>
      <c r="H151" s="57" t="inlineStr">
        <is>
          <t>Not Raised</t>
        </is>
      </c>
      <c r="I151" s="82" t="n"/>
      <c r="J151" s="82" t="n"/>
      <c r="K151" s="82" t="n"/>
    </row>
    <row r="152" ht="15" customHeight="1" s="104">
      <c r="A152" s="66" t="n">
        <v>149</v>
      </c>
      <c r="B152" s="83" t="n">
        <v>30001452</v>
      </c>
      <c r="C152" s="9" t="inlineStr">
        <is>
          <t>PAX DOORS</t>
        </is>
      </c>
      <c r="D152" s="68" t="inlineStr">
        <is>
          <t>L1 DOOR LINING</t>
        </is>
      </c>
      <c r="E152" s="12" t="inlineStr">
        <is>
          <t>DOOR LINING AFT LINING DMG NEAR SCREW</t>
        </is>
      </c>
      <c r="F152" s="9" t="n"/>
      <c r="G152" s="68" t="n"/>
      <c r="H152" s="57" t="inlineStr">
        <is>
          <t>Not Raised</t>
        </is>
      </c>
      <c r="I152" s="82" t="n"/>
      <c r="J152" s="82" t="n"/>
      <c r="K152" s="82" t="n"/>
    </row>
    <row r="153" ht="15" customHeight="1" s="104">
      <c r="A153" s="66" t="n">
        <v>150</v>
      </c>
      <c r="B153" s="83" t="n">
        <v>30001452</v>
      </c>
      <c r="C153" s="9" t="inlineStr">
        <is>
          <t>PAX DOORS</t>
        </is>
      </c>
      <c r="D153" s="68" t="inlineStr">
        <is>
          <t>L1 DOOR S/R COVER</t>
        </is>
      </c>
      <c r="E153" s="12" t="inlineStr">
        <is>
          <t>SLIDE RAFT COVER NEED PAINT AND COMP SHOP</t>
        </is>
      </c>
      <c r="F153" s="9" t="n"/>
      <c r="G153" s="68" t="n"/>
      <c r="H153" s="57" t="inlineStr">
        <is>
          <t>Not Raised</t>
        </is>
      </c>
      <c r="I153" s="82" t="n"/>
      <c r="J153" s="82" t="n"/>
      <c r="K153" s="82" t="n"/>
    </row>
    <row r="154" ht="15" customHeight="1" s="104">
      <c r="A154" s="66" t="n">
        <v>151</v>
      </c>
      <c r="B154" s="83" t="n">
        <v>30001452</v>
      </c>
      <c r="C154" s="9" t="inlineStr">
        <is>
          <t>PAX DOORS</t>
        </is>
      </c>
      <c r="D154" s="68" t="inlineStr">
        <is>
          <t>L1 DOOR</t>
        </is>
      </c>
      <c r="E154" s="12" t="inlineStr">
        <is>
          <t>HINGE COVER MULTIPLE DMG LOCATIONS</t>
        </is>
      </c>
      <c r="F154" s="9" t="n"/>
      <c r="G154" s="68" t="n"/>
      <c r="H154" s="57" t="inlineStr">
        <is>
          <t>Not Raised</t>
        </is>
      </c>
      <c r="I154" s="82" t="n"/>
      <c r="J154" s="82" t="n"/>
      <c r="K154" s="82" t="n"/>
    </row>
    <row r="155" ht="15" customHeight="1" s="104">
      <c r="A155" s="66" t="n">
        <v>152</v>
      </c>
      <c r="B155" s="83" t="n">
        <v>30001452</v>
      </c>
      <c r="C155" s="9" t="inlineStr">
        <is>
          <t>PAX DOORS</t>
        </is>
      </c>
      <c r="D155" s="68" t="inlineStr">
        <is>
          <t>R1 DOOR LINING</t>
        </is>
      </c>
      <c r="E155" s="12" t="inlineStr">
        <is>
          <t>FWD CUTOUT</t>
        </is>
      </c>
      <c r="F155" s="9" t="n"/>
      <c r="G155" s="68" t="n"/>
      <c r="H155" s="57" t="inlineStr">
        <is>
          <t>Not Raised</t>
        </is>
      </c>
      <c r="I155" s="82" t="n"/>
      <c r="J155" s="82" t="n"/>
      <c r="K155" s="82" t="n"/>
    </row>
    <row r="156" ht="15" customHeight="1" s="104">
      <c r="A156" s="66" t="n">
        <v>153</v>
      </c>
      <c r="B156" s="83" t="n">
        <v>30001452</v>
      </c>
      <c r="C156" s="9" t="inlineStr">
        <is>
          <t>PAX DOORS</t>
        </is>
      </c>
      <c r="D156" s="68" t="inlineStr">
        <is>
          <t>R1 DOOR</t>
        </is>
      </c>
      <c r="E156" s="12" t="inlineStr">
        <is>
          <t>SLIDE RAFT COVER MULTIPLE DMG
HINGE COVER MULTIPLE DMG</t>
        </is>
      </c>
      <c r="F156" s="9" t="n"/>
      <c r="G156" s="68" t="n"/>
      <c r="H156" s="57" t="inlineStr">
        <is>
          <t>Not Raised</t>
        </is>
      </c>
      <c r="I156" s="82" t="n"/>
      <c r="J156" s="82" t="n"/>
      <c r="K156" s="82" t="n"/>
    </row>
    <row r="157">
      <c r="B157" s="85" t="n"/>
      <c r="C157" s="86" t="n"/>
      <c r="D157" s="87" t="n"/>
      <c r="E157" s="87" t="n"/>
      <c r="F157" s="87" t="n"/>
      <c r="H157" s="88" t="n"/>
      <c r="I157" s="85" t="n"/>
      <c r="J157" s="85" t="n"/>
      <c r="K157" s="85" t="n"/>
    </row>
  </sheetData>
  <mergeCells count="2">
    <mergeCell ref="A2:K2"/>
    <mergeCell ref="A1:K1"/>
  </mergeCells>
  <conditionalFormatting sqref="A4:C4 A5:A156 A157:G657 G4:K99 G116:K157 H100:K115">
    <cfRule type="expression" priority="224" dxfId="4">
      <formula>#REF!="Critical"</formula>
    </cfRule>
    <cfRule type="expression" priority="223" dxfId="2">
      <formula>#REF!="AOG"</formula>
    </cfRule>
  </conditionalFormatting>
  <conditionalFormatting sqref="B5:B156">
    <cfRule type="expression" priority="23" dxfId="2">
      <formula>#REF!="AOG"</formula>
    </cfRule>
    <cfRule type="expression" priority="24" dxfId="4">
      <formula>#REF!="Critical"</formula>
    </cfRule>
  </conditionalFormatting>
  <conditionalFormatting sqref="B157:B657">
    <cfRule type="cellIs" priority="215" operator="equal" dxfId="20">
      <formula>"F/A SEAT"</formula>
    </cfRule>
    <cfRule type="cellIs" priority="214" operator="equal" dxfId="21">
      <formula>"PAX DOORS"</formula>
    </cfRule>
    <cfRule type="cellIs" priority="213" operator="equal" dxfId="22">
      <formula>"LAVATORY"</formula>
    </cfRule>
    <cfRule type="cellIs" priority="212" operator="equal" dxfId="23">
      <formula>"GALLEY"</formula>
    </cfRule>
    <cfRule type="cellIs" priority="211" operator="equal" dxfId="24">
      <formula>"GENERAL CABIN"</formula>
    </cfRule>
    <cfRule type="cellIs" priority="216" operator="equal" dxfId="19">
      <formula>"PAX SEAT"</formula>
    </cfRule>
    <cfRule type="cellIs" priority="217" operator="equal" dxfId="18">
      <formula>"FLIGHT DECK"</formula>
    </cfRule>
    <cfRule type="cellIs" priority="218" operator="equal" dxfId="17">
      <formula>"OFAR/OFCR"</formula>
    </cfRule>
    <cfRule type="cellIs" priority="219" operator="equal" dxfId="16">
      <formula>"TEDLAR/SIDEWALL"</formula>
    </cfRule>
    <cfRule type="cellIs" priority="220" operator="equal" dxfId="15">
      <formula>"PAINT"</formula>
    </cfRule>
  </conditionalFormatting>
  <conditionalFormatting sqref="C4:C157">
    <cfRule type="cellIs" priority="27" operator="equal" dxfId="24">
      <formula>"GENERAL CABIN"</formula>
    </cfRule>
    <cfRule type="cellIs" priority="28" operator="equal" dxfId="23">
      <formula>"GALLEY"</formula>
    </cfRule>
    <cfRule type="cellIs" priority="29" operator="equal" dxfId="22">
      <formula>"LAVATORY"</formula>
    </cfRule>
    <cfRule type="cellIs" priority="30" operator="equal" dxfId="21">
      <formula>"PAX DOORS"</formula>
    </cfRule>
    <cfRule type="cellIs" priority="31" operator="equal" dxfId="20">
      <formula>"F/A SEAT"</formula>
    </cfRule>
    <cfRule type="cellIs" priority="32" operator="equal" dxfId="19">
      <formula>"PAX SEAT"</formula>
    </cfRule>
    <cfRule type="cellIs" priority="33" operator="equal" dxfId="18">
      <formula>"FLIGHT DECK"</formula>
    </cfRule>
    <cfRule type="cellIs" priority="34" operator="equal" dxfId="17">
      <formula>"OFAR/OFCR"</formula>
    </cfRule>
    <cfRule type="cellIs" priority="35" operator="equal" dxfId="16">
      <formula>"TEDLAR/SIDEWALL"</formula>
    </cfRule>
    <cfRule type="cellIs" priority="36" operator="equal" dxfId="15">
      <formula>"PAINT"</formula>
    </cfRule>
  </conditionalFormatting>
  <conditionalFormatting sqref="C5:C65">
    <cfRule type="expression" priority="38" dxfId="4">
      <formula>#REF!="Critical"</formula>
    </cfRule>
    <cfRule type="expression" priority="37" dxfId="2">
      <formula>#REF!="AOG"</formula>
    </cfRule>
  </conditionalFormatting>
  <conditionalFormatting sqref="C66:C156">
    <cfRule type="expression" priority="4" dxfId="4">
      <formula>#REF!="Critical"</formula>
    </cfRule>
    <cfRule type="expression" priority="3" dxfId="2">
      <formula>#REF!="AOG"</formula>
    </cfRule>
  </conditionalFormatting>
  <conditionalFormatting sqref="D4:D66">
    <cfRule type="expression" priority="207" dxfId="2">
      <formula>#REF!="AOG"</formula>
    </cfRule>
    <cfRule type="expression" priority="208" dxfId="4">
      <formula>#REF!="Critical"</formula>
    </cfRule>
  </conditionalFormatting>
  <conditionalFormatting sqref="D113:D156">
    <cfRule type="expression" priority="7" dxfId="2">
      <formula>#REF!="AOG"</formula>
    </cfRule>
    <cfRule type="expression" priority="8" dxfId="4">
      <formula>#REF!="Critical"</formula>
    </cfRule>
  </conditionalFormatting>
  <conditionalFormatting sqref="F4:F157">
    <cfRule type="expression" priority="209" dxfId="2">
      <formula>#REF!="AOG"</formula>
    </cfRule>
    <cfRule type="expression" priority="210" dxfId="4">
      <formula>#REF!="Critical"</formula>
    </cfRule>
  </conditionalFormatting>
  <conditionalFormatting sqref="G100:G115">
    <cfRule type="expression" priority="2" dxfId="4">
      <formula>#REF!="Critical"</formula>
    </cfRule>
    <cfRule type="expression" priority="1" dxfId="2">
      <formula>#REF!="AOG"</formula>
    </cfRule>
  </conditionalFormatting>
  <conditionalFormatting sqref="E157:E657 H4:H157">
    <cfRule type="cellIs" priority="221" operator="equal" dxfId="1">
      <formula>"Not Raised"</formula>
    </cfRule>
    <cfRule type="cellIs" priority="222" operator="equal" dxfId="0">
      <formula>"Raised"</formula>
    </cfRule>
  </conditionalFormatting>
  <dataValidations count="2">
    <dataValidation sqref="B157:B656 C4:C66" showDropDown="0" showInputMessage="0" showErrorMessage="0" allowBlank="1" type="list">
      <formula1>"GENERAL CABIN,GALLEY,LAVATORY,PAX DOORS,F/A SEAT,PAX SEAT,FLIGHT DECK,TEDLAR/SIDEWALL"</formula1>
    </dataValidation>
    <dataValidation sqref="E157:E656 H4:H157" showDropDown="0" showInputMessage="0" showErrorMessage="0" allowBlank="1" type="list">
      <formula1>"Not Raised,Raised"</formula1>
    </dataValidation>
  </dataValidations>
  <hyperlinks>
    <hyperlink xmlns:r="http://schemas.openxmlformats.org/officeDocument/2006/relationships" ref="G67" r:id="rId1"/>
    <hyperlink xmlns:r="http://schemas.openxmlformats.org/officeDocument/2006/relationships" ref="G68" r:id="rId2"/>
    <hyperlink xmlns:r="http://schemas.openxmlformats.org/officeDocument/2006/relationships" ref="G69" r:id="rId3"/>
    <hyperlink xmlns:r="http://schemas.openxmlformats.org/officeDocument/2006/relationships" ref="G70" r:id="rId4"/>
    <hyperlink xmlns:r="http://schemas.openxmlformats.org/officeDocument/2006/relationships" ref="G71" r:id="rId5"/>
    <hyperlink xmlns:r="http://schemas.openxmlformats.org/officeDocument/2006/relationships" ref="G72" r:id="rId6"/>
    <hyperlink xmlns:r="http://schemas.openxmlformats.org/officeDocument/2006/relationships" ref="G73" r:id="rId7"/>
    <hyperlink xmlns:r="http://schemas.openxmlformats.org/officeDocument/2006/relationships" ref="G74" r:id="rId8"/>
    <hyperlink xmlns:r="http://schemas.openxmlformats.org/officeDocument/2006/relationships" ref="G75" r:id="rId9"/>
    <hyperlink xmlns:r="http://schemas.openxmlformats.org/officeDocument/2006/relationships" ref="G82" r:id="rId10"/>
    <hyperlink xmlns:r="http://schemas.openxmlformats.org/officeDocument/2006/relationships" ref="G83" r:id="rId11"/>
    <hyperlink xmlns:r="http://schemas.openxmlformats.org/officeDocument/2006/relationships" ref="G84" r:id="rId12"/>
    <hyperlink xmlns:r="http://schemas.openxmlformats.org/officeDocument/2006/relationships" ref="G87" r:id="rId13"/>
    <hyperlink xmlns:r="http://schemas.openxmlformats.org/officeDocument/2006/relationships" ref="G89" r:id="rId14"/>
    <hyperlink xmlns:r="http://schemas.openxmlformats.org/officeDocument/2006/relationships" ref="G90" r:id="rId15"/>
    <hyperlink xmlns:r="http://schemas.openxmlformats.org/officeDocument/2006/relationships" ref="G91" r:id="rId16"/>
    <hyperlink xmlns:r="http://schemas.openxmlformats.org/officeDocument/2006/relationships" ref="G92" r:id="rId17"/>
    <hyperlink xmlns:r="http://schemas.openxmlformats.org/officeDocument/2006/relationships" ref="G94" r:id="rId18"/>
    <hyperlink xmlns:r="http://schemas.openxmlformats.org/officeDocument/2006/relationships" ref="G95" r:id="rId19"/>
    <hyperlink xmlns:r="http://schemas.openxmlformats.org/officeDocument/2006/relationships" ref="G96" r:id="rId20"/>
    <hyperlink xmlns:r="http://schemas.openxmlformats.org/officeDocument/2006/relationships" ref="G97" r:id="rId21"/>
    <hyperlink xmlns:r="http://schemas.openxmlformats.org/officeDocument/2006/relationships" ref="G141" r:id="rId22"/>
    <hyperlink xmlns:r="http://schemas.openxmlformats.org/officeDocument/2006/relationships" ref="G143" r:id="rId23"/>
    <hyperlink xmlns:r="http://schemas.openxmlformats.org/officeDocument/2006/relationships" ref="G145" r:id="rId24"/>
    <hyperlink xmlns:r="http://schemas.openxmlformats.org/officeDocument/2006/relationships" ref="G148" r:id="rId25"/>
    <hyperlink xmlns:r="http://schemas.openxmlformats.org/officeDocument/2006/relationships" ref="G149" r:id="rId26"/>
    <hyperlink xmlns:r="http://schemas.openxmlformats.org/officeDocument/2006/relationships" ref="G150" r:id="rId27"/>
  </hyperlinks>
  <pageMargins left="0.75" right="0.75" top="1" bottom="1" header="0.5" footer="0.5"/>
  <pageSetup orientation="portrait" paperSize="9" scale="90" fitToHeight="0" fitToWidth="0"/>
  <tableParts count="1">
    <tablePart xmlns:r="http://schemas.openxmlformats.org/officeDocument/2006/relationships" r:id="rId2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 Alghamdi</dc:creator>
  <dc:title xmlns:dc="http://purl.org/dc/elements/1.1/">C-Check Work Package Tracker</dc:title>
  <dc:description xmlns:dc="http://purl.org/dc/elements/1.1/">CA&amp;QC Division — Pool Cabin</dc:description>
  <dc:subject xmlns:dc="http://purl.org/dc/elements/1.1/">HZ-AK35 C-Check</dc:subject>
  <dcterms:created xmlns:dcterms="http://purl.org/dc/terms/" xmlns:xsi="http://www.w3.org/2001/XMLSchema-instance" xsi:type="dcterms:W3CDTF">2026-05-16T21:41:08Z</dcterms:created>
  <dcterms:modified xmlns:dcterms="http://purl.org/dc/terms/" xmlns:xsi="http://www.w3.org/2001/XMLSchema-instance" xsi:type="dcterms:W3CDTF">2026-06-27T16:25:43Z</dcterms:modified>
  <cp:lastModifiedBy>احمد سعيد سعد الغامدي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0x0101002801A919D37AE741A8D6F9CABD653919</vt:lpwstr>
  </property>
</Properties>
</file>