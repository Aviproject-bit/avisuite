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7">
    <numFmt numFmtId="164" formatCode="dd\-mmm"/>
    <numFmt numFmtId="165" formatCode="dd\-mmm\-yyyy"/>
    <numFmt numFmtId="166" formatCode=";;;"/>
    <numFmt numFmtId="167" formatCode="ddd\ \ dd\-mmm"/>
    <numFmt numFmtId="168" formatCode="0.0"/>
    <numFmt numFmtId="169" formatCode="DD-MMM"/>
    <numFmt numFmtId="170" formatCode="D-MMM"/>
  </numFmts>
  <fonts count="173">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
      <name val="Arial"/>
      <b val="1"/>
      <color rgb="0064748B"/>
      <sz val="8"/>
    </font>
    <font>
      <name val="Arial"/>
      <b val="1"/>
      <color rgb="001A3C6E"/>
      <sz val="1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
      <patternFill patternType="solid">
        <fgColor rgb="001A3C6E"/>
      </patternFill>
    </fill>
    <fill>
      <patternFill patternType="solid">
        <fgColor rgb="00EEF3FB"/>
      </patternFill>
    </fill>
    <fill>
      <patternFill patternType="solid">
        <fgColor rgb="00F6F9FE"/>
      </patternFill>
    </fill>
    <fill>
      <patternFill patternType="solid">
        <fgColor rgb="00F1F6FD"/>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xf numFmtId="0" fontId="168" fillId="58" borderId="0" applyAlignment="1" pivotButton="0" quotePrefix="0" xfId="0">
      <alignment horizontal="left" vertical="center"/>
    </xf>
    <xf numFmtId="0" fontId="171" fillId="59" borderId="0" applyAlignment="1" pivotButton="0" quotePrefix="0" xfId="0">
      <alignment horizontal="center" vertical="center"/>
    </xf>
    <xf numFmtId="0" fontId="172" fillId="60" borderId="0" applyAlignment="1" pivotButton="0" quotePrefix="0" xfId="0">
      <alignment horizontal="center" vertical="center"/>
    </xf>
    <xf numFmtId="9" fontId="172" fillId="60" borderId="0" applyAlignment="1" pivotButton="0" quotePrefix="0" xfId="0">
      <alignment horizontal="center" vertical="center"/>
    </xf>
    <xf numFmtId="3" fontId="172" fillId="60" borderId="0" applyAlignment="1" pivotButton="0" quotePrefix="0" xfId="0">
      <alignment horizontal="center" vertical="center"/>
    </xf>
    <xf numFmtId="170" fontId="167" fillId="0" borderId="31" applyAlignment="1" pivotButton="0" quotePrefix="0" xfId="0">
      <alignment horizontal="left" vertical="center"/>
    </xf>
    <xf numFmtId="0" fontId="170" fillId="61" borderId="0" applyAlignment="1" pivotButton="0" quotePrefix="0" xfId="0">
      <alignment horizontal="left" vertical="center" indent="1"/>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82"/>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t="n"/>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 customHeight="1">
      <c r="A78" s="291" t="inlineStr">
        <is>
          <t xml:space="preserve">  ✈️ AIRCRAFT PACKAGE — ALL TRADES  (whole-aircraft AMOS data · separate from cabin stats above)</t>
        </is>
      </c>
    </row>
    <row r="79" ht="13" customHeight="1">
      <c r="A79" s="292" t="inlineStr">
        <is>
          <t>TOTAL</t>
        </is>
      </c>
      <c r="B79" s="292" t="inlineStr">
        <is>
          <t>CLOSED</t>
        </is>
      </c>
      <c r="C79" s="292" t="inlineStr">
        <is>
          <t>OPEN</t>
        </is>
      </c>
      <c r="D79" s="292" t="inlineStr">
        <is>
          <t>DONE</t>
        </is>
      </c>
      <c r="E79" s="292" t="inlineStr">
        <is>
          <t>TIME</t>
        </is>
      </c>
      <c r="F79" s="292" t="inlineStr">
        <is>
          <t>EST MH</t>
        </is>
      </c>
      <c r="G79" s="292" t="inlineStr">
        <is>
          <t>BOOKED</t>
        </is>
      </c>
    </row>
    <row r="80" ht="24" customHeight="1">
      <c r="A80" s="293">
        <f>COUNTIF('FULL PKG'!$B$2:$B$3000,"&lt;&gt;")</f>
        <v/>
      </c>
      <c r="B80" s="293">
        <f>COUNTIF('FULL PKG'!$H$2:$H$3000,"Closed")</f>
        <v/>
      </c>
      <c r="C80" s="293">
        <f>COUNTIF('FULL PKG'!$B$2:$B$3000,"&lt;&gt;")-COUNTIF('FULL PKG'!$H$2:$H$3000,"Closed")</f>
        <v/>
      </c>
      <c r="D80" s="294">
        <f>IFERROR(COUNTIF('FULL PKG'!$H$2:$H$3000,"Closed")/COUNTIF('FULL PKG'!$B$2:$B$3000,"&lt;&gt;"),0)</f>
        <v/>
      </c>
      <c r="E80" s="294">
        <f>MIN(MAX((TODAY()-DASHBOARD!$M$1+1)/(DASHBOARD!$M$2-DASHBOARD!$M$1+1),0),1)</f>
        <v/>
      </c>
      <c r="F80" s="295">
        <f>SUM('FULL PKG'!$E$2:$E$3000)</f>
        <v/>
      </c>
      <c r="G80" s="295">
        <f>SUM('FULL PKG'!$F$2:$F$3000)</f>
        <v/>
      </c>
    </row>
    <row r="81" ht="16" customHeight="1">
      <c r="A81" s="297">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6" customHeight="1">
      <c r="A82" s="297">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sheetData>
  <sheetProtection selectLockedCells="0" selectUnlockedCells="0" sheet="1" objects="0" insertRows="1" insertHyperlinks="1" autoFilter="1" scenarios="0" formatColumns="1" deleteColumns="1" insertColumns="1" pivotTables="1" deleteRows="1" formatCells="1" formatRows="1" sort="1"/>
  <mergeCells count="33">
    <mergeCell ref="A32:G32"/>
    <mergeCell ref="A8:G8"/>
    <mergeCell ref="A73:B73"/>
    <mergeCell ref="A67:B67"/>
    <mergeCell ref="A62:G62"/>
    <mergeCell ref="A1:E1"/>
    <mergeCell ref="A70:B70"/>
    <mergeCell ref="A81:G81"/>
    <mergeCell ref="A19:G19"/>
    <mergeCell ref="A63:G63"/>
    <mergeCell ref="A10:G10"/>
    <mergeCell ref="A69:B69"/>
    <mergeCell ref="A13:G13"/>
    <mergeCell ref="A9:G9"/>
    <mergeCell ref="A75:B75"/>
    <mergeCell ref="A66:B66"/>
    <mergeCell ref="A64:G64"/>
    <mergeCell ref="A74:B74"/>
    <mergeCell ref="A82:G82"/>
    <mergeCell ref="A11:G11"/>
    <mergeCell ref="A71:B71"/>
    <mergeCell ref="A78:G78"/>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inlineStr">
        <is>
          <t>18-Jul</t>
        </is>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inlineStr">
        <is>
          <t>19-Jul</t>
        </is>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inlineStr">
        <is>
          <t>21-Jul</t>
        </is>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inlineStr">
        <is>
          <t>21-Jul</t>
        </is>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inlineStr">
        <is>
          <t>22-Jul</t>
        </is>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inlineStr">
        <is>
          <t>23-Jul</t>
        </is>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inlineStr">
        <is>
          <t>26-Jul</t>
        </is>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inlineStr">
        <is>
          <t>3-Aug</t>
        </is>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inlineStr">
        <is>
          <t>2-Aug</t>
        </is>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inlineStr">
        <is>
          <t>19-Aug</t>
        </is>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inlineStr">
        <is>
          <t>8-Aug</t>
        </is>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inlineStr">
        <is>
          <t>5-Aug</t>
        </is>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inlineStr">
        <is>
          <t>23-Jul</t>
        </is>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inlineStr">
        <is>
          <t>19-Aug</t>
        </is>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inlineStr">
        <is>
          <t>19-Aug</t>
        </is>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inlineStr">
        <is>
          <t>20-Aug</t>
        </is>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inlineStr">
        <is>
          <t>21-Aug</t>
        </is>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inlineStr">
        <is>
          <t>22-Aug</t>
        </is>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inlineStr">
        <is>
          <t>24-Aug</t>
        </is>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inlineStr">
        <is>
          <t>24-Aug</t>
        </is>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INT(IF(ISNUMBER($C6),$C6,$B6))+IF(MOD(IF(ISNUMBER($C6),$C6,$B6),1)=0,1,IF(MOD(IF(ISNUMBER($C6),$C6,$B6),1)&lt;=0.25,0,IF(MOD(IF(ISNUMBER($C6),$C6,$B6),1)&lt;=7/12,1/3,IF(MOD(IF(ISNUMBER($C6),$C6,$B6),1)&lt;=11/12,2/3,1))))))</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11" dxfId="130">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2026-07-22T11:14:01Z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