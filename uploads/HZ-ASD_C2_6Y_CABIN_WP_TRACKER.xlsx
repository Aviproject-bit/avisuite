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calcMode="auto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7.2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7.2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7.2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339" t="inlineStr">
        <is>
          <t>P/S 4509031</t>
        </is>
      </c>
      <c r="J8" s="9" t="inlineStr">
        <is>
          <t>N/A</t>
        </is>
      </c>
      <c r="K8" s="9" t="inlineStr">
        <is>
          <t>FWD</t>
        </is>
      </c>
      <c r="L8" s="100" t="n">
        <v>46222</v>
      </c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339" t="inlineStr">
        <is>
          <t>P/S 4509039</t>
        </is>
      </c>
      <c r="J9" s="9" t="inlineStr">
        <is>
          <t>N/A</t>
        </is>
      </c>
      <c r="K9" s="9" t="inlineStr">
        <is>
          <t>FWD</t>
        </is>
      </c>
      <c r="L9" s="100" t="n">
        <v>46222</v>
      </c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AOG</t>
        </is>
      </c>
      <c r="G10" s="8" t="inlineStr">
        <is>
          <t>CAB</t>
        </is>
      </c>
      <c r="H10" s="10" t="inlineStr">
        <is>
          <t>Requested</t>
        </is>
      </c>
      <c r="I10" s="339" t="inlineStr">
        <is>
          <t>P/S 4509037 (SOME PARTS S/D)</t>
        </is>
      </c>
      <c r="J10" s="9" t="inlineStr">
        <is>
          <t>N/A</t>
        </is>
      </c>
      <c r="K10" s="9" t="inlineStr">
        <is>
          <t>JOINT</t>
        </is>
      </c>
      <c r="L10" s="100" t="n">
        <v>46222</v>
      </c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0.5</v>
      </c>
      <c r="O11" s="327" t="inlineStr">
        <is>
          <t>25-30</t>
        </is>
      </c>
      <c r="P11" s="326" t="n">
        <v>44</v>
      </c>
      <c r="Q11" s="326" t="n">
        <v>48.1</v>
      </c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0.2</v>
      </c>
      <c r="O12" s="327" t="inlineStr">
        <is>
          <t>25-40</t>
        </is>
      </c>
      <c r="P12" s="326" t="n">
        <v>15</v>
      </c>
      <c r="Q12" s="326" t="n">
        <v>35.6</v>
      </c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 xml:space="preserve">C/W </t>
        </is>
      </c>
      <c r="J13" s="9" t="inlineStr">
        <is>
          <t>N/A</t>
        </is>
      </c>
      <c r="K13" s="9" t="inlineStr">
        <is>
          <t>FWD</t>
        </is>
      </c>
      <c r="L13" s="100" t="n">
        <v>46224</v>
      </c>
      <c r="M13" s="276" t="n">
        <v>46223</v>
      </c>
      <c r="N13" s="326" t="n">
        <v>0.4</v>
      </c>
      <c r="O13" s="327" t="inlineStr">
        <is>
          <t>25-61</t>
        </is>
      </c>
      <c r="P13" s="326" t="n">
        <v>12</v>
      </c>
      <c r="Q13" s="326" t="n">
        <v>2.8</v>
      </c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 xml:space="preserve">C/W </t>
        </is>
      </c>
      <c r="J14" s="9" t="inlineStr">
        <is>
          <t>N/A</t>
        </is>
      </c>
      <c r="K14" s="9" t="inlineStr">
        <is>
          <t>JOINT</t>
        </is>
      </c>
      <c r="L14" s="100" t="n">
        <v>46224</v>
      </c>
      <c r="M14" s="276" t="n">
        <v>46223</v>
      </c>
      <c r="N14" s="326" t="n">
        <v>0.2</v>
      </c>
      <c r="O14" s="327" t="inlineStr">
        <is>
          <t>26-25</t>
        </is>
      </c>
      <c r="P14" s="326" t="n">
        <v>0.8</v>
      </c>
      <c r="Q14" s="326" t="n">
        <v>0.8</v>
      </c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0.6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0.7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inlineStr">
        <is>
          <t>A&amp;P</t>
        </is>
      </c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2.9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inlineStr">
        <is>
          <t>FWD DOORS GIRT FITTINGS</t>
        </is>
      </c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+ SOME B/C SEATS + COCKPIT DOOR + FLOOR PANELS REMOVAL</t>
        </is>
      </c>
      <c r="J20" s="9" t="inlineStr">
        <is>
          <t>N/A</t>
        </is>
      </c>
      <c r="K20" s="9" t="inlineStr">
        <is>
          <t>FWD</t>
        </is>
      </c>
      <c r="L20" s="100" t="n">
        <v>46222</v>
      </c>
      <c r="M20" s="276" t="n"/>
      <c r="N20" s="326" t="n">
        <v>4.9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+ SOME B/C SEATS + COCKPIT DOOR + FLOOR PANELS REMOVAL</t>
        </is>
      </c>
      <c r="J21" s="9" t="inlineStr">
        <is>
          <t>N/A</t>
        </is>
      </c>
      <c r="K21" s="9" t="inlineStr">
        <is>
          <t>FWD</t>
        </is>
      </c>
      <c r="L21" s="100" t="n">
        <v>46222</v>
      </c>
      <c r="M21" s="276" t="n"/>
      <c r="N21" s="326" t="n">
        <v>21.9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G2 GALLEY + SOME B/C SEATS REMOVAL</t>
        </is>
      </c>
      <c r="J22" s="9" t="inlineStr">
        <is>
          <t>N/A</t>
        </is>
      </c>
      <c r="K22" s="9" t="inlineStr">
        <is>
          <t>FWD</t>
        </is>
      </c>
      <c r="L22" s="100" t="n">
        <v>46222</v>
      </c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0.8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 + SOME ROWS OF G/C SEATS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1.8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2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2.2</v>
      </c>
      <c r="O34" s="327" t="inlineStr">
        <is>
          <t>05</t>
        </is>
      </c>
      <c r="P34" s="326" t="n">
        <v>8</v>
      </c>
      <c r="Q34" s="326" t="n">
        <v>15.6</v>
      </c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inlineStr">
        <is>
          <t>Requested</t>
        </is>
      </c>
      <c r="I36" s="339" t="inlineStr">
        <is>
          <t>P/S 4509043</t>
        </is>
      </c>
      <c r="J36" s="9" t="inlineStr">
        <is>
          <t>N/A</t>
        </is>
      </c>
      <c r="K36" s="9" t="inlineStr">
        <is>
          <t>JOINT</t>
        </is>
      </c>
      <c r="L36" s="100" t="n">
        <v>46224</v>
      </c>
      <c r="M36" s="276" t="n">
        <v>46223</v>
      </c>
      <c r="N36" s="326" t="n">
        <v>0.4</v>
      </c>
      <c r="O36" s="327" t="inlineStr">
        <is>
          <t>21-23</t>
        </is>
      </c>
      <c r="P36" s="326" t="n">
        <v>2</v>
      </c>
      <c r="Q36" s="326" t="n">
        <v>1</v>
      </c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8.800000000000001</v>
      </c>
      <c r="O38" s="327" t="inlineStr">
        <is>
          <t>25-10</t>
        </is>
      </c>
      <c r="P38" s="326" t="n">
        <v>5.5</v>
      </c>
      <c r="Q38" s="326" t="n">
        <v>19.9</v>
      </c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>
        <v>18</v>
      </c>
      <c r="Q41" s="326" t="n">
        <v>12.8</v>
      </c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inlineStr">
        <is>
          <t>Requested</t>
        </is>
      </c>
      <c r="I42" s="339" t="inlineStr">
        <is>
          <t>P/S 4509045</t>
        </is>
      </c>
      <c r="J42" s="9" t="inlineStr">
        <is>
          <t>N/A</t>
        </is>
      </c>
      <c r="K42" s="9" t="inlineStr">
        <is>
          <t>JOINT</t>
        </is>
      </c>
      <c r="L42" s="100" t="n">
        <v>46222</v>
      </c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inlineStr">
        <is>
          <t>Requested</t>
        </is>
      </c>
      <c r="I43" s="339" t="inlineStr">
        <is>
          <t>P/S 4509318</t>
        </is>
      </c>
      <c r="J43" s="9" t="inlineStr">
        <is>
          <t>N/A</t>
        </is>
      </c>
      <c r="K43" s="9" t="inlineStr">
        <is>
          <t>JOINT</t>
        </is>
      </c>
      <c r="L43" s="100" t="n">
        <v>46222</v>
      </c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</v>
      </c>
      <c r="O46" s="327" t="inlineStr">
        <is>
          <t>25-10</t>
        </is>
      </c>
      <c r="P46" s="326" t="n">
        <v>28.5</v>
      </c>
      <c r="Q46" s="326" t="n">
        <v>48.6</v>
      </c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 xml:space="preserve">C/W </t>
        </is>
      </c>
      <c r="J48" s="9" t="inlineStr">
        <is>
          <t>N/A</t>
        </is>
      </c>
      <c r="K48" s="9" t="inlineStr">
        <is>
          <t>JOINT</t>
        </is>
      </c>
      <c r="L48" s="100" t="n">
        <v>46224</v>
      </c>
      <c r="M48" s="276" t="n">
        <v>46223</v>
      </c>
      <c r="N48" s="326" t="n">
        <v>2</v>
      </c>
      <c r="O48" s="327" t="inlineStr">
        <is>
          <t>25-60</t>
        </is>
      </c>
      <c r="P48" s="326" t="n">
        <v>1</v>
      </c>
      <c r="Q48" s="326" t="n">
        <v>1</v>
      </c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 xml:space="preserve">C/W 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>
        <v>1</v>
      </c>
      <c r="Q49" s="326" t="n">
        <v>46.2</v>
      </c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 xml:space="preserve">C/W 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>
        <v>1</v>
      </c>
      <c r="Q50" s="326" t="n">
        <v>46</v>
      </c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0.9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0.4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 xml:space="preserve">C/W </t>
        </is>
      </c>
      <c r="J57" s="9" t="inlineStr">
        <is>
          <t>N/A</t>
        </is>
      </c>
      <c r="K57" s="9" t="inlineStr">
        <is>
          <t>JOINT</t>
        </is>
      </c>
      <c r="L57" s="100" t="n">
        <v>46224</v>
      </c>
      <c r="M57" s="276" t="n">
        <v>46222</v>
      </c>
      <c r="N57" s="326" t="n">
        <v>0.4</v>
      </c>
      <c r="O57" s="327" t="inlineStr">
        <is>
          <t>35-30</t>
        </is>
      </c>
      <c r="P57" s="326" t="n">
        <v>2.8</v>
      </c>
      <c r="Q57" s="326" t="n">
        <v>3.8</v>
      </c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</v>
      </c>
      <c r="O59" s="327" t="inlineStr">
        <is>
          <t>52-51</t>
        </is>
      </c>
      <c r="P59" s="326" t="n">
        <v>1</v>
      </c>
      <c r="Q59" s="326" t="n">
        <v>20.6</v>
      </c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0.9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>
        <v>4</v>
      </c>
      <c r="Q68" s="326" t="n">
        <v>18.4</v>
      </c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inlineStr">
        <is>
          <t>Requested</t>
        </is>
      </c>
      <c r="I69" s="339" t="inlineStr">
        <is>
          <t>P/S 4509325</t>
        </is>
      </c>
      <c r="J69" s="9" t="inlineStr">
        <is>
          <t>N/A</t>
        </is>
      </c>
      <c r="K69" s="9" t="inlineStr">
        <is>
          <t>FWD</t>
        </is>
      </c>
      <c r="L69" s="100" t="n">
        <v>46222</v>
      </c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inlineStr">
        <is>
          <t>Requested</t>
        </is>
      </c>
      <c r="I70" s="339" t="inlineStr">
        <is>
          <t>P/S 4509326</t>
        </is>
      </c>
      <c r="J70" s="9" t="inlineStr">
        <is>
          <t>N/A</t>
        </is>
      </c>
      <c r="K70" s="9" t="inlineStr">
        <is>
          <t>FWD</t>
        </is>
      </c>
      <c r="L70" s="100" t="n">
        <v>46222</v>
      </c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inlineStr">
        <is>
          <t>Requested</t>
        </is>
      </c>
      <c r="I71" s="339" t="inlineStr">
        <is>
          <t>P/S 4509328</t>
        </is>
      </c>
      <c r="J71" s="9" t="inlineStr">
        <is>
          <t>N/A</t>
        </is>
      </c>
      <c r="K71" s="9" t="inlineStr">
        <is>
          <t>FWD</t>
        </is>
      </c>
      <c r="L71" s="100" t="n">
        <v>46222</v>
      </c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inlineStr">
        <is>
          <t>Requested</t>
        </is>
      </c>
      <c r="I72" s="339" t="inlineStr">
        <is>
          <t>P/S 4509333</t>
        </is>
      </c>
      <c r="J72" s="9" t="inlineStr">
        <is>
          <t>N/A</t>
        </is>
      </c>
      <c r="K72" s="9" t="inlineStr">
        <is>
          <t>FWD</t>
        </is>
      </c>
      <c r="L72" s="100" t="n">
        <v>46222</v>
      </c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inlineStr">
        <is>
          <t>Requested</t>
        </is>
      </c>
      <c r="I73" s="339" t="inlineStr">
        <is>
          <t>P/S 4509334</t>
        </is>
      </c>
      <c r="J73" s="9" t="inlineStr">
        <is>
          <t>N/A</t>
        </is>
      </c>
      <c r="K73" s="9" t="inlineStr">
        <is>
          <t>JOINT</t>
        </is>
      </c>
      <c r="L73" s="100" t="n">
        <v>46222</v>
      </c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339" t="inlineStr">
        <is>
          <t>P/S 4509336</t>
        </is>
      </c>
      <c r="J74" s="9" t="inlineStr">
        <is>
          <t>N/A</t>
        </is>
      </c>
      <c r="K74" s="9" t="inlineStr">
        <is>
          <t>FWD</t>
        </is>
      </c>
      <c r="L74" s="100" t="n">
        <v>46222</v>
      </c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3.3</v>
      </c>
      <c r="O75" s="327" t="inlineStr">
        <is>
          <t>25</t>
        </is>
      </c>
      <c r="P75" s="326" t="n">
        <v>2</v>
      </c>
      <c r="Q75" s="326" t="n">
        <v>19.9</v>
      </c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11.7</v>
      </c>
      <c r="O76" s="327" t="inlineStr">
        <is>
          <t>25</t>
        </is>
      </c>
      <c r="P76" s="326" t="n">
        <v>3</v>
      </c>
      <c r="Q76" s="326" t="n">
        <v>20.3</v>
      </c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>
        <v>28.5</v>
      </c>
      <c r="Q85" s="326" t="n">
        <v>24.7</v>
      </c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>
        <v>46224</v>
      </c>
      <c r="M90" s="276" t="n">
        <v>46223</v>
      </c>
      <c r="N90" s="326" t="n">
        <v>0</v>
      </c>
      <c r="O90" s="327" t="inlineStr">
        <is>
          <t>25-22</t>
        </is>
      </c>
      <c r="P90" s="326" t="n">
        <v>0.8</v>
      </c>
      <c r="Q90" s="326" t="n">
        <v>0.8</v>
      </c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>
        <v>46224</v>
      </c>
      <c r="M91" s="276" t="n">
        <v>46223</v>
      </c>
      <c r="N91" s="326" t="n">
        <v>3.3</v>
      </c>
      <c r="O91" s="327" t="inlineStr">
        <is>
          <t>25-40</t>
        </is>
      </c>
      <c r="P91" s="326" t="n">
        <v>0.8</v>
      </c>
      <c r="Q91" s="326" t="n">
        <v>0.8</v>
      </c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>
        <v>2</v>
      </c>
      <c r="Q92" s="326" t="n">
        <v>44.8</v>
      </c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MAPPING COMPLETED, CONTINUE DAY SHIFT</t>
        </is>
      </c>
      <c r="J93" s="9" t="inlineStr">
        <is>
          <t>N/A</t>
        </is>
      </c>
      <c r="K93" s="9" t="inlineStr">
        <is>
          <t>JOINT</t>
        </is>
      </c>
      <c r="L93" s="100" t="n">
        <v>46222</v>
      </c>
      <c r="M93" s="276" t="n"/>
      <c r="N93" s="326" t="n">
        <v>0.5</v>
      </c>
      <c r="O93" s="327" t="inlineStr">
        <is>
          <t>25-11</t>
        </is>
      </c>
      <c r="P93" s="326" t="n">
        <v>46.5</v>
      </c>
      <c r="Q93" s="326" t="n">
        <v>48.1</v>
      </c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>
        <v>46224</v>
      </c>
      <c r="M94" s="276" t="n">
        <v>46223</v>
      </c>
      <c r="N94" s="326" t="n">
        <v>0.2</v>
      </c>
      <c r="O94" s="327" t="inlineStr">
        <is>
          <t>26-25</t>
        </is>
      </c>
      <c r="P94" s="326" t="n">
        <v>0.8</v>
      </c>
      <c r="Q94" s="326" t="n">
        <v>0.8</v>
      </c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TO DO</t>
        </is>
      </c>
      <c r="J97" s="9" t="inlineStr">
        <is>
          <t>N/A</t>
        </is>
      </c>
      <c r="K97" s="9" t="inlineStr">
        <is>
          <t>FWD</t>
        </is>
      </c>
      <c r="L97" s="100" t="n">
        <v>46224</v>
      </c>
      <c r="M97" s="276" t="n">
        <v>46223</v>
      </c>
      <c r="N97" s="326" t="n">
        <v>0.6</v>
      </c>
      <c r="O97" s="327" t="inlineStr">
        <is>
          <t>35-12</t>
        </is>
      </c>
      <c r="P97" s="326" t="n">
        <v>7</v>
      </c>
      <c r="Q97" s="326" t="n">
        <v>2</v>
      </c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3.1</v>
      </c>
      <c r="O98" s="327" t="inlineStr">
        <is>
          <t>35-23</t>
        </is>
      </c>
      <c r="P98" s="326" t="n">
        <v>15</v>
      </c>
      <c r="Q98" s="326" t="n">
        <v>21.3</v>
      </c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2.4</v>
      </c>
      <c r="O99" s="327" t="inlineStr">
        <is>
          <t>35-21</t>
        </is>
      </c>
      <c r="P99" s="326" t="n">
        <v>48.5</v>
      </c>
      <c r="Q99" s="326" t="n">
        <v>24.6</v>
      </c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C/W</t>
        </is>
      </c>
      <c r="J100" s="9" t="inlineStr">
        <is>
          <t>N/A</t>
        </is>
      </c>
      <c r="K100" s="9" t="inlineStr">
        <is>
          <t>FWD</t>
        </is>
      </c>
      <c r="L100" s="100" t="n">
        <v>46224</v>
      </c>
      <c r="M100" s="276" t="n">
        <v>46223</v>
      </c>
      <c r="N100" s="326" t="n">
        <v>2.2</v>
      </c>
      <c r="O100" s="327" t="inlineStr">
        <is>
          <t>25-64</t>
        </is>
      </c>
      <c r="P100" s="326" t="n">
        <v>3.5</v>
      </c>
      <c r="Q100" s="326" t="n">
        <v>1.6</v>
      </c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C/W</t>
        </is>
      </c>
      <c r="J101" s="9" t="inlineStr">
        <is>
          <t>N/A</t>
        </is>
      </c>
      <c r="K101" s="9" t="inlineStr">
        <is>
          <t>JOINT</t>
        </is>
      </c>
      <c r="L101" s="100" t="n">
        <v>46224</v>
      </c>
      <c r="M101" s="276" t="n">
        <v>46222</v>
      </c>
      <c r="N101" s="326" t="n">
        <v>0.4</v>
      </c>
      <c r="O101" s="327" t="inlineStr">
        <is>
          <t>35-30</t>
        </is>
      </c>
      <c r="P101" s="326" t="n">
        <v>3.5</v>
      </c>
      <c r="Q101" s="326" t="n">
        <v>3.3</v>
      </c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AP</t>
        </is>
      </c>
      <c r="H103" s="10" t="n"/>
      <c r="I103" s="339" t="inlineStr">
        <is>
          <t>AP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0.7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0.9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1.8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0.9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0.9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0.9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0.9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1.5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3.7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0.9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0.6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P/S 4509339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0.9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0.9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Closed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>
        <v>46224</v>
      </c>
      <c r="M144" s="276" t="n">
        <v>46223</v>
      </c>
      <c r="N144" s="326" t="n">
        <v>0.2</v>
      </c>
      <c r="O144" s="327" t="inlineStr">
        <is>
          <t>05-28</t>
        </is>
      </c>
      <c r="P144" s="326" t="n">
        <v>1</v>
      </c>
      <c r="Q144" s="326" t="n">
        <v>1</v>
      </c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6.2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Requested</t>
        </is>
      </c>
      <c r="I158" s="339" t="inlineStr">
        <is>
          <t>P/S 4509340</t>
        </is>
      </c>
      <c r="J158" s="9" t="inlineStr">
        <is>
          <t>N/A</t>
        </is>
      </c>
      <c r="K158" s="9" t="inlineStr">
        <is>
          <t>FWD</t>
        </is>
      </c>
      <c r="L158" s="100" t="n">
        <v>46222</v>
      </c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23.2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8.300000000000001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8.300000000000001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33.8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>
        <v>16.2</v>
      </c>
      <c r="Q183" s="326" t="n">
        <v>6526.5</v>
      </c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>
        <v>15</v>
      </c>
      <c r="Q184" s="326" t="n">
        <v>2019.2</v>
      </c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Closed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>
        <v>46224</v>
      </c>
      <c r="M185" s="276" t="n">
        <v>46223</v>
      </c>
      <c r="N185" s="326" t="n">
        <v>9</v>
      </c>
      <c r="O185" s="327" t="inlineStr">
        <is>
          <t>20</t>
        </is>
      </c>
      <c r="P185" s="326" t="n">
        <v>1.7</v>
      </c>
      <c r="Q185" s="326" t="n">
        <v>12.4</v>
      </c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3.2</v>
      </c>
      <c r="O195" s="327" t="inlineStr">
        <is>
          <t>25-00</t>
        </is>
      </c>
      <c r="P195" s="326" t="n"/>
      <c r="Q195" s="326" t="n"/>
    </row>
    <row r="196" s="128">
      <c r="A196" s="63" t="n">
        <v>32978848</v>
      </c>
      <c r="B196" s="338" t="inlineStr">
        <is>
          <t>FINDING (NRC) TASKCARD 25-SVA-03 (01) / ITEM ONE ALL B/C SEAT STRUCTURE  DIRTY</t>
        </is>
      </c>
      <c r="C196" s="68" t="n">
        <v>874</v>
      </c>
      <c r="D196" s="8" t="inlineStr">
        <is>
          <t>PAX SEAT</t>
        </is>
      </c>
      <c r="E196" s="9" t="inlineStr">
        <is>
          <t>Open</t>
        </is>
      </c>
      <c r="F196" s="9" t="inlineStr">
        <is>
          <t>Normal</t>
        </is>
      </c>
      <c r="G196" s="8" t="inlineStr">
        <is>
          <t>SEAT</t>
        </is>
      </c>
      <c r="H196" s="10" t="n"/>
      <c r="I196" s="339" t="n"/>
      <c r="J196" s="9" t="n"/>
      <c r="K196" s="9" t="inlineStr">
        <is>
          <t>N/A</t>
        </is>
      </c>
      <c r="L196" s="100" t="n"/>
      <c r="M196" s="276" t="n"/>
      <c r="N196" s="326" t="n">
        <v>12</v>
      </c>
      <c r="O196" s="327" t="n"/>
      <c r="P196" s="326" t="n"/>
      <c r="Q196" s="326" t="n"/>
    </row>
    <row r="197" s="128">
      <c r="A197" s="63" t="n">
        <v>32978869</v>
      </c>
      <c r="B197" s="338" t="inlineStr">
        <is>
          <t>FINDING (NRC) TASKCARD 25-SVA-03 (01) / ITEM ONE ALL B/C SEAT ARMCAP AISLE AND CTR DIRTY</t>
        </is>
      </c>
      <c r="C197" s="68" t="n">
        <v>875</v>
      </c>
      <c r="D197" s="8" t="inlineStr">
        <is>
          <t>PAX SEAT</t>
        </is>
      </c>
      <c r="E197" s="9" t="inlineStr">
        <is>
          <t>Open</t>
        </is>
      </c>
      <c r="F197" s="9" t="inlineStr">
        <is>
          <t>Normal</t>
        </is>
      </c>
      <c r="G197" s="8" t="inlineStr">
        <is>
          <t>SEAT</t>
        </is>
      </c>
      <c r="H197" s="10" t="n"/>
      <c r="I197" s="339" t="n"/>
      <c r="J197" s="9" t="n"/>
      <c r="K197" s="9" t="inlineStr">
        <is>
          <t>N/A</t>
        </is>
      </c>
      <c r="L197" s="100" t="n"/>
      <c r="M197" s="276" t="n"/>
      <c r="N197" s="326" t="n">
        <v>120</v>
      </c>
      <c r="O197" s="327" t="n"/>
      <c r="P197" s="326" t="n">
        <v>107</v>
      </c>
      <c r="Q197" s="326" t="n">
        <v>49.5</v>
      </c>
    </row>
    <row r="198" s="128">
      <c r="A198" s="63" t="n">
        <v>32978879</v>
      </c>
      <c r="B198" s="338" t="inlineStr">
        <is>
          <t>FINDING (NRC) TASKCARD 25-SVA-03 (01) / ITEM ONE ALL B/C SEAT BELT DIRTY</t>
        </is>
      </c>
      <c r="C198" s="68" t="n">
        <v>876</v>
      </c>
      <c r="D198" s="8" t="inlineStr">
        <is>
          <t>PAX SEAT</t>
        </is>
      </c>
      <c r="E198" s="9" t="inlineStr">
        <is>
          <t>Open</t>
        </is>
      </c>
      <c r="F198" s="9" t="inlineStr">
        <is>
          <t>Normal</t>
        </is>
      </c>
      <c r="G198" s="8" t="inlineStr">
        <is>
          <t>SEAT</t>
        </is>
      </c>
      <c r="H198" s="10" t="n"/>
      <c r="I198" s="339" t="n"/>
      <c r="J198" s="9" t="n"/>
      <c r="K198" s="9" t="inlineStr">
        <is>
          <t>N/A</t>
        </is>
      </c>
      <c r="L198" s="100" t="n"/>
      <c r="M198" s="276" t="n"/>
      <c r="N198" s="326" t="n">
        <v>2</v>
      </c>
      <c r="O198" s="327" t="n"/>
      <c r="P198" s="326" t="n"/>
      <c r="Q198" s="326" t="n"/>
    </row>
    <row r="199" s="128">
      <c r="A199" s="63" t="n">
        <v>32978900</v>
      </c>
      <c r="B199" s="338" t="inlineStr">
        <is>
          <t>FINDING (NRC) TASKCARD 25-SVA-03 (01) / ITEM ONE B/C SEAT# 1A,C,J , 2J,L , 3A,C,L 4C , 5C,J,L FOOD TRAY DOOR - SHROUD ASSEMBLY DAMAGED</t>
        </is>
      </c>
      <c r="C199" s="68" t="n">
        <v>877</v>
      </c>
      <c r="D199" s="8" t="inlineStr">
        <is>
          <t>PAX SEAT</t>
        </is>
      </c>
      <c r="E199" s="9" t="inlineStr">
        <is>
          <t>Open</t>
        </is>
      </c>
      <c r="F199" s="9" t="inlineStr">
        <is>
          <t>Normal</t>
        </is>
      </c>
      <c r="G199" s="8" t="inlineStr">
        <is>
          <t>SEAT</t>
        </is>
      </c>
      <c r="H199" s="10" t="n"/>
      <c r="I199" s="339" t="n"/>
      <c r="J199" s="9" t="n"/>
      <c r="K199" s="9" t="inlineStr">
        <is>
          <t>N/A</t>
        </is>
      </c>
      <c r="L199" s="100" t="n"/>
      <c r="M199" s="276" t="n"/>
      <c r="N199" s="326" t="n">
        <v>22</v>
      </c>
      <c r="O199" s="327" t="n"/>
      <c r="P199" s="326" t="n"/>
      <c r="Q199" s="326" t="n"/>
    </row>
    <row r="200" s="128">
      <c r="A200" s="63" t="n">
        <v>32978919</v>
      </c>
      <c r="B200" s="338" t="inlineStr">
        <is>
          <t>FINDING (NRC) TASKCARD 25-SVA-03 (01) / ITEM ONE B/C SEATS OVERRIDE - MANUAL CABLE DAMAGED.  RECLINE CABLE AT SEAT # 4L LEGREST CABLE AT SEATS# 2J,3L,5A,J</t>
        </is>
      </c>
      <c r="C200" s="68" t="n">
        <v>878</v>
      </c>
      <c r="D200" s="8" t="inlineStr">
        <is>
          <t>PAX SEAT</t>
        </is>
      </c>
      <c r="E200" s="9" t="inlineStr">
        <is>
          <t>Open</t>
        </is>
      </c>
      <c r="F200" s="9" t="inlineStr">
        <is>
          <t>Normal</t>
        </is>
      </c>
      <c r="G200" s="8" t="inlineStr">
        <is>
          <t>SEAT</t>
        </is>
      </c>
      <c r="H200" s="10" t="n"/>
      <c r="I200" s="339" t="n"/>
      <c r="J200" s="9" t="n"/>
      <c r="K200" s="9" t="inlineStr">
        <is>
          <t>N/A</t>
        </is>
      </c>
      <c r="L200" s="100" t="n"/>
      <c r="M200" s="276" t="n"/>
      <c r="N200" s="326" t="n">
        <v>5</v>
      </c>
      <c r="O200" s="327" t="n"/>
      <c r="P200" s="326" t="n"/>
      <c r="Q200" s="326" t="n"/>
    </row>
    <row r="201" s="128">
      <c r="A201" s="63" t="n">
        <v>32978925</v>
      </c>
      <c r="B201" s="338" t="inlineStr">
        <is>
          <t>FINDING (NRC) TASKCARD 25-SVA-03 (01) / ITEM ONE B/C SEAT# 1C , 2A , 4A ARMREST LOOSE</t>
        </is>
      </c>
      <c r="C201" s="68" t="n">
        <v>879</v>
      </c>
      <c r="D201" s="8" t="inlineStr">
        <is>
          <t>PAX SEAT</t>
        </is>
      </c>
      <c r="E201" s="9" t="inlineStr">
        <is>
          <t>Open</t>
        </is>
      </c>
      <c r="F201" s="9" t="inlineStr">
        <is>
          <t>Normal</t>
        </is>
      </c>
      <c r="G201" s="8" t="inlineStr">
        <is>
          <t>SEAT</t>
        </is>
      </c>
      <c r="H201" s="10" t="n"/>
      <c r="I201" s="339" t="n"/>
      <c r="J201" s="9" t="n"/>
      <c r="K201" s="9" t="inlineStr">
        <is>
          <t>N/A</t>
        </is>
      </c>
      <c r="L201" s="100" t="n"/>
      <c r="M201" s="276" t="n"/>
      <c r="N201" s="326" t="n">
        <v>3</v>
      </c>
      <c r="O201" s="327" t="n"/>
      <c r="P201" s="326" t="n"/>
      <c r="Q201" s="326" t="n"/>
    </row>
    <row r="202" s="128">
      <c r="A202" s="63" t="n">
        <v>32978965</v>
      </c>
      <c r="B202" s="338" t="inlineStr">
        <is>
          <t>FINDING (NRC) TASKCARD 25-SVA-03 (01) / ITEM ONE B/C SEAT# 1J,2J,3J  RUBSTRIP - SHELL DAMAGED</t>
        </is>
      </c>
      <c r="C202" s="68" t="n">
        <v>880</v>
      </c>
      <c r="D202" s="8" t="inlineStr">
        <is>
          <t>PAX SEAT</t>
        </is>
      </c>
      <c r="E202" s="9" t="inlineStr">
        <is>
          <t>Open</t>
        </is>
      </c>
      <c r="F202" s="9" t="inlineStr">
        <is>
          <t>Normal</t>
        </is>
      </c>
      <c r="G202" s="8" t="inlineStr">
        <is>
          <t>SEAT</t>
        </is>
      </c>
      <c r="H202" s="10" t="n"/>
      <c r="I202" s="339" t="n"/>
      <c r="J202" s="9" t="n"/>
      <c r="K202" s="9" t="inlineStr">
        <is>
          <t>N/A</t>
        </is>
      </c>
      <c r="L202" s="100" t="n"/>
      <c r="M202" s="276" t="n"/>
      <c r="N202" s="326" t="n">
        <v>3</v>
      </c>
      <c r="O202" s="327" t="n"/>
      <c r="P202" s="326" t="n"/>
      <c r="Q202" s="326" t="n"/>
    </row>
    <row r="203" s="128">
      <c r="A203" s="63" t="n">
        <v>32979121</v>
      </c>
      <c r="B203" s="338" t="inlineStr">
        <is>
          <t>FINDING (NRC) TASKCARD 25-SVA-03 (01) / ITEM ONE ALL B/C SEAT LANYARD AND PIN - DETENT  MISSING</t>
        </is>
      </c>
      <c r="C203" s="68" t="n">
        <v>881</v>
      </c>
      <c r="D203" s="8" t="inlineStr">
        <is>
          <t>PAX SEAT</t>
        </is>
      </c>
      <c r="E203" s="9" t="inlineStr">
        <is>
          <t>Open</t>
        </is>
      </c>
      <c r="F203" s="9" t="inlineStr">
        <is>
          <t>Normal</t>
        </is>
      </c>
      <c r="G203" s="8" t="inlineStr">
        <is>
          <t>SEAT</t>
        </is>
      </c>
      <c r="H203" s="10" t="n"/>
      <c r="I203" s="339" t="n"/>
      <c r="J203" s="9" t="n"/>
      <c r="K203" s="9" t="inlineStr">
        <is>
          <t>N/A</t>
        </is>
      </c>
      <c r="L203" s="100" t="n"/>
      <c r="M203" s="276" t="n"/>
      <c r="N203" s="326" t="n">
        <v>12</v>
      </c>
      <c r="O203" s="327" t="n"/>
      <c r="P203" s="326" t="n"/>
      <c r="Q203" s="326" t="n"/>
    </row>
    <row r="204" s="128">
      <c r="A204" s="63" t="n">
        <v>32979157</v>
      </c>
      <c r="B204" s="338" t="inlineStr">
        <is>
          <t>FINDING (NRC) TASKCARD 25-SVA-03 (01) / ITEM ONE B/C SEAT# 1AC , 5AC SHROUD - CONSOLE, FRONT LOWER DAMAGED</t>
        </is>
      </c>
      <c r="C204" s="68" t="n">
        <v>882</v>
      </c>
      <c r="D204" s="8" t="inlineStr">
        <is>
          <t>PAX SEAT</t>
        </is>
      </c>
      <c r="E204" s="9" t="inlineStr">
        <is>
          <t>Open</t>
        </is>
      </c>
      <c r="F204" s="9" t="inlineStr">
        <is>
          <t>Normal</t>
        </is>
      </c>
      <c r="G204" s="8" t="inlineStr">
        <is>
          <t>SEAT</t>
        </is>
      </c>
      <c r="H204" s="10" t="n"/>
      <c r="I204" s="339" t="n"/>
      <c r="J204" s="9" t="n"/>
      <c r="K204" s="9" t="inlineStr">
        <is>
          <t>N/A</t>
        </is>
      </c>
      <c r="L204" s="100" t="n"/>
      <c r="M204" s="276" t="n"/>
      <c r="N204" s="326" t="n">
        <v>3</v>
      </c>
      <c r="O204" s="327" t="n"/>
      <c r="P204" s="326" t="n"/>
      <c r="Q204" s="326" t="n"/>
    </row>
    <row r="205" s="128">
      <c r="A205" s="63" t="n">
        <v>32979231</v>
      </c>
      <c r="B205" s="338" t="inlineStr">
        <is>
          <t>FINDING (NRC) TASKCARD 25-SVA-03 (01) / ITEM ONE B/C SEAT# 1C , 3J RUBSTRIP - FRONT DAMAGED</t>
        </is>
      </c>
      <c r="C205" s="68" t="n">
        <v>885</v>
      </c>
      <c r="D205" s="8" t="inlineStr">
        <is>
          <t>PAX SEAT</t>
        </is>
      </c>
      <c r="E205" s="9" t="inlineStr">
        <is>
          <t>Open</t>
        </is>
      </c>
      <c r="F205" s="9" t="inlineStr">
        <is>
          <t>Normal</t>
        </is>
      </c>
      <c r="G205" s="8" t="inlineStr">
        <is>
          <t>SEAT</t>
        </is>
      </c>
      <c r="H205" s="10" t="n"/>
      <c r="I205" s="339" t="n"/>
      <c r="J205" s="9" t="n"/>
      <c r="K205" s="9" t="inlineStr">
        <is>
          <t>N/A</t>
        </is>
      </c>
      <c r="L205" s="100" t="n"/>
      <c r="M205" s="276" t="n"/>
      <c r="N205" s="326" t="n">
        <v>2</v>
      </c>
      <c r="O205" s="327" t="n"/>
      <c r="P205" s="326" t="n"/>
      <c r="Q205" s="326" t="n"/>
    </row>
    <row r="206" s="128">
      <c r="A206" s="63" t="n">
        <v>32979530</v>
      </c>
      <c r="B206" s="338" t="inlineStr">
        <is>
          <t>FINDING (NRC) TASKCARD 25-65-00-01-0-SVA (02) / RII/AVN AFT MEGAPHONE P/N A12SA S/N 1142984 WILL EXPIRE 09 /10/ 2026 LESS THAN 80 DAYS</t>
        </is>
      </c>
      <c r="C206" s="68" t="n">
        <v>892</v>
      </c>
      <c r="D206" s="8" t="inlineStr">
        <is>
          <t>GENERAL CABIN</t>
        </is>
      </c>
      <c r="E206" s="9" t="inlineStr">
        <is>
          <t>Open</t>
        </is>
      </c>
      <c r="F206" s="9" t="inlineStr">
        <is>
          <t>Normal</t>
        </is>
      </c>
      <c r="G206" s="8" t="inlineStr">
        <is>
          <t>AV</t>
        </is>
      </c>
      <c r="H206" s="10" t="n"/>
      <c r="I206" s="339" t="n"/>
      <c r="J206" s="9" t="n"/>
      <c r="K206" s="9" t="inlineStr">
        <is>
          <t>AFT</t>
        </is>
      </c>
      <c r="L206" s="100" t="n"/>
      <c r="M206" s="276" t="n"/>
      <c r="N206" s="327" t="n"/>
      <c r="O206" s="327" t="n"/>
      <c r="P206" s="326" t="n"/>
      <c r="Q206" s="326" t="n"/>
    </row>
    <row r="207" s="128">
      <c r="A207" s="63" t="n">
        <v>32979557</v>
      </c>
      <c r="B207" s="338" t="inlineStr">
        <is>
          <t>FINDING (NRC) TASKCARD 25-65-00-01-0-SVA-001 /RII/CABIN AFT BOTH FIRST  AID KIT WILL EXPIRE ON 06/2026 LESS THAN 6 MONTH</t>
        </is>
      </c>
      <c r="C207" s="68" t="n">
        <v>893</v>
      </c>
      <c r="D207" s="8" t="inlineStr">
        <is>
          <t>GENERAL CABIN</t>
        </is>
      </c>
      <c r="E207" s="9" t="inlineStr">
        <is>
          <t>Open</t>
        </is>
      </c>
      <c r="F207" s="9" t="inlineStr">
        <is>
          <t>Normal</t>
        </is>
      </c>
      <c r="G207" s="8" t="inlineStr">
        <is>
          <t>CAB</t>
        </is>
      </c>
      <c r="H207" s="10" t="n"/>
      <c r="I207" s="339" t="n"/>
      <c r="J207" s="9" t="n"/>
      <c r="K207" s="9" t="inlineStr">
        <is>
          <t>AFT</t>
        </is>
      </c>
      <c r="L207" s="100" t="n"/>
      <c r="M207" s="276" t="n"/>
      <c r="N207" s="327" t="n"/>
      <c r="O207" s="327" t="n"/>
      <c r="P207" s="326" t="n"/>
      <c r="Q207" s="326" t="n"/>
    </row>
    <row r="208" s="128">
      <c r="A208" s="63" t="n">
        <v>32979661</v>
      </c>
      <c r="B208" s="338" t="inlineStr">
        <is>
          <t>FINDING (NRC) TASKCARD 353000-07-1 /CABIN/ NO CALLBACK PORTABLE OXYGEN MASK BEHIND SEAT 5 J WILL EXPIRE ON 09/2026</t>
        </is>
      </c>
      <c r="C208" s="68" t="n">
        <v>894</v>
      </c>
      <c r="D208" s="8" t="inlineStr">
        <is>
          <t>GENERAL CABIN</t>
        </is>
      </c>
      <c r="E208" s="9" t="inlineStr">
        <is>
          <t>Open</t>
        </is>
      </c>
      <c r="F208" s="9" t="inlineStr">
        <is>
          <t>Normal</t>
        </is>
      </c>
      <c r="G208" s="8" t="inlineStr">
        <is>
          <t>CAB</t>
        </is>
      </c>
      <c r="H208" s="10" t="n"/>
      <c r="I208" s="339" t="n"/>
      <c r="J208" s="9" t="n"/>
      <c r="K208" s="9" t="inlineStr">
        <is>
          <t>FWD</t>
        </is>
      </c>
      <c r="L208" s="100" t="n"/>
      <c r="M208" s="276" t="n"/>
      <c r="N208" s="327" t="n"/>
      <c r="O208" s="327" t="n"/>
      <c r="P208" s="326" t="n"/>
      <c r="Q208" s="326" t="n"/>
    </row>
    <row r="209" s="128">
      <c r="A209" s="63" t="n">
        <v>32979981</v>
      </c>
      <c r="B209" s="338" t="inlineStr">
        <is>
          <t>FINDING (NRC) TASKCARD 25-SVA-05 (01) / ITEM ONE ALL G/C SEAT MAGAZINE SPRING LOOSE</t>
        </is>
      </c>
      <c r="C209" s="68" t="n">
        <v>897</v>
      </c>
      <c r="D209" s="8" t="inlineStr">
        <is>
          <t>PAX SEAT</t>
        </is>
      </c>
      <c r="E209" s="9" t="inlineStr">
        <is>
          <t>Open</t>
        </is>
      </c>
      <c r="F209" s="9" t="inlineStr">
        <is>
          <t>Normal</t>
        </is>
      </c>
      <c r="G209" s="8" t="inlineStr">
        <is>
          <t>SEAT</t>
        </is>
      </c>
      <c r="H209" s="10" t="n"/>
      <c r="I209" s="339" t="n"/>
      <c r="J209" s="9" t="n"/>
      <c r="K209" s="9" t="inlineStr">
        <is>
          <t>N/A</t>
        </is>
      </c>
      <c r="L209" s="100" t="n"/>
      <c r="M209" s="276" t="n"/>
      <c r="N209" s="326" t="n">
        <v>24</v>
      </c>
      <c r="O209" s="327" t="n"/>
      <c r="P209" s="326" t="n">
        <v>22</v>
      </c>
      <c r="Q209" s="326" t="n">
        <v>25.2</v>
      </c>
    </row>
    <row r="210" s="128">
      <c r="A210" s="63" t="n">
        <v>32980018</v>
      </c>
      <c r="B210" s="338" t="inlineStr">
        <is>
          <t>FINDING (NRC) TASKCARD 25-SVA-05 (01) / ITEM ONE ALL G/C SEAT STRUCTURE DIRTY</t>
        </is>
      </c>
      <c r="C210" s="68" t="n">
        <v>898</v>
      </c>
      <c r="D210" s="8" t="inlineStr">
        <is>
          <t>PAX SEAT</t>
        </is>
      </c>
      <c r="E210" s="9" t="inlineStr">
        <is>
          <t>Open</t>
        </is>
      </c>
      <c r="F210" s="9" t="inlineStr">
        <is>
          <t>Normal</t>
        </is>
      </c>
      <c r="G210" s="8" t="inlineStr">
        <is>
          <t>SEAT</t>
        </is>
      </c>
      <c r="H210" s="10" t="n"/>
      <c r="I210" s="339" t="n"/>
      <c r="J210" s="9" t="n"/>
      <c r="K210" s="9" t="inlineStr">
        <is>
          <t>N/A</t>
        </is>
      </c>
      <c r="L210" s="100" t="n"/>
      <c r="M210" s="276" t="n"/>
      <c r="N210" s="326" t="n">
        <v>24</v>
      </c>
      <c r="O210" s="327" t="n"/>
      <c r="P210" s="326" t="n">
        <v>24</v>
      </c>
      <c r="Q210" s="326" t="n">
        <v>25.2</v>
      </c>
    </row>
    <row r="211" s="128">
      <c r="A211" s="63" t="n">
        <v>32980020</v>
      </c>
      <c r="B211" s="338" t="inlineStr">
        <is>
          <t>FINDING (NRC) TASKCARD 25-SVA-05 (01) / ITEM ONE ALL G/C SEAT ARMREST LOOSE</t>
        </is>
      </c>
      <c r="C211" s="68" t="n">
        <v>899</v>
      </c>
      <c r="D211" s="8" t="inlineStr">
        <is>
          <t>PAX SEAT</t>
        </is>
      </c>
      <c r="E211" s="9" t="inlineStr">
        <is>
          <t>Open</t>
        </is>
      </c>
      <c r="F211" s="9" t="inlineStr">
        <is>
          <t>Normal</t>
        </is>
      </c>
      <c r="G211" s="8" t="inlineStr">
        <is>
          <t>SEAT</t>
        </is>
      </c>
      <c r="H211" s="10" t="n"/>
      <c r="I211" s="339" t="n"/>
      <c r="J211" s="9" t="n"/>
      <c r="K211" s="9" t="inlineStr">
        <is>
          <t>N/A</t>
        </is>
      </c>
      <c r="L211" s="100" t="n"/>
      <c r="M211" s="276" t="n"/>
      <c r="N211" s="326" t="n">
        <v>12</v>
      </c>
      <c r="O211" s="327" t="n"/>
      <c r="P211" s="326" t="n"/>
      <c r="Q211" s="326" t="n"/>
    </row>
    <row r="212" s="128">
      <c r="A212" s="63" t="n">
        <v>32980022</v>
      </c>
      <c r="B212" s="338" t="inlineStr">
        <is>
          <t>FINDING (NRC) TASKCARD 25-SVA-05 (01) / ITEM ONE ALL G/C SEAT HEADREST REQUIRE REMOVE FOR ACCESS</t>
        </is>
      </c>
      <c r="C212" s="68" t="n">
        <v>900</v>
      </c>
      <c r="D212" s="8" t="inlineStr">
        <is>
          <t>PAX SEAT</t>
        </is>
      </c>
      <c r="E212" s="9" t="inlineStr">
        <is>
          <t>Open</t>
        </is>
      </c>
      <c r="F212" s="9" t="inlineStr">
        <is>
          <t>Normal</t>
        </is>
      </c>
      <c r="G212" s="8" t="inlineStr">
        <is>
          <t>SEAT</t>
        </is>
      </c>
      <c r="H212" s="10" t="n"/>
      <c r="I212" s="339" t="n"/>
      <c r="J212" s="9" t="n"/>
      <c r="K212" s="9" t="inlineStr">
        <is>
          <t>N/A</t>
        </is>
      </c>
      <c r="L212" s="100" t="n"/>
      <c r="M212" s="276" t="n"/>
      <c r="N212" s="326" t="n">
        <v>6</v>
      </c>
      <c r="O212" s="327" t="n"/>
      <c r="P212" s="326" t="n"/>
      <c r="Q212" s="326" t="n"/>
    </row>
    <row r="213" s="128">
      <c r="A213" s="63" t="n">
        <v>81172702</v>
      </c>
      <c r="B213" s="338" t="inlineStr">
        <is>
          <t>IFE REMOTE CONTROL VHS REMOTE CONTROL FOR 1L IS BROKEN  BY CREW: 11013005</t>
        </is>
      </c>
      <c r="C213" s="68" t="n">
        <v>905</v>
      </c>
      <c r="D213" s="8" t="inlineStr">
        <is>
          <t>GENERAL CABIN</t>
        </is>
      </c>
      <c r="E213" s="9" t="inlineStr">
        <is>
          <t>Open</t>
        </is>
      </c>
      <c r="F213" s="9" t="inlineStr">
        <is>
          <t>Normal</t>
        </is>
      </c>
      <c r="G213" s="8" t="inlineStr">
        <is>
          <t>AV</t>
        </is>
      </c>
      <c r="H213" s="10" t="n"/>
      <c r="I213" s="339" t="n"/>
      <c r="J213" s="9" t="n"/>
      <c r="K213" s="9" t="inlineStr">
        <is>
          <t>N/A</t>
        </is>
      </c>
      <c r="L213" s="100" t="n"/>
      <c r="M213" s="276" t="n"/>
      <c r="N213" s="327" t="n"/>
      <c r="O213" s="327" t="n"/>
      <c r="P213" s="326" t="n">
        <v>3.5</v>
      </c>
      <c r="Q213" s="326" t="n">
        <v>428.3</v>
      </c>
    </row>
    <row r="214" s="128">
      <c r="A214" s="63" t="n">
        <v>28611923</v>
      </c>
      <c r="B214" s="338" t="inlineStr">
        <is>
          <t>S25-R10381/HZ-ASD - FWD GALLEY COMP 104 WORKDECK BULGING REPEAT INSPECTION</t>
        </is>
      </c>
      <c r="C214" s="68" t="n">
        <v>918</v>
      </c>
      <c r="D214" s="8" t="inlineStr">
        <is>
          <t>GALLEY</t>
        </is>
      </c>
      <c r="E214" s="9" t="inlineStr">
        <is>
          <t>Open</t>
        </is>
      </c>
      <c r="F214" s="9" t="inlineStr">
        <is>
          <t>Normal</t>
        </is>
      </c>
      <c r="G214" s="8" t="inlineStr">
        <is>
          <t>CAB</t>
        </is>
      </c>
      <c r="H214" s="10" t="n"/>
      <c r="I214" s="339" t="n"/>
      <c r="J214" s="9" t="n"/>
      <c r="K214" s="9" t="n"/>
      <c r="L214" s="100" t="n"/>
      <c r="M214" s="276" t="n"/>
      <c r="N214" s="326" t="n">
        <v>1.5</v>
      </c>
      <c r="O214" s="327" t="n"/>
      <c r="P214" s="326" t="n"/>
      <c r="Q214" s="326" t="n"/>
    </row>
    <row r="215" s="128">
      <c r="A215" s="63" t="n">
        <v>32930830</v>
      </c>
      <c r="B215" s="338" t="inlineStr">
        <is>
          <t>S38-D10019/A320/21 - VERIFICATION OF WATER-HEATER; LAVATORY</t>
        </is>
      </c>
      <c r="C215" s="68" t="n">
        <v>925</v>
      </c>
      <c r="D215" s="8" t="inlineStr">
        <is>
          <t>GENERAL CABIN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CAB</t>
        </is>
      </c>
      <c r="H215" s="10" t="n"/>
      <c r="I215" s="339" t="n"/>
      <c r="J215" s="9" t="n"/>
      <c r="K215" s="9" t="n"/>
      <c r="L215" s="100" t="n">
        <v>46224</v>
      </c>
      <c r="M215" s="276" t="n">
        <v>46222</v>
      </c>
      <c r="N215" s="326" t="n">
        <v>2</v>
      </c>
      <c r="O215" s="327" t="n"/>
      <c r="P215" s="326" t="n">
        <v>4</v>
      </c>
      <c r="Q215" s="326" t="n">
        <v>6</v>
      </c>
    </row>
    <row r="216" s="128">
      <c r="A216" s="63" t="n">
        <v>32980026</v>
      </c>
      <c r="B216" s="338" t="inlineStr">
        <is>
          <t>FINDING (NRC) TASKCARD 25-SVA-05 (01) / ITEM ONE ALL G/C SEATS FOODTRAY DIRTY</t>
        </is>
      </c>
      <c r="C216" s="68" t="n">
        <v>926</v>
      </c>
      <c r="D216" s="8" t="inlineStr">
        <is>
          <t>PAX SEAT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SEAT</t>
        </is>
      </c>
      <c r="H216" s="10" t="n"/>
      <c r="I216" s="339" t="n"/>
      <c r="J216" s="9" t="n"/>
      <c r="K216" s="9" t="n"/>
      <c r="L216" s="100" t="n"/>
      <c r="M216" s="276" t="n"/>
      <c r="N216" s="326" t="n">
        <v>24</v>
      </c>
      <c r="O216" s="327" t="n"/>
      <c r="P216" s="326" t="n"/>
      <c r="Q216" s="326" t="n"/>
    </row>
    <row r="217" s="128">
      <c r="A217" s="63" t="n">
        <v>32980031</v>
      </c>
      <c r="B217" s="338" t="inlineStr">
        <is>
          <t>FINDING (NRC) TASKCARD 25-SVA-05 (01) / ITEM ONE G/C SEATS #30C LINER CRACKED</t>
        </is>
      </c>
      <c r="C217" s="68" t="n">
        <v>927</v>
      </c>
      <c r="D217" s="8" t="inlineStr">
        <is>
          <t>PAX SEAT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SEAT</t>
        </is>
      </c>
      <c r="H217" s="10" t="n"/>
      <c r="I217" s="339" t="n"/>
      <c r="J217" s="9" t="n"/>
      <c r="K217" s="9" t="n"/>
      <c r="L217" s="100" t="n"/>
      <c r="M217" s="276" t="n"/>
      <c r="N217" s="326" t="n">
        <v>1</v>
      </c>
      <c r="O217" s="327" t="n"/>
      <c r="P217" s="326" t="n"/>
      <c r="Q217" s="326" t="n"/>
    </row>
    <row r="218" s="128">
      <c r="A218" s="63" t="n">
        <v>32980070</v>
      </c>
      <c r="B218" s="338" t="inlineStr">
        <is>
          <t>FINDING (NRC) TASKCARD 25-SVA-05 (01) / ITEM ONE G/C SEATS#30A,B,C,J,K,L  FOOD TRAY DIRTEY</t>
        </is>
      </c>
      <c r="C218" s="68" t="n">
        <v>933</v>
      </c>
      <c r="D218" s="8" t="inlineStr">
        <is>
          <t>PAX SEAT</t>
        </is>
      </c>
      <c r="E218" s="9" t="inlineStr">
        <is>
          <t>Open</t>
        </is>
      </c>
      <c r="F218" s="9" t="inlineStr">
        <is>
          <t>Normal</t>
        </is>
      </c>
      <c r="G218" s="8" t="inlineStr">
        <is>
          <t>SEAT</t>
        </is>
      </c>
      <c r="H218" s="10" t="n"/>
      <c r="I218" s="339" t="n"/>
      <c r="J218" s="9" t="n"/>
      <c r="K218" s="9" t="n"/>
      <c r="L218" s="100" t="n"/>
      <c r="M218" s="276" t="n"/>
      <c r="N218" s="326" t="n">
        <v>6</v>
      </c>
      <c r="O218" s="327" t="n"/>
      <c r="P218" s="326" t="n"/>
      <c r="Q218" s="326" t="n"/>
    </row>
    <row r="219" s="128">
      <c r="A219" s="63" t="n">
        <v>32980087</v>
      </c>
      <c r="B219" s="338" t="inlineStr">
        <is>
          <t>FINDING (NRC) TASKCARD 25-SVA-05 (01) / ITEM ONE G/C SEATS# 33J, 34C,J ,37C, 38C, 40C, 41J AISLE BUMBER DAMAGE</t>
        </is>
      </c>
      <c r="C219" s="68" t="n">
        <v>940</v>
      </c>
      <c r="D219" s="8" t="inlineStr">
        <is>
          <t>PAX SEAT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SEAT</t>
        </is>
      </c>
      <c r="H219" s="10" t="n"/>
      <c r="I219" s="339" t="n"/>
      <c r="J219" s="9" t="n"/>
      <c r="K219" s="9" t="n"/>
      <c r="L219" s="100" t="n"/>
      <c r="M219" s="276" t="n"/>
      <c r="N219" s="326" t="n">
        <v>3.5</v>
      </c>
      <c r="O219" s="327" t="n"/>
      <c r="P219" s="326" t="n"/>
      <c r="Q219" s="326" t="n"/>
    </row>
    <row r="220" s="128">
      <c r="A220" s="63" t="n">
        <v>32980133</v>
      </c>
      <c r="B220" s="338" t="inlineStr">
        <is>
          <t>FINDING (NRC) TASKCARD 25-SVA-05 (01) / ITEM ONE ALL G/C SEATS BACKREST LOOSE</t>
        </is>
      </c>
      <c r="C220" s="68" t="n">
        <v>942</v>
      </c>
      <c r="D220" s="8" t="inlineStr">
        <is>
          <t>PAX SEAT</t>
        </is>
      </c>
      <c r="E220" s="9" t="inlineStr">
        <is>
          <t>Open</t>
        </is>
      </c>
      <c r="F220" s="9" t="inlineStr">
        <is>
          <t>Normal</t>
        </is>
      </c>
      <c r="G220" s="8" t="inlineStr">
        <is>
          <t>SEAT</t>
        </is>
      </c>
      <c r="H220" s="10" t="n"/>
      <c r="I220" s="339" t="n"/>
      <c r="J220" s="9" t="n"/>
      <c r="K220" s="9" t="n"/>
      <c r="L220" s="100" t="n"/>
      <c r="M220" s="276" t="n"/>
      <c r="N220" s="326" t="n">
        <v>16</v>
      </c>
      <c r="O220" s="327" t="n"/>
      <c r="P220" s="326" t="n">
        <v>16</v>
      </c>
      <c r="Q220" s="326" t="n">
        <v>25.2</v>
      </c>
    </row>
    <row r="221" s="128">
      <c r="A221" s="63" t="inlineStr">
        <is>
          <t>44-SVA-01</t>
        </is>
      </c>
      <c r="B221" s="338" t="inlineStr">
        <is>
          <t>44-SVA-01 (01) / PANASONIC LEVEL 1 CHECK</t>
        </is>
      </c>
      <c r="C221" s="68" t="n">
        <v>943</v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AV</t>
        </is>
      </c>
      <c r="H221" s="10" t="n"/>
      <c r="I221" s="339" t="n"/>
      <c r="J221" s="9" t="n"/>
      <c r="K221" s="9" t="n"/>
      <c r="L221" s="100" t="n"/>
      <c r="M221" s="276" t="n"/>
      <c r="N221" s="326" t="n">
        <v>1.5</v>
      </c>
      <c r="O221" s="327" t="n"/>
      <c r="P221" s="326" t="n"/>
      <c r="Q221" s="326" t="n"/>
    </row>
    <row r="222" s="128">
      <c r="A222" s="63" t="n">
        <v>32917899</v>
      </c>
      <c r="B222" s="338" t="inlineStr">
        <is>
          <t>ISC/IN SERVCE CHECK_N</t>
        </is>
      </c>
      <c r="C222" s="68" t="n">
        <v>944</v>
      </c>
      <c r="D222" s="8" t="inlineStr">
        <is>
          <t>ACFT GENERAL T/C</t>
        </is>
      </c>
      <c r="E222" s="9" t="inlineStr">
        <is>
          <t>Open</t>
        </is>
      </c>
      <c r="F222" s="9" t="inlineStr">
        <is>
          <t>Normal</t>
        </is>
      </c>
      <c r="G222" s="8" t="inlineStr">
        <is>
          <t>AP</t>
        </is>
      </c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>
        <v>32420054</v>
      </c>
      <c r="B223" s="338" t="inlineStr">
        <is>
          <t>W_N/WEEKLY CHECK</t>
        </is>
      </c>
      <c r="C223" s="68" t="n">
        <v>945</v>
      </c>
      <c r="D223" s="8" t="inlineStr">
        <is>
          <t>ACFT GENERAL T/C</t>
        </is>
      </c>
      <c r="E223" s="9" t="inlineStr">
        <is>
          <t>Open</t>
        </is>
      </c>
      <c r="F223" s="9" t="inlineStr">
        <is>
          <t>Normal</t>
        </is>
      </c>
      <c r="G223" s="8" t="inlineStr">
        <is>
          <t>AP</t>
        </is>
      </c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>
        <v>32980135</v>
      </c>
      <c r="B224" s="338" t="inlineStr">
        <is>
          <t>FINDING (NRC) TASKCARD 25-SVA-05 (01) / ITEM ONE G/C SEAT#30L ARM MONITOR LOOSE</t>
        </is>
      </c>
      <c r="C224" s="68" t="n">
        <v>946</v>
      </c>
      <c r="D224" s="8" t="inlineStr">
        <is>
          <t>PAX SEAT</t>
        </is>
      </c>
      <c r="E224" s="9" t="inlineStr">
        <is>
          <t>Open</t>
        </is>
      </c>
      <c r="F224" s="9" t="inlineStr">
        <is>
          <t>Normal</t>
        </is>
      </c>
      <c r="G224" s="8" t="inlineStr">
        <is>
          <t>SEAT</t>
        </is>
      </c>
      <c r="H224" s="10" t="n"/>
      <c r="I224" s="339" t="n"/>
      <c r="J224" s="9" t="n"/>
      <c r="K224" s="9" t="n"/>
      <c r="L224" s="100" t="n"/>
      <c r="M224" s="276" t="n"/>
      <c r="N224" s="326" t="n">
        <v>2</v>
      </c>
      <c r="O224" s="327" t="n"/>
      <c r="P224" s="326" t="n"/>
      <c r="Q224" s="326" t="n"/>
    </row>
    <row r="225" s="128">
      <c r="A225" s="63" t="inlineStr">
        <is>
          <t>ISC-32S</t>
        </is>
      </c>
      <c r="B225" s="338" t="inlineStr">
        <is>
          <t>ISC-32S (14) / 32S IN-SERVEICE-CHECK (ISC)</t>
        </is>
      </c>
      <c r="C225" s="68" t="n">
        <v>947</v>
      </c>
      <c r="D225" s="8" t="inlineStr">
        <is>
          <t>ACFT GENERAL T/C</t>
        </is>
      </c>
      <c r="E225" s="9" t="inlineStr">
        <is>
          <t>Open</t>
        </is>
      </c>
      <c r="F225" s="9" t="inlineStr">
        <is>
          <t>Normal</t>
        </is>
      </c>
      <c r="G225" s="8" t="inlineStr">
        <is>
          <t>AP</t>
        </is>
      </c>
      <c r="H225" s="10" t="n"/>
      <c r="I225" s="339" t="n"/>
      <c r="J225" s="9" t="n"/>
      <c r="K225" s="9" t="n"/>
      <c r="L225" s="100" t="n"/>
      <c r="M225" s="276" t="n"/>
      <c r="N225" s="326" t="n">
        <v>2.8</v>
      </c>
      <c r="O225" s="327" t="n"/>
      <c r="P225" s="326" t="n"/>
      <c r="Q225" s="326" t="n"/>
    </row>
    <row r="226" s="128">
      <c r="A226" s="63" t="inlineStr">
        <is>
          <t>WEEKLY-32S</t>
        </is>
      </c>
      <c r="B226" s="338" t="inlineStr">
        <is>
          <t>WEEKLY-32S (05) / WEEKLY 32S CHECK</t>
        </is>
      </c>
      <c r="C226" s="68" t="n">
        <v>948</v>
      </c>
      <c r="D226" s="8" t="inlineStr">
        <is>
          <t>ACFT GENERAL T/C</t>
        </is>
      </c>
      <c r="E226" s="9" t="inlineStr">
        <is>
          <t>Open</t>
        </is>
      </c>
      <c r="F226" s="9" t="inlineStr">
        <is>
          <t>Normal</t>
        </is>
      </c>
      <c r="G226" s="8" t="inlineStr">
        <is>
          <t>AP</t>
        </is>
      </c>
      <c r="H226" s="10" t="n"/>
      <c r="I226" s="339" t="n"/>
      <c r="J226" s="9" t="n"/>
      <c r="K226" s="9" t="n"/>
      <c r="L226" s="100" t="n"/>
      <c r="M226" s="276" t="n"/>
      <c r="N226" s="326" t="n">
        <v>5.9</v>
      </c>
      <c r="O226" s="327" t="n"/>
      <c r="P226" s="326" t="n"/>
      <c r="Q226" s="326" t="n"/>
    </row>
    <row r="227" s="128">
      <c r="A227" s="63" t="n">
        <v>32981647</v>
      </c>
      <c r="B227" s="338" t="inlineStr">
        <is>
          <t>AFT R/H PAX/CREW DOOR---CAB---NO CALLBACK DURING INSP, FOUND AFT R/H PAX/CREW DOOR SEAL DUSTY</t>
        </is>
      </c>
      <c r="C227" s="68" t="n">
        <v>956</v>
      </c>
      <c r="D227" s="8" t="inlineStr">
        <is>
          <t>GENERAL CABIN</t>
        </is>
      </c>
      <c r="E227" s="9" t="inlineStr">
        <is>
          <t>Open</t>
        </is>
      </c>
      <c r="F227" s="9" t="inlineStr">
        <is>
          <t>Normal</t>
        </is>
      </c>
      <c r="G227" s="8" t="inlineStr">
        <is>
          <t>CAB</t>
        </is>
      </c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>
        <v>32981683</v>
      </c>
      <c r="B228" s="338" t="inlineStr">
        <is>
          <t>FINDING (NRC) TASKCARD 25-SVA-03 (01) / ITEM ONE B/C SEAT#1A,L, AND 4A, SHROUD/VELCRO ASSEMBLY DAMAGED.</t>
        </is>
      </c>
      <c r="C228" s="68" t="n">
        <v>957</v>
      </c>
      <c r="D228" s="8" t="inlineStr">
        <is>
          <t>PAX SEAT</t>
        </is>
      </c>
      <c r="E228" s="9" t="inlineStr">
        <is>
          <t>Open</t>
        </is>
      </c>
      <c r="F228" s="9" t="inlineStr">
        <is>
          <t>Normal</t>
        </is>
      </c>
      <c r="G228" s="8" t="inlineStr">
        <is>
          <t>SEAT</t>
        </is>
      </c>
      <c r="H228" s="10" t="n"/>
      <c r="I228" s="339" t="n"/>
      <c r="J228" s="9" t="n"/>
      <c r="K228" s="9" t="n"/>
      <c r="L228" s="100" t="n"/>
      <c r="M228" s="276" t="n"/>
      <c r="N228" s="326" t="n">
        <v>3</v>
      </c>
      <c r="O228" s="327" t="n"/>
      <c r="P228" s="326" t="n"/>
      <c r="Q228" s="326" t="n"/>
    </row>
    <row r="229" s="128">
      <c r="A229" s="63" t="n">
        <v>32981716</v>
      </c>
      <c r="B229" s="338" t="inlineStr">
        <is>
          <t>FINDING (NRC) TASKCARD 25-SVA-03 (01) / ITEM ONE B/C SEAT#2L, 4L, COVER - ARM SHROUD MISSING.</t>
        </is>
      </c>
      <c r="C229" s="68" t="n">
        <v>958</v>
      </c>
      <c r="D229" s="8" t="inlineStr">
        <is>
          <t>PAX SEAT</t>
        </is>
      </c>
      <c r="E229" s="9" t="inlineStr">
        <is>
          <t>Open</t>
        </is>
      </c>
      <c r="F229" s="9" t="inlineStr">
        <is>
          <t>Normal</t>
        </is>
      </c>
      <c r="G229" s="8" t="inlineStr">
        <is>
          <t>SEAT</t>
        </is>
      </c>
      <c r="H229" s="10" t="n"/>
      <c r="I229" s="339" t="n"/>
      <c r="J229" s="9" t="n"/>
      <c r="K229" s="9" t="n"/>
      <c r="L229" s="100" t="n"/>
      <c r="M229" s="276" t="n"/>
      <c r="N229" s="326" t="n">
        <v>2</v>
      </c>
      <c r="O229" s="327" t="n"/>
      <c r="P229" s="326" t="n"/>
      <c r="Q229" s="326" t="n"/>
    </row>
    <row r="230" s="128">
      <c r="A230" s="63" t="n">
        <v>32981721</v>
      </c>
      <c r="B230" s="338" t="inlineStr">
        <is>
          <t>FINDING (NRC) TASKCARD 25-SVA-03 (01) / ITEM ONE B/C SEAT#1L, 2A,C, 3L, 4L, 5A, SEAT CLOSEOUT ASSEMBLY DAMAGED.</t>
        </is>
      </c>
      <c r="C230" s="68" t="n">
        <v>959</v>
      </c>
      <c r="D230" s="8" t="inlineStr">
        <is>
          <t>PAX SEAT</t>
        </is>
      </c>
      <c r="E230" s="9" t="inlineStr">
        <is>
          <t>Open</t>
        </is>
      </c>
      <c r="F230" s="9" t="inlineStr">
        <is>
          <t>Normal</t>
        </is>
      </c>
      <c r="G230" s="8" t="inlineStr">
        <is>
          <t>SEAT</t>
        </is>
      </c>
      <c r="H230" s="10" t="n"/>
      <c r="I230" s="339" t="n"/>
      <c r="J230" s="9" t="n"/>
      <c r="K230" s="9" t="n"/>
      <c r="L230" s="100" t="n"/>
      <c r="M230" s="276" t="n"/>
      <c r="N230" s="326" t="n">
        <v>6</v>
      </c>
      <c r="O230" s="327" t="n"/>
      <c r="P230" s="326" t="n"/>
      <c r="Q230" s="326" t="n"/>
    </row>
    <row r="231" s="128">
      <c r="A231" s="63" t="n">
        <v>32981726</v>
      </c>
      <c r="B231" s="338" t="inlineStr">
        <is>
          <t>FINDING (NRC) TASKCARD 25-SVA-03 (01) / ITEM ONE B/C SEAT# 1J, 2J, 3C, 4A,C,  5A,C,J,  LATCH - BACK MISSING</t>
        </is>
      </c>
      <c r="C231" s="68" t="n">
        <v>960</v>
      </c>
      <c r="D231" s="8" t="inlineStr">
        <is>
          <t>PAX SEAT</t>
        </is>
      </c>
      <c r="E231" s="9" t="inlineStr">
        <is>
          <t>Open</t>
        </is>
      </c>
      <c r="F231" s="9" t="inlineStr">
        <is>
          <t>Normal</t>
        </is>
      </c>
      <c r="G231" s="8" t="inlineStr">
        <is>
          <t>SEAT</t>
        </is>
      </c>
      <c r="H231" s="10" t="n"/>
      <c r="I231" s="339" t="n"/>
      <c r="J231" s="9" t="n"/>
      <c r="K231" s="9" t="n"/>
      <c r="L231" s="100" t="n"/>
      <c r="M231" s="276" t="n"/>
      <c r="N231" s="326" t="n">
        <v>6</v>
      </c>
      <c r="O231" s="327" t="n"/>
      <c r="P231" s="326" t="n"/>
      <c r="Q231" s="326" t="n"/>
    </row>
    <row r="232" s="128">
      <c r="A232" s="63" t="n">
        <v>32981754</v>
      </c>
      <c r="B232" s="338" t="inlineStr">
        <is>
          <t>FINDING (NRC) TASKCARD 25-SVA-03 (01) / ITEM ONE B/C SEAT# 1L, 3L, 4A, 5A,C LIFE VEST DOOR, DUAL PAWL ASSEMBLY - NON LOCKABLE DAMAGED.</t>
        </is>
      </c>
      <c r="C232" s="68" t="n">
        <v>961</v>
      </c>
      <c r="D232" s="8" t="inlineStr">
        <is>
          <t>PAX SEAT</t>
        </is>
      </c>
      <c r="E232" s="9" t="inlineStr">
        <is>
          <t>Open</t>
        </is>
      </c>
      <c r="F232" s="9" t="inlineStr">
        <is>
          <t>Normal</t>
        </is>
      </c>
      <c r="G232" s="8" t="inlineStr">
        <is>
          <t>SEAT</t>
        </is>
      </c>
      <c r="H232" s="10" t="n"/>
      <c r="I232" s="339" t="n"/>
      <c r="J232" s="9" t="n"/>
      <c r="K232" s="9" t="n"/>
      <c r="L232" s="100" t="n"/>
      <c r="M232" s="276" t="n"/>
      <c r="N232" s="326" t="n">
        <v>5</v>
      </c>
      <c r="O232" s="327" t="n"/>
      <c r="P232" s="326" t="n"/>
      <c r="Q232" s="326" t="n"/>
    </row>
    <row r="233" s="128">
      <c r="A233" s="63" t="n">
        <v>32981772</v>
      </c>
      <c r="B233" s="338" t="inlineStr">
        <is>
          <t>FINDING (NRC) TASKCARD 25-SVA-03 (01) / ITEM ONE B/C SEAT#2A, 4J  PANEL ASSEMBLY - ACCESS DAMAGED.</t>
        </is>
      </c>
      <c r="C233" s="68" t="n">
        <v>962</v>
      </c>
      <c r="D233" s="8" t="inlineStr">
        <is>
          <t>PAX SEAT</t>
        </is>
      </c>
      <c r="E233" s="9" t="inlineStr">
        <is>
          <t>Open</t>
        </is>
      </c>
      <c r="F233" s="9" t="inlineStr">
        <is>
          <t>Normal</t>
        </is>
      </c>
      <c r="G233" s="8" t="inlineStr">
        <is>
          <t>SEAT</t>
        </is>
      </c>
      <c r="H233" s="10" t="n"/>
      <c r="I233" s="339" t="n"/>
      <c r="J233" s="9" t="n"/>
      <c r="K233" s="9" t="n"/>
      <c r="L233" s="100" t="n"/>
      <c r="M233" s="276" t="n"/>
      <c r="N233" s="326" t="n">
        <v>2</v>
      </c>
      <c r="O233" s="327" t="n"/>
      <c r="P233" s="326" t="n"/>
      <c r="Q233" s="326" t="n"/>
    </row>
    <row r="234" s="128">
      <c r="A234" s="63" t="n">
        <v>32981774</v>
      </c>
      <c r="B234" s="338" t="inlineStr">
        <is>
          <t>FINDING (NRC) TASKCARD 25-SVA-03 (01) / ITEM ONE B/C SEAT#3JL COCKTAIL TABLE ASSEMBLY  WITH SCRATCH.</t>
        </is>
      </c>
      <c r="C234" s="68" t="n">
        <v>963</v>
      </c>
      <c r="D234" s="8" t="inlineStr">
        <is>
          <t>PAX SEAT</t>
        </is>
      </c>
      <c r="E234" s="9" t="inlineStr">
        <is>
          <t>Open</t>
        </is>
      </c>
      <c r="F234" s="9" t="inlineStr">
        <is>
          <t>Normal</t>
        </is>
      </c>
      <c r="G234" s="8" t="inlineStr">
        <is>
          <t>SEAT</t>
        </is>
      </c>
      <c r="H234" s="10" t="n"/>
      <c r="I234" s="339" t="n"/>
      <c r="J234" s="9" t="n"/>
      <c r="K234" s="9" t="n"/>
      <c r="L234" s="100" t="n"/>
      <c r="M234" s="276" t="n"/>
      <c r="N234" s="326" t="n">
        <v>2</v>
      </c>
      <c r="O234" s="327" t="n"/>
      <c r="P234" s="326" t="n"/>
      <c r="Q234" s="326" t="n"/>
    </row>
    <row r="235" s="128">
      <c r="A235" s="63" t="n">
        <v>32981816</v>
      </c>
      <c r="B235" s="338" t="inlineStr">
        <is>
          <t>FINDING (NRC) TASKCARD 25-SVA-03 (01) / ITEM ONE B/C SEAT#1J, 2A,L, 4A, 5J, SHROUD - CONSOLE SIDE DAMAGED.</t>
        </is>
      </c>
      <c r="C235" s="68" t="n">
        <v>964</v>
      </c>
      <c r="D235" s="8" t="inlineStr">
        <is>
          <t>PAX SEAT</t>
        </is>
      </c>
      <c r="E235" s="9" t="inlineStr">
        <is>
          <t>Open</t>
        </is>
      </c>
      <c r="F235" s="9" t="inlineStr">
        <is>
          <t>Normal</t>
        </is>
      </c>
      <c r="G235" s="8" t="inlineStr">
        <is>
          <t>SEAT</t>
        </is>
      </c>
      <c r="H235" s="10" t="n"/>
      <c r="I235" s="339" t="n"/>
      <c r="J235" s="9" t="n"/>
      <c r="K235" s="9" t="n"/>
      <c r="L235" s="100" t="n"/>
      <c r="M235" s="276" t="n"/>
      <c r="N235" s="326" t="n">
        <v>15</v>
      </c>
      <c r="O235" s="327" t="n"/>
      <c r="P235" s="326" t="n"/>
      <c r="Q235" s="326" t="n"/>
    </row>
    <row r="236" s="128">
      <c r="A236" s="63" t="n">
        <v>32982133</v>
      </c>
      <c r="B236" s="338" t="inlineStr">
        <is>
          <t>CAB RII  - OXYGEN MASK F/O OXYGEN MASK VALVE DISK MISSING</t>
        </is>
      </c>
      <c r="C236" s="68" t="n">
        <v>965</v>
      </c>
      <c r="D236" s="8" t="inlineStr">
        <is>
          <t>FLIGHT DECK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n"/>
      <c r="I236" s="339" t="n"/>
      <c r="J236" s="9" t="n"/>
      <c r="K236" s="9" t="n"/>
      <c r="L236" s="100" t="n">
        <v>46224</v>
      </c>
      <c r="M236" s="276" t="n">
        <v>46223</v>
      </c>
      <c r="N236" s="327" t="n"/>
      <c r="O236" s="327" t="n"/>
      <c r="P236" s="326" t="n">
        <v>4.5</v>
      </c>
      <c r="Q236" s="326" t="n">
        <v>2.4</v>
      </c>
    </row>
    <row r="237" s="128">
      <c r="A237" s="63" t="n">
        <v>32982172</v>
      </c>
      <c r="B237" s="338" t="inlineStr">
        <is>
          <t>AFT GALLY  SM--CALL BACK AFT GALLEY LOWER ATTACHMENT POINTS  FITTING WITH 3 EA PLAT RUSTY</t>
        </is>
      </c>
      <c r="C237" s="68" t="n">
        <v>966</v>
      </c>
      <c r="D237" s="8" t="inlineStr">
        <is>
          <t>GALLEY</t>
        </is>
      </c>
      <c r="E237" s="9" t="inlineStr">
        <is>
          <t>Open</t>
        </is>
      </c>
      <c r="F237" s="9" t="inlineStr">
        <is>
          <t>Normal</t>
        </is>
      </c>
      <c r="G237" s="8" t="inlineStr">
        <is>
          <t>S/M</t>
        </is>
      </c>
      <c r="H237" s="10" t="n"/>
      <c r="I237" s="339" t="n"/>
      <c r="J237" s="9" t="n"/>
      <c r="K237" s="9" t="n"/>
      <c r="L237" s="100" t="n"/>
      <c r="M237" s="276" t="n"/>
      <c r="N237" s="326" t="n">
        <v>8</v>
      </c>
      <c r="O237" s="327" t="n"/>
      <c r="P237" s="326" t="n"/>
      <c r="Q237" s="326" t="n"/>
    </row>
    <row r="238" s="128">
      <c r="A238" s="63" t="n">
        <v>32982191</v>
      </c>
      <c r="B238" s="338" t="inlineStr">
        <is>
          <t>S/M L2 STOWAGE LOWER DIVIDER PACKER WITH 4 EACH FROZEN SCREWS</t>
        </is>
      </c>
      <c r="C238" s="68" t="n">
        <v>967</v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S/M</t>
        </is>
      </c>
      <c r="H238" s="10" t="n"/>
      <c r="I238" s="339" t="n"/>
      <c r="J238" s="9" t="n"/>
      <c r="K238" s="9" t="n"/>
      <c r="L238" s="100" t="n">
        <v>46224</v>
      </c>
      <c r="M238" s="276" t="n">
        <v>46223</v>
      </c>
      <c r="N238" s="327" t="n"/>
      <c r="O238" s="327" t="n"/>
      <c r="P238" s="326" t="n">
        <v>6</v>
      </c>
      <c r="Q238" s="326" t="n">
        <v>2.2</v>
      </c>
    </row>
    <row r="239" s="128">
      <c r="A239" s="63" t="n">
        <v>32982194</v>
      </c>
      <c r="B239" s="338" t="inlineStr">
        <is>
          <t>CAB-CALLBACK L2 STOWAGE REMOVAL FOR ACCESS</t>
        </is>
      </c>
      <c r="C239" s="68" t="n">
        <v>968</v>
      </c>
      <c r="D239" s="8" t="inlineStr">
        <is>
          <t>GENERAL CABIN</t>
        </is>
      </c>
      <c r="E239" s="9" t="inlineStr">
        <is>
          <t>Open</t>
        </is>
      </c>
      <c r="F239" s="9" t="inlineStr">
        <is>
          <t>Normal</t>
        </is>
      </c>
      <c r="G239" s="8" t="inlineStr">
        <is>
          <t>CAB</t>
        </is>
      </c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>
        <v>7.5</v>
      </c>
      <c r="Q239" s="326" t="n">
        <v>12.6</v>
      </c>
    </row>
    <row r="240" s="128">
      <c r="A240" s="63" t="n">
        <v>32982195</v>
      </c>
      <c r="B240" s="338" t="inlineStr">
        <is>
          <t>S/M NO CALLBACK L2 STOWAGE RAMP ASSY FOUND ALL INSERTS REMOVED</t>
        </is>
      </c>
      <c r="C240" s="68" t="n">
        <v>969</v>
      </c>
      <c r="D240" s="8" t="inlineStr">
        <is>
          <t>GENERAL CABIN</t>
        </is>
      </c>
      <c r="E240" s="9" t="inlineStr">
        <is>
          <t>Open</t>
        </is>
      </c>
      <c r="F240" s="9" t="inlineStr">
        <is>
          <t>Normal</t>
        </is>
      </c>
      <c r="G240" s="8" t="inlineStr">
        <is>
          <t>CAB</t>
        </is>
      </c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>
        <v>32982197</v>
      </c>
      <c r="B241" s="338" t="inlineStr">
        <is>
          <t>CAB-CALLBACK R2 STOWAGE REMOVED FOR ACCESS</t>
        </is>
      </c>
      <c r="C241" s="68" t="n">
        <v>970</v>
      </c>
      <c r="D241" s="8" t="inlineStr">
        <is>
          <t>GENERAL CABIN</t>
        </is>
      </c>
      <c r="E241" s="9" t="inlineStr">
        <is>
          <t>Open</t>
        </is>
      </c>
      <c r="F241" s="9" t="inlineStr">
        <is>
          <t>Normal</t>
        </is>
      </c>
      <c r="G241" s="8" t="inlineStr">
        <is>
          <t>CAB</t>
        </is>
      </c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>
        <v>9.5</v>
      </c>
      <c r="Q241" s="326" t="n">
        <v>37.7</v>
      </c>
    </row>
    <row r="242" s="128">
      <c r="A242" s="63" t="n">
        <v>32982199</v>
      </c>
      <c r="B242" s="338" t="inlineStr">
        <is>
          <t>L1 INBOARD AND OUTBOARD WALL-MOUNTED FLIGHT ATTENDANT SEAT REQUIRE REMOVAL FOR ACCESS.</t>
        </is>
      </c>
      <c r="C242" s="68" t="n">
        <v>971</v>
      </c>
      <c r="D242" s="8" t="inlineStr">
        <is>
          <t>F/A SEAT</t>
        </is>
      </c>
      <c r="E242" s="9" t="inlineStr">
        <is>
          <t>Open</t>
        </is>
      </c>
      <c r="F242" s="9" t="inlineStr">
        <is>
          <t>Normal</t>
        </is>
      </c>
      <c r="G242" s="8" t="inlineStr">
        <is>
          <t>CAB</t>
        </is>
      </c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>
        <v>1.5</v>
      </c>
      <c r="Q242" s="326" t="n">
        <v>35.4</v>
      </c>
    </row>
    <row r="243" s="128">
      <c r="A243" s="63" t="n">
        <v>32982200</v>
      </c>
      <c r="B243" s="338" t="inlineStr">
        <is>
          <t>SWIVEL FLIGHT ATTENDANT SEAT REQUIRE REMOVAL FOR ACCESS</t>
        </is>
      </c>
      <c r="C243" s="68" t="n">
        <v>972</v>
      </c>
      <c r="D243" s="8" t="inlineStr">
        <is>
          <t>F/A SEAT</t>
        </is>
      </c>
      <c r="E243" s="9" t="inlineStr">
        <is>
          <t>Open</t>
        </is>
      </c>
      <c r="F243" s="9" t="inlineStr">
        <is>
          <t>Normal</t>
        </is>
      </c>
      <c r="G243" s="8" t="inlineStr">
        <is>
          <t>CAB</t>
        </is>
      </c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>
        <v>2</v>
      </c>
      <c r="Q243" s="326" t="n">
        <v>35.6</v>
      </c>
    </row>
    <row r="244" s="128">
      <c r="A244" s="63" t="n">
        <v>32982202</v>
      </c>
      <c r="B244" s="338" t="inlineStr">
        <is>
          <t>R2 DOUBLE WALL-MOUNTED FLIGHT ATTENDANT SEAT REQUIRE REMOVAL FOR ACCESS</t>
        </is>
      </c>
      <c r="C244" s="68" t="n">
        <v>973</v>
      </c>
      <c r="D244" s="8" t="inlineStr">
        <is>
          <t>F/A SEAT</t>
        </is>
      </c>
      <c r="E244" s="9" t="inlineStr">
        <is>
          <t>Open</t>
        </is>
      </c>
      <c r="F244" s="9" t="inlineStr">
        <is>
          <t>Normal</t>
        </is>
      </c>
      <c r="G244" s="8" t="inlineStr">
        <is>
          <t>CAB</t>
        </is>
      </c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>
        <v>32982203</v>
      </c>
      <c r="B245" s="338" t="inlineStr">
        <is>
          <t>L1 INBOARD AND OUTBOARD WALL-MOUNTED FLIGHT ATTENDANT SEAT REQUIRE REMOVAL FOR ACCESS.</t>
        </is>
      </c>
      <c r="C245" s="68" t="n">
        <v>974</v>
      </c>
      <c r="D245" s="8" t="inlineStr">
        <is>
          <t>F/A SEAT</t>
        </is>
      </c>
      <c r="E245" s="9" t="inlineStr">
        <is>
          <t>Open</t>
        </is>
      </c>
      <c r="F245" s="9" t="inlineStr">
        <is>
          <t>Normal</t>
        </is>
      </c>
      <c r="G245" s="8" t="inlineStr">
        <is>
          <t>CAB</t>
        </is>
      </c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>
        <v>4</v>
      </c>
      <c r="Q245" s="326" t="n">
        <v>36</v>
      </c>
    </row>
    <row r="246" s="128">
      <c r="A246" s="63" t="n">
        <v>32983996</v>
      </c>
      <c r="B246" s="338" t="inlineStr">
        <is>
          <t>CAB - NO CALLBACK - LIFE VESTS ALL LIFE VESTS WILL EXPIRE WITHIN 3 YEARS.</t>
        </is>
      </c>
      <c r="C246" s="68" t="n">
        <v>992</v>
      </c>
      <c r="D246" s="8" t="inlineStr">
        <is>
          <t>GENERAL CABIN</t>
        </is>
      </c>
      <c r="E246" s="9" t="inlineStr">
        <is>
          <t>Open</t>
        </is>
      </c>
      <c r="F246" s="9" t="inlineStr">
        <is>
          <t>Normal</t>
        </is>
      </c>
      <c r="G246" s="8" t="inlineStr">
        <is>
          <t>CAB</t>
        </is>
      </c>
      <c r="H246" s="10" t="n"/>
      <c r="I246" s="339" t="n"/>
      <c r="J246" s="9" t="n"/>
      <c r="K246" s="9" t="n"/>
      <c r="L246" s="100" t="n"/>
      <c r="M246" s="276" t="n"/>
      <c r="N246" s="326" t="n">
        <v>8.5</v>
      </c>
      <c r="O246" s="327" t="n"/>
      <c r="P246" s="326" t="n"/>
      <c r="Q246" s="326" t="n"/>
    </row>
    <row r="247" s="128">
      <c r="A247" s="63" t="n">
        <v>32984263</v>
      </c>
      <c r="B247" s="338" t="inlineStr">
        <is>
          <t>FINDING (NRC) TASKCARD 25-SVA-03 (01) / ITEM ONE ALL B/C SEAT FOOTWELL ASSEMBLY REQUIRE REMOVE FOR ACCESS</t>
        </is>
      </c>
      <c r="C247" s="68" t="n">
        <v>999</v>
      </c>
      <c r="D247" s="8" t="inlineStr">
        <is>
          <t>PAX SEAT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SEAT</t>
        </is>
      </c>
      <c r="H247" s="10" t="n"/>
      <c r="I247" s="339" t="n"/>
      <c r="J247" s="9" t="n"/>
      <c r="K247" s="9" t="n"/>
      <c r="L247" s="100" t="n"/>
      <c r="M247" s="276" t="n"/>
      <c r="N247" s="326" t="n">
        <v>6</v>
      </c>
      <c r="O247" s="327" t="n"/>
      <c r="P247" s="326" t="n"/>
      <c r="Q247" s="326" t="n"/>
    </row>
    <row r="248" s="128">
      <c r="A248" s="63" t="n">
        <v>32984585</v>
      </c>
      <c r="B248" s="338" t="inlineStr">
        <is>
          <t>FINDING (NRC) TASKCARD 25-SVA-03 (01) / ITEM ONE ALL B/C SEAT PANEL ASSEMBLY - ACCESS REQUIRE REMOVE FOR ACCESS</t>
        </is>
      </c>
      <c r="C248" s="68" t="n">
        <v>1003</v>
      </c>
      <c r="D248" s="8" t="inlineStr">
        <is>
          <t>PAX SEAT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SEAT</t>
        </is>
      </c>
      <c r="H248" s="10" t="n"/>
      <c r="I248" s="339" t="n"/>
      <c r="J248" s="9" t="n"/>
      <c r="K248" s="9" t="n"/>
      <c r="L248" s="100" t="n"/>
      <c r="M248" s="276" t="n"/>
      <c r="N248" s="326" t="n">
        <v>12</v>
      </c>
      <c r="O248" s="327" t="n"/>
      <c r="P248" s="326" t="n"/>
      <c r="Q248" s="326" t="n"/>
    </row>
    <row r="249" s="128">
      <c r="A249" s="63" t="n">
        <v>32984729</v>
      </c>
      <c r="B249" s="338" t="inlineStr">
        <is>
          <t>CAB - NO CALLBACK - AFT GALLEY AFT GALLEY COUNTERTOP SEALANT DETERIORATED.</t>
        </is>
      </c>
      <c r="C249" s="68" t="n">
        <v>1004</v>
      </c>
      <c r="D249" s="8" t="inlineStr">
        <is>
          <t>GALLEY</t>
        </is>
      </c>
      <c r="E249" s="9" t="inlineStr">
        <is>
          <t>Open</t>
        </is>
      </c>
      <c r="F249" s="9" t="inlineStr">
        <is>
          <t>Normal</t>
        </is>
      </c>
      <c r="G249" s="8" t="inlineStr">
        <is>
          <t>CAB</t>
        </is>
      </c>
      <c r="H249" s="10" t="n"/>
      <c r="I249" s="339" t="n"/>
      <c r="J249" s="9" t="n"/>
      <c r="K249" s="9" t="n"/>
      <c r="L249" s="100" t="n"/>
      <c r="M249" s="276" t="n"/>
      <c r="N249" s="326" t="n">
        <v>3</v>
      </c>
      <c r="O249" s="327" t="n"/>
      <c r="P249" s="326" t="n"/>
      <c r="Q249" s="326" t="n"/>
    </row>
    <row r="250" s="128">
      <c r="A250" s="63" t="n">
        <v>32984742</v>
      </c>
      <c r="B250" s="338" t="inlineStr">
        <is>
          <t>CAB - NO CALLBACK - AFT GALLEY AFT 7 EA LONG AND 7 EA SHORT CART TURN CATCHES PAINT DETERIORATED.</t>
        </is>
      </c>
      <c r="C250" s="68" t="n">
        <v>1005</v>
      </c>
      <c r="D250" s="8" t="inlineStr">
        <is>
          <t>GALLEY</t>
        </is>
      </c>
      <c r="E250" s="9" t="inlineStr">
        <is>
          <t>Open</t>
        </is>
      </c>
      <c r="F250" s="9" t="inlineStr">
        <is>
          <t>Normal</t>
        </is>
      </c>
      <c r="G250" s="8" t="inlineStr">
        <is>
          <t>CAB</t>
        </is>
      </c>
      <c r="H250" s="10" t="n"/>
      <c r="I250" s="339" t="n"/>
      <c r="J250" s="9" t="n"/>
      <c r="K250" s="9" t="n"/>
      <c r="L250" s="100" t="n"/>
      <c r="M250" s="276" t="n"/>
      <c r="N250" s="326" t="n">
        <v>2</v>
      </c>
      <c r="O250" s="327" t="n"/>
      <c r="P250" s="326" t="n"/>
      <c r="Q250" s="326" t="n"/>
    </row>
    <row r="251" s="128">
      <c r="A251" s="63" t="n">
        <v>32984765</v>
      </c>
      <c r="B251" s="338" t="inlineStr">
        <is>
          <t>CAB - NO CALLBACK - AFT GALLEY AFT GALLEY COMPT. 517 UPPER COVER IS MISSING.</t>
        </is>
      </c>
      <c r="C251" s="68" t="n">
        <v>1006</v>
      </c>
      <c r="D251" s="8" t="inlineStr">
        <is>
          <t>GALLEY</t>
        </is>
      </c>
      <c r="E251" s="9" t="inlineStr">
        <is>
          <t>Open</t>
        </is>
      </c>
      <c r="F251" s="9" t="inlineStr">
        <is>
          <t>Normal</t>
        </is>
      </c>
      <c r="G251" s="8" t="inlineStr">
        <is>
          <t>CAB</t>
        </is>
      </c>
      <c r="H251" s="10" t="n"/>
      <c r="I251" s="339" t="n"/>
      <c r="J251" s="9" t="n"/>
      <c r="K251" s="9" t="n"/>
      <c r="L251" s="100" t="n"/>
      <c r="M251" s="276" t="n"/>
      <c r="N251" s="326" t="n">
        <v>2</v>
      </c>
      <c r="O251" s="327" t="n"/>
      <c r="P251" s="326" t="n"/>
      <c r="Q251" s="326" t="n"/>
    </row>
    <row r="252" s="128">
      <c r="A252" s="63" t="n">
        <v>32984781</v>
      </c>
      <c r="B252" s="338" t="inlineStr">
        <is>
          <t>CAB - NO CALLBACK - FWD GALLEY G1 GALLEY 4 EA LONG AND 4 EA SMALL CART TURN CATCHES PAINT DETERIORATED.</t>
        </is>
      </c>
      <c r="C252" s="68" t="n">
        <v>1007</v>
      </c>
      <c r="D252" s="8" t="inlineStr">
        <is>
          <t>GALLEY</t>
        </is>
      </c>
      <c r="E252" s="9" t="inlineStr">
        <is>
          <t>Open</t>
        </is>
      </c>
      <c r="F252" s="9" t="inlineStr">
        <is>
          <t>Normal</t>
        </is>
      </c>
      <c r="G252" s="8" t="inlineStr">
        <is>
          <t>CAB</t>
        </is>
      </c>
      <c r="H252" s="10" t="n"/>
      <c r="I252" s="339" t="n"/>
      <c r="J252" s="9" t="n"/>
      <c r="K252" s="9" t="n"/>
      <c r="L252" s="100" t="n"/>
      <c r="M252" s="276" t="n"/>
      <c r="N252" s="326" t="n">
        <v>2</v>
      </c>
      <c r="O252" s="327" t="n"/>
      <c r="P252" s="326" t="n"/>
      <c r="Q252" s="326" t="n"/>
    </row>
    <row r="253" s="128">
      <c r="A253" s="63" t="n">
        <v>32984766</v>
      </c>
      <c r="B253" s="338" t="inlineStr">
        <is>
          <t>CABIN AREA -AV -NO CALL BACK (NRC) TASKCARD 25-SVA-02 (01) / ITEM ONE PSU LIGTH COVER NOT SECUERD ABOVE SEAT 32C,38L</t>
        </is>
      </c>
      <c r="C253" s="68" t="n">
        <v>1008</v>
      </c>
      <c r="D253" s="8" t="inlineStr">
        <is>
          <t>GENERAL CABIN</t>
        </is>
      </c>
      <c r="E253" s="9" t="inlineStr">
        <is>
          <t>Open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>
        <v>32984823</v>
      </c>
      <c r="B254" s="338" t="inlineStr">
        <is>
          <t>PNT - NO CALLBACK - LAV A LAV A WASHBASIN PANEL PAINT SCRATCHED.</t>
        </is>
      </c>
      <c r="C254" s="68" t="n">
        <v>1009</v>
      </c>
      <c r="D254" s="8" t="inlineStr">
        <is>
          <t>LAVATORY</t>
        </is>
      </c>
      <c r="E254" s="9" t="inlineStr">
        <is>
          <t>Open</t>
        </is>
      </c>
      <c r="F254" s="9" t="inlineStr">
        <is>
          <t>Normal</t>
        </is>
      </c>
      <c r="G254" s="8" t="inlineStr">
        <is>
          <t>PAINT</t>
        </is>
      </c>
      <c r="H254" s="10" t="n"/>
      <c r="I254" s="339" t="n"/>
      <c r="J254" s="9" t="n"/>
      <c r="K254" s="9" t="n"/>
      <c r="L254" s="100" t="n"/>
      <c r="M254" s="276" t="n"/>
      <c r="N254" s="326" t="n">
        <v>4</v>
      </c>
      <c r="O254" s="327" t="n"/>
      <c r="P254" s="326" t="n"/>
      <c r="Q254" s="326" t="n"/>
    </row>
    <row r="255" s="128">
      <c r="A255" s="63" t="n">
        <v>32984820</v>
      </c>
      <c r="B255" s="338" t="inlineStr">
        <is>
          <t>CABIN AREA -AV -NO CALL BACK (NRC) TASKCARD 25-SVA-02 (01) / ITEM ONE PSU SEAT BELT LIGTH INOP AT ABOVE SEAT NO 43K</t>
        </is>
      </c>
      <c r="C255" s="68" t="n">
        <v>1010</v>
      </c>
      <c r="D255" s="8" t="inlineStr">
        <is>
          <t>GENERAL CABIN</t>
        </is>
      </c>
      <c r="E255" s="9" t="inlineStr">
        <is>
          <t>Open</t>
        </is>
      </c>
      <c r="F255" s="9" t="inlineStr">
        <is>
          <t>Normal</t>
        </is>
      </c>
      <c r="G255" s="8" t="inlineStr">
        <is>
          <t>AV</t>
        </is>
      </c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>
        <v>32984829</v>
      </c>
      <c r="B256" s="338" t="inlineStr">
        <is>
          <t>CAB - NO CALLBACK - G2 GALLEY G2 GALLEY 4 EA LONG AND 4 EA SMALL CART TURN CATCHES PAINT DETERIORATED.</t>
        </is>
      </c>
      <c r="C256" s="68" t="n">
        <v>1011</v>
      </c>
      <c r="D256" s="8" t="inlineStr">
        <is>
          <t>GALLEY</t>
        </is>
      </c>
      <c r="E256" s="9" t="inlineStr">
        <is>
          <t>Open</t>
        </is>
      </c>
      <c r="F256" s="9" t="inlineStr">
        <is>
          <t>Normal</t>
        </is>
      </c>
      <c r="G256" s="8" t="inlineStr">
        <is>
          <t>CAB</t>
        </is>
      </c>
      <c r="H256" s="10" t="n"/>
      <c r="I256" s="339" t="n"/>
      <c r="J256" s="9" t="n"/>
      <c r="K256" s="9" t="n"/>
      <c r="L256" s="100" t="n"/>
      <c r="M256" s="276" t="n"/>
      <c r="N256" s="326" t="n">
        <v>2</v>
      </c>
      <c r="O256" s="327" t="n"/>
      <c r="P256" s="326" t="n"/>
      <c r="Q256" s="326" t="n"/>
    </row>
    <row r="257" s="128">
      <c r="A257" s="63" t="n">
        <v>32984848</v>
      </c>
      <c r="B257" s="338" t="inlineStr">
        <is>
          <t>SM - NO CALLBACK - GALLEY G2 G2 GALLEY COMP.  205, 202, AND 209 MISSING STRIKER.</t>
        </is>
      </c>
      <c r="C257" s="68" t="n">
        <v>1012</v>
      </c>
      <c r="D257" s="8" t="inlineStr">
        <is>
          <t>GALLEY</t>
        </is>
      </c>
      <c r="E257" s="9" t="inlineStr">
        <is>
          <t>Open</t>
        </is>
      </c>
      <c r="F257" s="9" t="inlineStr">
        <is>
          <t>Normal</t>
        </is>
      </c>
      <c r="G257" s="8" t="inlineStr">
        <is>
          <t>S/M</t>
        </is>
      </c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>
        <v>32984883</v>
      </c>
      <c r="B258" s="338" t="inlineStr">
        <is>
          <t>PNT - NO CALLBACK - LAV A LAV A BABY NUSRING TABLE PAINT FADED.</t>
        </is>
      </c>
      <c r="C258" s="68" t="n">
        <v>1013</v>
      </c>
      <c r="D258" s="8" t="inlineStr">
        <is>
          <t>LAVATORY</t>
        </is>
      </c>
      <c r="E258" s="9" t="inlineStr">
        <is>
          <t>Open</t>
        </is>
      </c>
      <c r="F258" s="9" t="inlineStr">
        <is>
          <t>Normal</t>
        </is>
      </c>
      <c r="G258" s="8" t="inlineStr">
        <is>
          <t>PAINT</t>
        </is>
      </c>
      <c r="H258" s="10" t="n"/>
      <c r="I258" s="339" t="n"/>
      <c r="J258" s="9" t="n"/>
      <c r="K258" s="9" t="n"/>
      <c r="L258" s="100" t="n"/>
      <c r="M258" s="276" t="n"/>
      <c r="N258" s="326" t="n">
        <v>4</v>
      </c>
      <c r="O258" s="327" t="n"/>
      <c r="P258" s="326" t="n"/>
      <c r="Q258" s="326" t="n"/>
    </row>
    <row r="259" s="128">
      <c r="A259" s="63" t="n">
        <v>32984906</v>
      </c>
      <c r="B259" s="338" t="inlineStr">
        <is>
          <t>CAB - RII - OXYGEN GENERATORS OXYGEN GENERATORS AT ROW 30 LH AND 34 LH WILL EXPIRE ON 05/2027 ROW 30 LH PN: E63440-00 SN: BEDE-F012-020  ROW 34 LH PN: E63440-00 SN: BEDE-F019-109</t>
        </is>
      </c>
      <c r="C259" s="68" t="n">
        <v>1014</v>
      </c>
      <c r="D259" s="8" t="inlineStr">
        <is>
          <t>GENERAL CABIN</t>
        </is>
      </c>
      <c r="E259" s="9" t="inlineStr">
        <is>
          <t>Open</t>
        </is>
      </c>
      <c r="F259" s="9" t="inlineStr">
        <is>
          <t>Normal</t>
        </is>
      </c>
      <c r="G259" s="8" t="inlineStr">
        <is>
          <t>CAB</t>
        </is>
      </c>
      <c r="H259" s="10" t="n"/>
      <c r="I259" s="339" t="n"/>
      <c r="J259" s="9" t="n"/>
      <c r="K259" s="9" t="n"/>
      <c r="L259" s="100" t="n"/>
      <c r="M259" s="276" t="n"/>
      <c r="N259" s="326" t="n">
        <v>6</v>
      </c>
      <c r="O259" s="327" t="n"/>
      <c r="P259" s="326" t="n"/>
      <c r="Q259" s="326" t="n"/>
    </row>
    <row r="260" s="128">
      <c r="A260" s="63" t="n">
        <v>32984905</v>
      </c>
      <c r="B260" s="338" t="inlineStr">
        <is>
          <t>PNT - NO CALLBACK - LAV A LAV A DECAL "PLEASE LOCK THE DOOR" AND FINE DECAL DISCOLORED.</t>
        </is>
      </c>
      <c r="C260" s="68" t="n">
        <v>1015</v>
      </c>
      <c r="D260" s="8" t="inlineStr">
        <is>
          <t>LAVATORY</t>
        </is>
      </c>
      <c r="E260" s="9" t="inlineStr">
        <is>
          <t>Open</t>
        </is>
      </c>
      <c r="F260" s="9" t="inlineStr">
        <is>
          <t>Normal</t>
        </is>
      </c>
      <c r="G260" s="8" t="inlineStr">
        <is>
          <t>PAINT</t>
        </is>
      </c>
      <c r="H260" s="10" t="n"/>
      <c r="I260" s="339" t="n"/>
      <c r="J260" s="9" t="n"/>
      <c r="K260" s="9" t="n"/>
      <c r="L260" s="100" t="n"/>
      <c r="M260" s="276" t="n"/>
      <c r="N260" s="326" t="n">
        <v>2</v>
      </c>
      <c r="O260" s="327" t="n"/>
      <c r="P260" s="326" t="n"/>
      <c r="Q260" s="326" t="n"/>
    </row>
    <row r="261" s="128">
      <c r="A261" s="63" t="n">
        <v>32984945</v>
      </c>
      <c r="B261" s="338" t="inlineStr">
        <is>
          <t>PNT - NO CALLBACK - GALLEY G2 GALLEY G2 COMP. 209 DOOR PAINT CHIPPED.</t>
        </is>
      </c>
      <c r="C261" s="68" t="n">
        <v>1017</v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PAINT</t>
        </is>
      </c>
      <c r="H261" s="10" t="n"/>
      <c r="I261" s="339" t="n"/>
      <c r="J261" s="9" t="n"/>
      <c r="K261" s="9" t="n"/>
      <c r="L261" s="100" t="n"/>
      <c r="M261" s="276" t="n"/>
      <c r="N261" s="326" t="n">
        <v>3</v>
      </c>
      <c r="O261" s="327" t="n"/>
      <c r="P261" s="326" t="n"/>
      <c r="Q261" s="326" t="n"/>
    </row>
    <row r="262" s="128">
      <c r="A262" s="63" t="n">
        <v>32985067</v>
      </c>
      <c r="B262" s="338" t="inlineStr">
        <is>
          <t>CAB - NO CALLBACK - G1 GALLEY G1 GALLEY WORK SLIDING TABLE STUCK.</t>
        </is>
      </c>
      <c r="C262" s="68" t="n">
        <v>1027</v>
      </c>
      <c r="D262" s="8" t="inlineStr">
        <is>
          <t>GALLEY</t>
        </is>
      </c>
      <c r="E262" s="9" t="inlineStr">
        <is>
          <t>Open</t>
        </is>
      </c>
      <c r="F262" s="9" t="inlineStr">
        <is>
          <t>Normal</t>
        </is>
      </c>
      <c r="G262" s="8" t="inlineStr">
        <is>
          <t>CAB</t>
        </is>
      </c>
      <c r="H262" s="10" t="n"/>
      <c r="I262" s="339" t="n"/>
      <c r="J262" s="9" t="n"/>
      <c r="K262" s="9" t="n"/>
      <c r="L262" s="100" t="n"/>
      <c r="M262" s="276" t="n"/>
      <c r="N262" s="326" t="n">
        <v>2</v>
      </c>
      <c r="O262" s="327" t="n"/>
      <c r="P262" s="326" t="n"/>
      <c r="Q262" s="326" t="n"/>
    </row>
    <row r="263" s="128">
      <c r="A263" s="63" t="n">
        <v>32985083</v>
      </c>
      <c r="B263" s="338" t="inlineStr">
        <is>
          <t>CAB - NO CALLBACK - G1 GALLEY G1 GALLEY COUNTERTOP SEALANT DETERIORATED.</t>
        </is>
      </c>
      <c r="C263" s="68" t="n">
        <v>1030</v>
      </c>
      <c r="D263" s="8" t="inlineStr">
        <is>
          <t>GALLEY</t>
        </is>
      </c>
      <c r="E263" s="9" t="inlineStr">
        <is>
          <t>Open</t>
        </is>
      </c>
      <c r="F263" s="9" t="inlineStr">
        <is>
          <t>Normal</t>
        </is>
      </c>
      <c r="G263" s="8" t="inlineStr">
        <is>
          <t>CAB</t>
        </is>
      </c>
      <c r="H263" s="10" t="n"/>
      <c r="I263" s="339" t="n"/>
      <c r="J263" s="9" t="n"/>
      <c r="K263" s="9" t="n"/>
      <c r="L263" s="100" t="n"/>
      <c r="M263" s="276" t="n"/>
      <c r="N263" s="326" t="n">
        <v>2</v>
      </c>
      <c r="O263" s="327" t="n"/>
      <c r="P263" s="326" t="n"/>
      <c r="Q263" s="326" t="n"/>
    </row>
    <row r="264" s="128">
      <c r="A264" s="63" t="n">
        <v>32985088</v>
      </c>
      <c r="B264" s="338" t="inlineStr">
        <is>
          <t>CAB - NO CALLBACK - G2 GALLEY G2 GALLEY COUNTERTOP SEALANT DETERIORATED.</t>
        </is>
      </c>
      <c r="C264" s="68" t="n">
        <v>1031</v>
      </c>
      <c r="D264" s="8" t="inlineStr">
        <is>
          <t>GALLEY</t>
        </is>
      </c>
      <c r="E264" s="9" t="inlineStr">
        <is>
          <t>Open</t>
        </is>
      </c>
      <c r="F264" s="9" t="inlineStr">
        <is>
          <t>Normal</t>
        </is>
      </c>
      <c r="G264" s="8" t="inlineStr">
        <is>
          <t>CAB</t>
        </is>
      </c>
      <c r="H264" s="10" t="n"/>
      <c r="I264" s="339" t="n"/>
      <c r="J264" s="9" t="n"/>
      <c r="K264" s="9" t="n"/>
      <c r="L264" s="100" t="n"/>
      <c r="M264" s="276" t="n"/>
      <c r="N264" s="326" t="n">
        <v>2</v>
      </c>
      <c r="O264" s="327" t="n"/>
      <c r="P264" s="326" t="n"/>
      <c r="Q264" s="326" t="n"/>
    </row>
    <row r="265" s="128">
      <c r="A265" s="63" t="n">
        <v>32985127</v>
      </c>
      <c r="B265" s="338" t="inlineStr">
        <is>
          <t>CAB - NO CALLBACK - DESCENT DEVICE FLIGHT DECK FIRST OFFICER EMERGENCY DESCENT DEVICE COVER DETACHED.</t>
        </is>
      </c>
      <c r="C265" s="68" t="n">
        <v>1034</v>
      </c>
      <c r="D265" s="8" t="inlineStr">
        <is>
          <t>FLIGHT DECK</t>
        </is>
      </c>
      <c r="E265" s="9" t="inlineStr">
        <is>
          <t>Open</t>
        </is>
      </c>
      <c r="F265" s="9" t="inlineStr">
        <is>
          <t>Normal</t>
        </is>
      </c>
      <c r="G265" s="8" t="inlineStr">
        <is>
          <t>CAB</t>
        </is>
      </c>
      <c r="H265" s="10" t="n"/>
      <c r="I265" s="339" t="n"/>
      <c r="J265" s="9" t="n"/>
      <c r="K265" s="9" t="n"/>
      <c r="L265" s="100" t="n"/>
      <c r="M265" s="276" t="n"/>
      <c r="N265" s="326" t="n">
        <v>2</v>
      </c>
      <c r="O265" s="327" t="n"/>
      <c r="P265" s="326" t="n"/>
      <c r="Q265" s="326" t="n"/>
    </row>
    <row r="266" s="128">
      <c r="A266" s="63" t="n">
        <v>32985290</v>
      </c>
      <c r="B266" s="338" t="inlineStr">
        <is>
          <t>CAB - NO CALLBACK L1 DOOR INBOARD F/A SEAT UPPER BACK CUSHION WORN OUT</t>
        </is>
      </c>
      <c r="C266" s="68" t="n">
        <v>1035</v>
      </c>
      <c r="D266" s="8" t="inlineStr">
        <is>
          <t>F/A SEAT</t>
        </is>
      </c>
      <c r="E266" s="9" t="inlineStr">
        <is>
          <t>Open</t>
        </is>
      </c>
      <c r="F266" s="9" t="inlineStr">
        <is>
          <t>Normal</t>
        </is>
      </c>
      <c r="G266" s="8" t="inlineStr">
        <is>
          <t>CAB</t>
        </is>
      </c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>
        <v>32985304</v>
      </c>
      <c r="B267" s="338" t="inlineStr">
        <is>
          <t>CAB - NO CALLBACK L1 DOOR INBOARD F/A SEAT BACK CUSHION WORN OUT</t>
        </is>
      </c>
      <c r="C267" s="68" t="n">
        <v>1036</v>
      </c>
      <c r="D267" s="8" t="inlineStr">
        <is>
          <t>F/A SEAT</t>
        </is>
      </c>
      <c r="E267" s="9" t="inlineStr">
        <is>
          <t>Open</t>
        </is>
      </c>
      <c r="F267" s="9" t="inlineStr">
        <is>
          <t>Normal</t>
        </is>
      </c>
      <c r="G267" s="8" t="inlineStr">
        <is>
          <t>CAB</t>
        </is>
      </c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>
        <v>32985321</v>
      </c>
      <c r="B268" s="338" t="inlineStr">
        <is>
          <t>CAB - NO CALLBACK L1 DOOR INBOARD F/A SEAT BOTTOM CUSHION WORN OUT</t>
        </is>
      </c>
      <c r="C268" s="68" t="n">
        <v>1037</v>
      </c>
      <c r="D268" s="8" t="inlineStr">
        <is>
          <t>F/A SEAT</t>
        </is>
      </c>
      <c r="E268" s="9" t="inlineStr">
        <is>
          <t>Open</t>
        </is>
      </c>
      <c r="F268" s="9" t="inlineStr">
        <is>
          <t>Normal</t>
        </is>
      </c>
      <c r="G268" s="8" t="inlineStr">
        <is>
          <t>CAB</t>
        </is>
      </c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>
        <v>32985332</v>
      </c>
      <c r="B269" s="338" t="inlineStr">
        <is>
          <t>CAB - NO CALL BACK L1 DOOR INBOARD F/A SEAT BELT DIRTY</t>
        </is>
      </c>
      <c r="C269" s="68" t="n">
        <v>1038</v>
      </c>
      <c r="D269" s="8" t="inlineStr">
        <is>
          <t>F/A SEAT</t>
        </is>
      </c>
      <c r="E269" s="9" t="inlineStr">
        <is>
          <t>Open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>
        <v>32985334</v>
      </c>
      <c r="B270" s="338" t="inlineStr">
        <is>
          <t>PNT - NO CALLBACK L1 DOOR INBOARD F/A SEAT LOWER BOTTOM CASE PAINT FADED</t>
        </is>
      </c>
      <c r="C270" s="68" t="n">
        <v>1039</v>
      </c>
      <c r="D270" s="8" t="inlineStr">
        <is>
          <t>F/A SEAT</t>
        </is>
      </c>
      <c r="E270" s="9" t="inlineStr">
        <is>
          <t>Open</t>
        </is>
      </c>
      <c r="F270" s="9" t="inlineStr">
        <is>
          <t>Normal</t>
        </is>
      </c>
      <c r="G270" s="8" t="inlineStr">
        <is>
          <t>PAINT</t>
        </is>
      </c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>
        <v>32985336</v>
      </c>
      <c r="B271" s="338" t="inlineStr">
        <is>
          <t>PNT - NO CALLBACK L1 DOOR INBOARD F/A SEAT LEFT SIDE PAINT FADED</t>
        </is>
      </c>
      <c r="C271" s="68" t="n">
        <v>1040</v>
      </c>
      <c r="D271" s="8" t="inlineStr">
        <is>
          <t>F/A SEAT</t>
        </is>
      </c>
      <c r="E271" s="9" t="inlineStr">
        <is>
          <t>Open</t>
        </is>
      </c>
      <c r="F271" s="9" t="inlineStr">
        <is>
          <t>Normal</t>
        </is>
      </c>
      <c r="G271" s="8" t="inlineStr">
        <is>
          <t>PAINT</t>
        </is>
      </c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>
        <v>32985337</v>
      </c>
      <c r="B272" s="338" t="inlineStr">
        <is>
          <t>CAB - NO CALLBACK R2 DOOR F/A SWIVEL SEAT BOTTOM CUSHION WORN OUT</t>
        </is>
      </c>
      <c r="C272" s="68" t="n">
        <v>1041</v>
      </c>
      <c r="D272" s="8" t="inlineStr">
        <is>
          <t>F/A SEAT</t>
        </is>
      </c>
      <c r="E272" s="9" t="inlineStr">
        <is>
          <t>Open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>
        <v>32985338</v>
      </c>
      <c r="B273" s="338" t="inlineStr">
        <is>
          <t>PNT - NO CALLBACK R2 DOOR F/A SWIVEL SEAT BOTH SIDES PAINT FADED</t>
        </is>
      </c>
      <c r="C273" s="68" t="n">
        <v>1042</v>
      </c>
      <c r="D273" s="8" t="inlineStr">
        <is>
          <t>F/A SEAT</t>
        </is>
      </c>
      <c r="E273" s="9" t="inlineStr">
        <is>
          <t>Open</t>
        </is>
      </c>
      <c r="F273" s="9" t="inlineStr">
        <is>
          <t>Normal</t>
        </is>
      </c>
      <c r="G273" s="8" t="inlineStr">
        <is>
          <t>PAINT</t>
        </is>
      </c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>
        <v>32985341</v>
      </c>
      <c r="B274" s="338" t="inlineStr">
        <is>
          <t>PNT - NO CALLBACK R2 DOOR F/A SWIVEL SEAT HEAD CASE PAINT FADED</t>
        </is>
      </c>
      <c r="C274" s="68" t="n">
        <v>1043</v>
      </c>
      <c r="D274" s="8" t="inlineStr">
        <is>
          <t>F/A SEAT</t>
        </is>
      </c>
      <c r="E274" s="9" t="inlineStr">
        <is>
          <t>Open</t>
        </is>
      </c>
      <c r="F274" s="9" t="inlineStr">
        <is>
          <t>Normal</t>
        </is>
      </c>
      <c r="G274" s="8" t="inlineStr">
        <is>
          <t>PAINT</t>
        </is>
      </c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>
        <v>32985342</v>
      </c>
      <c r="B275" s="338" t="inlineStr">
        <is>
          <t>PNT - NO CALLBACK R2 DOOR F/A SWIVEL SEAT DOWN CASE PAINT FADED</t>
        </is>
      </c>
      <c r="C275" s="68" t="n">
        <v>1044</v>
      </c>
      <c r="D275" s="8" t="inlineStr">
        <is>
          <t>F/A SEAT</t>
        </is>
      </c>
      <c r="E275" s="9" t="inlineStr">
        <is>
          <t>Open</t>
        </is>
      </c>
      <c r="F275" s="9" t="inlineStr">
        <is>
          <t>Normal</t>
        </is>
      </c>
      <c r="G275" s="8" t="inlineStr">
        <is>
          <t>PAINT</t>
        </is>
      </c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>
        <v>32985343</v>
      </c>
      <c r="B276" s="338" t="inlineStr">
        <is>
          <t>CAB - NO CALLBACK L1 DOOR OUTBOARD F/A SEAT BELT DIRTY</t>
        </is>
      </c>
      <c r="C276" s="68" t="n">
        <v>1045</v>
      </c>
      <c r="D276" s="8" t="inlineStr">
        <is>
          <t>F/A SEAT</t>
        </is>
      </c>
      <c r="E276" s="9" t="inlineStr">
        <is>
          <t>Open</t>
        </is>
      </c>
      <c r="F276" s="9" t="inlineStr">
        <is>
          <t>Normal</t>
        </is>
      </c>
      <c r="G276" s="8" t="inlineStr">
        <is>
          <t>CAB</t>
        </is>
      </c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>
        <v>32985344</v>
      </c>
      <c r="B277" s="338" t="inlineStr">
        <is>
          <t>CAB - NO CALLBACK L1 DOOR OUTBOARD F/A SEAT UPPER BUMPER DAMAGED</t>
        </is>
      </c>
      <c r="C277" s="68" t="n">
        <v>1046</v>
      </c>
      <c r="D277" s="8" t="inlineStr">
        <is>
          <t>F/A SEAT</t>
        </is>
      </c>
      <c r="E277" s="9" t="inlineStr">
        <is>
          <t>Open</t>
        </is>
      </c>
      <c r="F277" s="9" t="inlineStr">
        <is>
          <t>Normal</t>
        </is>
      </c>
      <c r="G277" s="8" t="inlineStr">
        <is>
          <t>CAB</t>
        </is>
      </c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>
        <v>32985347</v>
      </c>
      <c r="B278" s="338" t="inlineStr">
        <is>
          <t>PNT - NO CALLBACK L1 DOOR OUTBOARD F/A SEAT LOWER BOTTOM CASE PAINT FADED</t>
        </is>
      </c>
      <c r="C278" s="68" t="n">
        <v>1047</v>
      </c>
      <c r="D278" s="8" t="inlineStr">
        <is>
          <t>F/A SEAT</t>
        </is>
      </c>
      <c r="E278" s="9" t="inlineStr">
        <is>
          <t>Open</t>
        </is>
      </c>
      <c r="F278" s="9" t="inlineStr">
        <is>
          <t>Normal</t>
        </is>
      </c>
      <c r="G278" s="8" t="inlineStr">
        <is>
          <t>PAINT</t>
        </is>
      </c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>
        <v>32985349</v>
      </c>
      <c r="B279" s="338" t="inlineStr">
        <is>
          <t>CAB - NO CALLBACK L1 DOOR OUTBOARD F/A SEAT BOTTOM CUSHION WORN OUT</t>
        </is>
      </c>
      <c r="C279" s="68" t="n">
        <v>1048</v>
      </c>
      <c r="D279" s="8" t="inlineStr">
        <is>
          <t>F/A SEAT</t>
        </is>
      </c>
      <c r="E279" s="9" t="inlineStr">
        <is>
          <t>Open</t>
        </is>
      </c>
      <c r="F279" s="9" t="inlineStr">
        <is>
          <t>Normal</t>
        </is>
      </c>
      <c r="G279" s="8" t="inlineStr">
        <is>
          <t>CAB</t>
        </is>
      </c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>
        <v>32985350</v>
      </c>
      <c r="B280" s="338" t="inlineStr">
        <is>
          <t>CAB - NO CALLBACK L1 DOOR OUTBOARD F/A SEAT LOWER BACK CUSHION WORN OUT</t>
        </is>
      </c>
      <c r="C280" s="68" t="n">
        <v>1049</v>
      </c>
      <c r="D280" s="8" t="inlineStr">
        <is>
          <t>F/A SEAT</t>
        </is>
      </c>
      <c r="E280" s="9" t="inlineStr">
        <is>
          <t>Open</t>
        </is>
      </c>
      <c r="F280" s="9" t="inlineStr">
        <is>
          <t>Normal</t>
        </is>
      </c>
      <c r="G280" s="8" t="inlineStr">
        <is>
          <t>CAB</t>
        </is>
      </c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>
        <v>32985351</v>
      </c>
      <c r="B281" s="338" t="inlineStr">
        <is>
          <t>PNT - NO CALLBACK L2 DOOR F/A SEAT LEFT SIDE PAINT FADED</t>
        </is>
      </c>
      <c r="C281" s="68" t="n">
        <v>1050</v>
      </c>
      <c r="D281" s="8" t="inlineStr">
        <is>
          <t>F/A SEAT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PAINT</t>
        </is>
      </c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>
        <v>32985352</v>
      </c>
      <c r="B282" s="338" t="inlineStr">
        <is>
          <t>PNT - NO CALLBACK L2 DOOR F/A SEAT LOWER BOTTOM CASE PAINT FADED</t>
        </is>
      </c>
      <c r="C282" s="68" t="n">
        <v>1051</v>
      </c>
      <c r="D282" s="8" t="inlineStr">
        <is>
          <t>F/A SEAT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PAINT</t>
        </is>
      </c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>
        <v>32985353</v>
      </c>
      <c r="B283" s="338" t="inlineStr">
        <is>
          <t>CAB - NO CALLBACK L2 DOOR F/A SEAT BOTTOM CUSHION WORN OUT</t>
        </is>
      </c>
      <c r="C283" s="68" t="n">
        <v>1052</v>
      </c>
      <c r="D283" s="8" t="inlineStr">
        <is>
          <t>F/A SEAT</t>
        </is>
      </c>
      <c r="E283" s="9" t="inlineStr">
        <is>
          <t>Open</t>
        </is>
      </c>
      <c r="F283" s="9" t="inlineStr">
        <is>
          <t>Normal</t>
        </is>
      </c>
      <c r="G283" s="8" t="inlineStr">
        <is>
          <t>CAB</t>
        </is>
      </c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>
        <v>32985354</v>
      </c>
      <c r="B284" s="338" t="inlineStr">
        <is>
          <t>CAB - NO CALLBACK L2 DOOR F/A SEAT LOWER BACK CUSHION WORN OUT</t>
        </is>
      </c>
      <c r="C284" s="68" t="n">
        <v>1053</v>
      </c>
      <c r="D284" s="8" t="inlineStr">
        <is>
          <t>F/A SEAT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CAB</t>
        </is>
      </c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>
        <v>32985355</v>
      </c>
      <c r="B285" s="338" t="inlineStr">
        <is>
          <t>PNT - NO CALLBACK R2 DOOR F/A SEAT LOWER BOTTOM CASE PAINT FADED</t>
        </is>
      </c>
      <c r="C285" s="68" t="n">
        <v>1054</v>
      </c>
      <c r="D285" s="8" t="inlineStr">
        <is>
          <t>F/A SEAT</t>
        </is>
      </c>
      <c r="E285" s="9" t="inlineStr">
        <is>
          <t>Open</t>
        </is>
      </c>
      <c r="F285" s="9" t="inlineStr">
        <is>
          <t>Normal</t>
        </is>
      </c>
      <c r="G285" s="8" t="inlineStr">
        <is>
          <t>PAINT</t>
        </is>
      </c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>
        <v>32985357</v>
      </c>
      <c r="B286" s="338" t="inlineStr">
        <is>
          <t>CAB - NO CALLBACK R2 DOOR F/A SEAT BOTTOM CUSHION WORN OUT</t>
        </is>
      </c>
      <c r="C286" s="68" t="n">
        <v>1055</v>
      </c>
      <c r="D286" s="8" t="inlineStr">
        <is>
          <t>F/A SEAT</t>
        </is>
      </c>
      <c r="E286" s="9" t="inlineStr">
        <is>
          <t>Open</t>
        </is>
      </c>
      <c r="F286" s="9" t="inlineStr">
        <is>
          <t>Normal</t>
        </is>
      </c>
      <c r="G286" s="8" t="inlineStr">
        <is>
          <t>CAB</t>
        </is>
      </c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>
        <v>32985832</v>
      </c>
      <c r="B287" s="338" t="inlineStr">
        <is>
          <t>CAB -RII DURING OXYGEN GENERATOR CHECK FOUND GREEN LANYARD MISSING AND  BRIDLE ASSY  AT SEAT# 1 AC,2AC ,4AC,5AC,30ABC,31ABC,32ABC,34ABC,35ABC,36ABC,37ABC,38ABC,40ABC,41ABC,42ABC,43ABC,44ABC,</t>
        </is>
      </c>
      <c r="C287" s="68" t="n">
        <v>1061</v>
      </c>
      <c r="D287" s="8" t="inlineStr">
        <is>
          <t>GENERAL CABIN</t>
        </is>
      </c>
      <c r="E287" s="9" t="inlineStr">
        <is>
          <t>Open</t>
        </is>
      </c>
      <c r="F287" s="9" t="inlineStr">
        <is>
          <t>Normal</t>
        </is>
      </c>
      <c r="G287" s="8" t="inlineStr">
        <is>
          <t>CAB</t>
        </is>
      </c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>
        <v>32985833</v>
      </c>
      <c r="B288" s="338" t="inlineStr">
        <is>
          <t>CAB -RII DURING OXYGEN GENERATOR CHECK FOUND GREEN LANYARD MISSING AND  BRIDLE ASSY  AT SEAT# 2JL,4JL,30JKL,31JKL32JKL,34JKL,36JKL,37JKL,38JKL,39JKL,40JKL,41JKL,42JKL,43JKL,44JKL.</t>
        </is>
      </c>
      <c r="C288" s="68" t="n">
        <v>1062</v>
      </c>
      <c r="D288" s="8" t="inlineStr">
        <is>
          <t>GENERAL CABIN</t>
        </is>
      </c>
      <c r="E288" s="9" t="inlineStr">
        <is>
          <t>Open</t>
        </is>
      </c>
      <c r="F288" s="9" t="inlineStr">
        <is>
          <t>Normal</t>
        </is>
      </c>
      <c r="G288" s="8" t="inlineStr">
        <is>
          <t>CAB</t>
        </is>
      </c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IF(DASHBOARD!$M$2-DASHBOARD!$M$1&gt;=0,"Day "&amp;1,"")</f>
        <v/>
      </c>
      <c r="F3" s="225">
        <f>IF(DASHBOARD!$M$2-DASHBOARD!$M$1&gt;=1,"Day "&amp;2,"")</f>
        <v/>
      </c>
      <c r="H3" s="225">
        <f>IF(DASHBOARD!$M$2-DASHBOARD!$M$1&gt;=2,"Day "&amp;3,"")</f>
        <v/>
      </c>
      <c r="J3" s="225">
        <f>IF(DASHBOARD!$M$2-DASHBOARD!$M$1&gt;=3,"Day "&amp;4,"")</f>
        <v/>
      </c>
      <c r="L3" s="225">
        <f>IF(DASHBOARD!$M$2-DASHBOARD!$M$1&gt;=4,"Day "&amp;5,"")</f>
        <v/>
      </c>
      <c r="N3" s="225">
        <f>IF(DASHBOARD!$M$2-DASHBOARD!$M$1&gt;=5,"Day "&amp;6,"")</f>
        <v/>
      </c>
      <c r="P3" s="225">
        <f>IF(DASHBOARD!$M$2-DASHBOARD!$M$1&gt;=6,"Day "&amp;7,"")</f>
        <v/>
      </c>
      <c r="R3" s="225">
        <f>IF(DASHBOARD!$M$2-DASHBOARD!$M$1&gt;=7,"Day "&amp;8,"")</f>
        <v/>
      </c>
      <c r="T3" s="225">
        <f>IF(DASHBOARD!$M$2-DASHBOARD!$M$1&gt;=8,"Day "&amp;9,"")</f>
        <v/>
      </c>
      <c r="V3" s="225">
        <f>IF(DASHBOARD!$M$2-DASHBOARD!$M$1&gt;=9,"Day "&amp;10,"")</f>
        <v/>
      </c>
      <c r="X3" s="225">
        <f>IF(DASHBOARD!$M$2-DASHBOARD!$M$1&gt;=10,"Day "&amp;11,"")</f>
        <v/>
      </c>
      <c r="Z3" s="225">
        <f>IF(DASHBOARD!$M$2-DASHBOARD!$M$1&gt;=11,"Day "&amp;12,"")</f>
        <v/>
      </c>
      <c r="AB3" s="225">
        <f>IF(DASHBOARD!$M$2-DASHBOARD!$M$1&gt;=12,"Day "&amp;13,"")</f>
        <v/>
      </c>
      <c r="AD3" s="225">
        <f>IF(DASHBOARD!$M$2-DASHBOARD!$M$1&gt;=13,"Day "&amp;14,"")</f>
        <v/>
      </c>
      <c r="AF3" s="225">
        <f>IF(DASHBOARD!$M$2-DASHBOARD!$M$1&gt;=14,"Day "&amp;15,"")</f>
        <v/>
      </c>
      <c r="AH3" s="225">
        <f>IF(DASHBOARD!$M$2-DASHBOARD!$M$1&gt;=15,"Day "&amp;16,"")</f>
        <v/>
      </c>
      <c r="AJ3" s="225">
        <f>IF(DASHBOARD!$M$2-DASHBOARD!$M$1&gt;=16,"Day "&amp;17,"")</f>
        <v/>
      </c>
      <c r="AL3" s="225">
        <f>IF(DASHBOARD!$M$2-DASHBOARD!$M$1&gt;=17,"Day "&amp;18,"")</f>
        <v/>
      </c>
      <c r="AN3" s="225">
        <f>IF(DASHBOARD!$M$2-DASHBOARD!$M$1&gt;=18,"Day "&amp;19,"")</f>
        <v/>
      </c>
      <c r="AP3" s="225">
        <f>IF(DASHBOARD!$M$2-DASHBOARD!$M$1&gt;=19,"Day "&amp;20,"")</f>
        <v/>
      </c>
      <c r="AR3" s="225">
        <f>IF(DASHBOARD!$M$2-DASHBOARD!$M$1&gt;=20,"Day "&amp;21,"")</f>
        <v/>
      </c>
      <c r="AT3" s="225">
        <f>IF(DASHBOARD!$M$2-DASHBOARD!$M$1&gt;=21,"Day "&amp;22,"")</f>
        <v/>
      </c>
      <c r="AV3" s="225">
        <f>IF(DASHBOARD!$M$2-DASHBOARD!$M$1&gt;=22,"Day "&amp;23,"")</f>
        <v/>
      </c>
      <c r="AX3" s="225">
        <f>IF(DASHBOARD!$M$2-DASHBOARD!$M$1&gt;=23,"Day "&amp;24,"")</f>
        <v/>
      </c>
      <c r="AZ3" s="225">
        <f>IF(DASHBOARD!$M$2-DASHBOARD!$M$1&gt;=24,"Day "&amp;25,"")</f>
        <v/>
      </c>
      <c r="BB3" s="225">
        <f>IF(DASHBOARD!$M$2-DASHBOARD!$M$1&gt;=25,"Day "&amp;26,"")</f>
        <v/>
      </c>
      <c r="BD3" s="225">
        <f>IF(DASHBOARD!$M$2-DASHBOARD!$M$1&gt;=26,"Day "&amp;27,"")</f>
        <v/>
      </c>
      <c r="BF3" s="225">
        <f>IF(DASHBOARD!$M$2-DASHBOARD!$M$1&gt;=27,"Day "&amp;28,"")</f>
        <v/>
      </c>
      <c r="BH3" s="225">
        <f>IF(DASHBOARD!$M$2-DASHBOARD!$M$1&gt;=28,"Day "&amp;29,"")</f>
        <v/>
      </c>
      <c r="BJ3" s="225">
        <f>IF(DASHBOARD!$M$2-DASHBOARD!$M$1&gt;=29,"Day "&amp;30,"")</f>
        <v/>
      </c>
      <c r="BL3" s="225">
        <f>IF(DASHBOARD!$M$2-DASHBOARD!$M$1&gt;=30,"Day "&amp;31,"")</f>
        <v/>
      </c>
      <c r="BN3" s="225">
        <f>IF(DASHBOARD!$M$2-DASHBOARD!$M$1&gt;=31,"Day "&amp;32,"")</f>
        <v/>
      </c>
      <c r="BP3" s="225">
        <f>IF(DASHBOARD!$M$2-DASHBOARD!$M$1&gt;=32,"Day "&amp;33,"")</f>
        <v/>
      </c>
      <c r="BR3" s="225">
        <f>IF(DASHBOARD!$M$2-DASHBOARD!$M$1&gt;=33,"Day "&amp;34,"")</f>
        <v/>
      </c>
      <c r="BT3" s="225">
        <f>IF(DASHBOARD!$M$2-DASHBOARD!$M$1&gt;=34,"Day "&amp;35,"")</f>
        <v/>
      </c>
      <c r="BV3" s="225">
        <f>IF(DASHBOARD!$M$2-DASHBOARD!$M$1&gt;=35,"Day "&amp;36,"")</f>
        <v/>
      </c>
      <c r="BX3" s="225">
        <f>IF(DASHBOARD!$M$2-DASHBOARD!$M$1&gt;=36,"Day "&amp;37,"")</f>
        <v/>
      </c>
      <c r="BZ3" s="225">
        <f>IF(DASHBOARD!$M$2-DASHBOARD!$M$1&gt;=37,"Day "&amp;38,"")</f>
        <v/>
      </c>
      <c r="CB3" s="225">
        <f>IF(DASHBOARD!$M$2-DASHBOARD!$M$1&gt;=38,"Day "&amp;39,"")</f>
        <v/>
      </c>
      <c r="CD3" s="225">
        <f>IF(DASHBOARD!$M$2-DASHBOARD!$M$1&gt;=39,"Day "&amp;40,"")</f>
        <v/>
      </c>
      <c r="CF3" s="225">
        <f>IF(DASHBOARD!$M$2-DASHBOARD!$M$1&gt;=40,"Day "&amp;41,"")</f>
        <v/>
      </c>
      <c r="CH3" s="225">
        <f>IF(DASHBOARD!$M$2-DASHBOARD!$M$1&gt;=41,"Day "&amp;42,"")</f>
        <v/>
      </c>
      <c r="CJ3" s="225">
        <f>IF(DASHBOARD!$M$2-DASHBOARD!$M$1&gt;=42,"Day "&amp;43,"")</f>
        <v/>
      </c>
      <c r="CL3" s="225">
        <f>IF(DASHBOARD!$M$2-DASHBOARD!$M$1&gt;=43,"Day "&amp;44,"")</f>
        <v/>
      </c>
      <c r="CN3" s="225">
        <f>IF(DASHBOARD!$M$2-DASHBOARD!$M$1&gt;=44,"Day "&amp;45,"")</f>
        <v/>
      </c>
      <c r="CP3" s="225">
        <f>IF(DASHBOARD!$M$2-DASHBOARD!$M$1&gt;=45,"Day "&amp;46,"")</f>
        <v/>
      </c>
      <c r="CR3" s="225">
        <f>IF(DASHBOARD!$M$2-DASHBOARD!$M$1&gt;=46,"Day "&amp;47,"")</f>
        <v/>
      </c>
      <c r="CT3" s="225">
        <f>IF(DASHBOARD!$M$2-DASHBOARD!$M$1&gt;=47,"Day "&amp;48,"")</f>
        <v/>
      </c>
      <c r="CV3" s="225">
        <f>IF(DASHBOARD!$M$2-DASHBOARD!$M$1&gt;=48,"Day "&amp;49,"")</f>
        <v/>
      </c>
      <c r="CX3" s="225">
        <f>IF(DASHBOARD!$M$2-DASHBOARD!$M$1&gt;=49,"Day "&amp;50,"")</f>
        <v/>
      </c>
    </row>
    <row r="4" ht="15" customHeight="1" s="128">
      <c r="D4" s="228">
        <f>IF(DASHBOARD!$M$2-DASHBOARD!$M$1&gt;=0,DASHBOARD!$M$1+0,"")</f>
        <v/>
      </c>
      <c r="F4" s="228">
        <f>IF(DASHBOARD!$M$2-DASHBOARD!$M$1&gt;=1,DASHBOARD!$M$1+1,"")</f>
        <v/>
      </c>
      <c r="H4" s="228">
        <f>IF(DASHBOARD!$M$2-DASHBOARD!$M$1&gt;=2,DASHBOARD!$M$1+2,"")</f>
        <v/>
      </c>
      <c r="J4" s="228">
        <f>IF(DASHBOARD!$M$2-DASHBOARD!$M$1&gt;=3,DASHBOARD!$M$1+3,"")</f>
        <v/>
      </c>
      <c r="L4" s="228">
        <f>IF(DASHBOARD!$M$2-DASHBOARD!$M$1&gt;=4,DASHBOARD!$M$1+4,"")</f>
        <v/>
      </c>
      <c r="N4" s="228">
        <f>IF(DASHBOARD!$M$2-DASHBOARD!$M$1&gt;=5,DASHBOARD!$M$1+5,"")</f>
        <v/>
      </c>
      <c r="P4" s="228">
        <f>IF(DASHBOARD!$M$2-DASHBOARD!$M$1&gt;=6,DASHBOARD!$M$1+6,"")</f>
        <v/>
      </c>
      <c r="R4" s="228">
        <f>IF(DASHBOARD!$M$2-DASHBOARD!$M$1&gt;=7,DASHBOARD!$M$1+7,"")</f>
        <v/>
      </c>
      <c r="T4" s="228">
        <f>IF(DASHBOARD!$M$2-DASHBOARD!$M$1&gt;=8,DASHBOARD!$M$1+8,"")</f>
        <v/>
      </c>
      <c r="V4" s="228">
        <f>IF(DASHBOARD!$M$2-DASHBOARD!$M$1&gt;=9,DASHBOARD!$M$1+9,"")</f>
        <v/>
      </c>
      <c r="X4" s="228">
        <f>IF(DASHBOARD!$M$2-DASHBOARD!$M$1&gt;=10,DASHBOARD!$M$1+10,"")</f>
        <v/>
      </c>
      <c r="Z4" s="228">
        <f>IF(DASHBOARD!$M$2-DASHBOARD!$M$1&gt;=11,DASHBOARD!$M$1+11,"")</f>
        <v/>
      </c>
      <c r="AB4" s="228">
        <f>IF(DASHBOARD!$M$2-DASHBOARD!$M$1&gt;=12,DASHBOARD!$M$1+12,"")</f>
        <v/>
      </c>
      <c r="AD4" s="228">
        <f>IF(DASHBOARD!$M$2-DASHBOARD!$M$1&gt;=13,DASHBOARD!$M$1+13,"")</f>
        <v/>
      </c>
      <c r="AF4" s="228">
        <f>IF(DASHBOARD!$M$2-DASHBOARD!$M$1&gt;=14,DASHBOARD!$M$1+14,"")</f>
        <v/>
      </c>
      <c r="AH4" s="228">
        <f>IF(DASHBOARD!$M$2-DASHBOARD!$M$1&gt;=15,DASHBOARD!$M$1+15,"")</f>
        <v/>
      </c>
      <c r="AJ4" s="228">
        <f>IF(DASHBOARD!$M$2-DASHBOARD!$M$1&gt;=16,DASHBOARD!$M$1+16,"")</f>
        <v/>
      </c>
      <c r="AL4" s="228">
        <f>IF(DASHBOARD!$M$2-DASHBOARD!$M$1&gt;=17,DASHBOARD!$M$1+17,"")</f>
        <v/>
      </c>
      <c r="AN4" s="228">
        <f>IF(DASHBOARD!$M$2-DASHBOARD!$M$1&gt;=18,DASHBOARD!$M$1+18,"")</f>
        <v/>
      </c>
      <c r="AP4" s="228">
        <f>IF(DASHBOARD!$M$2-DASHBOARD!$M$1&gt;=19,DASHBOARD!$M$1+19,"")</f>
        <v/>
      </c>
      <c r="AR4" s="228">
        <f>IF(DASHBOARD!$M$2-DASHBOARD!$M$1&gt;=20,DASHBOARD!$M$1+20,"")</f>
        <v/>
      </c>
      <c r="AT4" s="228">
        <f>IF(DASHBOARD!$M$2-DASHBOARD!$M$1&gt;=21,DASHBOARD!$M$1+21,"")</f>
        <v/>
      </c>
      <c r="AV4" s="228">
        <f>IF(DASHBOARD!$M$2-DASHBOARD!$M$1&gt;=22,DASHBOARD!$M$1+22,"")</f>
        <v/>
      </c>
      <c r="AX4" s="228">
        <f>IF(DASHBOARD!$M$2-DASHBOARD!$M$1&gt;=23,DASHBOARD!$M$1+23,"")</f>
        <v/>
      </c>
      <c r="AZ4" s="228">
        <f>IF(DASHBOARD!$M$2-DASHBOARD!$M$1&gt;=24,DASHBOARD!$M$1+24,"")</f>
        <v/>
      </c>
      <c r="BB4" s="228">
        <f>IF(DASHBOARD!$M$2-DASHBOARD!$M$1&gt;=25,DASHBOARD!$M$1+25,"")</f>
        <v/>
      </c>
      <c r="BD4" s="228">
        <f>IF(DASHBOARD!$M$2-DASHBOARD!$M$1&gt;=26,DASHBOARD!$M$1+26,"")</f>
        <v/>
      </c>
      <c r="BF4" s="228">
        <f>IF(DASHBOARD!$M$2-DASHBOARD!$M$1&gt;=27,DASHBOARD!$M$1+27,"")</f>
        <v/>
      </c>
      <c r="BH4" s="228">
        <f>IF(DASHBOARD!$M$2-DASHBOARD!$M$1&gt;=28,DASHBOARD!$M$1+28,"")</f>
        <v/>
      </c>
      <c r="BJ4" s="228">
        <f>IF(DASHBOARD!$M$2-DASHBOARD!$M$1&gt;=29,DASHBOARD!$M$1+29,"")</f>
        <v/>
      </c>
      <c r="BL4" s="228">
        <f>IF(DASHBOARD!$M$2-DASHBOARD!$M$1&gt;=30,DASHBOARD!$M$1+30,"")</f>
        <v/>
      </c>
      <c r="BN4" s="228">
        <f>IF(DASHBOARD!$M$2-DASHBOARD!$M$1&gt;=31,DASHBOARD!$M$1+31,"")</f>
        <v/>
      </c>
      <c r="BP4" s="228">
        <f>IF(DASHBOARD!$M$2-DASHBOARD!$M$1&gt;=32,DASHBOARD!$M$1+32,"")</f>
        <v/>
      </c>
      <c r="BR4" s="228">
        <f>IF(DASHBOARD!$M$2-DASHBOARD!$M$1&gt;=33,DASHBOARD!$M$1+33,"")</f>
        <v/>
      </c>
      <c r="BT4" s="228">
        <f>IF(DASHBOARD!$M$2-DASHBOARD!$M$1&gt;=34,DASHBOARD!$M$1+34,"")</f>
        <v/>
      </c>
      <c r="BV4" s="228">
        <f>IF(DASHBOARD!$M$2-DASHBOARD!$M$1&gt;=35,DASHBOARD!$M$1+35,"")</f>
        <v/>
      </c>
      <c r="BX4" s="228">
        <f>IF(DASHBOARD!$M$2-DASHBOARD!$M$1&gt;=36,DASHBOARD!$M$1+36,"")</f>
        <v/>
      </c>
      <c r="BZ4" s="228">
        <f>IF(DASHBOARD!$M$2-DASHBOARD!$M$1&gt;=37,DASHBOARD!$M$1+37,"")</f>
        <v/>
      </c>
      <c r="CB4" s="228">
        <f>IF(DASHBOARD!$M$2-DASHBOARD!$M$1&gt;=38,DASHBOARD!$M$1+38,"")</f>
        <v/>
      </c>
      <c r="CD4" s="229">
        <f>IF(DASHBOARD!$M$2-DASHBOARD!$M$1&gt;=39,DASHBOARD!$M$1+39,"")</f>
        <v/>
      </c>
      <c r="CF4" s="229">
        <f>IF(DASHBOARD!$M$2-DASHBOARD!$M$1&gt;=40,DASHBOARD!$M$1+40,"")</f>
        <v/>
      </c>
      <c r="CH4" s="229">
        <f>IF(DASHBOARD!$M$2-DASHBOARD!$M$1&gt;=41,DASHBOARD!$M$1+41,"")</f>
        <v/>
      </c>
      <c r="CJ4" s="229">
        <f>IF(DASHBOARD!$M$2-DASHBOARD!$M$1&gt;=42,DASHBOARD!$M$1+42,"")</f>
        <v/>
      </c>
      <c r="CL4" s="229">
        <f>IF(DASHBOARD!$M$2-DASHBOARD!$M$1&gt;=43,DASHBOARD!$M$1+43,"")</f>
        <v/>
      </c>
      <c r="CN4" s="229">
        <f>IF(DASHBOARD!$M$2-DASHBOARD!$M$1&gt;=44,DASHBOARD!$M$1+44,"")</f>
        <v/>
      </c>
      <c r="CP4" s="229">
        <f>IF(DASHBOARD!$M$2-DASHBOARD!$M$1&gt;=45,DASHBOARD!$M$1+45,"")</f>
        <v/>
      </c>
      <c r="CR4" s="229">
        <f>IF(DASHBOARD!$M$2-DASHBOARD!$M$1&gt;=46,DASHBOARD!$M$1+46,"")</f>
        <v/>
      </c>
      <c r="CT4" s="229">
        <f>IF(DASHBOARD!$M$2-DASHBOARD!$M$1&gt;=47,DASHBOARD!$M$1+47,"")</f>
        <v/>
      </c>
      <c r="CV4" s="229">
        <f>IF(DASHBOARD!$M$2-DASHBOARD!$M$1&gt;=48,DASHBOARD!$M$1+48,"")</f>
        <v/>
      </c>
      <c r="CX4" s="229">
        <f>IF(DASHBOARD!$M$2-DASHBOARD!$M$1&gt;=49,DASHBOARD!$M$1+49,"")</f>
        <v/>
      </c>
    </row>
    <row r="5" ht="10.95" customHeight="1" s="128">
      <c r="D5" s="230">
        <f>IF(DASHBOARD!$M$2-DASHBOARD!$M$1&gt;=0,"D","")</f>
        <v/>
      </c>
      <c r="E5" s="231">
        <f>IF(DASHBOARD!$M$2-DASHBOARD!$M$1&gt;=0,"T","")</f>
        <v/>
      </c>
      <c r="F5" s="230">
        <f>IF(DASHBOARD!$M$2-DASHBOARD!$M$1&gt;=1,"D","")</f>
        <v/>
      </c>
      <c r="G5" s="231">
        <f>IF(DASHBOARD!$M$2-DASHBOARD!$M$1&gt;=1,"T","")</f>
        <v/>
      </c>
      <c r="H5" s="230">
        <f>IF(DASHBOARD!$M$2-DASHBOARD!$M$1&gt;=2,"D","")</f>
        <v/>
      </c>
      <c r="I5" s="231">
        <f>IF(DASHBOARD!$M$2-DASHBOARD!$M$1&gt;=2,"T","")</f>
        <v/>
      </c>
      <c r="J5" s="230">
        <f>IF(DASHBOARD!$M$2-DASHBOARD!$M$1&gt;=3,"D","")</f>
        <v/>
      </c>
      <c r="K5" s="231">
        <f>IF(DASHBOARD!$M$2-DASHBOARD!$M$1&gt;=3,"T","")</f>
        <v/>
      </c>
      <c r="L5" s="230">
        <f>IF(DASHBOARD!$M$2-DASHBOARD!$M$1&gt;=4,"D","")</f>
        <v/>
      </c>
      <c r="M5" s="231">
        <f>IF(DASHBOARD!$M$2-DASHBOARD!$M$1&gt;=4,"T","")</f>
        <v/>
      </c>
      <c r="N5" s="230">
        <f>IF(DASHBOARD!$M$2-DASHBOARD!$M$1&gt;=5,"D","")</f>
        <v/>
      </c>
      <c r="O5" s="231">
        <f>IF(DASHBOARD!$M$2-DASHBOARD!$M$1&gt;=5,"T","")</f>
        <v/>
      </c>
      <c r="P5" s="230">
        <f>IF(DASHBOARD!$M$2-DASHBOARD!$M$1&gt;=6,"D","")</f>
        <v/>
      </c>
      <c r="Q5" s="231">
        <f>IF(DASHBOARD!$M$2-DASHBOARD!$M$1&gt;=6,"T","")</f>
        <v/>
      </c>
      <c r="R5" s="230">
        <f>IF(DASHBOARD!$M$2-DASHBOARD!$M$1&gt;=7,"D","")</f>
        <v/>
      </c>
      <c r="S5" s="231">
        <f>IF(DASHBOARD!$M$2-DASHBOARD!$M$1&gt;=7,"T","")</f>
        <v/>
      </c>
      <c r="T5" s="230">
        <f>IF(DASHBOARD!$M$2-DASHBOARD!$M$1&gt;=8,"D","")</f>
        <v/>
      </c>
      <c r="U5" s="231">
        <f>IF(DASHBOARD!$M$2-DASHBOARD!$M$1&gt;=8,"T","")</f>
        <v/>
      </c>
      <c r="V5" s="230">
        <f>IF(DASHBOARD!$M$2-DASHBOARD!$M$1&gt;=9,"D","")</f>
        <v/>
      </c>
      <c r="W5" s="231">
        <f>IF(DASHBOARD!$M$2-DASHBOARD!$M$1&gt;=9,"T","")</f>
        <v/>
      </c>
      <c r="X5" s="230">
        <f>IF(DASHBOARD!$M$2-DASHBOARD!$M$1&gt;=10,"D","")</f>
        <v/>
      </c>
      <c r="Y5" s="231">
        <f>IF(DASHBOARD!$M$2-DASHBOARD!$M$1&gt;=10,"T","")</f>
        <v/>
      </c>
      <c r="Z5" s="230">
        <f>IF(DASHBOARD!$M$2-DASHBOARD!$M$1&gt;=11,"D","")</f>
        <v/>
      </c>
      <c r="AA5" s="231">
        <f>IF(DASHBOARD!$M$2-DASHBOARD!$M$1&gt;=11,"T","")</f>
        <v/>
      </c>
      <c r="AB5" s="230">
        <f>IF(DASHBOARD!$M$2-DASHBOARD!$M$1&gt;=12,"D","")</f>
        <v/>
      </c>
      <c r="AC5" s="231">
        <f>IF(DASHBOARD!$M$2-DASHBOARD!$M$1&gt;=12,"T","")</f>
        <v/>
      </c>
      <c r="AD5" s="230">
        <f>IF(DASHBOARD!$M$2-DASHBOARD!$M$1&gt;=13,"D","")</f>
        <v/>
      </c>
      <c r="AE5" s="231">
        <f>IF(DASHBOARD!$M$2-DASHBOARD!$M$1&gt;=13,"T","")</f>
        <v/>
      </c>
      <c r="AF5" s="230">
        <f>IF(DASHBOARD!$M$2-DASHBOARD!$M$1&gt;=14,"D","")</f>
        <v/>
      </c>
      <c r="AG5" s="231">
        <f>IF(DASHBOARD!$M$2-DASHBOARD!$M$1&gt;=14,"T","")</f>
        <v/>
      </c>
      <c r="AH5" s="230">
        <f>IF(DASHBOARD!$M$2-DASHBOARD!$M$1&gt;=15,"D","")</f>
        <v/>
      </c>
      <c r="AI5" s="231">
        <f>IF(DASHBOARD!$M$2-DASHBOARD!$M$1&gt;=15,"T","")</f>
        <v/>
      </c>
      <c r="AJ5" s="230">
        <f>IF(DASHBOARD!$M$2-DASHBOARD!$M$1&gt;=16,"D","")</f>
        <v/>
      </c>
      <c r="AK5" s="231">
        <f>IF(DASHBOARD!$M$2-DASHBOARD!$M$1&gt;=16,"T","")</f>
        <v/>
      </c>
      <c r="AL5" s="230">
        <f>IF(DASHBOARD!$M$2-DASHBOARD!$M$1&gt;=17,"D","")</f>
        <v/>
      </c>
      <c r="AM5" s="231">
        <f>IF(DASHBOARD!$M$2-DASHBOARD!$M$1&gt;=17,"T","")</f>
        <v/>
      </c>
      <c r="AN5" s="230">
        <f>IF(DASHBOARD!$M$2-DASHBOARD!$M$1&gt;=18,"D","")</f>
        <v/>
      </c>
      <c r="AO5" s="231">
        <f>IF(DASHBOARD!$M$2-DASHBOARD!$M$1&gt;=18,"T","")</f>
        <v/>
      </c>
      <c r="AP5" s="230">
        <f>IF(DASHBOARD!$M$2-DASHBOARD!$M$1&gt;=19,"D","")</f>
        <v/>
      </c>
      <c r="AQ5" s="231">
        <f>IF(DASHBOARD!$M$2-DASHBOARD!$M$1&gt;=19,"T","")</f>
        <v/>
      </c>
      <c r="AR5" s="230">
        <f>IF(DASHBOARD!$M$2-DASHBOARD!$M$1&gt;=20,"D","")</f>
        <v/>
      </c>
      <c r="AS5" s="231">
        <f>IF(DASHBOARD!$M$2-DASHBOARD!$M$1&gt;=20,"T","")</f>
        <v/>
      </c>
      <c r="AT5" s="230">
        <f>IF(DASHBOARD!$M$2-DASHBOARD!$M$1&gt;=21,"D","")</f>
        <v/>
      </c>
      <c r="AU5" s="231">
        <f>IF(DASHBOARD!$M$2-DASHBOARD!$M$1&gt;=21,"T","")</f>
        <v/>
      </c>
      <c r="AV5" s="230">
        <f>IF(DASHBOARD!$M$2-DASHBOARD!$M$1&gt;=22,"D","")</f>
        <v/>
      </c>
      <c r="AW5" s="231">
        <f>IF(DASHBOARD!$M$2-DASHBOARD!$M$1&gt;=22,"T","")</f>
        <v/>
      </c>
      <c r="AX5" s="230">
        <f>IF(DASHBOARD!$M$2-DASHBOARD!$M$1&gt;=23,"D","")</f>
        <v/>
      </c>
      <c r="AY5" s="231">
        <f>IF(DASHBOARD!$M$2-DASHBOARD!$M$1&gt;=23,"T","")</f>
        <v/>
      </c>
      <c r="AZ5" s="230">
        <f>IF(DASHBOARD!$M$2-DASHBOARD!$M$1&gt;=24,"D","")</f>
        <v/>
      </c>
      <c r="BA5" s="231">
        <f>IF(DASHBOARD!$M$2-DASHBOARD!$M$1&gt;=24,"T","")</f>
        <v/>
      </c>
      <c r="BB5" s="230">
        <f>IF(DASHBOARD!$M$2-DASHBOARD!$M$1&gt;=25,"D","")</f>
        <v/>
      </c>
      <c r="BC5" s="231">
        <f>IF(DASHBOARD!$M$2-DASHBOARD!$M$1&gt;=25,"T","")</f>
        <v/>
      </c>
      <c r="BD5" s="230">
        <f>IF(DASHBOARD!$M$2-DASHBOARD!$M$1&gt;=26,"D","")</f>
        <v/>
      </c>
      <c r="BE5" s="231">
        <f>IF(DASHBOARD!$M$2-DASHBOARD!$M$1&gt;=26,"T","")</f>
        <v/>
      </c>
      <c r="BF5" s="230">
        <f>IF(DASHBOARD!$M$2-DASHBOARD!$M$1&gt;=27,"D","")</f>
        <v/>
      </c>
      <c r="BG5" s="231">
        <f>IF(DASHBOARD!$M$2-DASHBOARD!$M$1&gt;=27,"T","")</f>
        <v/>
      </c>
      <c r="BH5" s="230">
        <f>IF(DASHBOARD!$M$2-DASHBOARD!$M$1&gt;=28,"D","")</f>
        <v/>
      </c>
      <c r="BI5" s="231">
        <f>IF(DASHBOARD!$M$2-DASHBOARD!$M$1&gt;=28,"T","")</f>
        <v/>
      </c>
      <c r="BJ5" s="230">
        <f>IF(DASHBOARD!$M$2-DASHBOARD!$M$1&gt;=29,"D","")</f>
        <v/>
      </c>
      <c r="BK5" s="231">
        <f>IF(DASHBOARD!$M$2-DASHBOARD!$M$1&gt;=29,"T","")</f>
        <v/>
      </c>
      <c r="BL5" s="230">
        <f>IF(DASHBOARD!$M$2-DASHBOARD!$M$1&gt;=30,"D","")</f>
        <v/>
      </c>
      <c r="BM5" s="231">
        <f>IF(DASHBOARD!$M$2-DASHBOARD!$M$1&gt;=30,"T","")</f>
        <v/>
      </c>
      <c r="BN5" s="230">
        <f>IF(DASHBOARD!$M$2-DASHBOARD!$M$1&gt;=31,"D","")</f>
        <v/>
      </c>
      <c r="BO5" s="231">
        <f>IF(DASHBOARD!$M$2-DASHBOARD!$M$1&gt;=31,"T","")</f>
        <v/>
      </c>
      <c r="BP5" s="230">
        <f>IF(DASHBOARD!$M$2-DASHBOARD!$M$1&gt;=32,"D","")</f>
        <v/>
      </c>
      <c r="BQ5" s="231">
        <f>IF(DASHBOARD!$M$2-DASHBOARD!$M$1&gt;=32,"T","")</f>
        <v/>
      </c>
      <c r="BR5" s="230">
        <f>IF(DASHBOARD!$M$2-DASHBOARD!$M$1&gt;=33,"D","")</f>
        <v/>
      </c>
      <c r="BS5" s="231">
        <f>IF(DASHBOARD!$M$2-DASHBOARD!$M$1&gt;=33,"T","")</f>
        <v/>
      </c>
      <c r="BT5" s="230">
        <f>IF(DASHBOARD!$M$2-DASHBOARD!$M$1&gt;=34,"D","")</f>
        <v/>
      </c>
      <c r="BU5" s="231">
        <f>IF(DASHBOARD!$M$2-DASHBOARD!$M$1&gt;=34,"T","")</f>
        <v/>
      </c>
      <c r="BV5" s="230">
        <f>IF(DASHBOARD!$M$2-DASHBOARD!$M$1&gt;=35,"D","")</f>
        <v/>
      </c>
      <c r="BW5" s="231">
        <f>IF(DASHBOARD!$M$2-DASHBOARD!$M$1&gt;=35,"T","")</f>
        <v/>
      </c>
      <c r="BX5" s="230">
        <f>IF(DASHBOARD!$M$2-DASHBOARD!$M$1&gt;=36,"D","")</f>
        <v/>
      </c>
      <c r="BY5" s="231">
        <f>IF(DASHBOARD!$M$2-DASHBOARD!$M$1&gt;=36,"T","")</f>
        <v/>
      </c>
      <c r="BZ5" s="230">
        <f>IF(DASHBOARD!$M$2-DASHBOARD!$M$1&gt;=37,"D","")</f>
        <v/>
      </c>
      <c r="CA5" s="231">
        <f>IF(DASHBOARD!$M$2-DASHBOARD!$M$1&gt;=37,"T","")</f>
        <v/>
      </c>
      <c r="CB5" s="230">
        <f>IF(DASHBOARD!$M$2-DASHBOARD!$M$1&gt;=38,"D","")</f>
        <v/>
      </c>
      <c r="CC5" s="231">
        <f>IF(DASHBOARD!$M$2-DASHBOARD!$M$1&gt;=38,"T","")</f>
        <v/>
      </c>
      <c r="CD5" s="230">
        <f>IF(DASHBOARD!$M$2-DASHBOARD!$M$1&gt;=39,"D","")</f>
        <v/>
      </c>
      <c r="CE5" s="231">
        <f>IF(DASHBOARD!$M$2-DASHBOARD!$M$1&gt;=39,"T","")</f>
        <v/>
      </c>
      <c r="CF5" s="230">
        <f>IF(DASHBOARD!$M$2-DASHBOARD!$M$1&gt;=40,"D","")</f>
        <v/>
      </c>
      <c r="CG5" s="231">
        <f>IF(DASHBOARD!$M$2-DASHBOARD!$M$1&gt;=40,"T","")</f>
        <v/>
      </c>
      <c r="CH5" s="230">
        <f>IF(DASHBOARD!$M$2-DASHBOARD!$M$1&gt;=41,"D","")</f>
        <v/>
      </c>
      <c r="CI5" s="231">
        <f>IF(DASHBOARD!$M$2-DASHBOARD!$M$1&gt;=41,"T","")</f>
        <v/>
      </c>
      <c r="CJ5" s="230">
        <f>IF(DASHBOARD!$M$2-DASHBOARD!$M$1&gt;=42,"D","")</f>
        <v/>
      </c>
      <c r="CK5" s="231">
        <f>IF(DASHBOARD!$M$2-DASHBOARD!$M$1&gt;=42,"T","")</f>
        <v/>
      </c>
      <c r="CL5" s="230">
        <f>IF(DASHBOARD!$M$2-DASHBOARD!$M$1&gt;=43,"D","")</f>
        <v/>
      </c>
      <c r="CM5" s="231">
        <f>IF(DASHBOARD!$M$2-DASHBOARD!$M$1&gt;=43,"T","")</f>
        <v/>
      </c>
      <c r="CN5" s="230">
        <f>IF(DASHBOARD!$M$2-DASHBOARD!$M$1&gt;=44,"D","")</f>
        <v/>
      </c>
      <c r="CO5" s="231">
        <f>IF(DASHBOARD!$M$2-DASHBOARD!$M$1&gt;=44,"T","")</f>
        <v/>
      </c>
      <c r="CP5" s="230">
        <f>IF(DASHBOARD!$M$2-DASHBOARD!$M$1&gt;=45,"D","")</f>
        <v/>
      </c>
      <c r="CQ5" s="231">
        <f>IF(DASHBOARD!$M$2-DASHBOARD!$M$1&gt;=45,"T","")</f>
        <v/>
      </c>
      <c r="CR5" s="230">
        <f>IF(DASHBOARD!$M$2-DASHBOARD!$M$1&gt;=46,"D","")</f>
        <v/>
      </c>
      <c r="CS5" s="231">
        <f>IF(DASHBOARD!$M$2-DASHBOARD!$M$1&gt;=46,"T","")</f>
        <v/>
      </c>
      <c r="CT5" s="230">
        <f>IF(DASHBOARD!$M$2-DASHBOARD!$M$1&gt;=47,"D","")</f>
        <v/>
      </c>
      <c r="CU5" s="231">
        <f>IF(DASHBOARD!$M$2-DASHBOARD!$M$1&gt;=47,"T","")</f>
        <v/>
      </c>
      <c r="CV5" s="230">
        <f>IF(DASHBOARD!$M$2-DASHBOARD!$M$1&gt;=48,"D","")</f>
        <v/>
      </c>
      <c r="CW5" s="231">
        <f>IF(DASHBOARD!$M$2-DASHBOARD!$M$1&gt;=48,"T","")</f>
        <v/>
      </c>
      <c r="CX5" s="230">
        <f>IF(DASHBOARD!$M$2-DASHBOARD!$M$1&gt;=49,"D","")</f>
        <v/>
      </c>
      <c r="CY5" s="231">
        <f>IF(DASHBOARD!$M$2-DASHBOARD!$M$1&gt;=49,"T","")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>
        <v>46221.25</v>
      </c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>
        <v>46221.75</v>
      </c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>
        <v>46221.58333333334</v>
      </c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>
        <v>46221.58333333334</v>
      </c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>
        <v>46221.58333333334</v>
      </c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>
        <v>46258</v>
      </c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(DASHBOARD!$M$1+INT((COLUMN()-4)/2))=INT($B$19)</formula>
    </cfRule>
  </conditionalFormatting>
  <conditionalFormatting sqref="D25:CY25">
    <cfRule type="expression" priority="12" dxfId="103" stopIfTrue="1">
      <formula>(DASHBOARD!$M$1+INT((COLUMN()-4)/2))=INT($B$25)</formula>
    </cfRule>
  </conditionalFormatting>
  <conditionalFormatting sqref="D6:CY38">
    <cfRule type="expression" priority="13" dxfId="104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14" dxfId="105">
      <formula>AND(MOD(COLUMN(),2)=0,(DASHBOARD!$M$1+INT((COLUMN()-4)/2))=INT($B$19))</formula>
    </cfRule>
    <cfRule type="expression" priority="15" dxfId="106">
      <formula>AND(MOD(COLUMN(),2)=1,(DASHBOARD!$M$1+INT((COLUMN()-4)/2))=INT($B$25))</formula>
    </cfRule>
    <cfRule type="expression" priority="16" dxfId="110" stopIfTrue="1">
      <formula>(DASHBOARD!$M$1+INT((COLUMN()-4)/2))&gt;DASHBOARD!$M$2</formula>
    </cfRule>
    <cfRule type="expression" priority="17" dxfId="107">
      <formula>(DASHBOARD!$M$1+INT((COLUMN()-4)/2))=TODAY()</formula>
    </cfRule>
    <cfRule type="expression" priority="18" dxfId="108">
      <formula>(DASHBOARD!$M$1+INT((COLUMN()-4)/2))=DASHBOARD!$M$2</formula>
    </cfRule>
    <cfRule type="expression" priority="19" dxfId="109">
      <formula>OR(WEEKDAY((DASHBOARD!$M$1+INT((COLUMN()-4)/2)),2)=5,WEEKDAY((DASHBOARD!$M$1+INT((COLUMN()-4)/2)),2)=6)</formula>
    </cfRule>
  </conditionalFormatting>
  <conditionalFormatting sqref="D3:CY5">
    <cfRule type="expression" priority="20" dxfId="111" stopIfTrue="1">
      <formula>(DASHBOARD!$M$1+INT((COLUMN()-4)/2))&gt;DASHBOARD!$M$2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inlineStr">
        <is>
          <t>FWD GALLEY FITTINGS COVERS</t>
        </is>
      </c>
      <c r="C4" s="84" t="inlineStr">
        <is>
          <t>FWD</t>
        </is>
      </c>
      <c r="D4" s="84" t="n"/>
      <c r="E4" s="83" t="n">
        <v>40000706</v>
      </c>
      <c r="F4" s="84" t="inlineStr">
        <is>
          <t>Open</t>
        </is>
      </c>
      <c r="G4" s="85" t="n">
        <v>46222</v>
      </c>
      <c r="H4" s="83" t="n"/>
      <c r="I4" s="85" t="n"/>
      <c r="J4" s="83" t="inlineStr">
        <is>
          <t>FOR INSP ACCESS</t>
        </is>
      </c>
    </row>
    <row r="5" ht="15.6" customHeight="1" s="128">
      <c r="A5" s="82">
        <f>IF(B5&lt;&gt;"",ROW()-3,"")</f>
        <v/>
      </c>
      <c r="B5" s="83" t="inlineStr">
        <is>
          <t>AFT GALLEY FITTINGS COVERS</t>
        </is>
      </c>
      <c r="C5" s="84" t="inlineStr">
        <is>
          <t>AFT</t>
        </is>
      </c>
      <c r="D5" s="84" t="n"/>
      <c r="E5" s="83" t="n">
        <v>13009042</v>
      </c>
      <c r="F5" s="84" t="inlineStr">
        <is>
          <t>Open</t>
        </is>
      </c>
      <c r="G5" s="85" t="n">
        <v>46222</v>
      </c>
      <c r="H5" s="83" t="n"/>
      <c r="I5" s="85" t="n"/>
      <c r="J5" s="83" t="inlineStr">
        <is>
          <t>FOR INSP ACCESS</t>
        </is>
      </c>
    </row>
    <row r="6" ht="15.6" customHeight="1" s="128">
      <c r="A6" s="82" t="n"/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 t="n"/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 t="n"/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2026-07-21T07:52:40Z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