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PKG'!$A$1:$J$1205</definedName>
  </definedNames>
  <calcPr calcId="191028" calcMode="auto" fullCalcOnLoad="1"/>
</workbook>
</file>

<file path=xl/styles.xml><?xml version="1.0" encoding="utf-8"?>
<styleSheet xmlns="http://schemas.openxmlformats.org/spreadsheetml/2006/main">
  <numFmts count="8">
    <numFmt numFmtId="164" formatCode="dd\-mmm"/>
    <numFmt numFmtId="165" formatCode="dd\-mmm\-yyyy"/>
    <numFmt numFmtId="166" formatCode=";;;"/>
    <numFmt numFmtId="167" formatCode="ddd\ \ dd\-mmm"/>
    <numFmt numFmtId="168" formatCode="0.0"/>
    <numFmt numFmtId="169" formatCode="DD-MMM"/>
    <numFmt numFmtId="170" formatCode="yyyy-mm-dd"/>
    <numFmt numFmtId="171" formatCode="D-MMM"/>
  </numFmts>
  <fonts count="173">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
      <name val="Arial"/>
      <b val="1"/>
      <color rgb="001A3C6E"/>
      <sz val="9.5"/>
    </font>
    <font>
      <name val="Arial"/>
      <b val="1"/>
      <color rgb="0064748B"/>
      <sz val="8"/>
    </font>
    <font>
      <name val="Arial"/>
      <b val="1"/>
      <color rgb="001A3C6E"/>
      <sz val="15"/>
    </font>
  </fonts>
  <fills count="61">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
      <patternFill patternType="solid">
        <fgColor rgb="00E8F0FE"/>
      </patternFill>
    </fill>
    <fill>
      <patternFill patternType="solid">
        <fgColor rgb="001A3C6E"/>
      </patternFill>
    </fill>
    <fill>
      <patternFill patternType="solid">
        <fgColor rgb="00EEF3FB"/>
      </patternFill>
    </fill>
    <fill>
      <patternFill patternType="solid">
        <fgColor rgb="00F6F9FE"/>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9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xf numFmtId="0" fontId="170" fillId="57" borderId="19" applyAlignment="1" pivotButton="0" quotePrefix="0" xfId="0">
      <alignment horizontal="left" vertical="center" indent="1"/>
    </xf>
    <xf numFmtId="0" fontId="162" fillId="0" borderId="31" applyAlignment="1" pivotButton="0" quotePrefix="0" xfId="0">
      <alignment horizontal="center" vertical="center"/>
    </xf>
    <xf numFmtId="0" fontId="168" fillId="58" borderId="0" applyAlignment="1" pivotButton="0" quotePrefix="0" xfId="0">
      <alignment horizontal="left" vertical="center"/>
    </xf>
    <xf numFmtId="0" fontId="171" fillId="59" borderId="0" applyAlignment="1" pivotButton="0" quotePrefix="0" xfId="0">
      <alignment horizontal="center" vertical="center"/>
    </xf>
    <xf numFmtId="0" fontId="172" fillId="60" borderId="0" applyAlignment="1" pivotButton="0" quotePrefix="0" xfId="0">
      <alignment horizontal="center" vertical="center"/>
    </xf>
    <xf numFmtId="9" fontId="172" fillId="60" borderId="0" applyAlignment="1" pivotButton="0" quotePrefix="0" xfId="0">
      <alignment horizontal="center" vertical="center"/>
    </xf>
    <xf numFmtId="3" fontId="172" fillId="60" borderId="0" applyAlignment="1" pivotButton="0" quotePrefix="0" xfId="0">
      <alignment horizontal="center" vertical="center"/>
    </xf>
    <xf numFmtId="171" fontId="167" fillId="0" borderId="31" applyAlignment="1" pivotButton="0" quotePrefix="0" xfId="0">
      <alignment horizontal="left" vertical="center"/>
    </xf>
  </cellXfs>
  <cellStyles count="1">
    <cellStyle name="Normal" xfId="0" builtinId="0"/>
  </cellStyles>
  <dxfs count="131">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
      <fill>
        <patternFill patternType="solid">
          <fgColor rgb="00E9EBEE"/>
          <bgColor rgb="00E9EBEE"/>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80"/>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 customHeight="1">
      <c r="A65" s="289" t="n"/>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 customHeight="1">
      <c r="A78" s="291" t="inlineStr">
        <is>
          <t xml:space="preserve">  ✈️ AIRCRAFT PACKAGE — ALL TRADES  (whole-aircraft AMOS data · separate from cabin stats above)</t>
        </is>
      </c>
    </row>
    <row r="79" ht="13" customHeight="1">
      <c r="A79" s="292" t="inlineStr">
        <is>
          <t>TOTAL</t>
        </is>
      </c>
      <c r="B79" s="292" t="inlineStr">
        <is>
          <t>CLOSED</t>
        </is>
      </c>
      <c r="C79" s="292" t="inlineStr">
        <is>
          <t>OPEN</t>
        </is>
      </c>
      <c r="D79" s="292" t="inlineStr">
        <is>
          <t>DONE</t>
        </is>
      </c>
      <c r="E79" s="292" t="inlineStr">
        <is>
          <t>TIME</t>
        </is>
      </c>
      <c r="F79" s="292" t="inlineStr">
        <is>
          <t>EST MH</t>
        </is>
      </c>
      <c r="G79" s="292" t="inlineStr">
        <is>
          <t>BOOKED</t>
        </is>
      </c>
    </row>
    <row r="80" ht="24" customHeight="1">
      <c r="A80" s="293">
        <f>COUNTIF('FULL PKG'!$B$2:$B$3000,"&lt;&gt;")</f>
        <v/>
      </c>
      <c r="B80" s="293">
        <f>COUNTIF('FULL PKG'!$H$2:$H$3000,"Closed")</f>
        <v/>
      </c>
      <c r="C80" s="293">
        <f>COUNTIF('FULL PKG'!$B$2:$B$3000,"&lt;&gt;")-COUNTIF('FULL PKG'!$H$2:$H$3000,"Closed")</f>
        <v/>
      </c>
      <c r="D80" s="294">
        <f>IFERROR(COUNTIF('FULL PKG'!$H$2:$H$3000,"Closed")/COUNTIF('FULL PKG'!$B$2:$B$3000,"&lt;&gt;"),0)</f>
        <v/>
      </c>
      <c r="E80" s="294">
        <f>MIN(MAX((TODAY()-DASHBOARD!$M$1+1)/(DASHBOARD!$M$2-DASHBOARD!$M$1+1),0),1)</f>
        <v/>
      </c>
      <c r="F80" s="295">
        <f>SUM('FULL PKG'!$E$2:$E$3000)</f>
        <v/>
      </c>
      <c r="G80" s="295">
        <f>SUM('FULL PKG'!$F$2:$F$3000)</f>
        <v/>
      </c>
    </row>
  </sheetData>
  <sheetProtection selectLockedCells="0" selectUnlockedCells="0" sheet="1" objects="0" insertRows="1" insertHyperlinks="1" autoFilter="1" scenarios="0" formatColumns="1" deleteColumns="1" insertColumns="1" pivotTables="1" deleteRows="1" formatCells="1" formatRows="1" sort="1"/>
  <mergeCells count="31">
    <mergeCell ref="A32:G32"/>
    <mergeCell ref="A8:G8"/>
    <mergeCell ref="A73:B73"/>
    <mergeCell ref="A67:B67"/>
    <mergeCell ref="A62:G62"/>
    <mergeCell ref="A1:E1"/>
    <mergeCell ref="A70:B70"/>
    <mergeCell ref="A19:G19"/>
    <mergeCell ref="A63:G63"/>
    <mergeCell ref="A10:G10"/>
    <mergeCell ref="A69:B69"/>
    <mergeCell ref="A13:G13"/>
    <mergeCell ref="A9:G9"/>
    <mergeCell ref="A75:B75"/>
    <mergeCell ref="A66:B66"/>
    <mergeCell ref="A64:G64"/>
    <mergeCell ref="A74:B74"/>
    <mergeCell ref="A11:G11"/>
    <mergeCell ref="A71:B71"/>
    <mergeCell ref="A78:G78"/>
    <mergeCell ref="E56:G56"/>
    <mergeCell ref="A7:G7"/>
    <mergeCell ref="A65:G65"/>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2.4" customWidth="1" min="4" max="79"/>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 width="2.4" customWidth="1" min="71" max="71"/>
    <col width="2.4" customWidth="1" min="72" max="72"/>
    <col width="2.4" customWidth="1" min="73" max="73"/>
    <col width="2.4" customWidth="1" min="74" max="74"/>
    <col width="2.4" customWidth="1" min="75" max="75"/>
    <col width="2.4" customWidth="1" min="76" max="76"/>
    <col width="2.4" customWidth="1" min="77" max="77"/>
    <col width="2.4" customWidth="1" min="78" max="78"/>
    <col width="2.4" customWidth="1" min="79" max="79"/>
    <col hidden="1" width="2.4" customWidth="1" min="80" max="103"/>
    <col width="2.4" customWidth="1" min="81" max="81"/>
    <col width="2.4" customWidth="1" min="82" max="82"/>
    <col width="2.4" customWidth="1" min="83" max="83"/>
    <col width="2.4" customWidth="1" min="84" max="84"/>
    <col width="2.4" customWidth="1" min="85" max="85"/>
    <col width="2.4" customWidth="1" min="86" max="86"/>
    <col width="2.4" customWidth="1" min="87" max="87"/>
    <col width="2.4" customWidth="1" min="88" max="88"/>
    <col width="2.4" customWidth="1" min="89" max="89"/>
    <col width="2.4" customWidth="1" min="90" max="90"/>
    <col width="2.4" customWidth="1" min="91" max="91"/>
    <col width="2.4" customWidth="1" min="92" max="92"/>
    <col width="2.4" customWidth="1" min="93" max="93"/>
    <col width="2.4" customWidth="1" min="94" max="94"/>
    <col width="2.4" customWidth="1" min="95" max="95"/>
    <col width="2.4" customWidth="1" min="96" max="96"/>
    <col width="2.4" customWidth="1" min="97" max="97"/>
    <col width="2.4" customWidth="1" min="98" max="98"/>
    <col width="2.4" customWidth="1" min="99" max="99"/>
    <col width="2.4" customWidth="1" min="100" max="100"/>
    <col width="2.4" customWidth="1" min="101" max="101"/>
    <col width="2.4" customWidth="1" min="102" max="102"/>
    <col width="2.4" customWidth="1" min="103" max="103"/>
    <col width="2.4" customWidth="1" min="104" max="104"/>
    <col width="2.4" customWidth="1" min="105" max="105"/>
    <col width="2.4" customWidth="1" min="106" max="106"/>
    <col width="2.4" customWidth="1" min="107" max="107"/>
    <col width="2.4" customWidth="1" min="108" max="108"/>
    <col width="2.4" customWidth="1" min="109" max="109"/>
    <col width="2.4" customWidth="1" min="110" max="110"/>
    <col width="2.4" customWidth="1" min="111" max="111"/>
    <col width="2.4" customWidth="1" min="112" max="112"/>
    <col width="2.4" customWidth="1" min="113" max="113"/>
    <col width="2.4" customWidth="1" min="114" max="114"/>
    <col width="2.4" customWidth="1" min="115" max="115"/>
    <col width="2.4" customWidth="1" min="116" max="116"/>
    <col width="2.4" customWidth="1" min="117" max="117"/>
    <col width="2.4" customWidth="1" min="118" max="118"/>
    <col width="2.4" customWidth="1" min="119" max="119"/>
    <col width="2.4" customWidth="1" min="120" max="120"/>
    <col width="2.4" customWidth="1" min="121" max="121"/>
    <col width="2.4" customWidth="1" min="122" max="122"/>
    <col width="2.4" customWidth="1" min="123" max="123"/>
    <col width="2.4" customWidth="1" min="124" max="124"/>
    <col width="2.4" customWidth="1" min="125" max="125"/>
    <col width="2.4" customWidth="1" min="126" max="126"/>
    <col width="2.4" customWidth="1" min="127" max="127"/>
    <col width="2.4" customWidth="1" min="128" max="128"/>
    <col width="2.4" customWidth="1" min="129" max="129"/>
    <col width="2.4" customWidth="1" min="130" max="130"/>
    <col width="2.4" customWidth="1" min="131" max="131"/>
    <col width="2.4" customWidth="1" min="132" max="132"/>
    <col width="2.4" customWidth="1" min="133" max="133"/>
    <col width="2.4" customWidth="1" min="134" max="134"/>
    <col width="2.4" customWidth="1" min="135" max="135"/>
    <col width="2.4" customWidth="1" min="136" max="136"/>
    <col width="2.4" customWidth="1" min="137" max="137"/>
    <col width="2.4" customWidth="1" min="138" max="138"/>
    <col width="2.4" customWidth="1" min="139" max="139"/>
    <col width="2.4" customWidth="1" min="140" max="140"/>
    <col width="2.4" customWidth="1" min="141" max="141"/>
    <col width="2.4" customWidth="1" min="142" max="142"/>
    <col width="2.4" customWidth="1" min="143" max="143"/>
    <col width="2.4" customWidth="1" min="144" max="144"/>
    <col width="2.4" customWidth="1" min="145" max="145"/>
    <col width="2.4" customWidth="1" min="146" max="146"/>
    <col width="2.4" customWidth="1" min="147" max="147"/>
    <col width="2.4" customWidth="1" min="148" max="148"/>
    <col width="2.4" customWidth="1" min="149" max="149"/>
    <col width="2.4" customWidth="1" min="150" max="150"/>
    <col width="2.4" customWidth="1" min="151" max="151"/>
    <col width="2.4" customWidth="1" min="152" max="152"/>
    <col width="2.4"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96" t="n">
        <v>46221</v>
      </c>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96" t="n">
        <v>46222</v>
      </c>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idden="1"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96" t="n">
        <v>46224</v>
      </c>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96" t="n">
        <v>46224</v>
      </c>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96" t="n">
        <v>46225</v>
      </c>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96" t="n">
        <v>46226</v>
      </c>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96" t="n">
        <v>46229</v>
      </c>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idden="1"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96" t="n">
        <v>46237</v>
      </c>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96" t="n">
        <v>46236</v>
      </c>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90">
        <f>IF((DASHBOARD!$M$1+INT((COLUMN()-4)/3))=INT($B$19),"◆","")</f>
        <v/>
      </c>
      <c r="E19" s="285" t="n"/>
      <c r="F19" s="286">
        <f>IF(DASHBOARD!$M$1+INT((COLUMN()-4)/2)=$B19,"◆ "&amp;TEXT($B19,"D MMM"),"")</f>
        <v/>
      </c>
      <c r="G19" s="290">
        <f>IF((DASHBOARD!$M$1+INT((COLUMN()-4)/3))=INT($B$19),"◆","")</f>
        <v/>
      </c>
      <c r="H19" s="285">
        <f>IF(DASHBOARD!$M$1+INT((COLUMN()-4)/2)=$B19,"◆ "&amp;TEXT($B19,"D MMM"),"")</f>
        <v/>
      </c>
      <c r="I19" s="286" t="n"/>
      <c r="J19" s="290">
        <f>IF((DASHBOARD!$M$1+INT((COLUMN()-4)/3))=INT($B$19),"◆","")</f>
        <v/>
      </c>
      <c r="K19" s="285" t="n"/>
      <c r="L19" s="286">
        <f>IF(DASHBOARD!$M$1+INT((COLUMN()-4)/2)=$B19,"◆ "&amp;TEXT($B19,"D MMM"),"")</f>
        <v/>
      </c>
      <c r="M19" s="290">
        <f>IF((DASHBOARD!$M$1+INT((COLUMN()-4)/3))=INT($B$19),"◆","")</f>
        <v/>
      </c>
      <c r="N19" s="285">
        <f>IF(DASHBOARD!$M$1+INT((COLUMN()-4)/2)=$B19,"◆ "&amp;TEXT($B19,"D MMM"),"")</f>
        <v/>
      </c>
      <c r="O19" s="286" t="n"/>
      <c r="P19" s="290">
        <f>IF((DASHBOARD!$M$1+INT((COLUMN()-4)/3))=INT($B$19),"◆","")</f>
        <v/>
      </c>
      <c r="Q19" s="285" t="n"/>
      <c r="R19" s="286">
        <f>IF(DASHBOARD!$M$1+INT((COLUMN()-4)/2)=$B19,"◆ "&amp;TEXT($B19,"D MMM"),"")</f>
        <v/>
      </c>
      <c r="S19" s="290">
        <f>IF((DASHBOARD!$M$1+INT((COLUMN()-4)/3))=INT($B$19),"◆","")</f>
        <v/>
      </c>
      <c r="T19" s="285">
        <f>IF(DASHBOARD!$M$1+INT((COLUMN()-4)/2)=$B19,"◆ "&amp;TEXT($B19,"D MMM"),"")</f>
        <v/>
      </c>
      <c r="U19" s="286" t="n"/>
      <c r="V19" s="290">
        <f>IF((DASHBOARD!$M$1+INT((COLUMN()-4)/3))=INT($B$19),"◆","")</f>
        <v/>
      </c>
      <c r="W19" s="285" t="n"/>
      <c r="X19" s="286">
        <f>IF(DASHBOARD!$M$1+INT((COLUMN()-4)/2)=$B19,"◆ "&amp;TEXT($B19,"D MMM"),"")</f>
        <v/>
      </c>
      <c r="Y19" s="290">
        <f>IF((DASHBOARD!$M$1+INT((COLUMN()-4)/3))=INT($B$19),"◆","")</f>
        <v/>
      </c>
      <c r="Z19" s="285">
        <f>IF(DASHBOARD!$M$1+INT((COLUMN()-4)/2)=$B19,"◆ "&amp;TEXT($B19,"D MMM"),"")</f>
        <v/>
      </c>
      <c r="AA19" s="286" t="n"/>
      <c r="AB19" s="290">
        <f>IF((DASHBOARD!$M$1+INT((COLUMN()-4)/3))=INT($B$19),"◆","")</f>
        <v/>
      </c>
      <c r="AC19" s="285" t="n"/>
      <c r="AD19" s="286">
        <f>IF(DASHBOARD!$M$1+INT((COLUMN()-4)/2)=$B19,"◆ "&amp;TEXT($B19,"D MMM"),"")</f>
        <v/>
      </c>
      <c r="AE19" s="290">
        <f>IF((DASHBOARD!$M$1+INT((COLUMN()-4)/3))=INT($B$19),"◆","")</f>
        <v/>
      </c>
      <c r="AF19" s="285">
        <f>IF(DASHBOARD!$M$1+INT((COLUMN()-4)/2)=$B19,"◆ "&amp;TEXT($B19,"D MMM"),"")</f>
        <v/>
      </c>
      <c r="AG19" s="286" t="n"/>
      <c r="AH19" s="290">
        <f>IF((DASHBOARD!$M$1+INT((COLUMN()-4)/3))=INT($B$19),"◆","")</f>
        <v/>
      </c>
      <c r="AI19" s="285" t="n"/>
      <c r="AJ19" s="286">
        <f>IF(DASHBOARD!$M$1+INT((COLUMN()-4)/2)=$B19,"◆ "&amp;TEXT($B19,"D MMM"),"")</f>
        <v/>
      </c>
      <c r="AK19" s="290">
        <f>IF((DASHBOARD!$M$1+INT((COLUMN()-4)/3))=INT($B$19),"◆","")</f>
        <v/>
      </c>
      <c r="AL19" s="285">
        <f>IF(DASHBOARD!$M$1+INT((COLUMN()-4)/2)=$B19,"◆ "&amp;TEXT($B19,"D MMM"),"")</f>
        <v/>
      </c>
      <c r="AM19" s="286" t="n"/>
      <c r="AN19" s="290">
        <f>IF((DASHBOARD!$M$1+INT((COLUMN()-4)/3))=INT($B$19),"◆","")</f>
        <v/>
      </c>
      <c r="AO19" s="285" t="n"/>
      <c r="AP19" s="286">
        <f>IF(DASHBOARD!$M$1+INT((COLUMN()-4)/2)=$B19,"◆ "&amp;TEXT($B19,"D MMM"),"")</f>
        <v/>
      </c>
      <c r="AQ19" s="290">
        <f>IF((DASHBOARD!$M$1+INT((COLUMN()-4)/3))=INT($B$19),"◆","")</f>
        <v/>
      </c>
      <c r="AR19" s="285">
        <f>IF(DASHBOARD!$M$1+INT((COLUMN()-4)/2)=$B19,"◆ "&amp;TEXT($B19,"D MMM"),"")</f>
        <v/>
      </c>
      <c r="AS19" s="286" t="n"/>
      <c r="AT19" s="290">
        <f>IF((DASHBOARD!$M$1+INT((COLUMN()-4)/3))=INT($B$19),"◆","")</f>
        <v/>
      </c>
      <c r="AU19" s="285" t="n"/>
      <c r="AV19" s="286">
        <f>IF(DASHBOARD!$M$1+INT((COLUMN()-4)/2)=$B19,"◆ "&amp;TEXT($B19,"D MMM"),"")</f>
        <v/>
      </c>
      <c r="AW19" s="290">
        <f>IF((DASHBOARD!$M$1+INT((COLUMN()-4)/3))=INT($B$19),"◆","")</f>
        <v/>
      </c>
      <c r="AX19" s="285">
        <f>IF(DASHBOARD!$M$1+INT((COLUMN()-4)/2)=$B19,"◆ "&amp;TEXT($B19,"D MMM"),"")</f>
        <v/>
      </c>
      <c r="AY19" s="286" t="n"/>
      <c r="AZ19" s="290">
        <f>IF((DASHBOARD!$M$1+INT((COLUMN()-4)/3))=INT($B$19),"◆","")</f>
        <v/>
      </c>
      <c r="BA19" s="285" t="n"/>
      <c r="BB19" s="286">
        <f>IF(DASHBOARD!$M$1+INT((COLUMN()-4)/2)=$B19,"◆ "&amp;TEXT($B19,"D MMM"),"")</f>
        <v/>
      </c>
      <c r="BC19" s="290">
        <f>IF((DASHBOARD!$M$1+INT((COLUMN()-4)/3))=INT($B$19),"◆","")</f>
        <v/>
      </c>
      <c r="BD19" s="285">
        <f>IF(DASHBOARD!$M$1+INT((COLUMN()-4)/2)=$B19,"◆ "&amp;TEXT($B19,"D MMM"),"")</f>
        <v/>
      </c>
      <c r="BE19" s="286" t="n"/>
      <c r="BF19" s="290">
        <f>IF((DASHBOARD!$M$1+INT((COLUMN()-4)/3))=INT($B$19),"◆","")</f>
        <v/>
      </c>
      <c r="BG19" s="285" t="n"/>
      <c r="BH19" s="286">
        <f>IF(DASHBOARD!$M$1+INT((COLUMN()-4)/2)=$B19,"◆ "&amp;TEXT($B19,"D MMM"),"")</f>
        <v/>
      </c>
      <c r="BI19" s="290">
        <f>IF((DASHBOARD!$M$1+INT((COLUMN()-4)/3))=INT($B$19),"◆","")</f>
        <v/>
      </c>
      <c r="BJ19" s="285">
        <f>IF(DASHBOARD!$M$1+INT((COLUMN()-4)/2)=$B19,"◆ "&amp;TEXT($B19,"D MMM"),"")</f>
        <v/>
      </c>
      <c r="BK19" s="286" t="n"/>
      <c r="BL19" s="290">
        <f>IF((DASHBOARD!$M$1+INT((COLUMN()-4)/3))=INT($B$19),"◆","")</f>
        <v/>
      </c>
      <c r="BM19" s="285" t="n"/>
      <c r="BN19" s="286">
        <f>IF(DASHBOARD!$M$1+INT((COLUMN()-4)/2)=$B19,"◆ "&amp;TEXT($B19,"D MMM"),"")</f>
        <v/>
      </c>
      <c r="BO19" s="290">
        <f>IF((DASHBOARD!$M$1+INT((COLUMN()-4)/3))=INT($B$19),"◆","")</f>
        <v/>
      </c>
      <c r="BP19" s="285">
        <f>IF(DASHBOARD!$M$1+INT((COLUMN()-4)/2)=$B19,"◆ "&amp;TEXT($B19,"D MMM"),"")</f>
        <v/>
      </c>
      <c r="BQ19" s="286" t="n"/>
      <c r="BR19" s="290">
        <f>IF((DASHBOARD!$M$1+INT((COLUMN()-4)/3))=INT($B$19),"◆","")</f>
        <v/>
      </c>
      <c r="BS19" s="285" t="n"/>
      <c r="BT19" s="286">
        <f>IF(DASHBOARD!$M$1+INT((COLUMN()-4)/2)=$B19,"◆ "&amp;TEXT($B19,"D MMM"),"")</f>
        <v/>
      </c>
      <c r="BU19" s="290">
        <f>IF((DASHBOARD!$M$1+INT((COLUMN()-4)/3))=INT($B$19),"◆","")</f>
        <v/>
      </c>
      <c r="BV19" s="285">
        <f>IF(DASHBOARD!$M$1+INT((COLUMN()-4)/2)=$B19,"◆ "&amp;TEXT($B19,"D MMM"),"")</f>
        <v/>
      </c>
      <c r="BW19" s="286" t="n"/>
      <c r="BX19" s="290">
        <f>IF((DASHBOARD!$M$1+INT((COLUMN()-4)/3))=INT($B$19),"◆","")</f>
        <v/>
      </c>
      <c r="BY19" s="285" t="n"/>
      <c r="BZ19" s="286">
        <f>IF(DASHBOARD!$M$1+INT((COLUMN()-4)/2)=$B19,"◆ "&amp;TEXT($B19,"D MMM"),"")</f>
        <v/>
      </c>
      <c r="CA19" s="290">
        <f>IF((DASHBOARD!$M$1+INT((COLUMN()-4)/3))=INT($B$19),"◆","")</f>
        <v/>
      </c>
      <c r="CB19" s="285" t="n"/>
      <c r="CC19" s="286" t="n"/>
      <c r="CD19" s="290">
        <f>IF((DASHBOARD!$M$1+INT((COLUMN()-4)/3))=INT($B$19),"◆","")</f>
        <v/>
      </c>
      <c r="CE19" s="285" t="n"/>
      <c r="CF19" s="286" t="n"/>
      <c r="CG19" s="290">
        <f>IF((DASHBOARD!$M$1+INT((COLUMN()-4)/3))=INT($B$19),"◆","")</f>
        <v/>
      </c>
      <c r="CH19" s="285" t="n"/>
      <c r="CI19" s="286" t="n"/>
      <c r="CJ19" s="290">
        <f>IF((DASHBOARD!$M$1+INT((COLUMN()-4)/3))=INT($B$19),"◆","")</f>
        <v/>
      </c>
      <c r="CK19" s="285" t="n"/>
      <c r="CL19" s="286" t="n"/>
      <c r="CM19" s="290">
        <f>IF((DASHBOARD!$M$1+INT((COLUMN()-4)/3))=INT($B$19),"◆","")</f>
        <v/>
      </c>
      <c r="CN19" s="285" t="n"/>
      <c r="CO19" s="286" t="n"/>
      <c r="CP19" s="290">
        <f>IF((DASHBOARD!$M$1+INT((COLUMN()-4)/3))=INT($B$19),"◆","")</f>
        <v/>
      </c>
      <c r="CQ19" s="285" t="n"/>
      <c r="CR19" s="286" t="n"/>
      <c r="CS19" s="290">
        <f>IF((DASHBOARD!$M$1+INT((COLUMN()-4)/3))=INT($B$19),"◆","")</f>
        <v/>
      </c>
      <c r="CT19" s="285" t="n"/>
      <c r="CU19" s="286" t="n"/>
      <c r="CV19" s="290">
        <f>IF((DASHBOARD!$M$1+INT((COLUMN()-4)/3))=INT($B$19),"◆","")</f>
        <v/>
      </c>
      <c r="CW19" s="285" t="n"/>
      <c r="CX19" s="286" t="n"/>
      <c r="CY19" s="290">
        <f>IF((DASHBOARD!$M$1+INT((COLUMN()-4)/3))=INT($B$19),"◆","")</f>
        <v/>
      </c>
      <c r="CZ19" s="285" t="n"/>
      <c r="DA19" s="286" t="n"/>
      <c r="DB19" s="290">
        <f>IF((DASHBOARD!$M$1+INT((COLUMN()-4)/3))=INT($B$19),"◆","")</f>
        <v/>
      </c>
      <c r="DC19" s="285" t="n"/>
      <c r="DD19" s="286" t="n"/>
      <c r="DE19" s="290">
        <f>IF((DASHBOARD!$M$1+INT((COLUMN()-4)/3))=INT($B$19),"◆","")</f>
        <v/>
      </c>
      <c r="DF19" s="285" t="n"/>
      <c r="DG19" s="286" t="n"/>
      <c r="DH19" s="290">
        <f>IF((DASHBOARD!$M$1+INT((COLUMN()-4)/3))=INT($B$19),"◆","")</f>
        <v/>
      </c>
      <c r="DI19" s="285" t="n"/>
      <c r="DJ19" s="286" t="n"/>
      <c r="DK19" s="290">
        <f>IF((DASHBOARD!$M$1+INT((COLUMN()-4)/3))=INT($B$19),"◆","")</f>
        <v/>
      </c>
      <c r="DL19" s="285" t="n"/>
      <c r="DM19" s="286" t="n"/>
      <c r="DN19" s="290">
        <f>IF((DASHBOARD!$M$1+INT((COLUMN()-4)/3))=INT($B$19),"◆","")</f>
        <v/>
      </c>
      <c r="DO19" s="285" t="n"/>
      <c r="DP19" s="286" t="n"/>
      <c r="DQ19" s="290">
        <f>IF((DASHBOARD!$M$1+INT((COLUMN()-4)/3))=INT($B$19),"◆","")</f>
        <v/>
      </c>
      <c r="DR19" s="285" t="n"/>
      <c r="DS19" s="286" t="n"/>
      <c r="DT19" s="290">
        <f>IF((DASHBOARD!$M$1+INT((COLUMN()-4)/3))=INT($B$19),"◆","")</f>
        <v/>
      </c>
      <c r="DU19" s="285" t="n"/>
      <c r="DV19" s="286" t="n"/>
      <c r="DW19" s="290">
        <f>IF((DASHBOARD!$M$1+INT((COLUMN()-4)/3))=INT($B$19),"◆","")</f>
        <v/>
      </c>
      <c r="DX19" s="285" t="n"/>
      <c r="DY19" s="286" t="n"/>
      <c r="DZ19" s="290">
        <f>IF((DASHBOARD!$M$1+INT((COLUMN()-4)/3))=INT($B$19),"◆","")</f>
        <v/>
      </c>
      <c r="EA19" s="285" t="n"/>
      <c r="EB19" s="286" t="n"/>
      <c r="EC19" s="290">
        <f>IF((DASHBOARD!$M$1+INT((COLUMN()-4)/3))=INT($B$19),"◆","")</f>
        <v/>
      </c>
      <c r="ED19" s="285" t="n"/>
      <c r="EE19" s="286" t="n"/>
      <c r="EF19" s="290">
        <f>IF((DASHBOARD!$M$1+INT((COLUMN()-4)/3))=INT($B$19),"◆","")</f>
        <v/>
      </c>
      <c r="EG19" s="285" t="n"/>
      <c r="EH19" s="286" t="n"/>
      <c r="EI19" s="290">
        <f>IF((DASHBOARD!$M$1+INT((COLUMN()-4)/3))=INT($B$19),"◆","")</f>
        <v/>
      </c>
      <c r="EJ19" s="285" t="n"/>
      <c r="EK19" s="286" t="n"/>
      <c r="EL19" s="290">
        <f>IF((DASHBOARD!$M$1+INT((COLUMN()-4)/3))=INT($B$19),"◆","")</f>
        <v/>
      </c>
      <c r="EM19" s="285" t="n"/>
      <c r="EN19" s="286" t="n"/>
      <c r="EO19" s="290">
        <f>IF((DASHBOARD!$M$1+INT((COLUMN()-4)/3))=INT($B$19),"◆","")</f>
        <v/>
      </c>
      <c r="EP19" s="285" t="n"/>
      <c r="EQ19" s="286" t="n"/>
      <c r="ER19" s="290">
        <f>IF((DASHBOARD!$M$1+INT((COLUMN()-4)/3))=INT($B$19),"◆","")</f>
        <v/>
      </c>
      <c r="ES19" s="285" t="n"/>
      <c r="ET19" s="286" t="n"/>
      <c r="EU19" s="290">
        <f>IF((DASHBOARD!$M$1+INT((COLUMN()-4)/3))=INT($B$19),"◆","")</f>
        <v/>
      </c>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96" t="n">
        <v>46253</v>
      </c>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96" t="n">
        <v>46242</v>
      </c>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96" t="n">
        <v>46239</v>
      </c>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96" t="n">
        <v>46226</v>
      </c>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90">
        <f>IF((DASHBOARD!$M$1+INT((COLUMN()-4)/3))=INT($B$25),"◆","")</f>
        <v/>
      </c>
      <c r="E25" s="285" t="n"/>
      <c r="F25" s="286">
        <f>IF(DASHBOARD!$M$1+INT((COLUMN()-4)/2)=$B25,"◆ "&amp;TEXT($B25,"D MMM"),"")</f>
        <v/>
      </c>
      <c r="G25" s="290">
        <f>IF((DASHBOARD!$M$1+INT((COLUMN()-4)/3))=INT($B$25),"◆","")</f>
        <v/>
      </c>
      <c r="H25" s="285">
        <f>IF(DASHBOARD!$M$1+INT((COLUMN()-4)/2)=$B25,"◆ "&amp;TEXT($B25,"D MMM"),"")</f>
        <v/>
      </c>
      <c r="I25" s="286" t="n"/>
      <c r="J25" s="290">
        <f>IF((DASHBOARD!$M$1+INT((COLUMN()-4)/3))=INT($B$25),"◆","")</f>
        <v/>
      </c>
      <c r="K25" s="285" t="n"/>
      <c r="L25" s="286">
        <f>IF(DASHBOARD!$M$1+INT((COLUMN()-4)/2)=$B25,"◆ "&amp;TEXT($B25,"D MMM"),"")</f>
        <v/>
      </c>
      <c r="M25" s="290">
        <f>IF((DASHBOARD!$M$1+INT((COLUMN()-4)/3))=INT($B$25),"◆","")</f>
        <v/>
      </c>
      <c r="N25" s="285">
        <f>IF(DASHBOARD!$M$1+INT((COLUMN()-4)/2)=$B25,"◆ "&amp;TEXT($B25,"D MMM"),"")</f>
        <v/>
      </c>
      <c r="O25" s="286" t="n"/>
      <c r="P25" s="290">
        <f>IF((DASHBOARD!$M$1+INT((COLUMN()-4)/3))=INT($B$25),"◆","")</f>
        <v/>
      </c>
      <c r="Q25" s="285" t="n"/>
      <c r="R25" s="286">
        <f>IF(DASHBOARD!$M$1+INT((COLUMN()-4)/2)=$B25,"◆ "&amp;TEXT($B25,"D MMM"),"")</f>
        <v/>
      </c>
      <c r="S25" s="290">
        <f>IF((DASHBOARD!$M$1+INT((COLUMN()-4)/3))=INT($B$25),"◆","")</f>
        <v/>
      </c>
      <c r="T25" s="285">
        <f>IF(DASHBOARD!$M$1+INT((COLUMN()-4)/2)=$B25,"◆ "&amp;TEXT($B25,"D MMM"),"")</f>
        <v/>
      </c>
      <c r="U25" s="286" t="n"/>
      <c r="V25" s="290">
        <f>IF((DASHBOARD!$M$1+INT((COLUMN()-4)/3))=INT($B$25),"◆","")</f>
        <v/>
      </c>
      <c r="W25" s="285" t="n"/>
      <c r="X25" s="286">
        <f>IF(DASHBOARD!$M$1+INT((COLUMN()-4)/2)=$B25,"◆ "&amp;TEXT($B25,"D MMM"),"")</f>
        <v/>
      </c>
      <c r="Y25" s="290">
        <f>IF((DASHBOARD!$M$1+INT((COLUMN()-4)/3))=INT($B$25),"◆","")</f>
        <v/>
      </c>
      <c r="Z25" s="285">
        <f>IF(DASHBOARD!$M$1+INT((COLUMN()-4)/2)=$B25,"◆ "&amp;TEXT($B25,"D MMM"),"")</f>
        <v/>
      </c>
      <c r="AA25" s="286" t="n"/>
      <c r="AB25" s="290">
        <f>IF((DASHBOARD!$M$1+INT((COLUMN()-4)/3))=INT($B$25),"◆","")</f>
        <v/>
      </c>
      <c r="AC25" s="285" t="n"/>
      <c r="AD25" s="286">
        <f>IF(DASHBOARD!$M$1+INT((COLUMN()-4)/2)=$B25,"◆ "&amp;TEXT($B25,"D MMM"),"")</f>
        <v/>
      </c>
      <c r="AE25" s="290">
        <f>IF((DASHBOARD!$M$1+INT((COLUMN()-4)/3))=INT($B$25),"◆","")</f>
        <v/>
      </c>
      <c r="AF25" s="285">
        <f>IF(DASHBOARD!$M$1+INT((COLUMN()-4)/2)=$B25,"◆ "&amp;TEXT($B25,"D MMM"),"")</f>
        <v/>
      </c>
      <c r="AG25" s="286" t="n"/>
      <c r="AH25" s="290">
        <f>IF((DASHBOARD!$M$1+INT((COLUMN()-4)/3))=INT($B$25),"◆","")</f>
        <v/>
      </c>
      <c r="AI25" s="285" t="n"/>
      <c r="AJ25" s="286">
        <f>IF(DASHBOARD!$M$1+INT((COLUMN()-4)/2)=$B25,"◆ "&amp;TEXT($B25,"D MMM"),"")</f>
        <v/>
      </c>
      <c r="AK25" s="290">
        <f>IF((DASHBOARD!$M$1+INT((COLUMN()-4)/3))=INT($B$25),"◆","")</f>
        <v/>
      </c>
      <c r="AL25" s="285">
        <f>IF(DASHBOARD!$M$1+INT((COLUMN()-4)/2)=$B25,"◆ "&amp;TEXT($B25,"D MMM"),"")</f>
        <v/>
      </c>
      <c r="AM25" s="286" t="n"/>
      <c r="AN25" s="290">
        <f>IF((DASHBOARD!$M$1+INT((COLUMN()-4)/3))=INT($B$25),"◆","")</f>
        <v/>
      </c>
      <c r="AO25" s="285" t="n"/>
      <c r="AP25" s="286">
        <f>IF(DASHBOARD!$M$1+INT((COLUMN()-4)/2)=$B25,"◆ "&amp;TEXT($B25,"D MMM"),"")</f>
        <v/>
      </c>
      <c r="AQ25" s="290">
        <f>IF((DASHBOARD!$M$1+INT((COLUMN()-4)/3))=INT($B$25),"◆","")</f>
        <v/>
      </c>
      <c r="AR25" s="285">
        <f>IF(DASHBOARD!$M$1+INT((COLUMN()-4)/2)=$B25,"◆ "&amp;TEXT($B25,"D MMM"),"")</f>
        <v/>
      </c>
      <c r="AS25" s="286" t="n"/>
      <c r="AT25" s="290">
        <f>IF((DASHBOARD!$M$1+INT((COLUMN()-4)/3))=INT($B$25),"◆","")</f>
        <v/>
      </c>
      <c r="AU25" s="285" t="n"/>
      <c r="AV25" s="286">
        <f>IF(DASHBOARD!$M$1+INT((COLUMN()-4)/2)=$B25,"◆ "&amp;TEXT($B25,"D MMM"),"")</f>
        <v/>
      </c>
      <c r="AW25" s="290">
        <f>IF((DASHBOARD!$M$1+INT((COLUMN()-4)/3))=INT($B$25),"◆","")</f>
        <v/>
      </c>
      <c r="AX25" s="285">
        <f>IF(DASHBOARD!$M$1+INT((COLUMN()-4)/2)=$B25,"◆ "&amp;TEXT($B25,"D MMM"),"")</f>
        <v/>
      </c>
      <c r="AY25" s="286" t="n"/>
      <c r="AZ25" s="290">
        <f>IF((DASHBOARD!$M$1+INT((COLUMN()-4)/3))=INT($B$25),"◆","")</f>
        <v/>
      </c>
      <c r="BA25" s="285" t="n"/>
      <c r="BB25" s="286">
        <f>IF(DASHBOARD!$M$1+INT((COLUMN()-4)/2)=$B25,"◆ "&amp;TEXT($B25,"D MMM"),"")</f>
        <v/>
      </c>
      <c r="BC25" s="290">
        <f>IF((DASHBOARD!$M$1+INT((COLUMN()-4)/3))=INT($B$25),"◆","")</f>
        <v/>
      </c>
      <c r="BD25" s="285">
        <f>IF(DASHBOARD!$M$1+INT((COLUMN()-4)/2)=$B25,"◆ "&amp;TEXT($B25,"D MMM"),"")</f>
        <v/>
      </c>
      <c r="BE25" s="286" t="n"/>
      <c r="BF25" s="290">
        <f>IF((DASHBOARD!$M$1+INT((COLUMN()-4)/3))=INT($B$25),"◆","")</f>
        <v/>
      </c>
      <c r="BG25" s="285" t="n"/>
      <c r="BH25" s="286">
        <f>IF(DASHBOARD!$M$1+INT((COLUMN()-4)/2)=$B25,"◆ "&amp;TEXT($B25,"D MMM"),"")</f>
        <v/>
      </c>
      <c r="BI25" s="290">
        <f>IF((DASHBOARD!$M$1+INT((COLUMN()-4)/3))=INT($B$25),"◆","")</f>
        <v/>
      </c>
      <c r="BJ25" s="285">
        <f>IF(DASHBOARD!$M$1+INT((COLUMN()-4)/2)=$B25,"◆ "&amp;TEXT($B25,"D MMM"),"")</f>
        <v/>
      </c>
      <c r="BK25" s="286" t="n"/>
      <c r="BL25" s="290">
        <f>IF((DASHBOARD!$M$1+INT((COLUMN()-4)/3))=INT($B$25),"◆","")</f>
        <v/>
      </c>
      <c r="BM25" s="285" t="n"/>
      <c r="BN25" s="286">
        <f>IF(DASHBOARD!$M$1+INT((COLUMN()-4)/2)=$B25,"◆ "&amp;TEXT($B25,"D MMM"),"")</f>
        <v/>
      </c>
      <c r="BO25" s="290">
        <f>IF((DASHBOARD!$M$1+INT((COLUMN()-4)/3))=INT($B$25),"◆","")</f>
        <v/>
      </c>
      <c r="BP25" s="285">
        <f>IF(DASHBOARD!$M$1+INT((COLUMN()-4)/2)=$B25,"◆ "&amp;TEXT($B25,"D MMM"),"")</f>
        <v/>
      </c>
      <c r="BQ25" s="286" t="n"/>
      <c r="BR25" s="290">
        <f>IF((DASHBOARD!$M$1+INT((COLUMN()-4)/3))=INT($B$25),"◆","")</f>
        <v/>
      </c>
      <c r="BS25" s="285" t="n"/>
      <c r="BT25" s="286">
        <f>IF(DASHBOARD!$M$1+INT((COLUMN()-4)/2)=$B25,"◆ "&amp;TEXT($B25,"D MMM"),"")</f>
        <v/>
      </c>
      <c r="BU25" s="290">
        <f>IF((DASHBOARD!$M$1+INT((COLUMN()-4)/3))=INT($B$25),"◆","")</f>
        <v/>
      </c>
      <c r="BV25" s="285">
        <f>IF(DASHBOARD!$M$1+INT((COLUMN()-4)/2)=$B25,"◆ "&amp;TEXT($B25,"D MMM"),"")</f>
        <v/>
      </c>
      <c r="BW25" s="286" t="n"/>
      <c r="BX25" s="290">
        <f>IF((DASHBOARD!$M$1+INT((COLUMN()-4)/3))=INT($B$25),"◆","")</f>
        <v/>
      </c>
      <c r="BY25" s="285" t="n"/>
      <c r="BZ25" s="286">
        <f>IF(DASHBOARD!$M$1+INT((COLUMN()-4)/2)=$B25,"◆ "&amp;TEXT($B25,"D MMM"),"")</f>
        <v/>
      </c>
      <c r="CA25" s="290">
        <f>IF((DASHBOARD!$M$1+INT((COLUMN()-4)/3))=INT($B$25),"◆","")</f>
        <v/>
      </c>
      <c r="CB25" s="285" t="n"/>
      <c r="CC25" s="286" t="n"/>
      <c r="CD25" s="290">
        <f>IF((DASHBOARD!$M$1+INT((COLUMN()-4)/3))=INT($B$25),"◆","")</f>
        <v/>
      </c>
      <c r="CE25" s="285" t="n"/>
      <c r="CF25" s="286" t="n"/>
      <c r="CG25" s="290">
        <f>IF((DASHBOARD!$M$1+INT((COLUMN()-4)/3))=INT($B$25),"◆","")</f>
        <v/>
      </c>
      <c r="CH25" s="285" t="n"/>
      <c r="CI25" s="286" t="n"/>
      <c r="CJ25" s="290">
        <f>IF((DASHBOARD!$M$1+INT((COLUMN()-4)/3))=INT($B$25),"◆","")</f>
        <v/>
      </c>
      <c r="CK25" s="285" t="n"/>
      <c r="CL25" s="286" t="n"/>
      <c r="CM25" s="290">
        <f>IF((DASHBOARD!$M$1+INT((COLUMN()-4)/3))=INT($B$25),"◆","")</f>
        <v/>
      </c>
      <c r="CN25" s="285" t="n"/>
      <c r="CO25" s="286" t="n"/>
      <c r="CP25" s="290">
        <f>IF((DASHBOARD!$M$1+INT((COLUMN()-4)/3))=INT($B$25),"◆","")</f>
        <v/>
      </c>
      <c r="CQ25" s="285" t="n"/>
      <c r="CR25" s="286" t="n"/>
      <c r="CS25" s="290">
        <f>IF((DASHBOARD!$M$1+INT((COLUMN()-4)/3))=INT($B$25),"◆","")</f>
        <v/>
      </c>
      <c r="CT25" s="285" t="n"/>
      <c r="CU25" s="286" t="n"/>
      <c r="CV25" s="290">
        <f>IF((DASHBOARD!$M$1+INT((COLUMN()-4)/3))=INT($B$25),"◆","")</f>
        <v/>
      </c>
      <c r="CW25" s="285" t="n"/>
      <c r="CX25" s="286" t="n"/>
      <c r="CY25" s="290">
        <f>IF((DASHBOARD!$M$1+INT((COLUMN()-4)/3))=INT($B$25),"◆","")</f>
        <v/>
      </c>
      <c r="CZ25" s="285" t="n"/>
      <c r="DA25" s="286" t="n"/>
      <c r="DB25" s="290">
        <f>IF((DASHBOARD!$M$1+INT((COLUMN()-4)/3))=INT($B$25),"◆","")</f>
        <v/>
      </c>
      <c r="DC25" s="285" t="n"/>
      <c r="DD25" s="286" t="n"/>
      <c r="DE25" s="290">
        <f>IF((DASHBOARD!$M$1+INT((COLUMN()-4)/3))=INT($B$25),"◆","")</f>
        <v/>
      </c>
      <c r="DF25" s="285" t="n"/>
      <c r="DG25" s="286" t="n"/>
      <c r="DH25" s="290">
        <f>IF((DASHBOARD!$M$1+INT((COLUMN()-4)/3))=INT($B$25),"◆","")</f>
        <v/>
      </c>
      <c r="DI25" s="285" t="n"/>
      <c r="DJ25" s="286" t="n"/>
      <c r="DK25" s="290">
        <f>IF((DASHBOARD!$M$1+INT((COLUMN()-4)/3))=INT($B$25),"◆","")</f>
        <v/>
      </c>
      <c r="DL25" s="285" t="n"/>
      <c r="DM25" s="286" t="n"/>
      <c r="DN25" s="290">
        <f>IF((DASHBOARD!$M$1+INT((COLUMN()-4)/3))=INT($B$25),"◆","")</f>
        <v/>
      </c>
      <c r="DO25" s="285" t="n"/>
      <c r="DP25" s="286" t="n"/>
      <c r="DQ25" s="290">
        <f>IF((DASHBOARD!$M$1+INT((COLUMN()-4)/3))=INT($B$25),"◆","")</f>
        <v/>
      </c>
      <c r="DR25" s="285" t="n"/>
      <c r="DS25" s="286" t="n"/>
      <c r="DT25" s="290">
        <f>IF((DASHBOARD!$M$1+INT((COLUMN()-4)/3))=INT($B$25),"◆","")</f>
        <v/>
      </c>
      <c r="DU25" s="285" t="n"/>
      <c r="DV25" s="286" t="n"/>
      <c r="DW25" s="290">
        <f>IF((DASHBOARD!$M$1+INT((COLUMN()-4)/3))=INT($B$25),"◆","")</f>
        <v/>
      </c>
      <c r="DX25" s="285" t="n"/>
      <c r="DY25" s="286" t="n"/>
      <c r="DZ25" s="290">
        <f>IF((DASHBOARD!$M$1+INT((COLUMN()-4)/3))=INT($B$25),"◆","")</f>
        <v/>
      </c>
      <c r="EA25" s="285" t="n"/>
      <c r="EB25" s="286" t="n"/>
      <c r="EC25" s="290">
        <f>IF((DASHBOARD!$M$1+INT((COLUMN()-4)/3))=INT($B$25),"◆","")</f>
        <v/>
      </c>
      <c r="ED25" s="285" t="n"/>
      <c r="EE25" s="286" t="n"/>
      <c r="EF25" s="290">
        <f>IF((DASHBOARD!$M$1+INT((COLUMN()-4)/3))=INT($B$25),"◆","")</f>
        <v/>
      </c>
      <c r="EG25" s="285" t="n"/>
      <c r="EH25" s="286" t="n"/>
      <c r="EI25" s="290">
        <f>IF((DASHBOARD!$M$1+INT((COLUMN()-4)/3))=INT($B$25),"◆","")</f>
        <v/>
      </c>
      <c r="EJ25" s="285" t="n"/>
      <c r="EK25" s="286" t="n"/>
      <c r="EL25" s="290">
        <f>IF((DASHBOARD!$M$1+INT((COLUMN()-4)/3))=INT($B$25),"◆","")</f>
        <v/>
      </c>
      <c r="EM25" s="285" t="n"/>
      <c r="EN25" s="286" t="n"/>
      <c r="EO25" s="290">
        <f>IF((DASHBOARD!$M$1+INT((COLUMN()-4)/3))=INT($B$25),"◆","")</f>
        <v/>
      </c>
      <c r="EP25" s="285" t="n"/>
      <c r="EQ25" s="286" t="n"/>
      <c r="ER25" s="290">
        <f>IF((DASHBOARD!$M$1+INT((COLUMN()-4)/3))=INT($B$25),"◆","")</f>
        <v/>
      </c>
      <c r="ES25" s="285" t="n"/>
      <c r="ET25" s="286" t="n"/>
      <c r="EU25" s="290">
        <f>IF((DASHBOARD!$M$1+INT((COLUMN()-4)/3))=INT($B$25),"◆","")</f>
        <v/>
      </c>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idden="1"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96" t="n">
        <v>46253</v>
      </c>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idden="1"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idden="1"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idden="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96" t="n">
        <v>46253</v>
      </c>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96" t="n">
        <v>46254</v>
      </c>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96" t="n">
        <v>46255</v>
      </c>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96" t="n">
        <v>46256</v>
      </c>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96" t="n">
        <v>46258</v>
      </c>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96" t="n">
        <v>46258</v>
      </c>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INT(IF(ISNUMBER($C6),$C6,$B6))+IF(MOD(IF(ISNUMBER($C6),$C6,$B6),1)=0,1,IF(MOD(IF(ISNUMBER($C6),$C6,$B6),1)&lt;=0.25,0,IF(MOD(IF(ISNUMBER($C6),$C6,$B6),1)&lt;=7/12,1/3,IF(MOD(IF(ISNUMBER($C6),$C6,$B6),1)&lt;=11/12,2/3,1))))))</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11" dxfId="130">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205"/>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row r="1040">
      <c r="A1040" s="288" t="inlineStr">
        <is>
          <t>5</t>
        </is>
      </c>
      <c r="B1040" s="288" t="inlineStr">
        <is>
          <t>200003-03-1</t>
        </is>
      </c>
      <c r="C1040" s="288" t="inlineStr">
        <is>
          <t>200003-03-1 (2) / ELEM FIT ON HARNES 4202VB &amp; 4204VB</t>
        </is>
      </c>
      <c r="D1040" s="288" t="inlineStr">
        <is>
          <t>1</t>
        </is>
      </c>
      <c r="E1040" s="288" t="n">
        <v>0.3</v>
      </c>
      <c r="F1040" s="288" t="n">
        <v>0.5</v>
      </c>
      <c r="G1040" s="288" t="n">
        <v>0.5</v>
      </c>
      <c r="H1040" s="288" t="inlineStr">
        <is>
          <t>Closed</t>
        </is>
      </c>
      <c r="I1040" s="288" t="inlineStr">
        <is>
          <t>24-92</t>
        </is>
      </c>
      <c r="J1040" s="288" t="inlineStr">
        <is>
          <t>INSPECTION</t>
        </is>
      </c>
    </row>
    <row r="1041">
      <c r="A1041" s="288" t="inlineStr">
        <is>
          <t>10</t>
        </is>
      </c>
      <c r="B1041" s="288" t="inlineStr">
        <is>
          <t>200125-05-1</t>
        </is>
      </c>
      <c r="C1041" s="288" t="inlineStr">
        <is>
          <t>200125-05-1 (2) / LATERAL AVIONIC COMPARTMENT INSP</t>
        </is>
      </c>
      <c r="D1041" s="288" t="inlineStr">
        <is>
          <t>1</t>
        </is>
      </c>
      <c r="E1041" s="288" t="n">
        <v>9.9</v>
      </c>
      <c r="F1041" s="288" t="n">
        <v>1</v>
      </c>
      <c r="G1041" s="288" t="n">
        <v>1</v>
      </c>
      <c r="H1041" s="288" t="inlineStr">
        <is>
          <t>Closed</t>
        </is>
      </c>
      <c r="I1041" s="288" t="inlineStr">
        <is>
          <t>24-92</t>
        </is>
      </c>
      <c r="J1041" s="288" t="inlineStr">
        <is>
          <t>INSPECTION</t>
        </is>
      </c>
    </row>
    <row r="1042">
      <c r="A1042" s="288" t="inlineStr">
        <is>
          <t>27</t>
        </is>
      </c>
      <c r="B1042" s="288" t="inlineStr">
        <is>
          <t>200315-01-1</t>
        </is>
      </c>
      <c r="C1042" s="288" t="inlineStr">
        <is>
          <t>200315-01-1 (3) / TAIL CONE&amp;APU ACCESSORY ROUTES INSP</t>
        </is>
      </c>
      <c r="D1042" s="288" t="inlineStr">
        <is>
          <t>1</t>
        </is>
      </c>
      <c r="E1042" s="288" t="n">
        <v>0.4</v>
      </c>
      <c r="F1042" s="288" t="n">
        <v>1</v>
      </c>
      <c r="G1042" s="288" t="n">
        <v>0.5</v>
      </c>
      <c r="H1042" s="288" t="inlineStr">
        <is>
          <t>Closed</t>
        </is>
      </c>
      <c r="I1042" s="288" t="inlineStr">
        <is>
          <t>24-92</t>
        </is>
      </c>
      <c r="J1042" s="288" t="inlineStr">
        <is>
          <t>INSPECTION</t>
        </is>
      </c>
    </row>
    <row r="1043">
      <c r="A1043" s="288" t="inlineStr">
        <is>
          <t>37</t>
        </is>
      </c>
      <c r="B1043" s="288" t="inlineStr">
        <is>
          <t>256141-01-1</t>
        </is>
      </c>
      <c r="C1043" s="288" t="inlineStr">
        <is>
          <t>256141-01-1 (3) / CAPT AND F/O EMERGENCY DEVICE INSP</t>
        </is>
      </c>
      <c r="D1043" s="288" t="inlineStr">
        <is>
          <t>1</t>
        </is>
      </c>
      <c r="E1043" s="288" t="n">
        <v>0.4</v>
      </c>
      <c r="F1043" s="288" t="n">
        <v>12</v>
      </c>
      <c r="G1043" s="288" t="n">
        <v>2.8</v>
      </c>
      <c r="H1043" s="288" t="inlineStr">
        <is>
          <t>Closed</t>
        </is>
      </c>
      <c r="I1043" s="288" t="inlineStr">
        <is>
          <t>25-61</t>
        </is>
      </c>
      <c r="J1043" s="288" t="inlineStr">
        <is>
          <t>TC/P, TC/P, TC/P, TC/P, TC/P</t>
        </is>
      </c>
    </row>
    <row r="1044">
      <c r="A1044" s="288" t="inlineStr">
        <is>
          <t>38</t>
        </is>
      </c>
      <c r="B1044" s="288" t="inlineStr">
        <is>
          <t>262541-01-1</t>
        </is>
      </c>
      <c r="C1044" s="288" t="inlineStr">
        <is>
          <t>262541-01-1 (3) / LAVATORIES FIRE EXTINGUISHERS INSP</t>
        </is>
      </c>
      <c r="D1044" s="288" t="inlineStr">
        <is>
          <t>1</t>
        </is>
      </c>
      <c r="E1044" s="288" t="n">
        <v>0.2</v>
      </c>
      <c r="F1044" s="288" t="n">
        <v>0.8</v>
      </c>
      <c r="G1044" s="288" t="n">
        <v>0.8</v>
      </c>
      <c r="H1044" s="288" t="inlineStr">
        <is>
          <t>Closed</t>
        </is>
      </c>
      <c r="I1044" s="288" t="inlineStr">
        <is>
          <t>26-25</t>
        </is>
      </c>
      <c r="J1044" s="288" t="inlineStr">
        <is>
          <t>INSPECTION</t>
        </is>
      </c>
    </row>
    <row r="1045">
      <c r="A1045" s="288" t="inlineStr">
        <is>
          <t>40</t>
        </is>
      </c>
      <c r="B1045" s="288" t="inlineStr">
        <is>
          <t>281800-02-1</t>
        </is>
      </c>
      <c r="C1045" s="288" t="inlineStr">
        <is>
          <t>281800-02-1 (2) / CENTER TANK VAPOR SEAL INSPECTION</t>
        </is>
      </c>
      <c r="D1045" s="288" t="inlineStr">
        <is>
          <t>1</t>
        </is>
      </c>
      <c r="E1045" s="288" t="n">
        <v>1.8</v>
      </c>
      <c r="F1045" s="288" t="n">
        <v>0.8</v>
      </c>
      <c r="G1045" s="288" t="n">
        <v>0.8</v>
      </c>
      <c r="H1045" s="288" t="inlineStr">
        <is>
          <t>Closed</t>
        </is>
      </c>
      <c r="I1045" s="288" t="inlineStr">
        <is>
          <t>28-18</t>
        </is>
      </c>
      <c r="J1045" s="288" t="inlineStr">
        <is>
          <t>INSPECTION</t>
        </is>
      </c>
    </row>
    <row r="1046">
      <c r="A1046" s="288" t="inlineStr">
        <is>
          <t>41</t>
        </is>
      </c>
      <c r="B1046" s="288" t="inlineStr">
        <is>
          <t>281800-05-1</t>
        </is>
      </c>
      <c r="C1046" s="288" t="inlineStr">
        <is>
          <t>281800-05-1 (3) / CNTR TANK FWD BKHD INSULATION INSP</t>
        </is>
      </c>
      <c r="D1046" s="288" t="inlineStr">
        <is>
          <t>1</t>
        </is>
      </c>
      <c r="E1046" s="288" t="n">
        <v>0.2</v>
      </c>
      <c r="F1046" s="288" t="n">
        <v>4.5</v>
      </c>
      <c r="G1046" s="288" t="n">
        <v>2.8</v>
      </c>
      <c r="H1046" s="288" t="inlineStr">
        <is>
          <t>Closed</t>
        </is>
      </c>
      <c r="I1046" s="288" t="inlineStr">
        <is>
          <t>28-18</t>
        </is>
      </c>
      <c r="J1046" s="288" t="inlineStr">
        <is>
          <t>INSPECTION</t>
        </is>
      </c>
    </row>
    <row r="1047">
      <c r="A1047" s="288" t="inlineStr">
        <is>
          <t>103</t>
        </is>
      </c>
      <c r="B1047" s="288" t="inlineStr">
        <is>
          <t>ZL-110-01-1</t>
        </is>
      </c>
      <c r="C1047" s="288" t="inlineStr">
        <is>
          <t>ZL-110-01-1 (3) / RADOME ZONAL INSPECTION</t>
        </is>
      </c>
      <c r="D1047" s="288" t="inlineStr">
        <is>
          <t>1</t>
        </is>
      </c>
      <c r="E1047" s="288" t="n">
        <v>0.2</v>
      </c>
      <c r="F1047" s="288" t="n">
        <v>1</v>
      </c>
      <c r="G1047" s="288" t="n">
        <v>1</v>
      </c>
      <c r="H1047" s="288" t="inlineStr">
        <is>
          <t>Closed</t>
        </is>
      </c>
      <c r="I1047" s="288" t="inlineStr">
        <is>
          <t>05-21</t>
        </is>
      </c>
      <c r="J1047" s="288" t="inlineStr">
        <is>
          <t>PRE INSP</t>
        </is>
      </c>
    </row>
    <row r="1048">
      <c r="A1048" s="288" t="inlineStr">
        <is>
          <t>107</t>
        </is>
      </c>
      <c r="B1048" s="288" t="inlineStr">
        <is>
          <t>ZL-131-02-1</t>
        </is>
      </c>
      <c r="C1048" s="288" t="inlineStr">
        <is>
          <t>ZL-131-02-1 (2) / FORWARD CARGO COMPARTMENT INSPECTION</t>
        </is>
      </c>
      <c r="D1048" s="288" t="inlineStr">
        <is>
          <t>1</t>
        </is>
      </c>
      <c r="E1048" s="288" t="n">
        <v>38.3</v>
      </c>
      <c r="F1048" s="288" t="n">
        <v>5</v>
      </c>
      <c r="G1048" s="288" t="n">
        <v>12.2</v>
      </c>
      <c r="H1048" s="288" t="inlineStr">
        <is>
          <t>Closed</t>
        </is>
      </c>
      <c r="I1048" s="288" t="inlineStr">
        <is>
          <t>05-21</t>
        </is>
      </c>
      <c r="J1048" s="288" t="inlineStr">
        <is>
          <t>INSPECTION</t>
        </is>
      </c>
    </row>
    <row r="1049">
      <c r="A1049" s="288" t="inlineStr">
        <is>
          <t>110</t>
        </is>
      </c>
      <c r="B1049" s="288" t="inlineStr">
        <is>
          <t>ZL-147-03-1</t>
        </is>
      </c>
      <c r="C1049" s="288" t="inlineStr">
        <is>
          <t>ZL-147-03-1 (3) / MLG-WELL AND HYD COMPARTMENT INSP</t>
        </is>
      </c>
      <c r="D1049" s="288" t="inlineStr">
        <is>
          <t>1</t>
        </is>
      </c>
      <c r="E1049" s="288" t="n">
        <v>0.9</v>
      </c>
      <c r="F1049" s="288" t="n">
        <v>0.8</v>
      </c>
      <c r="G1049" s="288" t="n">
        <v>0.8</v>
      </c>
      <c r="H1049" s="288" t="inlineStr">
        <is>
          <t>Closed</t>
        </is>
      </c>
      <c r="I1049" s="288" t="inlineStr">
        <is>
          <t>05-21</t>
        </is>
      </c>
      <c r="J1049" s="288" t="inlineStr">
        <is>
          <t>INSPECTION</t>
        </is>
      </c>
    </row>
    <row r="1050">
      <c r="A1050" s="288" t="inlineStr">
        <is>
          <t>116</t>
        </is>
      </c>
      <c r="B1050" s="288" t="inlineStr">
        <is>
          <t>ZL-191-02-1</t>
        </is>
      </c>
      <c r="C1050" s="288" t="inlineStr">
        <is>
          <t>ZL-191-02-1 (02) / AIR CONDITIONING COMPART &amp; FRNG INSP</t>
        </is>
      </c>
      <c r="D1050" s="288" t="inlineStr">
        <is>
          <t>1</t>
        </is>
      </c>
      <c r="E1050" s="288" t="n">
        <v>2.2</v>
      </c>
      <c r="F1050" s="288" t="n">
        <v>2.5</v>
      </c>
      <c r="G1050" s="288" t="n">
        <v>1.9</v>
      </c>
      <c r="H1050" s="288" t="inlineStr">
        <is>
          <t>Closed</t>
        </is>
      </c>
      <c r="I1050" s="288" t="inlineStr">
        <is>
          <t>05-21</t>
        </is>
      </c>
      <c r="J1050" s="288" t="inlineStr">
        <is>
          <t>INSPECTION</t>
        </is>
      </c>
    </row>
    <row r="1051">
      <c r="A1051" s="288" t="inlineStr">
        <is>
          <t>118</t>
        </is>
      </c>
      <c r="B1051" s="288" t="inlineStr">
        <is>
          <t>ZL-195-01-1</t>
        </is>
      </c>
      <c r="C1051" s="288" t="inlineStr">
        <is>
          <t>ZL-195-01-1 (4) / HYDRAULIC COMP &amp; FAIRINGS ZONAL INSP</t>
        </is>
      </c>
      <c r="D1051" s="288" t="inlineStr">
        <is>
          <t>1</t>
        </is>
      </c>
      <c r="E1051" s="288" t="n">
        <v>0.9</v>
      </c>
      <c r="F1051" s="288" t="n">
        <v>0.7</v>
      </c>
      <c r="G1051" s="288" t="n">
        <v>0.7</v>
      </c>
      <c r="H1051" s="288" t="inlineStr">
        <is>
          <t>Closed</t>
        </is>
      </c>
      <c r="I1051" s="288" t="inlineStr">
        <is>
          <t>05-21</t>
        </is>
      </c>
      <c r="J1051" s="288" t="inlineStr">
        <is>
          <t>PRE INSP</t>
        </is>
      </c>
    </row>
    <row r="1052">
      <c r="A1052" s="288" t="inlineStr">
        <is>
          <t>119</t>
        </is>
      </c>
      <c r="B1052" s="288" t="inlineStr">
        <is>
          <t>ZL-197-01-1</t>
        </is>
      </c>
      <c r="C1052" s="288" t="inlineStr">
        <is>
          <t>ZL-197-01-1 (01) / REAR FAIRING ZONAL INSPECTION</t>
        </is>
      </c>
      <c r="D1052" s="288" t="inlineStr">
        <is>
          <t>1</t>
        </is>
      </c>
      <c r="E1052" s="288" t="n">
        <v>1.3</v>
      </c>
      <c r="F1052" s="288" t="n">
        <v>5.5</v>
      </c>
      <c r="G1052" s="288" t="n">
        <v>2.8</v>
      </c>
      <c r="H1052" s="288" t="inlineStr">
        <is>
          <t>Closed</t>
        </is>
      </c>
      <c r="I1052" s="288" t="inlineStr">
        <is>
          <t>05-21</t>
        </is>
      </c>
      <c r="J1052" s="288" t="inlineStr">
        <is>
          <t>INSPECTION</t>
        </is>
      </c>
    </row>
    <row r="1053">
      <c r="A1053" s="288" t="inlineStr">
        <is>
          <t>120</t>
        </is>
      </c>
      <c r="B1053" s="288" t="inlineStr">
        <is>
          <t>ZL-200-02-1</t>
        </is>
      </c>
      <c r="C1053" s="288" t="inlineStr">
        <is>
          <t>ZL-200-02-1 (04) / UPPER HALF OF FUSELAGE ZON GVI</t>
        </is>
      </c>
      <c r="D1053" s="288" t="inlineStr">
        <is>
          <t>1</t>
        </is>
      </c>
      <c r="E1053" s="288" t="n">
        <v>18.5</v>
      </c>
      <c r="F1053" s="288" t="n">
        <v>2.3</v>
      </c>
      <c r="G1053" s="288" t="n">
        <v>2.4</v>
      </c>
      <c r="H1053" s="288" t="inlineStr">
        <is>
          <t>Closed</t>
        </is>
      </c>
      <c r="I1053" s="288" t="inlineStr">
        <is>
          <t>05-21</t>
        </is>
      </c>
      <c r="J1053" s="288" t="inlineStr">
        <is>
          <t>PRE INSP</t>
        </is>
      </c>
    </row>
    <row r="1054">
      <c r="A1054" s="288" t="inlineStr">
        <is>
          <t>123</t>
        </is>
      </c>
      <c r="B1054" s="288" t="inlineStr">
        <is>
          <t>ZL-311-01-1</t>
        </is>
      </c>
      <c r="C1054" s="288" t="inlineStr">
        <is>
          <t>ZL-311-01-1 (04) / AFT FUSELAGE TAIL SECTION ZONAL INSP</t>
        </is>
      </c>
      <c r="D1054" s="288" t="inlineStr">
        <is>
          <t>1</t>
        </is>
      </c>
      <c r="E1054" s="288" t="n">
        <v>0.4</v>
      </c>
      <c r="F1054" s="288" t="n">
        <v>0.8</v>
      </c>
      <c r="G1054" s="288" t="n">
        <v>0.8</v>
      </c>
      <c r="H1054" s="288" t="inlineStr">
        <is>
          <t>Closed</t>
        </is>
      </c>
      <c r="I1054" s="288" t="inlineStr">
        <is>
          <t>05-23</t>
        </is>
      </c>
      <c r="J1054" s="288" t="inlineStr">
        <is>
          <t>PRE INSP</t>
        </is>
      </c>
    </row>
    <row r="1055">
      <c r="A1055" s="288" t="inlineStr">
        <is>
          <t>124</t>
        </is>
      </c>
      <c r="B1055" s="288" t="inlineStr">
        <is>
          <t>ZL-313-01-1</t>
        </is>
      </c>
      <c r="C1055" s="288" t="inlineStr">
        <is>
          <t>ZL-313-01-1 (4) / TAIL CONE APU AIR INTAKE AREA INSP</t>
        </is>
      </c>
      <c r="D1055" s="288" t="inlineStr">
        <is>
          <t>1</t>
        </is>
      </c>
      <c r="E1055" s="288" t="n">
        <v>0.2</v>
      </c>
      <c r="F1055" s="288" t="n">
        <v>15</v>
      </c>
      <c r="G1055" s="288" t="n">
        <v>9</v>
      </c>
      <c r="H1055" s="288" t="inlineStr">
        <is>
          <t>Closed</t>
        </is>
      </c>
      <c r="I1055" s="288" t="inlineStr">
        <is>
          <t>05-23</t>
        </is>
      </c>
      <c r="J1055" s="288" t="inlineStr">
        <is>
          <t>PRE INSP</t>
        </is>
      </c>
    </row>
    <row r="1056">
      <c r="A1056" s="288" t="inlineStr">
        <is>
          <t>125</t>
        </is>
      </c>
      <c r="B1056" s="288" t="inlineStr">
        <is>
          <t>ZL-317-01-1</t>
        </is>
      </c>
      <c r="C1056" s="288" t="inlineStr">
        <is>
          <t>ZL-317-01-1 (3) / TAIL CONE/APU EXHAUST AREA INSP</t>
        </is>
      </c>
      <c r="D1056" s="288" t="inlineStr">
        <is>
          <t>1</t>
        </is>
      </c>
      <c r="E1056" s="288" t="n">
        <v>0.2</v>
      </c>
      <c r="F1056" s="288" t="n">
        <v>7.8</v>
      </c>
      <c r="G1056" s="288" t="n">
        <v>7</v>
      </c>
      <c r="H1056" s="288" t="inlineStr">
        <is>
          <t>Closed</t>
        </is>
      </c>
      <c r="I1056" s="288" t="inlineStr">
        <is>
          <t>05-23</t>
        </is>
      </c>
      <c r="J1056" s="288" t="inlineStr">
        <is>
          <t>INSPECTION</t>
        </is>
      </c>
    </row>
    <row r="1057">
      <c r="A1057" s="288" t="inlineStr">
        <is>
          <t>127</t>
        </is>
      </c>
      <c r="B1057" s="288" t="inlineStr">
        <is>
          <t>ZL-334-02-1</t>
        </is>
      </c>
      <c r="C1057" s="288" t="inlineStr">
        <is>
          <t>ZL-334-02-1 (2) / THS TRAILING EDGE ZONAL INSPECTION</t>
        </is>
      </c>
      <c r="D1057" s="288" t="inlineStr">
        <is>
          <t>1</t>
        </is>
      </c>
      <c r="E1057" s="288" t="n">
        <v>1.8</v>
      </c>
      <c r="F1057" s="288" t="n">
        <v>1.8</v>
      </c>
      <c r="G1057" s="288" t="n">
        <v>1.6</v>
      </c>
      <c r="H1057" s="288" t="inlineStr">
        <is>
          <t>Closed</t>
        </is>
      </c>
      <c r="I1057" s="288" t="inlineStr">
        <is>
          <t>05-23</t>
        </is>
      </c>
      <c r="J1057" s="288" t="inlineStr">
        <is>
          <t>PRE INSP</t>
        </is>
      </c>
    </row>
    <row r="1058">
      <c r="A1058" s="288" t="inlineStr">
        <is>
          <t>128</t>
        </is>
      </c>
      <c r="B1058" s="288" t="inlineStr">
        <is>
          <t>ZL-415-01-1-001</t>
        </is>
      </c>
      <c r="C1058" s="288" t="inlineStr">
        <is>
          <t>ZL-415-01-1-001 (03) / L/H ENGINE LOWER PYLON ZONAL INSP</t>
        </is>
      </c>
      <c r="D1058" s="288" t="inlineStr">
        <is>
          <t>1</t>
        </is>
      </c>
      <c r="E1058" s="288" t="n">
        <v>0.9</v>
      </c>
      <c r="F1058" s="288" t="n">
        <v>8.300000000000001</v>
      </c>
      <c r="G1058" s="288" t="n">
        <v>4.1</v>
      </c>
      <c r="H1058" s="288" t="inlineStr">
        <is>
          <t>Closed</t>
        </is>
      </c>
      <c r="I1058" s="288" t="inlineStr">
        <is>
          <t>05-24</t>
        </is>
      </c>
      <c r="J1058" s="288" t="inlineStr">
        <is>
          <t>PRE INSP</t>
        </is>
      </c>
    </row>
    <row r="1059">
      <c r="A1059" s="288" t="inlineStr">
        <is>
          <t>129</t>
        </is>
      </c>
      <c r="B1059" s="288" t="inlineStr">
        <is>
          <t>ZL-415-01-1-002</t>
        </is>
      </c>
      <c r="C1059" s="288" t="inlineStr">
        <is>
          <t>ZL-415-01-1-002 (03) / R/H ENGINE LOWER PYLON ZONAL INSP</t>
        </is>
      </c>
      <c r="D1059" s="288" t="inlineStr">
        <is>
          <t>1</t>
        </is>
      </c>
      <c r="E1059" s="288" t="n">
        <v>0.9</v>
      </c>
      <c r="F1059" s="288" t="n">
        <v>0.8</v>
      </c>
      <c r="G1059" s="288" t="n">
        <v>0.6</v>
      </c>
      <c r="H1059" s="288" t="inlineStr">
        <is>
          <t>Closed</t>
        </is>
      </c>
      <c r="I1059" s="288" t="inlineStr">
        <is>
          <t>05-24</t>
        </is>
      </c>
      <c r="J1059" s="288" t="inlineStr">
        <is>
          <t>PRE INSP</t>
        </is>
      </c>
    </row>
    <row r="1060">
      <c r="A1060" s="288" t="inlineStr">
        <is>
          <t>130</t>
        </is>
      </c>
      <c r="B1060" s="288" t="inlineStr">
        <is>
          <t>ZL-433-01-1-001</t>
        </is>
      </c>
      <c r="C1060" s="288" t="inlineStr">
        <is>
          <t>ZL-433-01-1-001 (02) / NO. 1 ENGINE AIR INTAKE LIP INSP</t>
        </is>
      </c>
      <c r="D1060" s="288" t="inlineStr">
        <is>
          <t>1</t>
        </is>
      </c>
      <c r="E1060" s="288" t="n">
        <v>1.3</v>
      </c>
      <c r="F1060" s="288" t="n">
        <v>0.5</v>
      </c>
      <c r="G1060" s="288" t="n">
        <v>0.5</v>
      </c>
      <c r="H1060" s="288" t="inlineStr">
        <is>
          <t>Closed</t>
        </is>
      </c>
      <c r="I1060" s="288" t="inlineStr">
        <is>
          <t>05-24</t>
        </is>
      </c>
      <c r="J1060" s="288" t="inlineStr">
        <is>
          <t>PRE INSP</t>
        </is>
      </c>
    </row>
    <row r="1061">
      <c r="A1061" s="288" t="inlineStr">
        <is>
          <t>131</t>
        </is>
      </c>
      <c r="B1061" s="288" t="inlineStr">
        <is>
          <t>ZL-433-01-1-002</t>
        </is>
      </c>
      <c r="C1061" s="288" t="inlineStr">
        <is>
          <t>ZL-433-01-1-002 (02) / NO. 2 ENGINE AIR INTAKE LIP INSP</t>
        </is>
      </c>
      <c r="D1061" s="288" t="inlineStr">
        <is>
          <t>1</t>
        </is>
      </c>
      <c r="E1061" s="288" t="n">
        <v>1.3</v>
      </c>
      <c r="F1061" s="288" t="n">
        <v>0.5</v>
      </c>
      <c r="G1061" s="288" t="n">
        <v>0.5</v>
      </c>
      <c r="H1061" s="288" t="inlineStr">
        <is>
          <t>Closed</t>
        </is>
      </c>
      <c r="I1061" s="288" t="inlineStr">
        <is>
          <t>05-24</t>
        </is>
      </c>
      <c r="J1061" s="288" t="inlineStr">
        <is>
          <t>PRE INSP</t>
        </is>
      </c>
    </row>
    <row r="1062">
      <c r="A1062" s="288" t="inlineStr">
        <is>
          <t>132</t>
        </is>
      </c>
      <c r="B1062" s="288" t="inlineStr">
        <is>
          <t>ZL-500-03-1-001</t>
        </is>
      </c>
      <c r="C1062" s="288" t="inlineStr">
        <is>
          <t>ZL-500-03-1-001 (03) / L/H WING UPPER SURFACE ZONAL INSP</t>
        </is>
      </c>
      <c r="D1062" s="288" t="inlineStr">
        <is>
          <t>1</t>
        </is>
      </c>
      <c r="E1062" s="288" t="n">
        <v>1.4</v>
      </c>
      <c r="F1062" s="288" t="n">
        <v>1.8</v>
      </c>
      <c r="G1062" s="288" t="n">
        <v>2.3</v>
      </c>
      <c r="H1062" s="288" t="inlineStr">
        <is>
          <t>Closed</t>
        </is>
      </c>
      <c r="I1062" s="288" t="inlineStr">
        <is>
          <t>05-25</t>
        </is>
      </c>
      <c r="J1062" s="288" t="inlineStr">
        <is>
          <t>PRE INSP</t>
        </is>
      </c>
    </row>
    <row r="1063">
      <c r="A1063" s="288" t="inlineStr">
        <is>
          <t>133</t>
        </is>
      </c>
      <c r="B1063" s="288" t="inlineStr">
        <is>
          <t>ZL-500-03-1-002</t>
        </is>
      </c>
      <c r="C1063" s="288" t="inlineStr">
        <is>
          <t>ZL-500-03-1-002 (03) / R/H WING UPPER SURFACE ZONAL INSP</t>
        </is>
      </c>
      <c r="D1063" s="288" t="inlineStr">
        <is>
          <t>1</t>
        </is>
      </c>
      <c r="E1063" s="288" t="n">
        <v>1.4</v>
      </c>
      <c r="F1063" s="288" t="n">
        <v>1.8</v>
      </c>
      <c r="G1063" s="288" t="n">
        <v>2</v>
      </c>
      <c r="H1063" s="288" t="inlineStr">
        <is>
          <t>Closed</t>
        </is>
      </c>
      <c r="I1063" s="288" t="inlineStr">
        <is>
          <t>05-25</t>
        </is>
      </c>
      <c r="J1063" s="288" t="inlineStr">
        <is>
          <t>PRE INSP</t>
        </is>
      </c>
    </row>
    <row r="1064">
      <c r="A1064" s="288" t="inlineStr">
        <is>
          <t>134</t>
        </is>
      </c>
      <c r="B1064" s="288" t="inlineStr">
        <is>
          <t>ZL-521-01-1-001</t>
        </is>
      </c>
      <c r="C1064" s="288" t="inlineStr">
        <is>
          <t>ZL-521-01-1-001 (03) / L/H INBOARD FIXED L/E STRUCTURE INSP</t>
        </is>
      </c>
      <c r="D1064" s="288" t="inlineStr">
        <is>
          <t>1</t>
        </is>
      </c>
      <c r="E1064" s="288" t="n">
        <v>0.9</v>
      </c>
      <c r="F1064" s="288" t="n">
        <v>1</v>
      </c>
      <c r="G1064" s="288" t="n">
        <v>0.8</v>
      </c>
      <c r="H1064" s="288" t="inlineStr">
        <is>
          <t>Closed</t>
        </is>
      </c>
      <c r="I1064" s="288" t="inlineStr">
        <is>
          <t>05-25</t>
        </is>
      </c>
      <c r="J1064" s="288" t="inlineStr">
        <is>
          <t>INSPECTION</t>
        </is>
      </c>
    </row>
    <row r="1065">
      <c r="A1065" s="288" t="inlineStr">
        <is>
          <t>136</t>
        </is>
      </c>
      <c r="B1065" s="288" t="inlineStr">
        <is>
          <t>ZL-522-01-1-001</t>
        </is>
      </c>
      <c r="C1065" s="288" t="inlineStr">
        <is>
          <t>ZL-522-01-1-001 (03) / L/H WING O/B FIXED LEADING EDGE INSP</t>
        </is>
      </c>
      <c r="D1065" s="288" t="inlineStr">
        <is>
          <t>1</t>
        </is>
      </c>
      <c r="E1065" s="288" t="n">
        <v>0.9</v>
      </c>
      <c r="F1065" s="288" t="n">
        <v>3.8</v>
      </c>
      <c r="G1065" s="288" t="n">
        <v>25.5</v>
      </c>
      <c r="H1065" s="288" t="inlineStr">
        <is>
          <t>Closed</t>
        </is>
      </c>
      <c r="I1065" s="288" t="inlineStr">
        <is>
          <t>05-25</t>
        </is>
      </c>
      <c r="J1065" s="288" t="inlineStr">
        <is>
          <t>INSPECTION</t>
        </is>
      </c>
    </row>
    <row r="1066">
      <c r="A1066" s="288" t="inlineStr">
        <is>
          <t>137</t>
        </is>
      </c>
      <c r="B1066" s="288" t="inlineStr">
        <is>
          <t>ZL-522-01-1-002</t>
        </is>
      </c>
      <c r="C1066" s="288" t="inlineStr">
        <is>
          <t>ZL-522-01-1-002 (03) / R WING O/B FIXED LEADING EDGE INSP</t>
        </is>
      </c>
      <c r="D1066" s="288" t="inlineStr">
        <is>
          <t>1</t>
        </is>
      </c>
      <c r="E1066" s="288" t="n">
        <v>0.9</v>
      </c>
      <c r="F1066" s="288" t="n">
        <v>3</v>
      </c>
      <c r="G1066" s="288" t="n">
        <v>2.9</v>
      </c>
      <c r="H1066" s="288" t="inlineStr">
        <is>
          <t>Closed</t>
        </is>
      </c>
      <c r="I1066" s="288" t="inlineStr">
        <is>
          <t>05-25</t>
        </is>
      </c>
      <c r="J1066" s="288" t="inlineStr">
        <is>
          <t>INSPECTION</t>
        </is>
      </c>
    </row>
    <row r="1067">
      <c r="A1067" s="288" t="inlineStr">
        <is>
          <t>140</t>
        </is>
      </c>
      <c r="B1067" s="288" t="inlineStr">
        <is>
          <t>ZL-532-01-1-001</t>
        </is>
      </c>
      <c r="C1067" s="288" t="inlineStr">
        <is>
          <t>ZL-532-01-1-001 (04) / L/H FLAP TRACK NO 3 AND FAIRING INSP</t>
        </is>
      </c>
      <c r="D1067" s="288" t="inlineStr">
        <is>
          <t>1</t>
        </is>
      </c>
      <c r="E1067" s="288" t="n">
        <v>0.5</v>
      </c>
      <c r="F1067" s="288" t="n">
        <v>1</v>
      </c>
      <c r="G1067" s="288" t="n">
        <v>1</v>
      </c>
      <c r="H1067" s="288" t="inlineStr">
        <is>
          <t>Closed</t>
        </is>
      </c>
      <c r="I1067" s="288" t="inlineStr">
        <is>
          <t>05-25</t>
        </is>
      </c>
      <c r="J1067" s="288" t="inlineStr">
        <is>
          <t>INSPECTION</t>
        </is>
      </c>
    </row>
    <row r="1068">
      <c r="A1068" s="288" t="inlineStr">
        <is>
          <t>142</t>
        </is>
      </c>
      <c r="B1068" s="288" t="inlineStr">
        <is>
          <t>ZL-532-02-1-001</t>
        </is>
      </c>
      <c r="C1068" s="288" t="inlineStr">
        <is>
          <t>ZL-532-02-1-001 (01) / L/H FLAP TRACK NO 3 AND FAIRING</t>
        </is>
      </c>
      <c r="D1068" s="288" t="inlineStr">
        <is>
          <t>1</t>
        </is>
      </c>
      <c r="E1068" s="288" t="n">
        <v>1.4</v>
      </c>
      <c r="F1068" s="288" t="n">
        <v>1</v>
      </c>
      <c r="G1068" s="288" t="n">
        <v>1</v>
      </c>
      <c r="H1068" s="288" t="inlineStr">
        <is>
          <t>Closed</t>
        </is>
      </c>
      <c r="I1068" s="288" t="inlineStr">
        <is>
          <t>05-25</t>
        </is>
      </c>
      <c r="J1068" s="288" t="inlineStr">
        <is>
          <t>INSPECTION</t>
        </is>
      </c>
    </row>
    <row r="1069">
      <c r="A1069" s="288" t="inlineStr">
        <is>
          <t>144</t>
        </is>
      </c>
      <c r="B1069" s="288" t="inlineStr">
        <is>
          <t>ZL-533-01-1-001</t>
        </is>
      </c>
      <c r="C1069" s="288" t="inlineStr">
        <is>
          <t>ZL-533-01-1-001 (04) / L/H FLAP TRACK NO 4 AND FAIRING INSP</t>
        </is>
      </c>
      <c r="D1069" s="288" t="inlineStr">
        <is>
          <t>1</t>
        </is>
      </c>
      <c r="E1069" s="288" t="n">
        <v>0.5</v>
      </c>
      <c r="F1069" s="288" t="n">
        <v>1</v>
      </c>
      <c r="G1069" s="288" t="n">
        <v>1</v>
      </c>
      <c r="H1069" s="288" t="inlineStr">
        <is>
          <t>Closed</t>
        </is>
      </c>
      <c r="I1069" s="288" t="inlineStr">
        <is>
          <t>05-25</t>
        </is>
      </c>
      <c r="J1069" s="288" t="inlineStr">
        <is>
          <t>INSPECTION</t>
        </is>
      </c>
    </row>
    <row r="1070">
      <c r="A1070" s="288" t="inlineStr">
        <is>
          <t>146</t>
        </is>
      </c>
      <c r="B1070" s="288" t="inlineStr">
        <is>
          <t>ZL-571-02-1-001</t>
        </is>
      </c>
      <c r="C1070" s="288" t="inlineStr">
        <is>
          <t>ZL-571-02-1-001 (03) / LEFT MLG BAY ZONAL INSP</t>
        </is>
      </c>
      <c r="D1070" s="288" t="inlineStr">
        <is>
          <t>1</t>
        </is>
      </c>
      <c r="E1070" s="288" t="n">
        <v>0.9</v>
      </c>
      <c r="F1070" s="288" t="n">
        <v>0.5</v>
      </c>
      <c r="G1070" s="288" t="n">
        <v>0.5</v>
      </c>
      <c r="H1070" s="288" t="inlineStr">
        <is>
          <t>Closed</t>
        </is>
      </c>
      <c r="I1070" s="288" t="inlineStr">
        <is>
          <t>05-25</t>
        </is>
      </c>
      <c r="J1070" s="288" t="inlineStr">
        <is>
          <t>INSPECTION</t>
        </is>
      </c>
    </row>
    <row r="1071">
      <c r="A1071" s="288" t="inlineStr">
        <is>
          <t>147</t>
        </is>
      </c>
      <c r="B1071" s="288" t="inlineStr">
        <is>
          <t>ZL-571-02-1-002</t>
        </is>
      </c>
      <c r="C1071" s="288" t="inlineStr">
        <is>
          <t>ZL-571-02-1-002 (03) / RIGHT MLG BAY ZONAL INSP</t>
        </is>
      </c>
      <c r="D1071" s="288" t="inlineStr">
        <is>
          <t>1</t>
        </is>
      </c>
      <c r="E1071" s="288" t="n">
        <v>0.9</v>
      </c>
      <c r="F1071" s="288" t="n">
        <v>0.5</v>
      </c>
      <c r="G1071" s="288" t="n">
        <v>0.5</v>
      </c>
      <c r="H1071" s="288" t="inlineStr">
        <is>
          <t>Closed</t>
        </is>
      </c>
      <c r="I1071" s="288" t="inlineStr">
        <is>
          <t>05-25</t>
        </is>
      </c>
      <c r="J1071" s="288" t="inlineStr">
        <is>
          <t>INSPECTION</t>
        </is>
      </c>
    </row>
    <row r="1072">
      <c r="A1072" s="288" t="inlineStr">
        <is>
          <t>152</t>
        </is>
      </c>
      <c r="B1072" s="288" t="inlineStr">
        <is>
          <t>ZL-590-01-1-001</t>
        </is>
      </c>
      <c r="C1072" s="288" t="inlineStr">
        <is>
          <t>ZL-590-01-1-001 (03) / L/H WING AILERON INSPECTION</t>
        </is>
      </c>
      <c r="D1072" s="288" t="inlineStr">
        <is>
          <t>1</t>
        </is>
      </c>
      <c r="E1072" s="288" t="n">
        <v>0.4</v>
      </c>
      <c r="F1072" s="288" t="n">
        <v>1</v>
      </c>
      <c r="G1072" s="288" t="n">
        <v>1</v>
      </c>
      <c r="H1072" s="288" t="inlineStr">
        <is>
          <t>Closed</t>
        </is>
      </c>
      <c r="I1072" s="288" t="inlineStr">
        <is>
          <t>05-25</t>
        </is>
      </c>
      <c r="J1072" s="288" t="inlineStr">
        <is>
          <t>INSPECTION</t>
        </is>
      </c>
    </row>
    <row r="1073">
      <c r="A1073" s="288" t="inlineStr">
        <is>
          <t>153</t>
        </is>
      </c>
      <c r="B1073" s="288" t="inlineStr">
        <is>
          <t>ZL-590-01-1-002</t>
        </is>
      </c>
      <c r="C1073" s="288" t="inlineStr">
        <is>
          <t>ZL-590-01-1-002 (03) / R/H WING AILERON INSPECTION</t>
        </is>
      </c>
      <c r="D1073" s="288" t="inlineStr">
        <is>
          <t>1</t>
        </is>
      </c>
      <c r="E1073" s="288" t="n">
        <v>0.4</v>
      </c>
      <c r="F1073" s="288" t="n">
        <v>1</v>
      </c>
      <c r="G1073" s="288" t="n">
        <v>1</v>
      </c>
      <c r="H1073" s="288" t="inlineStr">
        <is>
          <t>Closed</t>
        </is>
      </c>
      <c r="I1073" s="288" t="inlineStr">
        <is>
          <t>05-25</t>
        </is>
      </c>
      <c r="J1073" s="288" t="inlineStr">
        <is>
          <t>INSPECTION</t>
        </is>
      </c>
    </row>
    <row r="1074">
      <c r="A1074" s="288" t="inlineStr">
        <is>
          <t>155</t>
        </is>
      </c>
      <c r="B1074" s="288" t="inlineStr">
        <is>
          <t>ZL-812-01-1</t>
        </is>
      </c>
      <c r="C1074" s="288" t="inlineStr">
        <is>
          <t>ZL-812-01-1 (03) / LATERAL AVIONICS COMP. DOORS INSP</t>
        </is>
      </c>
      <c r="D1074" s="288" t="inlineStr">
        <is>
          <t>1</t>
        </is>
      </c>
      <c r="E1074" s="288" t="n">
        <v>0.4</v>
      </c>
      <c r="F1074" s="288" t="n">
        <v>1</v>
      </c>
      <c r="G1074" s="288" t="n">
        <v>1</v>
      </c>
      <c r="H1074" s="288" t="inlineStr">
        <is>
          <t>Closed</t>
        </is>
      </c>
      <c r="I1074" s="288" t="inlineStr">
        <is>
          <t>05-28</t>
        </is>
      </c>
      <c r="J1074" s="288" t="inlineStr">
        <is>
          <t>PRE INSP</t>
        </is>
      </c>
    </row>
    <row r="1075">
      <c r="A1075" s="288" t="inlineStr">
        <is>
          <t>156</t>
        </is>
      </c>
      <c r="B1075" s="288" t="inlineStr">
        <is>
          <t>ZL-824-01-1</t>
        </is>
      </c>
      <c r="C1075" s="288" t="inlineStr">
        <is>
          <t>ZL-824-01-1 (03) / REAR AVIONICS COMPARTMENT DOOR INSP</t>
        </is>
      </c>
      <c r="D1075" s="288" t="inlineStr">
        <is>
          <t>1</t>
        </is>
      </c>
      <c r="E1075" s="288" t="n">
        <v>0.2</v>
      </c>
      <c r="F1075" s="288" t="n">
        <v>1</v>
      </c>
      <c r="G1075" s="288" t="n">
        <v>1</v>
      </c>
      <c r="H1075" s="288" t="inlineStr">
        <is>
          <t>Closed</t>
        </is>
      </c>
      <c r="I1075" s="288" t="inlineStr">
        <is>
          <t>05-28</t>
        </is>
      </c>
      <c r="J1075" s="288" t="inlineStr">
        <is>
          <t>PRE INSP</t>
        </is>
      </c>
    </row>
    <row r="1076">
      <c r="A1076" s="288" t="inlineStr">
        <is>
          <t>162</t>
        </is>
      </c>
      <c r="B1076" s="288" t="inlineStr">
        <is>
          <t>212300-02-1</t>
        </is>
      </c>
      <c r="C1076" s="288" t="inlineStr">
        <is>
          <t>212300-02-1 (4) / LAVATORY AIR EXTRACTION FLTR R/R</t>
        </is>
      </c>
      <c r="D1076" s="288" t="inlineStr">
        <is>
          <t>1</t>
        </is>
      </c>
      <c r="E1076" s="288" t="n">
        <v>0.4</v>
      </c>
      <c r="F1076" s="288" t="n">
        <v>2</v>
      </c>
      <c r="G1076" s="288" t="n">
        <v>1</v>
      </c>
      <c r="H1076" s="288" t="inlineStr">
        <is>
          <t>Closed</t>
        </is>
      </c>
      <c r="I1076" s="288" t="inlineStr">
        <is>
          <t>21-23</t>
        </is>
      </c>
      <c r="J1076" s="288" t="inlineStr">
        <is>
          <t>TC/P, TC/P</t>
        </is>
      </c>
    </row>
    <row r="1077">
      <c r="A1077" s="288" t="inlineStr">
        <is>
          <t>166</t>
        </is>
      </c>
      <c r="B1077" s="288" t="inlineStr">
        <is>
          <t>242800-01-2</t>
        </is>
      </c>
      <c r="C1077" s="288" t="inlineStr">
        <is>
          <t>242800-01-2 (4) / STATIC INVERTER OPERATIONAL CHECK</t>
        </is>
      </c>
      <c r="D1077" s="288" t="inlineStr">
        <is>
          <t>1</t>
        </is>
      </c>
      <c r="E1077" s="288" t="n">
        <v>0.2</v>
      </c>
      <c r="F1077" s="288" t="n">
        <v>4.5</v>
      </c>
      <c r="G1077" s="288" t="n">
        <v>2.8</v>
      </c>
      <c r="H1077" s="288" t="inlineStr">
        <is>
          <t>Closed</t>
        </is>
      </c>
      <c r="I1077" s="288" t="inlineStr">
        <is>
          <t>24-28</t>
        </is>
      </c>
      <c r="J1077" s="288" t="inlineStr">
        <is>
          <t>OPS/LK</t>
        </is>
      </c>
    </row>
    <row r="1078">
      <c r="A1078" s="288" t="inlineStr">
        <is>
          <t>179</t>
        </is>
      </c>
      <c r="B1078" s="288" t="inlineStr">
        <is>
          <t>25-60-00-03-0-SVA</t>
        </is>
      </c>
      <c r="C1078" s="288" t="inlineStr">
        <is>
          <t>25-60-00-03-0-SVA (01) / EMERGENCY EQUIPMENT IN C/A SEAT STOWAGE INSPECTION</t>
        </is>
      </c>
      <c r="D1078" s="288" t="inlineStr">
        <is>
          <t>1</t>
        </is>
      </c>
      <c r="E1078" s="288" t="n">
        <v>2</v>
      </c>
      <c r="F1078" s="288" t="n">
        <v>1</v>
      </c>
      <c r="G1078" s="288" t="n">
        <v>1</v>
      </c>
      <c r="H1078" s="288" t="inlineStr">
        <is>
          <t>Closed</t>
        </is>
      </c>
      <c r="I1078" s="288" t="inlineStr">
        <is>
          <t>25-60</t>
        </is>
      </c>
      <c r="J1078" s="288" t="inlineStr">
        <is>
          <t>PRE INSP</t>
        </is>
      </c>
    </row>
    <row r="1079">
      <c r="A1079" s="288" t="inlineStr">
        <is>
          <t>180</t>
        </is>
      </c>
      <c r="B1079" s="288" t="inlineStr">
        <is>
          <t>25-65-00-01-0-SVA</t>
        </is>
      </c>
      <c r="C1079" s="288" t="inlineStr">
        <is>
          <t>25-65-00-01-0-SVA (02) / EMERGENCY EQUIP VALIDITY INSP</t>
        </is>
      </c>
      <c r="D1079" s="288" t="inlineStr">
        <is>
          <t>1</t>
        </is>
      </c>
      <c r="E1079" s="288" t="n">
        <v>2</v>
      </c>
      <c r="F1079" s="288" t="n">
        <v>1</v>
      </c>
      <c r="G1079" s="288" t="n">
        <v>1</v>
      </c>
      <c r="H1079" s="288" t="inlineStr">
        <is>
          <t>Closed</t>
        </is>
      </c>
      <c r="I1079" s="288" t="inlineStr">
        <is>
          <t>25-65</t>
        </is>
      </c>
      <c r="J1079" s="288" t="inlineStr">
        <is>
          <t>PRE INSP</t>
        </is>
      </c>
    </row>
    <row r="1080">
      <c r="A1080" s="288" t="inlineStr">
        <is>
          <t>181</t>
        </is>
      </c>
      <c r="B1080" s="288" t="inlineStr">
        <is>
          <t>25-65-00-01-0-SVA-001</t>
        </is>
      </c>
      <c r="C1080" s="288" t="inlineStr">
        <is>
          <t>25-65-00-01-0-SVA-001 (02) / FIRST AID MEDICAL SURVL KIT CHECK</t>
        </is>
      </c>
      <c r="D1080" s="288" t="inlineStr">
        <is>
          <t>1</t>
        </is>
      </c>
      <c r="E1080" s="288" t="n">
        <v>1</v>
      </c>
      <c r="F1080" s="288" t="n">
        <v>1</v>
      </c>
      <c r="G1080" s="288" t="n">
        <v>1</v>
      </c>
      <c r="H1080" s="288" t="inlineStr">
        <is>
          <t>Closed</t>
        </is>
      </c>
      <c r="I1080" s="288" t="inlineStr">
        <is>
          <t>25-65</t>
        </is>
      </c>
      <c r="J1080" s="288" t="inlineStr">
        <is>
          <t>PRE INSP</t>
        </is>
      </c>
    </row>
    <row r="1081">
      <c r="A1081" s="288" t="inlineStr">
        <is>
          <t>184</t>
        </is>
      </c>
      <c r="B1081" s="288" t="inlineStr">
        <is>
          <t>255000-16-1-001</t>
        </is>
      </c>
      <c r="C1081" s="288" t="inlineStr">
        <is>
          <t>255000-16-1-001 (03) / FWD CARGO COMP DIVIDER NETS INSP</t>
        </is>
      </c>
      <c r="D1081" s="288" t="inlineStr">
        <is>
          <t>1</t>
        </is>
      </c>
      <c r="E1081" s="288" t="n">
        <v>1.3</v>
      </c>
      <c r="F1081" s="288" t="n">
        <v>0.2</v>
      </c>
      <c r="G1081" s="288" t="n">
        <v>0.2</v>
      </c>
      <c r="H1081" s="288" t="inlineStr">
        <is>
          <t>Closed</t>
        </is>
      </c>
      <c r="I1081" s="288" t="inlineStr">
        <is>
          <t>25-50</t>
        </is>
      </c>
      <c r="J1081" s="288" t="inlineStr">
        <is>
          <t>PRE INSP</t>
        </is>
      </c>
    </row>
    <row r="1082">
      <c r="A1082" s="288" t="inlineStr">
        <is>
          <t>203</t>
        </is>
      </c>
      <c r="B1082" s="288" t="inlineStr">
        <is>
          <t>282800-09-1</t>
        </is>
      </c>
      <c r="C1082" s="288" t="inlineStr">
        <is>
          <t>282800-09-1 (03) / ADDITIONAL CENTER TANK TRANSFER SYSTEM (GVI)</t>
        </is>
      </c>
      <c r="D1082" s="288" t="inlineStr">
        <is>
          <t>1</t>
        </is>
      </c>
      <c r="E1082" s="288" t="n">
        <v>0.3</v>
      </c>
      <c r="F1082" s="288" t="n">
        <v>0.2</v>
      </c>
      <c r="G1082" s="288" t="n">
        <v>0.2</v>
      </c>
      <c r="H1082" s="288" t="inlineStr">
        <is>
          <t>Closed</t>
        </is>
      </c>
      <c r="I1082" s="288" t="inlineStr">
        <is>
          <t>28-28</t>
        </is>
      </c>
      <c r="J1082" s="288" t="inlineStr">
        <is>
          <t>PRE INSP</t>
        </is>
      </c>
    </row>
    <row r="1083">
      <c r="A1083" s="288" t="inlineStr">
        <is>
          <t>210</t>
        </is>
      </c>
      <c r="B1083" s="288" t="inlineStr">
        <is>
          <t>323000-01-1-001</t>
        </is>
      </c>
      <c r="C1083" s="288" t="inlineStr">
        <is>
          <t>323000-01-1-001 (4) / (NLG) DOWNLOCK SPRING &amp; ATTACHMENT</t>
        </is>
      </c>
      <c r="D1083" s="288" t="inlineStr">
        <is>
          <t>1</t>
        </is>
      </c>
      <c r="E1083" s="288" t="n">
        <v>0.1</v>
      </c>
      <c r="F1083" s="288" t="n">
        <v>1</v>
      </c>
      <c r="G1083" s="288" t="n">
        <v>1</v>
      </c>
      <c r="H1083" s="288" t="inlineStr">
        <is>
          <t>Closed</t>
        </is>
      </c>
      <c r="I1083" s="288" t="inlineStr">
        <is>
          <t>32-30</t>
        </is>
      </c>
      <c r="J1083" s="288" t="inlineStr">
        <is>
          <t>PRE INSP</t>
        </is>
      </c>
    </row>
    <row r="1084">
      <c r="A1084" s="288" t="inlineStr">
        <is>
          <t>211</t>
        </is>
      </c>
      <c r="B1084" s="288" t="inlineStr">
        <is>
          <t>323000-01-1-002</t>
        </is>
      </c>
      <c r="C1084" s="288" t="inlineStr">
        <is>
          <t>323000-01-1-002 (4) / LH(MLG)DOWINLOCK SPRING &amp; ATTACHMENT</t>
        </is>
      </c>
      <c r="D1084" s="288" t="inlineStr">
        <is>
          <t>1</t>
        </is>
      </c>
      <c r="E1084" s="288" t="n">
        <v>0.1</v>
      </c>
      <c r="F1084" s="288" t="n">
        <v>0.2</v>
      </c>
      <c r="G1084" s="288" t="n">
        <v>0.2</v>
      </c>
      <c r="H1084" s="288" t="inlineStr">
        <is>
          <t>Closed</t>
        </is>
      </c>
      <c r="I1084" s="288" t="inlineStr">
        <is>
          <t>32-30</t>
        </is>
      </c>
      <c r="J1084" s="288" t="inlineStr">
        <is>
          <t>PRE INSP</t>
        </is>
      </c>
    </row>
    <row r="1085">
      <c r="A1085" s="288" t="inlineStr">
        <is>
          <t>212</t>
        </is>
      </c>
      <c r="B1085" s="288" t="inlineStr">
        <is>
          <t>323000-01-1-003</t>
        </is>
      </c>
      <c r="C1085" s="288" t="inlineStr">
        <is>
          <t>323000-01-1-003 (4) / RH(MLG)DOWINLOCK SPRING &amp; ATTACHMENT</t>
        </is>
      </c>
      <c r="D1085" s="288" t="inlineStr">
        <is>
          <t>1</t>
        </is>
      </c>
      <c r="E1085" s="288" t="n">
        <v>0.1</v>
      </c>
      <c r="F1085" s="288" t="n">
        <v>0.5</v>
      </c>
      <c r="G1085" s="288" t="n">
        <v>0.5</v>
      </c>
      <c r="H1085" s="288" t="inlineStr">
        <is>
          <t>Closed</t>
        </is>
      </c>
      <c r="I1085" s="288" t="inlineStr">
        <is>
          <t>32-30</t>
        </is>
      </c>
      <c r="J1085" s="288" t="inlineStr">
        <is>
          <t>PRE INSP</t>
        </is>
      </c>
    </row>
    <row r="1086">
      <c r="A1086" s="288" t="inlineStr">
        <is>
          <t>215</t>
        </is>
      </c>
      <c r="B1086" s="288" t="inlineStr">
        <is>
          <t>353000-01-1</t>
        </is>
      </c>
      <c r="C1086" s="288" t="inlineStr">
        <is>
          <t>353000-01-1 (5) / PORTABLE OXYGEN CYLINDERS OPC</t>
        </is>
      </c>
      <c r="D1086" s="288" t="inlineStr">
        <is>
          <t>1</t>
        </is>
      </c>
      <c r="E1086" s="288" t="n">
        <v>0.4</v>
      </c>
      <c r="F1086" s="288" t="n">
        <v>6.5</v>
      </c>
      <c r="G1086" s="288" t="n">
        <v>5.2</v>
      </c>
      <c r="H1086" s="288" t="inlineStr">
        <is>
          <t>Closed</t>
        </is>
      </c>
      <c r="I1086" s="288" t="inlineStr">
        <is>
          <t>35-32</t>
        </is>
      </c>
      <c r="J1086" s="288" t="inlineStr">
        <is>
          <t>JOB-SETUP, INSPECTION, JOB-CLOSEUP</t>
        </is>
      </c>
    </row>
    <row r="1087">
      <c r="A1087" s="288" t="inlineStr">
        <is>
          <t>216</t>
        </is>
      </c>
      <c r="B1087" s="288" t="inlineStr">
        <is>
          <t>353000-05-1</t>
        </is>
      </c>
      <c r="C1087" s="288" t="inlineStr">
        <is>
          <t>353000-05-1 (5) / CABIN PBE INSP</t>
        </is>
      </c>
      <c r="D1087" s="288" t="inlineStr">
        <is>
          <t>1</t>
        </is>
      </c>
      <c r="E1087" s="288" t="n">
        <v>0.4</v>
      </c>
      <c r="F1087" s="288" t="n">
        <v>2.8</v>
      </c>
      <c r="G1087" s="288" t="n">
        <v>3.8</v>
      </c>
      <c r="H1087" s="288" t="inlineStr">
        <is>
          <t>Closed</t>
        </is>
      </c>
      <c r="I1087" s="288" t="inlineStr">
        <is>
          <t>35-30</t>
        </is>
      </c>
      <c r="J1087" s="288" t="inlineStr">
        <is>
          <t>PRE INSP, PRE INSP, PRE INSP</t>
        </is>
      </c>
    </row>
    <row r="1088">
      <c r="A1088" s="288" t="inlineStr">
        <is>
          <t>236</t>
        </is>
      </c>
      <c r="B1088" s="288" t="inlineStr">
        <is>
          <t>200002-01-1</t>
        </is>
      </c>
      <c r="C1088" s="288" t="inlineStr">
        <is>
          <t>200002-01-1 (2) / THS ELECTRICAL BONDING LEADS INSP</t>
        </is>
      </c>
      <c r="D1088" s="288" t="inlineStr">
        <is>
          <t>1</t>
        </is>
      </c>
      <c r="E1088" s="288" t="n">
        <v>0.7</v>
      </c>
      <c r="F1088" s="288" t="n">
        <v>15</v>
      </c>
      <c r="G1088" s="288" t="n">
        <v>17.3</v>
      </c>
      <c r="H1088" s="288" t="inlineStr">
        <is>
          <t>Closed</t>
        </is>
      </c>
      <c r="I1088" s="288" t="inlineStr">
        <is>
          <t>24-92</t>
        </is>
      </c>
      <c r="J1088" s="288" t="inlineStr">
        <is>
          <t>INSPECTION</t>
        </is>
      </c>
    </row>
    <row r="1089">
      <c r="A1089" s="288" t="inlineStr">
        <is>
          <t>238</t>
        </is>
      </c>
      <c r="B1089" s="288" t="inlineStr">
        <is>
          <t>200435-01-1-002</t>
        </is>
      </c>
      <c r="C1089" s="288" t="inlineStr">
        <is>
          <t>200435-01-1-002 (03) / NO.2 ENG FAN &amp; ACCE G/B (EWIS) INSP</t>
        </is>
      </c>
      <c r="D1089" s="288" t="inlineStr">
        <is>
          <t>1</t>
        </is>
      </c>
      <c r="E1089" s="288" t="n">
        <v>1.1</v>
      </c>
      <c r="F1089" s="288" t="n">
        <v>7</v>
      </c>
      <c r="G1089" s="288" t="n">
        <v>5.2</v>
      </c>
      <c r="H1089" s="288" t="inlineStr">
        <is>
          <t>Closed</t>
        </is>
      </c>
      <c r="I1089" s="288" t="inlineStr">
        <is>
          <t>24-92</t>
        </is>
      </c>
      <c r="J1089" s="288" t="inlineStr">
        <is>
          <t>JOB-SETUP, INSPECTION, JOB-CLOSEUP</t>
        </is>
      </c>
    </row>
    <row r="1090">
      <c r="A1090" s="288" t="inlineStr">
        <is>
          <t>249</t>
        </is>
      </c>
      <c r="B1090" s="288" t="inlineStr">
        <is>
          <t>215000-03-2</t>
        </is>
      </c>
      <c r="C1090" s="288" t="inlineStr">
        <is>
          <t>215000-03-2 (3) / PACK RAM AIR INLET INSPECTION</t>
        </is>
      </c>
      <c r="D1090" s="288" t="inlineStr">
        <is>
          <t>1</t>
        </is>
      </c>
      <c r="E1090" s="288" t="n">
        <v>2.2</v>
      </c>
      <c r="F1090" s="288" t="n">
        <v>40</v>
      </c>
      <c r="G1090" s="288" t="n">
        <v>8.800000000000001</v>
      </c>
      <c r="H1090" s="288" t="inlineStr">
        <is>
          <t>Closed</t>
        </is>
      </c>
      <c r="I1090" s="288" t="inlineStr">
        <is>
          <t>21-61</t>
        </is>
      </c>
      <c r="J1090" s="288" t="inlineStr">
        <is>
          <t>PRE HGR</t>
        </is>
      </c>
    </row>
    <row r="1091">
      <c r="A1091" s="288" t="inlineStr">
        <is>
          <t>257</t>
        </is>
      </c>
      <c r="B1091" s="288" t="inlineStr">
        <is>
          <t>23-73-00-01-0-SVA</t>
        </is>
      </c>
      <c r="C1091" s="288" t="inlineStr">
        <is>
          <t>23-73-00-01-0-SVA (01) / CABIN SIGNS OPS CHK</t>
        </is>
      </c>
      <c r="D1091" s="288" t="inlineStr">
        <is>
          <t>1</t>
        </is>
      </c>
      <c r="E1091" s="288" t="n">
        <v>8</v>
      </c>
      <c r="F1091" s="288" t="n">
        <v>4</v>
      </c>
      <c r="G1091" s="288" t="n">
        <v>2</v>
      </c>
      <c r="H1091" s="288" t="inlineStr">
        <is>
          <t>Closed</t>
        </is>
      </c>
      <c r="I1091" s="288" t="inlineStr">
        <is>
          <t>23-73</t>
        </is>
      </c>
      <c r="J1091" s="288" t="inlineStr">
        <is>
          <t>OPS/LK</t>
        </is>
      </c>
    </row>
    <row r="1092">
      <c r="A1092" s="288" t="inlineStr">
        <is>
          <t>258</t>
        </is>
      </c>
      <c r="B1092" s="288" t="inlineStr">
        <is>
          <t>233300-02-1</t>
        </is>
      </c>
      <c r="C1092" s="288" t="inlineStr">
        <is>
          <t>233300-02-1 (4) / PASSENGER ENTERTAINMENT OPC</t>
        </is>
      </c>
      <c r="D1092" s="288" t="inlineStr">
        <is>
          <t>1</t>
        </is>
      </c>
      <c r="E1092" s="288" t="n">
        <v>0.9</v>
      </c>
      <c r="F1092" s="288" t="n">
        <v>6</v>
      </c>
      <c r="G1092" s="288" t="n">
        <v>2.1</v>
      </c>
      <c r="H1092" s="288" t="inlineStr">
        <is>
          <t>Closed</t>
        </is>
      </c>
      <c r="I1092" s="288" t="inlineStr">
        <is>
          <t>23-33</t>
        </is>
      </c>
      <c r="J1092" s="288" t="inlineStr">
        <is>
          <t>OPS/LK</t>
        </is>
      </c>
    </row>
    <row r="1093">
      <c r="A1093" s="288" t="inlineStr">
        <is>
          <t>293</t>
        </is>
      </c>
      <c r="B1093" s="288" t="inlineStr">
        <is>
          <t>252200-03-1</t>
        </is>
      </c>
      <c r="C1093" s="288" t="inlineStr">
        <is>
          <t>252200-03-1 (4) / CABIN ATTENDANT SEATS BELTS INSP</t>
        </is>
      </c>
      <c r="D1093" s="288" t="inlineStr">
        <is>
          <t>1</t>
        </is>
      </c>
      <c r="E1093" s="288" t="n">
        <v>0</v>
      </c>
      <c r="F1093" s="288" t="n">
        <v>0.8</v>
      </c>
      <c r="G1093" s="288" t="n">
        <v>0.8</v>
      </c>
      <c r="H1093" s="288" t="inlineStr">
        <is>
          <t>Closed</t>
        </is>
      </c>
      <c r="I1093" s="288" t="inlineStr">
        <is>
          <t>25-22</t>
        </is>
      </c>
      <c r="J1093" s="288" t="inlineStr">
        <is>
          <t>PRE INSP</t>
        </is>
      </c>
    </row>
    <row r="1094">
      <c r="A1094" s="288" t="inlineStr">
        <is>
          <t>294</t>
        </is>
      </c>
      <c r="B1094" s="288" t="inlineStr">
        <is>
          <t>254000-04-2</t>
        </is>
      </c>
      <c r="C1094" s="288" t="inlineStr">
        <is>
          <t>254000-04-2 (4) / LAVATORIES FLOOR PANELS INSPECTION</t>
        </is>
      </c>
      <c r="D1094" s="288" t="inlineStr">
        <is>
          <t>1</t>
        </is>
      </c>
      <c r="E1094" s="288" t="n">
        <v>3.3</v>
      </c>
      <c r="F1094" s="288" t="n">
        <v>0.8</v>
      </c>
      <c r="G1094" s="288" t="n">
        <v>0.8</v>
      </c>
      <c r="H1094" s="288" t="inlineStr">
        <is>
          <t>Closed</t>
        </is>
      </c>
      <c r="I1094" s="288" t="inlineStr">
        <is>
          <t>25-40</t>
        </is>
      </c>
      <c r="J1094" s="288" t="inlineStr">
        <is>
          <t>PRE INSP</t>
        </is>
      </c>
    </row>
    <row r="1095">
      <c r="A1095" s="288" t="inlineStr">
        <is>
          <t>303</t>
        </is>
      </c>
      <c r="B1095" s="288" t="inlineStr">
        <is>
          <t>262100-03-1-001</t>
        </is>
      </c>
      <c r="C1095" s="288" t="inlineStr">
        <is>
          <t>262100-03-1-001 (04) / NO.1 ENG FIRE EXTIG CONTINUTY CHK</t>
        </is>
      </c>
      <c r="D1095" s="288" t="inlineStr">
        <is>
          <t>1</t>
        </is>
      </c>
      <c r="E1095" s="288" t="n">
        <v>0.9</v>
      </c>
      <c r="F1095" s="288" t="n">
        <v>7</v>
      </c>
      <c r="G1095" s="288" t="n">
        <v>1.9</v>
      </c>
      <c r="H1095" s="288" t="inlineStr">
        <is>
          <t>Closed</t>
        </is>
      </c>
      <c r="I1095" s="288" t="inlineStr">
        <is>
          <t>26-21</t>
        </is>
      </c>
      <c r="J1095" s="288" t="inlineStr">
        <is>
          <t>TC/P, TC/P, TC/P</t>
        </is>
      </c>
    </row>
    <row r="1096">
      <c r="A1096" s="288" t="inlineStr">
        <is>
          <t>304</t>
        </is>
      </c>
      <c r="B1096" s="288" t="inlineStr">
        <is>
          <t>262100-03-1-002</t>
        </is>
      </c>
      <c r="C1096" s="288" t="inlineStr">
        <is>
          <t>262100-03-1-002 (04) / NO.2 ENG FIRE EXTIG CONTINUTY CHK</t>
        </is>
      </c>
      <c r="D1096" s="288" t="inlineStr">
        <is>
          <t>1</t>
        </is>
      </c>
      <c r="E1096" s="288" t="n">
        <v>0.9</v>
      </c>
      <c r="F1096" s="288" t="n">
        <v>7</v>
      </c>
      <c r="G1096" s="288" t="n">
        <v>1.9</v>
      </c>
      <c r="H1096" s="288" t="inlineStr">
        <is>
          <t>Closed</t>
        </is>
      </c>
      <c r="I1096" s="288" t="inlineStr">
        <is>
          <t>26-21</t>
        </is>
      </c>
      <c r="J1096" s="288" t="inlineStr">
        <is>
          <t>TC/P, TC/P, TC/P</t>
        </is>
      </c>
    </row>
    <row r="1097">
      <c r="A1097" s="288" t="inlineStr">
        <is>
          <t>306</t>
        </is>
      </c>
      <c r="B1097" s="288" t="inlineStr">
        <is>
          <t>262200-03-1</t>
        </is>
      </c>
      <c r="C1097" s="288" t="inlineStr">
        <is>
          <t>262200-03-1 (4) / APU FIRE EXTINGUISHING FIRING CHK</t>
        </is>
      </c>
      <c r="D1097" s="288" t="inlineStr">
        <is>
          <t>1</t>
        </is>
      </c>
      <c r="E1097" s="288" t="n">
        <v>0.7</v>
      </c>
      <c r="F1097" s="288" t="n">
        <v>8.5</v>
      </c>
      <c r="G1097" s="288" t="n">
        <v>2.2</v>
      </c>
      <c r="H1097" s="288" t="inlineStr">
        <is>
          <t>Closed</t>
        </is>
      </c>
      <c r="I1097" s="288" t="inlineStr">
        <is>
          <t>26-22</t>
        </is>
      </c>
      <c r="J1097" s="288" t="inlineStr">
        <is>
          <t>JOB-SETUP, TC/P, TC/P, JOB-CLOSEUP</t>
        </is>
      </c>
    </row>
    <row r="1098">
      <c r="A1098" s="288" t="inlineStr">
        <is>
          <t>307</t>
        </is>
      </c>
      <c r="B1098" s="288" t="inlineStr">
        <is>
          <t>262200-04-1</t>
        </is>
      </c>
      <c r="C1098" s="288" t="inlineStr">
        <is>
          <t>262200-04-1 (4) / APU FIRE EXTINGUISHING DISTRIBUTION PIPING INSP &amp; DISCHARGE NOZZLE</t>
        </is>
      </c>
      <c r="D1098" s="288" t="inlineStr">
        <is>
          <t>1</t>
        </is>
      </c>
      <c r="E1098" s="288" t="n">
        <v>0.4</v>
      </c>
      <c r="F1098" s="288" t="n">
        <v>0.8</v>
      </c>
      <c r="G1098" s="288" t="n">
        <v>0.8</v>
      </c>
      <c r="H1098" s="288" t="inlineStr">
        <is>
          <t>Closed</t>
        </is>
      </c>
      <c r="I1098" s="288" t="inlineStr">
        <is>
          <t>26-22</t>
        </is>
      </c>
      <c r="J1098" s="288" t="inlineStr">
        <is>
          <t>INSPECTION</t>
        </is>
      </c>
    </row>
    <row r="1099">
      <c r="A1099" s="288" t="inlineStr">
        <is>
          <t>309</t>
        </is>
      </c>
      <c r="B1099" s="288" t="inlineStr">
        <is>
          <t>262200-06-1</t>
        </is>
      </c>
      <c r="C1099" s="288" t="inlineStr">
        <is>
          <t>262200-06-1 (5) / APU FIRE PUSH BUTTON &amp; LP FUEL VLV</t>
        </is>
      </c>
      <c r="D1099" s="288" t="inlineStr">
        <is>
          <t>1</t>
        </is>
      </c>
      <c r="E1099" s="288" t="n">
        <v>0.7</v>
      </c>
      <c r="F1099" s="288" t="n">
        <v>4.5</v>
      </c>
      <c r="G1099" s="288" t="n">
        <v>2.8</v>
      </c>
      <c r="H1099" s="288" t="inlineStr">
        <is>
          <t>Closed</t>
        </is>
      </c>
      <c r="I1099" s="288" t="inlineStr">
        <is>
          <t>26-22</t>
        </is>
      </c>
      <c r="J1099" s="288" t="inlineStr">
        <is>
          <t>OPS/LK</t>
        </is>
      </c>
    </row>
    <row r="1100">
      <c r="A1100" s="288" t="inlineStr">
        <is>
          <t>310</t>
        </is>
      </c>
      <c r="B1100" s="288" t="inlineStr">
        <is>
          <t>262300-02-1</t>
        </is>
      </c>
      <c r="C1100" s="288" t="inlineStr">
        <is>
          <t>262300-02-1 (05) / CARGO COMP FIRNG CIRCT CONTU CHK</t>
        </is>
      </c>
      <c r="D1100" s="288" t="inlineStr">
        <is>
          <t>1</t>
        </is>
      </c>
      <c r="E1100" s="288" t="n">
        <v>1.3</v>
      </c>
      <c r="F1100" s="288" t="n">
        <v>11</v>
      </c>
      <c r="G1100" s="288" t="n">
        <v>3.4</v>
      </c>
      <c r="H1100" s="288" t="inlineStr">
        <is>
          <t>Closed</t>
        </is>
      </c>
      <c r="I1100" s="288" t="inlineStr">
        <is>
          <t>26-23</t>
        </is>
      </c>
      <c r="J1100" s="288" t="inlineStr">
        <is>
          <t>JOB-SETUP, OPS/LK, OPS/LK, JOB-CLOSEUP</t>
        </is>
      </c>
    </row>
    <row r="1101">
      <c r="A1101" s="288" t="inlineStr">
        <is>
          <t>312</t>
        </is>
      </c>
      <c r="B1101" s="288" t="inlineStr">
        <is>
          <t>262541-04-1</t>
        </is>
      </c>
      <c r="C1101" s="288" t="inlineStr">
        <is>
          <t>262541-04-1 (3) / LAVATORY FIRE EXTG PRESS READING CHK</t>
        </is>
      </c>
      <c r="D1101" s="288" t="inlineStr">
        <is>
          <t>1</t>
        </is>
      </c>
      <c r="E1101" s="288" t="n">
        <v>0.2</v>
      </c>
      <c r="F1101" s="288" t="n">
        <v>0.8</v>
      </c>
      <c r="G1101" s="288" t="n">
        <v>0.8</v>
      </c>
      <c r="H1101" s="288" t="inlineStr">
        <is>
          <t>Closed</t>
        </is>
      </c>
      <c r="I1101" s="288" t="inlineStr">
        <is>
          <t>26-25</t>
        </is>
      </c>
      <c r="J1101" s="288" t="inlineStr">
        <is>
          <t>INSPECTION</t>
        </is>
      </c>
    </row>
    <row r="1102">
      <c r="A1102" s="288" t="inlineStr">
        <is>
          <t>324</t>
        </is>
      </c>
      <c r="B1102" s="288" t="inlineStr">
        <is>
          <t>272400-02-1</t>
        </is>
      </c>
      <c r="C1102" s="288" t="inlineStr">
        <is>
          <t>272400-02-1 (04) / FUNCTIONAL CHK OF RUDDER HYDRAULIC ACTUATION</t>
        </is>
      </c>
      <c r="D1102" s="288" t="inlineStr">
        <is>
          <t>1</t>
        </is>
      </c>
      <c r="E1102" s="288" t="n">
        <v>2.2</v>
      </c>
      <c r="F1102" s="288" t="n">
        <v>39.6</v>
      </c>
      <c r="G1102" s="288" t="n">
        <v>7.4</v>
      </c>
      <c r="H1102" s="288" t="inlineStr">
        <is>
          <t>Closed</t>
        </is>
      </c>
      <c r="I1102" s="288" t="inlineStr">
        <is>
          <t>27-24</t>
        </is>
      </c>
      <c r="J1102" s="288" t="inlineStr">
        <is>
          <t>PRE HGR, PRE HGR, PRE HGR, PRE HGR, PRE HGR, PRE HGR, PRE HGR, PRE HGR</t>
        </is>
      </c>
    </row>
    <row r="1103">
      <c r="A1103" s="288" t="inlineStr">
        <is>
          <t>325</t>
        </is>
      </c>
      <c r="B1103" s="288" t="inlineStr">
        <is>
          <t>273400-02-1</t>
        </is>
      </c>
      <c r="C1103" s="288" t="inlineStr">
        <is>
          <t>273400-02-1 (04) / FUNCTIONAL CHECK OF ELEV SERVO CONT &amp; HINGE BEARING PLAY</t>
        </is>
      </c>
      <c r="D1103" s="288" t="inlineStr">
        <is>
          <t>1</t>
        </is>
      </c>
      <c r="E1103" s="288" t="n">
        <v>5.5</v>
      </c>
      <c r="F1103" s="288" t="n">
        <v>36.8</v>
      </c>
      <c r="G1103" s="288" t="n">
        <v>9.199999999999999</v>
      </c>
      <c r="H1103" s="288" t="inlineStr">
        <is>
          <t>Closed</t>
        </is>
      </c>
      <c r="I1103" s="288" t="inlineStr">
        <is>
          <t>27-34</t>
        </is>
      </c>
      <c r="J1103" s="288" t="inlineStr">
        <is>
          <t>PRE HGR, PRE HGR, PRE HGR, PRE HGR</t>
        </is>
      </c>
    </row>
    <row r="1104">
      <c r="A1104" s="288" t="inlineStr">
        <is>
          <t>327</t>
        </is>
      </c>
      <c r="B1104" s="288" t="inlineStr">
        <is>
          <t>274000-04-1</t>
        </is>
      </c>
      <c r="C1104" s="288" t="inlineStr">
        <is>
          <t>274000-04-1 (3) / THS ACTUATOR WITH ELECTRIC MOTOR OPC</t>
        </is>
      </c>
      <c r="D1104" s="288" t="inlineStr">
        <is>
          <t>1</t>
        </is>
      </c>
      <c r="E1104" s="288" t="n">
        <v>0.2</v>
      </c>
      <c r="F1104" s="288" t="n">
        <v>20</v>
      </c>
      <c r="G1104" s="288" t="n">
        <v>8.800000000000001</v>
      </c>
      <c r="H1104" s="288" t="inlineStr">
        <is>
          <t>Closed</t>
        </is>
      </c>
      <c r="I1104" s="288" t="inlineStr">
        <is>
          <t>27-96</t>
        </is>
      </c>
      <c r="J1104" s="288" t="inlineStr">
        <is>
          <t>PRE HGR, PRE HGR, PRE HGR</t>
        </is>
      </c>
    </row>
    <row r="1105">
      <c r="A1105" s="288" t="inlineStr">
        <is>
          <t>333</t>
        </is>
      </c>
      <c r="B1105" s="288" t="inlineStr">
        <is>
          <t>274451-06-1</t>
        </is>
      </c>
      <c r="C1105" s="288" t="inlineStr">
        <is>
          <t>274451-06-1 (3) / THS ACT THREADED NUT INSPECTION</t>
        </is>
      </c>
      <c r="D1105" s="288" t="inlineStr">
        <is>
          <t>1</t>
        </is>
      </c>
      <c r="E1105" s="288" t="n">
        <v>0.1</v>
      </c>
      <c r="F1105" s="288" t="n">
        <v>0.5</v>
      </c>
      <c r="G1105" s="288" t="n">
        <v>0.5</v>
      </c>
      <c r="H1105" s="288" t="inlineStr">
        <is>
          <t>Closed</t>
        </is>
      </c>
      <c r="I1105" s="288" t="inlineStr">
        <is>
          <t>27-44</t>
        </is>
      </c>
      <c r="J1105" s="288" t="inlineStr">
        <is>
          <t>PRE INSP</t>
        </is>
      </c>
    </row>
    <row r="1106">
      <c r="A1106" s="288" t="inlineStr">
        <is>
          <t>361</t>
        </is>
      </c>
      <c r="B1106" s="288" t="inlineStr">
        <is>
          <t>281247-01-1-001</t>
        </is>
      </c>
      <c r="C1106" s="288" t="inlineStr">
        <is>
          <t>281247-01-1-001 (02) / L/H NACA INTAKE FOR SIGN OF BLOCLAGE</t>
        </is>
      </c>
      <c r="D1106" s="288" t="inlineStr">
        <is>
          <t>1</t>
        </is>
      </c>
      <c r="E1106" s="288" t="n">
        <v>0.1</v>
      </c>
      <c r="F1106" s="288" t="n">
        <v>0.9</v>
      </c>
      <c r="G1106" s="288" t="n">
        <v>0.9</v>
      </c>
      <c r="H1106" s="288" t="inlineStr">
        <is>
          <t>Closed</t>
        </is>
      </c>
      <c r="I1106" s="288" t="inlineStr">
        <is>
          <t>28-12</t>
        </is>
      </c>
      <c r="J1106" s="288" t="inlineStr">
        <is>
          <t>PRE INSP</t>
        </is>
      </c>
    </row>
    <row r="1107">
      <c r="A1107" s="288" t="inlineStr">
        <is>
          <t>362</t>
        </is>
      </c>
      <c r="B1107" s="288" t="inlineStr">
        <is>
          <t>281247-01-1-002</t>
        </is>
      </c>
      <c r="C1107" s="288" t="inlineStr">
        <is>
          <t>281247-01-1-002 (02) / R/H NACA INTAKE FOR SIGN OF BLOCKAGE</t>
        </is>
      </c>
      <c r="D1107" s="288" t="inlineStr">
        <is>
          <t>1</t>
        </is>
      </c>
      <c r="E1107" s="288" t="n">
        <v>0.1</v>
      </c>
      <c r="F1107" s="288" t="n">
        <v>1</v>
      </c>
      <c r="G1107" s="288" t="n">
        <v>1</v>
      </c>
      <c r="H1107" s="288" t="inlineStr">
        <is>
          <t>Closed</t>
        </is>
      </c>
      <c r="I1107" s="288" t="inlineStr">
        <is>
          <t>28-12</t>
        </is>
      </c>
      <c r="J1107" s="288" t="inlineStr">
        <is>
          <t>PRE INSP</t>
        </is>
      </c>
    </row>
    <row r="1108">
      <c r="A1108" s="288" t="inlineStr">
        <is>
          <t>367</t>
        </is>
      </c>
      <c r="B1108" s="288" t="inlineStr">
        <is>
          <t>282100-05-1-001</t>
        </is>
      </c>
      <c r="C1108" s="288" t="inlineStr">
        <is>
          <t>282100-05-1-001 (03) / NO. 1 ENGINE PIPES, COUPLINGS INSP</t>
        </is>
      </c>
      <c r="D1108" s="288" t="inlineStr">
        <is>
          <t>1</t>
        </is>
      </c>
      <c r="E1108" s="288" t="n">
        <v>0.4</v>
      </c>
      <c r="F1108" s="288" t="n">
        <v>6</v>
      </c>
      <c r="G1108" s="288" t="n">
        <v>3.9</v>
      </c>
      <c r="H1108" s="288" t="inlineStr">
        <is>
          <t>Closed</t>
        </is>
      </c>
      <c r="I1108" s="288" t="inlineStr">
        <is>
          <t>28-21</t>
        </is>
      </c>
      <c r="J1108" s="288" t="inlineStr">
        <is>
          <t>JOB-SETUP, INSPECTION, JOB-CLOSEUP</t>
        </is>
      </c>
    </row>
    <row r="1109">
      <c r="A1109" s="288" t="inlineStr">
        <is>
          <t>368</t>
        </is>
      </c>
      <c r="B1109" s="288" t="inlineStr">
        <is>
          <t>282100-05-1-002</t>
        </is>
      </c>
      <c r="C1109" s="288" t="inlineStr">
        <is>
          <t>282100-05-1-002 (03) / NO. 2 ENGINE PIPES, COUPLINGS INSP</t>
        </is>
      </c>
      <c r="D1109" s="288" t="inlineStr">
        <is>
          <t>1</t>
        </is>
      </c>
      <c r="E1109" s="288" t="n">
        <v>0.4</v>
      </c>
      <c r="F1109" s="288" t="n">
        <v>5</v>
      </c>
      <c r="G1109" s="288" t="n">
        <v>3.8</v>
      </c>
      <c r="H1109" s="288" t="inlineStr">
        <is>
          <t>Closed</t>
        </is>
      </c>
      <c r="I1109" s="288" t="inlineStr">
        <is>
          <t>28-21</t>
        </is>
      </c>
      <c r="J1109" s="288" t="inlineStr">
        <is>
          <t>JOB-SETUP, INSPECTION, JOB-CLOSEUP</t>
        </is>
      </c>
    </row>
    <row r="1110">
      <c r="A1110" s="288" t="inlineStr">
        <is>
          <t>369</t>
        </is>
      </c>
      <c r="B1110" s="288" t="inlineStr">
        <is>
          <t>282300-01-2</t>
        </is>
      </c>
      <c r="C1110" s="288" t="inlineStr">
        <is>
          <t>282300-01-2 (04) / FUEL CROSSFEED VALVE OPERATIONAL</t>
        </is>
      </c>
      <c r="D1110" s="288" t="inlineStr">
        <is>
          <t>1</t>
        </is>
      </c>
      <c r="E1110" s="288" t="n">
        <v>0.2</v>
      </c>
      <c r="F1110" s="288" t="n">
        <v>10</v>
      </c>
      <c r="G1110" s="288" t="n">
        <v>3</v>
      </c>
      <c r="H1110" s="288" t="inlineStr">
        <is>
          <t>Closed</t>
        </is>
      </c>
      <c r="I1110" s="288" t="inlineStr">
        <is>
          <t>28-23</t>
        </is>
      </c>
      <c r="J1110" s="288" t="inlineStr">
        <is>
          <t>PRE HGR, PRE HGR, JOB-CLOSEUP</t>
        </is>
      </c>
    </row>
    <row r="1111">
      <c r="A1111" s="288" t="inlineStr">
        <is>
          <t>387</t>
        </is>
      </c>
      <c r="B1111" s="288" t="inlineStr">
        <is>
          <t>302149-C1-1-002</t>
        </is>
      </c>
      <c r="C1111" s="288" t="inlineStr">
        <is>
          <t>302149-C1-1-002 (02) / NO.2 ENG INTAKE ANTI-ICE DUCT INSP</t>
        </is>
      </c>
      <c r="D1111" s="288" t="inlineStr">
        <is>
          <t>1</t>
        </is>
      </c>
      <c r="E1111" s="288" t="n">
        <v>0.9</v>
      </c>
      <c r="F1111" s="288" t="n">
        <v>6.5</v>
      </c>
      <c r="G1111" s="288" t="n">
        <v>5.6</v>
      </c>
      <c r="H1111" s="288" t="inlineStr">
        <is>
          <t>Closed</t>
        </is>
      </c>
      <c r="I1111" s="288" t="inlineStr">
        <is>
          <t>30-21</t>
        </is>
      </c>
      <c r="J1111" s="288" t="inlineStr">
        <is>
          <t>JOB-SETUP, INSPECTION, JOB-CLOSEUP</t>
        </is>
      </c>
    </row>
    <row r="1112">
      <c r="A1112" s="288" t="inlineStr">
        <is>
          <t>401</t>
        </is>
      </c>
      <c r="B1112" s="288" t="inlineStr">
        <is>
          <t>323000-17-1</t>
        </is>
      </c>
      <c r="C1112" s="288" t="inlineStr">
        <is>
          <t>323000-17-1 (5) / LGCIU POWER SUPPLY RELAYS FUNC CHK</t>
        </is>
      </c>
      <c r="D1112" s="288" t="inlineStr">
        <is>
          <t>1</t>
        </is>
      </c>
      <c r="E1112" s="288" t="n">
        <v>0.4</v>
      </c>
      <c r="F1112" s="288" t="n">
        <v>4.5</v>
      </c>
      <c r="G1112" s="288" t="n">
        <v>2.8</v>
      </c>
      <c r="H1112" s="288" t="inlineStr">
        <is>
          <t>Closed</t>
        </is>
      </c>
      <c r="I1112" s="288" t="inlineStr">
        <is>
          <t>32-31</t>
        </is>
      </c>
      <c r="J1112" s="288" t="inlineStr">
        <is>
          <t>OPS/LK</t>
        </is>
      </c>
    </row>
    <row r="1113">
      <c r="A1113" s="288" t="inlineStr">
        <is>
          <t>403</t>
        </is>
      </c>
      <c r="B1113" s="288" t="inlineStr">
        <is>
          <t>323100-05-1</t>
        </is>
      </c>
      <c r="C1113" s="288" t="inlineStr">
        <is>
          <t>323100-05-1 (2) / NLG DOOR OPERATING MECHANISM INSP</t>
        </is>
      </c>
      <c r="D1113" s="288" t="inlineStr">
        <is>
          <t>1</t>
        </is>
      </c>
      <c r="E1113" s="288" t="n">
        <v>0.7</v>
      </c>
      <c r="F1113" s="288" t="n">
        <v>1</v>
      </c>
      <c r="G1113" s="288" t="n">
        <v>1</v>
      </c>
      <c r="H1113" s="288" t="inlineStr">
        <is>
          <t>Closed</t>
        </is>
      </c>
      <c r="I1113" s="288" t="inlineStr">
        <is>
          <t>32-30</t>
        </is>
      </c>
      <c r="J1113" s="288" t="inlineStr">
        <is>
          <t>PRE INSP</t>
        </is>
      </c>
    </row>
    <row r="1114">
      <c r="A1114" s="288" t="inlineStr">
        <is>
          <t>411</t>
        </is>
      </c>
      <c r="B1114" s="288" t="inlineStr">
        <is>
          <t>324300-02-1</t>
        </is>
      </c>
      <c r="C1114" s="288" t="inlineStr">
        <is>
          <t>324300-02-1 (5) / OPERATIONAL CHECK OF ANTISKID INHIBITION</t>
        </is>
      </c>
      <c r="D1114" s="288" t="inlineStr">
        <is>
          <t>1</t>
        </is>
      </c>
      <c r="E1114" s="288" t="n">
        <v>0.2</v>
      </c>
      <c r="F1114" s="288" t="n">
        <v>8</v>
      </c>
      <c r="G1114" s="288" t="n">
        <v>3</v>
      </c>
      <c r="H1114" s="288" t="inlineStr">
        <is>
          <t>Closed</t>
        </is>
      </c>
      <c r="I1114" s="288" t="inlineStr">
        <is>
          <t>32-42</t>
        </is>
      </c>
      <c r="J1114" s="288" t="inlineStr">
        <is>
          <t>JOB-SETUP, OPS/LK, JOB-CLOSEUP</t>
        </is>
      </c>
    </row>
    <row r="1115">
      <c r="A1115" s="288" t="inlineStr">
        <is>
          <t>413</t>
        </is>
      </c>
      <c r="B1115" s="288" t="inlineStr">
        <is>
          <t>335100-11-1</t>
        </is>
      </c>
      <c r="C1115" s="288" t="inlineStr">
        <is>
          <t>335100-11-1 (1) / CABIN EMERGENCY LIGHTING</t>
        </is>
      </c>
      <c r="D1115" s="288" t="inlineStr">
        <is>
          <t>1</t>
        </is>
      </c>
      <c r="E1115" s="288" t="n">
        <v>0.2</v>
      </c>
      <c r="F1115" s="288" t="n">
        <v>9</v>
      </c>
      <c r="G1115" s="288" t="n">
        <v>3.1</v>
      </c>
      <c r="H1115" s="288" t="inlineStr">
        <is>
          <t>Closed</t>
        </is>
      </c>
      <c r="I1115" s="288" t="inlineStr">
        <is>
          <t>33-51</t>
        </is>
      </c>
      <c r="J1115" s="288" t="inlineStr">
        <is>
          <t>JOB-SETUP, OPS/LK, JOB-CLOSEUP</t>
        </is>
      </c>
    </row>
    <row r="1116">
      <c r="A1116" s="288" t="inlineStr">
        <is>
          <t>414</t>
        </is>
      </c>
      <c r="B1116" s="288" t="inlineStr">
        <is>
          <t>34-55-00-03-A</t>
        </is>
      </c>
      <c r="C1116" s="288" t="inlineStr">
        <is>
          <t>34-55-00-03-A (04) / VOR SYSTEM TEST</t>
        </is>
      </c>
      <c r="D1116" s="288" t="inlineStr">
        <is>
          <t>1</t>
        </is>
      </c>
      <c r="E1116" s="288" t="n">
        <v>1</v>
      </c>
      <c r="F1116" s="288" t="n">
        <v>6.5</v>
      </c>
      <c r="G1116" s="288" t="n">
        <v>2.6</v>
      </c>
      <c r="H1116" s="288" t="inlineStr">
        <is>
          <t>Closed</t>
        </is>
      </c>
      <c r="I1116" s="288" t="inlineStr">
        <is>
          <t>34-55</t>
        </is>
      </c>
      <c r="J1116" s="288" t="inlineStr">
        <is>
          <t>JOB-SETUP, OPS/LK, JOB-CLOSEUP</t>
        </is>
      </c>
    </row>
    <row r="1117">
      <c r="A1117" s="288" t="inlineStr">
        <is>
          <t>421</t>
        </is>
      </c>
      <c r="B1117" s="288" t="inlineStr">
        <is>
          <t>342200-01-1</t>
        </is>
      </c>
      <c r="C1117" s="288" t="inlineStr">
        <is>
          <t>342200-01-1 (5) / STANDBY COMPASS OPS CHK &amp; GVI</t>
        </is>
      </c>
      <c r="D1117" s="288" t="inlineStr">
        <is>
          <t>1</t>
        </is>
      </c>
      <c r="E1117" s="288" t="n">
        <v>0.2</v>
      </c>
      <c r="F1117" s="288" t="n">
        <v>4.5</v>
      </c>
      <c r="G1117" s="288" t="n">
        <v>1.4</v>
      </c>
      <c r="H1117" s="288" t="inlineStr">
        <is>
          <t>Closed</t>
        </is>
      </c>
      <c r="I1117" s="288" t="inlineStr">
        <is>
          <t>34-22</t>
        </is>
      </c>
      <c r="J1117" s="288" t="inlineStr">
        <is>
          <t>JOB-SETUP, OPS/LK, OPS/LK, JOB-CLOSEUP</t>
        </is>
      </c>
    </row>
    <row r="1118">
      <c r="A1118" s="288" t="inlineStr">
        <is>
          <t>426</t>
        </is>
      </c>
      <c r="B1118" s="288" t="inlineStr">
        <is>
          <t>351241-01-1</t>
        </is>
      </c>
      <c r="C1118" s="288" t="inlineStr">
        <is>
          <t>351241-01-1 (3) / CREW OXYGEN MASKS INSPECTION</t>
        </is>
      </c>
      <c r="D1118" s="288" t="inlineStr">
        <is>
          <t>1</t>
        </is>
      </c>
      <c r="E1118" s="288" t="n">
        <v>0.6</v>
      </c>
      <c r="F1118" s="288" t="n">
        <v>10</v>
      </c>
      <c r="G1118" s="288" t="n">
        <v>4.4</v>
      </c>
      <c r="H1118" s="288" t="inlineStr">
        <is>
          <t>Closed</t>
        </is>
      </c>
      <c r="I1118" s="288" t="inlineStr">
        <is>
          <t>35-12</t>
        </is>
      </c>
      <c r="J1118" s="288" t="inlineStr">
        <is>
          <t>JOB-SETUP, INSPECTION, JOB-CLOSEUP</t>
        </is>
      </c>
    </row>
    <row r="1119">
      <c r="A1119" s="288" t="inlineStr">
        <is>
          <t>429</t>
        </is>
      </c>
      <c r="B1119" s="288" t="inlineStr">
        <is>
          <t>353000-06-1-SVA</t>
        </is>
      </c>
      <c r="C1119" s="288" t="inlineStr">
        <is>
          <t>353000-06-1-SVA (03) / COCKPIT (PBE) INSPECTION</t>
        </is>
      </c>
      <c r="D1119" s="288" t="inlineStr">
        <is>
          <t>1</t>
        </is>
      </c>
      <c r="E1119" s="288" t="n">
        <v>2.2</v>
      </c>
      <c r="F1119" s="288" t="n">
        <v>3.5</v>
      </c>
      <c r="G1119" s="288" t="n">
        <v>1.6</v>
      </c>
      <c r="H1119" s="288" t="inlineStr">
        <is>
          <t>Closed</t>
        </is>
      </c>
      <c r="I1119" s="288" t="inlineStr">
        <is>
          <t>25-64</t>
        </is>
      </c>
      <c r="J1119" s="288" t="inlineStr">
        <is>
          <t>JOB-SETUP, INSPECTION, JOB-CLOSEUP</t>
        </is>
      </c>
    </row>
    <row r="1120">
      <c r="A1120" s="288" t="inlineStr">
        <is>
          <t>430</t>
        </is>
      </c>
      <c r="B1120" s="288" t="inlineStr">
        <is>
          <t>353000-07-1</t>
        </is>
      </c>
      <c r="C1120" s="288" t="inlineStr">
        <is>
          <t>353000-07-1 (4) / PORTABLE OXYGEN MASKS INSPECTION</t>
        </is>
      </c>
      <c r="D1120" s="288" t="inlineStr">
        <is>
          <t>1</t>
        </is>
      </c>
      <c r="E1120" s="288" t="n">
        <v>0.4</v>
      </c>
      <c r="F1120" s="288" t="n">
        <v>3.5</v>
      </c>
      <c r="G1120" s="288" t="n">
        <v>3.3</v>
      </c>
      <c r="H1120" s="288" t="inlineStr">
        <is>
          <t>Closed</t>
        </is>
      </c>
      <c r="I1120" s="288" t="inlineStr">
        <is>
          <t>35-30</t>
        </is>
      </c>
      <c r="J1120" s="288" t="inlineStr">
        <is>
          <t>JOB-SETUP, INSPECTION, JOB-CLOSEUP</t>
        </is>
      </c>
    </row>
    <row r="1121">
      <c r="A1121" s="288" t="inlineStr">
        <is>
          <t>436</t>
        </is>
      </c>
      <c r="B1121" s="288" t="inlineStr">
        <is>
          <t>361200-02-1</t>
        </is>
      </c>
      <c r="C1121" s="288" t="inlineStr">
        <is>
          <t>361200-02-1 (3) / APU BLEED AIR SUPPLY &amp; CROSSBLEED</t>
        </is>
      </c>
      <c r="D1121" s="288" t="inlineStr">
        <is>
          <t>1</t>
        </is>
      </c>
      <c r="E1121" s="288" t="n">
        <v>4.4</v>
      </c>
      <c r="F1121" s="288" t="n">
        <v>42.7</v>
      </c>
      <c r="G1121" s="288" t="n">
        <v>22.3</v>
      </c>
      <c r="H1121" s="288" t="inlineStr">
        <is>
          <t>Closed</t>
        </is>
      </c>
      <c r="I1121" s="288" t="inlineStr">
        <is>
          <t>36-12</t>
        </is>
      </c>
      <c r="J1121" s="288" t="inlineStr">
        <is>
          <t>JOB-SETUP, OPS/LK, JOB-CLOSEUP</t>
        </is>
      </c>
    </row>
    <row r="1122">
      <c r="A1122" s="288" t="inlineStr">
        <is>
          <t>437</t>
        </is>
      </c>
      <c r="B1122" s="288" t="inlineStr">
        <is>
          <t>361200-03-1</t>
        </is>
      </c>
      <c r="C1122" s="288" t="inlineStr">
        <is>
          <t>361200-03-1 (3) / APU BLEED AIR SUPPLY &amp; CROSSBLEED LEAK CHECK</t>
        </is>
      </c>
      <c r="D1122" s="288" t="inlineStr">
        <is>
          <t>1</t>
        </is>
      </c>
      <c r="E1122" s="288" t="n">
        <v>2.2</v>
      </c>
      <c r="F1122" s="288" t="n">
        <v>40.3</v>
      </c>
      <c r="G1122" s="288" t="n">
        <v>20.3</v>
      </c>
      <c r="H1122" s="288" t="inlineStr">
        <is>
          <t>Closed</t>
        </is>
      </c>
      <c r="I1122" s="288" t="inlineStr">
        <is>
          <t>36-12</t>
        </is>
      </c>
      <c r="J1122" s="288" t="inlineStr">
        <is>
          <t>JOB-SETUP, OPS/LK, JOB-CLOSEUP</t>
        </is>
      </c>
    </row>
    <row r="1123">
      <c r="A1123" s="288" t="inlineStr">
        <is>
          <t>445</t>
        </is>
      </c>
      <c r="B1123" s="288" t="inlineStr">
        <is>
          <t>498000-B1-1</t>
        </is>
      </c>
      <c r="C1123" s="288" t="inlineStr">
        <is>
          <t>498000-B1-1 (02) / GENERAL VISUAL INSPECTION OF APU COMPARTMENT EXHAUST MUFFLER INSULATION COVERS AND BELLOWS</t>
        </is>
      </c>
      <c r="D1123" s="288" t="inlineStr">
        <is>
          <t>1</t>
        </is>
      </c>
      <c r="E1123" s="288" t="n">
        <v>0.2</v>
      </c>
      <c r="F1123" s="288" t="n">
        <v>0.5</v>
      </c>
      <c r="G1123" s="288" t="n">
        <v>0.5</v>
      </c>
      <c r="H1123" s="288" t="inlineStr">
        <is>
          <t>Closed</t>
        </is>
      </c>
      <c r="I1123" s="288" t="inlineStr">
        <is>
          <t>49-81</t>
        </is>
      </c>
      <c r="J1123" s="288" t="inlineStr">
        <is>
          <t>INSPECTION</t>
        </is>
      </c>
    </row>
    <row r="1124">
      <c r="A1124" s="288" t="inlineStr">
        <is>
          <t>473</t>
        </is>
      </c>
      <c r="B1124" s="288" t="inlineStr">
        <is>
          <t>525111-01-1</t>
        </is>
      </c>
      <c r="C1124" s="288" t="inlineStr">
        <is>
          <t>525111-01-1 (3) / COCKPIT DOOR LOCKING SYS MECH PARTS INSP</t>
        </is>
      </c>
      <c r="D1124" s="288" t="inlineStr">
        <is>
          <t>1</t>
        </is>
      </c>
      <c r="E1124" s="288" t="n">
        <v>0.6</v>
      </c>
      <c r="F1124" s="288" t="n">
        <v>7.8</v>
      </c>
      <c r="G1124" s="288" t="n">
        <v>3.9</v>
      </c>
      <c r="H1124" s="288" t="inlineStr">
        <is>
          <t>Closed</t>
        </is>
      </c>
      <c r="I1124" s="288" t="inlineStr">
        <is>
          <t>52-51</t>
        </is>
      </c>
      <c r="J1124" s="288" t="inlineStr">
        <is>
          <t>JOB-SETUP, INSPECTION, JOB-CLOSEUP</t>
        </is>
      </c>
    </row>
    <row r="1125">
      <c r="A1125" s="288" t="inlineStr">
        <is>
          <t>474</t>
        </is>
      </c>
      <c r="B1125" s="288" t="inlineStr">
        <is>
          <t>525111-02-1</t>
        </is>
      </c>
      <c r="C1125" s="288" t="inlineStr">
        <is>
          <t>525111-02-1 (3) / COCKPIT DOOR PRESS SENSING CHANNELS</t>
        </is>
      </c>
      <c r="D1125" s="288" t="inlineStr">
        <is>
          <t>1</t>
        </is>
      </c>
      <c r="E1125" s="288" t="n">
        <v>0.3</v>
      </c>
      <c r="F1125" s="288" t="n">
        <v>4.8</v>
      </c>
      <c r="G1125" s="288" t="n">
        <v>3</v>
      </c>
      <c r="H1125" s="288" t="inlineStr">
        <is>
          <t>Closed</t>
        </is>
      </c>
      <c r="I1125" s="288" t="inlineStr">
        <is>
          <t>52-51</t>
        </is>
      </c>
      <c r="J1125" s="288" t="inlineStr">
        <is>
          <t>OPS/LK</t>
        </is>
      </c>
    </row>
    <row r="1126">
      <c r="A1126" s="288" t="inlineStr">
        <is>
          <t>476</t>
        </is>
      </c>
      <c r="B1126" s="288" t="inlineStr">
        <is>
          <t>525111-04-1</t>
        </is>
      </c>
      <c r="C1126" s="288" t="inlineStr">
        <is>
          <t>525111-04-1 (3) / COCKPIT DOOR OPENING WITH POWER OFF</t>
        </is>
      </c>
      <c r="D1126" s="288" t="inlineStr">
        <is>
          <t>1</t>
        </is>
      </c>
      <c r="E1126" s="288" t="n">
        <v>0.1</v>
      </c>
      <c r="F1126" s="288" t="n">
        <v>4.5</v>
      </c>
      <c r="G1126" s="288" t="n">
        <v>3.1</v>
      </c>
      <c r="H1126" s="288" t="inlineStr">
        <is>
          <t>Closed</t>
        </is>
      </c>
      <c r="I1126" s="288" t="inlineStr">
        <is>
          <t>52-51</t>
        </is>
      </c>
      <c r="J1126" s="288" t="inlineStr">
        <is>
          <t>OPS/LK</t>
        </is>
      </c>
    </row>
    <row r="1127">
      <c r="A1127" s="288" t="inlineStr">
        <is>
          <t>487</t>
        </is>
      </c>
      <c r="B1127" s="288" t="inlineStr">
        <is>
          <t>532137-01-1</t>
        </is>
      </c>
      <c r="C1127" s="288" t="inlineStr">
        <is>
          <t>532137-01-1 (03) / FWD CARGO DOOR CUTOUT PANEL INSP</t>
        </is>
      </c>
      <c r="D1127" s="288" t="inlineStr">
        <is>
          <t>1</t>
        </is>
      </c>
      <c r="E1127" s="288" t="n">
        <v>1.1</v>
      </c>
      <c r="F1127" s="288" t="n">
        <v>6</v>
      </c>
      <c r="G1127" s="288" t="n">
        <v>5.9</v>
      </c>
      <c r="H1127" s="288" t="inlineStr">
        <is>
          <t>Closed</t>
        </is>
      </c>
      <c r="I1127" s="288" t="inlineStr">
        <is>
          <t>53-21</t>
        </is>
      </c>
      <c r="J1127" s="288" t="inlineStr">
        <is>
          <t>PRE INSP, PRE INSP</t>
        </is>
      </c>
    </row>
    <row r="1128">
      <c r="A1128" s="288" t="inlineStr">
        <is>
          <t>514</t>
        </is>
      </c>
      <c r="B1128" s="288" t="inlineStr">
        <is>
          <t>711000-C1-1-001</t>
        </is>
      </c>
      <c r="C1128" s="288" t="inlineStr">
        <is>
          <t>711000-C1-1-001 (03) / #1 ENG INTAKE COWL AFT BULKHEAD INSP</t>
        </is>
      </c>
      <c r="D1128" s="288" t="inlineStr">
        <is>
          <t>1</t>
        </is>
      </c>
      <c r="E1128" s="288" t="n">
        <v>0.2</v>
      </c>
      <c r="F1128" s="288" t="n">
        <v>0.5</v>
      </c>
      <c r="G1128" s="288" t="n">
        <v>0.5</v>
      </c>
      <c r="H1128" s="288" t="inlineStr">
        <is>
          <t>Closed</t>
        </is>
      </c>
      <c r="I1128" s="288" t="inlineStr">
        <is>
          <t>71-10</t>
        </is>
      </c>
      <c r="J1128" s="288" t="inlineStr">
        <is>
          <t>INSPECTION</t>
        </is>
      </c>
    </row>
    <row r="1129">
      <c r="A1129" s="288" t="inlineStr">
        <is>
          <t>515</t>
        </is>
      </c>
      <c r="B1129" s="288" t="inlineStr">
        <is>
          <t>711000-C1-1-002</t>
        </is>
      </c>
      <c r="C1129" s="288" t="inlineStr">
        <is>
          <t>711000-C1-1-002 (03) / #2 ENG INTAKE COWL AFT BULKHEAD INSP</t>
        </is>
      </c>
      <c r="D1129" s="288" t="inlineStr">
        <is>
          <t>1</t>
        </is>
      </c>
      <c r="E1129" s="288" t="n">
        <v>0.2</v>
      </c>
      <c r="F1129" s="288" t="n">
        <v>0.5</v>
      </c>
      <c r="G1129" s="288" t="n">
        <v>0.5</v>
      </c>
      <c r="H1129" s="288" t="inlineStr">
        <is>
          <t>Closed</t>
        </is>
      </c>
      <c r="I1129" s="288" t="inlineStr">
        <is>
          <t>71-10</t>
        </is>
      </c>
      <c r="J1129" s="288" t="inlineStr">
        <is>
          <t>INSPECTION</t>
        </is>
      </c>
    </row>
    <row r="1130">
      <c r="A1130" s="288" t="inlineStr">
        <is>
          <t>517</t>
        </is>
      </c>
      <c r="B1130" s="288" t="inlineStr">
        <is>
          <t>711000-C4-2-002</t>
        </is>
      </c>
      <c r="C1130" s="288" t="inlineStr">
        <is>
          <t>711000-C4-2-002 (03) / GENERAL VISUAL INSPECTION OF FAN COWL DOORS</t>
        </is>
      </c>
      <c r="D1130" s="288" t="inlineStr">
        <is>
          <t>1</t>
        </is>
      </c>
      <c r="E1130" s="288" t="n">
        <v>2</v>
      </c>
      <c r="F1130" s="288" t="n">
        <v>5.8</v>
      </c>
      <c r="G1130" s="288" t="n">
        <v>4.6</v>
      </c>
      <c r="H1130" s="288" t="inlineStr">
        <is>
          <t>Closed</t>
        </is>
      </c>
      <c r="I1130" s="288" t="inlineStr">
        <is>
          <t>71-13</t>
        </is>
      </c>
      <c r="J1130" s="288" t="inlineStr">
        <is>
          <t>JOB-SETUP, INSPECTION, JOB-CLOSEUP</t>
        </is>
      </c>
    </row>
    <row r="1131">
      <c r="A1131" s="288" t="inlineStr">
        <is>
          <t>521</t>
        </is>
      </c>
      <c r="B1131" s="288" t="inlineStr">
        <is>
          <t>711000-C6-1-002</t>
        </is>
      </c>
      <c r="C1131" s="288" t="inlineStr">
        <is>
          <t>711000-C6-1-002 (02) / NO.2 ENG FAN COW LATCH &amp; AJCNT INSP</t>
        </is>
      </c>
      <c r="D1131" s="288" t="inlineStr">
        <is>
          <t>1</t>
        </is>
      </c>
      <c r="E1131" s="288" t="n">
        <v>1.8</v>
      </c>
      <c r="F1131" s="288" t="n">
        <v>1.5</v>
      </c>
      <c r="G1131" s="288" t="n">
        <v>3.5</v>
      </c>
      <c r="H1131" s="288" t="inlineStr">
        <is>
          <t>Closed</t>
        </is>
      </c>
      <c r="I1131" s="288" t="inlineStr">
        <is>
          <t>71-13</t>
        </is>
      </c>
      <c r="J1131" s="288" t="inlineStr">
        <is>
          <t>INSPECTION</t>
        </is>
      </c>
    </row>
    <row r="1132">
      <c r="A1132" s="288" t="inlineStr">
        <is>
          <t>523</t>
        </is>
      </c>
      <c r="B1132" s="288" t="inlineStr">
        <is>
          <t>711000-C7-1-002</t>
        </is>
      </c>
      <c r="C1132" s="288" t="inlineStr">
        <is>
          <t>711000-C7-1-002 (02) / NO.2 ENG FAN COWL DOOR FIRESEAL INSP</t>
        </is>
      </c>
      <c r="D1132" s="288" t="inlineStr">
        <is>
          <t>1</t>
        </is>
      </c>
      <c r="E1132" s="288" t="n">
        <v>1.8</v>
      </c>
      <c r="F1132" s="288" t="n">
        <v>6.5</v>
      </c>
      <c r="G1132" s="288" t="n">
        <v>4.8</v>
      </c>
      <c r="H1132" s="288" t="inlineStr">
        <is>
          <t>Closed</t>
        </is>
      </c>
      <c r="I1132" s="288" t="inlineStr">
        <is>
          <t>71-13</t>
        </is>
      </c>
      <c r="J1132" s="288" t="inlineStr">
        <is>
          <t>JOB-SETUP, INSPECTION, JOB-CLOSEUP</t>
        </is>
      </c>
    </row>
    <row r="1133">
      <c r="A1133" s="288" t="inlineStr">
        <is>
          <t>524</t>
        </is>
      </c>
      <c r="B1133" s="288" t="inlineStr">
        <is>
          <t>711300-01-2</t>
        </is>
      </c>
      <c r="C1133" s="288" t="inlineStr">
        <is>
          <t>711300-01-2 (00) / GENERAL VISUAL INSPECTION OF FAN COWL DOOR HINGE FITTINGS AND SURROUNDING STRUCTURE.</t>
        </is>
      </c>
      <c r="D1133" s="288" t="inlineStr">
        <is>
          <t>1</t>
        </is>
      </c>
      <c r="E1133" s="288" t="n">
        <v>0.5</v>
      </c>
      <c r="F1133" s="288" t="n">
        <v>1</v>
      </c>
      <c r="G1133" s="288" t="n">
        <v>1</v>
      </c>
      <c r="H1133" s="288" t="inlineStr">
        <is>
          <t>Closed</t>
        </is>
      </c>
      <c r="I1133" s="288" t="inlineStr">
        <is>
          <t>71-13</t>
        </is>
      </c>
      <c r="J1133" s="288" t="inlineStr"/>
    </row>
    <row r="1134">
      <c r="A1134" s="288" t="inlineStr">
        <is>
          <t>531</t>
        </is>
      </c>
      <c r="B1134" s="288" t="inlineStr">
        <is>
          <t>712211-03-1-001</t>
        </is>
      </c>
      <c r="C1134" s="288" t="inlineStr">
        <is>
          <t>712211-03-1-001 (03) / NO.1 AFT ENG MOUNT INSTALLATION INSP EXPOSED SURFACES</t>
        </is>
      </c>
      <c r="D1134" s="288" t="inlineStr">
        <is>
          <t>1</t>
        </is>
      </c>
      <c r="E1134" s="288" t="n">
        <v>1.3</v>
      </c>
      <c r="F1134" s="288" t="n">
        <v>1</v>
      </c>
      <c r="G1134" s="288" t="n">
        <v>1</v>
      </c>
      <c r="H1134" s="288" t="inlineStr">
        <is>
          <t>Closed</t>
        </is>
      </c>
      <c r="I1134" s="288" t="inlineStr">
        <is>
          <t>71-22</t>
        </is>
      </c>
      <c r="J1134" s="288" t="inlineStr">
        <is>
          <t>PRE INSP</t>
        </is>
      </c>
    </row>
    <row r="1135">
      <c r="A1135" s="288" t="inlineStr">
        <is>
          <t>532</t>
        </is>
      </c>
      <c r="B1135" s="288" t="inlineStr">
        <is>
          <t>712211-03-1-002</t>
        </is>
      </c>
      <c r="C1135" s="288" t="inlineStr">
        <is>
          <t>712211-03-1-002 (03) / NO.2 AFT ENG MOUNT INSTALLATION INSP EXPOSED SURFACES</t>
        </is>
      </c>
      <c r="D1135" s="288" t="inlineStr">
        <is>
          <t>1</t>
        </is>
      </c>
      <c r="E1135" s="288" t="n">
        <v>1.3</v>
      </c>
      <c r="F1135" s="288" t="n">
        <v>1</v>
      </c>
      <c r="G1135" s="288" t="n">
        <v>1</v>
      </c>
      <c r="H1135" s="288" t="inlineStr">
        <is>
          <t>Closed</t>
        </is>
      </c>
      <c r="I1135" s="288" t="inlineStr">
        <is>
          <t>71-22</t>
        </is>
      </c>
      <c r="J1135" s="288" t="inlineStr">
        <is>
          <t>PRE INSP</t>
        </is>
      </c>
    </row>
    <row r="1136">
      <c r="A1136" s="288" t="inlineStr">
        <is>
          <t>539</t>
        </is>
      </c>
      <c r="B1136" s="288" t="inlineStr">
        <is>
          <t>72-00-00-25-0-SVA-001</t>
        </is>
      </c>
      <c r="C1136" s="288" t="inlineStr">
        <is>
          <t>72-00-00-25-0-SVA-001 (01) / PRE C-CHK PRESERVATION ON ENG#1 OIL</t>
        </is>
      </c>
      <c r="D1136" s="288" t="inlineStr">
        <is>
          <t>1</t>
        </is>
      </c>
      <c r="E1136" s="288" t="n">
        <v>2</v>
      </c>
      <c r="F1136" s="288" t="n">
        <v>9</v>
      </c>
      <c r="G1136" s="288" t="n">
        <v>4</v>
      </c>
      <c r="H1136" s="288" t="inlineStr">
        <is>
          <t>Closed</t>
        </is>
      </c>
      <c r="I1136" s="288" t="inlineStr">
        <is>
          <t>72</t>
        </is>
      </c>
      <c r="J1136" s="288" t="inlineStr">
        <is>
          <t>OPS/LK</t>
        </is>
      </c>
    </row>
    <row r="1137">
      <c r="A1137" s="288" t="inlineStr">
        <is>
          <t>540</t>
        </is>
      </c>
      <c r="B1137" s="288" t="inlineStr">
        <is>
          <t>72-00-00-25-0-SVA-002</t>
        </is>
      </c>
      <c r="C1137" s="288" t="inlineStr">
        <is>
          <t>72-00-00-25-0-SVA-002 (01) / PRE C-CHK PRESERVATION ON ENG#2 OIL</t>
        </is>
      </c>
      <c r="D1137" s="288" t="inlineStr">
        <is>
          <t>1</t>
        </is>
      </c>
      <c r="E1137" s="288" t="n">
        <v>2</v>
      </c>
      <c r="F1137" s="288" t="n">
        <v>9</v>
      </c>
      <c r="G1137" s="288" t="n">
        <v>4</v>
      </c>
      <c r="H1137" s="288" t="inlineStr">
        <is>
          <t>Closed</t>
        </is>
      </c>
      <c r="I1137" s="288" t="inlineStr">
        <is>
          <t>72</t>
        </is>
      </c>
      <c r="J1137" s="288" t="inlineStr">
        <is>
          <t>OPS/LK</t>
        </is>
      </c>
    </row>
    <row r="1138">
      <c r="A1138" s="288" t="inlineStr">
        <is>
          <t>546</t>
        </is>
      </c>
      <c r="B1138" s="288" t="inlineStr">
        <is>
          <t>783000-C4-1-002</t>
        </is>
      </c>
      <c r="C1138" s="288" t="inlineStr">
        <is>
          <t>783000-C4-1-002 (02) / NO.2 ENG T/R TENSSION HOK AJCNT INSP</t>
        </is>
      </c>
      <c r="D1138" s="288" t="inlineStr">
        <is>
          <t>1</t>
        </is>
      </c>
      <c r="E1138" s="288" t="n">
        <v>0.9</v>
      </c>
      <c r="F1138" s="288" t="n">
        <v>10.3</v>
      </c>
      <c r="G1138" s="288" t="n">
        <v>4.4</v>
      </c>
      <c r="H1138" s="288" t="inlineStr">
        <is>
          <t>Closed</t>
        </is>
      </c>
      <c r="I1138" s="288" t="inlineStr">
        <is>
          <t>78-36</t>
        </is>
      </c>
      <c r="J1138" s="288" t="inlineStr">
        <is>
          <t>JOB-SETUP, INSPECTION, JOB-CLOSEUP</t>
        </is>
      </c>
    </row>
    <row r="1139">
      <c r="A1139" s="288" t="inlineStr">
        <is>
          <t>554</t>
        </is>
      </c>
      <c r="B1139" s="288" t="inlineStr">
        <is>
          <t>ZL-100-02-1</t>
        </is>
      </c>
      <c r="C1139" s="288" t="inlineStr">
        <is>
          <t>ZL-100-02-1 (04) / LOWER HALF OF FUSELAGE ZONAL INSP</t>
        </is>
      </c>
      <c r="D1139" s="288" t="inlineStr">
        <is>
          <t>1</t>
        </is>
      </c>
      <c r="E1139" s="288" t="n">
        <v>12.5</v>
      </c>
      <c r="F1139" s="288" t="n">
        <v>1.3</v>
      </c>
      <c r="G1139" s="288" t="n">
        <v>1</v>
      </c>
      <c r="H1139" s="288" t="inlineStr">
        <is>
          <t>Closed</t>
        </is>
      </c>
      <c r="I1139" s="288" t="inlineStr">
        <is>
          <t>05-21</t>
        </is>
      </c>
      <c r="J1139" s="288" t="inlineStr">
        <is>
          <t>PRE INSP</t>
        </is>
      </c>
    </row>
    <row r="1140">
      <c r="A1140" s="288" t="inlineStr">
        <is>
          <t>555</t>
        </is>
      </c>
      <c r="B1140" s="288" t="inlineStr">
        <is>
          <t>ZL-123-02-1</t>
        </is>
      </c>
      <c r="C1140" s="288" t="inlineStr">
        <is>
          <t>ZL-123-02-1 (4) / NOSE LANDING GEAR WELL ZONAL INSP</t>
        </is>
      </c>
      <c r="D1140" s="288" t="inlineStr">
        <is>
          <t>1</t>
        </is>
      </c>
      <c r="E1140" s="288" t="n">
        <v>0.9</v>
      </c>
      <c r="F1140" s="288" t="n">
        <v>1</v>
      </c>
      <c r="G1140" s="288" t="n">
        <v>1</v>
      </c>
      <c r="H1140" s="288" t="inlineStr">
        <is>
          <t>Closed</t>
        </is>
      </c>
      <c r="I1140" s="288" t="inlineStr">
        <is>
          <t>05-21</t>
        </is>
      </c>
      <c r="J1140" s="288" t="inlineStr">
        <is>
          <t>PRE INSP</t>
        </is>
      </c>
    </row>
    <row r="1141">
      <c r="A1141" s="288" t="inlineStr">
        <is>
          <t>556</t>
        </is>
      </c>
      <c r="B1141" s="288" t="inlineStr">
        <is>
          <t>ZL-131-01-1</t>
        </is>
      </c>
      <c r="C1141" s="288" t="inlineStr">
        <is>
          <t>ZL-131-01-1 (05) / FWD CARGO COMPARTMENT ZONAL INSP</t>
        </is>
      </c>
      <c r="D1141" s="288" t="inlineStr">
        <is>
          <t>1</t>
        </is>
      </c>
      <c r="E1141" s="288" t="n">
        <v>0.4</v>
      </c>
      <c r="F1141" s="288" t="n">
        <v>0.2</v>
      </c>
      <c r="G1141" s="288" t="n">
        <v>0.2</v>
      </c>
      <c r="H1141" s="288" t="inlineStr">
        <is>
          <t>Closed</t>
        </is>
      </c>
      <c r="I1141" s="288" t="inlineStr">
        <is>
          <t>05-21</t>
        </is>
      </c>
      <c r="J1141" s="288" t="inlineStr">
        <is>
          <t>INSPECTION</t>
        </is>
      </c>
    </row>
    <row r="1142">
      <c r="A1142" s="288" t="inlineStr">
        <is>
          <t>557</t>
        </is>
      </c>
      <c r="B1142" s="288" t="inlineStr">
        <is>
          <t>ZL-151-01-1</t>
        </is>
      </c>
      <c r="C1142" s="288" t="inlineStr">
        <is>
          <t>ZL-151-01-1 (3) / AFT CARGO COMPARTMENT ZONAL INSP</t>
        </is>
      </c>
      <c r="D1142" s="288" t="inlineStr">
        <is>
          <t>1</t>
        </is>
      </c>
      <c r="E1142" s="288" t="n">
        <v>0.4</v>
      </c>
      <c r="F1142" s="288" t="n">
        <v>0.2</v>
      </c>
      <c r="G1142" s="288" t="n">
        <v>0.2</v>
      </c>
      <c r="H1142" s="288" t="inlineStr">
        <is>
          <t>Closed</t>
        </is>
      </c>
      <c r="I1142" s="288" t="inlineStr">
        <is>
          <t>05-21</t>
        </is>
      </c>
      <c r="J1142" s="288" t="inlineStr">
        <is>
          <t>INSPECTION</t>
        </is>
      </c>
    </row>
    <row r="1143">
      <c r="A1143" s="288" t="inlineStr">
        <is>
          <t>558</t>
        </is>
      </c>
      <c r="B1143" s="288" t="inlineStr">
        <is>
          <t>ZL-161-01-1</t>
        </is>
      </c>
      <c r="C1143" s="288" t="inlineStr">
        <is>
          <t>ZL-161-01-1 (3) / BULK CARGO COMPARTMENT ZONAL INSP</t>
        </is>
      </c>
      <c r="D1143" s="288" t="inlineStr">
        <is>
          <t>1</t>
        </is>
      </c>
      <c r="E1143" s="288" t="n">
        <v>0.4</v>
      </c>
      <c r="F1143" s="288" t="n">
        <v>0.1</v>
      </c>
      <c r="G1143" s="288" t="n">
        <v>0.1</v>
      </c>
      <c r="H1143" s="288" t="inlineStr">
        <is>
          <t>Closed</t>
        </is>
      </c>
      <c r="I1143" s="288" t="inlineStr">
        <is>
          <t>05-21</t>
        </is>
      </c>
      <c r="J1143" s="288" t="inlineStr">
        <is>
          <t>INSPECTION</t>
        </is>
      </c>
    </row>
    <row r="1144">
      <c r="A1144" s="288" t="inlineStr">
        <is>
          <t>560</t>
        </is>
      </c>
      <c r="B1144" s="288" t="inlineStr">
        <is>
          <t>ZL-171-01-2</t>
        </is>
      </c>
      <c r="C1144" s="288" t="inlineStr">
        <is>
          <t>ZL-171-01-2 (04) / AFT CAB UNDERFLOOR COMP. ZONAL INSP</t>
        </is>
      </c>
      <c r="D1144" s="288" t="inlineStr">
        <is>
          <t>1</t>
        </is>
      </c>
      <c r="E1144" s="288" t="n">
        <v>1.1</v>
      </c>
      <c r="F1144" s="288" t="n">
        <v>9.300000000000001</v>
      </c>
      <c r="G1144" s="288" t="n">
        <v>17.1</v>
      </c>
      <c r="H1144" s="288" t="inlineStr">
        <is>
          <t>Closed</t>
        </is>
      </c>
      <c r="I1144" s="288" t="inlineStr">
        <is>
          <t>05-21</t>
        </is>
      </c>
      <c r="J1144" s="288" t="inlineStr">
        <is>
          <t>INSPECTION</t>
        </is>
      </c>
    </row>
    <row r="1145">
      <c r="A1145" s="288" t="inlineStr">
        <is>
          <t>561</t>
        </is>
      </c>
      <c r="B1145" s="288" t="inlineStr">
        <is>
          <t>ZL-300-02-1</t>
        </is>
      </c>
      <c r="C1145" s="288" t="inlineStr">
        <is>
          <t>ZL-300-02-1 (05) / STABILIZERS&amp;CONE/REAR FUSELAGE INSP</t>
        </is>
      </c>
      <c r="D1145" s="288" t="inlineStr">
        <is>
          <t>1</t>
        </is>
      </c>
      <c r="E1145" s="288" t="n">
        <v>0.4</v>
      </c>
      <c r="F1145" s="288" t="n">
        <v>8</v>
      </c>
      <c r="G1145" s="288" t="n">
        <v>49.7</v>
      </c>
      <c r="H1145" s="288" t="inlineStr">
        <is>
          <t>Closed</t>
        </is>
      </c>
      <c r="I1145" s="288" t="inlineStr">
        <is>
          <t>05-23</t>
        </is>
      </c>
      <c r="J1145" s="288" t="inlineStr">
        <is>
          <t>INSPECTION</t>
        </is>
      </c>
    </row>
    <row r="1146">
      <c r="A1146" s="288" t="inlineStr">
        <is>
          <t>562</t>
        </is>
      </c>
      <c r="B1146" s="288" t="inlineStr">
        <is>
          <t>ZL-315-01-1</t>
        </is>
      </c>
      <c r="C1146" s="288" t="inlineStr">
        <is>
          <t>ZL-315-01-1 (02) / GENERAL VISUAL INSPECTION OF TAIL CONE APU AND ACCESSORY COMPARTMENT (EWIS)</t>
        </is>
      </c>
      <c r="D1146" s="288" t="inlineStr">
        <is>
          <t>1</t>
        </is>
      </c>
      <c r="E1146" s="288" t="n">
        <v>1.3</v>
      </c>
      <c r="F1146" s="288" t="n">
        <v>0.8</v>
      </c>
      <c r="G1146" s="288" t="n">
        <v>0.8</v>
      </c>
      <c r="H1146" s="288" t="inlineStr">
        <is>
          <t>Closed</t>
        </is>
      </c>
      <c r="I1146" s="288" t="inlineStr">
        <is>
          <t>05-23</t>
        </is>
      </c>
      <c r="J1146" s="288" t="inlineStr">
        <is>
          <t>INSPECTION</t>
        </is>
      </c>
    </row>
    <row r="1147">
      <c r="A1147" s="288" t="inlineStr">
        <is>
          <t>563</t>
        </is>
      </c>
      <c r="B1147" s="288" t="inlineStr">
        <is>
          <t>ZL-334-01-1</t>
        </is>
      </c>
      <c r="C1147" s="288" t="inlineStr">
        <is>
          <t>ZL-334-01-1 (4) / THS TRAILING EDGE ZONAL INSPECTION</t>
        </is>
      </c>
      <c r="D1147" s="288" t="inlineStr">
        <is>
          <t>1</t>
        </is>
      </c>
      <c r="E1147" s="288" t="n">
        <v>0.9</v>
      </c>
      <c r="F1147" s="288" t="n">
        <v>46.8</v>
      </c>
      <c r="G1147" s="288" t="n">
        <v>5.2</v>
      </c>
      <c r="H1147" s="288" t="inlineStr">
        <is>
          <t>Closed</t>
        </is>
      </c>
      <c r="I1147" s="288" t="inlineStr">
        <is>
          <t>05-23</t>
        </is>
      </c>
      <c r="J1147" s="288" t="inlineStr">
        <is>
          <t>INSPECTION</t>
        </is>
      </c>
    </row>
    <row r="1148">
      <c r="A1148" s="288" t="inlineStr">
        <is>
          <t>564</t>
        </is>
      </c>
      <c r="B1148" s="288" t="inlineStr">
        <is>
          <t>ZL-411-01-3-001</t>
        </is>
      </c>
      <c r="C1148" s="288" t="inlineStr">
        <is>
          <t>ZL-411-01-3-001 (05) / NO. 1 ENGINE UPPER FORWARD PYLON</t>
        </is>
      </c>
      <c r="D1148" s="288" t="inlineStr">
        <is>
          <t>1</t>
        </is>
      </c>
      <c r="E1148" s="288" t="n">
        <v>0.4</v>
      </c>
      <c r="F1148" s="288" t="n">
        <v>1.8</v>
      </c>
      <c r="G1148" s="288" t="n">
        <v>1</v>
      </c>
      <c r="H1148" s="288" t="inlineStr">
        <is>
          <t>Closed</t>
        </is>
      </c>
      <c r="I1148" s="288" t="inlineStr">
        <is>
          <t>05-24</t>
        </is>
      </c>
      <c r="J1148" s="288" t="inlineStr">
        <is>
          <t>INSPECTION</t>
        </is>
      </c>
    </row>
    <row r="1149">
      <c r="A1149" s="288" t="inlineStr">
        <is>
          <t>565</t>
        </is>
      </c>
      <c r="B1149" s="288" t="inlineStr">
        <is>
          <t>ZL-411-01-3-002</t>
        </is>
      </c>
      <c r="C1149" s="288" t="inlineStr">
        <is>
          <t>ZL-411-01-3-002 (05) / NO. 2 ENGINE UPPER FORWARD PYLON</t>
        </is>
      </c>
      <c r="D1149" s="288" t="inlineStr">
        <is>
          <t>1</t>
        </is>
      </c>
      <c r="E1149" s="288" t="n">
        <v>0.4</v>
      </c>
      <c r="F1149" s="288" t="n">
        <v>2</v>
      </c>
      <c r="G1149" s="288" t="n">
        <v>1.1</v>
      </c>
      <c r="H1149" s="288" t="inlineStr">
        <is>
          <t>Closed</t>
        </is>
      </c>
      <c r="I1149" s="288" t="inlineStr">
        <is>
          <t>05-24</t>
        </is>
      </c>
      <c r="J1149" s="288" t="inlineStr">
        <is>
          <t>INSPECTION</t>
        </is>
      </c>
    </row>
    <row r="1150">
      <c r="A1150" s="288" t="inlineStr">
        <is>
          <t>566</t>
        </is>
      </c>
      <c r="B1150" s="288" t="inlineStr">
        <is>
          <t>ZL-437-01-1-001</t>
        </is>
      </c>
      <c r="C1150" s="288" t="inlineStr">
        <is>
          <t>ZL-437-01-1-001 (05) / GENERAL VISUAL INSPECTION OF FAN COWL NO.1 ENGINE</t>
        </is>
      </c>
      <c r="D1150" s="288" t="inlineStr">
        <is>
          <t>1</t>
        </is>
      </c>
      <c r="E1150" s="288" t="n">
        <v>0.9</v>
      </c>
      <c r="F1150" s="288" t="n">
        <v>1</v>
      </c>
      <c r="G1150" s="288" t="n">
        <v>1</v>
      </c>
      <c r="H1150" s="288" t="inlineStr">
        <is>
          <t>Closed</t>
        </is>
      </c>
      <c r="I1150" s="288" t="inlineStr">
        <is>
          <t>05-24</t>
        </is>
      </c>
      <c r="J1150" s="288" t="inlineStr">
        <is>
          <t>INSPECTION</t>
        </is>
      </c>
    </row>
    <row r="1151">
      <c r="A1151" s="288" t="inlineStr">
        <is>
          <t>567</t>
        </is>
      </c>
      <c r="B1151" s="288" t="inlineStr">
        <is>
          <t>ZL-437-01-1-002</t>
        </is>
      </c>
      <c r="C1151" s="288" t="inlineStr">
        <is>
          <t>ZL-437-01-1-002 (05) / GENERAL VISUAL INSPECTION OF FAN COWL NO.2 ENGINE</t>
        </is>
      </c>
      <c r="D1151" s="288" t="inlineStr">
        <is>
          <t>1</t>
        </is>
      </c>
      <c r="E1151" s="288" t="n">
        <v>0.9</v>
      </c>
      <c r="F1151" s="288" t="n">
        <v>1</v>
      </c>
      <c r="G1151" s="288" t="n">
        <v>1</v>
      </c>
      <c r="H1151" s="288" t="inlineStr">
        <is>
          <t>Closed</t>
        </is>
      </c>
      <c r="I1151" s="288" t="inlineStr">
        <is>
          <t>05-24</t>
        </is>
      </c>
      <c r="J1151" s="288" t="inlineStr">
        <is>
          <t>INSPECTION</t>
        </is>
      </c>
    </row>
    <row r="1152">
      <c r="A1152" s="288" t="inlineStr">
        <is>
          <t>569</t>
        </is>
      </c>
      <c r="B1152" s="288" t="inlineStr">
        <is>
          <t>ZL-451-01-1-002</t>
        </is>
      </c>
      <c r="C1152" s="288" t="inlineStr">
        <is>
          <t>ZL-451-01-1-002 (04) / NO. 2 ENGINE THRUST REVERSER COWLING</t>
        </is>
      </c>
      <c r="D1152" s="288" t="inlineStr">
        <is>
          <t>1</t>
        </is>
      </c>
      <c r="E1152" s="288" t="n">
        <v>0.9</v>
      </c>
      <c r="F1152" s="288" t="n">
        <v>12</v>
      </c>
      <c r="G1152" s="288" t="n">
        <v>50.6</v>
      </c>
      <c r="H1152" s="288" t="inlineStr">
        <is>
          <t>Closed</t>
        </is>
      </c>
      <c r="I1152" s="288" t="inlineStr">
        <is>
          <t>05-24</t>
        </is>
      </c>
      <c r="J1152" s="288" t="inlineStr">
        <is>
          <t>JOB-SETUP, INSPECTION, JOB-CLOSEUP</t>
        </is>
      </c>
    </row>
    <row r="1153">
      <c r="A1153" s="288" t="inlineStr">
        <is>
          <t>570</t>
        </is>
      </c>
      <c r="B1153" s="288" t="inlineStr">
        <is>
          <t>ZL-453-01-1-001</t>
        </is>
      </c>
      <c r="C1153" s="288" t="inlineStr">
        <is>
          <t>ZL-453-01-1-001 (05) / NO.1 ENGINE HOT SECTION ZONAL INSP</t>
        </is>
      </c>
      <c r="D1153" s="288" t="inlineStr">
        <is>
          <t>1</t>
        </is>
      </c>
      <c r="E1153" s="288" t="n">
        <v>0.9</v>
      </c>
      <c r="F1153" s="288" t="n">
        <v>1</v>
      </c>
      <c r="G1153" s="288" t="n">
        <v>1</v>
      </c>
      <c r="H1153" s="288" t="inlineStr">
        <is>
          <t>Closed</t>
        </is>
      </c>
      <c r="I1153" s="288" t="inlineStr">
        <is>
          <t>05-24</t>
        </is>
      </c>
      <c r="J1153" s="288" t="inlineStr">
        <is>
          <t>INSPECTION</t>
        </is>
      </c>
    </row>
    <row r="1154">
      <c r="A1154" s="288" t="inlineStr">
        <is>
          <t>571</t>
        </is>
      </c>
      <c r="B1154" s="288" t="inlineStr">
        <is>
          <t>ZL-453-01-1-002</t>
        </is>
      </c>
      <c r="C1154" s="288" t="inlineStr">
        <is>
          <t>ZL-453-01-1-002 (05) / NO.2 ENGINE HOT SECTION ZONAL INSP</t>
        </is>
      </c>
      <c r="D1154" s="288" t="inlineStr">
        <is>
          <t>1</t>
        </is>
      </c>
      <c r="E1154" s="288" t="n">
        <v>0.9</v>
      </c>
      <c r="F1154" s="288" t="n">
        <v>1</v>
      </c>
      <c r="G1154" s="288" t="n">
        <v>1</v>
      </c>
      <c r="H1154" s="288" t="inlineStr">
        <is>
          <t>Closed</t>
        </is>
      </c>
      <c r="I1154" s="288" t="inlineStr">
        <is>
          <t>05-24</t>
        </is>
      </c>
      <c r="J1154" s="288" t="inlineStr">
        <is>
          <t>INSPECTION</t>
        </is>
      </c>
    </row>
    <row r="1155">
      <c r="A1155" s="288" t="inlineStr">
        <is>
          <t>572</t>
        </is>
      </c>
      <c r="B1155" s="288" t="inlineStr">
        <is>
          <t>ZL-471-01-4-001</t>
        </is>
      </c>
      <c r="C1155" s="288" t="inlineStr">
        <is>
          <t>ZL-471-01-4-001 (04) / NO.1 ENG PYLON L/E AND LOWER FAIRING</t>
        </is>
      </c>
      <c r="D1155" s="288" t="inlineStr">
        <is>
          <t>1</t>
        </is>
      </c>
      <c r="E1155" s="288" t="n">
        <v>0.7</v>
      </c>
      <c r="F1155" s="288" t="n">
        <v>0.8</v>
      </c>
      <c r="G1155" s="288" t="n">
        <v>0.6</v>
      </c>
      <c r="H1155" s="288" t="inlineStr">
        <is>
          <t>Closed</t>
        </is>
      </c>
      <c r="I1155" s="288" t="inlineStr">
        <is>
          <t>05-24</t>
        </is>
      </c>
      <c r="J1155" s="288" t="inlineStr">
        <is>
          <t>INSPECTION</t>
        </is>
      </c>
    </row>
    <row r="1156">
      <c r="A1156" s="288" t="inlineStr">
        <is>
          <t>573</t>
        </is>
      </c>
      <c r="B1156" s="288" t="inlineStr">
        <is>
          <t>ZL-471-01-4-002</t>
        </is>
      </c>
      <c r="C1156" s="288" t="inlineStr">
        <is>
          <t>ZL-471-01-4-002 (04) / NO.2 ENG PYLON L/E AND LOWER FAIRING</t>
        </is>
      </c>
      <c r="D1156" s="288" t="inlineStr">
        <is>
          <t>1</t>
        </is>
      </c>
      <c r="E1156" s="288" t="n">
        <v>0.7</v>
      </c>
      <c r="F1156" s="288" t="n">
        <v>1.2</v>
      </c>
      <c r="G1156" s="288" t="n">
        <v>1</v>
      </c>
      <c r="H1156" s="288" t="inlineStr">
        <is>
          <t>Closed</t>
        </is>
      </c>
      <c r="I1156" s="288" t="inlineStr">
        <is>
          <t>05-24</t>
        </is>
      </c>
      <c r="J1156" s="288" t="inlineStr">
        <is>
          <t>INSPECTION</t>
        </is>
      </c>
    </row>
    <row r="1157">
      <c r="A1157" s="288" t="inlineStr">
        <is>
          <t>574</t>
        </is>
      </c>
      <c r="B1157" s="288" t="inlineStr">
        <is>
          <t>ZL-500-02-1-001</t>
        </is>
      </c>
      <c r="C1157" s="288" t="inlineStr">
        <is>
          <t>ZL-500-02-1-001 (05) / L/H WING LOWER SURFACE ZONAL INSP</t>
        </is>
      </c>
      <c r="D1157" s="288" t="inlineStr">
        <is>
          <t>1</t>
        </is>
      </c>
      <c r="E1157" s="288" t="n">
        <v>1.4</v>
      </c>
      <c r="F1157" s="288" t="n">
        <v>1</v>
      </c>
      <c r="G1157" s="288" t="n">
        <v>1</v>
      </c>
      <c r="H1157" s="288" t="inlineStr">
        <is>
          <t>Closed</t>
        </is>
      </c>
      <c r="I1157" s="288" t="inlineStr">
        <is>
          <t>05-25</t>
        </is>
      </c>
      <c r="J1157" s="288" t="inlineStr">
        <is>
          <t>INSPECTION</t>
        </is>
      </c>
    </row>
    <row r="1158">
      <c r="A1158" s="288" t="inlineStr">
        <is>
          <t>575</t>
        </is>
      </c>
      <c r="B1158" s="288" t="inlineStr">
        <is>
          <t>ZL-500-02-1-002</t>
        </is>
      </c>
      <c r="C1158" s="288" t="inlineStr">
        <is>
          <t>ZL-500-02-1-002 (05) / R/H WING LOWER SURFACE ZONAL INSP</t>
        </is>
      </c>
      <c r="D1158" s="288" t="inlineStr">
        <is>
          <t>1</t>
        </is>
      </c>
      <c r="E1158" s="288" t="n">
        <v>1.4</v>
      </c>
      <c r="F1158" s="288" t="n">
        <v>1</v>
      </c>
      <c r="G1158" s="288" t="n">
        <v>1</v>
      </c>
      <c r="H1158" s="288" t="inlineStr">
        <is>
          <t>Closed</t>
        </is>
      </c>
      <c r="I1158" s="288" t="inlineStr">
        <is>
          <t>05-25</t>
        </is>
      </c>
      <c r="J1158" s="288" t="inlineStr">
        <is>
          <t>INSPECTION</t>
        </is>
      </c>
    </row>
    <row r="1159">
      <c r="A1159" s="288" t="inlineStr">
        <is>
          <t>578</t>
        </is>
      </c>
      <c r="B1159" s="288" t="inlineStr">
        <is>
          <t>ZL-734-01-1</t>
        </is>
      </c>
      <c r="C1159" s="288" t="inlineStr">
        <is>
          <t>ZL-734-01-1 (3) / MLG MAIN DOOR ZONAL INSPECTION</t>
        </is>
      </c>
      <c r="D1159" s="288" t="inlineStr">
        <is>
          <t>1</t>
        </is>
      </c>
      <c r="E1159" s="288" t="n">
        <v>0.4</v>
      </c>
      <c r="F1159" s="288" t="n">
        <v>0.5</v>
      </c>
      <c r="G1159" s="288" t="n">
        <v>0.5</v>
      </c>
      <c r="H1159" s="288" t="inlineStr">
        <is>
          <t>Closed</t>
        </is>
      </c>
      <c r="I1159" s="288" t="inlineStr">
        <is>
          <t>05-27</t>
        </is>
      </c>
      <c r="J1159" s="288" t="inlineStr">
        <is>
          <t>PRE INSP, PRE INSP</t>
        </is>
      </c>
    </row>
    <row r="1160">
      <c r="A1160" s="288" t="inlineStr">
        <is>
          <t>579</t>
        </is>
      </c>
      <c r="B1160" s="288" t="inlineStr">
        <is>
          <t>ZL-825-01-1</t>
        </is>
      </c>
      <c r="C1160" s="288" t="inlineStr">
        <is>
          <t>ZL-825-01-1 (04) / FORWARD CARGO COMP. DOOR ZONAL INSP</t>
        </is>
      </c>
      <c r="D1160" s="288" t="inlineStr">
        <is>
          <t>1</t>
        </is>
      </c>
      <c r="E1160" s="288" t="n">
        <v>0.2</v>
      </c>
      <c r="F1160" s="288" t="n">
        <v>0.2</v>
      </c>
      <c r="G1160" s="288" t="n">
        <v>0.2</v>
      </c>
      <c r="H1160" s="288" t="inlineStr">
        <is>
          <t>Closed</t>
        </is>
      </c>
      <c r="I1160" s="288" t="inlineStr">
        <is>
          <t>05-28</t>
        </is>
      </c>
      <c r="J1160" s="288" t="inlineStr">
        <is>
          <t>PRE INSP</t>
        </is>
      </c>
    </row>
    <row r="1161">
      <c r="A1161" s="288" t="inlineStr">
        <is>
          <t>580</t>
        </is>
      </c>
      <c r="B1161" s="288" t="inlineStr">
        <is>
          <t>ZL-826-01-1</t>
        </is>
      </c>
      <c r="C1161" s="288" t="inlineStr">
        <is>
          <t>ZL-826-01-1 (04) / AFT CARGO COMP. DOOR ZONAL INSP</t>
        </is>
      </c>
      <c r="D1161" s="288" t="inlineStr">
        <is>
          <t>1</t>
        </is>
      </c>
      <c r="E1161" s="288" t="n">
        <v>0.2</v>
      </c>
      <c r="F1161" s="288" t="n">
        <v>0.7</v>
      </c>
      <c r="G1161" s="288" t="n">
        <v>0.7</v>
      </c>
      <c r="H1161" s="288" t="inlineStr">
        <is>
          <t>Closed</t>
        </is>
      </c>
      <c r="I1161" s="288" t="inlineStr">
        <is>
          <t>05-28</t>
        </is>
      </c>
      <c r="J1161" s="288" t="inlineStr">
        <is>
          <t>PRE INSP</t>
        </is>
      </c>
    </row>
    <row r="1162">
      <c r="A1162" s="288" t="inlineStr">
        <is>
          <t>581</t>
        </is>
      </c>
      <c r="B1162" s="288" t="inlineStr">
        <is>
          <t>ZL-827-01-1</t>
        </is>
      </c>
      <c r="C1162" s="288" t="inlineStr">
        <is>
          <t>ZL-827-01-1 (06) / BULK CARGO COMP. DOOR ZONAL INSP</t>
        </is>
      </c>
      <c r="D1162" s="288" t="inlineStr">
        <is>
          <t>1</t>
        </is>
      </c>
      <c r="E1162" s="288" t="n">
        <v>0.4</v>
      </c>
      <c r="F1162" s="288" t="n">
        <v>0.1</v>
      </c>
      <c r="G1162" s="288" t="n">
        <v>0.1</v>
      </c>
      <c r="H1162" s="288" t="inlineStr">
        <is>
          <t>Closed</t>
        </is>
      </c>
      <c r="I1162" s="288" t="inlineStr">
        <is>
          <t>05-28</t>
        </is>
      </c>
      <c r="J1162" s="288" t="inlineStr">
        <is>
          <t>PRE INSP</t>
        </is>
      </c>
    </row>
    <row r="1163">
      <c r="A1163" s="288" t="inlineStr">
        <is>
          <t>601</t>
        </is>
      </c>
      <c r="B1163" s="288" t="inlineStr">
        <is>
          <t>ZL-191-01-2</t>
        </is>
      </c>
      <c r="C1163" s="288" t="inlineStr">
        <is>
          <t>ZL-191-01-2 (9) / AIR CONDITION COMPARTMENT ZONAL INSP</t>
        </is>
      </c>
      <c r="D1163" s="288" t="inlineStr">
        <is>
          <t>1</t>
        </is>
      </c>
      <c r="E1163" s="288" t="n">
        <v>0.9</v>
      </c>
      <c r="F1163" s="288" t="n">
        <v>1</v>
      </c>
      <c r="G1163" s="288" t="n">
        <v>1</v>
      </c>
      <c r="H1163" s="288" t="inlineStr">
        <is>
          <t>Closed</t>
        </is>
      </c>
      <c r="I1163" s="288" t="inlineStr">
        <is>
          <t>05-21</t>
        </is>
      </c>
      <c r="J1163" s="288" t="inlineStr">
        <is>
          <t>PRE INSP</t>
        </is>
      </c>
    </row>
    <row r="1164">
      <c r="A1164" s="288" t="inlineStr">
        <is>
          <t>602</t>
        </is>
      </c>
      <c r="B1164" s="288" t="inlineStr">
        <is>
          <t>ZL-831-01-1</t>
        </is>
      </c>
      <c r="C1164" s="288" t="inlineStr">
        <is>
          <t>ZL-831-01-1 (05) / AFT PASSENGER/CREW DOOR</t>
        </is>
      </c>
      <c r="D1164" s="288" t="inlineStr">
        <is>
          <t>1</t>
        </is>
      </c>
      <c r="E1164" s="288" t="n">
        <v>0.2</v>
      </c>
      <c r="F1164" s="288" t="n">
        <v>1</v>
      </c>
      <c r="G1164" s="288" t="n">
        <v>1</v>
      </c>
      <c r="H1164" s="288" t="inlineStr">
        <is>
          <t>Closed</t>
        </is>
      </c>
      <c r="I1164" s="288" t="inlineStr">
        <is>
          <t>05-28</t>
        </is>
      </c>
      <c r="J1164" s="288" t="inlineStr">
        <is>
          <t>PRE INSP, PRE INSP</t>
        </is>
      </c>
    </row>
    <row r="1165">
      <c r="A1165" s="288" t="inlineStr">
        <is>
          <t>622</t>
        </is>
      </c>
      <c r="B1165" s="288" t="inlineStr">
        <is>
          <t>532170-01-1</t>
        </is>
      </c>
      <c r="C1165" s="288" t="inlineStr">
        <is>
          <t>532170-01-1 (5) / FWD CARGO DOOR LOCK FITTINGS INSP</t>
        </is>
      </c>
      <c r="D1165" s="288" t="inlineStr">
        <is>
          <t>1</t>
        </is>
      </c>
      <c r="E1165" s="288" t="n">
        <v>0.7</v>
      </c>
      <c r="F1165" s="288" t="n">
        <v>13.5</v>
      </c>
      <c r="G1165" s="288" t="n">
        <v>2.8</v>
      </c>
      <c r="H1165" s="288" t="inlineStr">
        <is>
          <t>Closed</t>
        </is>
      </c>
      <c r="I1165" s="288" t="inlineStr">
        <is>
          <t>53-21</t>
        </is>
      </c>
      <c r="J1165" s="288" t="inlineStr">
        <is>
          <t>PRE INSP, PRE INSP, PRE INSP</t>
        </is>
      </c>
    </row>
    <row r="1166">
      <c r="A1166" s="288" t="inlineStr">
        <is>
          <t>782</t>
        </is>
      </c>
      <c r="B1166" s="288" t="inlineStr">
        <is>
          <t>STJC-20-00-00-01-GA-GO</t>
        </is>
      </c>
      <c r="C1166" s="288" t="inlineStr">
        <is>
          <t>HEAVY CHK AIRCRAFT (PRE-INSP)</t>
        </is>
      </c>
      <c r="D1166" s="288" t="inlineStr">
        <is>
          <t>N</t>
        </is>
      </c>
      <c r="E1166" s="288" t="n">
        <v>9</v>
      </c>
      <c r="F1166" s="288" t="n">
        <v>1.7</v>
      </c>
      <c r="G1166" s="288" t="n">
        <v>12.4</v>
      </c>
      <c r="H1166" s="288" t="inlineStr">
        <is>
          <t>Closed</t>
        </is>
      </c>
      <c r="I1166" s="288" t="inlineStr">
        <is>
          <t>20</t>
        </is>
      </c>
      <c r="J1166" s="288" t="inlineStr">
        <is>
          <t>PRE INSP, PRE INSP, PRE INSP, PRE INSP, PRE INSP, PRE INSP, PRE INSP, PRE INSP, PRE INSP</t>
        </is>
      </c>
    </row>
    <row r="1167">
      <c r="A1167" s="288" t="inlineStr">
        <is>
          <t>802</t>
        </is>
      </c>
      <c r="B1167" s="288" t="inlineStr">
        <is>
          <t>242400-01-2</t>
        </is>
      </c>
      <c r="C1167" s="288" t="inlineStr">
        <is>
          <t>242400-01-2 (2) / AC EMERGENCY GENERATION OPC</t>
        </is>
      </c>
      <c r="D1167" s="288" t="inlineStr">
        <is>
          <t>1</t>
        </is>
      </c>
      <c r="E1167" s="288" t="n">
        <v>0</v>
      </c>
      <c r="F1167" s="288" t="n">
        <v>4.5</v>
      </c>
      <c r="G1167" s="288" t="n">
        <v>2.9</v>
      </c>
      <c r="H1167" s="288" t="inlineStr">
        <is>
          <t>Closed</t>
        </is>
      </c>
      <c r="I1167" s="288" t="inlineStr">
        <is>
          <t>24-24</t>
        </is>
      </c>
      <c r="J1167" s="288" t="inlineStr">
        <is>
          <t>OPS/LK</t>
        </is>
      </c>
    </row>
    <row r="1168">
      <c r="A1168" s="288" t="inlineStr">
        <is>
          <t>824</t>
        </is>
      </c>
      <c r="B1168" s="288" t="inlineStr">
        <is>
          <t>32977904</t>
        </is>
      </c>
      <c r="C1168" s="288" t="inlineStr">
        <is>
          <t>PRE---L/H AND R/H WING---NOCALLBACK---PNT L/H AND R/H WING ALL SLATS EXTERNAL SURFACE HOIST POINT COVERS FOUND MISSING, TORN AND WORNOUT.</t>
        </is>
      </c>
      <c r="D1168" s="288" t="inlineStr">
        <is>
          <t>1</t>
        </is>
      </c>
      <c r="E1168" s="288" t="n">
        <v>4</v>
      </c>
      <c r="F1168" s="288" t="n">
        <v>8</v>
      </c>
      <c r="G1168" s="288" t="n">
        <v>4</v>
      </c>
      <c r="H1168" s="288" t="inlineStr">
        <is>
          <t>Closed</t>
        </is>
      </c>
      <c r="I1168" s="288" t="inlineStr">
        <is>
          <t>05-25</t>
        </is>
      </c>
      <c r="J1168" s="288" t="inlineStr"/>
    </row>
    <row r="1169">
      <c r="A1169" s="288" t="inlineStr">
        <is>
          <t>843</t>
        </is>
      </c>
      <c r="B1169" s="288" t="inlineStr">
        <is>
          <t>32978273</t>
        </is>
      </c>
      <c r="C1169" s="288" t="inlineStr">
        <is>
          <t>MLG----FS---NO CALL BACK----- INSIDE MLG DOOR ON KELL BEAM AREA DIRTY AND FULL OF WATER.</t>
        </is>
      </c>
      <c r="D1169" s="288" t="inlineStr">
        <is>
          <t>1</t>
        </is>
      </c>
      <c r="E1169" s="288" t="n">
        <v>10</v>
      </c>
      <c r="F1169" s="288" t="n">
        <v>10</v>
      </c>
      <c r="G1169" s="288" t="n">
        <v>5</v>
      </c>
      <c r="H1169" s="288" t="inlineStr">
        <is>
          <t>Closed</t>
        </is>
      </c>
      <c r="I1169" s="288" t="inlineStr">
        <is>
          <t>05-27</t>
        </is>
      </c>
      <c r="J1169" s="288" t="inlineStr"/>
    </row>
    <row r="1170">
      <c r="A1170" s="288" t="inlineStr">
        <is>
          <t>848</t>
        </is>
      </c>
      <c r="B1170" s="288" t="inlineStr">
        <is>
          <t>32978291</t>
        </is>
      </c>
      <c r="C1170" s="288" t="inlineStr">
        <is>
          <t>RH MLG DOOR---PNT---NO CALL BACK--- RH MLG DOOR ACTUATOR SURFACE WITH PNT CHIP-OFF.</t>
        </is>
      </c>
      <c r="D1170" s="288" t="inlineStr">
        <is>
          <t>1</t>
        </is>
      </c>
      <c r="E1170" s="288" t="n">
        <v>3</v>
      </c>
      <c r="F1170" s="288" t="n">
        <v>3</v>
      </c>
      <c r="G1170" s="288" t="n">
        <v>1.5</v>
      </c>
      <c r="H1170" s="288" t="inlineStr">
        <is>
          <t>Closed</t>
        </is>
      </c>
      <c r="I1170" s="288" t="inlineStr">
        <is>
          <t>05-25</t>
        </is>
      </c>
      <c r="J1170" s="288" t="inlineStr"/>
    </row>
    <row r="1171">
      <c r="A1171" s="288" t="inlineStr">
        <is>
          <t>860</t>
        </is>
      </c>
      <c r="B1171" s="288" t="inlineStr">
        <is>
          <t>32978583</t>
        </is>
      </c>
      <c r="C1171" s="288" t="inlineStr">
        <is>
          <t>FWD CARGO DOOR----FS---NO CALL BACK--- FWD CARGO DOOR LINING DIRTY.</t>
        </is>
      </c>
      <c r="D1171" s="288" t="inlineStr">
        <is>
          <t>1</t>
        </is>
      </c>
      <c r="E1171" s="288" t="n">
        <v>8</v>
      </c>
      <c r="F1171" s="288" t="n">
        <v>8</v>
      </c>
      <c r="G1171" s="288" t="n">
        <v>3.5</v>
      </c>
      <c r="H1171" s="288" t="inlineStr">
        <is>
          <t>Closed</t>
        </is>
      </c>
      <c r="I1171" s="288" t="inlineStr">
        <is>
          <t>05-28</t>
        </is>
      </c>
      <c r="J1171" s="288" t="inlineStr"/>
    </row>
    <row r="1172">
      <c r="A1172" s="288" t="inlineStr">
        <is>
          <t>862</t>
        </is>
      </c>
      <c r="B1172" s="288" t="inlineStr">
        <is>
          <t>32978590</t>
        </is>
      </c>
      <c r="C1172" s="288" t="inlineStr">
        <is>
          <t>FWD CARGO DOOR---FS---NO CALL BACK---- FWD CARGO DOOR ALL LWR ATTACHEMENT ROLLER DIRTY.</t>
        </is>
      </c>
      <c r="D1172" s="288" t="inlineStr">
        <is>
          <t>1</t>
        </is>
      </c>
      <c r="E1172" s="288" t="n">
        <v>8</v>
      </c>
      <c r="F1172" s="288" t="n">
        <v>8</v>
      </c>
      <c r="G1172" s="288" t="n">
        <v>2</v>
      </c>
      <c r="H1172" s="288" t="inlineStr">
        <is>
          <t>Closed</t>
        </is>
      </c>
      <c r="I1172" s="288" t="inlineStr">
        <is>
          <t>05-28</t>
        </is>
      </c>
      <c r="J1172" s="288" t="inlineStr"/>
    </row>
    <row r="1173">
      <c r="A1173" s="288" t="inlineStr">
        <is>
          <t>870</t>
        </is>
      </c>
      <c r="B1173" s="288" t="inlineStr">
        <is>
          <t>32978648</t>
        </is>
      </c>
      <c r="C1173" s="288" t="inlineStr">
        <is>
          <t>BULK CARGO DOOR---FS---NO CALL BACK--- BULK CARGO DOOR AREA AND LINING DIRTY.</t>
        </is>
      </c>
      <c r="D1173" s="288" t="inlineStr">
        <is>
          <t>1</t>
        </is>
      </c>
      <c r="E1173" s="288" t="n">
        <v>6</v>
      </c>
      <c r="F1173" s="288" t="n">
        <v>6</v>
      </c>
      <c r="G1173" s="288" t="n">
        <v>6</v>
      </c>
      <c r="H1173" s="288" t="inlineStr">
        <is>
          <t>Closed</t>
        </is>
      </c>
      <c r="I1173" s="288" t="inlineStr">
        <is>
          <t>05-28</t>
        </is>
      </c>
      <c r="J1173" s="288" t="inlineStr"/>
    </row>
    <row r="1174">
      <c r="A1174" s="288" t="inlineStr">
        <is>
          <t>871</t>
        </is>
      </c>
      <c r="B1174" s="288" t="inlineStr">
        <is>
          <t>32978649</t>
        </is>
      </c>
      <c r="C1174" s="288" t="inlineStr">
        <is>
          <t>AFT CARGO DOOR---FS---NO CALL BACK--- AFT CARGO DOOR ALL ATTACHMENT FITTING ROLLER DIRTY.</t>
        </is>
      </c>
      <c r="D1174" s="288" t="inlineStr">
        <is>
          <t>1</t>
        </is>
      </c>
      <c r="E1174" s="288" t="n">
        <v>6.5</v>
      </c>
      <c r="F1174" s="288" t="n">
        <v>6.5</v>
      </c>
      <c r="G1174" s="288" t="n">
        <v>6.5</v>
      </c>
      <c r="H1174" s="288" t="inlineStr">
        <is>
          <t>Closed</t>
        </is>
      </c>
      <c r="I1174" s="288" t="inlineStr">
        <is>
          <t>05-28</t>
        </is>
      </c>
      <c r="J1174" s="288" t="inlineStr"/>
    </row>
    <row r="1175">
      <c r="A1175" s="288" t="inlineStr">
        <is>
          <t>874</t>
        </is>
      </c>
      <c r="B1175" s="288" t="inlineStr">
        <is>
          <t>32978848</t>
        </is>
      </c>
      <c r="C1175" s="288" t="inlineStr">
        <is>
          <t>FINDING (NRC) TASKCARD 25-SVA-03 (01) / ITEM ONE ALL B/C SEAT STRUCTURE  DIRTY</t>
        </is>
      </c>
      <c r="D1175" s="288" t="inlineStr">
        <is>
          <t>1</t>
        </is>
      </c>
      <c r="E1175" s="288" t="n">
        <v>12</v>
      </c>
      <c r="F1175" s="288" t="n">
        <v>12</v>
      </c>
      <c r="G1175" s="288" t="n">
        <v>6</v>
      </c>
      <c r="H1175" s="288" t="inlineStr">
        <is>
          <t>Closed</t>
        </is>
      </c>
      <c r="I1175" s="288" t="inlineStr">
        <is>
          <t>25-21</t>
        </is>
      </c>
      <c r="J1175" s="288" t="inlineStr"/>
    </row>
    <row r="1176">
      <c r="A1176" s="288" t="inlineStr">
        <is>
          <t>875</t>
        </is>
      </c>
      <c r="B1176" s="288" t="inlineStr">
        <is>
          <t>32978869</t>
        </is>
      </c>
      <c r="C1176" s="288" t="inlineStr">
        <is>
          <t>FINDING (NRC) TASKCARD 25-SVA-03 (01) / ITEM ONE ALL B/C SEAT ARMCAP AISLE AND CTR DIRTY</t>
        </is>
      </c>
      <c r="D1176" s="288" t="inlineStr">
        <is>
          <t>1</t>
        </is>
      </c>
      <c r="E1176" s="288" t="n">
        <v>120</v>
      </c>
      <c r="F1176" s="288" t="n">
        <v>120.5</v>
      </c>
      <c r="G1176" s="288" t="n">
        <v>53.3</v>
      </c>
      <c r="H1176" s="288" t="inlineStr">
        <is>
          <t>Closed</t>
        </is>
      </c>
      <c r="I1176" s="288" t="inlineStr">
        <is>
          <t>25-21</t>
        </is>
      </c>
      <c r="J1176" s="288" t="inlineStr"/>
    </row>
    <row r="1177">
      <c r="A1177" s="288" t="inlineStr">
        <is>
          <t>878</t>
        </is>
      </c>
      <c r="B1177" s="288" t="inlineStr">
        <is>
          <t>32978919</t>
        </is>
      </c>
      <c r="C1177" s="288" t="inlineStr">
        <is>
          <t>FINDING (NRC) TASKCARD 25-SVA-03 (01) / ITEM ONE B/C SEATS OVERRIDE - MANUAL CABLE DAMAGED.  RECLINE CABLE AT SEAT # 4L LEGREST CABLE AT SEATS# 2J,3L,5A,J</t>
        </is>
      </c>
      <c r="D1177" s="288" t="inlineStr">
        <is>
          <t>1</t>
        </is>
      </c>
      <c r="E1177" s="288" t="n">
        <v>5</v>
      </c>
      <c r="F1177" s="288" t="n">
        <v>5</v>
      </c>
      <c r="G1177" s="288" t="n">
        <v>5</v>
      </c>
      <c r="H1177" s="288" t="inlineStr">
        <is>
          <t>Closed</t>
        </is>
      </c>
      <c r="I1177" s="288" t="inlineStr">
        <is>
          <t>25-21</t>
        </is>
      </c>
      <c r="J1177" s="288" t="inlineStr"/>
    </row>
    <row r="1178">
      <c r="A1178" s="288" t="inlineStr">
        <is>
          <t>879</t>
        </is>
      </c>
      <c r="B1178" s="288" t="inlineStr">
        <is>
          <t>32978925</t>
        </is>
      </c>
      <c r="C1178" s="288" t="inlineStr">
        <is>
          <t>FINDING (NRC) TASKCARD 25-SVA-03 (01) / ITEM ONE B/C SEAT# 1C , 2A , 4A ARMREST LOOSE</t>
        </is>
      </c>
      <c r="D1178" s="288" t="inlineStr">
        <is>
          <t>1</t>
        </is>
      </c>
      <c r="E1178" s="288" t="n">
        <v>3</v>
      </c>
      <c r="F1178" s="288" t="n">
        <v>3</v>
      </c>
      <c r="G1178" s="288" t="n">
        <v>1.5</v>
      </c>
      <c r="H1178" s="288" t="inlineStr">
        <is>
          <t>Closed</t>
        </is>
      </c>
      <c r="I1178" s="288" t="inlineStr">
        <is>
          <t>25-21</t>
        </is>
      </c>
      <c r="J1178" s="288" t="inlineStr"/>
    </row>
    <row r="1179">
      <c r="A1179" s="288" t="inlineStr">
        <is>
          <t>880</t>
        </is>
      </c>
      <c r="B1179" s="288" t="inlineStr">
        <is>
          <t>32978965</t>
        </is>
      </c>
      <c r="C1179" s="288" t="inlineStr">
        <is>
          <t>FINDING (NRC) TASKCARD 25-SVA-03 (01) / ITEM ONE B/C SEAT# 1J,2J,3J  RUBSTRIP - SHELL DAMAGED</t>
        </is>
      </c>
      <c r="D1179" s="288" t="inlineStr">
        <is>
          <t>1</t>
        </is>
      </c>
      <c r="E1179" s="288" t="n">
        <v>3</v>
      </c>
      <c r="F1179" s="288" t="n">
        <v>3</v>
      </c>
      <c r="G1179" s="288" t="n">
        <v>3</v>
      </c>
      <c r="H1179" s="288" t="inlineStr">
        <is>
          <t>Closed</t>
        </is>
      </c>
      <c r="I1179" s="288" t="inlineStr">
        <is>
          <t>25-21</t>
        </is>
      </c>
      <c r="J1179" s="288" t="inlineStr"/>
    </row>
    <row r="1180">
      <c r="A1180" s="288" t="inlineStr">
        <is>
          <t>883</t>
        </is>
      </c>
      <c r="B1180" s="288" t="inlineStr">
        <is>
          <t>32979156</t>
        </is>
      </c>
      <c r="C1180" s="288" t="inlineStr">
        <is>
          <t>FINDING (NRC) TASKCARD ZL-500-02-1-002 (05) RH WING  PNT--NO CALLBACK RH WING AROUND LANDING LIGHT BLACK PAINT MISSING.</t>
        </is>
      </c>
      <c r="D1180" s="288" t="inlineStr">
        <is>
          <t>1</t>
        </is>
      </c>
      <c r="E1180" s="288" t="n">
        <v>3</v>
      </c>
      <c r="F1180" s="288" t="n">
        <v>4</v>
      </c>
      <c r="G1180" s="288" t="n">
        <v>4.1</v>
      </c>
      <c r="H1180" s="288" t="inlineStr">
        <is>
          <t>Closed</t>
        </is>
      </c>
      <c r="I1180" s="288" t="inlineStr">
        <is>
          <t>05-25</t>
        </is>
      </c>
      <c r="J1180" s="288" t="inlineStr"/>
    </row>
    <row r="1181">
      <c r="A1181" s="288" t="inlineStr">
        <is>
          <t>884</t>
        </is>
      </c>
      <c r="B1181" s="288" t="inlineStr">
        <is>
          <t>32979222</t>
        </is>
      </c>
      <c r="C1181" s="288" t="inlineStr">
        <is>
          <t>FINDING (NRC) TASKCARD ZL-500-02-1-002 (05) RH WING  PNT-- NO CALLBACK RH  WING LWR SURFACE IN/B  UPPER MLG FIX DOOR WITH PAINT CRACKS</t>
        </is>
      </c>
      <c r="D1181" s="288" t="inlineStr">
        <is>
          <t>1</t>
        </is>
      </c>
      <c r="E1181" s="288" t="n">
        <v>5</v>
      </c>
      <c r="F1181" s="288" t="n">
        <v>5</v>
      </c>
      <c r="G1181" s="288" t="n">
        <v>2</v>
      </c>
      <c r="H1181" s="288" t="inlineStr">
        <is>
          <t>Closed</t>
        </is>
      </c>
      <c r="I1181" s="288" t="inlineStr">
        <is>
          <t>05-25</t>
        </is>
      </c>
      <c r="J1181" s="288" t="inlineStr"/>
    </row>
    <row r="1182">
      <c r="A1182" s="288" t="inlineStr">
        <is>
          <t>885</t>
        </is>
      </c>
      <c r="B1182" s="288" t="inlineStr">
        <is>
          <t>32979231</t>
        </is>
      </c>
      <c r="C1182" s="288" t="inlineStr">
        <is>
          <t>FINDING (NRC) TASKCARD 25-SVA-03 (01) / ITEM ONE B/C SEAT# 1C , 3J RUBSTRIP - FRONT DAMAGED</t>
        </is>
      </c>
      <c r="D1182" s="288" t="inlineStr">
        <is>
          <t>1</t>
        </is>
      </c>
      <c r="E1182" s="288" t="n">
        <v>2</v>
      </c>
      <c r="F1182" s="288" t="n">
        <v>2</v>
      </c>
      <c r="G1182" s="288" t="n">
        <v>2</v>
      </c>
      <c r="H1182" s="288" t="inlineStr">
        <is>
          <t>Closed</t>
        </is>
      </c>
      <c r="I1182" s="288" t="inlineStr">
        <is>
          <t>25-21</t>
        </is>
      </c>
      <c r="J1182" s="288" t="inlineStr"/>
    </row>
    <row r="1183">
      <c r="A1183" s="288" t="inlineStr">
        <is>
          <t>896</t>
        </is>
      </c>
      <c r="B1183" s="288" t="inlineStr">
        <is>
          <t>32979723</t>
        </is>
      </c>
      <c r="C1183" s="288" t="inlineStr">
        <is>
          <t>APU BLEED DUCT CONNECTION--AP--CALLBACK LEAK FOUND ON MISALIGNED FWD CLAMP OF VALVE ASSY-PRESSURE REGULATION</t>
        </is>
      </c>
      <c r="D1183" s="288" t="inlineStr">
        <is>
          <t>1</t>
        </is>
      </c>
      <c r="E1183" s="288" t="n">
        <v>4</v>
      </c>
      <c r="F1183" s="288" t="n">
        <v>13</v>
      </c>
      <c r="G1183" s="288" t="n">
        <v>8</v>
      </c>
      <c r="H1183" s="288" t="inlineStr">
        <is>
          <t>Closed</t>
        </is>
      </c>
      <c r="I1183" s="288" t="inlineStr">
        <is>
          <t>36-12</t>
        </is>
      </c>
      <c r="J1183" s="288" t="inlineStr"/>
    </row>
    <row r="1184">
      <c r="A1184" s="288" t="inlineStr">
        <is>
          <t>898</t>
        </is>
      </c>
      <c r="B1184" s="288" t="inlineStr">
        <is>
          <t>32980018</t>
        </is>
      </c>
      <c r="C1184" s="288" t="inlineStr">
        <is>
          <t>FINDING (NRC) TASKCARD 25-SVA-05 (01) / ITEM ONE ALL G/C SEAT STRUCTURE DIRTY</t>
        </is>
      </c>
      <c r="D1184" s="288" t="inlineStr">
        <is>
          <t>1</t>
        </is>
      </c>
      <c r="E1184" s="288" t="n">
        <v>24</v>
      </c>
      <c r="F1184" s="288" t="n">
        <v>24</v>
      </c>
      <c r="G1184" s="288" t="n">
        <v>8</v>
      </c>
      <c r="H1184" s="288" t="inlineStr">
        <is>
          <t>Closed</t>
        </is>
      </c>
      <c r="I1184" s="288" t="inlineStr">
        <is>
          <t>25-21</t>
        </is>
      </c>
      <c r="J1184" s="288" t="inlineStr"/>
    </row>
    <row r="1185">
      <c r="A1185" s="288" t="inlineStr">
        <is>
          <t>925</t>
        </is>
      </c>
      <c r="B1185" s="288" t="inlineStr">
        <is>
          <t>32930830</t>
        </is>
      </c>
      <c r="C1185" s="288" t="inlineStr">
        <is>
          <t>S38-D10019/A320/21 - VERIFICATION OF WATER-HEATER; LAVATORY</t>
        </is>
      </c>
      <c r="D1185" s="288" t="inlineStr">
        <is>
          <t>RON</t>
        </is>
      </c>
      <c r="E1185" s="288" t="n">
        <v>2</v>
      </c>
      <c r="F1185" s="288" t="n">
        <v>4</v>
      </c>
      <c r="G1185" s="288" t="n">
        <v>4.4</v>
      </c>
      <c r="H1185" s="288" t="inlineStr">
        <is>
          <t>Closed</t>
        </is>
      </c>
      <c r="I1185" s="288" t="inlineStr">
        <is>
          <t>38</t>
        </is>
      </c>
      <c r="J1185" s="288" t="inlineStr"/>
    </row>
    <row r="1186">
      <c r="A1186" s="288" t="inlineStr">
        <is>
          <t>927</t>
        </is>
      </c>
      <c r="B1186" s="288" t="inlineStr">
        <is>
          <t>32980031</t>
        </is>
      </c>
      <c r="C1186" s="288" t="inlineStr">
        <is>
          <t>FINDING (NRC) TASKCARD 25-SVA-05 (01) / ITEM ONE G/C SEATS #30C LINER CRACKED</t>
        </is>
      </c>
      <c r="D1186" s="288" t="inlineStr">
        <is>
          <t>1</t>
        </is>
      </c>
      <c r="E1186" s="288" t="n">
        <v>1</v>
      </c>
      <c r="F1186" s="288" t="n">
        <v>1</v>
      </c>
      <c r="G1186" s="288" t="n">
        <v>1</v>
      </c>
      <c r="H1186" s="288" t="inlineStr">
        <is>
          <t>Closed</t>
        </is>
      </c>
      <c r="I1186" s="288" t="inlineStr">
        <is>
          <t>25-21</t>
        </is>
      </c>
      <c r="J1186" s="288" t="inlineStr"/>
    </row>
    <row r="1187">
      <c r="A1187" s="288" t="inlineStr">
        <is>
          <t>940</t>
        </is>
      </c>
      <c r="B1187" s="288" t="inlineStr">
        <is>
          <t>32980087</t>
        </is>
      </c>
      <c r="C1187" s="288" t="inlineStr">
        <is>
          <t>FINDING (NRC) TASKCARD 25-SVA-05 (01) / ITEM ONE G/C SEATS# 33J, 34C,J ,37C, 38C, 40C, 41J AISLE BUMBER DAMAGE</t>
        </is>
      </c>
      <c r="D1187" s="288" t="inlineStr">
        <is>
          <t>1</t>
        </is>
      </c>
      <c r="E1187" s="288" t="n">
        <v>3.5</v>
      </c>
      <c r="F1187" s="288" t="n">
        <v>3</v>
      </c>
      <c r="G1187" s="288" t="n">
        <v>1.5</v>
      </c>
      <c r="H1187" s="288" t="inlineStr">
        <is>
          <t>Closed</t>
        </is>
      </c>
      <c r="I1187" s="288" t="inlineStr">
        <is>
          <t>25-21</t>
        </is>
      </c>
      <c r="J1187" s="288" t="inlineStr"/>
    </row>
    <row r="1188">
      <c r="A1188" s="288" t="inlineStr">
        <is>
          <t>952</t>
        </is>
      </c>
      <c r="B1188" s="288" t="inlineStr">
        <is>
          <t>32980177</t>
        </is>
      </c>
      <c r="C1188" s="288" t="inlineStr">
        <is>
          <t>FINDING (NRC) TASKCARD ZL-500-02-1-001 (05) LH WING   PNT--NO CALLBACK LH WING IN/B FLAP AFT MID WITH PAINT PEELED OFF.</t>
        </is>
      </c>
      <c r="D1188" s="288" t="inlineStr">
        <is>
          <t>1</t>
        </is>
      </c>
      <c r="E1188" s="288" t="n">
        <v>4</v>
      </c>
      <c r="F1188" s="288" t="n">
        <v>5</v>
      </c>
      <c r="G1188" s="288" t="n">
        <v>2</v>
      </c>
      <c r="H1188" s="288" t="inlineStr">
        <is>
          <t>Closed</t>
        </is>
      </c>
      <c r="I1188" s="288" t="inlineStr">
        <is>
          <t>05-25</t>
        </is>
      </c>
      <c r="J1188" s="288" t="inlineStr"/>
    </row>
    <row r="1189">
      <c r="A1189" s="288" t="inlineStr">
        <is>
          <t>961</t>
        </is>
      </c>
      <c r="B1189" s="288" t="inlineStr">
        <is>
          <t>32981754</t>
        </is>
      </c>
      <c r="C1189" s="288" t="inlineStr">
        <is>
          <t>FINDING (NRC) TASKCARD 25-SVA-03 (01) / ITEM ONE B/C SEAT# 1L, 3L, 4A, 5A,C LIFE VEST DOOR, DUAL PAWL ASSEMBLY - NON LOCKABLE DAMAGED.</t>
        </is>
      </c>
      <c r="D1189" s="288" t="inlineStr">
        <is>
          <t>1</t>
        </is>
      </c>
      <c r="E1189" s="288" t="n">
        <v>5</v>
      </c>
      <c r="F1189" s="288" t="n">
        <v>5</v>
      </c>
      <c r="G1189" s="288" t="n">
        <v>3</v>
      </c>
      <c r="H1189" s="288" t="inlineStr">
        <is>
          <t>Closed</t>
        </is>
      </c>
      <c r="I1189" s="288" t="inlineStr">
        <is>
          <t>25-21</t>
        </is>
      </c>
      <c r="J1189" s="288" t="inlineStr"/>
    </row>
    <row r="1190">
      <c r="A1190" s="288" t="inlineStr">
        <is>
          <t>965</t>
        </is>
      </c>
      <c r="B1190" s="288" t="inlineStr">
        <is>
          <t>32982133</t>
        </is>
      </c>
      <c r="C1190" s="288" t="inlineStr">
        <is>
          <t>CAB RII  - OXYGEN MASK F/O OXYGEN MASK VALVE DISK MISSING</t>
        </is>
      </c>
      <c r="D1190" s="288" t="inlineStr">
        <is>
          <t>1</t>
        </is>
      </c>
      <c r="E1190" s="288" t="n"/>
      <c r="F1190" s="288" t="n">
        <v>4.5</v>
      </c>
      <c r="G1190" s="288" t="n">
        <v>2.4</v>
      </c>
      <c r="H1190" s="288" t="inlineStr">
        <is>
          <t>Closed</t>
        </is>
      </c>
      <c r="I1190" s="288" t="inlineStr">
        <is>
          <t>35-12</t>
        </is>
      </c>
      <c r="J1190" s="288" t="inlineStr"/>
    </row>
    <row r="1191">
      <c r="A1191" s="288" t="inlineStr">
        <is>
          <t>967</t>
        </is>
      </c>
      <c r="B1191" s="288" t="inlineStr">
        <is>
          <t>32982191</t>
        </is>
      </c>
      <c r="C1191" s="288" t="inlineStr">
        <is>
          <t>S/M L2 STOWAGE LOWER DIVIDER PACKER WITH 4 EACH FROZEN SCREWS</t>
        </is>
      </c>
      <c r="D1191" s="288" t="inlineStr">
        <is>
          <t>1</t>
        </is>
      </c>
      <c r="E1191" s="288" t="n"/>
      <c r="F1191" s="288" t="n">
        <v>6</v>
      </c>
      <c r="G1191" s="288" t="n">
        <v>2.2</v>
      </c>
      <c r="H1191" s="288" t="inlineStr">
        <is>
          <t>Closed</t>
        </is>
      </c>
      <c r="I1191" s="288" t="inlineStr">
        <is>
          <t>25-30</t>
        </is>
      </c>
      <c r="J1191" s="288" t="inlineStr"/>
    </row>
    <row r="1192">
      <c r="A1192" s="288" t="inlineStr">
        <is>
          <t>975</t>
        </is>
      </c>
      <c r="B1192" s="288" t="inlineStr">
        <is>
          <t>32982253</t>
        </is>
      </c>
      <c r="C1192" s="288" t="inlineStr">
        <is>
          <t>L/H WING MULTABLE PANELS FROZEN SCREWS ----SM-----NO CALL LEFT HAND WING PANELS     -(522KB, 522QB AND 522UB)     -(575LB AND 575KB)     -(522AT UPPER SURFACE)  HAVE MULTIPLE FROZEN AND ROUNDED SCREWS (MARKED WITH TAPE) REQ S/M ACTION</t>
        </is>
      </c>
      <c r="D1192" s="288" t="inlineStr">
        <is>
          <t>1</t>
        </is>
      </c>
      <c r="E1192" s="288" t="n"/>
      <c r="F1192" s="288" t="n">
        <v>66.5</v>
      </c>
      <c r="G1192" s="288" t="n">
        <v>18.9</v>
      </c>
      <c r="H1192" s="288" t="inlineStr">
        <is>
          <t>Closed</t>
        </is>
      </c>
      <c r="I1192" s="288" t="inlineStr">
        <is>
          <t>27-84</t>
        </is>
      </c>
      <c r="J1192" s="288" t="inlineStr"/>
    </row>
    <row r="1193">
      <c r="A1193" s="288" t="inlineStr">
        <is>
          <t>976</t>
        </is>
      </c>
      <c r="B1193" s="288" t="inlineStr">
        <is>
          <t>32982260</t>
        </is>
      </c>
      <c r="C1193" s="288" t="inlineStr">
        <is>
          <t>R/H WING MULTABLE PANELS FROZEN SCREWS ----SM-----NO CALL RIGHT HAND WING PANELS     -(621AB)      -(622CB, 622HB AND 622JB)  HAVE MULTIPLE FROZEN SCREWS (MARKED WITH TAPE) REQ S/M ACTION</t>
        </is>
      </c>
      <c r="D1193" s="288" t="inlineStr">
        <is>
          <t>1</t>
        </is>
      </c>
      <c r="E1193" s="288" t="n"/>
      <c r="F1193" s="288" t="n">
        <v>68</v>
      </c>
      <c r="G1193" s="288" t="n">
        <v>19.5</v>
      </c>
      <c r="H1193" s="288" t="inlineStr">
        <is>
          <t>Closed</t>
        </is>
      </c>
      <c r="I1193" s="288" t="inlineStr">
        <is>
          <t>27-84</t>
        </is>
      </c>
      <c r="J1193" s="288" t="inlineStr"/>
    </row>
    <row r="1194">
      <c r="A1194" s="288" t="inlineStr">
        <is>
          <t>977</t>
        </is>
      </c>
      <c r="B1194" s="288" t="inlineStr">
        <is>
          <t>32982263</t>
        </is>
      </c>
      <c r="C1194" s="288" t="inlineStr">
        <is>
          <t>BELLY FAIRING PANELS FROZEN SCREWS ----SM-----NO CALLBACK BELLY FAIRING PANELS     -(192AB 1EA SCREW)     -(192LB 1 EA SCREW)     -( FWD PANEL STRIP 1 EA SCREW)  HAVE MULTIPLE FROZEN SCREWS (MARKED WITH TAPE) REQ S/M ACTION</t>
        </is>
      </c>
      <c r="D1194" s="288" t="inlineStr">
        <is>
          <t>1</t>
        </is>
      </c>
      <c r="E1194" s="288" t="n"/>
      <c r="F1194" s="288" t="n">
        <v>15.9</v>
      </c>
      <c r="G1194" s="288" t="n">
        <v>9.300000000000001</v>
      </c>
      <c r="H1194" s="288" t="inlineStr">
        <is>
          <t>Closed</t>
        </is>
      </c>
      <c r="I1194" s="288" t="inlineStr">
        <is>
          <t>53-41</t>
        </is>
      </c>
      <c r="J1194" s="288" t="inlineStr"/>
    </row>
    <row r="1195">
      <c r="A1195" s="288" t="inlineStr">
        <is>
          <t>980</t>
        </is>
      </c>
      <c r="B1195" s="288" t="inlineStr">
        <is>
          <t>32983866</t>
        </is>
      </c>
      <c r="C1195" s="288" t="inlineStr">
        <is>
          <t>PRE--MLG W/W---NOCALLBACK---FS MLG WHEELWELL KEEL BEAM AREA FOUND EXCESSIVE DIRTY WITH ACCUMULATED WATER.</t>
        </is>
      </c>
      <c r="D1195" s="288" t="inlineStr">
        <is>
          <t>1</t>
        </is>
      </c>
      <c r="E1195" s="288" t="n">
        <v>8</v>
      </c>
      <c r="F1195" s="288" t="n">
        <v>8</v>
      </c>
      <c r="G1195" s="288" t="n">
        <v>4</v>
      </c>
      <c r="H1195" s="288" t="inlineStr">
        <is>
          <t>Closed</t>
        </is>
      </c>
      <c r="I1195" s="288" t="inlineStr">
        <is>
          <t>05-21</t>
        </is>
      </c>
      <c r="J1195" s="288" t="inlineStr"/>
    </row>
    <row r="1196">
      <c r="A1196" s="288" t="inlineStr">
        <is>
          <t>998</t>
        </is>
      </c>
      <c r="B1196" s="288" t="inlineStr">
        <is>
          <t>32984375</t>
        </is>
      </c>
      <c r="C1196" s="288" t="inlineStr">
        <is>
          <t>FLAP TRACK AND FAIRINGS---PNT---NO CALLBACK CHIPPED PAINT ON 533 AB, 532 AB PANEL</t>
        </is>
      </c>
      <c r="D1196" s="288" t="inlineStr">
        <is>
          <t>1</t>
        </is>
      </c>
      <c r="E1196" s="288" t="n">
        <v>4</v>
      </c>
      <c r="F1196" s="288" t="n">
        <v>4</v>
      </c>
      <c r="G1196" s="288" t="n">
        <v>2</v>
      </c>
      <c r="H1196" s="288" t="inlineStr">
        <is>
          <t>Closed</t>
        </is>
      </c>
      <c r="I1196" s="288" t="inlineStr">
        <is>
          <t>05-25</t>
        </is>
      </c>
      <c r="J1196" s="288" t="inlineStr"/>
    </row>
    <row r="1197">
      <c r="A1197" s="288" t="inlineStr">
        <is>
          <t>1015</t>
        </is>
      </c>
      <c r="B1197" s="288" t="inlineStr">
        <is>
          <t>32984905</t>
        </is>
      </c>
      <c r="C1197" s="288" t="inlineStr">
        <is>
          <t>PNT - NO CALLBACK - LAV A LAV A DECAL "PLEASE LOCK THE DOOR" AND FINE DECAL DISCOLORED.</t>
        </is>
      </c>
      <c r="D1197" s="288" t="inlineStr">
        <is>
          <t>1</t>
        </is>
      </c>
      <c r="E1197" s="288" t="n">
        <v>2</v>
      </c>
      <c r="F1197" s="288" t="n">
        <v>2</v>
      </c>
      <c r="G1197" s="288" t="n">
        <v>1</v>
      </c>
      <c r="H1197" s="288" t="inlineStr">
        <is>
          <t>Closed</t>
        </is>
      </c>
      <c r="I1197" s="288" t="inlineStr">
        <is>
          <t>25-10</t>
        </is>
      </c>
      <c r="J1197" s="288" t="inlineStr"/>
    </row>
    <row r="1198">
      <c r="A1198" s="288" t="inlineStr">
        <is>
          <t>1026</t>
        </is>
      </c>
      <c r="B1198" s="288" t="inlineStr">
        <is>
          <t>32985022</t>
        </is>
      </c>
      <c r="C1198" s="288" t="inlineStr">
        <is>
          <t>--SM--NO CALL BACK FROZEN SCREWS REQUIRE REMOVAL FOUND ON PANELS, 192LB,191JB,191GB AND 192AB</t>
        </is>
      </c>
      <c r="D1198" s="288" t="inlineStr">
        <is>
          <t>1</t>
        </is>
      </c>
      <c r="E1198" s="288" t="n">
        <v>4</v>
      </c>
      <c r="F1198" s="288" t="n">
        <v>3</v>
      </c>
      <c r="G1198" s="288" t="n">
        <v>1.5</v>
      </c>
      <c r="H1198" s="288" t="inlineStr">
        <is>
          <t>Closed</t>
        </is>
      </c>
      <c r="I1198" s="288" t="inlineStr">
        <is>
          <t>53-79</t>
        </is>
      </c>
      <c r="J1198" s="288" t="inlineStr"/>
    </row>
    <row r="1199">
      <c r="A1199" s="288" t="inlineStr">
        <is>
          <t>1032</t>
        </is>
      </c>
      <c r="B1199" s="288" t="inlineStr">
        <is>
          <t>32985081</t>
        </is>
      </c>
      <c r="C1199" s="288" t="inlineStr">
        <is>
          <t>PRE---TAIL SECTION---NOCALLBACK---PNT AFT FUSELAGE TAIL SECTION, TAIL CONE HOIST POINT COVERS FOUND MISSING AND WORNOUT.</t>
        </is>
      </c>
      <c r="D1199" s="288" t="inlineStr">
        <is>
          <t>1</t>
        </is>
      </c>
      <c r="E1199" s="288" t="n">
        <v>2</v>
      </c>
      <c r="F1199" s="288" t="n">
        <v>2</v>
      </c>
      <c r="G1199" s="288" t="n">
        <v>2</v>
      </c>
      <c r="H1199" s="288" t="inlineStr">
        <is>
          <t>Closed</t>
        </is>
      </c>
      <c r="I1199" s="288" t="inlineStr">
        <is>
          <t>05-24</t>
        </is>
      </c>
      <c r="J1199" s="288" t="inlineStr"/>
    </row>
    <row r="1200">
      <c r="A1200" s="288" t="inlineStr">
        <is>
          <t>1057</t>
        </is>
      </c>
      <c r="B1200" s="288" t="inlineStr">
        <is>
          <t>32985575</t>
        </is>
      </c>
      <c r="C1200" s="288" t="inlineStr">
        <is>
          <t>RH HORIZONTAL STABILIZER--SM-- RH HORIZONTAL STABILIZER PNL 344GB WITH 1 EA WORN HEAD SCREW</t>
        </is>
      </c>
      <c r="D1200" s="288" t="inlineStr">
        <is>
          <t>1</t>
        </is>
      </c>
      <c r="E1200" s="288" t="n"/>
      <c r="F1200" s="288" t="n">
        <v>19.1</v>
      </c>
      <c r="G1200" s="288" t="n">
        <v>7.5</v>
      </c>
      <c r="H1200" s="288" t="inlineStr">
        <is>
          <t>Closed</t>
        </is>
      </c>
      <c r="I1200" s="288" t="inlineStr">
        <is>
          <t>05-23</t>
        </is>
      </c>
      <c r="J1200" s="288" t="inlineStr"/>
    </row>
    <row r="1201">
      <c r="A1201" s="288" t="inlineStr">
        <is>
          <t>1058</t>
        </is>
      </c>
      <c r="B1201" s="288" t="inlineStr">
        <is>
          <t>32985619</t>
        </is>
      </c>
      <c r="C1201" s="288" t="inlineStr">
        <is>
          <t>ENG.1 AND ENG.2  PYLON PANELS FROZEN SCREWS ----SM-----NO CALLBACK ENG.1 AND ENG.2  PYLON PANELS FROZEN    (413DT AND 423DT)  HAVE MULTIPLE FROZEN AND ROUNDED SCREWS (MARKED WITH GREEN TAPE) REQ S/M ACTION</t>
        </is>
      </c>
      <c r="D1201" s="288" t="inlineStr">
        <is>
          <t>1</t>
        </is>
      </c>
      <c r="E1201" s="288" t="n"/>
      <c r="F1201" s="288" t="n">
        <v>2.6</v>
      </c>
      <c r="G1201" s="288" t="n">
        <v>1.3</v>
      </c>
      <c r="H1201" s="288" t="inlineStr">
        <is>
          <t>Closed</t>
        </is>
      </c>
      <c r="I1201" s="288" t="inlineStr">
        <is>
          <t>26-21</t>
        </is>
      </c>
      <c r="J1201" s="288" t="inlineStr">
        <is>
          <t>OPEN-UP</t>
        </is>
      </c>
    </row>
    <row r="1202">
      <c r="A1202" s="288" t="inlineStr">
        <is>
          <t>1059</t>
        </is>
      </c>
      <c r="B1202" s="288" t="inlineStr">
        <is>
          <t>32985582</t>
        </is>
      </c>
      <c r="C1202" s="288" t="inlineStr">
        <is>
          <t>L/H WING MULTABLE PANELS FROZEN SCREWS ----SM-----NO CALLBACK LEFT HAND WING PANELS    (522CB, 522NB AND 522AB) HAVE MULTIPLE FROZEN AND ROUNDED SCREWS (MARKED WITH GREEN TAPE) REQ S/M ACTION</t>
        </is>
      </c>
      <c r="D1202" s="288" t="inlineStr">
        <is>
          <t>1</t>
        </is>
      </c>
      <c r="E1202" s="288" t="n"/>
      <c r="F1202" s="288" t="n">
        <v>4</v>
      </c>
      <c r="G1202" s="288" t="n">
        <v>2.2</v>
      </c>
      <c r="H1202" s="288" t="inlineStr">
        <is>
          <t>Closed</t>
        </is>
      </c>
      <c r="I1202" s="288" t="inlineStr">
        <is>
          <t>57-41</t>
        </is>
      </c>
      <c r="J1202" s="288" t="inlineStr">
        <is>
          <t>OPEN-UP</t>
        </is>
      </c>
    </row>
    <row r="1203">
      <c r="A1203" s="288" t="inlineStr">
        <is>
          <t>1060</t>
        </is>
      </c>
      <c r="B1203" s="288" t="inlineStr">
        <is>
          <t>32985655</t>
        </is>
      </c>
      <c r="C1203" s="288" t="inlineStr">
        <is>
          <t>BELLY FAIRING MULTABLE PANELS FROZEN SCREWS ----SM-----NO CALLBACK BELLY FAIRING  PANELS     (192LB AND 192MB)  HAVE MULTIPLE FROZEN AND ROUNDED SCREWS (MARKED WITH GREEN TAPE) REQ S/M ACTION</t>
        </is>
      </c>
      <c r="D1203" s="288" t="inlineStr">
        <is>
          <t>1</t>
        </is>
      </c>
      <c r="E1203" s="288" t="n"/>
      <c r="F1203" s="288" t="n">
        <v>0.2</v>
      </c>
      <c r="G1203" s="288" t="n">
        <v>0.2</v>
      </c>
      <c r="H1203" s="288" t="inlineStr">
        <is>
          <t>Closed</t>
        </is>
      </c>
      <c r="I1203" s="288" t="inlineStr">
        <is>
          <t>24-92</t>
        </is>
      </c>
      <c r="J1203" s="288" t="inlineStr"/>
    </row>
    <row r="1204">
      <c r="A1204" s="288" t="inlineStr">
        <is>
          <t>1071</t>
        </is>
      </c>
      <c r="B1204" s="288" t="inlineStr">
        <is>
          <t>32985880</t>
        </is>
      </c>
      <c r="C1204" s="288" t="inlineStr">
        <is>
          <t>R/H BELLY FAIRING MULTABLE PANELS FROZEN SCREWS ----SM-----NO CALLBACK R/H BELLY FAIRING  PANEL      (192BT)  HAVE MULTIPLE FROZEN AND ROUNDED SCREWS (MARKED WITH GREEN TAPE) REQ S/M ACTION</t>
        </is>
      </c>
      <c r="D1204" s="288" t="inlineStr">
        <is>
          <t>1</t>
        </is>
      </c>
      <c r="E1204" s="288" t="n"/>
      <c r="F1204" s="288" t="n">
        <v>28.8</v>
      </c>
      <c r="G1204" s="288" t="n">
        <v>16.3</v>
      </c>
      <c r="H1204" s="288" t="inlineStr">
        <is>
          <t>Closed</t>
        </is>
      </c>
      <c r="I1204" s="288" t="inlineStr">
        <is>
          <t>53-41</t>
        </is>
      </c>
      <c r="J1204" s="288" t="inlineStr">
        <is>
          <t>OPEN-UP</t>
        </is>
      </c>
    </row>
    <row r="1205">
      <c r="A1205" s="288" t="inlineStr">
        <is>
          <t>1090</t>
        </is>
      </c>
      <c r="B1205" s="288" t="inlineStr">
        <is>
          <t>32987776</t>
        </is>
      </c>
      <c r="C1205" s="288" t="inlineStr">
        <is>
          <t>--SM--NO CALLBACK PANEL (191AT) HAS FROZEN SCREWS REQUIRE REMOVAL.</t>
        </is>
      </c>
      <c r="D1205" s="288" t="inlineStr">
        <is>
          <t>1</t>
        </is>
      </c>
      <c r="E1205" s="288" t="n"/>
      <c r="F1205" s="288" t="n">
        <v>29</v>
      </c>
      <c r="G1205" s="288" t="n">
        <v>23.5</v>
      </c>
      <c r="H1205" s="288" t="inlineStr">
        <is>
          <t>Closed</t>
        </is>
      </c>
      <c r="I1205" s="288" t="inlineStr">
        <is>
          <t>11-21</t>
        </is>
      </c>
      <c r="J1205" s="288" t="inlineStr"/>
    </row>
  </sheetData>
  <autoFilter ref="A1:J120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2026-07-22T09:30:42Z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