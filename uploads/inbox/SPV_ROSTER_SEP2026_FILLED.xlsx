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OSTER" sheetId="1" state="visible" r:id="rId1"/>
  </sheets>
  <definedNames>
    <definedName name="_xlnm.Print_Area" localSheetId="0">'ROSTER'!$A$1:$AI$73</definedName>
  </definedNames>
  <calcPr calcId="19102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mmmm\ yyyy"/>
  </numFmts>
  <fonts count="34">
    <font>
      <name val="Aptos Narrow"/>
      <family val="2"/>
      <color theme="1"/>
      <sz val="11"/>
      <scheme val="minor"/>
    </font>
    <font>
      <name val="Times New Roman"/>
      <family val="1"/>
      <b val="1"/>
      <color rgb="FFFFFFFF"/>
      <sz val="16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2"/>
    </font>
    <font>
      <name val="Times New Roman"/>
      <family val="1"/>
      <color theme="1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b val="1"/>
      <color theme="0"/>
      <sz val="16"/>
    </font>
    <font>
      <name val="Times New Roman"/>
      <family val="1"/>
      <b val="1"/>
      <color theme="0"/>
      <sz val="24"/>
    </font>
    <font>
      <name val="Aptos Narrow"/>
      <family val="2"/>
      <sz val="8"/>
      <scheme val="minor"/>
    </font>
    <font>
      <name val="Times New Roman"/>
      <family val="1"/>
      <b val="1"/>
      <sz val="12"/>
    </font>
    <font>
      <name val="Times New Roman"/>
      <b val="1"/>
      <color rgb="00FFFFFF"/>
      <sz val="14"/>
    </font>
    <font>
      <name val="Times New Roman"/>
      <b val="1"/>
      <sz val="8"/>
    </font>
    <font>
      <name val="Times New Roman"/>
      <b val="1"/>
      <sz val="10"/>
    </font>
    <font>
      <name val="Times New Roman"/>
      <b val="1"/>
      <color rgb="00FFFFFF"/>
      <sz val="9"/>
    </font>
    <font>
      <name val="Times New Roman"/>
      <b val="1"/>
      <color rgb="006B7280"/>
      <sz val="9"/>
    </font>
    <font>
      <name val="Times New Roman"/>
      <b val="1"/>
      <sz val="8.5"/>
    </font>
    <font>
      <name val="Times New Roman"/>
      <b val="1"/>
      <color rgb="00B45309"/>
      <sz val="11"/>
    </font>
    <font>
      <name val="Times New Roman"/>
      <b val="1"/>
      <color rgb="00196B24"/>
      <sz val="8.5"/>
    </font>
    <font>
      <name val="Times New Roman"/>
      <sz val="10"/>
    </font>
    <font>
      <name val="Times New Roman"/>
      <sz val="11"/>
    </font>
    <font>
      <name val="Times New Roman"/>
      <sz val="12"/>
    </font>
    <font>
      <name val="Times New Roman"/>
      <b val="1"/>
      <sz val="12"/>
    </font>
    <font>
      <name val="Times New Roman"/>
      <b val="1"/>
      <color rgb="00196B24"/>
      <sz val="10"/>
    </font>
    <font>
      <name val="Times New Roman"/>
      <b val="1"/>
      <color rgb="FF000000"/>
      <sz val="10"/>
    </font>
    <font>
      <name val="Times New Roman"/>
      <sz val="9"/>
    </font>
    <font>
      <name val="Times New Roman"/>
      <b val="1"/>
      <color rgb="FFF9FAFB"/>
      <sz val="10"/>
    </font>
    <font>
      <name val="Times New Roman"/>
      <b val="1"/>
      <color rgb="FF7E22CE"/>
      <sz val="10"/>
    </font>
    <font>
      <name val="Times New Roman"/>
      <b val="1"/>
      <color rgb="FFC2410C"/>
      <sz val="10"/>
    </font>
    <font>
      <name val="Times New Roman"/>
      <b val="1"/>
      <color rgb="FF3730A3"/>
      <sz val="10"/>
    </font>
    <font>
      <name val="Times New Roman"/>
      <b val="1"/>
      <color rgb="FFBE123C"/>
      <sz val="10"/>
    </font>
    <font>
      <name val="Times New Roman"/>
      <b val="1"/>
      <color rgb="FF3F6212"/>
      <sz val="10"/>
    </font>
    <font>
      <name val="Times New Roman"/>
      <b val="1"/>
      <color rgb="FF475569"/>
      <sz val="10"/>
    </font>
    <font>
      <name val="Times New Roman"/>
      <b val="1"/>
      <color rgb="FF713F12"/>
      <sz val="10"/>
    </font>
  </fonts>
  <fills count="30">
    <fill>
      <patternFill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196B24"/>
      </patternFill>
    </fill>
    <fill>
      <patternFill patternType="solid">
        <fgColor rgb="00D0CECE"/>
      </patternFill>
    </fill>
    <fill>
      <patternFill patternType="solid">
        <fgColor rgb="00B45309"/>
      </patternFill>
    </fill>
    <fill>
      <patternFill patternType="solid">
        <fgColor rgb="00EEF2F0"/>
      </patternFill>
    </fill>
    <fill>
      <patternFill patternType="solid">
        <fgColor rgb="00FFF8E1"/>
      </patternFill>
    </fill>
    <fill>
      <patternFill patternType="solid">
        <fgColor rgb="FFFFFF99"/>
      </patternFill>
    </fill>
    <fill>
      <patternFill patternType="solid">
        <fgColor theme="4" tint="0.7999816888943144"/>
      </patternFill>
    </fill>
    <fill>
      <patternFill patternType="solid">
        <fgColor theme="3" tint="0.499984740745262"/>
      </patternFill>
    </fill>
    <fill>
      <patternFill patternType="solid">
        <fgColor theme="8" tint="0.5999633777886288"/>
      </patternFill>
    </fill>
    <fill>
      <patternFill patternType="solid">
        <fgColor theme="9" tint="0.3999450666829432"/>
      </patternFill>
    </fill>
    <fill>
      <patternFill patternType="solid">
        <fgColor theme="0" tint="-0.249946592608417"/>
      </patternFill>
    </fill>
    <fill>
      <patternFill patternType="solid">
        <fgColor rgb="FF1F2937"/>
      </patternFill>
    </fill>
    <fill>
      <patternFill patternType="solid">
        <fgColor rgb="FFFDF4FF"/>
      </patternFill>
    </fill>
    <fill>
      <patternFill patternType="solid">
        <fgColor rgb="FFFFF7ED"/>
      </patternFill>
    </fill>
    <fill>
      <patternFill patternType="solid">
        <fgColor rgb="FFE0E7FF"/>
      </patternFill>
    </fill>
    <fill>
      <patternFill patternType="solid">
        <fgColor rgb="FFFFE4E6"/>
      </patternFill>
    </fill>
    <fill>
      <patternFill patternType="solid">
        <fgColor rgb="FFECFCCB"/>
      </patternFill>
    </fill>
    <fill>
      <patternFill patternType="solid">
        <fgColor rgb="FFF1F5F9"/>
      </patternFill>
    </fill>
    <fill>
      <patternFill patternType="solid">
        <fgColor rgb="FFFEF9C3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2" fillId="3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6" fillId="9" borderId="1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4" borderId="14" applyAlignment="1" pivotButton="0" quotePrefix="0" xfId="0">
      <alignment horizontal="left" vertical="center"/>
    </xf>
    <xf numFmtId="0" fontId="5" fillId="4" borderId="15" applyAlignment="1" pivotButton="0" quotePrefix="0" xfId="0">
      <alignment horizontal="left" vertical="center"/>
    </xf>
    <xf numFmtId="0" fontId="5" fillId="4" borderId="14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/>
    </xf>
    <xf numFmtId="0" fontId="5" fillId="5" borderId="14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6" fillId="10" borderId="28" applyAlignment="1" pivotButton="0" quotePrefix="0" xfId="0">
      <alignment horizontal="center" vertical="center"/>
    </xf>
    <xf numFmtId="0" fontId="6" fillId="10" borderId="16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10" fillId="7" borderId="14" applyAlignment="1" pivotButton="0" quotePrefix="0" xfId="0">
      <alignment horizontal="center" vertical="center"/>
    </xf>
    <xf numFmtId="0" fontId="10" fillId="8" borderId="14" applyAlignment="1" pivotButton="0" quotePrefix="0" xfId="0">
      <alignment horizontal="center" vertical="center"/>
    </xf>
    <xf numFmtId="0" fontId="10" fillId="9" borderId="6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6" borderId="17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7" applyAlignment="1" pivotButton="0" quotePrefix="0" xfId="0">
      <alignment horizontal="center" vertical="center" wrapText="1"/>
    </xf>
    <xf numFmtId="0" fontId="8" fillId="6" borderId="8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6" borderId="18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/>
    </xf>
    <xf numFmtId="16" fontId="1" fillId="2" borderId="1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6" fillId="10" borderId="28" applyAlignment="1" pivotButton="0" quotePrefix="0" xfId="0">
      <alignment horizontal="center" vertical="center"/>
    </xf>
    <xf numFmtId="0" fontId="6" fillId="10" borderId="16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7" fillId="6" borderId="15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/>
    </xf>
    <xf numFmtId="0" fontId="10" fillId="7" borderId="15" applyAlignment="1" pivotButton="0" quotePrefix="0" xfId="0">
      <alignment horizontal="center" vertical="center"/>
    </xf>
    <xf numFmtId="0" fontId="10" fillId="7" borderId="9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0" fontId="10" fillId="8" borderId="15" applyAlignment="1" pivotButton="0" quotePrefix="0" xfId="0">
      <alignment horizontal="center" vertical="center"/>
    </xf>
    <xf numFmtId="0" fontId="10" fillId="8" borderId="9" applyAlignment="1" pivotButton="0" quotePrefix="0" xfId="0">
      <alignment horizontal="center" vertical="center"/>
    </xf>
    <xf numFmtId="0" fontId="10" fillId="8" borderId="10" applyAlignment="1" pivotButton="0" quotePrefix="0" xfId="0">
      <alignment horizontal="center" vertical="center"/>
    </xf>
    <xf numFmtId="0" fontId="6" fillId="9" borderId="15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/>
    </xf>
    <xf numFmtId="0" fontId="6" fillId="9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4" fontId="3" fillId="0" borderId="3" applyAlignment="1" pivotButton="0" quotePrefix="0" xfId="0">
      <alignment horizontal="center"/>
    </xf>
    <xf numFmtId="164" fontId="1" fillId="2" borderId="7" applyAlignment="1" pivotButton="0" quotePrefix="0" xfId="0">
      <alignment horizontal="center" vertical="center"/>
    </xf>
    <xf numFmtId="164" fontId="1" fillId="2" borderId="8" applyAlignment="1" pivotButton="0" quotePrefix="0" xfId="0">
      <alignment horizontal="center" vertical="center"/>
    </xf>
    <xf numFmtId="164" fontId="1" fillId="2" borderId="9" applyAlignment="1" pivotButton="0" quotePrefix="0" xfId="0">
      <alignment horizontal="center" vertical="center"/>
    </xf>
    <xf numFmtId="164" fontId="1" fillId="2" borderId="10" applyAlignment="1" pivotButton="0" quotePrefix="0" xfId="0">
      <alignment horizontal="center" vertical="center"/>
    </xf>
    <xf numFmtId="16" fontId="1" fillId="2" borderId="14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4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14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0" borderId="6" pivotButton="0" quotePrefix="0" xfId="0"/>
    <xf numFmtId="164" fontId="1" fillId="2" borderId="14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6" fillId="14" borderId="34" applyAlignment="1" pivotButton="0" quotePrefix="0" xfId="0">
      <alignment horizontal="center" vertical="center"/>
    </xf>
    <xf numFmtId="0" fontId="17" fillId="15" borderId="34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49" fontId="17" fillId="15" borderId="34" applyAlignment="1" pivotButton="0" quotePrefix="0" xfId="0">
      <alignment horizontal="center" vertical="center"/>
    </xf>
    <xf numFmtId="0" fontId="0" fillId="15" borderId="34" pivotButton="0" quotePrefix="0" xfId="0"/>
    <xf numFmtId="0" fontId="0" fillId="0" borderId="5" pivotButton="0" quotePrefix="0" xfId="0"/>
    <xf numFmtId="0" fontId="19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horizontal="left" vertical="center" indent="1"/>
    </xf>
    <xf numFmtId="0" fontId="20" fillId="0" borderId="15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16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5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/>
    </xf>
    <xf numFmtId="0" fontId="22" fillId="0" borderId="24" applyAlignment="1" pivotButton="0" quotePrefix="0" xfId="0">
      <alignment horizontal="center" vertical="center"/>
    </xf>
    <xf numFmtId="0" fontId="22" fillId="0" borderId="25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2" fillId="12" borderId="34" applyAlignment="1" pivotButton="0" quotePrefix="0" xfId="0">
      <alignment horizontal="center" vertical="center"/>
    </xf>
    <xf numFmtId="0" fontId="13" fillId="12" borderId="34" applyAlignment="1" pivotButton="0" quotePrefix="0" xfId="0">
      <alignment horizontal="center" vertical="center"/>
    </xf>
    <xf numFmtId="0" fontId="19" fillId="0" borderId="34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1" fillId="0" borderId="34" applyAlignment="1" pivotButton="0" quotePrefix="0" xfId="0">
      <alignment horizontal="left" vertical="center" indent="1"/>
    </xf>
    <xf numFmtId="0" fontId="22" fillId="0" borderId="34" applyAlignment="1" pivotButton="0" quotePrefix="0" xfId="0">
      <alignment horizontal="center" vertical="center"/>
    </xf>
    <xf numFmtId="0" fontId="8" fillId="6" borderId="1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7" pivotButton="0" quotePrefix="0" xfId="0"/>
    <xf numFmtId="0" fontId="7" fillId="6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3" fillId="0" borderId="0" pivotButton="0" quotePrefix="0" xfId="0"/>
    <xf numFmtId="0" fontId="24" fillId="16" borderId="34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indent="1"/>
    </xf>
    <xf numFmtId="0" fontId="24" fillId="17" borderId="34" applyAlignment="1" pivotButton="0" quotePrefix="0" xfId="0">
      <alignment horizontal="center" vertical="center"/>
    </xf>
    <xf numFmtId="0" fontId="24" fillId="18" borderId="34" applyAlignment="1" pivotButton="0" quotePrefix="0" xfId="0">
      <alignment horizontal="center" vertical="center"/>
    </xf>
    <xf numFmtId="0" fontId="24" fillId="19" borderId="34" applyAlignment="1" pivotButton="0" quotePrefix="0" xfId="0">
      <alignment horizontal="center" vertical="center"/>
    </xf>
    <xf numFmtId="0" fontId="24" fillId="20" borderId="34" applyAlignment="1" pivotButton="0" quotePrefix="0" xfId="0">
      <alignment horizontal="center" vertical="center"/>
    </xf>
    <xf numFmtId="0" fontId="24" fillId="21" borderId="34" applyAlignment="1" pivotButton="0" quotePrefix="0" xfId="0">
      <alignment horizontal="center" vertical="center"/>
    </xf>
    <xf numFmtId="0" fontId="26" fillId="22" borderId="34" applyAlignment="1" pivotButton="0" quotePrefix="0" xfId="0">
      <alignment horizontal="center" vertical="center"/>
    </xf>
    <xf numFmtId="0" fontId="27" fillId="23" borderId="34" applyAlignment="1" pivotButton="0" quotePrefix="0" xfId="0">
      <alignment horizontal="center" vertical="center"/>
    </xf>
    <xf numFmtId="0" fontId="28" fillId="24" borderId="34" applyAlignment="1" pivotButton="0" quotePrefix="0" xfId="0">
      <alignment horizontal="center" vertical="center"/>
    </xf>
    <xf numFmtId="0" fontId="29" fillId="25" borderId="34" applyAlignment="1" pivotButton="0" quotePrefix="0" xfId="0">
      <alignment horizontal="center" vertical="center"/>
    </xf>
    <xf numFmtId="0" fontId="30" fillId="26" borderId="34" applyAlignment="1" pivotButton="0" quotePrefix="0" xfId="0">
      <alignment horizontal="center" vertical="center"/>
    </xf>
    <xf numFmtId="0" fontId="31" fillId="27" borderId="34" applyAlignment="1" pivotButton="0" quotePrefix="0" xfId="0">
      <alignment horizontal="center" vertical="center"/>
    </xf>
    <xf numFmtId="0" fontId="32" fillId="28" borderId="34" applyAlignment="1" pivotButton="0" quotePrefix="0" xfId="0">
      <alignment horizontal="center" vertical="center"/>
    </xf>
    <xf numFmtId="0" fontId="33" fillId="29" borderId="34" applyAlignment="1" pivotButton="0" quotePrefix="0" xfId="0">
      <alignment horizontal="center" vertical="center"/>
    </xf>
  </cellXfs>
  <cellStyles count="1">
    <cellStyle name="عادي" xfId="0" builtinId="0"/>
  </cellStyles>
  <dxfs count="22"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5999633777886288"/>
        </patternFill>
      </fill>
    </dxf>
    <dxf>
      <font>
        <name val="Times New Roman"/>
        <b val="1"/>
        <color rgb="00F9FAFB"/>
      </font>
      <fill>
        <patternFill>
          <bgColor rgb="001F2937"/>
        </patternFill>
      </fill>
    </dxf>
    <dxf>
      <font>
        <name val="Times New Roman"/>
        <b val="1"/>
        <color rgb="007E22CE"/>
      </font>
      <fill>
        <patternFill>
          <bgColor rgb="00FDF4FF"/>
        </patternFill>
      </fill>
    </dxf>
    <dxf>
      <font>
        <name val="Times New Roman"/>
        <b val="1"/>
        <color rgb="00C2410C"/>
      </font>
      <fill>
        <patternFill>
          <bgColor rgb="00FFF7ED"/>
        </patternFill>
      </fill>
    </dxf>
    <dxf>
      <font>
        <name val="Times New Roman"/>
        <b val="1"/>
        <color rgb="003730A3"/>
      </font>
      <fill>
        <patternFill>
          <bgColor rgb="00E0E7FF"/>
        </patternFill>
      </fill>
    </dxf>
    <dxf>
      <font>
        <name val="Times New Roman"/>
        <b val="1"/>
        <color rgb="00BE123C"/>
      </font>
      <fill>
        <patternFill>
          <bgColor rgb="00FFE4E6"/>
        </patternFill>
      </fill>
    </dxf>
    <dxf>
      <font>
        <name val="Times New Roman"/>
        <b val="1"/>
        <color rgb="003F6212"/>
      </font>
      <fill>
        <patternFill>
          <bgColor rgb="00ECFCCB"/>
        </patternFill>
      </fill>
    </dxf>
    <dxf>
      <font>
        <name val="Times New Roman"/>
        <b val="1"/>
        <color rgb="00475569"/>
      </font>
      <fill>
        <patternFill>
          <bgColor rgb="00F1F5F9"/>
        </patternFill>
      </fill>
    </dxf>
    <dxf>
      <font>
        <name val="Times New Roman"/>
        <b val="1"/>
        <color rgb="00713F12"/>
      </font>
      <fill>
        <patternFill>
          <bgColor rgb="00FEF9C3"/>
        </patternFill>
      </fill>
    </dxf>
    <dxf>
      <fill>
        <patternFill>
          <bgColor rgb="00DAF2D0"/>
        </patternFill>
      </fill>
    </dxf>
    <dxf>
      <fill>
        <patternFill>
          <bgColor rgb="0083CCEB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A73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Z14" sqref="Z14"/>
    </sheetView>
  </sheetViews>
  <sheetFormatPr baseColWidth="8" defaultRowHeight="14.4"/>
  <cols>
    <col width="7" customWidth="1" min="1" max="1"/>
    <col width="13" customWidth="1" min="2" max="2"/>
    <col width="34.6640625" customWidth="1" min="3" max="3"/>
    <col width="13.44140625" customWidth="1" min="4" max="4"/>
    <col width="4.5546875" customWidth="1" min="5" max="35"/>
    <col width="7" customWidth="1" min="37" max="37"/>
    <col width="7.5" customWidth="1" min="38" max="38"/>
    <col width="3.5" customWidth="1" min="39" max="39"/>
    <col width="6" customWidth="1" min="40" max="40"/>
    <col width="7" customWidth="1" min="41" max="41"/>
    <col width="7" customWidth="1" min="42" max="42"/>
    <col hidden="1" width="13" customWidth="1" min="53" max="53"/>
  </cols>
  <sheetData>
    <row r="1" ht="21" customHeight="1" thickBot="1">
      <c r="A1" s="101" t="inlineStr">
        <is>
          <t>#</t>
        </is>
      </c>
      <c r="B1" s="102" t="inlineStr">
        <is>
          <t>PRN</t>
        </is>
      </c>
      <c r="C1" s="102" t="inlineStr">
        <is>
          <t>NAME</t>
        </is>
      </c>
      <c r="D1" s="102" t="inlineStr">
        <is>
          <t>Posn</t>
        </is>
      </c>
      <c r="E1" s="102" t="inlineStr">
        <is>
          <t>SPV Cabin Employee Roster</t>
        </is>
      </c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4" t="n"/>
      <c r="AD1" s="80" t="inlineStr">
        <is>
          <t>CC: 264</t>
        </is>
      </c>
      <c r="AK1" s="105" t="inlineStr">
        <is>
          <t>MONTHLY</t>
        </is>
      </c>
      <c r="AL1" s="106" t="n"/>
      <c r="AN1" s="107" t="inlineStr">
        <is>
          <t>CUSTOM PERIOD</t>
        </is>
      </c>
      <c r="AO1" s="108" t="n"/>
      <c r="AP1" s="108" t="n"/>
      <c r="BA1">
        <f>IF(ISNUMBER($BA$5),"P","M")</f>
        <v/>
      </c>
    </row>
    <row r="2" ht="21" customHeight="1" thickBot="1">
      <c r="A2" s="109" t="n"/>
      <c r="B2" s="109" t="n"/>
      <c r="C2" s="109" t="n"/>
      <c r="D2" s="109" t="n"/>
      <c r="E2" s="110">
        <f>IF($BA$1="P",UPPER(TEXT($BA$3,"dd mmm")&amp;" — "&amp;TEXT($BA$3+$BA$4-1,"dd mmm yyyy")),UPPER(TEXT($BA$3,"mmmm yyyy")))</f>
        <v/>
      </c>
      <c r="F2" s="103" t="n"/>
      <c r="G2" s="103" t="n"/>
      <c r="H2" s="103" t="n"/>
      <c r="I2" s="103" t="n"/>
      <c r="J2" s="103" t="n"/>
      <c r="K2" s="103" t="n"/>
      <c r="L2" s="103" t="n"/>
      <c r="M2" s="103" t="n"/>
      <c r="N2" s="103" t="n"/>
      <c r="O2" s="103" t="n"/>
      <c r="P2" s="103" t="n"/>
      <c r="Q2" s="103" t="n"/>
      <c r="R2" s="103" t="n"/>
      <c r="S2" s="103" t="n"/>
      <c r="T2" s="103" t="n"/>
      <c r="U2" s="103" t="n"/>
      <c r="V2" s="103" t="n"/>
      <c r="W2" s="103" t="n"/>
      <c r="X2" s="103" t="n"/>
      <c r="Y2" s="103" t="n"/>
      <c r="Z2" s="103" t="n"/>
      <c r="AA2" s="103" t="n"/>
      <c r="AB2" s="103" t="n"/>
      <c r="AC2" s="104" t="n"/>
      <c r="AD2" s="111" t="n"/>
      <c r="AE2" s="112" t="n"/>
      <c r="AF2" s="112" t="n"/>
      <c r="AG2" s="112" t="n"/>
      <c r="AH2" s="112" t="n"/>
      <c r="AI2" s="112" t="n"/>
      <c r="AK2" s="113" t="inlineStr">
        <is>
          <t>MONTH</t>
        </is>
      </c>
      <c r="AL2" s="114" t="inlineStr">
        <is>
          <t>SEP</t>
        </is>
      </c>
      <c r="AM2" s="115" t="inlineStr">
        <is>
          <t>OR</t>
        </is>
      </c>
      <c r="AN2" s="113" t="inlineStr">
        <is>
          <t>START</t>
        </is>
      </c>
      <c r="AO2" s="116" t="n"/>
      <c r="AP2" s="117" t="n"/>
      <c r="BA2">
        <f>IFERROR(IF(ISNUMBER($AL$2),$AL$2,MATCH(LEFT(UPPER(TRIM($AL$2)),3),{"JAN","FEB","MAR","APR","MAY","JUN","JUL","AUG","SEP","OCT","NOV","DEC"},0)),MONTH(TODAY()))</f>
        <v/>
      </c>
    </row>
    <row r="3" ht="15" customHeight="1" thickBot="1">
      <c r="A3" s="47" t="inlineStr">
        <is>
          <t>CREW 1</t>
        </is>
      </c>
      <c r="E3" s="1">
        <f>IF(1&lt;=$BA$4,TEXT($BA$3+0,"ddd"),"")</f>
        <v/>
      </c>
      <c r="F3" s="1">
        <f>IF(2&lt;=$BA$4,TEXT($BA$3+1,"ddd"),"")</f>
        <v/>
      </c>
      <c r="G3" s="1">
        <f>IF(3&lt;=$BA$4,TEXT($BA$3+2,"ddd"),"")</f>
        <v/>
      </c>
      <c r="H3" s="1">
        <f>IF(4&lt;=$BA$4,TEXT($BA$3+3,"ddd"),"")</f>
        <v/>
      </c>
      <c r="I3" s="1">
        <f>IF(5&lt;=$BA$4,TEXT($BA$3+4,"ddd"),"")</f>
        <v/>
      </c>
      <c r="J3" s="1">
        <f>IF(6&lt;=$BA$4,TEXT($BA$3+5,"ddd"),"")</f>
        <v/>
      </c>
      <c r="K3" s="1">
        <f>IF(7&lt;=$BA$4,TEXT($BA$3+6,"ddd"),"")</f>
        <v/>
      </c>
      <c r="L3" s="1">
        <f>IF(8&lt;=$BA$4,TEXT($BA$3+7,"ddd"),"")</f>
        <v/>
      </c>
      <c r="M3" s="1">
        <f>IF(9&lt;=$BA$4,TEXT($BA$3+8,"ddd"),"")</f>
        <v/>
      </c>
      <c r="N3" s="1">
        <f>IF(10&lt;=$BA$4,TEXT($BA$3+9,"ddd"),"")</f>
        <v/>
      </c>
      <c r="O3" s="1">
        <f>IF(11&lt;=$BA$4,TEXT($BA$3+10,"ddd"),"")</f>
        <v/>
      </c>
      <c r="P3" s="1">
        <f>IF(12&lt;=$BA$4,TEXT($BA$3+11,"ddd"),"")</f>
        <v/>
      </c>
      <c r="Q3" s="1">
        <f>IF(13&lt;=$BA$4,TEXT($BA$3+12,"ddd"),"")</f>
        <v/>
      </c>
      <c r="R3" s="1">
        <f>IF(14&lt;=$BA$4,TEXT($BA$3+13,"ddd"),"")</f>
        <v/>
      </c>
      <c r="S3" s="1">
        <f>IF(15&lt;=$BA$4,TEXT($BA$3+14,"ddd"),"")</f>
        <v/>
      </c>
      <c r="T3" s="1">
        <f>IF(16&lt;=$BA$4,TEXT($BA$3+15,"ddd"),"")</f>
        <v/>
      </c>
      <c r="U3" s="1">
        <f>IF(17&lt;=$BA$4,TEXT($BA$3+16,"ddd"),"")</f>
        <v/>
      </c>
      <c r="V3" s="1">
        <f>IF(18&lt;=$BA$4,TEXT($BA$3+17,"ddd"),"")</f>
        <v/>
      </c>
      <c r="W3" s="1">
        <f>IF(19&lt;=$BA$4,TEXT($BA$3+18,"ddd"),"")</f>
        <v/>
      </c>
      <c r="X3" s="1">
        <f>IF(20&lt;=$BA$4,TEXT($BA$3+19,"ddd"),"")</f>
        <v/>
      </c>
      <c r="Y3" s="1">
        <f>IF(21&lt;=$BA$4,TEXT($BA$3+20,"ddd"),"")</f>
        <v/>
      </c>
      <c r="Z3" s="1">
        <f>IF(22&lt;=$BA$4,TEXT($BA$3+21,"ddd"),"")</f>
        <v/>
      </c>
      <c r="AA3" s="1">
        <f>IF(23&lt;=$BA$4,TEXT($BA$3+22,"ddd"),"")</f>
        <v/>
      </c>
      <c r="AB3" s="1">
        <f>IF(24&lt;=$BA$4,TEXT($BA$3+23,"ddd"),"")</f>
        <v/>
      </c>
      <c r="AC3" s="1">
        <f>IF(25&lt;=$BA$4,TEXT($BA$3+24,"ddd"),"")</f>
        <v/>
      </c>
      <c r="AD3" s="1">
        <f>IF(26&lt;=$BA$4,TEXT($BA$3+25,"ddd"),"")</f>
        <v/>
      </c>
      <c r="AE3" s="1">
        <f>IF(27&lt;=$BA$4,TEXT($BA$3+26,"ddd"),"")</f>
        <v/>
      </c>
      <c r="AF3" s="1">
        <f>IF(28&lt;=$BA$4,TEXT($BA$3+27,"ddd"),"")</f>
        <v/>
      </c>
      <c r="AG3" s="1">
        <f>IF(29&lt;=$BA$4,TEXT($BA$3+28,"ddd"),"")</f>
        <v/>
      </c>
      <c r="AH3" s="24">
        <f>IF(30&lt;=$BA$4,TEXT($BA$3+29,"ddd"),"")</f>
        <v/>
      </c>
      <c r="AI3" s="21">
        <f>IF(31&lt;=$BA$4,TEXT($BA$3+30,"ddd"),"")</f>
        <v/>
      </c>
      <c r="AK3" s="113" t="inlineStr">
        <is>
          <t>YEAR</t>
        </is>
      </c>
      <c r="AL3" s="114" t="n">
        <v>2026</v>
      </c>
      <c r="AN3" s="113" t="inlineStr">
        <is>
          <t>DAYS</t>
        </is>
      </c>
      <c r="AO3" s="116" t="n"/>
      <c r="AP3" s="117" t="n"/>
      <c r="BA3">
        <f>IF($BA$1="P",$BA$5,DATE(IF(ISNUMBER($AL$3),$AL$3,YEAR(TODAY())),$BA$2,1))</f>
        <v/>
      </c>
    </row>
    <row r="4" ht="16.2" customHeight="1" thickBot="1">
      <c r="A4" s="118" t="n"/>
      <c r="E4" s="2">
        <f>IF(1&lt;=$BA$4,IF($BA$1="P",DAY($BA$3+0),1),"")</f>
        <v/>
      </c>
      <c r="F4" s="2">
        <f>IF(2&lt;=$BA$4,IF($BA$1="P",DAY($BA$3+1),2),"")</f>
        <v/>
      </c>
      <c r="G4" s="2">
        <f>IF(3&lt;=$BA$4,IF($BA$1="P",DAY($BA$3+2),3),"")</f>
        <v/>
      </c>
      <c r="H4" s="2">
        <f>IF(4&lt;=$BA$4,IF($BA$1="P",DAY($BA$3+3),4),"")</f>
        <v/>
      </c>
      <c r="I4" s="3">
        <f>IF(5&lt;=$BA$4,IF($BA$1="P",DAY($BA$3+4),5),"")</f>
        <v/>
      </c>
      <c r="J4" s="4">
        <f>IF(6&lt;=$BA$4,IF($BA$1="P",DAY($BA$3+5),6),"")</f>
        <v/>
      </c>
      <c r="K4" s="4">
        <f>IF(7&lt;=$BA$4,IF($BA$1="P",DAY($BA$3+6),7),"")</f>
        <v/>
      </c>
      <c r="L4" s="3">
        <f>IF(8&lt;=$BA$4,IF($BA$1="P",DAY($BA$3+7),8),"")</f>
        <v/>
      </c>
      <c r="M4" s="4">
        <f>IF(9&lt;=$BA$4,IF($BA$1="P",DAY($BA$3+8),9),"")</f>
        <v/>
      </c>
      <c r="N4" s="2">
        <f>IF(10&lt;=$BA$4,IF($BA$1="P",DAY($BA$3+9),10),"")</f>
        <v/>
      </c>
      <c r="O4" s="2">
        <f>IF(11&lt;=$BA$4,IF($BA$1="P",DAY($BA$3+10),11),"")</f>
        <v/>
      </c>
      <c r="P4" s="2">
        <f>IF(12&lt;=$BA$4,IF($BA$1="P",DAY($BA$3+11),12),"")</f>
        <v/>
      </c>
      <c r="Q4" s="2">
        <f>IF(13&lt;=$BA$4,IF($BA$1="P",DAY($BA$3+12),13),"")</f>
        <v/>
      </c>
      <c r="R4" s="2">
        <f>IF(14&lt;=$BA$4,IF($BA$1="P",DAY($BA$3+13),14),"")</f>
        <v/>
      </c>
      <c r="S4" s="2">
        <f>IF(15&lt;=$BA$4,IF($BA$1="P",DAY($BA$3+14),15),"")</f>
        <v/>
      </c>
      <c r="T4" s="2">
        <f>IF(16&lt;=$BA$4,IF($BA$1="P",DAY($BA$3+15),16),"")</f>
        <v/>
      </c>
      <c r="U4" s="2">
        <f>IF(17&lt;=$BA$4,IF($BA$1="P",DAY($BA$3+16),17),"")</f>
        <v/>
      </c>
      <c r="V4" s="2">
        <f>IF(18&lt;=$BA$4,IF($BA$1="P",DAY($BA$3+17),18),"")</f>
        <v/>
      </c>
      <c r="W4" s="2">
        <f>IF(19&lt;=$BA$4,IF($BA$1="P",DAY($BA$3+18),19),"")</f>
        <v/>
      </c>
      <c r="X4" s="2">
        <f>IF(20&lt;=$BA$4,IF($BA$1="P",DAY($BA$3+19),20),"")</f>
        <v/>
      </c>
      <c r="Y4" s="2">
        <f>IF(21&lt;=$BA$4,IF($BA$1="P",DAY($BA$3+20),21),"")</f>
        <v/>
      </c>
      <c r="Z4" s="2">
        <f>IF(22&lt;=$BA$4,IF($BA$1="P",DAY($BA$3+21),22),"")</f>
        <v/>
      </c>
      <c r="AA4" s="2">
        <f>IF(23&lt;=$BA$4,IF($BA$1="P",DAY($BA$3+22),23),"")</f>
        <v/>
      </c>
      <c r="AB4" s="2">
        <f>IF(24&lt;=$BA$4,IF($BA$1="P",DAY($BA$3+23),24),"")</f>
        <v/>
      </c>
      <c r="AC4" s="2">
        <f>IF(25&lt;=$BA$4,IF($BA$1="P",DAY($BA$3+24),25),"")</f>
        <v/>
      </c>
      <c r="AD4" s="2">
        <f>IF(26&lt;=$BA$4,IF($BA$1="P",DAY($BA$3+25),26),"")</f>
        <v/>
      </c>
      <c r="AE4" s="2">
        <f>IF(27&lt;=$BA$4,IF($BA$1="P",DAY($BA$3+26),27),"")</f>
        <v/>
      </c>
      <c r="AF4" s="2">
        <f>IF(28&lt;=$BA$4,IF($BA$1="P",DAY($BA$3+27),28),"")</f>
        <v/>
      </c>
      <c r="AG4" s="2">
        <f>IF(29&lt;=$BA$4,IF($BA$1="P",DAY($BA$3+28),29),"")</f>
        <v/>
      </c>
      <c r="AH4" s="25">
        <f>IF(30&lt;=$BA$4,IF($BA$1="P",DAY($BA$3+29),30),"")</f>
        <v/>
      </c>
      <c r="AI4" s="22">
        <f>IF(31&lt;=$BA$4,IF($BA$1="P",DAY($BA$3+30),31),"")</f>
        <v/>
      </c>
      <c r="BA4">
        <f>IF($BA$1="P",MIN(31,IFERROR(VALUE($BA$12),30)),DAY(EOMONTH($BA$3,0)))</f>
        <v/>
      </c>
    </row>
    <row r="5" ht="16.2" customHeight="1" thickBot="1">
      <c r="A5" s="119" t="n">
        <v>1</v>
      </c>
      <c r="B5" s="120" t="inlineStr">
        <is>
          <t>13006435</t>
        </is>
      </c>
      <c r="C5" s="121" t="inlineStr">
        <is>
          <t>HOMAID ALJAHDALI</t>
        </is>
      </c>
      <c r="D5" s="122" t="inlineStr">
        <is>
          <t>ACT/SUPV</t>
        </is>
      </c>
      <c r="E5" s="123" t="inlineStr">
        <is>
          <t>T</t>
        </is>
      </c>
      <c r="F5" s="123" t="inlineStr">
        <is>
          <t>T</t>
        </is>
      </c>
      <c r="G5" s="124" t="inlineStr">
        <is>
          <t>T</t>
        </is>
      </c>
      <c r="H5" s="123" t="inlineStr">
        <is>
          <t>T</t>
        </is>
      </c>
      <c r="I5" s="123" t="inlineStr">
        <is>
          <t>T</t>
        </is>
      </c>
      <c r="J5" s="123" t="inlineStr">
        <is>
          <t>R</t>
        </is>
      </c>
      <c r="K5" s="123" t="inlineStr">
        <is>
          <t>R</t>
        </is>
      </c>
      <c r="L5" s="123" t="inlineStr">
        <is>
          <t>T</t>
        </is>
      </c>
      <c r="M5" s="123" t="inlineStr">
        <is>
          <t>T</t>
        </is>
      </c>
      <c r="N5" s="123" t="inlineStr">
        <is>
          <t>T</t>
        </is>
      </c>
      <c r="O5" s="123" t="inlineStr">
        <is>
          <t>T</t>
        </is>
      </c>
      <c r="P5" s="123" t="inlineStr">
        <is>
          <t>T</t>
        </is>
      </c>
      <c r="Q5" s="123" t="inlineStr">
        <is>
          <t>R</t>
        </is>
      </c>
      <c r="R5" s="123" t="inlineStr">
        <is>
          <t>R</t>
        </is>
      </c>
      <c r="S5" s="123" t="inlineStr">
        <is>
          <t>D</t>
        </is>
      </c>
      <c r="T5" s="123" t="inlineStr">
        <is>
          <t>D</t>
        </is>
      </c>
      <c r="U5" s="123" t="inlineStr">
        <is>
          <t>D</t>
        </is>
      </c>
      <c r="V5" s="123" t="inlineStr">
        <is>
          <t>D</t>
        </is>
      </c>
      <c r="W5" s="123" t="inlineStr">
        <is>
          <t>D</t>
        </is>
      </c>
      <c r="X5" s="123" t="inlineStr">
        <is>
          <t>R</t>
        </is>
      </c>
      <c r="Y5" s="123" t="inlineStr">
        <is>
          <t>R</t>
        </is>
      </c>
      <c r="Z5" s="123" t="inlineStr">
        <is>
          <t>D</t>
        </is>
      </c>
      <c r="AA5" s="123" t="inlineStr">
        <is>
          <t>D</t>
        </is>
      </c>
      <c r="AB5" s="123" t="inlineStr">
        <is>
          <t>D</t>
        </is>
      </c>
      <c r="AC5" s="123" t="inlineStr">
        <is>
          <t>D</t>
        </is>
      </c>
      <c r="AD5" s="123" t="inlineStr">
        <is>
          <t>D</t>
        </is>
      </c>
      <c r="AE5" s="123" t="inlineStr">
        <is>
          <t>R</t>
        </is>
      </c>
      <c r="AF5" s="123" t="inlineStr">
        <is>
          <t>R</t>
        </is>
      </c>
      <c r="AG5" s="123" t="inlineStr">
        <is>
          <t>D</t>
        </is>
      </c>
      <c r="AH5" s="125" t="inlineStr">
        <is>
          <t>D</t>
        </is>
      </c>
      <c r="AI5" s="126" t="n"/>
      <c r="AK5" s="127">
        <f>IF($BA$1="P","● PERIOD MODE — "&amp;TEXT($BA$3,"dd/mm/yyyy")&amp;" +"&amp;$BA$4&amp;"d","● MONTH MODE")</f>
        <v/>
      </c>
      <c r="BA5">
        <f>IF(ISNUMBER($AO$2),$AO$2,IFERROR(DATE(IF($BA$11&lt;100,2000+$BA$11,$BA$11),$BA$10,$BA$9),""))</f>
        <v/>
      </c>
    </row>
    <row r="6" ht="16.2" customHeight="1" thickBot="1">
      <c r="A6" s="119" t="n">
        <v>2</v>
      </c>
      <c r="B6" s="120" t="inlineStr">
        <is>
          <t>13010279</t>
        </is>
      </c>
      <c r="C6" s="121" t="inlineStr">
        <is>
          <t>AHMAD M. ALWAHBI</t>
        </is>
      </c>
      <c r="D6" s="120" t="inlineStr">
        <is>
          <t>ACT/SUPV</t>
        </is>
      </c>
      <c r="E6" s="123" t="inlineStr">
        <is>
          <t>T</t>
        </is>
      </c>
      <c r="F6" s="123" t="inlineStr">
        <is>
          <t>T</t>
        </is>
      </c>
      <c r="G6" s="124" t="inlineStr">
        <is>
          <t>T</t>
        </is>
      </c>
      <c r="H6" s="123" t="inlineStr">
        <is>
          <t>R</t>
        </is>
      </c>
      <c r="I6" s="123" t="inlineStr">
        <is>
          <t>R</t>
        </is>
      </c>
      <c r="J6" s="123" t="inlineStr">
        <is>
          <t>T</t>
        </is>
      </c>
      <c r="K6" s="123" t="inlineStr">
        <is>
          <t>T</t>
        </is>
      </c>
      <c r="L6" s="123" t="inlineStr">
        <is>
          <t>T</t>
        </is>
      </c>
      <c r="M6" s="123" t="inlineStr">
        <is>
          <t>T</t>
        </is>
      </c>
      <c r="N6" s="123" t="inlineStr">
        <is>
          <t>T</t>
        </is>
      </c>
      <c r="O6" s="123" t="inlineStr">
        <is>
          <t>R</t>
        </is>
      </c>
      <c r="P6" s="123" t="inlineStr">
        <is>
          <t>R</t>
        </is>
      </c>
      <c r="Q6" s="123" t="inlineStr">
        <is>
          <t>D</t>
        </is>
      </c>
      <c r="R6" s="123" t="inlineStr">
        <is>
          <t>D</t>
        </is>
      </c>
      <c r="S6" s="123" t="inlineStr">
        <is>
          <t>D</t>
        </is>
      </c>
      <c r="T6" s="123" t="inlineStr">
        <is>
          <t>D</t>
        </is>
      </c>
      <c r="U6" s="123" t="inlineStr">
        <is>
          <t>D</t>
        </is>
      </c>
      <c r="V6" s="123" t="inlineStr">
        <is>
          <t>R</t>
        </is>
      </c>
      <c r="W6" s="123" t="inlineStr">
        <is>
          <t>R</t>
        </is>
      </c>
      <c r="X6" s="123" t="inlineStr">
        <is>
          <t>D</t>
        </is>
      </c>
      <c r="Y6" s="123" t="inlineStr">
        <is>
          <t>D</t>
        </is>
      </c>
      <c r="Z6" s="123" t="inlineStr">
        <is>
          <t>D</t>
        </is>
      </c>
      <c r="AA6" s="123" t="inlineStr">
        <is>
          <t>D</t>
        </is>
      </c>
      <c r="AB6" s="123" t="inlineStr">
        <is>
          <t>D</t>
        </is>
      </c>
      <c r="AC6" s="123" t="inlineStr">
        <is>
          <t>R</t>
        </is>
      </c>
      <c r="AD6" s="123" t="inlineStr">
        <is>
          <t>R</t>
        </is>
      </c>
      <c r="AE6" s="123" t="inlineStr">
        <is>
          <t>D</t>
        </is>
      </c>
      <c r="AF6" s="123" t="inlineStr">
        <is>
          <t>D</t>
        </is>
      </c>
      <c r="AG6" s="123" t="inlineStr">
        <is>
          <t>D</t>
        </is>
      </c>
      <c r="AH6" s="125" t="inlineStr">
        <is>
          <t>D</t>
        </is>
      </c>
      <c r="AI6" s="126" t="n"/>
      <c r="BA6">
        <f>SUBSTITUTE(SUBSTITUTE(SUBSTITUTE(SUBSTITUTE(SUBSTITUTE(SUBSTITUTE(SUBSTITUTE(SUBSTITUTE(SUBSTITUTE(SUBSTITUTE(SUBSTITUTE(SUBSTITUTE(SUBSTITUTE(SUBSTITUTE(TRIM($AO$2&amp;""),"٠","0"),"١","1"),"٢","2"),"٣","3"),"٤","4"),"٥","5"),"٦","6"),"٧","7"),"٨","8"),"٩","9"),"-","/"),".","/"),"\\","/")," ","")</f>
        <v/>
      </c>
    </row>
    <row r="7" ht="16.2" customHeight="1" thickBot="1">
      <c r="A7" s="119" t="n">
        <v>3</v>
      </c>
      <c r="B7" s="120" t="inlineStr">
        <is>
          <t>13007276</t>
        </is>
      </c>
      <c r="C7" s="121" t="inlineStr">
        <is>
          <t>MOHAMMED BAROOM</t>
        </is>
      </c>
      <c r="D7" s="120" t="inlineStr">
        <is>
          <t>TECH</t>
        </is>
      </c>
      <c r="E7" s="123" t="inlineStr">
        <is>
          <t>D</t>
        </is>
      </c>
      <c r="F7" s="123" t="inlineStr">
        <is>
          <t>D</t>
        </is>
      </c>
      <c r="G7" s="124" t="inlineStr">
        <is>
          <t>D</t>
        </is>
      </c>
      <c r="H7" s="123" t="inlineStr">
        <is>
          <t>R</t>
        </is>
      </c>
      <c r="I7" s="123" t="inlineStr">
        <is>
          <t>R</t>
        </is>
      </c>
      <c r="J7" s="123" t="inlineStr">
        <is>
          <t>D</t>
        </is>
      </c>
      <c r="K7" s="123" t="inlineStr">
        <is>
          <t>D</t>
        </is>
      </c>
      <c r="L7" s="123" t="inlineStr">
        <is>
          <t>D</t>
        </is>
      </c>
      <c r="M7" s="123" t="inlineStr">
        <is>
          <t>D</t>
        </is>
      </c>
      <c r="N7" s="123" t="inlineStr">
        <is>
          <t>D</t>
        </is>
      </c>
      <c r="O7" s="123" t="inlineStr">
        <is>
          <t>R</t>
        </is>
      </c>
      <c r="P7" s="123" t="inlineStr">
        <is>
          <t>R</t>
        </is>
      </c>
      <c r="Q7" s="123" t="inlineStr">
        <is>
          <t>R</t>
        </is>
      </c>
      <c r="R7" s="123" t="inlineStr">
        <is>
          <t>R</t>
        </is>
      </c>
      <c r="S7" s="123" t="inlineStr">
        <is>
          <t>D</t>
        </is>
      </c>
      <c r="T7" s="123" t="inlineStr">
        <is>
          <t>D</t>
        </is>
      </c>
      <c r="U7" s="123" t="inlineStr">
        <is>
          <t>D</t>
        </is>
      </c>
      <c r="V7" s="123" t="inlineStr">
        <is>
          <t>D</t>
        </is>
      </c>
      <c r="W7" s="123" t="inlineStr">
        <is>
          <t>D</t>
        </is>
      </c>
      <c r="X7" s="123" t="inlineStr">
        <is>
          <t>R</t>
        </is>
      </c>
      <c r="Y7" s="123" t="inlineStr">
        <is>
          <t>R</t>
        </is>
      </c>
      <c r="Z7" s="123" t="inlineStr">
        <is>
          <t>D</t>
        </is>
      </c>
      <c r="AA7" s="123" t="inlineStr">
        <is>
          <t>D</t>
        </is>
      </c>
      <c r="AB7" s="123" t="inlineStr">
        <is>
          <t>D</t>
        </is>
      </c>
      <c r="AC7" s="123" t="inlineStr">
        <is>
          <t>D</t>
        </is>
      </c>
      <c r="AD7" s="123" t="inlineStr">
        <is>
          <t>D</t>
        </is>
      </c>
      <c r="AE7" s="123" t="inlineStr">
        <is>
          <t>R</t>
        </is>
      </c>
      <c r="AF7" s="123" t="inlineStr">
        <is>
          <t>R</t>
        </is>
      </c>
      <c r="AG7" s="123" t="inlineStr">
        <is>
          <t>D</t>
        </is>
      </c>
      <c r="AH7" s="125" t="inlineStr">
        <is>
          <t>D</t>
        </is>
      </c>
      <c r="AI7" s="126" t="n"/>
      <c r="BA7">
        <f>IFERROR(FIND("/",$BA$6),0)</f>
        <v/>
      </c>
    </row>
    <row r="8" ht="16.2" customHeight="1" thickBot="1">
      <c r="A8" s="119" t="n">
        <v>4</v>
      </c>
      <c r="B8" s="120" t="inlineStr">
        <is>
          <t>30003362</t>
        </is>
      </c>
      <c r="C8" s="121" t="inlineStr">
        <is>
          <t>AYMAN HAMED</t>
        </is>
      </c>
      <c r="D8" s="120" t="inlineStr">
        <is>
          <t>TECH</t>
        </is>
      </c>
      <c r="E8" s="123" t="inlineStr">
        <is>
          <t>T</t>
        </is>
      </c>
      <c r="F8" s="123" t="inlineStr">
        <is>
          <t>T</t>
        </is>
      </c>
      <c r="G8" s="124" t="inlineStr">
        <is>
          <t>T</t>
        </is>
      </c>
      <c r="H8" s="123" t="inlineStr">
        <is>
          <t>R</t>
        </is>
      </c>
      <c r="I8" s="123" t="inlineStr">
        <is>
          <t>R</t>
        </is>
      </c>
      <c r="J8" s="123" t="inlineStr">
        <is>
          <t>T</t>
        </is>
      </c>
      <c r="K8" s="123" t="inlineStr">
        <is>
          <t>T</t>
        </is>
      </c>
      <c r="L8" s="123" t="inlineStr">
        <is>
          <t>T</t>
        </is>
      </c>
      <c r="M8" s="123" t="inlineStr">
        <is>
          <t>T</t>
        </is>
      </c>
      <c r="N8" s="123" t="inlineStr">
        <is>
          <t>T</t>
        </is>
      </c>
      <c r="O8" s="123" t="inlineStr">
        <is>
          <t>R</t>
        </is>
      </c>
      <c r="P8" s="123" t="inlineStr">
        <is>
          <t>R</t>
        </is>
      </c>
      <c r="Q8" s="123" t="inlineStr">
        <is>
          <t>R</t>
        </is>
      </c>
      <c r="R8" s="123" t="inlineStr">
        <is>
          <t>R</t>
        </is>
      </c>
      <c r="S8" s="123" t="inlineStr">
        <is>
          <t>D</t>
        </is>
      </c>
      <c r="T8" s="123" t="inlineStr">
        <is>
          <t>D</t>
        </is>
      </c>
      <c r="U8" s="123" t="inlineStr">
        <is>
          <t>D</t>
        </is>
      </c>
      <c r="V8" s="123" t="inlineStr">
        <is>
          <t>D</t>
        </is>
      </c>
      <c r="W8" s="123" t="inlineStr">
        <is>
          <t>D</t>
        </is>
      </c>
      <c r="X8" s="123" t="inlineStr">
        <is>
          <t>R</t>
        </is>
      </c>
      <c r="Y8" s="123" t="inlineStr">
        <is>
          <t>R</t>
        </is>
      </c>
      <c r="Z8" s="123" t="inlineStr">
        <is>
          <t>D</t>
        </is>
      </c>
      <c r="AA8" s="123" t="inlineStr">
        <is>
          <t>D</t>
        </is>
      </c>
      <c r="AB8" s="123" t="inlineStr">
        <is>
          <t>D</t>
        </is>
      </c>
      <c r="AC8" s="123" t="inlineStr">
        <is>
          <t>D</t>
        </is>
      </c>
      <c r="AD8" s="123" t="inlineStr">
        <is>
          <t>D</t>
        </is>
      </c>
      <c r="AE8" s="123" t="inlineStr">
        <is>
          <t>R</t>
        </is>
      </c>
      <c r="AF8" s="123" t="inlineStr">
        <is>
          <t>R</t>
        </is>
      </c>
      <c r="AG8" s="123" t="inlineStr">
        <is>
          <t>D</t>
        </is>
      </c>
      <c r="AH8" s="125" t="inlineStr">
        <is>
          <t>D</t>
        </is>
      </c>
      <c r="AI8" s="126" t="n"/>
      <c r="BA8">
        <f>IFERROR(FIND("/",$BA$6,$BA$7+1),0)</f>
        <v/>
      </c>
    </row>
    <row r="9" ht="16.2" customHeight="1" thickBot="1">
      <c r="A9" s="119" t="n">
        <v>5</v>
      </c>
      <c r="B9" s="120" t="inlineStr">
        <is>
          <t>30001774</t>
        </is>
      </c>
      <c r="C9" s="121" t="inlineStr">
        <is>
          <t>SAAD ABDULAZIZ ALQAHTANI</t>
        </is>
      </c>
      <c r="D9" s="120" t="inlineStr">
        <is>
          <t>OJT</t>
        </is>
      </c>
      <c r="E9" s="123" t="inlineStr">
        <is>
          <t>T</t>
        </is>
      </c>
      <c r="F9" s="123" t="inlineStr">
        <is>
          <t>T</t>
        </is>
      </c>
      <c r="G9" s="124" t="inlineStr">
        <is>
          <t>T</t>
        </is>
      </c>
      <c r="H9" s="123" t="inlineStr">
        <is>
          <t>R</t>
        </is>
      </c>
      <c r="I9" s="123" t="inlineStr">
        <is>
          <t>R</t>
        </is>
      </c>
      <c r="J9" s="123" t="inlineStr">
        <is>
          <t>T</t>
        </is>
      </c>
      <c r="K9" s="123" t="inlineStr">
        <is>
          <t>T</t>
        </is>
      </c>
      <c r="L9" s="123" t="inlineStr">
        <is>
          <t>T</t>
        </is>
      </c>
      <c r="M9" s="123" t="inlineStr">
        <is>
          <t>T</t>
        </is>
      </c>
      <c r="N9" s="123" t="inlineStr">
        <is>
          <t>T</t>
        </is>
      </c>
      <c r="O9" s="123" t="inlineStr">
        <is>
          <t>R</t>
        </is>
      </c>
      <c r="P9" s="123" t="inlineStr">
        <is>
          <t>R</t>
        </is>
      </c>
      <c r="Q9" s="123" t="inlineStr">
        <is>
          <t>D</t>
        </is>
      </c>
      <c r="R9" s="123" t="inlineStr">
        <is>
          <t>D</t>
        </is>
      </c>
      <c r="S9" s="123" t="inlineStr">
        <is>
          <t>D</t>
        </is>
      </c>
      <c r="T9" s="123" t="inlineStr">
        <is>
          <t>D</t>
        </is>
      </c>
      <c r="U9" s="123" t="inlineStr">
        <is>
          <t>D</t>
        </is>
      </c>
      <c r="V9" s="123" t="inlineStr">
        <is>
          <t>R</t>
        </is>
      </c>
      <c r="W9" s="123" t="inlineStr">
        <is>
          <t>R</t>
        </is>
      </c>
      <c r="X9" s="123" t="inlineStr">
        <is>
          <t>D</t>
        </is>
      </c>
      <c r="Y9" s="123" t="inlineStr">
        <is>
          <t>D</t>
        </is>
      </c>
      <c r="Z9" s="123" t="inlineStr">
        <is>
          <t>D</t>
        </is>
      </c>
      <c r="AA9" s="123" t="inlineStr">
        <is>
          <t>D</t>
        </is>
      </c>
      <c r="AB9" s="123" t="inlineStr">
        <is>
          <t>D</t>
        </is>
      </c>
      <c r="AC9" s="123" t="inlineStr">
        <is>
          <t>R</t>
        </is>
      </c>
      <c r="AD9" s="123" t="inlineStr">
        <is>
          <t>R</t>
        </is>
      </c>
      <c r="AE9" s="123" t="inlineStr">
        <is>
          <t>D</t>
        </is>
      </c>
      <c r="AF9" s="123" t="inlineStr">
        <is>
          <t>D</t>
        </is>
      </c>
      <c r="AG9" s="123" t="inlineStr">
        <is>
          <t>D</t>
        </is>
      </c>
      <c r="AH9" s="125" t="inlineStr">
        <is>
          <t>D</t>
        </is>
      </c>
      <c r="AI9" s="126" t="n"/>
      <c r="BA9">
        <f>IFERROR(VALUE(LEFT($BA$6,$BA$7-1)),"")</f>
        <v/>
      </c>
    </row>
    <row r="10" ht="16.2" customHeight="1" thickBot="1">
      <c r="A10" s="128" t="n">
        <v>6</v>
      </c>
      <c r="B10" s="120" t="inlineStr">
        <is>
          <t>30001366</t>
        </is>
      </c>
      <c r="C10" s="121" t="inlineStr">
        <is>
          <t>ABDULAZIZ ZAKOUR</t>
        </is>
      </c>
      <c r="D10" s="120" t="inlineStr">
        <is>
          <t>TECH</t>
        </is>
      </c>
      <c r="E10" s="123" t="inlineStr">
        <is>
          <t>T</t>
        </is>
      </c>
      <c r="F10" s="123" t="inlineStr">
        <is>
          <t>T</t>
        </is>
      </c>
      <c r="G10" s="124" t="inlineStr">
        <is>
          <t>T</t>
        </is>
      </c>
      <c r="H10" s="123" t="inlineStr">
        <is>
          <t>T</t>
        </is>
      </c>
      <c r="I10" s="123" t="inlineStr">
        <is>
          <t>T</t>
        </is>
      </c>
      <c r="J10" s="123" t="inlineStr">
        <is>
          <t>R</t>
        </is>
      </c>
      <c r="K10" s="123" t="inlineStr">
        <is>
          <t>R</t>
        </is>
      </c>
      <c r="L10" s="123" t="inlineStr">
        <is>
          <t>T</t>
        </is>
      </c>
      <c r="M10" s="123" t="inlineStr">
        <is>
          <t>T</t>
        </is>
      </c>
      <c r="N10" s="123" t="inlineStr">
        <is>
          <t>T</t>
        </is>
      </c>
      <c r="O10" s="123" t="inlineStr">
        <is>
          <t>T</t>
        </is>
      </c>
      <c r="P10" s="123" t="inlineStr">
        <is>
          <t>T</t>
        </is>
      </c>
      <c r="Q10" s="123" t="inlineStr">
        <is>
          <t>R</t>
        </is>
      </c>
      <c r="R10" s="123" t="inlineStr">
        <is>
          <t>R</t>
        </is>
      </c>
      <c r="S10" s="123" t="inlineStr">
        <is>
          <t>D</t>
        </is>
      </c>
      <c r="T10" s="123" t="inlineStr">
        <is>
          <t>D</t>
        </is>
      </c>
      <c r="U10" s="123" t="inlineStr">
        <is>
          <t>D</t>
        </is>
      </c>
      <c r="V10" s="123" t="inlineStr">
        <is>
          <t>D</t>
        </is>
      </c>
      <c r="W10" s="123" t="inlineStr">
        <is>
          <t>D</t>
        </is>
      </c>
      <c r="X10" s="123" t="inlineStr">
        <is>
          <t>R</t>
        </is>
      </c>
      <c r="Y10" s="123" t="inlineStr">
        <is>
          <t>R</t>
        </is>
      </c>
      <c r="Z10" s="123" t="inlineStr">
        <is>
          <t>D</t>
        </is>
      </c>
      <c r="AA10" s="123" t="inlineStr">
        <is>
          <t>D</t>
        </is>
      </c>
      <c r="AB10" s="123" t="inlineStr">
        <is>
          <t>D</t>
        </is>
      </c>
      <c r="AC10" s="123" t="inlineStr">
        <is>
          <t>D</t>
        </is>
      </c>
      <c r="AD10" s="123" t="inlineStr">
        <is>
          <t>D</t>
        </is>
      </c>
      <c r="AE10" s="123" t="inlineStr">
        <is>
          <t>R</t>
        </is>
      </c>
      <c r="AF10" s="123" t="inlineStr">
        <is>
          <t>R</t>
        </is>
      </c>
      <c r="AG10" s="123" t="inlineStr">
        <is>
          <t>D</t>
        </is>
      </c>
      <c r="AH10" s="125" t="inlineStr">
        <is>
          <t>D</t>
        </is>
      </c>
      <c r="AI10" s="126" t="n"/>
      <c r="BA10">
        <f>IFERROR(VALUE(MID($BA$6,$BA$7+1,$BA$8-$BA$7-1)),"")</f>
        <v/>
      </c>
    </row>
    <row r="11" ht="16.2" customHeight="1" thickBot="1">
      <c r="A11" s="128" t="n">
        <v>7</v>
      </c>
      <c r="B11" s="120" t="inlineStr">
        <is>
          <t>70010082</t>
        </is>
      </c>
      <c r="C11" s="121" t="inlineStr">
        <is>
          <t>MOHAMMAD KAIFI</t>
        </is>
      </c>
      <c r="D11" s="120" t="inlineStr">
        <is>
          <t>TECH</t>
        </is>
      </c>
      <c r="E11" s="123" t="inlineStr">
        <is>
          <t>T</t>
        </is>
      </c>
      <c r="F11" s="123" t="inlineStr">
        <is>
          <t>T</t>
        </is>
      </c>
      <c r="G11" s="124" t="inlineStr">
        <is>
          <t>T</t>
        </is>
      </c>
      <c r="H11" s="123" t="inlineStr">
        <is>
          <t>T</t>
        </is>
      </c>
      <c r="I11" s="123" t="inlineStr">
        <is>
          <t>T</t>
        </is>
      </c>
      <c r="J11" s="123" t="inlineStr">
        <is>
          <t>R</t>
        </is>
      </c>
      <c r="K11" s="123" t="inlineStr">
        <is>
          <t>R</t>
        </is>
      </c>
      <c r="L11" s="123" t="inlineStr">
        <is>
          <t>T</t>
        </is>
      </c>
      <c r="M11" s="123" t="inlineStr">
        <is>
          <t>T</t>
        </is>
      </c>
      <c r="N11" s="123" t="inlineStr">
        <is>
          <t>T</t>
        </is>
      </c>
      <c r="O11" s="123" t="inlineStr">
        <is>
          <t>T</t>
        </is>
      </c>
      <c r="P11" s="123" t="inlineStr">
        <is>
          <t>T</t>
        </is>
      </c>
      <c r="Q11" s="123" t="inlineStr">
        <is>
          <t>R</t>
        </is>
      </c>
      <c r="R11" s="123" t="inlineStr">
        <is>
          <t>R</t>
        </is>
      </c>
      <c r="S11" s="123" t="inlineStr">
        <is>
          <t>D</t>
        </is>
      </c>
      <c r="T11" s="123" t="inlineStr">
        <is>
          <t>D</t>
        </is>
      </c>
      <c r="U11" s="123" t="inlineStr">
        <is>
          <t>D</t>
        </is>
      </c>
      <c r="V11" s="123" t="inlineStr">
        <is>
          <t>D</t>
        </is>
      </c>
      <c r="W11" s="123" t="inlineStr">
        <is>
          <t>D</t>
        </is>
      </c>
      <c r="X11" s="123" t="inlineStr">
        <is>
          <t>R</t>
        </is>
      </c>
      <c r="Y11" s="123" t="inlineStr">
        <is>
          <t>R</t>
        </is>
      </c>
      <c r="Z11" s="123" t="inlineStr">
        <is>
          <t>D</t>
        </is>
      </c>
      <c r="AA11" s="123" t="inlineStr">
        <is>
          <t>D</t>
        </is>
      </c>
      <c r="AB11" s="123" t="inlineStr">
        <is>
          <t>D</t>
        </is>
      </c>
      <c r="AC11" s="123" t="inlineStr">
        <is>
          <t>D</t>
        </is>
      </c>
      <c r="AD11" s="123" t="inlineStr">
        <is>
          <t>D</t>
        </is>
      </c>
      <c r="AE11" s="123" t="inlineStr">
        <is>
          <t>R</t>
        </is>
      </c>
      <c r="AF11" s="123" t="inlineStr">
        <is>
          <t>R</t>
        </is>
      </c>
      <c r="AG11" s="123" t="inlineStr">
        <is>
          <t>D</t>
        </is>
      </c>
      <c r="AH11" s="125" t="inlineStr">
        <is>
          <t>D</t>
        </is>
      </c>
      <c r="AI11" s="126" t="n"/>
      <c r="BA11">
        <f>IFERROR(VALUE(MID($BA$6,$BA$8+1,9)),"")</f>
        <v/>
      </c>
    </row>
    <row r="12" ht="16.2" customHeight="1" thickBot="1">
      <c r="A12" s="128" t="n">
        <v>8</v>
      </c>
      <c r="B12" s="120" t="inlineStr">
        <is>
          <t>30001593</t>
        </is>
      </c>
      <c r="C12" s="121" t="inlineStr">
        <is>
          <t>FYSAL M. ALEDAINI</t>
        </is>
      </c>
      <c r="D12" s="120" t="inlineStr">
        <is>
          <t>OJT</t>
        </is>
      </c>
      <c r="E12" s="123" t="inlineStr">
        <is>
          <t>T</t>
        </is>
      </c>
      <c r="F12" s="123" t="inlineStr">
        <is>
          <t>T</t>
        </is>
      </c>
      <c r="G12" s="124" t="inlineStr">
        <is>
          <t>T</t>
        </is>
      </c>
      <c r="H12" s="123" t="inlineStr">
        <is>
          <t>R</t>
        </is>
      </c>
      <c r="I12" s="123" t="inlineStr">
        <is>
          <t>R</t>
        </is>
      </c>
      <c r="J12" s="123" t="inlineStr">
        <is>
          <t>T</t>
        </is>
      </c>
      <c r="K12" s="123" t="inlineStr">
        <is>
          <t>T</t>
        </is>
      </c>
      <c r="L12" s="123" t="inlineStr">
        <is>
          <t>T</t>
        </is>
      </c>
      <c r="M12" s="123" t="inlineStr">
        <is>
          <t>T</t>
        </is>
      </c>
      <c r="N12" s="123" t="inlineStr">
        <is>
          <t>T</t>
        </is>
      </c>
      <c r="O12" s="123" t="inlineStr">
        <is>
          <t>R</t>
        </is>
      </c>
      <c r="P12" s="123" t="inlineStr">
        <is>
          <t>R</t>
        </is>
      </c>
      <c r="Q12" s="123" t="inlineStr">
        <is>
          <t>D</t>
        </is>
      </c>
      <c r="R12" s="123" t="inlineStr">
        <is>
          <t>D</t>
        </is>
      </c>
      <c r="S12" s="123" t="inlineStr">
        <is>
          <t>D</t>
        </is>
      </c>
      <c r="T12" s="123" t="inlineStr">
        <is>
          <t>D</t>
        </is>
      </c>
      <c r="U12" s="123" t="inlineStr">
        <is>
          <t>D</t>
        </is>
      </c>
      <c r="V12" s="123" t="inlineStr">
        <is>
          <t>R</t>
        </is>
      </c>
      <c r="W12" s="123" t="inlineStr">
        <is>
          <t>R</t>
        </is>
      </c>
      <c r="X12" s="123" t="inlineStr">
        <is>
          <t>D</t>
        </is>
      </c>
      <c r="Y12" s="123" t="inlineStr">
        <is>
          <t>D</t>
        </is>
      </c>
      <c r="Z12" s="123" t="inlineStr">
        <is>
          <t>D</t>
        </is>
      </c>
      <c r="AA12" s="123" t="inlineStr">
        <is>
          <t>D</t>
        </is>
      </c>
      <c r="AB12" s="123" t="inlineStr">
        <is>
          <t>D</t>
        </is>
      </c>
      <c r="AC12" s="123" t="inlineStr">
        <is>
          <t>R</t>
        </is>
      </c>
      <c r="AD12" s="123" t="inlineStr">
        <is>
          <t>R</t>
        </is>
      </c>
      <c r="AE12" s="123" t="inlineStr">
        <is>
          <t>D</t>
        </is>
      </c>
      <c r="AF12" s="123" t="inlineStr">
        <is>
          <t>D</t>
        </is>
      </c>
      <c r="AG12" s="123" t="inlineStr">
        <is>
          <t>D</t>
        </is>
      </c>
      <c r="AH12" s="125" t="inlineStr">
        <is>
          <t>D</t>
        </is>
      </c>
      <c r="AI12" s="126" t="n"/>
      <c r="BA12">
        <f>SUBSTITUTE(SUBSTITUTE(SUBSTITUTE(SUBSTITUTE(SUBSTITUTE(SUBSTITUTE(SUBSTITUTE(SUBSTITUTE(SUBSTITUTE(SUBSTITUTE(SUBSTITUTE(SUBSTITUTE(SUBSTITUTE(SUBSTITUTE(TRIM($AO$3&amp;""),"٠","0"),"١","1"),"٢","2"),"٣","3"),"٤","4"),"٥","5"),"٦","6"),"٧","7"),"٨","8"),"٩","9"),"-","/"),".","/"),"\\","/")," ","")</f>
        <v/>
      </c>
    </row>
    <row r="13" ht="16.2" customHeight="1" thickBot="1">
      <c r="A13" s="128" t="n">
        <v>9</v>
      </c>
      <c r="B13" s="120" t="inlineStr">
        <is>
          <t>30005295</t>
        </is>
      </c>
      <c r="C13" s="121" t="inlineStr">
        <is>
          <t>RODEL CLEMENTE</t>
        </is>
      </c>
      <c r="D13" s="120" t="inlineStr">
        <is>
          <t>TECH</t>
        </is>
      </c>
      <c r="E13" s="123" t="inlineStr">
        <is>
          <t>T</t>
        </is>
      </c>
      <c r="F13" s="123" t="inlineStr">
        <is>
          <t>T</t>
        </is>
      </c>
      <c r="G13" s="124" t="inlineStr">
        <is>
          <t>T</t>
        </is>
      </c>
      <c r="H13" s="123" t="inlineStr">
        <is>
          <t>R</t>
        </is>
      </c>
      <c r="I13" s="123" t="inlineStr">
        <is>
          <t>R</t>
        </is>
      </c>
      <c r="J13" s="123" t="inlineStr">
        <is>
          <t>T</t>
        </is>
      </c>
      <c r="K13" s="123" t="inlineStr">
        <is>
          <t>T</t>
        </is>
      </c>
      <c r="L13" s="123" t="inlineStr">
        <is>
          <t>T</t>
        </is>
      </c>
      <c r="M13" s="123" t="inlineStr">
        <is>
          <t>T</t>
        </is>
      </c>
      <c r="N13" s="123" t="inlineStr">
        <is>
          <t>T</t>
        </is>
      </c>
      <c r="O13" s="123" t="inlineStr">
        <is>
          <t>R</t>
        </is>
      </c>
      <c r="P13" s="123" t="inlineStr">
        <is>
          <t>R</t>
        </is>
      </c>
      <c r="Q13" s="123" t="inlineStr">
        <is>
          <t>D</t>
        </is>
      </c>
      <c r="R13" s="123" t="inlineStr">
        <is>
          <t>D</t>
        </is>
      </c>
      <c r="S13" s="123" t="inlineStr">
        <is>
          <t>D</t>
        </is>
      </c>
      <c r="T13" s="123" t="inlineStr">
        <is>
          <t>D</t>
        </is>
      </c>
      <c r="U13" s="123" t="inlineStr">
        <is>
          <t>D</t>
        </is>
      </c>
      <c r="V13" s="123" t="inlineStr">
        <is>
          <t>R</t>
        </is>
      </c>
      <c r="W13" s="123" t="inlineStr">
        <is>
          <t>R</t>
        </is>
      </c>
      <c r="X13" s="123" t="inlineStr">
        <is>
          <t>D</t>
        </is>
      </c>
      <c r="Y13" s="123" t="inlineStr">
        <is>
          <t>D</t>
        </is>
      </c>
      <c r="Z13" s="123" t="inlineStr">
        <is>
          <t>D</t>
        </is>
      </c>
      <c r="AA13" s="123" t="inlineStr">
        <is>
          <t>D</t>
        </is>
      </c>
      <c r="AB13" s="123" t="inlineStr">
        <is>
          <t>D</t>
        </is>
      </c>
      <c r="AC13" s="123" t="inlineStr">
        <is>
          <t>R</t>
        </is>
      </c>
      <c r="AD13" s="123" t="inlineStr">
        <is>
          <t>R</t>
        </is>
      </c>
      <c r="AE13" s="123" t="inlineStr">
        <is>
          <t>D</t>
        </is>
      </c>
      <c r="AF13" s="123" t="inlineStr">
        <is>
          <t>D</t>
        </is>
      </c>
      <c r="AG13" s="123" t="inlineStr">
        <is>
          <t>D</t>
        </is>
      </c>
      <c r="AH13" s="125" t="inlineStr">
        <is>
          <t>D</t>
        </is>
      </c>
      <c r="AI13" s="126" t="n"/>
    </row>
    <row r="14" ht="16.2" customHeight="1" thickBot="1">
      <c r="A14" s="128" t="n">
        <v>10</v>
      </c>
      <c r="B14" s="120" t="inlineStr">
        <is>
          <t>30004434</t>
        </is>
      </c>
      <c r="C14" s="121" t="inlineStr">
        <is>
          <t>EID ALRFEA</t>
        </is>
      </c>
      <c r="D14" s="120" t="inlineStr">
        <is>
          <t>TECH</t>
        </is>
      </c>
      <c r="E14" s="129" t="inlineStr">
        <is>
          <t>T</t>
        </is>
      </c>
      <c r="F14" s="129" t="inlineStr">
        <is>
          <t>T</t>
        </is>
      </c>
      <c r="G14" s="129" t="inlineStr">
        <is>
          <t>T</t>
        </is>
      </c>
      <c r="H14" s="129" t="inlineStr">
        <is>
          <t>R</t>
        </is>
      </c>
      <c r="I14" s="129" t="inlineStr">
        <is>
          <t>R</t>
        </is>
      </c>
      <c r="J14" s="129" t="inlineStr">
        <is>
          <t>T</t>
        </is>
      </c>
      <c r="K14" s="129" t="inlineStr">
        <is>
          <t>T</t>
        </is>
      </c>
      <c r="L14" s="129" t="inlineStr">
        <is>
          <t>T</t>
        </is>
      </c>
      <c r="M14" s="129" t="inlineStr">
        <is>
          <t>T</t>
        </is>
      </c>
      <c r="N14" s="129" t="inlineStr">
        <is>
          <t>T</t>
        </is>
      </c>
      <c r="O14" s="129" t="inlineStr">
        <is>
          <t>R</t>
        </is>
      </c>
      <c r="P14" s="129" t="inlineStr">
        <is>
          <t>R</t>
        </is>
      </c>
      <c r="Q14" s="129" t="inlineStr">
        <is>
          <t>D</t>
        </is>
      </c>
      <c r="R14" s="129" t="inlineStr">
        <is>
          <t>D</t>
        </is>
      </c>
      <c r="S14" s="129" t="inlineStr">
        <is>
          <t>D</t>
        </is>
      </c>
      <c r="T14" s="129" t="inlineStr">
        <is>
          <t>D</t>
        </is>
      </c>
      <c r="U14" s="129" t="inlineStr">
        <is>
          <t>D</t>
        </is>
      </c>
      <c r="V14" s="129" t="inlineStr">
        <is>
          <t>R</t>
        </is>
      </c>
      <c r="W14" s="129" t="inlineStr">
        <is>
          <t>R</t>
        </is>
      </c>
      <c r="X14" s="129" t="inlineStr">
        <is>
          <t>D</t>
        </is>
      </c>
      <c r="Y14" s="129" t="inlineStr">
        <is>
          <t>D</t>
        </is>
      </c>
      <c r="Z14" s="129" t="inlineStr">
        <is>
          <t>D</t>
        </is>
      </c>
      <c r="AA14" s="129" t="inlineStr">
        <is>
          <t>D</t>
        </is>
      </c>
      <c r="AB14" s="129" t="inlineStr">
        <is>
          <t>D</t>
        </is>
      </c>
      <c r="AC14" s="129" t="inlineStr">
        <is>
          <t>R</t>
        </is>
      </c>
      <c r="AD14" s="129" t="inlineStr">
        <is>
          <t>R</t>
        </is>
      </c>
      <c r="AE14" s="129" t="inlineStr">
        <is>
          <t>D</t>
        </is>
      </c>
      <c r="AF14" s="129" t="inlineStr">
        <is>
          <t>D</t>
        </is>
      </c>
      <c r="AG14" s="129" t="inlineStr">
        <is>
          <t>D</t>
        </is>
      </c>
      <c r="AH14" s="129" t="inlineStr">
        <is>
          <t>D</t>
        </is>
      </c>
      <c r="AI14" s="126" t="n"/>
    </row>
    <row r="15" ht="16.2" customHeight="1" thickBot="1">
      <c r="A15" s="128" t="n">
        <v>11</v>
      </c>
      <c r="B15" s="120" t="inlineStr">
        <is>
          <t>30003471</t>
        </is>
      </c>
      <c r="C15" s="121" t="inlineStr">
        <is>
          <t>MUHAMMED ALOQBI</t>
        </is>
      </c>
      <c r="D15" s="120" t="inlineStr">
        <is>
          <t>TECH</t>
        </is>
      </c>
      <c r="E15" s="123" t="inlineStr">
        <is>
          <t>T</t>
        </is>
      </c>
      <c r="F15" s="123" t="inlineStr">
        <is>
          <t>T</t>
        </is>
      </c>
      <c r="G15" s="124" t="inlineStr">
        <is>
          <t>T</t>
        </is>
      </c>
      <c r="H15" s="123" t="inlineStr">
        <is>
          <t>R</t>
        </is>
      </c>
      <c r="I15" s="123" t="inlineStr">
        <is>
          <t>R</t>
        </is>
      </c>
      <c r="J15" s="123" t="inlineStr">
        <is>
          <t>T</t>
        </is>
      </c>
      <c r="K15" s="123" t="inlineStr">
        <is>
          <t>T</t>
        </is>
      </c>
      <c r="L15" s="123" t="inlineStr">
        <is>
          <t>T</t>
        </is>
      </c>
      <c r="M15" s="123" t="inlineStr">
        <is>
          <t>T</t>
        </is>
      </c>
      <c r="N15" s="123" t="inlineStr">
        <is>
          <t>T</t>
        </is>
      </c>
      <c r="O15" s="123" t="inlineStr">
        <is>
          <t>R</t>
        </is>
      </c>
      <c r="P15" s="123" t="inlineStr">
        <is>
          <t>R</t>
        </is>
      </c>
      <c r="Q15" s="123" t="inlineStr">
        <is>
          <t>D</t>
        </is>
      </c>
      <c r="R15" s="123" t="inlineStr">
        <is>
          <t>D</t>
        </is>
      </c>
      <c r="S15" s="123" t="inlineStr">
        <is>
          <t>D</t>
        </is>
      </c>
      <c r="T15" s="123" t="inlineStr">
        <is>
          <t>D</t>
        </is>
      </c>
      <c r="U15" s="123" t="inlineStr">
        <is>
          <t>D</t>
        </is>
      </c>
      <c r="V15" s="123" t="inlineStr">
        <is>
          <t>R</t>
        </is>
      </c>
      <c r="W15" s="123" t="inlineStr">
        <is>
          <t>R</t>
        </is>
      </c>
      <c r="X15" s="123" t="inlineStr">
        <is>
          <t>D</t>
        </is>
      </c>
      <c r="Y15" s="123" t="inlineStr">
        <is>
          <t>D</t>
        </is>
      </c>
      <c r="Z15" s="123" t="inlineStr">
        <is>
          <t>D</t>
        </is>
      </c>
      <c r="AA15" s="123" t="inlineStr">
        <is>
          <t>D</t>
        </is>
      </c>
      <c r="AB15" s="123" t="inlineStr">
        <is>
          <t>D</t>
        </is>
      </c>
      <c r="AC15" s="123" t="inlineStr">
        <is>
          <t>R</t>
        </is>
      </c>
      <c r="AD15" s="123" t="inlineStr">
        <is>
          <t>R</t>
        </is>
      </c>
      <c r="AE15" s="123" t="inlineStr">
        <is>
          <t>D</t>
        </is>
      </c>
      <c r="AF15" s="123" t="inlineStr">
        <is>
          <t>D</t>
        </is>
      </c>
      <c r="AG15" s="123" t="inlineStr">
        <is>
          <t>D</t>
        </is>
      </c>
      <c r="AH15" s="125" t="inlineStr">
        <is>
          <t>D</t>
        </is>
      </c>
      <c r="AI15" s="126" t="n"/>
    </row>
    <row r="16" ht="16.2" customHeight="1" thickBot="1">
      <c r="A16" s="119" t="n">
        <v>12</v>
      </c>
      <c r="B16" s="120" t="inlineStr">
        <is>
          <t>30003605</t>
        </is>
      </c>
      <c r="C16" s="121" t="inlineStr">
        <is>
          <t>FAISAL MAQBUL</t>
        </is>
      </c>
      <c r="D16" s="130" t="inlineStr">
        <is>
          <t>TECH</t>
        </is>
      </c>
      <c r="E16" s="123" t="inlineStr">
        <is>
          <t>T</t>
        </is>
      </c>
      <c r="F16" s="123" t="inlineStr">
        <is>
          <t>T</t>
        </is>
      </c>
      <c r="G16" s="124" t="inlineStr">
        <is>
          <t>T</t>
        </is>
      </c>
      <c r="H16" s="123" t="inlineStr">
        <is>
          <t>R</t>
        </is>
      </c>
      <c r="I16" s="123" t="inlineStr">
        <is>
          <t>R</t>
        </is>
      </c>
      <c r="J16" s="123" t="inlineStr">
        <is>
          <t>T</t>
        </is>
      </c>
      <c r="K16" s="123" t="inlineStr">
        <is>
          <t>T</t>
        </is>
      </c>
      <c r="L16" s="123" t="inlineStr">
        <is>
          <t>T</t>
        </is>
      </c>
      <c r="M16" s="123" t="inlineStr">
        <is>
          <t>T</t>
        </is>
      </c>
      <c r="N16" s="123" t="inlineStr">
        <is>
          <t>T</t>
        </is>
      </c>
      <c r="O16" s="123" t="inlineStr">
        <is>
          <t>R</t>
        </is>
      </c>
      <c r="P16" s="123" t="inlineStr">
        <is>
          <t>R</t>
        </is>
      </c>
      <c r="Q16" s="123" t="inlineStr">
        <is>
          <t>D</t>
        </is>
      </c>
      <c r="R16" s="123" t="inlineStr">
        <is>
          <t>D</t>
        </is>
      </c>
      <c r="S16" s="123" t="inlineStr">
        <is>
          <t>D</t>
        </is>
      </c>
      <c r="T16" s="123" t="inlineStr">
        <is>
          <t>D</t>
        </is>
      </c>
      <c r="U16" s="123" t="inlineStr">
        <is>
          <t>D</t>
        </is>
      </c>
      <c r="V16" s="123" t="inlineStr">
        <is>
          <t>R</t>
        </is>
      </c>
      <c r="W16" s="123" t="inlineStr">
        <is>
          <t>R</t>
        </is>
      </c>
      <c r="X16" s="123" t="inlineStr">
        <is>
          <t>D</t>
        </is>
      </c>
      <c r="Y16" s="123" t="inlineStr">
        <is>
          <t>D</t>
        </is>
      </c>
      <c r="Z16" s="123" t="inlineStr">
        <is>
          <t>D</t>
        </is>
      </c>
      <c r="AA16" s="123" t="inlineStr">
        <is>
          <t>D</t>
        </is>
      </c>
      <c r="AB16" s="123" t="inlineStr">
        <is>
          <t>D</t>
        </is>
      </c>
      <c r="AC16" s="123" t="inlineStr">
        <is>
          <t>R</t>
        </is>
      </c>
      <c r="AD16" s="123" t="inlineStr">
        <is>
          <t>R</t>
        </is>
      </c>
      <c r="AE16" s="123" t="inlineStr">
        <is>
          <t>D</t>
        </is>
      </c>
      <c r="AF16" s="123" t="inlineStr">
        <is>
          <t>D</t>
        </is>
      </c>
      <c r="AG16" s="123" t="inlineStr">
        <is>
          <t>D</t>
        </is>
      </c>
      <c r="AH16" s="125" t="inlineStr">
        <is>
          <t>D</t>
        </is>
      </c>
      <c r="AI16" s="126" t="n"/>
    </row>
    <row r="17" ht="16.2" customHeight="1" thickBot="1">
      <c r="A17" s="119" t="n">
        <v>13</v>
      </c>
      <c r="B17" s="120" t="inlineStr">
        <is>
          <t>30003332</t>
        </is>
      </c>
      <c r="C17" s="121" t="inlineStr">
        <is>
          <t>FAHAD ALZAHRANI</t>
        </is>
      </c>
      <c r="D17" s="120" t="inlineStr">
        <is>
          <t>TECH</t>
        </is>
      </c>
      <c r="E17" s="123" t="inlineStr">
        <is>
          <t>T</t>
        </is>
      </c>
      <c r="F17" s="123" t="inlineStr">
        <is>
          <t>T</t>
        </is>
      </c>
      <c r="G17" s="124" t="inlineStr">
        <is>
          <t>T</t>
        </is>
      </c>
      <c r="H17" s="123" t="inlineStr">
        <is>
          <t>R</t>
        </is>
      </c>
      <c r="I17" s="123" t="inlineStr">
        <is>
          <t>R</t>
        </is>
      </c>
      <c r="J17" s="123" t="inlineStr">
        <is>
          <t>T</t>
        </is>
      </c>
      <c r="K17" s="123" t="inlineStr">
        <is>
          <t>T</t>
        </is>
      </c>
      <c r="L17" s="123" t="inlineStr">
        <is>
          <t>T</t>
        </is>
      </c>
      <c r="M17" s="123" t="inlineStr">
        <is>
          <t>T</t>
        </is>
      </c>
      <c r="N17" s="123" t="inlineStr">
        <is>
          <t>T</t>
        </is>
      </c>
      <c r="O17" s="123" t="inlineStr">
        <is>
          <t>R</t>
        </is>
      </c>
      <c r="P17" s="123" t="inlineStr">
        <is>
          <t>R</t>
        </is>
      </c>
      <c r="Q17" s="123" t="inlineStr">
        <is>
          <t>D</t>
        </is>
      </c>
      <c r="R17" s="123" t="inlineStr">
        <is>
          <t>D</t>
        </is>
      </c>
      <c r="S17" s="123" t="inlineStr">
        <is>
          <t>D</t>
        </is>
      </c>
      <c r="T17" s="123" t="inlineStr">
        <is>
          <t>D</t>
        </is>
      </c>
      <c r="U17" s="123" t="inlineStr">
        <is>
          <t>D</t>
        </is>
      </c>
      <c r="V17" s="123" t="inlineStr">
        <is>
          <t>R</t>
        </is>
      </c>
      <c r="W17" s="123" t="inlineStr">
        <is>
          <t>R</t>
        </is>
      </c>
      <c r="X17" s="123" t="inlineStr">
        <is>
          <t>D</t>
        </is>
      </c>
      <c r="Y17" s="123" t="inlineStr">
        <is>
          <t>D</t>
        </is>
      </c>
      <c r="Z17" s="123" t="inlineStr">
        <is>
          <t>D</t>
        </is>
      </c>
      <c r="AA17" s="123" t="inlineStr">
        <is>
          <t>D</t>
        </is>
      </c>
      <c r="AB17" s="123" t="inlineStr">
        <is>
          <t>D</t>
        </is>
      </c>
      <c r="AC17" s="123" t="inlineStr">
        <is>
          <t>R</t>
        </is>
      </c>
      <c r="AD17" s="123" t="inlineStr">
        <is>
          <t>R</t>
        </is>
      </c>
      <c r="AE17" s="123" t="inlineStr">
        <is>
          <t>D</t>
        </is>
      </c>
      <c r="AF17" s="123" t="inlineStr">
        <is>
          <t>D</t>
        </is>
      </c>
      <c r="AG17" s="123" t="inlineStr">
        <is>
          <t>D</t>
        </is>
      </c>
      <c r="AH17" s="125" t="inlineStr">
        <is>
          <t>D</t>
        </is>
      </c>
      <c r="AI17" s="126" t="n"/>
    </row>
    <row r="18" ht="16.2" customHeight="1" thickBot="1">
      <c r="A18" s="119" t="n">
        <v>14</v>
      </c>
      <c r="B18" s="120" t="inlineStr">
        <is>
          <t>30003319</t>
        </is>
      </c>
      <c r="C18" s="121" t="inlineStr">
        <is>
          <t>MANSOUR ALHARBI</t>
        </is>
      </c>
      <c r="D18" s="130" t="inlineStr">
        <is>
          <t>TECH</t>
        </is>
      </c>
      <c r="E18" s="123" t="inlineStr">
        <is>
          <t>T</t>
        </is>
      </c>
      <c r="F18" s="123" t="inlineStr">
        <is>
          <t>T</t>
        </is>
      </c>
      <c r="G18" s="124" t="inlineStr">
        <is>
          <t>T</t>
        </is>
      </c>
      <c r="H18" s="123" t="inlineStr">
        <is>
          <t>R</t>
        </is>
      </c>
      <c r="I18" s="123" t="inlineStr">
        <is>
          <t>R</t>
        </is>
      </c>
      <c r="J18" s="123" t="inlineStr">
        <is>
          <t>T</t>
        </is>
      </c>
      <c r="K18" s="123" t="inlineStr">
        <is>
          <t>T</t>
        </is>
      </c>
      <c r="L18" s="123" t="inlineStr">
        <is>
          <t>T</t>
        </is>
      </c>
      <c r="M18" s="123" t="inlineStr">
        <is>
          <t>T</t>
        </is>
      </c>
      <c r="N18" s="123" t="inlineStr">
        <is>
          <t>T</t>
        </is>
      </c>
      <c r="O18" s="123" t="inlineStr">
        <is>
          <t>R</t>
        </is>
      </c>
      <c r="P18" s="123" t="inlineStr">
        <is>
          <t>R</t>
        </is>
      </c>
      <c r="Q18" s="123" t="inlineStr">
        <is>
          <t>R</t>
        </is>
      </c>
      <c r="R18" s="123" t="inlineStr">
        <is>
          <t>R</t>
        </is>
      </c>
      <c r="S18" s="123" t="inlineStr">
        <is>
          <t>D</t>
        </is>
      </c>
      <c r="T18" s="123" t="inlineStr">
        <is>
          <t>D</t>
        </is>
      </c>
      <c r="U18" s="123" t="inlineStr">
        <is>
          <t>D</t>
        </is>
      </c>
      <c r="V18" s="123" t="inlineStr">
        <is>
          <t>D</t>
        </is>
      </c>
      <c r="W18" s="123" t="inlineStr">
        <is>
          <t>D</t>
        </is>
      </c>
      <c r="X18" s="123" t="inlineStr">
        <is>
          <t>R</t>
        </is>
      </c>
      <c r="Y18" s="123" t="inlineStr">
        <is>
          <t>R</t>
        </is>
      </c>
      <c r="Z18" s="123" t="inlineStr">
        <is>
          <t>D</t>
        </is>
      </c>
      <c r="AA18" s="123" t="inlineStr">
        <is>
          <t>D</t>
        </is>
      </c>
      <c r="AB18" s="123" t="inlineStr">
        <is>
          <t>D</t>
        </is>
      </c>
      <c r="AC18" s="123" t="inlineStr">
        <is>
          <t>D</t>
        </is>
      </c>
      <c r="AD18" s="123" t="inlineStr">
        <is>
          <t>D</t>
        </is>
      </c>
      <c r="AE18" s="123" t="inlineStr">
        <is>
          <t>R</t>
        </is>
      </c>
      <c r="AF18" s="123" t="inlineStr">
        <is>
          <t>R</t>
        </is>
      </c>
      <c r="AG18" s="123" t="inlineStr">
        <is>
          <t>D</t>
        </is>
      </c>
      <c r="AH18" s="125" t="inlineStr">
        <is>
          <t>D</t>
        </is>
      </c>
      <c r="AI18" s="126" t="n"/>
    </row>
    <row r="19" ht="16.2" customHeight="1" thickBot="1">
      <c r="A19" s="119" t="n">
        <v>15</v>
      </c>
      <c r="B19" s="120" t="inlineStr">
        <is>
          <t>30004387</t>
        </is>
      </c>
      <c r="C19" s="121" t="inlineStr">
        <is>
          <t>WALEED ALGHAMDI</t>
        </is>
      </c>
      <c r="D19" s="120" t="inlineStr">
        <is>
          <t>TECH</t>
        </is>
      </c>
      <c r="E19" s="123" t="inlineStr">
        <is>
          <t>T</t>
        </is>
      </c>
      <c r="F19" s="123" t="inlineStr">
        <is>
          <t>T</t>
        </is>
      </c>
      <c r="G19" s="124" t="inlineStr">
        <is>
          <t>T</t>
        </is>
      </c>
      <c r="H19" s="123" t="inlineStr">
        <is>
          <t>R</t>
        </is>
      </c>
      <c r="I19" s="123" t="inlineStr">
        <is>
          <t>R</t>
        </is>
      </c>
      <c r="J19" s="123" t="inlineStr">
        <is>
          <t>T</t>
        </is>
      </c>
      <c r="K19" s="123" t="inlineStr">
        <is>
          <t>T</t>
        </is>
      </c>
      <c r="L19" s="123" t="inlineStr">
        <is>
          <t>T</t>
        </is>
      </c>
      <c r="M19" s="123" t="inlineStr">
        <is>
          <t>T</t>
        </is>
      </c>
      <c r="N19" s="123" t="inlineStr">
        <is>
          <t>T</t>
        </is>
      </c>
      <c r="O19" s="123" t="inlineStr">
        <is>
          <t>R</t>
        </is>
      </c>
      <c r="P19" s="123" t="inlineStr">
        <is>
          <t>R</t>
        </is>
      </c>
      <c r="Q19" s="123" t="inlineStr">
        <is>
          <t>R</t>
        </is>
      </c>
      <c r="R19" s="123" t="inlineStr">
        <is>
          <t>R</t>
        </is>
      </c>
      <c r="S19" s="123" t="inlineStr">
        <is>
          <t>D</t>
        </is>
      </c>
      <c r="T19" s="123" t="inlineStr">
        <is>
          <t>D</t>
        </is>
      </c>
      <c r="U19" s="123" t="inlineStr">
        <is>
          <t>D</t>
        </is>
      </c>
      <c r="V19" s="123" t="inlineStr">
        <is>
          <t>D</t>
        </is>
      </c>
      <c r="W19" s="123" t="inlineStr">
        <is>
          <t>D</t>
        </is>
      </c>
      <c r="X19" s="123" t="inlineStr">
        <is>
          <t>R</t>
        </is>
      </c>
      <c r="Y19" s="123" t="inlineStr">
        <is>
          <t>R</t>
        </is>
      </c>
      <c r="Z19" s="123" t="inlineStr">
        <is>
          <t>D</t>
        </is>
      </c>
      <c r="AA19" s="123" t="inlineStr">
        <is>
          <t>D</t>
        </is>
      </c>
      <c r="AB19" s="123" t="inlineStr">
        <is>
          <t>D</t>
        </is>
      </c>
      <c r="AC19" s="123" t="inlineStr">
        <is>
          <t>D</t>
        </is>
      </c>
      <c r="AD19" s="123" t="inlineStr">
        <is>
          <t>D</t>
        </is>
      </c>
      <c r="AE19" s="123" t="inlineStr">
        <is>
          <t>R</t>
        </is>
      </c>
      <c r="AF19" s="123" t="inlineStr">
        <is>
          <t>R</t>
        </is>
      </c>
      <c r="AG19" s="123" t="inlineStr">
        <is>
          <t>D</t>
        </is>
      </c>
      <c r="AH19" s="125" t="inlineStr">
        <is>
          <t>D</t>
        </is>
      </c>
      <c r="AI19" s="126" t="n"/>
    </row>
    <row r="20" ht="16.2" customHeight="1" thickBot="1">
      <c r="A20" s="119" t="n">
        <v>16</v>
      </c>
      <c r="B20" s="120" t="inlineStr">
        <is>
          <t>40001135</t>
        </is>
      </c>
      <c r="C20" s="121" t="inlineStr">
        <is>
          <t>SYAHLENDRA SYAMSOE</t>
        </is>
      </c>
      <c r="D20" s="120" t="inlineStr">
        <is>
          <t>TECH</t>
        </is>
      </c>
      <c r="E20" s="131" t="inlineStr">
        <is>
          <t>T</t>
        </is>
      </c>
      <c r="F20" s="131" t="inlineStr">
        <is>
          <t>T</t>
        </is>
      </c>
      <c r="G20" s="132" t="inlineStr">
        <is>
          <t>T</t>
        </is>
      </c>
      <c r="H20" s="131" t="inlineStr">
        <is>
          <t>R</t>
        </is>
      </c>
      <c r="I20" s="131" t="inlineStr">
        <is>
          <t>R</t>
        </is>
      </c>
      <c r="J20" s="131" t="inlineStr">
        <is>
          <t>T</t>
        </is>
      </c>
      <c r="K20" s="131" t="inlineStr">
        <is>
          <t>T</t>
        </is>
      </c>
      <c r="L20" s="131" t="inlineStr">
        <is>
          <t>T</t>
        </is>
      </c>
      <c r="M20" s="131" t="inlineStr">
        <is>
          <t>T</t>
        </is>
      </c>
      <c r="N20" s="131" t="inlineStr">
        <is>
          <t>T</t>
        </is>
      </c>
      <c r="O20" s="131" t="inlineStr">
        <is>
          <t>R</t>
        </is>
      </c>
      <c r="P20" s="131" t="inlineStr">
        <is>
          <t>R</t>
        </is>
      </c>
      <c r="Q20" s="131" t="inlineStr">
        <is>
          <t>D</t>
        </is>
      </c>
      <c r="R20" s="131" t="inlineStr">
        <is>
          <t>D</t>
        </is>
      </c>
      <c r="S20" s="131" t="inlineStr">
        <is>
          <t>D</t>
        </is>
      </c>
      <c r="T20" s="131" t="inlineStr">
        <is>
          <t>D</t>
        </is>
      </c>
      <c r="U20" s="131" t="inlineStr">
        <is>
          <t>D</t>
        </is>
      </c>
      <c r="V20" s="131" t="inlineStr">
        <is>
          <t>R</t>
        </is>
      </c>
      <c r="W20" s="131" t="inlineStr">
        <is>
          <t>R</t>
        </is>
      </c>
      <c r="X20" s="131" t="inlineStr">
        <is>
          <t>D</t>
        </is>
      </c>
      <c r="Y20" s="131" t="inlineStr">
        <is>
          <t>D</t>
        </is>
      </c>
      <c r="Z20" s="131" t="inlineStr">
        <is>
          <t>D</t>
        </is>
      </c>
      <c r="AA20" s="131" t="inlineStr">
        <is>
          <t>D</t>
        </is>
      </c>
      <c r="AB20" s="131" t="inlineStr">
        <is>
          <t>D</t>
        </is>
      </c>
      <c r="AC20" s="131" t="inlineStr">
        <is>
          <t>R</t>
        </is>
      </c>
      <c r="AD20" s="131" t="inlineStr">
        <is>
          <t>R</t>
        </is>
      </c>
      <c r="AE20" s="131" t="inlineStr">
        <is>
          <t>D</t>
        </is>
      </c>
      <c r="AF20" s="131" t="inlineStr">
        <is>
          <t>D</t>
        </is>
      </c>
      <c r="AG20" s="131" t="inlineStr">
        <is>
          <t>D</t>
        </is>
      </c>
      <c r="AH20" s="133" t="inlineStr">
        <is>
          <t>D</t>
        </is>
      </c>
      <c r="AI20" s="126" t="n"/>
    </row>
    <row r="21" ht="16.2" customHeight="1" thickBot="1"/>
    <row r="22" ht="14" customHeight="1" thickBot="1">
      <c r="A22" s="134" t="inlineStr">
        <is>
          <t>CREW 2</t>
        </is>
      </c>
      <c r="E22" s="135">
        <f>IF(1&lt;=$BA$4,TEXT($BA$3+0,"ddd"),"")</f>
        <v/>
      </c>
      <c r="F22" s="135">
        <f>IF(2&lt;=$BA$4,TEXT($BA$3+1,"ddd"),"")</f>
        <v/>
      </c>
      <c r="G22" s="135">
        <f>IF(3&lt;=$BA$4,TEXT($BA$3+2,"ddd"),"")</f>
        <v/>
      </c>
      <c r="H22" s="135">
        <f>IF(4&lt;=$BA$4,TEXT($BA$3+3,"ddd"),"")</f>
        <v/>
      </c>
      <c r="I22" s="135">
        <f>IF(5&lt;=$BA$4,TEXT($BA$3+4,"ddd"),"")</f>
        <v/>
      </c>
      <c r="J22" s="135">
        <f>IF(6&lt;=$BA$4,TEXT($BA$3+5,"ddd"),"")</f>
        <v/>
      </c>
      <c r="K22" s="135">
        <f>IF(7&lt;=$BA$4,TEXT($BA$3+6,"ddd"),"")</f>
        <v/>
      </c>
      <c r="L22" s="135">
        <f>IF(8&lt;=$BA$4,TEXT($BA$3+7,"ddd"),"")</f>
        <v/>
      </c>
      <c r="M22" s="135">
        <f>IF(9&lt;=$BA$4,TEXT($BA$3+8,"ddd"),"")</f>
        <v/>
      </c>
      <c r="N22" s="135">
        <f>IF(10&lt;=$BA$4,TEXT($BA$3+9,"ddd"),"")</f>
        <v/>
      </c>
      <c r="O22" s="135">
        <f>IF(11&lt;=$BA$4,TEXT($BA$3+10,"ddd"),"")</f>
        <v/>
      </c>
      <c r="P22" s="135">
        <f>IF(12&lt;=$BA$4,TEXT($BA$3+11,"ddd"),"")</f>
        <v/>
      </c>
      <c r="Q22" s="135">
        <f>IF(13&lt;=$BA$4,TEXT($BA$3+12,"ddd"),"")</f>
        <v/>
      </c>
      <c r="R22" s="135">
        <f>IF(14&lt;=$BA$4,TEXT($BA$3+13,"ddd"),"")</f>
        <v/>
      </c>
      <c r="S22" s="135">
        <f>IF(15&lt;=$BA$4,TEXT($BA$3+14,"ddd"),"")</f>
        <v/>
      </c>
      <c r="T22" s="135">
        <f>IF(16&lt;=$BA$4,TEXT($BA$3+15,"ddd"),"")</f>
        <v/>
      </c>
      <c r="U22" s="135">
        <f>IF(17&lt;=$BA$4,TEXT($BA$3+16,"ddd"),"")</f>
        <v/>
      </c>
      <c r="V22" s="135">
        <f>IF(18&lt;=$BA$4,TEXT($BA$3+17,"ddd"),"")</f>
        <v/>
      </c>
      <c r="W22" s="135">
        <f>IF(19&lt;=$BA$4,TEXT($BA$3+18,"ddd"),"")</f>
        <v/>
      </c>
      <c r="X22" s="135">
        <f>IF(20&lt;=$BA$4,TEXT($BA$3+19,"ddd"),"")</f>
        <v/>
      </c>
      <c r="Y22" s="135">
        <f>IF(21&lt;=$BA$4,TEXT($BA$3+20,"ddd"),"")</f>
        <v/>
      </c>
      <c r="Z22" s="135">
        <f>IF(22&lt;=$BA$4,TEXT($BA$3+21,"ddd"),"")</f>
        <v/>
      </c>
      <c r="AA22" s="135">
        <f>IF(23&lt;=$BA$4,TEXT($BA$3+22,"ddd"),"")</f>
        <v/>
      </c>
      <c r="AB22" s="135">
        <f>IF(24&lt;=$BA$4,TEXT($BA$3+23,"ddd"),"")</f>
        <v/>
      </c>
      <c r="AC22" s="135">
        <f>IF(25&lt;=$BA$4,TEXT($BA$3+24,"ddd"),"")</f>
        <v/>
      </c>
      <c r="AD22" s="135">
        <f>IF(26&lt;=$BA$4,TEXT($BA$3+25,"ddd"),"")</f>
        <v/>
      </c>
      <c r="AE22" s="135">
        <f>IF(27&lt;=$BA$4,TEXT($BA$3+26,"ddd"),"")</f>
        <v/>
      </c>
      <c r="AF22" s="135">
        <f>IF(28&lt;=$BA$4,TEXT($BA$3+27,"ddd"),"")</f>
        <v/>
      </c>
      <c r="AG22" s="135">
        <f>IF(29&lt;=$BA$4,TEXT($BA$3+28,"ddd"),"")</f>
        <v/>
      </c>
      <c r="AH22" s="135">
        <f>IF(30&lt;=$BA$4,TEXT($BA$3+29,"ddd"),"")</f>
        <v/>
      </c>
      <c r="AI22" s="135">
        <f>IF(31&lt;=$BA$4,TEXT($BA$3+30,"ddd"),"")</f>
        <v/>
      </c>
    </row>
    <row r="23" ht="16" customHeight="1" thickBot="1">
      <c r="E23" s="136">
        <f>IF(1&lt;=$BA$4,IF($BA$1="P",DAY($BA$3+0),1),"")</f>
        <v/>
      </c>
      <c r="F23" s="136">
        <f>IF(2&lt;=$BA$4,IF($BA$1="P",DAY($BA$3+1),2),"")</f>
        <v/>
      </c>
      <c r="G23" s="136">
        <f>IF(3&lt;=$BA$4,IF($BA$1="P",DAY($BA$3+2),3),"")</f>
        <v/>
      </c>
      <c r="H23" s="136">
        <f>IF(4&lt;=$BA$4,IF($BA$1="P",DAY($BA$3+3),4),"")</f>
        <v/>
      </c>
      <c r="I23" s="136">
        <f>IF(5&lt;=$BA$4,IF($BA$1="P",DAY($BA$3+4),5),"")</f>
        <v/>
      </c>
      <c r="J23" s="136">
        <f>IF(6&lt;=$BA$4,IF($BA$1="P",DAY($BA$3+5),6),"")</f>
        <v/>
      </c>
      <c r="K23" s="136">
        <f>IF(7&lt;=$BA$4,IF($BA$1="P",DAY($BA$3+6),7),"")</f>
        <v/>
      </c>
      <c r="L23" s="136">
        <f>IF(8&lt;=$BA$4,IF($BA$1="P",DAY($BA$3+7),8),"")</f>
        <v/>
      </c>
      <c r="M23" s="136">
        <f>IF(9&lt;=$BA$4,IF($BA$1="P",DAY($BA$3+8),9),"")</f>
        <v/>
      </c>
      <c r="N23" s="136">
        <f>IF(10&lt;=$BA$4,IF($BA$1="P",DAY($BA$3+9),10),"")</f>
        <v/>
      </c>
      <c r="O23" s="136">
        <f>IF(11&lt;=$BA$4,IF($BA$1="P",DAY($BA$3+10),11),"")</f>
        <v/>
      </c>
      <c r="P23" s="136">
        <f>IF(12&lt;=$BA$4,IF($BA$1="P",DAY($BA$3+11),12),"")</f>
        <v/>
      </c>
      <c r="Q23" s="136">
        <f>IF(13&lt;=$BA$4,IF($BA$1="P",DAY($BA$3+12),13),"")</f>
        <v/>
      </c>
      <c r="R23" s="136">
        <f>IF(14&lt;=$BA$4,IF($BA$1="P",DAY($BA$3+13),14),"")</f>
        <v/>
      </c>
      <c r="S23" s="136">
        <f>IF(15&lt;=$BA$4,IF($BA$1="P",DAY($BA$3+14),15),"")</f>
        <v/>
      </c>
      <c r="T23" s="136">
        <f>IF(16&lt;=$BA$4,IF($BA$1="P",DAY($BA$3+15),16),"")</f>
        <v/>
      </c>
      <c r="U23" s="136">
        <f>IF(17&lt;=$BA$4,IF($BA$1="P",DAY($BA$3+16),17),"")</f>
        <v/>
      </c>
      <c r="V23" s="136">
        <f>IF(18&lt;=$BA$4,IF($BA$1="P",DAY($BA$3+17),18),"")</f>
        <v/>
      </c>
      <c r="W23" s="136">
        <f>IF(19&lt;=$BA$4,IF($BA$1="P",DAY($BA$3+18),19),"")</f>
        <v/>
      </c>
      <c r="X23" s="136">
        <f>IF(20&lt;=$BA$4,IF($BA$1="P",DAY($BA$3+19),20),"")</f>
        <v/>
      </c>
      <c r="Y23" s="136">
        <f>IF(21&lt;=$BA$4,IF($BA$1="P",DAY($BA$3+20),21),"")</f>
        <v/>
      </c>
      <c r="Z23" s="136">
        <f>IF(22&lt;=$BA$4,IF($BA$1="P",DAY($BA$3+21),22),"")</f>
        <v/>
      </c>
      <c r="AA23" s="136">
        <f>IF(23&lt;=$BA$4,IF($BA$1="P",DAY($BA$3+22),23),"")</f>
        <v/>
      </c>
      <c r="AB23" s="136">
        <f>IF(24&lt;=$BA$4,IF($BA$1="P",DAY($BA$3+23),24),"")</f>
        <v/>
      </c>
      <c r="AC23" s="136">
        <f>IF(25&lt;=$BA$4,IF($BA$1="P",DAY($BA$3+24),25),"")</f>
        <v/>
      </c>
      <c r="AD23" s="136">
        <f>IF(26&lt;=$BA$4,IF($BA$1="P",DAY($BA$3+25),26),"")</f>
        <v/>
      </c>
      <c r="AE23" s="136">
        <f>IF(27&lt;=$BA$4,IF($BA$1="P",DAY($BA$3+26),27),"")</f>
        <v/>
      </c>
      <c r="AF23" s="136">
        <f>IF(28&lt;=$BA$4,IF($BA$1="P",DAY($BA$3+27),28),"")</f>
        <v/>
      </c>
      <c r="AG23" s="136">
        <f>IF(29&lt;=$BA$4,IF($BA$1="P",DAY($BA$3+28),29),"")</f>
        <v/>
      </c>
      <c r="AH23" s="136">
        <f>IF(30&lt;=$BA$4,IF($BA$1="P",DAY($BA$3+29),30),"")</f>
        <v/>
      </c>
      <c r="AI23" s="136">
        <f>IF(31&lt;=$BA$4,IF($BA$1="P",DAY($BA$3+30),31),"")</f>
        <v/>
      </c>
    </row>
    <row r="24" ht="15" customHeight="1" thickBot="1">
      <c r="A24" s="137" t="n">
        <v>1</v>
      </c>
      <c r="B24" s="138" t="inlineStr">
        <is>
          <t>13008931</t>
        </is>
      </c>
      <c r="C24" s="139" t="inlineStr">
        <is>
          <t>RONILO NOGADAS AMEN</t>
        </is>
      </c>
      <c r="D24" s="138" t="inlineStr">
        <is>
          <t>ACT/SUPV</t>
        </is>
      </c>
      <c r="E24" s="140" t="inlineStr">
        <is>
          <t>V</t>
        </is>
      </c>
      <c r="F24" s="140" t="inlineStr">
        <is>
          <t>V</t>
        </is>
      </c>
      <c r="G24" s="140" t="inlineStr">
        <is>
          <t>V</t>
        </is>
      </c>
      <c r="H24" s="140" t="inlineStr">
        <is>
          <t>R</t>
        </is>
      </c>
      <c r="I24" s="140" t="inlineStr">
        <is>
          <t>R</t>
        </is>
      </c>
      <c r="J24" s="140" t="inlineStr">
        <is>
          <t>R</t>
        </is>
      </c>
      <c r="K24" s="140" t="inlineStr">
        <is>
          <t>R</t>
        </is>
      </c>
      <c r="L24" s="140" t="inlineStr">
        <is>
          <t>T</t>
        </is>
      </c>
      <c r="M24" s="140" t="inlineStr">
        <is>
          <t>T</t>
        </is>
      </c>
      <c r="N24" s="140" t="inlineStr">
        <is>
          <t>T</t>
        </is>
      </c>
      <c r="O24" s="140" t="inlineStr">
        <is>
          <t>T</t>
        </is>
      </c>
      <c r="P24" s="140" t="inlineStr">
        <is>
          <t>T</t>
        </is>
      </c>
      <c r="Q24" s="140" t="inlineStr">
        <is>
          <t>R</t>
        </is>
      </c>
      <c r="R24" s="140" t="inlineStr">
        <is>
          <t>R</t>
        </is>
      </c>
      <c r="S24" s="140" t="inlineStr">
        <is>
          <t>G</t>
        </is>
      </c>
      <c r="T24" s="140" t="inlineStr">
        <is>
          <t>G</t>
        </is>
      </c>
      <c r="U24" s="140" t="inlineStr">
        <is>
          <t>G</t>
        </is>
      </c>
      <c r="V24" s="140" t="inlineStr">
        <is>
          <t>G</t>
        </is>
      </c>
      <c r="W24" s="140" t="inlineStr">
        <is>
          <t>G</t>
        </is>
      </c>
      <c r="X24" s="140" t="inlineStr">
        <is>
          <t>R</t>
        </is>
      </c>
      <c r="Y24" s="140" t="inlineStr">
        <is>
          <t>R</t>
        </is>
      </c>
      <c r="Z24" s="140" t="inlineStr">
        <is>
          <t>G</t>
        </is>
      </c>
      <c r="AA24" s="140" t="inlineStr">
        <is>
          <t>G</t>
        </is>
      </c>
      <c r="AB24" s="140" t="inlineStr">
        <is>
          <t>G</t>
        </is>
      </c>
      <c r="AC24" s="140" t="inlineStr">
        <is>
          <t>G</t>
        </is>
      </c>
      <c r="AD24" s="140" t="inlineStr">
        <is>
          <t>G</t>
        </is>
      </c>
      <c r="AE24" s="140" t="inlineStr">
        <is>
          <t>R</t>
        </is>
      </c>
      <c r="AF24" s="140" t="inlineStr">
        <is>
          <t>R</t>
        </is>
      </c>
      <c r="AG24" s="140" t="inlineStr">
        <is>
          <t>G</t>
        </is>
      </c>
      <c r="AH24" s="140" t="inlineStr">
        <is>
          <t>G</t>
        </is>
      </c>
      <c r="AI24" s="140" t="n"/>
    </row>
    <row r="25" ht="15" customHeight="1" thickBot="1">
      <c r="A25" s="137" t="n">
        <v>2</v>
      </c>
      <c r="B25" s="138" t="inlineStr">
        <is>
          <t>13010286</t>
        </is>
      </c>
      <c r="C25" s="139" t="inlineStr">
        <is>
          <t>ABDULAZIZ F. ALBOUQ</t>
        </is>
      </c>
      <c r="D25" s="138" t="inlineStr">
        <is>
          <t>ACT/SUPV</t>
        </is>
      </c>
      <c r="E25" s="140" t="inlineStr">
        <is>
          <t>D</t>
        </is>
      </c>
      <c r="F25" s="140" t="inlineStr">
        <is>
          <t>D</t>
        </is>
      </c>
      <c r="G25" s="140" t="inlineStr">
        <is>
          <t>D</t>
        </is>
      </c>
      <c r="H25" s="140" t="inlineStr">
        <is>
          <t>R</t>
        </is>
      </c>
      <c r="I25" s="140" t="inlineStr">
        <is>
          <t>R</t>
        </is>
      </c>
      <c r="J25" s="140" t="inlineStr">
        <is>
          <t>D</t>
        </is>
      </c>
      <c r="K25" s="140" t="inlineStr">
        <is>
          <t>D</t>
        </is>
      </c>
      <c r="L25" s="140" t="inlineStr">
        <is>
          <t>D</t>
        </is>
      </c>
      <c r="M25" s="140" t="inlineStr">
        <is>
          <t>D</t>
        </is>
      </c>
      <c r="N25" s="140" t="inlineStr">
        <is>
          <t>D</t>
        </is>
      </c>
      <c r="O25" s="140" t="inlineStr">
        <is>
          <t>R</t>
        </is>
      </c>
      <c r="P25" s="140" t="inlineStr">
        <is>
          <t>R</t>
        </is>
      </c>
      <c r="Q25" s="140" t="inlineStr">
        <is>
          <t>G</t>
        </is>
      </c>
      <c r="R25" s="140" t="inlineStr">
        <is>
          <t>G</t>
        </is>
      </c>
      <c r="S25" s="140" t="inlineStr">
        <is>
          <t>G</t>
        </is>
      </c>
      <c r="T25" s="140" t="inlineStr">
        <is>
          <t>G</t>
        </is>
      </c>
      <c r="U25" s="140" t="inlineStr">
        <is>
          <t>G</t>
        </is>
      </c>
      <c r="V25" s="140" t="inlineStr">
        <is>
          <t>R</t>
        </is>
      </c>
      <c r="W25" s="140" t="inlineStr">
        <is>
          <t>R</t>
        </is>
      </c>
      <c r="X25" s="140" t="inlineStr">
        <is>
          <t>G</t>
        </is>
      </c>
      <c r="Y25" s="140" t="inlineStr">
        <is>
          <t>G</t>
        </is>
      </c>
      <c r="Z25" s="140" t="inlineStr">
        <is>
          <t>G</t>
        </is>
      </c>
      <c r="AA25" s="140" t="inlineStr">
        <is>
          <t>G</t>
        </is>
      </c>
      <c r="AB25" s="140" t="inlineStr">
        <is>
          <t>G</t>
        </is>
      </c>
      <c r="AC25" s="140" t="inlineStr">
        <is>
          <t>R</t>
        </is>
      </c>
      <c r="AD25" s="140" t="inlineStr">
        <is>
          <t>R</t>
        </is>
      </c>
      <c r="AE25" s="140" t="inlineStr">
        <is>
          <t>G</t>
        </is>
      </c>
      <c r="AF25" s="140" t="inlineStr">
        <is>
          <t>G</t>
        </is>
      </c>
      <c r="AG25" s="140" t="inlineStr">
        <is>
          <t>G</t>
        </is>
      </c>
      <c r="AH25" s="140" t="inlineStr">
        <is>
          <t>G</t>
        </is>
      </c>
      <c r="AI25" s="140" t="n"/>
    </row>
    <row r="26" ht="15" customHeight="1" thickBot="1">
      <c r="A26" s="137" t="n">
        <v>3</v>
      </c>
      <c r="B26" s="138" t="inlineStr">
        <is>
          <t>30001338</t>
        </is>
      </c>
      <c r="C26" s="139" t="inlineStr">
        <is>
          <t>MASHHOUR ALSULAIMANI</t>
        </is>
      </c>
      <c r="D26" s="138" t="inlineStr">
        <is>
          <t>OJT</t>
        </is>
      </c>
      <c r="E26" s="140" t="inlineStr">
        <is>
          <t>D</t>
        </is>
      </c>
      <c r="F26" s="140" t="inlineStr">
        <is>
          <t>D</t>
        </is>
      </c>
      <c r="G26" s="140" t="inlineStr">
        <is>
          <t>D</t>
        </is>
      </c>
      <c r="H26" s="140" t="inlineStr">
        <is>
          <t>R</t>
        </is>
      </c>
      <c r="I26" s="140" t="inlineStr">
        <is>
          <t>R</t>
        </is>
      </c>
      <c r="J26" s="140" t="inlineStr">
        <is>
          <t>D</t>
        </is>
      </c>
      <c r="K26" s="140" t="inlineStr">
        <is>
          <t>D</t>
        </is>
      </c>
      <c r="L26" s="140" t="inlineStr">
        <is>
          <t>D</t>
        </is>
      </c>
      <c r="M26" s="140" t="inlineStr">
        <is>
          <t>D</t>
        </is>
      </c>
      <c r="N26" s="140" t="inlineStr">
        <is>
          <t>D</t>
        </is>
      </c>
      <c r="O26" s="140" t="inlineStr">
        <is>
          <t>R</t>
        </is>
      </c>
      <c r="P26" s="140" t="inlineStr">
        <is>
          <t>R</t>
        </is>
      </c>
      <c r="Q26" s="140" t="inlineStr">
        <is>
          <t>D</t>
        </is>
      </c>
      <c r="R26" s="140" t="inlineStr">
        <is>
          <t>D</t>
        </is>
      </c>
      <c r="S26" s="140" t="inlineStr">
        <is>
          <t>D</t>
        </is>
      </c>
      <c r="T26" s="140" t="inlineStr">
        <is>
          <t>D</t>
        </is>
      </c>
      <c r="U26" s="140" t="inlineStr">
        <is>
          <t>D</t>
        </is>
      </c>
      <c r="V26" s="140" t="inlineStr">
        <is>
          <t>R</t>
        </is>
      </c>
      <c r="W26" s="140" t="inlineStr">
        <is>
          <t>R</t>
        </is>
      </c>
      <c r="X26" s="140" t="inlineStr">
        <is>
          <t>R</t>
        </is>
      </c>
      <c r="Y26" s="140" t="inlineStr">
        <is>
          <t>R</t>
        </is>
      </c>
      <c r="Z26" s="140" t="inlineStr">
        <is>
          <t>G</t>
        </is>
      </c>
      <c r="AA26" s="140" t="inlineStr">
        <is>
          <t>G</t>
        </is>
      </c>
      <c r="AB26" s="140" t="inlineStr">
        <is>
          <t>G</t>
        </is>
      </c>
      <c r="AC26" s="140" t="inlineStr">
        <is>
          <t>G</t>
        </is>
      </c>
      <c r="AD26" s="140" t="inlineStr">
        <is>
          <t>G</t>
        </is>
      </c>
      <c r="AE26" s="140" t="inlineStr">
        <is>
          <t>R</t>
        </is>
      </c>
      <c r="AF26" s="140" t="inlineStr">
        <is>
          <t>R</t>
        </is>
      </c>
      <c r="AG26" s="140" t="inlineStr">
        <is>
          <t>G</t>
        </is>
      </c>
      <c r="AH26" s="140" t="inlineStr">
        <is>
          <t>G</t>
        </is>
      </c>
      <c r="AI26" s="140" t="n"/>
    </row>
    <row r="27" ht="15" customHeight="1" thickBot="1">
      <c r="A27" s="137" t="n">
        <v>4</v>
      </c>
      <c r="B27" s="138" t="inlineStr">
        <is>
          <t>13009042</t>
        </is>
      </c>
      <c r="C27" s="139" t="inlineStr">
        <is>
          <t>OLANDRES JR BEINVENIDO</t>
        </is>
      </c>
      <c r="D27" s="138" t="inlineStr">
        <is>
          <t>TECH</t>
        </is>
      </c>
      <c r="E27" s="140" t="inlineStr">
        <is>
          <t>D</t>
        </is>
      </c>
      <c r="F27" s="140" t="inlineStr">
        <is>
          <t>D</t>
        </is>
      </c>
      <c r="G27" s="140" t="inlineStr">
        <is>
          <t>D</t>
        </is>
      </c>
      <c r="H27" s="140" t="inlineStr">
        <is>
          <t>R</t>
        </is>
      </c>
      <c r="I27" s="140" t="inlineStr">
        <is>
          <t>R</t>
        </is>
      </c>
      <c r="J27" s="140" t="inlineStr">
        <is>
          <t>D</t>
        </is>
      </c>
      <c r="K27" s="140" t="inlineStr">
        <is>
          <t>D</t>
        </is>
      </c>
      <c r="L27" s="140" t="inlineStr">
        <is>
          <t>D</t>
        </is>
      </c>
      <c r="M27" s="140" t="inlineStr">
        <is>
          <t>D</t>
        </is>
      </c>
      <c r="N27" s="140" t="inlineStr">
        <is>
          <t>D</t>
        </is>
      </c>
      <c r="O27" s="140" t="inlineStr">
        <is>
          <t>R</t>
        </is>
      </c>
      <c r="P27" s="140" t="inlineStr">
        <is>
          <t>R</t>
        </is>
      </c>
      <c r="Q27" s="140" t="inlineStr">
        <is>
          <t>G</t>
        </is>
      </c>
      <c r="R27" s="140" t="inlineStr">
        <is>
          <t>G</t>
        </is>
      </c>
      <c r="S27" s="140" t="inlineStr">
        <is>
          <t>G</t>
        </is>
      </c>
      <c r="T27" s="140" t="inlineStr">
        <is>
          <t>G</t>
        </is>
      </c>
      <c r="U27" s="140" t="inlineStr">
        <is>
          <t>G</t>
        </is>
      </c>
      <c r="V27" s="140" t="inlineStr">
        <is>
          <t>R</t>
        </is>
      </c>
      <c r="W27" s="140" t="inlineStr">
        <is>
          <t>R</t>
        </is>
      </c>
      <c r="X27" s="140" t="inlineStr">
        <is>
          <t>G</t>
        </is>
      </c>
      <c r="Y27" s="140" t="inlineStr">
        <is>
          <t>G</t>
        </is>
      </c>
      <c r="Z27" s="140" t="inlineStr">
        <is>
          <t>G</t>
        </is>
      </c>
      <c r="AA27" s="140" t="inlineStr">
        <is>
          <t>G</t>
        </is>
      </c>
      <c r="AB27" s="140" t="inlineStr">
        <is>
          <t>G</t>
        </is>
      </c>
      <c r="AC27" s="140" t="inlineStr">
        <is>
          <t>R</t>
        </is>
      </c>
      <c r="AD27" s="140" t="inlineStr">
        <is>
          <t>R</t>
        </is>
      </c>
      <c r="AE27" s="140" t="inlineStr">
        <is>
          <t>G</t>
        </is>
      </c>
      <c r="AF27" s="140" t="inlineStr">
        <is>
          <t>G</t>
        </is>
      </c>
      <c r="AG27" s="140" t="inlineStr">
        <is>
          <t>G</t>
        </is>
      </c>
      <c r="AH27" s="140" t="inlineStr">
        <is>
          <t>G</t>
        </is>
      </c>
      <c r="AI27" s="140" t="n"/>
    </row>
    <row r="28" ht="15" customHeight="1" thickBot="1">
      <c r="A28" s="137" t="n">
        <v>5</v>
      </c>
      <c r="B28" s="138" t="inlineStr">
        <is>
          <t>30003607</t>
        </is>
      </c>
      <c r="C28" s="139" t="inlineStr">
        <is>
          <t>SIRAJ KHAYAT</t>
        </is>
      </c>
      <c r="D28" s="138" t="inlineStr">
        <is>
          <t>TECH</t>
        </is>
      </c>
      <c r="E28" s="140" t="inlineStr">
        <is>
          <t>D</t>
        </is>
      </c>
      <c r="F28" s="140" t="inlineStr">
        <is>
          <t>D</t>
        </is>
      </c>
      <c r="G28" s="140" t="inlineStr">
        <is>
          <t>D</t>
        </is>
      </c>
      <c r="H28" s="140" t="inlineStr">
        <is>
          <t>R</t>
        </is>
      </c>
      <c r="I28" s="140" t="inlineStr">
        <is>
          <t>R</t>
        </is>
      </c>
      <c r="J28" s="140" t="inlineStr">
        <is>
          <t>D</t>
        </is>
      </c>
      <c r="K28" s="140" t="inlineStr">
        <is>
          <t>D</t>
        </is>
      </c>
      <c r="L28" s="140" t="inlineStr">
        <is>
          <t>D</t>
        </is>
      </c>
      <c r="M28" s="140" t="inlineStr">
        <is>
          <t>D</t>
        </is>
      </c>
      <c r="N28" s="140" t="inlineStr">
        <is>
          <t>D</t>
        </is>
      </c>
      <c r="O28" s="140" t="inlineStr">
        <is>
          <t>R</t>
        </is>
      </c>
      <c r="P28" s="140" t="inlineStr">
        <is>
          <t>R</t>
        </is>
      </c>
      <c r="Q28" s="140" t="inlineStr">
        <is>
          <t>R</t>
        </is>
      </c>
      <c r="R28" s="140" t="inlineStr">
        <is>
          <t>R</t>
        </is>
      </c>
      <c r="S28" s="140" t="inlineStr">
        <is>
          <t>G</t>
        </is>
      </c>
      <c r="T28" s="140" t="inlineStr">
        <is>
          <t>G</t>
        </is>
      </c>
      <c r="U28" s="140" t="inlineStr">
        <is>
          <t>G</t>
        </is>
      </c>
      <c r="V28" s="140" t="inlineStr">
        <is>
          <t>G</t>
        </is>
      </c>
      <c r="W28" s="140" t="inlineStr">
        <is>
          <t>G</t>
        </is>
      </c>
      <c r="X28" s="140" t="inlineStr">
        <is>
          <t>R</t>
        </is>
      </c>
      <c r="Y28" s="140" t="inlineStr">
        <is>
          <t>R</t>
        </is>
      </c>
      <c r="Z28" s="140" t="inlineStr">
        <is>
          <t>G</t>
        </is>
      </c>
      <c r="AA28" s="140" t="inlineStr">
        <is>
          <t>G</t>
        </is>
      </c>
      <c r="AB28" s="140" t="inlineStr">
        <is>
          <t>G</t>
        </is>
      </c>
      <c r="AC28" s="140" t="inlineStr">
        <is>
          <t>G</t>
        </is>
      </c>
      <c r="AD28" s="140" t="inlineStr">
        <is>
          <t>G</t>
        </is>
      </c>
      <c r="AE28" s="140" t="inlineStr">
        <is>
          <t>R</t>
        </is>
      </c>
      <c r="AF28" s="140" t="inlineStr">
        <is>
          <t>R</t>
        </is>
      </c>
      <c r="AG28" s="140" t="inlineStr">
        <is>
          <t>G</t>
        </is>
      </c>
      <c r="AH28" s="140" t="inlineStr">
        <is>
          <t>G</t>
        </is>
      </c>
      <c r="AI28" s="140" t="n"/>
    </row>
    <row r="29" ht="15" customHeight="1" thickBot="1">
      <c r="A29" s="137" t="n">
        <v>6</v>
      </c>
      <c r="B29" s="138" t="inlineStr">
        <is>
          <t>30003449</t>
        </is>
      </c>
      <c r="C29" s="139" t="inlineStr">
        <is>
          <t>HAZEM ALSUBHI</t>
        </is>
      </c>
      <c r="D29" s="138" t="inlineStr">
        <is>
          <t>TECH</t>
        </is>
      </c>
      <c r="E29" s="140" t="inlineStr">
        <is>
          <t>D</t>
        </is>
      </c>
      <c r="F29" s="140" t="inlineStr">
        <is>
          <t>D</t>
        </is>
      </c>
      <c r="G29" s="140" t="inlineStr">
        <is>
          <t>D</t>
        </is>
      </c>
      <c r="H29" s="140" t="inlineStr">
        <is>
          <t>R</t>
        </is>
      </c>
      <c r="I29" s="140" t="inlineStr">
        <is>
          <t>R</t>
        </is>
      </c>
      <c r="J29" s="140" t="inlineStr">
        <is>
          <t>D</t>
        </is>
      </c>
      <c r="K29" s="140" t="inlineStr">
        <is>
          <t>D</t>
        </is>
      </c>
      <c r="L29" s="140" t="inlineStr">
        <is>
          <t>D</t>
        </is>
      </c>
      <c r="M29" s="140" t="inlineStr">
        <is>
          <t>D</t>
        </is>
      </c>
      <c r="N29" s="140" t="inlineStr">
        <is>
          <t>D</t>
        </is>
      </c>
      <c r="O29" s="140" t="inlineStr">
        <is>
          <t>R</t>
        </is>
      </c>
      <c r="P29" s="140" t="inlineStr">
        <is>
          <t>R</t>
        </is>
      </c>
      <c r="Q29" s="140" t="inlineStr">
        <is>
          <t>G</t>
        </is>
      </c>
      <c r="R29" s="140" t="inlineStr">
        <is>
          <t>G</t>
        </is>
      </c>
      <c r="S29" s="140" t="inlineStr">
        <is>
          <t>G</t>
        </is>
      </c>
      <c r="T29" s="140" t="inlineStr">
        <is>
          <t>G</t>
        </is>
      </c>
      <c r="U29" s="140" t="inlineStr">
        <is>
          <t>G</t>
        </is>
      </c>
      <c r="V29" s="140" t="inlineStr">
        <is>
          <t>R</t>
        </is>
      </c>
      <c r="W29" s="140" t="inlineStr">
        <is>
          <t>R</t>
        </is>
      </c>
      <c r="X29" s="140" t="inlineStr">
        <is>
          <t>G</t>
        </is>
      </c>
      <c r="Y29" s="140" t="inlineStr">
        <is>
          <t>G</t>
        </is>
      </c>
      <c r="Z29" s="140" t="inlineStr">
        <is>
          <t>G</t>
        </is>
      </c>
      <c r="AA29" s="140" t="inlineStr">
        <is>
          <t>G</t>
        </is>
      </c>
      <c r="AB29" s="140" t="inlineStr">
        <is>
          <t>G</t>
        </is>
      </c>
      <c r="AC29" s="140" t="inlineStr">
        <is>
          <t>R</t>
        </is>
      </c>
      <c r="AD29" s="140" t="inlineStr">
        <is>
          <t>R</t>
        </is>
      </c>
      <c r="AE29" s="140" t="inlineStr">
        <is>
          <t>G</t>
        </is>
      </c>
      <c r="AF29" s="140" t="inlineStr">
        <is>
          <t>G</t>
        </is>
      </c>
      <c r="AG29" s="140" t="inlineStr">
        <is>
          <t>G</t>
        </is>
      </c>
      <c r="AH29" s="140" t="inlineStr">
        <is>
          <t>G</t>
        </is>
      </c>
      <c r="AI29" s="140" t="n"/>
    </row>
    <row r="30" ht="15" customHeight="1" thickBot="1">
      <c r="A30" s="137" t="n">
        <v>7</v>
      </c>
      <c r="B30" s="138" t="inlineStr">
        <is>
          <t>13009258</t>
        </is>
      </c>
      <c r="C30" s="139" t="inlineStr">
        <is>
          <t>ALI ALAHMADI</t>
        </is>
      </c>
      <c r="D30" s="138" t="inlineStr">
        <is>
          <t>TECH</t>
        </is>
      </c>
      <c r="E30" s="140" t="inlineStr">
        <is>
          <t>T</t>
        </is>
      </c>
      <c r="F30" s="140" t="inlineStr">
        <is>
          <t>T</t>
        </is>
      </c>
      <c r="G30" s="140" t="inlineStr">
        <is>
          <t>T</t>
        </is>
      </c>
      <c r="H30" s="140" t="inlineStr">
        <is>
          <t>R</t>
        </is>
      </c>
      <c r="I30" s="140" t="inlineStr">
        <is>
          <t>R</t>
        </is>
      </c>
      <c r="J30" s="140" t="inlineStr">
        <is>
          <t>T</t>
        </is>
      </c>
      <c r="K30" s="140" t="inlineStr">
        <is>
          <t>T</t>
        </is>
      </c>
      <c r="L30" s="140" t="inlineStr">
        <is>
          <t>T</t>
        </is>
      </c>
      <c r="M30" s="140" t="inlineStr">
        <is>
          <t>T</t>
        </is>
      </c>
      <c r="N30" s="140" t="inlineStr">
        <is>
          <t>T</t>
        </is>
      </c>
      <c r="O30" s="140" t="inlineStr">
        <is>
          <t>R</t>
        </is>
      </c>
      <c r="P30" s="140" t="inlineStr">
        <is>
          <t>R</t>
        </is>
      </c>
      <c r="Q30" s="140" t="inlineStr">
        <is>
          <t>G</t>
        </is>
      </c>
      <c r="R30" s="140" t="inlineStr">
        <is>
          <t>G</t>
        </is>
      </c>
      <c r="S30" s="140" t="inlineStr">
        <is>
          <t>G</t>
        </is>
      </c>
      <c r="T30" s="140" t="inlineStr">
        <is>
          <t>G</t>
        </is>
      </c>
      <c r="U30" s="140" t="inlineStr">
        <is>
          <t>G</t>
        </is>
      </c>
      <c r="V30" s="140" t="inlineStr">
        <is>
          <t>R</t>
        </is>
      </c>
      <c r="W30" s="140" t="inlineStr">
        <is>
          <t>R</t>
        </is>
      </c>
      <c r="X30" s="140" t="inlineStr">
        <is>
          <t>G</t>
        </is>
      </c>
      <c r="Y30" s="140" t="inlineStr">
        <is>
          <t>G</t>
        </is>
      </c>
      <c r="Z30" s="140" t="inlineStr">
        <is>
          <t>G</t>
        </is>
      </c>
      <c r="AA30" s="140" t="inlineStr">
        <is>
          <t>G</t>
        </is>
      </c>
      <c r="AB30" s="140" t="inlineStr">
        <is>
          <t>G</t>
        </is>
      </c>
      <c r="AC30" s="140" t="inlineStr">
        <is>
          <t>R</t>
        </is>
      </c>
      <c r="AD30" s="140" t="inlineStr">
        <is>
          <t>R</t>
        </is>
      </c>
      <c r="AE30" s="140" t="inlineStr">
        <is>
          <t>G</t>
        </is>
      </c>
      <c r="AF30" s="140" t="inlineStr">
        <is>
          <t>G</t>
        </is>
      </c>
      <c r="AG30" s="140" t="inlineStr">
        <is>
          <t>G</t>
        </is>
      </c>
      <c r="AH30" s="140" t="inlineStr">
        <is>
          <t>G</t>
        </is>
      </c>
      <c r="AI30" s="140" t="n"/>
    </row>
    <row r="31" ht="15" customHeight="1" thickBot="1">
      <c r="A31" s="137" t="n">
        <v>8</v>
      </c>
      <c r="B31" s="138" t="inlineStr">
        <is>
          <t>13009255</t>
        </is>
      </c>
      <c r="C31" s="139" t="inlineStr">
        <is>
          <t>HOSSAM ALGHAMDI</t>
        </is>
      </c>
      <c r="D31" s="138" t="inlineStr">
        <is>
          <t>TECH</t>
        </is>
      </c>
      <c r="E31" s="140" t="inlineStr">
        <is>
          <t>T</t>
        </is>
      </c>
      <c r="F31" s="140" t="inlineStr">
        <is>
          <t>T</t>
        </is>
      </c>
      <c r="G31" s="140" t="inlineStr">
        <is>
          <t>T</t>
        </is>
      </c>
      <c r="H31" s="140" t="inlineStr">
        <is>
          <t>T</t>
        </is>
      </c>
      <c r="I31" s="140" t="inlineStr">
        <is>
          <t>T</t>
        </is>
      </c>
      <c r="J31" s="140" t="inlineStr">
        <is>
          <t>R</t>
        </is>
      </c>
      <c r="K31" s="140" t="inlineStr">
        <is>
          <t>R</t>
        </is>
      </c>
      <c r="L31" s="140" t="inlineStr">
        <is>
          <t>T</t>
        </is>
      </c>
      <c r="M31" s="140" t="inlineStr">
        <is>
          <t>T</t>
        </is>
      </c>
      <c r="N31" s="140" t="inlineStr">
        <is>
          <t>T</t>
        </is>
      </c>
      <c r="O31" s="140" t="inlineStr">
        <is>
          <t>T</t>
        </is>
      </c>
      <c r="P31" s="140" t="inlineStr">
        <is>
          <t>T</t>
        </is>
      </c>
      <c r="Q31" s="140" t="inlineStr">
        <is>
          <t>R</t>
        </is>
      </c>
      <c r="R31" s="140" t="inlineStr">
        <is>
          <t>R</t>
        </is>
      </c>
      <c r="S31" s="140" t="inlineStr">
        <is>
          <t>G</t>
        </is>
      </c>
      <c r="T31" s="140" t="inlineStr">
        <is>
          <t>G</t>
        </is>
      </c>
      <c r="U31" s="140" t="inlineStr">
        <is>
          <t>G</t>
        </is>
      </c>
      <c r="V31" s="140" t="inlineStr">
        <is>
          <t>G</t>
        </is>
      </c>
      <c r="W31" s="140" t="inlineStr">
        <is>
          <t>G</t>
        </is>
      </c>
      <c r="X31" s="140" t="inlineStr">
        <is>
          <t>R</t>
        </is>
      </c>
      <c r="Y31" s="140" t="inlineStr">
        <is>
          <t>R</t>
        </is>
      </c>
      <c r="Z31" s="140" t="inlineStr">
        <is>
          <t>G</t>
        </is>
      </c>
      <c r="AA31" s="140" t="inlineStr">
        <is>
          <t>G</t>
        </is>
      </c>
      <c r="AB31" s="140" t="inlineStr">
        <is>
          <t>G</t>
        </is>
      </c>
      <c r="AC31" s="140" t="inlineStr">
        <is>
          <t>G</t>
        </is>
      </c>
      <c r="AD31" s="140" t="inlineStr">
        <is>
          <t>G</t>
        </is>
      </c>
      <c r="AE31" s="140" t="inlineStr">
        <is>
          <t>R</t>
        </is>
      </c>
      <c r="AF31" s="140" t="inlineStr">
        <is>
          <t>R</t>
        </is>
      </c>
      <c r="AG31" s="140" t="inlineStr">
        <is>
          <t>G</t>
        </is>
      </c>
      <c r="AH31" s="140" t="inlineStr">
        <is>
          <t>G</t>
        </is>
      </c>
      <c r="AI31" s="140" t="n"/>
    </row>
    <row r="32" ht="15" customHeight="1" thickBot="1">
      <c r="A32" s="137" t="n">
        <v>9</v>
      </c>
      <c r="B32" s="138" t="inlineStr">
        <is>
          <t>30001602</t>
        </is>
      </c>
      <c r="C32" s="139" t="inlineStr">
        <is>
          <t>AHMED M. ALYAMANI</t>
        </is>
      </c>
      <c r="D32" s="138" t="inlineStr">
        <is>
          <t>TECH</t>
        </is>
      </c>
      <c r="E32" s="140" t="inlineStr">
        <is>
          <t>D</t>
        </is>
      </c>
      <c r="F32" s="140" t="inlineStr">
        <is>
          <t>D</t>
        </is>
      </c>
      <c r="G32" s="140" t="inlineStr">
        <is>
          <t>D</t>
        </is>
      </c>
      <c r="H32" s="140" t="inlineStr">
        <is>
          <t>R</t>
        </is>
      </c>
      <c r="I32" s="140" t="inlineStr">
        <is>
          <t>R</t>
        </is>
      </c>
      <c r="J32" s="140" t="inlineStr">
        <is>
          <t>D</t>
        </is>
      </c>
      <c r="K32" s="140" t="inlineStr">
        <is>
          <t>D</t>
        </is>
      </c>
      <c r="L32" s="140" t="inlineStr">
        <is>
          <t>D</t>
        </is>
      </c>
      <c r="M32" s="140" t="inlineStr">
        <is>
          <t>D</t>
        </is>
      </c>
      <c r="N32" s="140" t="inlineStr">
        <is>
          <t>D</t>
        </is>
      </c>
      <c r="O32" s="140" t="inlineStr">
        <is>
          <t>R</t>
        </is>
      </c>
      <c r="P32" s="140" t="inlineStr">
        <is>
          <t>R</t>
        </is>
      </c>
      <c r="Q32" s="140" t="inlineStr">
        <is>
          <t>G</t>
        </is>
      </c>
      <c r="R32" s="140" t="inlineStr">
        <is>
          <t>G</t>
        </is>
      </c>
      <c r="S32" s="140" t="inlineStr">
        <is>
          <t>G</t>
        </is>
      </c>
      <c r="T32" s="140" t="inlineStr">
        <is>
          <t>G</t>
        </is>
      </c>
      <c r="U32" s="140" t="inlineStr">
        <is>
          <t>G</t>
        </is>
      </c>
      <c r="V32" s="140" t="inlineStr">
        <is>
          <t>R</t>
        </is>
      </c>
      <c r="W32" s="140" t="inlineStr">
        <is>
          <t>R</t>
        </is>
      </c>
      <c r="X32" s="140" t="inlineStr">
        <is>
          <t>G</t>
        </is>
      </c>
      <c r="Y32" s="140" t="inlineStr">
        <is>
          <t>G</t>
        </is>
      </c>
      <c r="Z32" s="140" t="inlineStr">
        <is>
          <t>G</t>
        </is>
      </c>
      <c r="AA32" s="140" t="inlineStr">
        <is>
          <t>G</t>
        </is>
      </c>
      <c r="AB32" s="140" t="inlineStr">
        <is>
          <t>G</t>
        </is>
      </c>
      <c r="AC32" s="140" t="inlineStr">
        <is>
          <t>R</t>
        </is>
      </c>
      <c r="AD32" s="140" t="inlineStr">
        <is>
          <t>R</t>
        </is>
      </c>
      <c r="AE32" s="140" t="inlineStr">
        <is>
          <t>G</t>
        </is>
      </c>
      <c r="AF32" s="140" t="inlineStr">
        <is>
          <t>G</t>
        </is>
      </c>
      <c r="AG32" s="140" t="inlineStr">
        <is>
          <t>G</t>
        </is>
      </c>
      <c r="AH32" s="140" t="inlineStr">
        <is>
          <t>G</t>
        </is>
      </c>
      <c r="AI32" s="140" t="n"/>
    </row>
    <row r="33" ht="15" customHeight="1" thickBot="1">
      <c r="A33" s="137" t="n">
        <v>10</v>
      </c>
      <c r="B33" s="138" t="inlineStr">
        <is>
          <t>30003489</t>
        </is>
      </c>
      <c r="C33" s="139" t="inlineStr">
        <is>
          <t>AHMED ALAHMADI</t>
        </is>
      </c>
      <c r="D33" s="138" t="inlineStr">
        <is>
          <t>TECH</t>
        </is>
      </c>
      <c r="E33" s="140" t="inlineStr">
        <is>
          <t>D</t>
        </is>
      </c>
      <c r="F33" s="140" t="inlineStr">
        <is>
          <t>D</t>
        </is>
      </c>
      <c r="G33" s="140" t="inlineStr">
        <is>
          <t>D</t>
        </is>
      </c>
      <c r="H33" s="140" t="inlineStr">
        <is>
          <t>R</t>
        </is>
      </c>
      <c r="I33" s="140" t="inlineStr">
        <is>
          <t>R</t>
        </is>
      </c>
      <c r="J33" s="140" t="inlineStr">
        <is>
          <t>D</t>
        </is>
      </c>
      <c r="K33" s="140" t="inlineStr">
        <is>
          <t>D</t>
        </is>
      </c>
      <c r="L33" s="140" t="inlineStr">
        <is>
          <t>D</t>
        </is>
      </c>
      <c r="M33" s="140" t="inlineStr">
        <is>
          <t>D</t>
        </is>
      </c>
      <c r="N33" s="140" t="inlineStr">
        <is>
          <t>D</t>
        </is>
      </c>
      <c r="O33" s="140" t="inlineStr">
        <is>
          <t>R</t>
        </is>
      </c>
      <c r="P33" s="140" t="inlineStr">
        <is>
          <t>R</t>
        </is>
      </c>
      <c r="Q33" s="140" t="inlineStr">
        <is>
          <t>G</t>
        </is>
      </c>
      <c r="R33" s="140" t="inlineStr">
        <is>
          <t>G</t>
        </is>
      </c>
      <c r="S33" s="140" t="inlineStr">
        <is>
          <t>G</t>
        </is>
      </c>
      <c r="T33" s="140" t="inlineStr">
        <is>
          <t>G</t>
        </is>
      </c>
      <c r="U33" s="140" t="inlineStr">
        <is>
          <t>G</t>
        </is>
      </c>
      <c r="V33" s="140" t="inlineStr">
        <is>
          <t>R</t>
        </is>
      </c>
      <c r="W33" s="140" t="inlineStr">
        <is>
          <t>R</t>
        </is>
      </c>
      <c r="X33" s="140" t="inlineStr">
        <is>
          <t>G</t>
        </is>
      </c>
      <c r="Y33" s="140" t="inlineStr">
        <is>
          <t>G</t>
        </is>
      </c>
      <c r="Z33" s="140" t="inlineStr">
        <is>
          <t>G</t>
        </is>
      </c>
      <c r="AA33" s="140" t="inlineStr">
        <is>
          <t>G</t>
        </is>
      </c>
      <c r="AB33" s="140" t="inlineStr">
        <is>
          <t>G</t>
        </is>
      </c>
      <c r="AC33" s="140" t="inlineStr">
        <is>
          <t>R</t>
        </is>
      </c>
      <c r="AD33" s="140" t="inlineStr">
        <is>
          <t>R</t>
        </is>
      </c>
      <c r="AE33" s="140" t="inlineStr">
        <is>
          <t>G</t>
        </is>
      </c>
      <c r="AF33" s="140" t="inlineStr">
        <is>
          <t>G</t>
        </is>
      </c>
      <c r="AG33" s="140" t="inlineStr">
        <is>
          <t>G</t>
        </is>
      </c>
      <c r="AH33" s="140" t="inlineStr">
        <is>
          <t>G</t>
        </is>
      </c>
      <c r="AI33" s="140" t="n"/>
    </row>
    <row r="34" ht="15" customHeight="1" thickBot="1">
      <c r="A34" s="137" t="n">
        <v>11</v>
      </c>
      <c r="B34" s="138" t="inlineStr">
        <is>
          <t>30001450</t>
        </is>
      </c>
      <c r="C34" s="139" t="inlineStr">
        <is>
          <t>MUHAMMED ALSHAIKH</t>
        </is>
      </c>
      <c r="D34" s="138" t="inlineStr">
        <is>
          <t>TECH</t>
        </is>
      </c>
      <c r="E34" s="140" t="inlineStr">
        <is>
          <t>T</t>
        </is>
      </c>
      <c r="F34" s="140" t="inlineStr">
        <is>
          <t>T</t>
        </is>
      </c>
      <c r="G34" s="140" t="inlineStr">
        <is>
          <t>T</t>
        </is>
      </c>
      <c r="H34" s="140" t="inlineStr">
        <is>
          <t>T</t>
        </is>
      </c>
      <c r="I34" s="140" t="inlineStr">
        <is>
          <t>T</t>
        </is>
      </c>
      <c r="J34" s="140" t="inlineStr">
        <is>
          <t>R</t>
        </is>
      </c>
      <c r="K34" s="140" t="inlineStr">
        <is>
          <t>R</t>
        </is>
      </c>
      <c r="L34" s="140" t="inlineStr">
        <is>
          <t>T</t>
        </is>
      </c>
      <c r="M34" s="140" t="inlineStr">
        <is>
          <t>T</t>
        </is>
      </c>
      <c r="N34" s="140" t="inlineStr">
        <is>
          <t>T</t>
        </is>
      </c>
      <c r="O34" s="140" t="inlineStr">
        <is>
          <t>T</t>
        </is>
      </c>
      <c r="P34" s="140" t="inlineStr">
        <is>
          <t>T</t>
        </is>
      </c>
      <c r="Q34" s="140" t="inlineStr">
        <is>
          <t>R</t>
        </is>
      </c>
      <c r="R34" s="140" t="inlineStr">
        <is>
          <t>R</t>
        </is>
      </c>
      <c r="S34" s="140" t="inlineStr">
        <is>
          <t>G</t>
        </is>
      </c>
      <c r="T34" s="140" t="inlineStr">
        <is>
          <t>G</t>
        </is>
      </c>
      <c r="U34" s="140" t="inlineStr">
        <is>
          <t>G</t>
        </is>
      </c>
      <c r="V34" s="140" t="inlineStr">
        <is>
          <t>G</t>
        </is>
      </c>
      <c r="W34" s="140" t="inlineStr">
        <is>
          <t>G</t>
        </is>
      </c>
      <c r="X34" s="140" t="inlineStr">
        <is>
          <t>R</t>
        </is>
      </c>
      <c r="Y34" s="140" t="inlineStr">
        <is>
          <t>R</t>
        </is>
      </c>
      <c r="Z34" s="140" t="inlineStr">
        <is>
          <t>G</t>
        </is>
      </c>
      <c r="AA34" s="140" t="inlineStr">
        <is>
          <t>G</t>
        </is>
      </c>
      <c r="AB34" s="140" t="inlineStr">
        <is>
          <t>G</t>
        </is>
      </c>
      <c r="AC34" s="140" t="inlineStr">
        <is>
          <t>G</t>
        </is>
      </c>
      <c r="AD34" s="140" t="inlineStr">
        <is>
          <t>G</t>
        </is>
      </c>
      <c r="AE34" s="140" t="inlineStr">
        <is>
          <t>R</t>
        </is>
      </c>
      <c r="AF34" s="140" t="inlineStr">
        <is>
          <t>R</t>
        </is>
      </c>
      <c r="AG34" s="140" t="inlineStr">
        <is>
          <t>G</t>
        </is>
      </c>
      <c r="AH34" s="140" t="inlineStr">
        <is>
          <t>G</t>
        </is>
      </c>
      <c r="AI34" s="140" t="n"/>
    </row>
    <row r="35" ht="16.2" customHeight="1" thickBot="1"/>
    <row r="36" ht="14" customHeight="1" thickBot="1">
      <c r="A36" s="134" t="inlineStr">
        <is>
          <t>CREW 3</t>
        </is>
      </c>
      <c r="E36" s="135">
        <f>IF(1&lt;=$BA$4,TEXT($BA$3+0,"ddd"),"")</f>
        <v/>
      </c>
      <c r="F36" s="135">
        <f>IF(2&lt;=$BA$4,TEXT($BA$3+1,"ddd"),"")</f>
        <v/>
      </c>
      <c r="G36" s="135">
        <f>IF(3&lt;=$BA$4,TEXT($BA$3+2,"ddd"),"")</f>
        <v/>
      </c>
      <c r="H36" s="135">
        <f>IF(4&lt;=$BA$4,TEXT($BA$3+3,"ddd"),"")</f>
        <v/>
      </c>
      <c r="I36" s="135">
        <f>IF(5&lt;=$BA$4,TEXT($BA$3+4,"ddd"),"")</f>
        <v/>
      </c>
      <c r="J36" s="135">
        <f>IF(6&lt;=$BA$4,TEXT($BA$3+5,"ddd"),"")</f>
        <v/>
      </c>
      <c r="K36" s="135">
        <f>IF(7&lt;=$BA$4,TEXT($BA$3+6,"ddd"),"")</f>
        <v/>
      </c>
      <c r="L36" s="135">
        <f>IF(8&lt;=$BA$4,TEXT($BA$3+7,"ddd"),"")</f>
        <v/>
      </c>
      <c r="M36" s="135">
        <f>IF(9&lt;=$BA$4,TEXT($BA$3+8,"ddd"),"")</f>
        <v/>
      </c>
      <c r="N36" s="135">
        <f>IF(10&lt;=$BA$4,TEXT($BA$3+9,"ddd"),"")</f>
        <v/>
      </c>
      <c r="O36" s="135">
        <f>IF(11&lt;=$BA$4,TEXT($BA$3+10,"ddd"),"")</f>
        <v/>
      </c>
      <c r="P36" s="135">
        <f>IF(12&lt;=$BA$4,TEXT($BA$3+11,"ddd"),"")</f>
        <v/>
      </c>
      <c r="Q36" s="135">
        <f>IF(13&lt;=$BA$4,TEXT($BA$3+12,"ddd"),"")</f>
        <v/>
      </c>
      <c r="R36" s="135">
        <f>IF(14&lt;=$BA$4,TEXT($BA$3+13,"ddd"),"")</f>
        <v/>
      </c>
      <c r="S36" s="135">
        <f>IF(15&lt;=$BA$4,TEXT($BA$3+14,"ddd"),"")</f>
        <v/>
      </c>
      <c r="T36" s="135">
        <f>IF(16&lt;=$BA$4,TEXT($BA$3+15,"ddd"),"")</f>
        <v/>
      </c>
      <c r="U36" s="135">
        <f>IF(17&lt;=$BA$4,TEXT($BA$3+16,"ddd"),"")</f>
        <v/>
      </c>
      <c r="V36" s="135">
        <f>IF(18&lt;=$BA$4,TEXT($BA$3+17,"ddd"),"")</f>
        <v/>
      </c>
      <c r="W36" s="135">
        <f>IF(19&lt;=$BA$4,TEXT($BA$3+18,"ddd"),"")</f>
        <v/>
      </c>
      <c r="X36" s="135">
        <f>IF(20&lt;=$BA$4,TEXT($BA$3+19,"ddd"),"")</f>
        <v/>
      </c>
      <c r="Y36" s="135">
        <f>IF(21&lt;=$BA$4,TEXT($BA$3+20,"ddd"),"")</f>
        <v/>
      </c>
      <c r="Z36" s="135">
        <f>IF(22&lt;=$BA$4,TEXT($BA$3+21,"ddd"),"")</f>
        <v/>
      </c>
      <c r="AA36" s="135">
        <f>IF(23&lt;=$BA$4,TEXT($BA$3+22,"ddd"),"")</f>
        <v/>
      </c>
      <c r="AB36" s="135">
        <f>IF(24&lt;=$BA$4,TEXT($BA$3+23,"ddd"),"")</f>
        <v/>
      </c>
      <c r="AC36" s="135">
        <f>IF(25&lt;=$BA$4,TEXT($BA$3+24,"ddd"),"")</f>
        <v/>
      </c>
      <c r="AD36" s="135">
        <f>IF(26&lt;=$BA$4,TEXT($BA$3+25,"ddd"),"")</f>
        <v/>
      </c>
      <c r="AE36" s="135">
        <f>IF(27&lt;=$BA$4,TEXT($BA$3+26,"ddd"),"")</f>
        <v/>
      </c>
      <c r="AF36" s="135">
        <f>IF(28&lt;=$BA$4,TEXT($BA$3+27,"ddd"),"")</f>
        <v/>
      </c>
      <c r="AG36" s="135">
        <f>IF(29&lt;=$BA$4,TEXT($BA$3+28,"ddd"),"")</f>
        <v/>
      </c>
      <c r="AH36" s="135">
        <f>IF(30&lt;=$BA$4,TEXT($BA$3+29,"ddd"),"")</f>
        <v/>
      </c>
      <c r="AI36" s="135">
        <f>IF(31&lt;=$BA$4,TEXT($BA$3+30,"ddd"),"")</f>
        <v/>
      </c>
    </row>
    <row r="37" ht="16" customHeight="1" thickBot="1">
      <c r="E37" s="136">
        <f>IF(1&lt;=$BA$4,IF($BA$1="P",DAY($BA$3+0),1),"")</f>
        <v/>
      </c>
      <c r="F37" s="136">
        <f>IF(2&lt;=$BA$4,IF($BA$1="P",DAY($BA$3+1),2),"")</f>
        <v/>
      </c>
      <c r="G37" s="136">
        <f>IF(3&lt;=$BA$4,IF($BA$1="P",DAY($BA$3+2),3),"")</f>
        <v/>
      </c>
      <c r="H37" s="136">
        <f>IF(4&lt;=$BA$4,IF($BA$1="P",DAY($BA$3+3),4),"")</f>
        <v/>
      </c>
      <c r="I37" s="136">
        <f>IF(5&lt;=$BA$4,IF($BA$1="P",DAY($BA$3+4),5),"")</f>
        <v/>
      </c>
      <c r="J37" s="136">
        <f>IF(6&lt;=$BA$4,IF($BA$1="P",DAY($BA$3+5),6),"")</f>
        <v/>
      </c>
      <c r="K37" s="136">
        <f>IF(7&lt;=$BA$4,IF($BA$1="P",DAY($BA$3+6),7),"")</f>
        <v/>
      </c>
      <c r="L37" s="136">
        <f>IF(8&lt;=$BA$4,IF($BA$1="P",DAY($BA$3+7),8),"")</f>
        <v/>
      </c>
      <c r="M37" s="136">
        <f>IF(9&lt;=$BA$4,IF($BA$1="P",DAY($BA$3+8),9),"")</f>
        <v/>
      </c>
      <c r="N37" s="136">
        <f>IF(10&lt;=$BA$4,IF($BA$1="P",DAY($BA$3+9),10),"")</f>
        <v/>
      </c>
      <c r="O37" s="136">
        <f>IF(11&lt;=$BA$4,IF($BA$1="P",DAY($BA$3+10),11),"")</f>
        <v/>
      </c>
      <c r="P37" s="136">
        <f>IF(12&lt;=$BA$4,IF($BA$1="P",DAY($BA$3+11),12),"")</f>
        <v/>
      </c>
      <c r="Q37" s="136">
        <f>IF(13&lt;=$BA$4,IF($BA$1="P",DAY($BA$3+12),13),"")</f>
        <v/>
      </c>
      <c r="R37" s="136">
        <f>IF(14&lt;=$BA$4,IF($BA$1="P",DAY($BA$3+13),14),"")</f>
        <v/>
      </c>
      <c r="S37" s="136">
        <f>IF(15&lt;=$BA$4,IF($BA$1="P",DAY($BA$3+14),15),"")</f>
        <v/>
      </c>
      <c r="T37" s="136">
        <f>IF(16&lt;=$BA$4,IF($BA$1="P",DAY($BA$3+15),16),"")</f>
        <v/>
      </c>
      <c r="U37" s="136">
        <f>IF(17&lt;=$BA$4,IF($BA$1="P",DAY($BA$3+16),17),"")</f>
        <v/>
      </c>
      <c r="V37" s="136">
        <f>IF(18&lt;=$BA$4,IF($BA$1="P",DAY($BA$3+17),18),"")</f>
        <v/>
      </c>
      <c r="W37" s="136">
        <f>IF(19&lt;=$BA$4,IF($BA$1="P",DAY($BA$3+18),19),"")</f>
        <v/>
      </c>
      <c r="X37" s="136">
        <f>IF(20&lt;=$BA$4,IF($BA$1="P",DAY($BA$3+19),20),"")</f>
        <v/>
      </c>
      <c r="Y37" s="136">
        <f>IF(21&lt;=$BA$4,IF($BA$1="P",DAY($BA$3+20),21),"")</f>
        <v/>
      </c>
      <c r="Z37" s="136">
        <f>IF(22&lt;=$BA$4,IF($BA$1="P",DAY($BA$3+21),22),"")</f>
        <v/>
      </c>
      <c r="AA37" s="136">
        <f>IF(23&lt;=$BA$4,IF($BA$1="P",DAY($BA$3+22),23),"")</f>
        <v/>
      </c>
      <c r="AB37" s="136">
        <f>IF(24&lt;=$BA$4,IF($BA$1="P",DAY($BA$3+23),24),"")</f>
        <v/>
      </c>
      <c r="AC37" s="136">
        <f>IF(25&lt;=$BA$4,IF($BA$1="P",DAY($BA$3+24),25),"")</f>
        <v/>
      </c>
      <c r="AD37" s="136">
        <f>IF(26&lt;=$BA$4,IF($BA$1="P",DAY($BA$3+25),26),"")</f>
        <v/>
      </c>
      <c r="AE37" s="136">
        <f>IF(27&lt;=$BA$4,IF($BA$1="P",DAY($BA$3+26),27),"")</f>
        <v/>
      </c>
      <c r="AF37" s="136">
        <f>IF(28&lt;=$BA$4,IF($BA$1="P",DAY($BA$3+27),28),"")</f>
        <v/>
      </c>
      <c r="AG37" s="136">
        <f>IF(29&lt;=$BA$4,IF($BA$1="P",DAY($BA$3+28),29),"")</f>
        <v/>
      </c>
      <c r="AH37" s="136">
        <f>IF(30&lt;=$BA$4,IF($BA$1="P",DAY($BA$3+29),30),"")</f>
        <v/>
      </c>
      <c r="AI37" s="136">
        <f>IF(31&lt;=$BA$4,IF($BA$1="P",DAY($BA$3+30),31),"")</f>
        <v/>
      </c>
    </row>
    <row r="38" ht="15" customHeight="1" thickBot="1">
      <c r="A38" s="137" t="n">
        <v>1</v>
      </c>
      <c r="B38" s="138" t="inlineStr">
        <is>
          <t>13006567</t>
        </is>
      </c>
      <c r="C38" s="139" t="inlineStr">
        <is>
          <t>AHMED AL-GHAMDI</t>
        </is>
      </c>
      <c r="D38" s="138" t="inlineStr">
        <is>
          <t>ACT/SUPV</t>
        </is>
      </c>
      <c r="E38" s="140" t="inlineStr">
        <is>
          <t>D</t>
        </is>
      </c>
      <c r="F38" s="140" t="inlineStr">
        <is>
          <t>D</t>
        </is>
      </c>
      <c r="G38" s="140" t="inlineStr">
        <is>
          <t>D</t>
        </is>
      </c>
      <c r="H38" s="140" t="inlineStr">
        <is>
          <t>R</t>
        </is>
      </c>
      <c r="I38" s="140" t="inlineStr">
        <is>
          <t>R</t>
        </is>
      </c>
      <c r="J38" s="140" t="inlineStr">
        <is>
          <t>D</t>
        </is>
      </c>
      <c r="K38" s="140" t="inlineStr">
        <is>
          <t>D</t>
        </is>
      </c>
      <c r="L38" s="140" t="inlineStr">
        <is>
          <t>D</t>
        </is>
      </c>
      <c r="M38" s="140" t="inlineStr">
        <is>
          <t>D</t>
        </is>
      </c>
      <c r="N38" s="140" t="inlineStr">
        <is>
          <t>D</t>
        </is>
      </c>
      <c r="O38" s="140" t="inlineStr">
        <is>
          <t>R</t>
        </is>
      </c>
      <c r="P38" s="140" t="inlineStr">
        <is>
          <t>R</t>
        </is>
      </c>
      <c r="Q38" s="140" t="inlineStr">
        <is>
          <t>T</t>
        </is>
      </c>
      <c r="R38" s="140" t="inlineStr">
        <is>
          <t>T</t>
        </is>
      </c>
      <c r="S38" s="140" t="inlineStr">
        <is>
          <t>T</t>
        </is>
      </c>
      <c r="T38" s="140" t="inlineStr">
        <is>
          <t>T</t>
        </is>
      </c>
      <c r="U38" s="140" t="inlineStr">
        <is>
          <t>T</t>
        </is>
      </c>
      <c r="V38" s="140" t="inlineStr">
        <is>
          <t>R</t>
        </is>
      </c>
      <c r="W38" s="140" t="inlineStr">
        <is>
          <t>R</t>
        </is>
      </c>
      <c r="X38" s="140" t="inlineStr">
        <is>
          <t>T</t>
        </is>
      </c>
      <c r="Y38" s="140" t="inlineStr">
        <is>
          <t>T</t>
        </is>
      </c>
      <c r="Z38" s="140" t="inlineStr">
        <is>
          <t>T</t>
        </is>
      </c>
      <c r="AA38" s="140" t="inlineStr">
        <is>
          <t>T</t>
        </is>
      </c>
      <c r="AB38" s="140" t="inlineStr">
        <is>
          <t>T</t>
        </is>
      </c>
      <c r="AC38" s="140" t="inlineStr">
        <is>
          <t>R</t>
        </is>
      </c>
      <c r="AD38" s="140" t="inlineStr">
        <is>
          <t>R</t>
        </is>
      </c>
      <c r="AE38" s="140" t="inlineStr">
        <is>
          <t>T</t>
        </is>
      </c>
      <c r="AF38" s="140" t="inlineStr">
        <is>
          <t>T</t>
        </is>
      </c>
      <c r="AG38" s="140" t="inlineStr">
        <is>
          <t>T</t>
        </is>
      </c>
      <c r="AH38" s="140" t="inlineStr">
        <is>
          <t>T</t>
        </is>
      </c>
      <c r="AI38" s="140" t="n"/>
    </row>
    <row r="39" ht="15" customHeight="1" thickBot="1">
      <c r="A39" s="137" t="n">
        <v>2</v>
      </c>
      <c r="B39" s="138" t="inlineStr">
        <is>
          <t>13010253</t>
        </is>
      </c>
      <c r="C39" s="139" t="inlineStr">
        <is>
          <t>AHMAD S. ALGHAMDI</t>
        </is>
      </c>
      <c r="D39" s="138" t="inlineStr">
        <is>
          <t>ACT/SUPV</t>
        </is>
      </c>
      <c r="E39" s="140" t="inlineStr">
        <is>
          <t>D</t>
        </is>
      </c>
      <c r="F39" s="140" t="inlineStr">
        <is>
          <t>D</t>
        </is>
      </c>
      <c r="G39" s="140" t="inlineStr">
        <is>
          <t>D</t>
        </is>
      </c>
      <c r="H39" s="140" t="inlineStr">
        <is>
          <t>D</t>
        </is>
      </c>
      <c r="I39" s="140" t="inlineStr">
        <is>
          <t>D</t>
        </is>
      </c>
      <c r="J39" s="140" t="inlineStr">
        <is>
          <t>R</t>
        </is>
      </c>
      <c r="K39" s="140" t="inlineStr">
        <is>
          <t>R</t>
        </is>
      </c>
      <c r="L39" s="140" t="inlineStr">
        <is>
          <t>D</t>
        </is>
      </c>
      <c r="M39" s="140" t="inlineStr">
        <is>
          <t>D</t>
        </is>
      </c>
      <c r="N39" s="140" t="inlineStr">
        <is>
          <t>D</t>
        </is>
      </c>
      <c r="O39" s="140" t="inlineStr">
        <is>
          <t>D</t>
        </is>
      </c>
      <c r="P39" s="140" t="inlineStr">
        <is>
          <t>D</t>
        </is>
      </c>
      <c r="Q39" s="140" t="inlineStr">
        <is>
          <t>R</t>
        </is>
      </c>
      <c r="R39" s="140" t="inlineStr">
        <is>
          <t>R</t>
        </is>
      </c>
      <c r="S39" s="140" t="inlineStr">
        <is>
          <t>T</t>
        </is>
      </c>
      <c r="T39" s="140" t="inlineStr">
        <is>
          <t>T</t>
        </is>
      </c>
      <c r="U39" s="140" t="inlineStr">
        <is>
          <t>T</t>
        </is>
      </c>
      <c r="V39" s="140" t="inlineStr">
        <is>
          <t>T</t>
        </is>
      </c>
      <c r="W39" s="140" t="inlineStr">
        <is>
          <t>T</t>
        </is>
      </c>
      <c r="X39" s="140" t="inlineStr">
        <is>
          <t>R</t>
        </is>
      </c>
      <c r="Y39" s="140" t="inlineStr">
        <is>
          <t>R</t>
        </is>
      </c>
      <c r="Z39" s="140" t="inlineStr">
        <is>
          <t>T</t>
        </is>
      </c>
      <c r="AA39" s="140" t="inlineStr">
        <is>
          <t>T</t>
        </is>
      </c>
      <c r="AB39" s="140" t="inlineStr">
        <is>
          <t>T</t>
        </is>
      </c>
      <c r="AC39" s="140" t="inlineStr">
        <is>
          <t>T</t>
        </is>
      </c>
      <c r="AD39" s="140" t="inlineStr">
        <is>
          <t>T</t>
        </is>
      </c>
      <c r="AE39" s="140" t="inlineStr">
        <is>
          <t>R</t>
        </is>
      </c>
      <c r="AF39" s="140" t="inlineStr">
        <is>
          <t>R</t>
        </is>
      </c>
      <c r="AG39" s="140" t="inlineStr">
        <is>
          <t>T</t>
        </is>
      </c>
      <c r="AH39" s="140" t="inlineStr">
        <is>
          <t>T</t>
        </is>
      </c>
      <c r="AI39" s="140" t="n"/>
    </row>
    <row r="40" ht="15" customHeight="1" thickBot="1">
      <c r="A40" s="137" t="n">
        <v>3</v>
      </c>
      <c r="B40" s="138" t="inlineStr">
        <is>
          <t>30004221</t>
        </is>
      </c>
      <c r="C40" s="139" t="inlineStr">
        <is>
          <t>YOUSEF BARIFAH</t>
        </is>
      </c>
      <c r="D40" s="138" t="inlineStr">
        <is>
          <t>TECH</t>
        </is>
      </c>
      <c r="E40" s="140" t="inlineStr">
        <is>
          <t>D</t>
        </is>
      </c>
      <c r="F40" s="140" t="inlineStr">
        <is>
          <t>D</t>
        </is>
      </c>
      <c r="G40" s="140" t="inlineStr">
        <is>
          <t>D</t>
        </is>
      </c>
      <c r="H40" s="140" t="inlineStr">
        <is>
          <t>D</t>
        </is>
      </c>
      <c r="I40" s="140" t="inlineStr">
        <is>
          <t>D</t>
        </is>
      </c>
      <c r="J40" s="140" t="inlineStr">
        <is>
          <t>R</t>
        </is>
      </c>
      <c r="K40" s="140" t="inlineStr">
        <is>
          <t>R</t>
        </is>
      </c>
      <c r="L40" s="140" t="inlineStr">
        <is>
          <t>D</t>
        </is>
      </c>
      <c r="M40" s="140" t="inlineStr">
        <is>
          <t>D</t>
        </is>
      </c>
      <c r="N40" s="140" t="inlineStr">
        <is>
          <t>D</t>
        </is>
      </c>
      <c r="O40" s="140" t="inlineStr">
        <is>
          <t>D</t>
        </is>
      </c>
      <c r="P40" s="140" t="inlineStr">
        <is>
          <t>D</t>
        </is>
      </c>
      <c r="Q40" s="140" t="inlineStr">
        <is>
          <t>R</t>
        </is>
      </c>
      <c r="R40" s="140" t="inlineStr">
        <is>
          <t>R</t>
        </is>
      </c>
      <c r="S40" s="140" t="inlineStr">
        <is>
          <t>T</t>
        </is>
      </c>
      <c r="T40" s="140" t="inlineStr">
        <is>
          <t>T</t>
        </is>
      </c>
      <c r="U40" s="140" t="inlineStr">
        <is>
          <t>T</t>
        </is>
      </c>
      <c r="V40" s="140" t="inlineStr">
        <is>
          <t>T</t>
        </is>
      </c>
      <c r="W40" s="140" t="inlineStr">
        <is>
          <t>T</t>
        </is>
      </c>
      <c r="X40" s="140" t="inlineStr">
        <is>
          <t>R</t>
        </is>
      </c>
      <c r="Y40" s="140" t="inlineStr">
        <is>
          <t>R</t>
        </is>
      </c>
      <c r="Z40" s="140" t="inlineStr">
        <is>
          <t>T</t>
        </is>
      </c>
      <c r="AA40" s="140" t="inlineStr">
        <is>
          <t>T</t>
        </is>
      </c>
      <c r="AB40" s="140" t="inlineStr">
        <is>
          <t>T</t>
        </is>
      </c>
      <c r="AC40" s="140" t="inlineStr">
        <is>
          <t>T</t>
        </is>
      </c>
      <c r="AD40" s="140" t="inlineStr">
        <is>
          <t>T</t>
        </is>
      </c>
      <c r="AE40" s="140" t="inlineStr">
        <is>
          <t>R</t>
        </is>
      </c>
      <c r="AF40" s="140" t="inlineStr">
        <is>
          <t>R</t>
        </is>
      </c>
      <c r="AG40" s="140" t="inlineStr">
        <is>
          <t>T</t>
        </is>
      </c>
      <c r="AH40" s="140" t="inlineStr">
        <is>
          <t>T</t>
        </is>
      </c>
      <c r="AI40" s="140" t="n"/>
    </row>
    <row r="41" ht="15" customHeight="1" thickBot="1">
      <c r="A41" s="137" t="n">
        <v>4</v>
      </c>
      <c r="B41" s="138" t="inlineStr">
        <is>
          <t>30001345</t>
        </is>
      </c>
      <c r="C41" s="139" t="inlineStr">
        <is>
          <t>AHMED ALSHARIF</t>
        </is>
      </c>
      <c r="D41" s="138" t="inlineStr">
        <is>
          <t>TECH</t>
        </is>
      </c>
      <c r="E41" s="140" t="inlineStr">
        <is>
          <t>D</t>
        </is>
      </c>
      <c r="F41" s="140" t="inlineStr">
        <is>
          <t>D</t>
        </is>
      </c>
      <c r="G41" s="140" t="inlineStr">
        <is>
          <t>D</t>
        </is>
      </c>
      <c r="H41" s="140" t="inlineStr">
        <is>
          <t>R</t>
        </is>
      </c>
      <c r="I41" s="140" t="inlineStr">
        <is>
          <t>R</t>
        </is>
      </c>
      <c r="J41" s="140" t="inlineStr">
        <is>
          <t>D</t>
        </is>
      </c>
      <c r="K41" s="140" t="inlineStr">
        <is>
          <t>D</t>
        </is>
      </c>
      <c r="L41" s="140" t="inlineStr">
        <is>
          <t>D</t>
        </is>
      </c>
      <c r="M41" s="140" t="inlineStr">
        <is>
          <t>D</t>
        </is>
      </c>
      <c r="N41" s="140" t="inlineStr">
        <is>
          <t>D</t>
        </is>
      </c>
      <c r="O41" s="140" t="inlineStr">
        <is>
          <t>R</t>
        </is>
      </c>
      <c r="P41" s="140" t="inlineStr">
        <is>
          <t>R</t>
        </is>
      </c>
      <c r="Q41" s="140" t="inlineStr">
        <is>
          <t>T</t>
        </is>
      </c>
      <c r="R41" s="140" t="inlineStr">
        <is>
          <t>T</t>
        </is>
      </c>
      <c r="S41" s="140" t="inlineStr">
        <is>
          <t>T</t>
        </is>
      </c>
      <c r="T41" s="140" t="inlineStr">
        <is>
          <t>T</t>
        </is>
      </c>
      <c r="U41" s="140" t="inlineStr">
        <is>
          <t>T</t>
        </is>
      </c>
      <c r="V41" s="140" t="inlineStr">
        <is>
          <t>R</t>
        </is>
      </c>
      <c r="W41" s="140" t="inlineStr">
        <is>
          <t>R</t>
        </is>
      </c>
      <c r="X41" s="140" t="inlineStr">
        <is>
          <t>T</t>
        </is>
      </c>
      <c r="Y41" s="140" t="inlineStr">
        <is>
          <t>T</t>
        </is>
      </c>
      <c r="Z41" s="140" t="inlineStr">
        <is>
          <t>T</t>
        </is>
      </c>
      <c r="AA41" s="140" t="inlineStr">
        <is>
          <t>T</t>
        </is>
      </c>
      <c r="AB41" s="140" t="inlineStr">
        <is>
          <t>T</t>
        </is>
      </c>
      <c r="AC41" s="140" t="inlineStr">
        <is>
          <t>R</t>
        </is>
      </c>
      <c r="AD41" s="140" t="inlineStr">
        <is>
          <t>R</t>
        </is>
      </c>
      <c r="AE41" s="140" t="inlineStr">
        <is>
          <t>T</t>
        </is>
      </c>
      <c r="AF41" s="140" t="inlineStr">
        <is>
          <t>T</t>
        </is>
      </c>
      <c r="AG41" s="140" t="inlineStr">
        <is>
          <t>T</t>
        </is>
      </c>
      <c r="AH41" s="140" t="inlineStr">
        <is>
          <t>T</t>
        </is>
      </c>
      <c r="AI41" s="140" t="n"/>
    </row>
    <row r="42" ht="15" customHeight="1" thickBot="1">
      <c r="A42" s="137" t="n">
        <v>5</v>
      </c>
      <c r="B42" s="138" t="inlineStr">
        <is>
          <t>30001575</t>
        </is>
      </c>
      <c r="C42" s="139" t="inlineStr">
        <is>
          <t>FADUL A. FADUL</t>
        </is>
      </c>
      <c r="D42" s="138" t="inlineStr">
        <is>
          <t>OJT</t>
        </is>
      </c>
      <c r="E42" s="140" t="inlineStr">
        <is>
          <t>D</t>
        </is>
      </c>
      <c r="F42" s="140" t="inlineStr">
        <is>
          <t>D</t>
        </is>
      </c>
      <c r="G42" s="140" t="inlineStr">
        <is>
          <t>D</t>
        </is>
      </c>
      <c r="H42" s="140" t="inlineStr">
        <is>
          <t>R</t>
        </is>
      </c>
      <c r="I42" s="140" t="inlineStr">
        <is>
          <t>R</t>
        </is>
      </c>
      <c r="J42" s="140" t="inlineStr">
        <is>
          <t>D</t>
        </is>
      </c>
      <c r="K42" s="140" t="inlineStr">
        <is>
          <t>D</t>
        </is>
      </c>
      <c r="L42" s="140" t="inlineStr">
        <is>
          <t>D</t>
        </is>
      </c>
      <c r="M42" s="140" t="inlineStr">
        <is>
          <t>D</t>
        </is>
      </c>
      <c r="N42" s="140" t="inlineStr">
        <is>
          <t>D</t>
        </is>
      </c>
      <c r="O42" s="140" t="inlineStr">
        <is>
          <t>R</t>
        </is>
      </c>
      <c r="P42" s="140" t="inlineStr">
        <is>
          <t>R</t>
        </is>
      </c>
      <c r="Q42" s="140" t="inlineStr">
        <is>
          <t>R</t>
        </is>
      </c>
      <c r="R42" s="140" t="inlineStr">
        <is>
          <t>R</t>
        </is>
      </c>
      <c r="S42" s="140" t="inlineStr">
        <is>
          <t>T</t>
        </is>
      </c>
      <c r="T42" s="140" t="inlineStr">
        <is>
          <t>T</t>
        </is>
      </c>
      <c r="U42" s="140" t="inlineStr">
        <is>
          <t>T</t>
        </is>
      </c>
      <c r="V42" s="140" t="inlineStr">
        <is>
          <t>T</t>
        </is>
      </c>
      <c r="W42" s="140" t="inlineStr">
        <is>
          <t>T</t>
        </is>
      </c>
      <c r="X42" s="140" t="inlineStr">
        <is>
          <t>R</t>
        </is>
      </c>
      <c r="Y42" s="140" t="inlineStr">
        <is>
          <t>R</t>
        </is>
      </c>
      <c r="Z42" s="140" t="inlineStr">
        <is>
          <t>T</t>
        </is>
      </c>
      <c r="AA42" s="140" t="inlineStr">
        <is>
          <t>T</t>
        </is>
      </c>
      <c r="AB42" s="140" t="inlineStr">
        <is>
          <t>T</t>
        </is>
      </c>
      <c r="AC42" s="140" t="inlineStr">
        <is>
          <t>T</t>
        </is>
      </c>
      <c r="AD42" s="140" t="inlineStr">
        <is>
          <t>T</t>
        </is>
      </c>
      <c r="AE42" s="140" t="inlineStr">
        <is>
          <t>R</t>
        </is>
      </c>
      <c r="AF42" s="140" t="inlineStr">
        <is>
          <t>R</t>
        </is>
      </c>
      <c r="AG42" s="140" t="inlineStr">
        <is>
          <t>T</t>
        </is>
      </c>
      <c r="AH42" s="140" t="inlineStr">
        <is>
          <t>T</t>
        </is>
      </c>
      <c r="AI42" s="140" t="n"/>
    </row>
    <row r="43" ht="15" customHeight="1" thickBot="1">
      <c r="A43" s="137" t="n">
        <v>6</v>
      </c>
      <c r="B43" s="138" t="inlineStr">
        <is>
          <t>30001577</t>
        </is>
      </c>
      <c r="C43" s="139" t="inlineStr">
        <is>
          <t>FOUAD A. MOJALLY</t>
        </is>
      </c>
      <c r="D43" s="138" t="inlineStr">
        <is>
          <t>OJT</t>
        </is>
      </c>
      <c r="E43" s="140" t="inlineStr">
        <is>
          <t>D</t>
        </is>
      </c>
      <c r="F43" s="140" t="inlineStr">
        <is>
          <t>D</t>
        </is>
      </c>
      <c r="G43" s="140" t="inlineStr">
        <is>
          <t>D</t>
        </is>
      </c>
      <c r="H43" s="140" t="inlineStr">
        <is>
          <t>R</t>
        </is>
      </c>
      <c r="I43" s="140" t="inlineStr">
        <is>
          <t>R</t>
        </is>
      </c>
      <c r="J43" s="140" t="inlineStr">
        <is>
          <t>D</t>
        </is>
      </c>
      <c r="K43" s="140" t="inlineStr">
        <is>
          <t>D</t>
        </is>
      </c>
      <c r="L43" s="140" t="inlineStr">
        <is>
          <t>D</t>
        </is>
      </c>
      <c r="M43" s="140" t="inlineStr">
        <is>
          <t>D</t>
        </is>
      </c>
      <c r="N43" s="140" t="inlineStr">
        <is>
          <t>D</t>
        </is>
      </c>
      <c r="O43" s="140" t="inlineStr">
        <is>
          <t>R</t>
        </is>
      </c>
      <c r="P43" s="140" t="inlineStr">
        <is>
          <t>R</t>
        </is>
      </c>
      <c r="Q43" s="140" t="inlineStr">
        <is>
          <t>T</t>
        </is>
      </c>
      <c r="R43" s="140" t="inlineStr">
        <is>
          <t>T</t>
        </is>
      </c>
      <c r="S43" s="140" t="inlineStr">
        <is>
          <t>T</t>
        </is>
      </c>
      <c r="T43" s="140" t="inlineStr">
        <is>
          <t>T</t>
        </is>
      </c>
      <c r="U43" s="140" t="inlineStr">
        <is>
          <t>T</t>
        </is>
      </c>
      <c r="V43" s="140" t="inlineStr">
        <is>
          <t>R</t>
        </is>
      </c>
      <c r="W43" s="140" t="inlineStr">
        <is>
          <t>R</t>
        </is>
      </c>
      <c r="X43" s="140" t="inlineStr">
        <is>
          <t>T</t>
        </is>
      </c>
      <c r="Y43" s="140" t="inlineStr">
        <is>
          <t>T</t>
        </is>
      </c>
      <c r="Z43" s="140" t="inlineStr">
        <is>
          <t>T</t>
        </is>
      </c>
      <c r="AA43" s="140" t="inlineStr">
        <is>
          <t>T</t>
        </is>
      </c>
      <c r="AB43" s="140" t="inlineStr">
        <is>
          <t>T</t>
        </is>
      </c>
      <c r="AC43" s="140" t="inlineStr">
        <is>
          <t>R</t>
        </is>
      </c>
      <c r="AD43" s="140" t="inlineStr">
        <is>
          <t>R</t>
        </is>
      </c>
      <c r="AE43" s="140" t="inlineStr">
        <is>
          <t>T</t>
        </is>
      </c>
      <c r="AF43" s="140" t="inlineStr">
        <is>
          <t>T</t>
        </is>
      </c>
      <c r="AG43" s="140" t="inlineStr">
        <is>
          <t>T</t>
        </is>
      </c>
      <c r="AH43" s="140" t="inlineStr">
        <is>
          <t>T</t>
        </is>
      </c>
      <c r="AI43" s="140" t="n"/>
    </row>
    <row r="44" ht="15" customHeight="1" thickBot="1">
      <c r="A44" s="137" t="n">
        <v>7</v>
      </c>
      <c r="B44" s="138" t="inlineStr">
        <is>
          <t>40000188</t>
        </is>
      </c>
      <c r="C44" s="139" t="inlineStr">
        <is>
          <t>RAKAN AGILY</t>
        </is>
      </c>
      <c r="D44" s="138" t="inlineStr">
        <is>
          <t>TECH</t>
        </is>
      </c>
      <c r="E44" s="140" t="inlineStr">
        <is>
          <t>D</t>
        </is>
      </c>
      <c r="F44" s="140" t="inlineStr">
        <is>
          <t>D</t>
        </is>
      </c>
      <c r="G44" s="140" t="inlineStr">
        <is>
          <t>D</t>
        </is>
      </c>
      <c r="H44" s="140" t="inlineStr">
        <is>
          <t>R</t>
        </is>
      </c>
      <c r="I44" s="140" t="inlineStr">
        <is>
          <t>R</t>
        </is>
      </c>
      <c r="J44" s="140" t="inlineStr">
        <is>
          <t>D</t>
        </is>
      </c>
      <c r="K44" s="140" t="inlineStr">
        <is>
          <t>D</t>
        </is>
      </c>
      <c r="L44" s="140" t="inlineStr">
        <is>
          <t>D</t>
        </is>
      </c>
      <c r="M44" s="140" t="inlineStr">
        <is>
          <t>D</t>
        </is>
      </c>
      <c r="N44" s="140" t="inlineStr">
        <is>
          <t>D</t>
        </is>
      </c>
      <c r="O44" s="140" t="inlineStr">
        <is>
          <t>R</t>
        </is>
      </c>
      <c r="P44" s="140" t="inlineStr">
        <is>
          <t>R</t>
        </is>
      </c>
      <c r="Q44" s="140" t="inlineStr">
        <is>
          <t>T</t>
        </is>
      </c>
      <c r="R44" s="140" t="inlineStr">
        <is>
          <t>T</t>
        </is>
      </c>
      <c r="S44" s="140" t="inlineStr">
        <is>
          <t>T</t>
        </is>
      </c>
      <c r="T44" s="140" t="inlineStr">
        <is>
          <t>T</t>
        </is>
      </c>
      <c r="U44" s="140" t="inlineStr">
        <is>
          <t>T</t>
        </is>
      </c>
      <c r="V44" s="140" t="inlineStr">
        <is>
          <t>R</t>
        </is>
      </c>
      <c r="W44" s="140" t="inlineStr">
        <is>
          <t>R</t>
        </is>
      </c>
      <c r="X44" s="140" t="inlineStr">
        <is>
          <t>T</t>
        </is>
      </c>
      <c r="Y44" s="140" t="inlineStr">
        <is>
          <t>T</t>
        </is>
      </c>
      <c r="Z44" s="140" t="inlineStr">
        <is>
          <t>T</t>
        </is>
      </c>
      <c r="AA44" s="140" t="inlineStr">
        <is>
          <t>T</t>
        </is>
      </c>
      <c r="AB44" s="140" t="inlineStr">
        <is>
          <t>T</t>
        </is>
      </c>
      <c r="AC44" s="140" t="inlineStr">
        <is>
          <t>R</t>
        </is>
      </c>
      <c r="AD44" s="140" t="inlineStr">
        <is>
          <t>R</t>
        </is>
      </c>
      <c r="AE44" s="140" t="inlineStr">
        <is>
          <t>T</t>
        </is>
      </c>
      <c r="AF44" s="140" t="inlineStr">
        <is>
          <t>T</t>
        </is>
      </c>
      <c r="AG44" s="140" t="inlineStr">
        <is>
          <t>T</t>
        </is>
      </c>
      <c r="AH44" s="140" t="inlineStr">
        <is>
          <t>T</t>
        </is>
      </c>
      <c r="AI44" s="140" t="n"/>
    </row>
    <row r="45" ht="15" customHeight="1" thickBot="1">
      <c r="A45" s="137" t="n">
        <v>8</v>
      </c>
      <c r="B45" s="138" t="inlineStr">
        <is>
          <t>40000706</t>
        </is>
      </c>
      <c r="C45" s="139" t="inlineStr">
        <is>
          <t>JASON C. GUEVARRA</t>
        </is>
      </c>
      <c r="D45" s="138" t="inlineStr">
        <is>
          <t>TECH</t>
        </is>
      </c>
      <c r="E45" s="140" t="n"/>
      <c r="F45" s="140" t="n"/>
      <c r="G45" s="140" t="n"/>
      <c r="H45" s="140" t="n"/>
      <c r="I45" s="140" t="n"/>
      <c r="J45" s="140" t="n"/>
      <c r="K45" s="140" t="n"/>
      <c r="L45" s="140" t="n"/>
      <c r="M45" s="140" t="n"/>
      <c r="N45" s="140" t="n"/>
      <c r="O45" s="140" t="n"/>
      <c r="P45" s="140" t="n"/>
      <c r="Q45" s="140" t="n"/>
      <c r="R45" s="140" t="n"/>
      <c r="S45" s="140" t="n"/>
      <c r="T45" s="140" t="n"/>
      <c r="U45" s="140" t="n"/>
      <c r="V45" s="140" t="n"/>
      <c r="W45" s="140" t="n"/>
      <c r="X45" s="140" t="n"/>
      <c r="Y45" s="140" t="n"/>
      <c r="Z45" s="140" t="n"/>
      <c r="AA45" s="140" t="n"/>
      <c r="AB45" s="140" t="n"/>
      <c r="AC45" s="140" t="n"/>
      <c r="AD45" s="140" t="n"/>
      <c r="AE45" s="140" t="n"/>
      <c r="AF45" s="140" t="n"/>
      <c r="AG45" s="140" t="n"/>
      <c r="AH45" s="140" t="n"/>
      <c r="AI45" s="140" t="n"/>
    </row>
    <row r="46" ht="15" customHeight="1" thickBot="1">
      <c r="A46" s="137" t="n">
        <v>9</v>
      </c>
      <c r="B46" s="138" t="inlineStr">
        <is>
          <t>30004838</t>
        </is>
      </c>
      <c r="C46" s="139" t="inlineStr">
        <is>
          <t>MUAED MEERA</t>
        </is>
      </c>
      <c r="D46" s="138" t="inlineStr">
        <is>
          <t>TECH</t>
        </is>
      </c>
      <c r="E46" s="140" t="inlineStr">
        <is>
          <t>D</t>
        </is>
      </c>
      <c r="F46" s="140" t="inlineStr">
        <is>
          <t>D</t>
        </is>
      </c>
      <c r="G46" s="140" t="inlineStr">
        <is>
          <t>D</t>
        </is>
      </c>
      <c r="H46" s="140" t="inlineStr">
        <is>
          <t>R</t>
        </is>
      </c>
      <c r="I46" s="140" t="inlineStr">
        <is>
          <t>R</t>
        </is>
      </c>
      <c r="J46" s="140" t="inlineStr">
        <is>
          <t>D</t>
        </is>
      </c>
      <c r="K46" s="140" t="inlineStr">
        <is>
          <t>D</t>
        </is>
      </c>
      <c r="L46" s="140" t="inlineStr">
        <is>
          <t>D</t>
        </is>
      </c>
      <c r="M46" s="140" t="inlineStr">
        <is>
          <t>D</t>
        </is>
      </c>
      <c r="N46" s="140" t="inlineStr">
        <is>
          <t>D</t>
        </is>
      </c>
      <c r="O46" s="140" t="inlineStr">
        <is>
          <t>R</t>
        </is>
      </c>
      <c r="P46" s="140" t="inlineStr">
        <is>
          <t>R</t>
        </is>
      </c>
      <c r="Q46" s="140" t="inlineStr">
        <is>
          <t>R</t>
        </is>
      </c>
      <c r="R46" s="140" t="inlineStr">
        <is>
          <t>R</t>
        </is>
      </c>
      <c r="S46" s="140" t="inlineStr">
        <is>
          <t>T</t>
        </is>
      </c>
      <c r="T46" s="140" t="inlineStr">
        <is>
          <t>T</t>
        </is>
      </c>
      <c r="U46" s="140" t="inlineStr">
        <is>
          <t>T</t>
        </is>
      </c>
      <c r="V46" s="140" t="inlineStr">
        <is>
          <t>T</t>
        </is>
      </c>
      <c r="W46" s="140" t="inlineStr">
        <is>
          <t>T</t>
        </is>
      </c>
      <c r="X46" s="140" t="inlineStr">
        <is>
          <t>R</t>
        </is>
      </c>
      <c r="Y46" s="140" t="inlineStr">
        <is>
          <t>R</t>
        </is>
      </c>
      <c r="Z46" s="140" t="inlineStr">
        <is>
          <t>T</t>
        </is>
      </c>
      <c r="AA46" s="140" t="inlineStr">
        <is>
          <t>T</t>
        </is>
      </c>
      <c r="AB46" s="140" t="inlineStr">
        <is>
          <t>T</t>
        </is>
      </c>
      <c r="AC46" s="140" t="inlineStr">
        <is>
          <t>T</t>
        </is>
      </c>
      <c r="AD46" s="140" t="inlineStr">
        <is>
          <t>T</t>
        </is>
      </c>
      <c r="AE46" s="140" t="inlineStr">
        <is>
          <t>R</t>
        </is>
      </c>
      <c r="AF46" s="140" t="inlineStr">
        <is>
          <t>R</t>
        </is>
      </c>
      <c r="AG46" s="140" t="inlineStr">
        <is>
          <t>T</t>
        </is>
      </c>
      <c r="AH46" s="140" t="inlineStr">
        <is>
          <t>T</t>
        </is>
      </c>
      <c r="AI46" s="140" t="n"/>
    </row>
    <row r="47" ht="15" customHeight="1" thickBot="1">
      <c r="A47" s="137" t="n">
        <v>10</v>
      </c>
      <c r="B47" s="138" t="inlineStr">
        <is>
          <t>13009023</t>
        </is>
      </c>
      <c r="C47" s="139" t="inlineStr">
        <is>
          <t>SAMEER ALDUSUQI</t>
        </is>
      </c>
      <c r="D47" s="138" t="inlineStr">
        <is>
          <t>FITTER</t>
        </is>
      </c>
      <c r="E47" s="140" t="inlineStr">
        <is>
          <t>V</t>
        </is>
      </c>
      <c r="F47" s="140" t="inlineStr">
        <is>
          <t>V</t>
        </is>
      </c>
      <c r="G47" s="140" t="inlineStr">
        <is>
          <t>V</t>
        </is>
      </c>
      <c r="H47" s="140" t="inlineStr">
        <is>
          <t>V</t>
        </is>
      </c>
      <c r="I47" s="140" t="inlineStr">
        <is>
          <t>V</t>
        </is>
      </c>
      <c r="J47" s="140" t="inlineStr">
        <is>
          <t>V</t>
        </is>
      </c>
      <c r="K47" s="140" t="inlineStr">
        <is>
          <t>V</t>
        </is>
      </c>
      <c r="L47" s="140" t="inlineStr">
        <is>
          <t>V</t>
        </is>
      </c>
      <c r="M47" s="140" t="inlineStr">
        <is>
          <t>V</t>
        </is>
      </c>
      <c r="N47" s="140" t="inlineStr">
        <is>
          <t>V</t>
        </is>
      </c>
      <c r="O47" s="140" t="inlineStr">
        <is>
          <t>V</t>
        </is>
      </c>
      <c r="P47" s="140" t="inlineStr">
        <is>
          <t>V</t>
        </is>
      </c>
      <c r="Q47" s="140" t="inlineStr">
        <is>
          <t>V</t>
        </is>
      </c>
      <c r="R47" s="140" t="inlineStr">
        <is>
          <t>V</t>
        </is>
      </c>
      <c r="S47" s="140" t="inlineStr">
        <is>
          <t>V</t>
        </is>
      </c>
      <c r="T47" s="140" t="inlineStr">
        <is>
          <t>V</t>
        </is>
      </c>
      <c r="U47" s="140" t="inlineStr">
        <is>
          <t>V</t>
        </is>
      </c>
      <c r="V47" s="140" t="inlineStr">
        <is>
          <t>V</t>
        </is>
      </c>
      <c r="W47" s="140" t="inlineStr">
        <is>
          <t>V</t>
        </is>
      </c>
      <c r="X47" s="140" t="inlineStr">
        <is>
          <t>V</t>
        </is>
      </c>
      <c r="Y47" s="140" t="inlineStr">
        <is>
          <t>V</t>
        </is>
      </c>
      <c r="Z47" s="140" t="inlineStr">
        <is>
          <t>V</t>
        </is>
      </c>
      <c r="AA47" s="140" t="inlineStr">
        <is>
          <t>V</t>
        </is>
      </c>
      <c r="AB47" s="140" t="inlineStr">
        <is>
          <t>V</t>
        </is>
      </c>
      <c r="AC47" s="140" t="inlineStr">
        <is>
          <t>V</t>
        </is>
      </c>
      <c r="AD47" s="140" t="inlineStr">
        <is>
          <t>V</t>
        </is>
      </c>
      <c r="AE47" s="140" t="inlineStr">
        <is>
          <t>V</t>
        </is>
      </c>
      <c r="AF47" s="140" t="inlineStr">
        <is>
          <t>V</t>
        </is>
      </c>
      <c r="AG47" s="140" t="inlineStr">
        <is>
          <t>V</t>
        </is>
      </c>
      <c r="AH47" s="140" t="inlineStr">
        <is>
          <t>V</t>
        </is>
      </c>
      <c r="AI47" s="140" t="n"/>
    </row>
    <row r="48" ht="15" customHeight="1" thickBot="1">
      <c r="A48" s="137" t="n">
        <v>11</v>
      </c>
      <c r="B48" s="138" t="inlineStr">
        <is>
          <t>30003357</t>
        </is>
      </c>
      <c r="C48" s="139" t="inlineStr">
        <is>
          <t>FAISAL ALHARTHI</t>
        </is>
      </c>
      <c r="D48" s="138" t="inlineStr">
        <is>
          <t>TECH</t>
        </is>
      </c>
      <c r="E48" s="140" t="inlineStr">
        <is>
          <t>D</t>
        </is>
      </c>
      <c r="F48" s="140" t="inlineStr">
        <is>
          <t>D</t>
        </is>
      </c>
      <c r="G48" s="140" t="inlineStr">
        <is>
          <t>D</t>
        </is>
      </c>
      <c r="H48" s="140" t="inlineStr">
        <is>
          <t>R</t>
        </is>
      </c>
      <c r="I48" s="140" t="inlineStr">
        <is>
          <t>R</t>
        </is>
      </c>
      <c r="J48" s="140" t="inlineStr">
        <is>
          <t>D</t>
        </is>
      </c>
      <c r="K48" s="140" t="inlineStr">
        <is>
          <t>D</t>
        </is>
      </c>
      <c r="L48" s="140" t="inlineStr">
        <is>
          <t>D</t>
        </is>
      </c>
      <c r="M48" s="140" t="inlineStr">
        <is>
          <t>D</t>
        </is>
      </c>
      <c r="N48" s="140" t="inlineStr">
        <is>
          <t>D</t>
        </is>
      </c>
      <c r="O48" s="140" t="inlineStr">
        <is>
          <t>R</t>
        </is>
      </c>
      <c r="P48" s="140" t="inlineStr">
        <is>
          <t>R</t>
        </is>
      </c>
      <c r="Q48" s="140" t="inlineStr">
        <is>
          <t>R</t>
        </is>
      </c>
      <c r="R48" s="140" t="inlineStr">
        <is>
          <t>R</t>
        </is>
      </c>
      <c r="S48" s="140" t="inlineStr">
        <is>
          <t>T</t>
        </is>
      </c>
      <c r="T48" s="140" t="inlineStr">
        <is>
          <t>T</t>
        </is>
      </c>
      <c r="U48" s="140" t="inlineStr">
        <is>
          <t>T</t>
        </is>
      </c>
      <c r="V48" s="140" t="inlineStr">
        <is>
          <t>T</t>
        </is>
      </c>
      <c r="W48" s="140" t="inlineStr">
        <is>
          <t>T</t>
        </is>
      </c>
      <c r="X48" s="140" t="inlineStr">
        <is>
          <t>R</t>
        </is>
      </c>
      <c r="Y48" s="140" t="inlineStr">
        <is>
          <t>R</t>
        </is>
      </c>
      <c r="Z48" s="140" t="inlineStr">
        <is>
          <t>T</t>
        </is>
      </c>
      <c r="AA48" s="140" t="inlineStr">
        <is>
          <t>T</t>
        </is>
      </c>
      <c r="AB48" s="140" t="inlineStr">
        <is>
          <t>T</t>
        </is>
      </c>
      <c r="AC48" s="140" t="inlineStr">
        <is>
          <t>T</t>
        </is>
      </c>
      <c r="AD48" s="140" t="inlineStr">
        <is>
          <t>T</t>
        </is>
      </c>
      <c r="AE48" s="140" t="inlineStr">
        <is>
          <t>R</t>
        </is>
      </c>
      <c r="AF48" s="140" t="inlineStr">
        <is>
          <t>R</t>
        </is>
      </c>
      <c r="AG48" s="140" t="inlineStr">
        <is>
          <t>T</t>
        </is>
      </c>
      <c r="AH48" s="140" t="inlineStr">
        <is>
          <t>T</t>
        </is>
      </c>
      <c r="AI48" s="140" t="n"/>
    </row>
    <row r="49" ht="15" customHeight="1" thickBot="1">
      <c r="A49" s="137" t="n">
        <v>12</v>
      </c>
      <c r="B49" s="138" t="inlineStr">
        <is>
          <t>30001573</t>
        </is>
      </c>
      <c r="C49" s="139" t="inlineStr">
        <is>
          <t>JEHAD M. HAKAMI</t>
        </is>
      </c>
      <c r="D49" s="138" t="inlineStr">
        <is>
          <t>OJT</t>
        </is>
      </c>
      <c r="E49" s="140" t="inlineStr">
        <is>
          <t>D</t>
        </is>
      </c>
      <c r="F49" s="140" t="inlineStr">
        <is>
          <t>D</t>
        </is>
      </c>
      <c r="G49" s="140" t="inlineStr">
        <is>
          <t>D</t>
        </is>
      </c>
      <c r="H49" s="140" t="inlineStr">
        <is>
          <t>R</t>
        </is>
      </c>
      <c r="I49" s="140" t="inlineStr">
        <is>
          <t>R</t>
        </is>
      </c>
      <c r="J49" s="140" t="inlineStr">
        <is>
          <t>D</t>
        </is>
      </c>
      <c r="K49" s="140" t="inlineStr">
        <is>
          <t>D</t>
        </is>
      </c>
      <c r="L49" s="140" t="inlineStr">
        <is>
          <t>D</t>
        </is>
      </c>
      <c r="M49" s="140" t="inlineStr">
        <is>
          <t>D</t>
        </is>
      </c>
      <c r="N49" s="140" t="inlineStr">
        <is>
          <t>D</t>
        </is>
      </c>
      <c r="O49" s="140" t="inlineStr">
        <is>
          <t>R</t>
        </is>
      </c>
      <c r="P49" s="140" t="inlineStr">
        <is>
          <t>R</t>
        </is>
      </c>
      <c r="Q49" s="140" t="inlineStr">
        <is>
          <t>R</t>
        </is>
      </c>
      <c r="R49" s="140" t="inlineStr">
        <is>
          <t>R</t>
        </is>
      </c>
      <c r="S49" s="140" t="inlineStr">
        <is>
          <t>T</t>
        </is>
      </c>
      <c r="T49" s="140" t="inlineStr">
        <is>
          <t>T</t>
        </is>
      </c>
      <c r="U49" s="140" t="inlineStr">
        <is>
          <t>T</t>
        </is>
      </c>
      <c r="V49" s="140" t="inlineStr">
        <is>
          <t>T</t>
        </is>
      </c>
      <c r="W49" s="140" t="inlineStr">
        <is>
          <t>T</t>
        </is>
      </c>
      <c r="X49" s="140" t="inlineStr">
        <is>
          <t>R</t>
        </is>
      </c>
      <c r="Y49" s="140" t="inlineStr">
        <is>
          <t>R</t>
        </is>
      </c>
      <c r="Z49" s="140" t="inlineStr">
        <is>
          <t>T</t>
        </is>
      </c>
      <c r="AA49" s="140" t="inlineStr">
        <is>
          <t>T</t>
        </is>
      </c>
      <c r="AB49" s="140" t="inlineStr">
        <is>
          <t>T</t>
        </is>
      </c>
      <c r="AC49" s="140" t="inlineStr">
        <is>
          <t>T</t>
        </is>
      </c>
      <c r="AD49" s="140" t="inlineStr">
        <is>
          <t>T</t>
        </is>
      </c>
      <c r="AE49" s="140" t="inlineStr">
        <is>
          <t>R</t>
        </is>
      </c>
      <c r="AF49" s="140" t="inlineStr">
        <is>
          <t>R</t>
        </is>
      </c>
      <c r="AG49" s="140" t="inlineStr">
        <is>
          <t>T</t>
        </is>
      </c>
      <c r="AH49" s="140" t="inlineStr">
        <is>
          <t>T</t>
        </is>
      </c>
      <c r="AI49" s="140" t="n"/>
    </row>
    <row r="50" ht="15" customHeight="1" thickBot="1">
      <c r="A50" s="137" t="n">
        <v>13</v>
      </c>
      <c r="B50" s="138" t="inlineStr">
        <is>
          <t>30004358</t>
        </is>
      </c>
      <c r="C50" s="139" t="inlineStr">
        <is>
          <t>SALMAN ALJAADANI</t>
        </is>
      </c>
      <c r="D50" s="138" t="inlineStr">
        <is>
          <t>TECH</t>
        </is>
      </c>
      <c r="E50" s="140" t="inlineStr">
        <is>
          <t>D</t>
        </is>
      </c>
      <c r="F50" s="140" t="inlineStr">
        <is>
          <t>D</t>
        </is>
      </c>
      <c r="G50" s="140" t="inlineStr">
        <is>
          <t>D</t>
        </is>
      </c>
      <c r="H50" s="140" t="inlineStr">
        <is>
          <t>R</t>
        </is>
      </c>
      <c r="I50" s="140" t="inlineStr">
        <is>
          <t>R</t>
        </is>
      </c>
      <c r="J50" s="140" t="inlineStr">
        <is>
          <t>D</t>
        </is>
      </c>
      <c r="K50" s="140" t="inlineStr">
        <is>
          <t>D</t>
        </is>
      </c>
      <c r="L50" s="140" t="inlineStr">
        <is>
          <t>D</t>
        </is>
      </c>
      <c r="M50" s="140" t="inlineStr">
        <is>
          <t>D</t>
        </is>
      </c>
      <c r="N50" s="140" t="inlineStr">
        <is>
          <t>D</t>
        </is>
      </c>
      <c r="O50" s="140" t="inlineStr">
        <is>
          <t>R</t>
        </is>
      </c>
      <c r="P50" s="140" t="inlineStr">
        <is>
          <t>R</t>
        </is>
      </c>
      <c r="Q50" s="140" t="inlineStr">
        <is>
          <t>T</t>
        </is>
      </c>
      <c r="R50" s="140" t="inlineStr">
        <is>
          <t>T</t>
        </is>
      </c>
      <c r="S50" s="140" t="inlineStr">
        <is>
          <t>T</t>
        </is>
      </c>
      <c r="T50" s="140" t="inlineStr">
        <is>
          <t>T</t>
        </is>
      </c>
      <c r="U50" s="140" t="inlineStr">
        <is>
          <t>T</t>
        </is>
      </c>
      <c r="V50" s="140" t="inlineStr">
        <is>
          <t>R</t>
        </is>
      </c>
      <c r="W50" s="140" t="inlineStr">
        <is>
          <t>R</t>
        </is>
      </c>
      <c r="X50" s="140" t="inlineStr">
        <is>
          <t>T</t>
        </is>
      </c>
      <c r="Y50" s="140" t="inlineStr">
        <is>
          <t>T</t>
        </is>
      </c>
      <c r="Z50" s="140" t="inlineStr">
        <is>
          <t>T</t>
        </is>
      </c>
      <c r="AA50" s="140" t="inlineStr">
        <is>
          <t>T</t>
        </is>
      </c>
      <c r="AB50" s="140" t="inlineStr">
        <is>
          <t>T</t>
        </is>
      </c>
      <c r="AC50" s="140" t="inlineStr">
        <is>
          <t>R</t>
        </is>
      </c>
      <c r="AD50" s="140" t="inlineStr">
        <is>
          <t>R</t>
        </is>
      </c>
      <c r="AE50" s="140" t="inlineStr">
        <is>
          <t>T</t>
        </is>
      </c>
      <c r="AF50" s="140" t="inlineStr">
        <is>
          <t>T</t>
        </is>
      </c>
      <c r="AG50" s="140" t="inlineStr">
        <is>
          <t>T</t>
        </is>
      </c>
      <c r="AH50" s="140" t="inlineStr">
        <is>
          <t>T</t>
        </is>
      </c>
      <c r="AI50" s="140" t="n"/>
    </row>
    <row r="51" ht="16.2" customHeight="1" thickBot="1"/>
    <row r="52" ht="14" customHeight="1" thickBot="1">
      <c r="A52" s="134" t="inlineStr">
        <is>
          <t>SPECIAL SHIFTING</t>
        </is>
      </c>
      <c r="E52" s="135">
        <f>IF(1&lt;=$BA$4,TEXT($BA$3+0,"ddd"),"")</f>
        <v/>
      </c>
      <c r="F52" s="135">
        <f>IF(2&lt;=$BA$4,TEXT($BA$3+1,"ddd"),"")</f>
        <v/>
      </c>
      <c r="G52" s="135">
        <f>IF(3&lt;=$BA$4,TEXT($BA$3+2,"ddd"),"")</f>
        <v/>
      </c>
      <c r="H52" s="135">
        <f>IF(4&lt;=$BA$4,TEXT($BA$3+3,"ddd"),"")</f>
        <v/>
      </c>
      <c r="I52" s="135">
        <f>IF(5&lt;=$BA$4,TEXT($BA$3+4,"ddd"),"")</f>
        <v/>
      </c>
      <c r="J52" s="135">
        <f>IF(6&lt;=$BA$4,TEXT($BA$3+5,"ddd"),"")</f>
        <v/>
      </c>
      <c r="K52" s="135">
        <f>IF(7&lt;=$BA$4,TEXT($BA$3+6,"ddd"),"")</f>
        <v/>
      </c>
      <c r="L52" s="135">
        <f>IF(8&lt;=$BA$4,TEXT($BA$3+7,"ddd"),"")</f>
        <v/>
      </c>
      <c r="M52" s="135">
        <f>IF(9&lt;=$BA$4,TEXT($BA$3+8,"ddd"),"")</f>
        <v/>
      </c>
      <c r="N52" s="135">
        <f>IF(10&lt;=$BA$4,TEXT($BA$3+9,"ddd"),"")</f>
        <v/>
      </c>
      <c r="O52" s="135">
        <f>IF(11&lt;=$BA$4,TEXT($BA$3+10,"ddd"),"")</f>
        <v/>
      </c>
      <c r="P52" s="135">
        <f>IF(12&lt;=$BA$4,TEXT($BA$3+11,"ddd"),"")</f>
        <v/>
      </c>
      <c r="Q52" s="135">
        <f>IF(13&lt;=$BA$4,TEXT($BA$3+12,"ddd"),"")</f>
        <v/>
      </c>
      <c r="R52" s="135">
        <f>IF(14&lt;=$BA$4,TEXT($BA$3+13,"ddd"),"")</f>
        <v/>
      </c>
      <c r="S52" s="135">
        <f>IF(15&lt;=$BA$4,TEXT($BA$3+14,"ddd"),"")</f>
        <v/>
      </c>
      <c r="T52" s="135">
        <f>IF(16&lt;=$BA$4,TEXT($BA$3+15,"ddd"),"")</f>
        <v/>
      </c>
      <c r="U52" s="135">
        <f>IF(17&lt;=$BA$4,TEXT($BA$3+16,"ddd"),"")</f>
        <v/>
      </c>
      <c r="V52" s="135">
        <f>IF(18&lt;=$BA$4,TEXT($BA$3+17,"ddd"),"")</f>
        <v/>
      </c>
      <c r="W52" s="135">
        <f>IF(19&lt;=$BA$4,TEXT($BA$3+18,"ddd"),"")</f>
        <v/>
      </c>
      <c r="X52" s="135">
        <f>IF(20&lt;=$BA$4,TEXT($BA$3+19,"ddd"),"")</f>
        <v/>
      </c>
      <c r="Y52" s="135">
        <f>IF(21&lt;=$BA$4,TEXT($BA$3+20,"ddd"),"")</f>
        <v/>
      </c>
      <c r="Z52" s="135">
        <f>IF(22&lt;=$BA$4,TEXT($BA$3+21,"ddd"),"")</f>
        <v/>
      </c>
      <c r="AA52" s="135">
        <f>IF(23&lt;=$BA$4,TEXT($BA$3+22,"ddd"),"")</f>
        <v/>
      </c>
      <c r="AB52" s="135">
        <f>IF(24&lt;=$BA$4,TEXT($BA$3+23,"ddd"),"")</f>
        <v/>
      </c>
      <c r="AC52" s="135">
        <f>IF(25&lt;=$BA$4,TEXT($BA$3+24,"ddd"),"")</f>
        <v/>
      </c>
      <c r="AD52" s="135">
        <f>IF(26&lt;=$BA$4,TEXT($BA$3+25,"ddd"),"")</f>
        <v/>
      </c>
      <c r="AE52" s="135">
        <f>IF(27&lt;=$BA$4,TEXT($BA$3+26,"ddd"),"")</f>
        <v/>
      </c>
      <c r="AF52" s="135">
        <f>IF(28&lt;=$BA$4,TEXT($BA$3+27,"ddd"),"")</f>
        <v/>
      </c>
      <c r="AG52" s="135">
        <f>IF(29&lt;=$BA$4,TEXT($BA$3+28,"ddd"),"")</f>
        <v/>
      </c>
      <c r="AH52" s="135">
        <f>IF(30&lt;=$BA$4,TEXT($BA$3+29,"ddd"),"")</f>
        <v/>
      </c>
      <c r="AI52" s="135">
        <f>IF(31&lt;=$BA$4,TEXT($BA$3+30,"ddd"),"")</f>
        <v/>
      </c>
    </row>
    <row r="53" ht="16" customHeight="1" thickBot="1">
      <c r="E53" s="136">
        <f>IF(1&lt;=$BA$4,IF($BA$1="P",DAY($BA$3+0),1),"")</f>
        <v/>
      </c>
      <c r="F53" s="136">
        <f>IF(2&lt;=$BA$4,IF($BA$1="P",DAY($BA$3+1),2),"")</f>
        <v/>
      </c>
      <c r="G53" s="136">
        <f>IF(3&lt;=$BA$4,IF($BA$1="P",DAY($BA$3+2),3),"")</f>
        <v/>
      </c>
      <c r="H53" s="136">
        <f>IF(4&lt;=$BA$4,IF($BA$1="P",DAY($BA$3+3),4),"")</f>
        <v/>
      </c>
      <c r="I53" s="136">
        <f>IF(5&lt;=$BA$4,IF($BA$1="P",DAY($BA$3+4),5),"")</f>
        <v/>
      </c>
      <c r="J53" s="136">
        <f>IF(6&lt;=$BA$4,IF($BA$1="P",DAY($BA$3+5),6),"")</f>
        <v/>
      </c>
      <c r="K53" s="136">
        <f>IF(7&lt;=$BA$4,IF($BA$1="P",DAY($BA$3+6),7),"")</f>
        <v/>
      </c>
      <c r="L53" s="136">
        <f>IF(8&lt;=$BA$4,IF($BA$1="P",DAY($BA$3+7),8),"")</f>
        <v/>
      </c>
      <c r="M53" s="136">
        <f>IF(9&lt;=$BA$4,IF($BA$1="P",DAY($BA$3+8),9),"")</f>
        <v/>
      </c>
      <c r="N53" s="136">
        <f>IF(10&lt;=$BA$4,IF($BA$1="P",DAY($BA$3+9),10),"")</f>
        <v/>
      </c>
      <c r="O53" s="136">
        <f>IF(11&lt;=$BA$4,IF($BA$1="P",DAY($BA$3+10),11),"")</f>
        <v/>
      </c>
      <c r="P53" s="136">
        <f>IF(12&lt;=$BA$4,IF($BA$1="P",DAY($BA$3+11),12),"")</f>
        <v/>
      </c>
      <c r="Q53" s="136">
        <f>IF(13&lt;=$BA$4,IF($BA$1="P",DAY($BA$3+12),13),"")</f>
        <v/>
      </c>
      <c r="R53" s="136">
        <f>IF(14&lt;=$BA$4,IF($BA$1="P",DAY($BA$3+13),14),"")</f>
        <v/>
      </c>
      <c r="S53" s="136">
        <f>IF(15&lt;=$BA$4,IF($BA$1="P",DAY($BA$3+14),15),"")</f>
        <v/>
      </c>
      <c r="T53" s="136">
        <f>IF(16&lt;=$BA$4,IF($BA$1="P",DAY($BA$3+15),16),"")</f>
        <v/>
      </c>
      <c r="U53" s="136">
        <f>IF(17&lt;=$BA$4,IF($BA$1="P",DAY($BA$3+16),17),"")</f>
        <v/>
      </c>
      <c r="V53" s="136">
        <f>IF(18&lt;=$BA$4,IF($BA$1="P",DAY($BA$3+17),18),"")</f>
        <v/>
      </c>
      <c r="W53" s="136">
        <f>IF(19&lt;=$BA$4,IF($BA$1="P",DAY($BA$3+18),19),"")</f>
        <v/>
      </c>
      <c r="X53" s="136">
        <f>IF(20&lt;=$BA$4,IF($BA$1="P",DAY($BA$3+19),20),"")</f>
        <v/>
      </c>
      <c r="Y53" s="136">
        <f>IF(21&lt;=$BA$4,IF($BA$1="P",DAY($BA$3+20),21),"")</f>
        <v/>
      </c>
      <c r="Z53" s="136">
        <f>IF(22&lt;=$BA$4,IF($BA$1="P",DAY($BA$3+21),22),"")</f>
        <v/>
      </c>
      <c r="AA53" s="136">
        <f>IF(23&lt;=$BA$4,IF($BA$1="P",DAY($BA$3+22),23),"")</f>
        <v/>
      </c>
      <c r="AB53" s="136">
        <f>IF(24&lt;=$BA$4,IF($BA$1="P",DAY($BA$3+23),24),"")</f>
        <v/>
      </c>
      <c r="AC53" s="136">
        <f>IF(25&lt;=$BA$4,IF($BA$1="P",DAY($BA$3+24),25),"")</f>
        <v/>
      </c>
      <c r="AD53" s="136">
        <f>IF(26&lt;=$BA$4,IF($BA$1="P",DAY($BA$3+25),26),"")</f>
        <v/>
      </c>
      <c r="AE53" s="136">
        <f>IF(27&lt;=$BA$4,IF($BA$1="P",DAY($BA$3+26),27),"")</f>
        <v/>
      </c>
      <c r="AF53" s="136">
        <f>IF(28&lt;=$BA$4,IF($BA$1="P",DAY($BA$3+27),28),"")</f>
        <v/>
      </c>
      <c r="AG53" s="136">
        <f>IF(29&lt;=$BA$4,IF($BA$1="P",DAY($BA$3+28),29),"")</f>
        <v/>
      </c>
      <c r="AH53" s="136">
        <f>IF(30&lt;=$BA$4,IF($BA$1="P",DAY($BA$3+29),30),"")</f>
        <v/>
      </c>
      <c r="AI53" s="136">
        <f>IF(31&lt;=$BA$4,IF($BA$1="P",DAY($BA$3+30),31),"")</f>
        <v/>
      </c>
    </row>
    <row r="54" ht="15" customHeight="1" thickBot="1">
      <c r="A54" s="137" t="n">
        <v>1</v>
      </c>
      <c r="B54" s="138" t="inlineStr">
        <is>
          <t>13004037</t>
        </is>
      </c>
      <c r="C54" s="139" t="inlineStr">
        <is>
          <t>KHALID FAISAL AL-ALAWI</t>
        </is>
      </c>
      <c r="D54" s="138" t="inlineStr">
        <is>
          <t>SUPV</t>
        </is>
      </c>
      <c r="E54" s="140" t="inlineStr">
        <is>
          <t>D</t>
        </is>
      </c>
      <c r="F54" s="140" t="inlineStr">
        <is>
          <t>D</t>
        </is>
      </c>
      <c r="G54" s="140" t="inlineStr">
        <is>
          <t>D</t>
        </is>
      </c>
      <c r="H54" s="140" t="inlineStr">
        <is>
          <t>R</t>
        </is>
      </c>
      <c r="I54" s="140" t="inlineStr">
        <is>
          <t>R</t>
        </is>
      </c>
      <c r="J54" s="140" t="inlineStr">
        <is>
          <t>D</t>
        </is>
      </c>
      <c r="K54" s="140" t="inlineStr">
        <is>
          <t>D</t>
        </is>
      </c>
      <c r="L54" s="140" t="inlineStr">
        <is>
          <t>D</t>
        </is>
      </c>
      <c r="M54" s="140" t="inlineStr">
        <is>
          <t>D</t>
        </is>
      </c>
      <c r="N54" s="140" t="inlineStr">
        <is>
          <t>D</t>
        </is>
      </c>
      <c r="O54" s="140" t="inlineStr">
        <is>
          <t>R</t>
        </is>
      </c>
      <c r="P54" s="140" t="inlineStr">
        <is>
          <t>R</t>
        </is>
      </c>
      <c r="Q54" s="140" t="inlineStr">
        <is>
          <t>D</t>
        </is>
      </c>
      <c r="R54" s="140" t="inlineStr">
        <is>
          <t>D</t>
        </is>
      </c>
      <c r="S54" s="140" t="inlineStr">
        <is>
          <t>D</t>
        </is>
      </c>
      <c r="T54" s="140" t="inlineStr">
        <is>
          <t>D</t>
        </is>
      </c>
      <c r="U54" s="140" t="inlineStr">
        <is>
          <t>D</t>
        </is>
      </c>
      <c r="V54" s="140" t="inlineStr">
        <is>
          <t>R</t>
        </is>
      </c>
      <c r="W54" s="140" t="inlineStr">
        <is>
          <t>R</t>
        </is>
      </c>
      <c r="X54" s="140" t="inlineStr">
        <is>
          <t>D</t>
        </is>
      </c>
      <c r="Y54" s="140" t="inlineStr">
        <is>
          <t>D</t>
        </is>
      </c>
      <c r="Z54" s="140" t="inlineStr">
        <is>
          <t>D</t>
        </is>
      </c>
      <c r="AA54" s="140" t="inlineStr">
        <is>
          <t>D</t>
        </is>
      </c>
      <c r="AB54" s="140" t="inlineStr">
        <is>
          <t>D</t>
        </is>
      </c>
      <c r="AC54" s="140" t="inlineStr">
        <is>
          <t>R</t>
        </is>
      </c>
      <c r="AD54" s="140" t="inlineStr">
        <is>
          <t>R</t>
        </is>
      </c>
      <c r="AE54" s="140" t="inlineStr">
        <is>
          <t>D</t>
        </is>
      </c>
      <c r="AF54" s="140" t="inlineStr">
        <is>
          <t>D</t>
        </is>
      </c>
      <c r="AG54" s="140" t="inlineStr">
        <is>
          <t>D</t>
        </is>
      </c>
      <c r="AH54" s="140" t="inlineStr">
        <is>
          <t>D</t>
        </is>
      </c>
      <c r="AI54" s="140" t="n"/>
    </row>
    <row r="55" ht="15" customHeight="1" thickBot="1">
      <c r="A55" s="137" t="n">
        <v>2</v>
      </c>
      <c r="B55" s="138" t="inlineStr">
        <is>
          <t>13007568</t>
        </is>
      </c>
      <c r="C55" s="139" t="inlineStr">
        <is>
          <t>NAIF ALANEZI</t>
        </is>
      </c>
      <c r="D55" s="138" t="inlineStr">
        <is>
          <t>ACT/SUPV</t>
        </is>
      </c>
      <c r="E55" s="140" t="inlineStr">
        <is>
          <t>G</t>
        </is>
      </c>
      <c r="F55" s="140" t="inlineStr">
        <is>
          <t>G</t>
        </is>
      </c>
      <c r="G55" s="140" t="inlineStr">
        <is>
          <t>G</t>
        </is>
      </c>
      <c r="H55" s="140" t="inlineStr">
        <is>
          <t>R</t>
        </is>
      </c>
      <c r="I55" s="140" t="inlineStr">
        <is>
          <t>R</t>
        </is>
      </c>
      <c r="J55" s="140" t="inlineStr">
        <is>
          <t>G</t>
        </is>
      </c>
      <c r="K55" s="140" t="inlineStr">
        <is>
          <t>G</t>
        </is>
      </c>
      <c r="L55" s="140" t="inlineStr">
        <is>
          <t>G</t>
        </is>
      </c>
      <c r="M55" s="140" t="inlineStr">
        <is>
          <t>G</t>
        </is>
      </c>
      <c r="N55" s="140" t="inlineStr">
        <is>
          <t>G</t>
        </is>
      </c>
      <c r="O55" s="140" t="inlineStr">
        <is>
          <t>R</t>
        </is>
      </c>
      <c r="P55" s="140" t="inlineStr">
        <is>
          <t>R</t>
        </is>
      </c>
      <c r="Q55" s="140" t="inlineStr">
        <is>
          <t>G</t>
        </is>
      </c>
      <c r="R55" s="140" t="inlineStr">
        <is>
          <t>G</t>
        </is>
      </c>
      <c r="S55" s="140" t="inlineStr">
        <is>
          <t>G</t>
        </is>
      </c>
      <c r="T55" s="140" t="inlineStr">
        <is>
          <t>G</t>
        </is>
      </c>
      <c r="U55" s="140" t="inlineStr">
        <is>
          <t>G</t>
        </is>
      </c>
      <c r="V55" s="140" t="inlineStr">
        <is>
          <t>R</t>
        </is>
      </c>
      <c r="W55" s="140" t="inlineStr">
        <is>
          <t>R</t>
        </is>
      </c>
      <c r="X55" s="140" t="inlineStr">
        <is>
          <t>G</t>
        </is>
      </c>
      <c r="Y55" s="140" t="inlineStr">
        <is>
          <t>G</t>
        </is>
      </c>
      <c r="Z55" s="140" t="inlineStr">
        <is>
          <t>G</t>
        </is>
      </c>
      <c r="AA55" s="140" t="inlineStr">
        <is>
          <t>G</t>
        </is>
      </c>
      <c r="AB55" s="140" t="inlineStr">
        <is>
          <t>G</t>
        </is>
      </c>
      <c r="AC55" s="140" t="inlineStr">
        <is>
          <t>R</t>
        </is>
      </c>
      <c r="AD55" s="140" t="inlineStr">
        <is>
          <t>R</t>
        </is>
      </c>
      <c r="AE55" s="140" t="inlineStr">
        <is>
          <t>G</t>
        </is>
      </c>
      <c r="AF55" s="140" t="inlineStr">
        <is>
          <t>G</t>
        </is>
      </c>
      <c r="AG55" s="140" t="inlineStr">
        <is>
          <t>G</t>
        </is>
      </c>
      <c r="AH55" s="140" t="inlineStr">
        <is>
          <t>G</t>
        </is>
      </c>
      <c r="AI55" s="140" t="n"/>
    </row>
    <row r="56" ht="15" customHeight="1" thickBot="1">
      <c r="A56" s="137" t="n">
        <v>3</v>
      </c>
      <c r="B56" s="138" t="inlineStr">
        <is>
          <t>13009047</t>
        </is>
      </c>
      <c r="C56" s="139" t="inlineStr">
        <is>
          <t>JIMRICKS AQINO</t>
        </is>
      </c>
      <c r="D56" s="138" t="inlineStr">
        <is>
          <t>FITTER</t>
        </is>
      </c>
      <c r="E56" s="140" t="inlineStr">
        <is>
          <t>G</t>
        </is>
      </c>
      <c r="F56" s="140" t="inlineStr">
        <is>
          <t>G</t>
        </is>
      </c>
      <c r="G56" s="140" t="inlineStr">
        <is>
          <t>G</t>
        </is>
      </c>
      <c r="H56" s="140" t="inlineStr">
        <is>
          <t>R</t>
        </is>
      </c>
      <c r="I56" s="140" t="inlineStr">
        <is>
          <t>R</t>
        </is>
      </c>
      <c r="J56" s="140" t="inlineStr">
        <is>
          <t>G</t>
        </is>
      </c>
      <c r="K56" s="140" t="inlineStr">
        <is>
          <t>G</t>
        </is>
      </c>
      <c r="L56" s="140" t="inlineStr">
        <is>
          <t>G</t>
        </is>
      </c>
      <c r="M56" s="140" t="inlineStr">
        <is>
          <t>G</t>
        </is>
      </c>
      <c r="N56" s="140" t="inlineStr">
        <is>
          <t>G</t>
        </is>
      </c>
      <c r="O56" s="140" t="inlineStr">
        <is>
          <t>R</t>
        </is>
      </c>
      <c r="P56" s="140" t="inlineStr">
        <is>
          <t>R</t>
        </is>
      </c>
      <c r="Q56" s="140" t="inlineStr">
        <is>
          <t>T</t>
        </is>
      </c>
      <c r="R56" s="140" t="inlineStr">
        <is>
          <t>T</t>
        </is>
      </c>
      <c r="S56" s="140" t="inlineStr">
        <is>
          <t>T</t>
        </is>
      </c>
      <c r="T56" s="140" t="inlineStr">
        <is>
          <t>T</t>
        </is>
      </c>
      <c r="U56" s="140" t="inlineStr">
        <is>
          <t>T</t>
        </is>
      </c>
      <c r="V56" s="140" t="inlineStr">
        <is>
          <t>R</t>
        </is>
      </c>
      <c r="W56" s="140" t="inlineStr">
        <is>
          <t>R</t>
        </is>
      </c>
      <c r="X56" s="140" t="inlineStr">
        <is>
          <t>T</t>
        </is>
      </c>
      <c r="Y56" s="140" t="inlineStr">
        <is>
          <t>T</t>
        </is>
      </c>
      <c r="Z56" s="140" t="inlineStr">
        <is>
          <t>T</t>
        </is>
      </c>
      <c r="AA56" s="140" t="inlineStr">
        <is>
          <t>T</t>
        </is>
      </c>
      <c r="AB56" s="140" t="inlineStr">
        <is>
          <t>T</t>
        </is>
      </c>
      <c r="AC56" s="140" t="inlineStr">
        <is>
          <t>R</t>
        </is>
      </c>
      <c r="AD56" s="140" t="inlineStr">
        <is>
          <t>R</t>
        </is>
      </c>
      <c r="AE56" s="140" t="inlineStr">
        <is>
          <t>T</t>
        </is>
      </c>
      <c r="AF56" s="140" t="inlineStr">
        <is>
          <t>T</t>
        </is>
      </c>
      <c r="AG56" s="140" t="inlineStr">
        <is>
          <t>T</t>
        </is>
      </c>
      <c r="AH56" s="140" t="inlineStr">
        <is>
          <t>T</t>
        </is>
      </c>
      <c r="AI56" s="140" t="n"/>
    </row>
    <row r="57" ht="15" customHeight="1" thickBot="1">
      <c r="A57" s="137" t="n">
        <v>4</v>
      </c>
      <c r="B57" s="138" t="inlineStr">
        <is>
          <t>30001461</t>
        </is>
      </c>
      <c r="C57" s="139" t="inlineStr">
        <is>
          <t>HUSSAM ALTHUBAITI</t>
        </is>
      </c>
      <c r="D57" s="138" t="inlineStr">
        <is>
          <t>TECH</t>
        </is>
      </c>
      <c r="E57" s="140" t="inlineStr">
        <is>
          <t>D</t>
        </is>
      </c>
      <c r="F57" s="140" t="inlineStr">
        <is>
          <t>D</t>
        </is>
      </c>
      <c r="G57" s="140" t="inlineStr">
        <is>
          <t>D</t>
        </is>
      </c>
      <c r="H57" s="140" t="inlineStr">
        <is>
          <t>R</t>
        </is>
      </c>
      <c r="I57" s="140" t="inlineStr">
        <is>
          <t>R</t>
        </is>
      </c>
      <c r="J57" s="140" t="inlineStr">
        <is>
          <t>R</t>
        </is>
      </c>
      <c r="K57" s="140" t="inlineStr">
        <is>
          <t>R</t>
        </is>
      </c>
      <c r="L57" s="140" t="inlineStr">
        <is>
          <t>D</t>
        </is>
      </c>
      <c r="M57" s="140" t="inlineStr">
        <is>
          <t>D</t>
        </is>
      </c>
      <c r="N57" s="140" t="inlineStr">
        <is>
          <t>D</t>
        </is>
      </c>
      <c r="O57" s="140" t="inlineStr">
        <is>
          <t>D</t>
        </is>
      </c>
      <c r="P57" s="140" t="inlineStr">
        <is>
          <t>D</t>
        </is>
      </c>
      <c r="Q57" s="140" t="inlineStr">
        <is>
          <t>R</t>
        </is>
      </c>
      <c r="R57" s="140" t="inlineStr">
        <is>
          <t>R</t>
        </is>
      </c>
      <c r="S57" s="140" t="inlineStr">
        <is>
          <t>D</t>
        </is>
      </c>
      <c r="T57" s="140" t="inlineStr">
        <is>
          <t>D</t>
        </is>
      </c>
      <c r="U57" s="140" t="inlineStr">
        <is>
          <t>D</t>
        </is>
      </c>
      <c r="V57" s="140" t="inlineStr">
        <is>
          <t>D</t>
        </is>
      </c>
      <c r="W57" s="140" t="inlineStr">
        <is>
          <t>D</t>
        </is>
      </c>
      <c r="X57" s="140" t="inlineStr">
        <is>
          <t>R</t>
        </is>
      </c>
      <c r="Y57" s="140" t="inlineStr">
        <is>
          <t>R</t>
        </is>
      </c>
      <c r="Z57" s="140" t="inlineStr">
        <is>
          <t>D</t>
        </is>
      </c>
      <c r="AA57" s="140" t="inlineStr">
        <is>
          <t>D</t>
        </is>
      </c>
      <c r="AB57" s="140" t="inlineStr">
        <is>
          <t>D</t>
        </is>
      </c>
      <c r="AC57" s="140" t="inlineStr">
        <is>
          <t>D</t>
        </is>
      </c>
      <c r="AD57" s="140" t="inlineStr">
        <is>
          <t>D</t>
        </is>
      </c>
      <c r="AE57" s="140" t="inlineStr">
        <is>
          <t>R</t>
        </is>
      </c>
      <c r="AF57" s="140" t="inlineStr">
        <is>
          <t>R</t>
        </is>
      </c>
      <c r="AG57" s="140" t="inlineStr">
        <is>
          <t>D</t>
        </is>
      </c>
      <c r="AH57" s="140" t="inlineStr">
        <is>
          <t>D</t>
        </is>
      </c>
      <c r="AI57" s="140" t="n"/>
    </row>
    <row r="58" ht="15" customHeight="1" thickBot="1">
      <c r="A58" s="137" t="n">
        <v>5</v>
      </c>
      <c r="B58" s="138" t="inlineStr">
        <is>
          <t>30004224</t>
        </is>
      </c>
      <c r="C58" s="139" t="inlineStr">
        <is>
          <t>AMAR ALHEJAILI</t>
        </is>
      </c>
      <c r="D58" s="138" t="inlineStr">
        <is>
          <t>TECH</t>
        </is>
      </c>
      <c r="E58" s="140" t="inlineStr">
        <is>
          <t>T</t>
        </is>
      </c>
      <c r="F58" s="140" t="inlineStr">
        <is>
          <t>T</t>
        </is>
      </c>
      <c r="G58" s="140" t="inlineStr">
        <is>
          <t>T</t>
        </is>
      </c>
      <c r="H58" s="140" t="inlineStr">
        <is>
          <t>R</t>
        </is>
      </c>
      <c r="I58" s="140" t="inlineStr">
        <is>
          <t>R</t>
        </is>
      </c>
      <c r="J58" s="140" t="inlineStr">
        <is>
          <t>T</t>
        </is>
      </c>
      <c r="K58" s="140" t="inlineStr">
        <is>
          <t>T</t>
        </is>
      </c>
      <c r="L58" s="140" t="inlineStr">
        <is>
          <t>T</t>
        </is>
      </c>
      <c r="M58" s="140" t="inlineStr">
        <is>
          <t>T</t>
        </is>
      </c>
      <c r="N58" s="140" t="inlineStr">
        <is>
          <t>T</t>
        </is>
      </c>
      <c r="O58" s="140" t="inlineStr">
        <is>
          <t>R</t>
        </is>
      </c>
      <c r="P58" s="140" t="inlineStr">
        <is>
          <t>R</t>
        </is>
      </c>
      <c r="Q58" s="140" t="inlineStr">
        <is>
          <t>T</t>
        </is>
      </c>
      <c r="R58" s="140" t="inlineStr">
        <is>
          <t>T</t>
        </is>
      </c>
      <c r="S58" s="140" t="inlineStr">
        <is>
          <t>T</t>
        </is>
      </c>
      <c r="T58" s="140" t="inlineStr">
        <is>
          <t>T</t>
        </is>
      </c>
      <c r="U58" s="140" t="inlineStr">
        <is>
          <t>T</t>
        </is>
      </c>
      <c r="V58" s="140" t="inlineStr">
        <is>
          <t>R</t>
        </is>
      </c>
      <c r="W58" s="140" t="inlineStr">
        <is>
          <t>R</t>
        </is>
      </c>
      <c r="X58" s="140" t="inlineStr">
        <is>
          <t>T</t>
        </is>
      </c>
      <c r="Y58" s="140" t="inlineStr">
        <is>
          <t>T</t>
        </is>
      </c>
      <c r="Z58" s="140" t="inlineStr">
        <is>
          <t>T</t>
        </is>
      </c>
      <c r="AA58" s="140" t="inlineStr">
        <is>
          <t>T</t>
        </is>
      </c>
      <c r="AB58" s="140" t="inlineStr">
        <is>
          <t>T</t>
        </is>
      </c>
      <c r="AC58" s="140" t="inlineStr">
        <is>
          <t>R</t>
        </is>
      </c>
      <c r="AD58" s="140" t="inlineStr">
        <is>
          <t>R</t>
        </is>
      </c>
      <c r="AE58" s="140" t="inlineStr">
        <is>
          <t>T</t>
        </is>
      </c>
      <c r="AF58" s="140" t="inlineStr">
        <is>
          <t>T</t>
        </is>
      </c>
      <c r="AG58" s="140" t="inlineStr">
        <is>
          <t>T</t>
        </is>
      </c>
      <c r="AH58" s="140" t="inlineStr">
        <is>
          <t>T</t>
        </is>
      </c>
      <c r="AI58" s="140" t="n"/>
    </row>
    <row r="59" ht="16.2" customHeight="1" thickBot="1">
      <c r="A59" s="141" t="inlineStr">
        <is>
          <t>TOTAL DAILY CREWS MANPOWER</t>
        </is>
      </c>
      <c r="B59" s="142" t="n"/>
      <c r="C59" s="143" t="n"/>
      <c r="D59" s="144" t="inlineStr">
        <is>
          <t>SHIFT</t>
        </is>
      </c>
      <c r="E59" s="1">
        <f>IF(1&lt;=$BA$4,TEXT($BA$3+0,"ddd"),"")</f>
        <v/>
      </c>
      <c r="F59" s="1">
        <f>IF(2&lt;=$BA$4,TEXT($BA$3+1,"ddd"),"")</f>
        <v/>
      </c>
      <c r="G59" s="1">
        <f>IF(3&lt;=$BA$4,TEXT($BA$3+2,"ddd"),"")</f>
        <v/>
      </c>
      <c r="H59" s="1">
        <f>IF(4&lt;=$BA$4,TEXT($BA$3+3,"ddd"),"")</f>
        <v/>
      </c>
      <c r="I59" s="1">
        <f>IF(5&lt;=$BA$4,TEXT($BA$3+4,"ddd"),"")</f>
        <v/>
      </c>
      <c r="J59" s="1">
        <f>IF(6&lt;=$BA$4,TEXT($BA$3+5,"ddd"),"")</f>
        <v/>
      </c>
      <c r="K59" s="1">
        <f>IF(7&lt;=$BA$4,TEXT($BA$3+6,"ddd"),"")</f>
        <v/>
      </c>
      <c r="L59" s="1">
        <f>IF(8&lt;=$BA$4,TEXT($BA$3+7,"ddd"),"")</f>
        <v/>
      </c>
      <c r="M59" s="1">
        <f>IF(9&lt;=$BA$4,TEXT($BA$3+8,"ddd"),"")</f>
        <v/>
      </c>
      <c r="N59" s="1">
        <f>IF(10&lt;=$BA$4,TEXT($BA$3+9,"ddd"),"")</f>
        <v/>
      </c>
      <c r="O59" s="1">
        <f>IF(11&lt;=$BA$4,TEXT($BA$3+10,"ddd"),"")</f>
        <v/>
      </c>
      <c r="P59" s="1">
        <f>IF(12&lt;=$BA$4,TEXT($BA$3+11,"ddd"),"")</f>
        <v/>
      </c>
      <c r="Q59" s="1">
        <f>IF(13&lt;=$BA$4,TEXT($BA$3+12,"ddd"),"")</f>
        <v/>
      </c>
      <c r="R59" s="1">
        <f>IF(14&lt;=$BA$4,TEXT($BA$3+13,"ddd"),"")</f>
        <v/>
      </c>
      <c r="S59" s="1">
        <f>IF(15&lt;=$BA$4,TEXT($BA$3+14,"ddd"),"")</f>
        <v/>
      </c>
      <c r="T59" s="1">
        <f>IF(16&lt;=$BA$4,TEXT($BA$3+15,"ddd"),"")</f>
        <v/>
      </c>
      <c r="U59" s="1">
        <f>IF(17&lt;=$BA$4,TEXT($BA$3+16,"ddd"),"")</f>
        <v/>
      </c>
      <c r="V59" s="1">
        <f>IF(18&lt;=$BA$4,TEXT($BA$3+17,"ddd"),"")</f>
        <v/>
      </c>
      <c r="W59" s="1">
        <f>IF(19&lt;=$BA$4,TEXT($BA$3+18,"ddd"),"")</f>
        <v/>
      </c>
      <c r="X59" s="1">
        <f>IF(20&lt;=$BA$4,TEXT($BA$3+19,"ddd"),"")</f>
        <v/>
      </c>
      <c r="Y59" s="1">
        <f>IF(21&lt;=$BA$4,TEXT($BA$3+20,"ddd"),"")</f>
        <v/>
      </c>
      <c r="Z59" s="1">
        <f>IF(22&lt;=$BA$4,TEXT($BA$3+21,"ddd"),"")</f>
        <v/>
      </c>
      <c r="AA59" s="1">
        <f>IF(23&lt;=$BA$4,TEXT($BA$3+22,"ddd"),"")</f>
        <v/>
      </c>
      <c r="AB59" s="1">
        <f>IF(24&lt;=$BA$4,TEXT($BA$3+23,"ddd"),"")</f>
        <v/>
      </c>
      <c r="AC59" s="1">
        <f>IF(25&lt;=$BA$4,TEXT($BA$3+24,"ddd"),"")</f>
        <v/>
      </c>
      <c r="AD59" s="1">
        <f>IF(26&lt;=$BA$4,TEXT($BA$3+25,"ddd"),"")</f>
        <v/>
      </c>
      <c r="AE59" s="1">
        <f>IF(27&lt;=$BA$4,TEXT($BA$3+26,"ddd"),"")</f>
        <v/>
      </c>
      <c r="AF59" s="1">
        <f>IF(28&lt;=$BA$4,TEXT($BA$3+27,"ddd"),"")</f>
        <v/>
      </c>
      <c r="AG59" s="1">
        <f>IF(29&lt;=$BA$4,TEXT($BA$3+28,"ddd"),"")</f>
        <v/>
      </c>
      <c r="AH59" s="1">
        <f>IF(30&lt;=$BA$4,TEXT($BA$3+29,"ddd"),"")</f>
        <v/>
      </c>
      <c r="AI59" s="1">
        <f>IF(31&lt;=$BA$4,TEXT($BA$3+30,"ddd"),"")</f>
        <v/>
      </c>
    </row>
    <row r="60" ht="16.2" customHeight="1" thickBot="1">
      <c r="A60" s="118" t="n"/>
      <c r="C60" s="145" t="n"/>
      <c r="D60" s="109" t="n"/>
      <c r="E60" s="2">
        <f>IF(1&lt;=$BA$4,IF($BA$1="P",DAY($BA$3+0),1),"")</f>
        <v/>
      </c>
      <c r="F60" s="2">
        <f>IF(2&lt;=$BA$4,IF($BA$1="P",DAY($BA$3+1),2),"")</f>
        <v/>
      </c>
      <c r="G60" s="2">
        <f>IF(3&lt;=$BA$4,IF($BA$1="P",DAY($BA$3+2),3),"")</f>
        <v/>
      </c>
      <c r="H60" s="2">
        <f>IF(4&lt;=$BA$4,IF($BA$1="P",DAY($BA$3+3),4),"")</f>
        <v/>
      </c>
      <c r="I60" s="3">
        <f>IF(5&lt;=$BA$4,IF($BA$1="P",DAY($BA$3+4),5),"")</f>
        <v/>
      </c>
      <c r="J60" s="4">
        <f>IF(6&lt;=$BA$4,IF($BA$1="P",DAY($BA$3+5),6),"")</f>
        <v/>
      </c>
      <c r="K60" s="4">
        <f>IF(7&lt;=$BA$4,IF($BA$1="P",DAY($BA$3+6),7),"")</f>
        <v/>
      </c>
      <c r="L60" s="3">
        <f>IF(8&lt;=$BA$4,IF($BA$1="P",DAY($BA$3+7),8),"")</f>
        <v/>
      </c>
      <c r="M60" s="4">
        <f>IF(9&lt;=$BA$4,IF($BA$1="P",DAY($BA$3+8),9),"")</f>
        <v/>
      </c>
      <c r="N60" s="2">
        <f>IF(10&lt;=$BA$4,IF($BA$1="P",DAY($BA$3+9),10),"")</f>
        <v/>
      </c>
      <c r="O60" s="2">
        <f>IF(11&lt;=$BA$4,IF($BA$1="P",DAY($BA$3+10),11),"")</f>
        <v/>
      </c>
      <c r="P60" s="2">
        <f>IF(12&lt;=$BA$4,IF($BA$1="P",DAY($BA$3+11),12),"")</f>
        <v/>
      </c>
      <c r="Q60" s="2">
        <f>IF(13&lt;=$BA$4,IF($BA$1="P",DAY($BA$3+12),13),"")</f>
        <v/>
      </c>
      <c r="R60" s="2">
        <f>IF(14&lt;=$BA$4,IF($BA$1="P",DAY($BA$3+13),14),"")</f>
        <v/>
      </c>
      <c r="S60" s="2">
        <f>IF(15&lt;=$BA$4,IF($BA$1="P",DAY($BA$3+14),15),"")</f>
        <v/>
      </c>
      <c r="T60" s="2">
        <f>IF(16&lt;=$BA$4,IF($BA$1="P",DAY($BA$3+15),16),"")</f>
        <v/>
      </c>
      <c r="U60" s="2">
        <f>IF(17&lt;=$BA$4,IF($BA$1="P",DAY($BA$3+16),17),"")</f>
        <v/>
      </c>
      <c r="V60" s="2">
        <f>IF(18&lt;=$BA$4,IF($BA$1="P",DAY($BA$3+17),18),"")</f>
        <v/>
      </c>
      <c r="W60" s="2">
        <f>IF(19&lt;=$BA$4,IF($BA$1="P",DAY($BA$3+18),19),"")</f>
        <v/>
      </c>
      <c r="X60" s="2">
        <f>IF(20&lt;=$BA$4,IF($BA$1="P",DAY($BA$3+19),20),"")</f>
        <v/>
      </c>
      <c r="Y60" s="2">
        <f>IF(21&lt;=$BA$4,IF($BA$1="P",DAY($BA$3+20),21),"")</f>
        <v/>
      </c>
      <c r="Z60" s="2">
        <f>IF(22&lt;=$BA$4,IF($BA$1="P",DAY($BA$3+21),22),"")</f>
        <v/>
      </c>
      <c r="AA60" s="2">
        <f>IF(23&lt;=$BA$4,IF($BA$1="P",DAY($BA$3+22),23),"")</f>
        <v/>
      </c>
      <c r="AB60" s="2">
        <f>IF(24&lt;=$BA$4,IF($BA$1="P",DAY($BA$3+23),24),"")</f>
        <v/>
      </c>
      <c r="AC60" s="2">
        <f>IF(25&lt;=$BA$4,IF($BA$1="P",DAY($BA$3+24),25),"")</f>
        <v/>
      </c>
      <c r="AD60" s="2">
        <f>IF(26&lt;=$BA$4,IF($BA$1="P",DAY($BA$3+25),26),"")</f>
        <v/>
      </c>
      <c r="AE60" s="2">
        <f>IF(27&lt;=$BA$4,IF($BA$1="P",DAY($BA$3+26),27),"")</f>
        <v/>
      </c>
      <c r="AF60" s="2">
        <f>IF(28&lt;=$BA$4,IF($BA$1="P",DAY($BA$3+27),28),"")</f>
        <v/>
      </c>
      <c r="AG60" s="2">
        <f>IF(29&lt;=$BA$4,IF($BA$1="P",DAY($BA$3+28),29),"")</f>
        <v/>
      </c>
      <c r="AH60" s="2">
        <f>IF(30&lt;=$BA$4,IF($BA$1="P",DAY($BA$3+29),30),"")</f>
        <v/>
      </c>
      <c r="AI60" s="2">
        <f>IF(31&lt;=$BA$4,IF($BA$1="P",DAY($BA$3+30),31),"")</f>
        <v/>
      </c>
    </row>
    <row r="61" ht="16.2" customHeight="1" thickBot="1">
      <c r="A61" s="118" t="n"/>
      <c r="C61" s="145" t="n"/>
      <c r="D61" s="15" t="inlineStr">
        <is>
          <t>D</t>
        </is>
      </c>
      <c r="E61" s="16">
        <f>IF(E$60="","",COUNTIF(E$5:E$58,"D"))</f>
        <v/>
      </c>
      <c r="F61" s="16">
        <f>IF(F$60="","",COUNTIF(F$5:F$58,"D"))</f>
        <v/>
      </c>
      <c r="G61" s="16">
        <f>IF(G$60="","",COUNTIF(G$5:G$58,"D"))</f>
        <v/>
      </c>
      <c r="H61" s="16">
        <f>IF(H$60="","",COUNTIF(H$5:H$58,"D"))</f>
        <v/>
      </c>
      <c r="I61" s="16">
        <f>IF(I$60="","",COUNTIF(I$5:I$58,"D"))</f>
        <v/>
      </c>
      <c r="J61" s="16">
        <f>IF(J$60="","",COUNTIF(J$5:J$58,"D"))</f>
        <v/>
      </c>
      <c r="K61" s="16">
        <f>IF(K$60="","",COUNTIF(K$5:K$58,"D"))</f>
        <v/>
      </c>
      <c r="L61" s="16">
        <f>IF(L$60="","",COUNTIF(L$5:L$58,"D"))</f>
        <v/>
      </c>
      <c r="M61" s="16">
        <f>IF(M$60="","",COUNTIF(M$5:M$58,"D"))</f>
        <v/>
      </c>
      <c r="N61" s="16">
        <f>IF(N$60="","",COUNTIF(N$5:N$58,"D"))</f>
        <v/>
      </c>
      <c r="O61" s="16">
        <f>IF(O$60="","",COUNTIF(O$5:O$58,"D"))</f>
        <v/>
      </c>
      <c r="P61" s="16">
        <f>IF(P$60="","",COUNTIF(P$5:P$58,"D"))</f>
        <v/>
      </c>
      <c r="Q61" s="16">
        <f>IF(Q$60="","",COUNTIF(Q$5:Q$58,"D"))</f>
        <v/>
      </c>
      <c r="R61" s="16">
        <f>IF(R$60="","",COUNTIF(R$5:R$58,"D"))</f>
        <v/>
      </c>
      <c r="S61" s="16">
        <f>IF(S$60="","",COUNTIF(S$5:S$58,"D"))</f>
        <v/>
      </c>
      <c r="T61" s="16">
        <f>IF(T$60="","",COUNTIF(T$5:T$58,"D"))</f>
        <v/>
      </c>
      <c r="U61" s="16">
        <f>IF(U$60="","",COUNTIF(U$5:U$58,"D"))</f>
        <v/>
      </c>
      <c r="V61" s="16">
        <f>IF(V$60="","",COUNTIF(V$5:V$58,"D"))</f>
        <v/>
      </c>
      <c r="W61" s="16">
        <f>IF(W$60="","",COUNTIF(W$5:W$58,"D"))</f>
        <v/>
      </c>
      <c r="X61" s="16">
        <f>IF(X$60="","",COUNTIF(X$5:X$58,"D"))</f>
        <v/>
      </c>
      <c r="Y61" s="16">
        <f>IF(Y$60="","",COUNTIF(Y$5:Y$58,"D"))</f>
        <v/>
      </c>
      <c r="Z61" s="16">
        <f>IF(Z$60="","",COUNTIF(Z$5:Z$58,"D"))</f>
        <v/>
      </c>
      <c r="AA61" s="16">
        <f>IF(AA$60="","",COUNTIF(AA$5:AA$58,"D"))</f>
        <v/>
      </c>
      <c r="AB61" s="16">
        <f>IF(AB$60="","",COUNTIF(AB$5:AB$58,"D"))</f>
        <v/>
      </c>
      <c r="AC61" s="16">
        <f>IF(AC$60="","",COUNTIF(AC$5:AC$58,"D"))</f>
        <v/>
      </c>
      <c r="AD61" s="16">
        <f>IF(AD$60="","",COUNTIF(AD$5:AD$58,"D"))</f>
        <v/>
      </c>
      <c r="AE61" s="16">
        <f>IF(AE$60="","",COUNTIF(AE$5:AE$58,"D"))</f>
        <v/>
      </c>
      <c r="AF61" s="16">
        <f>IF(AF$60="","",COUNTIF(AF$5:AF$58,"D"))</f>
        <v/>
      </c>
      <c r="AG61" s="16">
        <f>IF(AG$60="","",COUNTIF(AG$5:AG$58,"D"))</f>
        <v/>
      </c>
      <c r="AH61" s="16">
        <f>IF(AH$60="","",COUNTIF(AH$5:AH$58,"D"))</f>
        <v/>
      </c>
      <c r="AI61" s="16">
        <f>IF(AI$60="","",COUNTIF(AI$5:AI$58,"D"))</f>
        <v/>
      </c>
    </row>
    <row r="62" ht="16.2" customHeight="1" thickBot="1">
      <c r="A62" s="118" t="n"/>
      <c r="C62" s="145" t="n"/>
      <c r="D62" s="17" t="inlineStr">
        <is>
          <t>T</t>
        </is>
      </c>
      <c r="E62" s="18">
        <f>IF(E$60="","",COUNTIF(E$5:E$58,"T"))</f>
        <v/>
      </c>
      <c r="F62" s="18">
        <f>IF(F$60="","",COUNTIF(F$5:F$58,"T"))</f>
        <v/>
      </c>
      <c r="G62" s="18">
        <f>IF(G$60="","",COUNTIF(G$5:G$58,"T"))</f>
        <v/>
      </c>
      <c r="H62" s="18">
        <f>IF(H$60="","",COUNTIF(H$5:H$58,"T"))</f>
        <v/>
      </c>
      <c r="I62" s="18">
        <f>IF(I$60="","",COUNTIF(I$5:I$58,"T"))</f>
        <v/>
      </c>
      <c r="J62" s="18">
        <f>IF(J$60="","",COUNTIF(J$5:J$58,"T"))</f>
        <v/>
      </c>
      <c r="K62" s="18">
        <f>IF(K$60="","",COUNTIF(K$5:K$58,"T"))</f>
        <v/>
      </c>
      <c r="L62" s="18">
        <f>IF(L$60="","",COUNTIF(L$5:L$58,"T"))</f>
        <v/>
      </c>
      <c r="M62" s="18">
        <f>IF(M$60="","",COUNTIF(M$5:M$58,"T"))</f>
        <v/>
      </c>
      <c r="N62" s="18">
        <f>IF(N$60="","",COUNTIF(N$5:N$58,"T"))</f>
        <v/>
      </c>
      <c r="O62" s="18">
        <f>IF(O$60="","",COUNTIF(O$5:O$58,"T"))</f>
        <v/>
      </c>
      <c r="P62" s="18">
        <f>IF(P$60="","",COUNTIF(P$5:P$58,"T"))</f>
        <v/>
      </c>
      <c r="Q62" s="18">
        <f>IF(Q$60="","",COUNTIF(Q$5:Q$58,"T"))</f>
        <v/>
      </c>
      <c r="R62" s="18">
        <f>IF(R$60="","",COUNTIF(R$5:R$58,"T"))</f>
        <v/>
      </c>
      <c r="S62" s="18">
        <f>IF(S$60="","",COUNTIF(S$5:S$58,"T"))</f>
        <v/>
      </c>
      <c r="T62" s="18">
        <f>IF(T$60="","",COUNTIF(T$5:T$58,"T"))</f>
        <v/>
      </c>
      <c r="U62" s="18">
        <f>IF(U$60="","",COUNTIF(U$5:U$58,"T"))</f>
        <v/>
      </c>
      <c r="V62" s="18">
        <f>IF(V$60="","",COUNTIF(V$5:V$58,"T"))</f>
        <v/>
      </c>
      <c r="W62" s="18">
        <f>IF(W$60="","",COUNTIF(W$5:W$58,"T"))</f>
        <v/>
      </c>
      <c r="X62" s="18">
        <f>IF(X$60="","",COUNTIF(X$5:X$58,"T"))</f>
        <v/>
      </c>
      <c r="Y62" s="18">
        <f>IF(Y$60="","",COUNTIF(Y$5:Y$58,"T"))</f>
        <v/>
      </c>
      <c r="Z62" s="18">
        <f>IF(Z$60="","",COUNTIF(Z$5:Z$58,"T"))</f>
        <v/>
      </c>
      <c r="AA62" s="18">
        <f>IF(AA$60="","",COUNTIF(AA$5:AA$58,"T"))</f>
        <v/>
      </c>
      <c r="AB62" s="18">
        <f>IF(AB$60="","",COUNTIF(AB$5:AB$58,"T"))</f>
        <v/>
      </c>
      <c r="AC62" s="18">
        <f>IF(AC$60="","",COUNTIF(AC$5:AC$58,"T"))</f>
        <v/>
      </c>
      <c r="AD62" s="18">
        <f>IF(AD$60="","",COUNTIF(AD$5:AD$58,"T"))</f>
        <v/>
      </c>
      <c r="AE62" s="18">
        <f>IF(AE$60="","",COUNTIF(AE$5:AE$58,"T"))</f>
        <v/>
      </c>
      <c r="AF62" s="18">
        <f>IF(AF$60="","",COUNTIF(AF$5:AF$58,"T"))</f>
        <v/>
      </c>
      <c r="AG62" s="18">
        <f>IF(AG$60="","",COUNTIF(AG$5:AG$58,"T"))</f>
        <v/>
      </c>
      <c r="AH62" s="18">
        <f>IF(AH$60="","",COUNTIF(AH$5:AH$58,"T"))</f>
        <v/>
      </c>
      <c r="AI62" s="18">
        <f>IF(AI$60="","",COUNTIF(AI$5:AI$58,"T"))</f>
        <v/>
      </c>
    </row>
    <row r="63" ht="16.2" customHeight="1" thickBot="1">
      <c r="A63" s="146" t="n"/>
      <c r="B63" s="147" t="n"/>
      <c r="C63" s="148" t="n"/>
      <c r="D63" s="19" t="inlineStr">
        <is>
          <t>G</t>
        </is>
      </c>
      <c r="E63" s="20">
        <f>IF(E$60="","",COUNTIF(E$5:E$58,"G"))</f>
        <v/>
      </c>
      <c r="F63" s="20">
        <f>IF(F$60="","",COUNTIF(F$5:F$58,"G"))</f>
        <v/>
      </c>
      <c r="G63" s="20">
        <f>IF(G$60="","",COUNTIF(G$5:G$58,"G"))</f>
        <v/>
      </c>
      <c r="H63" s="20">
        <f>IF(H$60="","",COUNTIF(H$5:H$58,"G"))</f>
        <v/>
      </c>
      <c r="I63" s="20">
        <f>IF(I$60="","",COUNTIF(I$5:I$58,"G"))</f>
        <v/>
      </c>
      <c r="J63" s="20">
        <f>IF(J$60="","",COUNTIF(J$5:J$58,"G"))</f>
        <v/>
      </c>
      <c r="K63" s="20">
        <f>IF(K$60="","",COUNTIF(K$5:K$58,"G"))</f>
        <v/>
      </c>
      <c r="L63" s="20">
        <f>IF(L$60="","",COUNTIF(L$5:L$58,"G"))</f>
        <v/>
      </c>
      <c r="M63" s="20">
        <f>IF(M$60="","",COUNTIF(M$5:M$58,"G"))</f>
        <v/>
      </c>
      <c r="N63" s="20">
        <f>IF(N$60="","",COUNTIF(N$5:N$58,"G"))</f>
        <v/>
      </c>
      <c r="O63" s="20">
        <f>IF(O$60="","",COUNTIF(O$5:O$58,"G"))</f>
        <v/>
      </c>
      <c r="P63" s="20">
        <f>IF(P$60="","",COUNTIF(P$5:P$58,"G"))</f>
        <v/>
      </c>
      <c r="Q63" s="20">
        <f>IF(Q$60="","",COUNTIF(Q$5:Q$58,"G"))</f>
        <v/>
      </c>
      <c r="R63" s="20">
        <f>IF(R$60="","",COUNTIF(R$5:R$58,"G"))</f>
        <v/>
      </c>
      <c r="S63" s="20">
        <f>IF(S$60="","",COUNTIF(S$5:S$58,"G"))</f>
        <v/>
      </c>
      <c r="T63" s="20">
        <f>IF(T$60="","",COUNTIF(T$5:T$58,"G"))</f>
        <v/>
      </c>
      <c r="U63" s="20">
        <f>IF(U$60="","",COUNTIF(U$5:U$58,"G"))</f>
        <v/>
      </c>
      <c r="V63" s="20">
        <f>IF(V$60="","",COUNTIF(V$5:V$58,"G"))</f>
        <v/>
      </c>
      <c r="W63" s="20">
        <f>IF(W$60="","",COUNTIF(W$5:W$58,"G"))</f>
        <v/>
      </c>
      <c r="X63" s="20">
        <f>IF(X$60="","",COUNTIF(X$5:X$58,"G"))</f>
        <v/>
      </c>
      <c r="Y63" s="20">
        <f>IF(Y$60="","",COUNTIF(Y$5:Y$58,"G"))</f>
        <v/>
      </c>
      <c r="Z63" s="20">
        <f>IF(Z$60="","",COUNTIF(Z$5:Z$58,"G"))</f>
        <v/>
      </c>
      <c r="AA63" s="20">
        <f>IF(AA$60="","",COUNTIF(AA$5:AA$58,"G"))</f>
        <v/>
      </c>
      <c r="AB63" s="20">
        <f>IF(AB$60="","",COUNTIF(AB$5:AB$58,"G"))</f>
        <v/>
      </c>
      <c r="AC63" s="20">
        <f>IF(AC$60="","",COUNTIF(AC$5:AC$58,"G"))</f>
        <v/>
      </c>
      <c r="AD63" s="20">
        <f>IF(AD$60="","",COUNTIF(AD$5:AD$58,"G"))</f>
        <v/>
      </c>
      <c r="AE63" s="20">
        <f>IF(AE$60="","",COUNTIF(AE$5:AE$58,"G"))</f>
        <v/>
      </c>
      <c r="AF63" s="20">
        <f>IF(AF$60="","",COUNTIF(AF$5:AF$58,"G"))</f>
        <v/>
      </c>
      <c r="AG63" s="20">
        <f>IF(AG$60="","",COUNTIF(AG$5:AG$58,"G"))</f>
        <v/>
      </c>
      <c r="AH63" s="20">
        <f>IF(AH$60="","",COUNTIF(AH$5:AH$58,"G"))</f>
        <v/>
      </c>
      <c r="AI63" s="20">
        <f>IF(AI$60="","",COUNTIF(AI$5:AI$58,"G"))</f>
        <v/>
      </c>
    </row>
    <row r="64" ht="16.2" customHeight="1" thickBot="1">
      <c r="E64">
        <f>IF(E$60="","",SUM(E61:E63))</f>
        <v/>
      </c>
      <c r="F64">
        <f>IF(F$60="","",SUM(F61:F63))</f>
        <v/>
      </c>
      <c r="G64">
        <f>IF(G$60="","",SUM(G61:G63))</f>
        <v/>
      </c>
      <c r="H64">
        <f>IF(H$60="","",SUM(H61:H63))</f>
        <v/>
      </c>
      <c r="I64">
        <f>IF(I$60="","",SUM(I61:I63))</f>
        <v/>
      </c>
      <c r="J64">
        <f>IF(J$60="","",SUM(J61:J63))</f>
        <v/>
      </c>
      <c r="K64">
        <f>IF(K$60="","",SUM(K61:K63))</f>
        <v/>
      </c>
      <c r="L64">
        <f>IF(L$60="","",SUM(L61:L63))</f>
        <v/>
      </c>
      <c r="M64">
        <f>IF(M$60="","",SUM(M61:M63))</f>
        <v/>
      </c>
      <c r="N64">
        <f>IF(N$60="","",SUM(N61:N63))</f>
        <v/>
      </c>
      <c r="O64">
        <f>IF(O$60="","",SUM(O61:O63))</f>
        <v/>
      </c>
      <c r="P64">
        <f>IF(P$60="","",SUM(P61:P63))</f>
        <v/>
      </c>
      <c r="Q64">
        <f>IF(Q$60="","",SUM(Q61:Q63))</f>
        <v/>
      </c>
      <c r="R64">
        <f>IF(R$60="","",SUM(R61:R63))</f>
        <v/>
      </c>
      <c r="S64">
        <f>IF(S$60="","",SUM(S61:S63))</f>
        <v/>
      </c>
      <c r="T64">
        <f>IF(T$60="","",SUM(T61:T63))</f>
        <v/>
      </c>
      <c r="U64">
        <f>IF(U$60="","",SUM(U61:U63))</f>
        <v/>
      </c>
      <c r="V64">
        <f>IF(V$60="","",SUM(V61:V63))</f>
        <v/>
      </c>
      <c r="W64">
        <f>IF(W$60="","",SUM(W61:W63))</f>
        <v/>
      </c>
      <c r="X64">
        <f>IF(X$60="","",SUM(X61:X63))</f>
        <v/>
      </c>
      <c r="Y64">
        <f>IF(Y$60="","",SUM(Y61:Y63))</f>
        <v/>
      </c>
      <c r="Z64">
        <f>IF(Z$60="","",SUM(Z61:Z63))</f>
        <v/>
      </c>
      <c r="AA64">
        <f>IF(AA$60="","",SUM(AA61:AA63))</f>
        <v/>
      </c>
      <c r="AB64">
        <f>IF(AB$60="","",SUM(AB61:AB63))</f>
        <v/>
      </c>
      <c r="AC64">
        <f>IF(AC$60="","",SUM(AC61:AC63))</f>
        <v/>
      </c>
      <c r="AD64">
        <f>IF(AD$60="","",SUM(AD61:AD63))</f>
        <v/>
      </c>
      <c r="AE64">
        <f>IF(AE$60="","",SUM(AE61:AE63))</f>
        <v/>
      </c>
      <c r="AF64">
        <f>IF(AF$60="","",SUM(AF61:AF63))</f>
        <v/>
      </c>
      <c r="AG64">
        <f>IF(AG$60="","",SUM(AG61:AG63))</f>
        <v/>
      </c>
      <c r="AH64">
        <f>IF(AH$60="","",SUM(AH61:AH63))</f>
        <v/>
      </c>
      <c r="AI64">
        <f>IF(AI$60="","",SUM(AI61:AI63))</f>
        <v/>
      </c>
    </row>
    <row r="65" ht="16.2" customHeight="1" thickBot="1">
      <c r="E65" s="144" t="inlineStr">
        <is>
          <t>SHIFT</t>
        </is>
      </c>
      <c r="F65" s="103" t="n"/>
      <c r="G65" s="103" t="n"/>
      <c r="H65" s="103" t="n"/>
      <c r="I65" s="103" t="n"/>
      <c r="J65" s="104" t="n"/>
    </row>
    <row r="66" ht="16.2" customHeight="1" thickBot="1">
      <c r="E66" s="44" t="inlineStr">
        <is>
          <t>D</t>
        </is>
      </c>
      <c r="F66" s="44" t="inlineStr">
        <is>
          <t>DAY (07:00 - 15:00)</t>
        </is>
      </c>
      <c r="G66" s="103" t="n"/>
      <c r="H66" s="103" t="n"/>
      <c r="I66" s="103" t="n"/>
      <c r="J66" s="104" t="n"/>
    </row>
    <row r="67" ht="16.2" customHeight="1" thickBot="1">
      <c r="E67" s="45" t="inlineStr">
        <is>
          <t>T</t>
        </is>
      </c>
      <c r="F67" s="45" t="inlineStr">
        <is>
          <t>TWI (15:00 - 23:00)</t>
        </is>
      </c>
      <c r="G67" s="103" t="n"/>
      <c r="H67" s="103" t="n"/>
      <c r="I67" s="103" t="n"/>
      <c r="J67" s="104" t="n"/>
      <c r="M67" s="95" t="inlineStr">
        <is>
          <t>ABDULLAH A. ALSHEHRY</t>
        </is>
      </c>
      <c r="N67" s="147" t="n"/>
      <c r="O67" s="147" t="n"/>
      <c r="P67" s="147" t="n"/>
      <c r="Q67" s="147" t="n"/>
      <c r="R67" s="147" t="n"/>
      <c r="S67" s="147" t="n"/>
      <c r="W67" s="96">
        <f>UPPER(TEXT(TODAY(),"DDDD dd/mm/yyyy"))</f>
        <v/>
      </c>
      <c r="X67" s="147" t="n"/>
      <c r="Y67" s="147" t="n"/>
      <c r="Z67" s="147" t="n"/>
      <c r="AA67" s="147" t="n"/>
      <c r="AB67" s="147" t="n"/>
      <c r="AC67" s="147" t="n"/>
    </row>
    <row r="68" ht="16.2" customHeight="1" thickBot="1">
      <c r="E68" s="46" t="inlineStr">
        <is>
          <t>G</t>
        </is>
      </c>
      <c r="F68" s="20" t="inlineStr">
        <is>
          <t>GRV (23:00 - 07:00)</t>
        </is>
      </c>
      <c r="G68" s="103" t="n"/>
      <c r="H68" s="103" t="n"/>
      <c r="I68" s="103" t="n"/>
      <c r="J68" s="104" t="n"/>
      <c r="M68" s="94" t="inlineStr">
        <is>
          <t>SPV CABIN SEC MGR</t>
        </is>
      </c>
      <c r="W68" s="94" t="inlineStr">
        <is>
          <t>DATE</t>
        </is>
      </c>
    </row>
    <row r="69" ht="16.2" customHeight="1" thickBot="1"/>
    <row r="70" ht="16.2" customHeight="1" thickBot="1">
      <c r="E70" s="149" t="inlineStr">
        <is>
          <t>CODE LEGEND — ALL CODES</t>
        </is>
      </c>
    </row>
    <row r="71" ht="16" customHeight="1" thickBot="1">
      <c r="E71" s="150" t="inlineStr">
        <is>
          <t>D</t>
        </is>
      </c>
      <c r="F71" s="151" t="inlineStr">
        <is>
          <t>DAY</t>
        </is>
      </c>
      <c r="K71" s="152" t="inlineStr">
        <is>
          <t>T</t>
        </is>
      </c>
      <c r="L71" s="151" t="inlineStr">
        <is>
          <t>TWILIGHT</t>
        </is>
      </c>
      <c r="Q71" s="153" t="inlineStr">
        <is>
          <t>G</t>
        </is>
      </c>
      <c r="R71" s="151" t="inlineStr">
        <is>
          <t>GRAVEYARD</t>
        </is>
      </c>
      <c r="W71" s="154" t="inlineStr">
        <is>
          <t>TR</t>
        </is>
      </c>
      <c r="X71" s="151" t="inlineStr">
        <is>
          <t>TRAINING</t>
        </is>
      </c>
      <c r="AC71" s="155" t="inlineStr">
        <is>
          <t>V</t>
        </is>
      </c>
      <c r="AD71" s="151" t="inlineStr">
        <is>
          <t>VACATION</t>
        </is>
      </c>
    </row>
    <row r="72" ht="16" customHeight="1" thickBot="1">
      <c r="E72" s="156" t="inlineStr">
        <is>
          <t>R</t>
        </is>
      </c>
      <c r="F72" s="151" t="inlineStr">
        <is>
          <t>REST/RDO</t>
        </is>
      </c>
      <c r="K72" s="157" t="inlineStr">
        <is>
          <t>A</t>
        </is>
      </c>
      <c r="L72" s="151" t="inlineStr">
        <is>
          <t>ABSENT</t>
        </is>
      </c>
      <c r="Q72" s="158" t="inlineStr">
        <is>
          <t>H</t>
        </is>
      </c>
      <c r="R72" s="151" t="inlineStr">
        <is>
          <t>HOLIDAY</t>
        </is>
      </c>
      <c r="W72" s="159" t="inlineStr">
        <is>
          <t>OT</t>
        </is>
      </c>
      <c r="X72" s="151" t="inlineStr">
        <is>
          <t>OVERTIME</t>
        </is>
      </c>
      <c r="AC72" s="160" t="inlineStr">
        <is>
          <t>OS</t>
        </is>
      </c>
      <c r="AD72" s="151" t="inlineStr">
        <is>
          <t>OUTSTATION</t>
        </is>
      </c>
    </row>
    <row r="73" ht="16" customHeight="1" thickBot="1">
      <c r="E73" s="161" t="inlineStr">
        <is>
          <t>S/L</t>
        </is>
      </c>
      <c r="F73" s="151" t="inlineStr">
        <is>
          <t>SICK LEAVE</t>
        </is>
      </c>
      <c r="K73" s="162" t="inlineStr">
        <is>
          <t>C/T</t>
        </is>
      </c>
      <c r="L73" s="151" t="inlineStr">
        <is>
          <t>COMP TIME</t>
        </is>
      </c>
      <c r="Q73" s="163" t="inlineStr">
        <is>
          <t>L</t>
        </is>
      </c>
      <c r="R73" s="151" t="inlineStr">
        <is>
          <t>LATE/LEAVE</t>
        </is>
      </c>
      <c r="W73" s="164" t="inlineStr">
        <is>
          <t>N</t>
        </is>
      </c>
      <c r="X73" s="151" t="inlineStr">
        <is>
          <t>NOTE</t>
        </is>
      </c>
    </row>
    <row r="74" ht="15" customHeight="1" thickBot="1"/>
    <row r="75" ht="16.2" customHeight="1" thickBot="1"/>
    <row r="76" ht="16.2" customHeight="1" thickBot="1"/>
    <row r="77" ht="16.2" customHeight="1" thickBot="1"/>
    <row r="78" ht="16.2" customHeight="1" thickBot="1"/>
    <row r="79" ht="15" customHeight="1" thickBot="1"/>
    <row r="80" ht="21" customHeight="1" thickBot="1"/>
    <row r="81" ht="16.2" customHeight="1" thickBot="1"/>
    <row r="82" ht="16.2" customHeight="1" thickBot="1"/>
    <row r="83" ht="16.2" customHeight="1" thickBot="1"/>
  </sheetData>
  <mergeCells count="53">
    <mergeCell ref="F71:I71"/>
    <mergeCell ref="E61:H61"/>
    <mergeCell ref="AN1:AP1"/>
    <mergeCell ref="E2:AC2"/>
    <mergeCell ref="E57:H57"/>
    <mergeCell ref="AO2:AP2"/>
    <mergeCell ref="AK5:AP5"/>
    <mergeCell ref="L72:O72"/>
    <mergeCell ref="A36:D37"/>
    <mergeCell ref="R72:U72"/>
    <mergeCell ref="C1:C2"/>
    <mergeCell ref="E72:H72"/>
    <mergeCell ref="X72:AA72"/>
    <mergeCell ref="AD72:AG72"/>
    <mergeCell ref="A74:C78"/>
    <mergeCell ref="W82:AC82"/>
    <mergeCell ref="R71:U71"/>
    <mergeCell ref="E80:J80"/>
    <mergeCell ref="F83:J83"/>
    <mergeCell ref="AD71:AG71"/>
    <mergeCell ref="X71:AA71"/>
    <mergeCell ref="AO3:AP3"/>
    <mergeCell ref="E58:H58"/>
    <mergeCell ref="F73:I73"/>
    <mergeCell ref="A46:D47"/>
    <mergeCell ref="AD1:AI2"/>
    <mergeCell ref="A3:D4"/>
    <mergeCell ref="E62:H62"/>
    <mergeCell ref="B1:B2"/>
    <mergeCell ref="M83:S83"/>
    <mergeCell ref="R73:U73"/>
    <mergeCell ref="E64:H64"/>
    <mergeCell ref="F81:J81"/>
    <mergeCell ref="A22:D23"/>
    <mergeCell ref="D74:D75"/>
    <mergeCell ref="W83:AC83"/>
    <mergeCell ref="A42:D43"/>
    <mergeCell ref="AK1:AL1"/>
    <mergeCell ref="M82:S82"/>
    <mergeCell ref="E63:H63"/>
    <mergeCell ref="L71:O71"/>
    <mergeCell ref="AM2:AM3"/>
    <mergeCell ref="E60:H60"/>
    <mergeCell ref="E1:AC1"/>
    <mergeCell ref="E65:H65"/>
    <mergeCell ref="A52:D53"/>
    <mergeCell ref="F82:J82"/>
    <mergeCell ref="L73:O73"/>
    <mergeCell ref="X73:AA73"/>
    <mergeCell ref="D1:D2"/>
    <mergeCell ref="E59:H59"/>
    <mergeCell ref="F72:I72"/>
    <mergeCell ref="A1:A2"/>
  </mergeCells>
  <conditionalFormatting sqref="E5:AI58">
    <cfRule type="containsText" priority="13" operator="containsText" dxfId="5" text="TR">
      <formula>NOT(ISERROR(SEARCH("TR",E5)))</formula>
    </cfRule>
    <cfRule type="containsText" priority="14" operator="containsText" dxfId="4" text="V">
      <formula>NOT(ISERROR(SEARCH("V",E5)))</formula>
    </cfRule>
    <cfRule type="containsText" priority="15" operator="containsText" dxfId="3" text="R">
      <formula>NOT(ISERROR(SEARCH("R",E5)))</formula>
    </cfRule>
    <cfRule type="containsText" priority="16" operator="containsText" dxfId="2" text="G">
      <formula>NOT(ISERROR(SEARCH("G",E5)))</formula>
    </cfRule>
    <cfRule type="containsText" priority="17" operator="containsText" dxfId="1" text="T">
      <formula>NOT(ISERROR(SEARCH("T",E5)))</formula>
    </cfRule>
    <cfRule type="containsText" priority="18" operator="containsText" dxfId="0" text="D">
      <formula>NOT(ISERROR(SEARCH("D",E5)))</formula>
    </cfRule>
    <cfRule type="cellIs" priority="19" operator="equal" dxfId="12">
      <formula>"A"</formula>
    </cfRule>
    <cfRule type="cellIs" priority="20" operator="equal" dxfId="13">
      <formula>"H"</formula>
    </cfRule>
    <cfRule type="cellIs" priority="21" operator="equal" dxfId="14">
      <formula>"OT"</formula>
    </cfRule>
    <cfRule type="cellIs" priority="22" operator="equal" dxfId="15">
      <formula>"OS"</formula>
    </cfRule>
    <cfRule type="cellIs" priority="23" operator="equal" dxfId="16">
      <formula>"S/L"</formula>
    </cfRule>
    <cfRule type="cellIs" priority="24" operator="equal" dxfId="17">
      <formula>"C/T"</formula>
    </cfRule>
    <cfRule type="cellIs" priority="25" operator="equal" dxfId="18">
      <formula>"L"</formula>
    </cfRule>
    <cfRule type="cellIs" priority="26" operator="equal" dxfId="19">
      <formula>"N"</formula>
    </cfRule>
  </conditionalFormatting>
  <conditionalFormatting sqref="A5:D58">
    <cfRule type="expression" priority="27" dxfId="20">
      <formula>$D5="OJT"</formula>
    </cfRule>
    <cfRule type="expression" priority="28" dxfId="21">
      <formula>$D5="ACT/SUPV"</formula>
    </cfRule>
  </conditionalFormatting>
  <printOptions horizontalCentered="1"/>
  <pageMargins left="0.25" right="0.25" top="0.3" bottom="0.3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Saeed Alghamdi</dc:creator>
  <dcterms:created xmlns:dcterms="http://purl.org/dc/terms/" xmlns:xsi="http://www.w3.org/2001/XMLSchema-instance" xsi:type="dcterms:W3CDTF">2026-07-02T08:03:38Z</dcterms:created>
  <dcterms:modified xmlns:dcterms="http://purl.org/dc/terms/" xmlns:xsi="http://www.w3.org/2001/XMLSchema-instance" xsi:type="dcterms:W3CDTF">2026-09-10T13:35:37Z</dcterms:modified>
  <cp:lastModifiedBy>Ahmed Saeed Alghamdi</cp:lastModifiedBy>
</cp:coreProperties>
</file>