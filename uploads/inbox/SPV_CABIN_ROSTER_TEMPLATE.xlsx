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</sheets>
  <definedNames>
    <definedName name="_xlnm.Print_Area" localSheetId="0">'ROSTER'!$A$1:$AI$60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3">
    <font>
      <name val="Calibri"/>
      <family val="2"/>
      <color theme="1"/>
      <sz val="11"/>
      <scheme val="minor"/>
    </font>
    <font>
      <b val="1"/>
      <color rgb="00196B24"/>
      <sz val="11"/>
    </font>
    <font>
      <b val="1"/>
      <sz val="11"/>
    </font>
    <font>
      <b val="1"/>
      <sz val="10"/>
    </font>
    <font>
      <b val="1"/>
      <sz val="8"/>
    </font>
    <font>
      <b val="1"/>
      <color rgb="00B45309"/>
      <sz val="10"/>
    </font>
    <font>
      <b val="1"/>
      <color rgb="001F4E3D"/>
      <sz val="10"/>
    </font>
    <font>
      <b val="1"/>
      <sz val="7.5"/>
    </font>
    <font>
      <b val="1"/>
      <sz val="8.5"/>
    </font>
    <font>
      <b val="1"/>
      <color rgb="00FFFFFF"/>
      <sz val="9.5"/>
    </font>
    <font>
      <color rgb="009AA2A9"/>
      <sz val="7.5"/>
    </font>
    <font>
      <sz val="8.5"/>
    </font>
    <font>
      <b val="1"/>
      <sz val="9"/>
    </font>
    <font>
      <b val="1"/>
      <color rgb="0092400E"/>
      <sz val="8.5"/>
    </font>
    <font>
      <b val="1"/>
      <color rgb="001A56DB"/>
      <sz val="8.5"/>
    </font>
    <font>
      <b val="1"/>
      <color rgb="00065F46"/>
      <sz val="8.5"/>
    </font>
    <font>
      <b val="1"/>
      <color rgb="001F4E3D"/>
      <sz val="9"/>
    </font>
    <font>
      <b val="1"/>
      <color rgb="0092400E"/>
      <sz val="9"/>
    </font>
    <font>
      <b val="1"/>
      <color rgb="001A56DB"/>
      <sz val="9"/>
    </font>
    <font>
      <b val="1"/>
      <color rgb="00065F46"/>
      <sz val="9"/>
    </font>
    <font>
      <sz val="7"/>
    </font>
    <font>
      <b val="1"/>
      <color rgb="005521B5"/>
      <sz val="8.5"/>
    </font>
    <font>
      <b val="1"/>
      <color rgb="000E7490"/>
      <sz val="8.5"/>
    </font>
    <font>
      <b val="1"/>
      <color rgb="006B7280"/>
      <sz val="8.5"/>
    </font>
    <font>
      <b val="1"/>
      <color rgb="00F9FAFB"/>
      <sz val="8.5"/>
    </font>
    <font>
      <b val="1"/>
      <color rgb="007E22CE"/>
      <sz val="8.5"/>
    </font>
    <font>
      <b val="1"/>
      <color rgb="00C2410C"/>
      <sz val="8.5"/>
    </font>
    <font>
      <b val="1"/>
      <color rgb="003730A3"/>
      <sz val="8.5"/>
    </font>
    <font>
      <b val="1"/>
      <color rgb="00BE123C"/>
      <sz val="8.5"/>
    </font>
    <font>
      <b val="1"/>
      <color rgb="003F6212"/>
      <sz val="8.5"/>
    </font>
    <font>
      <b val="1"/>
      <color rgb="00475569"/>
      <sz val="8.5"/>
    </font>
    <font>
      <b val="1"/>
      <color rgb="00713F12"/>
      <sz val="8.5"/>
    </font>
    <font>
      <b val="1"/>
      <sz val="7"/>
    </font>
  </fonts>
  <fills count="21">
    <fill>
      <patternFill/>
    </fill>
    <fill>
      <patternFill patternType="gray125"/>
    </fill>
    <fill>
      <patternFill patternType="solid">
        <fgColor rgb="00EEF2F0"/>
      </patternFill>
    </fill>
    <fill>
      <patternFill patternType="solid">
        <fgColor rgb="001A56DB"/>
      </patternFill>
    </fill>
    <fill>
      <patternFill patternType="solid">
        <fgColor rgb="00057A55"/>
      </patternFill>
    </fill>
    <fill>
      <patternFill patternType="solid">
        <fgColor rgb="00B45309"/>
      </patternFill>
    </fill>
    <fill>
      <patternFill patternType="solid">
        <fgColor rgb="006C2BD9"/>
      </patternFill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D1FAE5"/>
      </patternFill>
    </fill>
    <fill>
      <patternFill patternType="solid">
        <fgColor rgb="00EDEBFE"/>
      </patternFill>
    </fill>
    <fill>
      <patternFill patternType="solid">
        <fgColor rgb="00CFFAFE"/>
      </patternFill>
    </fill>
    <fill>
      <patternFill patternType="solid">
        <fgColor rgb="00F3F4F6"/>
      </patternFill>
    </fill>
    <fill>
      <patternFill patternType="solid">
        <fgColor rgb="001F2937"/>
      </patternFill>
    </fill>
    <fill>
      <patternFill patternType="solid">
        <fgColor rgb="00FDF4FF"/>
      </patternFill>
    </fill>
    <fill>
      <patternFill patternType="solid">
        <fgColor rgb="00FFF7ED"/>
      </patternFill>
    </fill>
    <fill>
      <patternFill patternType="solid">
        <fgColor rgb="00E0E7FF"/>
      </patternFill>
    </fill>
    <fill>
      <patternFill patternType="solid">
        <fgColor rgb="00FFE4E6"/>
      </patternFill>
    </fill>
    <fill>
      <patternFill patternType="solid">
        <fgColor rgb="00ECFCCB"/>
      </patternFill>
    </fill>
    <fill>
      <patternFill patternType="solid">
        <fgColor rgb="00F1F5F9"/>
      </patternFill>
    </fill>
    <fill>
      <patternFill patternType="solid">
        <fgColor rgb="00FEF9C3"/>
      </patternFill>
    </fill>
  </fills>
  <borders count="10">
    <border>
      <left/>
      <right/>
      <top/>
      <bottom/>
      <diagonal/>
    </border>
    <border>
      <left style="thin">
        <color rgb="00C9CFD6"/>
      </left>
      <right style="thin">
        <color rgb="00C9CFD6"/>
      </right>
      <top style="thin">
        <color rgb="00C9CFD6"/>
      </top>
      <bottom style="thin">
        <color rgb="00C9CFD6"/>
      </bottom>
    </border>
    <border>
      <left/>
      <right/>
      <top style="thin">
        <color rgb="00C9CFD6"/>
      </top>
      <bottom/>
      <diagonal/>
    </border>
    <border>
      <left/>
      <right style="thin">
        <color rgb="00C9CFD6"/>
      </right>
      <top style="thin">
        <color rgb="00C9CFD6"/>
      </top>
      <bottom/>
      <diagonal/>
    </border>
    <border>
      <left/>
      <right style="thin">
        <color rgb="00C9CFD6"/>
      </right>
      <top style="thin">
        <color rgb="00C9CFD6"/>
      </top>
      <bottom style="thin">
        <color rgb="00C9CFD6"/>
      </bottom>
      <diagonal/>
    </border>
    <border>
      <left style="thin">
        <color rgb="00C9CFD6"/>
      </left>
      <right/>
      <top/>
      <bottom/>
      <diagonal/>
    </border>
    <border>
      <left/>
      <right style="thin">
        <color rgb="00C9CFD6"/>
      </right>
      <top/>
      <bottom/>
      <diagonal/>
    </border>
    <border>
      <left style="thin">
        <color rgb="00C9CFD6"/>
      </left>
      <right/>
      <top/>
      <bottom style="thin">
        <color rgb="00C9CFD6"/>
      </bottom>
      <diagonal/>
    </border>
    <border>
      <left/>
      <right/>
      <top/>
      <bottom style="thin">
        <color rgb="00C9CFD6"/>
      </bottom>
      <diagonal/>
    </border>
    <border>
      <left/>
      <right style="thin">
        <color rgb="00C9CFD6"/>
      </right>
      <top/>
      <bottom style="thin">
        <color rgb="00C9CFD6"/>
      </bottom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9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 indent="1"/>
    </xf>
    <xf numFmtId="0" fontId="8" fillId="0" borderId="1" applyAlignment="1" pivotButton="0" quotePrefix="0" xfId="0">
      <alignment horizontal="center" vertical="center"/>
    </xf>
    <xf numFmtId="0" fontId="9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9" fillId="5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9" fillId="6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3" fillId="7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0" fontId="16" fillId="0" borderId="0" pivotButton="0" quotePrefix="0" xfId="0"/>
    <xf numFmtId="0" fontId="17" fillId="7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/>
    </xf>
    <xf numFmtId="0" fontId="21" fillId="10" borderId="1" applyAlignment="1" pivotButton="0" quotePrefix="0" xfId="0">
      <alignment horizontal="center" vertical="center"/>
    </xf>
    <xf numFmtId="0" fontId="22" fillId="11" borderId="1" applyAlignment="1" pivotButton="0" quotePrefix="0" xfId="0">
      <alignment horizontal="center" vertical="center"/>
    </xf>
    <xf numFmtId="0" fontId="23" fillId="12" borderId="1" applyAlignment="1" pivotButton="0" quotePrefix="0" xfId="0">
      <alignment horizontal="center" vertical="center"/>
    </xf>
    <xf numFmtId="0" fontId="24" fillId="13" borderId="1" applyAlignment="1" pivotButton="0" quotePrefix="0" xfId="0">
      <alignment horizontal="center" vertical="center"/>
    </xf>
    <xf numFmtId="0" fontId="18" fillId="8" borderId="1" applyAlignment="1" pivotButton="0" quotePrefix="0" xfId="0">
      <alignment horizontal="center" vertical="center"/>
    </xf>
    <xf numFmtId="0" fontId="25" fillId="14" borderId="1" applyAlignment="1" pivotButton="0" quotePrefix="0" xfId="0">
      <alignment horizontal="center" vertical="center"/>
    </xf>
    <xf numFmtId="0" fontId="26" fillId="15" borderId="1" applyAlignment="1" pivotButton="0" quotePrefix="0" xfId="0">
      <alignment horizontal="center" vertical="center"/>
    </xf>
    <xf numFmtId="0" fontId="27" fillId="16" borderId="1" applyAlignment="1" pivotButton="0" quotePrefix="0" xfId="0">
      <alignment horizontal="center" vertical="center"/>
    </xf>
    <xf numFmtId="0" fontId="28" fillId="17" borderId="1" applyAlignment="1" pivotButton="0" quotePrefix="0" xfId="0">
      <alignment horizontal="center" vertical="center"/>
    </xf>
    <xf numFmtId="0" fontId="29" fillId="18" borderId="1" applyAlignment="1" pivotButton="0" quotePrefix="0" xfId="0">
      <alignment horizontal="center" vertical="center"/>
    </xf>
    <xf numFmtId="0" fontId="30" fillId="19" borderId="1" applyAlignment="1" pivotButton="0" quotePrefix="0" xfId="0">
      <alignment horizontal="center" vertical="center"/>
    </xf>
    <xf numFmtId="0" fontId="31" fillId="20" borderId="1" applyAlignment="1" pivotButton="0" quotePrefix="0" xfId="0">
      <alignment horizontal="center" vertical="center"/>
    </xf>
    <xf numFmtId="0" fontId="19" fillId="9" borderId="1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4" pivotButton="0" quotePrefix="0" xfId="0"/>
  </cellXfs>
  <cellStyles count="1">
    <cellStyle name="Normal" xfId="0" builtinId="0" hidden="0"/>
  </cellStyles>
  <dxfs count="15">
    <dxf>
      <font>
        <b val="1"/>
        <color rgb="0092400E"/>
        <sz val="8.5"/>
      </font>
      <fill>
        <patternFill patternType="solid">
          <fgColor rgb="00FEF3C7"/>
        </patternFill>
      </fill>
    </dxf>
    <dxf>
      <font>
        <b val="1"/>
        <color rgb="001A56DB"/>
        <sz val="8.5"/>
      </font>
      <fill>
        <patternFill patternType="solid">
          <fgColor rgb="00DBEAFE"/>
        </patternFill>
      </fill>
    </dxf>
    <dxf>
      <font>
        <b val="1"/>
        <color rgb="00065F46"/>
        <sz val="8.5"/>
      </font>
      <fill>
        <patternFill patternType="solid">
          <fgColor rgb="00D1FAE5"/>
        </patternFill>
      </fill>
    </dxf>
    <dxf>
      <font>
        <b val="1"/>
        <color rgb="005521B5"/>
        <sz val="8.5"/>
      </font>
      <fill>
        <patternFill patternType="solid">
          <fgColor rgb="00EDEBFE"/>
        </patternFill>
      </fill>
    </dxf>
    <dxf>
      <font>
        <b val="1"/>
        <color rgb="000E7490"/>
        <sz val="8.5"/>
      </font>
      <fill>
        <patternFill patternType="solid">
          <fgColor rgb="00CFFAFE"/>
        </patternFill>
      </fill>
    </dxf>
    <dxf>
      <font>
        <b val="1"/>
        <color rgb="006B7280"/>
        <sz val="8.5"/>
      </font>
      <fill>
        <patternFill patternType="solid">
          <fgColor rgb="00F3F4F6"/>
        </patternFill>
      </fill>
    </dxf>
    <dxf>
      <font>
        <b val="1"/>
        <color rgb="00F9FAFB"/>
        <sz val="8.5"/>
      </font>
      <fill>
        <patternFill patternType="solid">
          <fgColor rgb="001F2937"/>
        </patternFill>
      </fill>
    </dxf>
    <dxf>
      <font>
        <b val="1"/>
        <color rgb="007E22CE"/>
        <sz val="8.5"/>
      </font>
      <fill>
        <patternFill patternType="solid">
          <fgColor rgb="00FDF4FF"/>
        </patternFill>
      </fill>
    </dxf>
    <dxf>
      <font>
        <b val="1"/>
        <color rgb="00C2410C"/>
        <sz val="8.5"/>
      </font>
      <fill>
        <patternFill patternType="solid">
          <fgColor rgb="00FFF7ED"/>
        </patternFill>
      </fill>
    </dxf>
    <dxf>
      <font>
        <b val="1"/>
        <color rgb="003730A3"/>
        <sz val="8.5"/>
      </font>
      <fill>
        <patternFill patternType="solid">
          <fgColor rgb="00E0E7FF"/>
        </patternFill>
      </fill>
    </dxf>
    <dxf>
      <font>
        <b val="1"/>
        <color rgb="00BE123C"/>
        <sz val="8.5"/>
      </font>
      <fill>
        <patternFill patternType="solid">
          <fgColor rgb="00FFE4E6"/>
        </patternFill>
      </fill>
    </dxf>
    <dxf>
      <font>
        <b val="1"/>
        <color rgb="003F6212"/>
        <sz val="8.5"/>
      </font>
      <fill>
        <patternFill patternType="solid">
          <fgColor rgb="00ECFCCB"/>
        </patternFill>
      </fill>
    </dxf>
    <dxf>
      <font>
        <b val="1"/>
        <color rgb="00475569"/>
        <sz val="8.5"/>
      </font>
      <fill>
        <patternFill patternType="solid">
          <fgColor rgb="00F1F5F9"/>
        </patternFill>
      </fill>
    </dxf>
    <dxf>
      <font>
        <b val="1"/>
        <color rgb="00713F12"/>
        <sz val="8.5"/>
      </font>
      <fill>
        <patternFill patternType="solid">
          <fgColor rgb="00FEF9C3"/>
        </patternFill>
      </fill>
    </dxf>
    <dxf>
      <fill>
        <patternFill patternType="solid">
          <fgColor rgb="00F6F7F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K60"/>
  <sheetViews>
    <sheetView showGridLines="0"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.4" customWidth="1" min="1" max="1"/>
    <col width="9.5" customWidth="1" min="2" max="2"/>
    <col width="19" customWidth="1" min="3" max="3"/>
    <col width="8.800000000000001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  <col width="3.5" customWidth="1" min="30" max="30"/>
    <col width="3.5" customWidth="1" min="31" max="31"/>
    <col width="3.5" customWidth="1" min="32" max="32"/>
    <col width="3.5" customWidth="1" min="33" max="33"/>
    <col width="3.5" customWidth="1" min="34" max="34"/>
    <col width="3.5" customWidth="1" min="35" max="35"/>
    <col hidden="1" width="13" customWidth="1" min="37" max="37"/>
  </cols>
  <sheetData>
    <row r="1" ht="18" customHeight="1">
      <c r="A1" s="1" t="inlineStr">
        <is>
          <t>SAUDIA TECHNIC</t>
        </is>
      </c>
      <c r="E1" s="2" t="inlineStr">
        <is>
          <t>AIRCRAFT HEAVY MAINTENANCE · SPV CABIN — MONTHLY ROSTER</t>
        </is>
      </c>
      <c r="AF1" s="3" t="inlineStr">
        <is>
          <t>CC: 264</t>
        </is>
      </c>
    </row>
    <row r="2" ht="16" customHeight="1">
      <c r="A2" s="42" t="inlineStr">
        <is>
          <t>MONTH</t>
        </is>
      </c>
      <c r="B2" s="5" t="inlineStr">
        <is>
          <t>JUL</t>
        </is>
      </c>
      <c r="C2" s="4" t="inlineStr">
        <is>
          <t>YEAR</t>
        </is>
      </c>
      <c r="D2" s="5" t="n">
        <v>2026</v>
      </c>
      <c r="E2" s="6">
        <f>TEXT(DATE($D$2,$AK$2,1),"mmmm yyyy")</f>
        <v/>
      </c>
      <c r="AK2">
        <f>IF(ISNUMBER($B$2),$B$2,MATCH(LEFT(UPPER(TRIM($B$2)),3),{"JAN","FEB","MAR","APR","MAY","JUN","JUL","AUG","SEP","OCT","NOV","DEC"},0))</f>
        <v/>
      </c>
    </row>
    <row r="3" ht="12" customHeight="1">
      <c r="E3" s="7">
        <f>IF(1&lt;=DAY(EOMONTH(DATE($D$2,$AK$2,1),0)),TEXT(DATE($D$2,$AK$2,1),"ddd"),"")</f>
        <v/>
      </c>
      <c r="F3" s="7">
        <f>IF(2&lt;=DAY(EOMONTH(DATE($D$2,$AK$2,1),0)),TEXT(DATE($D$2,$AK$2,2),"ddd"),"")</f>
        <v/>
      </c>
      <c r="G3" s="7">
        <f>IF(3&lt;=DAY(EOMONTH(DATE($D$2,$AK$2,1),0)),TEXT(DATE($D$2,$AK$2,3),"ddd"),"")</f>
        <v/>
      </c>
      <c r="H3" s="7">
        <f>IF(4&lt;=DAY(EOMONTH(DATE($D$2,$AK$2,1),0)),TEXT(DATE($D$2,$AK$2,4),"ddd"),"")</f>
        <v/>
      </c>
      <c r="I3" s="7">
        <f>IF(5&lt;=DAY(EOMONTH(DATE($D$2,$AK$2,1),0)),TEXT(DATE($D$2,$AK$2,5),"ddd"),"")</f>
        <v/>
      </c>
      <c r="J3" s="7">
        <f>IF(6&lt;=DAY(EOMONTH(DATE($D$2,$AK$2,1),0)),TEXT(DATE($D$2,$AK$2,6),"ddd"),"")</f>
        <v/>
      </c>
      <c r="K3" s="7">
        <f>IF(7&lt;=DAY(EOMONTH(DATE($D$2,$AK$2,1),0)),TEXT(DATE($D$2,$AK$2,7),"ddd"),"")</f>
        <v/>
      </c>
      <c r="L3" s="7">
        <f>IF(8&lt;=DAY(EOMONTH(DATE($D$2,$AK$2,1),0)),TEXT(DATE($D$2,$AK$2,8),"ddd"),"")</f>
        <v/>
      </c>
      <c r="M3" s="7">
        <f>IF(9&lt;=DAY(EOMONTH(DATE($D$2,$AK$2,1),0)),TEXT(DATE($D$2,$AK$2,9),"ddd"),"")</f>
        <v/>
      </c>
      <c r="N3" s="7">
        <f>IF(10&lt;=DAY(EOMONTH(DATE($D$2,$AK$2,1),0)),TEXT(DATE($D$2,$AK$2,10),"ddd"),"")</f>
        <v/>
      </c>
      <c r="O3" s="7">
        <f>IF(11&lt;=DAY(EOMONTH(DATE($D$2,$AK$2,1),0)),TEXT(DATE($D$2,$AK$2,11),"ddd"),"")</f>
        <v/>
      </c>
      <c r="P3" s="7">
        <f>IF(12&lt;=DAY(EOMONTH(DATE($D$2,$AK$2,1),0)),TEXT(DATE($D$2,$AK$2,12),"ddd"),"")</f>
        <v/>
      </c>
      <c r="Q3" s="7">
        <f>IF(13&lt;=DAY(EOMONTH(DATE($D$2,$AK$2,1),0)),TEXT(DATE($D$2,$AK$2,13),"ddd"),"")</f>
        <v/>
      </c>
      <c r="R3" s="7">
        <f>IF(14&lt;=DAY(EOMONTH(DATE($D$2,$AK$2,1),0)),TEXT(DATE($D$2,$AK$2,14),"ddd"),"")</f>
        <v/>
      </c>
      <c r="S3" s="7">
        <f>IF(15&lt;=DAY(EOMONTH(DATE($D$2,$AK$2,1),0)),TEXT(DATE($D$2,$AK$2,15),"ddd"),"")</f>
        <v/>
      </c>
      <c r="T3" s="7">
        <f>IF(16&lt;=DAY(EOMONTH(DATE($D$2,$AK$2,1),0)),TEXT(DATE($D$2,$AK$2,16),"ddd"),"")</f>
        <v/>
      </c>
      <c r="U3" s="7">
        <f>IF(17&lt;=DAY(EOMONTH(DATE($D$2,$AK$2,1),0)),TEXT(DATE($D$2,$AK$2,17),"ddd"),"")</f>
        <v/>
      </c>
      <c r="V3" s="7">
        <f>IF(18&lt;=DAY(EOMONTH(DATE($D$2,$AK$2,1),0)),TEXT(DATE($D$2,$AK$2,18),"ddd"),"")</f>
        <v/>
      </c>
      <c r="W3" s="7">
        <f>IF(19&lt;=DAY(EOMONTH(DATE($D$2,$AK$2,1),0)),TEXT(DATE($D$2,$AK$2,19),"ddd"),"")</f>
        <v/>
      </c>
      <c r="X3" s="7">
        <f>IF(20&lt;=DAY(EOMONTH(DATE($D$2,$AK$2,1),0)),TEXT(DATE($D$2,$AK$2,20),"ddd"),"")</f>
        <v/>
      </c>
      <c r="Y3" s="7">
        <f>IF(21&lt;=DAY(EOMONTH(DATE($D$2,$AK$2,1),0)),TEXT(DATE($D$2,$AK$2,21),"ddd"),"")</f>
        <v/>
      </c>
      <c r="Z3" s="7">
        <f>IF(22&lt;=DAY(EOMONTH(DATE($D$2,$AK$2,1),0)),TEXT(DATE($D$2,$AK$2,22),"ddd"),"")</f>
        <v/>
      </c>
      <c r="AA3" s="7">
        <f>IF(23&lt;=DAY(EOMONTH(DATE($D$2,$AK$2,1),0)),TEXT(DATE($D$2,$AK$2,23),"ddd"),"")</f>
        <v/>
      </c>
      <c r="AB3" s="7">
        <f>IF(24&lt;=DAY(EOMONTH(DATE($D$2,$AK$2,1),0)),TEXT(DATE($D$2,$AK$2,24),"ddd"),"")</f>
        <v/>
      </c>
      <c r="AC3" s="7">
        <f>IF(25&lt;=DAY(EOMONTH(DATE($D$2,$AK$2,1),0)),TEXT(DATE($D$2,$AK$2,25),"ddd"),"")</f>
        <v/>
      </c>
      <c r="AD3" s="7">
        <f>IF(26&lt;=DAY(EOMONTH(DATE($D$2,$AK$2,1),0)),TEXT(DATE($D$2,$AK$2,26),"ddd"),"")</f>
        <v/>
      </c>
      <c r="AE3" s="7">
        <f>IF(27&lt;=DAY(EOMONTH(DATE($D$2,$AK$2,1),0)),TEXT(DATE($D$2,$AK$2,27),"ddd"),"")</f>
        <v/>
      </c>
      <c r="AF3" s="7">
        <f>IF(28&lt;=DAY(EOMONTH(DATE($D$2,$AK$2,1),0)),TEXT(DATE($D$2,$AK$2,28),"ddd"),"")</f>
        <v/>
      </c>
      <c r="AG3" s="7">
        <f>IF(29&lt;=DAY(EOMONTH(DATE($D$2,$AK$2,1),0)),TEXT(DATE($D$2,$AK$2,29),"ddd"),"")</f>
        <v/>
      </c>
      <c r="AH3" s="7">
        <f>IF(30&lt;=DAY(EOMONTH(DATE($D$2,$AK$2,1),0)),TEXT(DATE($D$2,$AK$2,30),"ddd"),"")</f>
        <v/>
      </c>
      <c r="AI3" s="7">
        <f>IF(31&lt;=DAY(EOMONTH(DATE($D$2,$AK$2,1),0)),TEXT(DATE($D$2,$AK$2,31),"ddd"),"")</f>
        <v/>
      </c>
    </row>
    <row r="4" ht="14" customHeight="1">
      <c r="A4" s="8" t="inlineStr">
        <is>
          <t>#</t>
        </is>
      </c>
      <c r="B4" s="8" t="inlineStr">
        <is>
          <t>PRN</t>
        </is>
      </c>
      <c r="C4" s="8" t="inlineStr">
        <is>
          <t>NAME</t>
        </is>
      </c>
      <c r="D4" s="8" t="inlineStr">
        <is>
          <t>Posn</t>
        </is>
      </c>
      <c r="E4" s="8">
        <f>IF(1&lt;=DAY(EOMONTH(DATE($D$2,$AK$2,1),0)),1,"")</f>
        <v/>
      </c>
      <c r="F4" s="8">
        <f>IF(2&lt;=DAY(EOMONTH(DATE($D$2,$AK$2,1),0)),2,"")</f>
        <v/>
      </c>
      <c r="G4" s="8">
        <f>IF(3&lt;=DAY(EOMONTH(DATE($D$2,$AK$2,1),0)),3,"")</f>
        <v/>
      </c>
      <c r="H4" s="8">
        <f>IF(4&lt;=DAY(EOMONTH(DATE($D$2,$AK$2,1),0)),4,"")</f>
        <v/>
      </c>
      <c r="I4" s="8">
        <f>IF(5&lt;=DAY(EOMONTH(DATE($D$2,$AK$2,1),0)),5,"")</f>
        <v/>
      </c>
      <c r="J4" s="8">
        <f>IF(6&lt;=DAY(EOMONTH(DATE($D$2,$AK$2,1),0)),6,"")</f>
        <v/>
      </c>
      <c r="K4" s="8">
        <f>IF(7&lt;=DAY(EOMONTH(DATE($D$2,$AK$2,1),0)),7,"")</f>
        <v/>
      </c>
      <c r="L4" s="8">
        <f>IF(8&lt;=DAY(EOMONTH(DATE($D$2,$AK$2,1),0)),8,"")</f>
        <v/>
      </c>
      <c r="M4" s="8">
        <f>IF(9&lt;=DAY(EOMONTH(DATE($D$2,$AK$2,1),0)),9,"")</f>
        <v/>
      </c>
      <c r="N4" s="8">
        <f>IF(10&lt;=DAY(EOMONTH(DATE($D$2,$AK$2,1),0)),10,"")</f>
        <v/>
      </c>
      <c r="O4" s="8">
        <f>IF(11&lt;=DAY(EOMONTH(DATE($D$2,$AK$2,1),0)),11,"")</f>
        <v/>
      </c>
      <c r="P4" s="8">
        <f>IF(12&lt;=DAY(EOMONTH(DATE($D$2,$AK$2,1),0)),12,"")</f>
        <v/>
      </c>
      <c r="Q4" s="8">
        <f>IF(13&lt;=DAY(EOMONTH(DATE($D$2,$AK$2,1),0)),13,"")</f>
        <v/>
      </c>
      <c r="R4" s="8">
        <f>IF(14&lt;=DAY(EOMONTH(DATE($D$2,$AK$2,1),0)),14,"")</f>
        <v/>
      </c>
      <c r="S4" s="8">
        <f>IF(15&lt;=DAY(EOMONTH(DATE($D$2,$AK$2,1),0)),15,"")</f>
        <v/>
      </c>
      <c r="T4" s="8">
        <f>IF(16&lt;=DAY(EOMONTH(DATE($D$2,$AK$2,1),0)),16,"")</f>
        <v/>
      </c>
      <c r="U4" s="8">
        <f>IF(17&lt;=DAY(EOMONTH(DATE($D$2,$AK$2,1),0)),17,"")</f>
        <v/>
      </c>
      <c r="V4" s="8">
        <f>IF(18&lt;=DAY(EOMONTH(DATE($D$2,$AK$2,1),0)),18,"")</f>
        <v/>
      </c>
      <c r="W4" s="8">
        <f>IF(19&lt;=DAY(EOMONTH(DATE($D$2,$AK$2,1),0)),19,"")</f>
        <v/>
      </c>
      <c r="X4" s="8">
        <f>IF(20&lt;=DAY(EOMONTH(DATE($D$2,$AK$2,1),0)),20,"")</f>
        <v/>
      </c>
      <c r="Y4" s="8">
        <f>IF(21&lt;=DAY(EOMONTH(DATE($D$2,$AK$2,1),0)),21,"")</f>
        <v/>
      </c>
      <c r="Z4" s="8">
        <f>IF(22&lt;=DAY(EOMONTH(DATE($D$2,$AK$2,1),0)),22,"")</f>
        <v/>
      </c>
      <c r="AA4" s="8">
        <f>IF(23&lt;=DAY(EOMONTH(DATE($D$2,$AK$2,1),0)),23,"")</f>
        <v/>
      </c>
      <c r="AB4" s="8">
        <f>IF(24&lt;=DAY(EOMONTH(DATE($D$2,$AK$2,1),0)),24,"")</f>
        <v/>
      </c>
      <c r="AC4" s="8">
        <f>IF(25&lt;=DAY(EOMONTH(DATE($D$2,$AK$2,1),0)),25,"")</f>
        <v/>
      </c>
      <c r="AD4" s="8">
        <f>IF(26&lt;=DAY(EOMONTH(DATE($D$2,$AK$2,1),0)),26,"")</f>
        <v/>
      </c>
      <c r="AE4" s="8">
        <f>IF(27&lt;=DAY(EOMONTH(DATE($D$2,$AK$2,1),0)),27,"")</f>
        <v/>
      </c>
      <c r="AF4" s="8">
        <f>IF(28&lt;=DAY(EOMONTH(DATE($D$2,$AK$2,1),0)),28,"")</f>
        <v/>
      </c>
      <c r="AG4" s="8">
        <f>IF(29&lt;=DAY(EOMONTH(DATE($D$2,$AK$2,1),0)),29,"")</f>
        <v/>
      </c>
      <c r="AH4" s="8">
        <f>IF(30&lt;=DAY(EOMONTH(DATE($D$2,$AK$2,1),0)),30,"")</f>
        <v/>
      </c>
      <c r="AI4" s="8">
        <f>IF(31&lt;=DAY(EOMONTH(DATE($D$2,$AK$2,1),0)),31,"")</f>
        <v/>
      </c>
    </row>
    <row r="5" ht="15" customHeight="1">
      <c r="A5" s="9" t="inlineStr">
        <is>
          <t>CREW 1</t>
        </is>
      </c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</row>
    <row r="6" ht="14.5" customHeight="1">
      <c r="A6" s="11" t="n">
        <v>1</v>
      </c>
      <c r="B6" s="11" t="n"/>
      <c r="C6" s="12" t="n"/>
      <c r="D6" s="11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  <c r="Z6" s="13" t="n"/>
      <c r="AA6" s="13" t="n"/>
      <c r="AB6" s="13" t="n"/>
      <c r="AC6" s="13" t="n"/>
      <c r="AD6" s="13" t="n"/>
      <c r="AE6" s="13" t="n"/>
      <c r="AF6" s="13" t="n"/>
      <c r="AG6" s="13" t="n"/>
      <c r="AH6" s="13" t="n"/>
      <c r="AI6" s="13" t="n"/>
    </row>
    <row r="7" ht="14.5" customHeight="1">
      <c r="A7" s="11" t="n">
        <v>2</v>
      </c>
      <c r="B7" s="11" t="n"/>
      <c r="C7" s="12" t="n"/>
      <c r="D7" s="11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3" t="n"/>
      <c r="Y7" s="13" t="n"/>
      <c r="Z7" s="13" t="n"/>
      <c r="AA7" s="13" t="n"/>
      <c r="AB7" s="13" t="n"/>
      <c r="AC7" s="13" t="n"/>
      <c r="AD7" s="13" t="n"/>
      <c r="AE7" s="13" t="n"/>
      <c r="AF7" s="13" t="n"/>
      <c r="AG7" s="13" t="n"/>
      <c r="AH7" s="13" t="n"/>
      <c r="AI7" s="13" t="n"/>
    </row>
    <row r="8" ht="14.5" customHeight="1">
      <c r="A8" s="11" t="n">
        <v>3</v>
      </c>
      <c r="B8" s="11" t="n"/>
      <c r="C8" s="12" t="n"/>
      <c r="D8" s="11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  <c r="V8" s="13" t="n"/>
      <c r="W8" s="13" t="n"/>
      <c r="X8" s="13" t="n"/>
      <c r="Y8" s="13" t="n"/>
      <c r="Z8" s="13" t="n"/>
      <c r="AA8" s="13" t="n"/>
      <c r="AB8" s="13" t="n"/>
      <c r="AC8" s="13" t="n"/>
      <c r="AD8" s="13" t="n"/>
      <c r="AE8" s="13" t="n"/>
      <c r="AF8" s="13" t="n"/>
      <c r="AG8" s="13" t="n"/>
      <c r="AH8" s="13" t="n"/>
      <c r="AI8" s="13" t="n"/>
    </row>
    <row r="9" ht="14.5" customHeight="1">
      <c r="A9" s="11" t="n">
        <v>4</v>
      </c>
      <c r="B9" s="11" t="n"/>
      <c r="C9" s="12" t="n"/>
      <c r="D9" s="11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X9" s="13" t="n"/>
      <c r="Y9" s="13" t="n"/>
      <c r="Z9" s="13" t="n"/>
      <c r="AA9" s="13" t="n"/>
      <c r="AB9" s="13" t="n"/>
      <c r="AC9" s="13" t="n"/>
      <c r="AD9" s="13" t="n"/>
      <c r="AE9" s="13" t="n"/>
      <c r="AF9" s="13" t="n"/>
      <c r="AG9" s="13" t="n"/>
      <c r="AH9" s="13" t="n"/>
      <c r="AI9" s="13" t="n"/>
    </row>
    <row r="10" ht="14.5" customHeight="1">
      <c r="A10" s="11" t="n">
        <v>5</v>
      </c>
      <c r="B10" s="11" t="n"/>
      <c r="C10" s="12" t="n"/>
      <c r="D10" s="11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  <c r="Z10" s="13" t="n"/>
      <c r="AA10" s="13" t="n"/>
      <c r="AB10" s="13" t="n"/>
      <c r="AC10" s="13" t="n"/>
      <c r="AD10" s="13" t="n"/>
      <c r="AE10" s="13" t="n"/>
      <c r="AF10" s="13" t="n"/>
      <c r="AG10" s="13" t="n"/>
      <c r="AH10" s="13" t="n"/>
      <c r="AI10" s="13" t="n"/>
    </row>
    <row r="11" ht="14.5" customHeight="1">
      <c r="A11" s="11" t="n">
        <v>6</v>
      </c>
      <c r="B11" s="11" t="n"/>
      <c r="C11" s="12" t="n"/>
      <c r="D11" s="11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  <c r="Z11" s="13" t="n"/>
      <c r="AA11" s="13" t="n"/>
      <c r="AB11" s="13" t="n"/>
      <c r="AC11" s="13" t="n"/>
      <c r="AD11" s="13" t="n"/>
      <c r="AE11" s="13" t="n"/>
      <c r="AF11" s="13" t="n"/>
      <c r="AG11" s="13" t="n"/>
      <c r="AH11" s="13" t="n"/>
      <c r="AI11" s="13" t="n"/>
    </row>
    <row r="12" ht="14.5" customHeight="1">
      <c r="A12" s="11" t="n">
        <v>7</v>
      </c>
      <c r="B12" s="11" t="n"/>
      <c r="C12" s="12" t="n"/>
      <c r="D12" s="11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  <c r="AA12" s="13" t="n"/>
      <c r="AB12" s="13" t="n"/>
      <c r="AC12" s="13" t="n"/>
      <c r="AD12" s="13" t="n"/>
      <c r="AE12" s="13" t="n"/>
      <c r="AF12" s="13" t="n"/>
      <c r="AG12" s="13" t="n"/>
      <c r="AH12" s="13" t="n"/>
      <c r="AI12" s="13" t="n"/>
    </row>
    <row r="13" ht="14.5" customHeight="1">
      <c r="A13" s="11" t="n">
        <v>8</v>
      </c>
      <c r="B13" s="11" t="n"/>
      <c r="C13" s="12" t="n"/>
      <c r="D13" s="11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13" t="n"/>
      <c r="Y13" s="13" t="n"/>
      <c r="Z13" s="13" t="n"/>
      <c r="AA13" s="13" t="n"/>
      <c r="AB13" s="13" t="n"/>
      <c r="AC13" s="13" t="n"/>
      <c r="AD13" s="13" t="n"/>
      <c r="AE13" s="13" t="n"/>
      <c r="AF13" s="13" t="n"/>
      <c r="AG13" s="13" t="n"/>
      <c r="AH13" s="13" t="n"/>
      <c r="AI13" s="13" t="n"/>
    </row>
    <row r="14" ht="14.5" customHeight="1">
      <c r="A14" s="11" t="n">
        <v>9</v>
      </c>
      <c r="B14" s="11" t="n"/>
      <c r="C14" s="12" t="n"/>
      <c r="D14" s="11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3" t="n"/>
      <c r="Y14" s="13" t="n"/>
      <c r="Z14" s="13" t="n"/>
      <c r="AA14" s="13" t="n"/>
      <c r="AB14" s="13" t="n"/>
      <c r="AC14" s="13" t="n"/>
      <c r="AD14" s="13" t="n"/>
      <c r="AE14" s="13" t="n"/>
      <c r="AF14" s="13" t="n"/>
      <c r="AG14" s="13" t="n"/>
      <c r="AH14" s="13" t="n"/>
      <c r="AI14" s="13" t="n"/>
    </row>
    <row r="15" ht="14.5" customHeight="1">
      <c r="A15" s="11" t="n">
        <v>10</v>
      </c>
      <c r="B15" s="11" t="n"/>
      <c r="C15" s="12" t="n"/>
      <c r="D15" s="11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  <c r="AA15" s="13" t="n"/>
      <c r="AB15" s="13" t="n"/>
      <c r="AC15" s="13" t="n"/>
      <c r="AD15" s="13" t="n"/>
      <c r="AE15" s="13" t="n"/>
      <c r="AF15" s="13" t="n"/>
      <c r="AG15" s="13" t="n"/>
      <c r="AH15" s="13" t="n"/>
      <c r="AI15" s="13" t="n"/>
    </row>
    <row r="16" ht="14.5" customHeight="1">
      <c r="A16" s="11" t="n">
        <v>11</v>
      </c>
      <c r="B16" s="11" t="n"/>
      <c r="C16" s="12" t="n"/>
      <c r="D16" s="11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  <c r="AA16" s="13" t="n"/>
      <c r="AB16" s="13" t="n"/>
      <c r="AC16" s="13" t="n"/>
      <c r="AD16" s="13" t="n"/>
      <c r="AE16" s="13" t="n"/>
      <c r="AF16" s="13" t="n"/>
      <c r="AG16" s="13" t="n"/>
      <c r="AH16" s="13" t="n"/>
      <c r="AI16" s="13" t="n"/>
    </row>
    <row r="17" ht="14.5" customHeight="1">
      <c r="A17" s="11" t="n">
        <v>12</v>
      </c>
      <c r="B17" s="11" t="n"/>
      <c r="C17" s="12" t="n"/>
      <c r="D17" s="11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  <c r="Z17" s="13" t="n"/>
      <c r="AA17" s="13" t="n"/>
      <c r="AB17" s="13" t="n"/>
      <c r="AC17" s="13" t="n"/>
      <c r="AD17" s="13" t="n"/>
      <c r="AE17" s="13" t="n"/>
      <c r="AF17" s="13" t="n"/>
      <c r="AG17" s="13" t="n"/>
      <c r="AH17" s="13" t="n"/>
      <c r="AI17" s="13" t="n"/>
    </row>
    <row r="18" ht="15" customHeight="1">
      <c r="A18" s="14" t="inlineStr">
        <is>
          <t>CREW 2</t>
        </is>
      </c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</row>
    <row r="19" ht="14.5" customHeight="1">
      <c r="A19" s="11" t="n">
        <v>1</v>
      </c>
      <c r="B19" s="11" t="n"/>
      <c r="C19" s="12" t="n"/>
      <c r="D19" s="11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3" t="n"/>
      <c r="AA19" s="13" t="n"/>
      <c r="AB19" s="13" t="n"/>
      <c r="AC19" s="13" t="n"/>
      <c r="AD19" s="13" t="n"/>
      <c r="AE19" s="13" t="n"/>
      <c r="AF19" s="13" t="n"/>
      <c r="AG19" s="13" t="n"/>
      <c r="AH19" s="13" t="n"/>
      <c r="AI19" s="13" t="n"/>
    </row>
    <row r="20" ht="14.5" customHeight="1">
      <c r="A20" s="11" t="n">
        <v>2</v>
      </c>
      <c r="B20" s="11" t="n"/>
      <c r="C20" s="12" t="n"/>
      <c r="D20" s="11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3" t="n"/>
      <c r="AE20" s="13" t="n"/>
      <c r="AF20" s="13" t="n"/>
      <c r="AG20" s="13" t="n"/>
      <c r="AH20" s="13" t="n"/>
      <c r="AI20" s="13" t="n"/>
    </row>
    <row r="21" ht="14.5" customHeight="1">
      <c r="A21" s="11" t="n">
        <v>3</v>
      </c>
      <c r="B21" s="11" t="n"/>
      <c r="C21" s="12" t="n"/>
      <c r="D21" s="11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  <c r="AH21" s="13" t="n"/>
      <c r="AI21" s="13" t="n"/>
    </row>
    <row r="22" ht="14.5" customHeight="1">
      <c r="A22" s="11" t="n">
        <v>4</v>
      </c>
      <c r="B22" s="11" t="n"/>
      <c r="C22" s="12" t="n"/>
      <c r="D22" s="11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</row>
    <row r="23" ht="14.5" customHeight="1">
      <c r="A23" s="11" t="n">
        <v>5</v>
      </c>
      <c r="B23" s="11" t="n"/>
      <c r="C23" s="12" t="n"/>
      <c r="D23" s="11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</row>
    <row r="24" ht="14.5" customHeight="1">
      <c r="A24" s="11" t="n">
        <v>6</v>
      </c>
      <c r="B24" s="11" t="n"/>
      <c r="C24" s="12" t="n"/>
      <c r="D24" s="11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</row>
    <row r="25" ht="14.5" customHeight="1">
      <c r="A25" s="11" t="n">
        <v>7</v>
      </c>
      <c r="B25" s="11" t="n"/>
      <c r="C25" s="12" t="n"/>
      <c r="D25" s="11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3" t="n"/>
      <c r="AD25" s="13" t="n"/>
      <c r="AE25" s="13" t="n"/>
      <c r="AF25" s="13" t="n"/>
      <c r="AG25" s="13" t="n"/>
      <c r="AH25" s="13" t="n"/>
      <c r="AI25" s="13" t="n"/>
    </row>
    <row r="26" ht="14.5" customHeight="1">
      <c r="A26" s="11" t="n">
        <v>8</v>
      </c>
      <c r="B26" s="11" t="n"/>
      <c r="C26" s="12" t="n"/>
      <c r="D26" s="11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  <c r="AG26" s="13" t="n"/>
      <c r="AH26" s="13" t="n"/>
      <c r="AI26" s="13" t="n"/>
    </row>
    <row r="27" ht="14.5" customHeight="1">
      <c r="A27" s="11" t="n">
        <v>9</v>
      </c>
      <c r="B27" s="11" t="n"/>
      <c r="C27" s="12" t="n"/>
      <c r="D27" s="11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</row>
    <row r="28" ht="14.5" customHeight="1">
      <c r="A28" s="11" t="n">
        <v>10</v>
      </c>
      <c r="B28" s="11" t="n"/>
      <c r="C28" s="12" t="n"/>
      <c r="D28" s="11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</row>
    <row r="29" ht="14.5" customHeight="1">
      <c r="A29" s="11" t="n">
        <v>11</v>
      </c>
      <c r="B29" s="11" t="n"/>
      <c r="C29" s="12" t="n"/>
      <c r="D29" s="11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3" t="n"/>
      <c r="AH29" s="13" t="n"/>
      <c r="AI29" s="13" t="n"/>
    </row>
    <row r="30" ht="14.5" customHeight="1">
      <c r="A30" s="11" t="n">
        <v>12</v>
      </c>
      <c r="B30" s="11" t="n"/>
      <c r="C30" s="12" t="n"/>
      <c r="D30" s="11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n"/>
      <c r="AI30" s="13" t="n"/>
    </row>
    <row r="31" ht="15" customHeight="1">
      <c r="A31" s="16" t="inlineStr">
        <is>
          <t>CREW 3</t>
        </is>
      </c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</row>
    <row r="32" ht="14.5" customHeight="1">
      <c r="A32" s="11" t="n">
        <v>1</v>
      </c>
      <c r="B32" s="11" t="n"/>
      <c r="C32" s="12" t="n"/>
      <c r="D32" s="11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13" t="n"/>
      <c r="AD32" s="13" t="n"/>
      <c r="AE32" s="13" t="n"/>
      <c r="AF32" s="13" t="n"/>
      <c r="AG32" s="13" t="n"/>
      <c r="AH32" s="13" t="n"/>
      <c r="AI32" s="13" t="n"/>
    </row>
    <row r="33" ht="14.5" customHeight="1">
      <c r="A33" s="11" t="n">
        <v>2</v>
      </c>
      <c r="B33" s="11" t="n"/>
      <c r="C33" s="12" t="n"/>
      <c r="D33" s="11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3" t="n"/>
      <c r="AD33" s="13" t="n"/>
      <c r="AE33" s="13" t="n"/>
      <c r="AF33" s="13" t="n"/>
      <c r="AG33" s="13" t="n"/>
      <c r="AH33" s="13" t="n"/>
      <c r="AI33" s="13" t="n"/>
    </row>
    <row r="34" ht="14.5" customHeight="1">
      <c r="A34" s="11" t="n">
        <v>3</v>
      </c>
      <c r="B34" s="11" t="n"/>
      <c r="C34" s="12" t="n"/>
      <c r="D34" s="11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  <c r="AA34" s="13" t="n"/>
      <c r="AB34" s="13" t="n"/>
      <c r="AC34" s="13" t="n"/>
      <c r="AD34" s="13" t="n"/>
      <c r="AE34" s="13" t="n"/>
      <c r="AF34" s="13" t="n"/>
      <c r="AG34" s="13" t="n"/>
      <c r="AH34" s="13" t="n"/>
      <c r="AI34" s="13" t="n"/>
    </row>
    <row r="35" ht="14.5" customHeight="1">
      <c r="A35" s="11" t="n">
        <v>4</v>
      </c>
      <c r="B35" s="11" t="n"/>
      <c r="C35" s="12" t="n"/>
      <c r="D35" s="11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  <c r="AA35" s="13" t="n"/>
      <c r="AB35" s="13" t="n"/>
      <c r="AC35" s="13" t="n"/>
      <c r="AD35" s="13" t="n"/>
      <c r="AE35" s="13" t="n"/>
      <c r="AF35" s="13" t="n"/>
      <c r="AG35" s="13" t="n"/>
      <c r="AH35" s="13" t="n"/>
      <c r="AI35" s="13" t="n"/>
    </row>
    <row r="36" ht="14.5" customHeight="1">
      <c r="A36" s="11" t="n">
        <v>5</v>
      </c>
      <c r="B36" s="11" t="n"/>
      <c r="C36" s="12" t="n"/>
      <c r="D36" s="11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  <c r="AA36" s="13" t="n"/>
      <c r="AB36" s="13" t="n"/>
      <c r="AC36" s="13" t="n"/>
      <c r="AD36" s="13" t="n"/>
      <c r="AE36" s="13" t="n"/>
      <c r="AF36" s="13" t="n"/>
      <c r="AG36" s="13" t="n"/>
      <c r="AH36" s="13" t="n"/>
      <c r="AI36" s="13" t="n"/>
    </row>
    <row r="37" ht="14.5" customHeight="1">
      <c r="A37" s="11" t="n">
        <v>6</v>
      </c>
      <c r="B37" s="11" t="n"/>
      <c r="C37" s="12" t="n"/>
      <c r="D37" s="11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3" t="n"/>
      <c r="AA37" s="13" t="n"/>
      <c r="AB37" s="13" t="n"/>
      <c r="AC37" s="13" t="n"/>
      <c r="AD37" s="13" t="n"/>
      <c r="AE37" s="13" t="n"/>
      <c r="AF37" s="13" t="n"/>
      <c r="AG37" s="13" t="n"/>
      <c r="AH37" s="13" t="n"/>
      <c r="AI37" s="13" t="n"/>
    </row>
    <row r="38" ht="14.5" customHeight="1">
      <c r="A38" s="11" t="n">
        <v>7</v>
      </c>
      <c r="B38" s="11" t="n"/>
      <c r="C38" s="12" t="n"/>
      <c r="D38" s="11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3" t="n"/>
      <c r="AA38" s="13" t="n"/>
      <c r="AB38" s="13" t="n"/>
      <c r="AC38" s="13" t="n"/>
      <c r="AD38" s="13" t="n"/>
      <c r="AE38" s="13" t="n"/>
      <c r="AF38" s="13" t="n"/>
      <c r="AG38" s="13" t="n"/>
      <c r="AH38" s="13" t="n"/>
      <c r="AI38" s="13" t="n"/>
    </row>
    <row r="39" ht="14.5" customHeight="1">
      <c r="A39" s="11" t="n">
        <v>8</v>
      </c>
      <c r="B39" s="11" t="n"/>
      <c r="C39" s="12" t="n"/>
      <c r="D39" s="11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3" t="n"/>
      <c r="AA39" s="13" t="n"/>
      <c r="AB39" s="13" t="n"/>
      <c r="AC39" s="13" t="n"/>
      <c r="AD39" s="13" t="n"/>
      <c r="AE39" s="13" t="n"/>
      <c r="AF39" s="13" t="n"/>
      <c r="AG39" s="13" t="n"/>
      <c r="AH39" s="13" t="n"/>
      <c r="AI39" s="13" t="n"/>
    </row>
    <row r="40" ht="14.5" customHeight="1">
      <c r="A40" s="11" t="n">
        <v>9</v>
      </c>
      <c r="B40" s="11" t="n"/>
      <c r="C40" s="12" t="n"/>
      <c r="D40" s="11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3" t="n"/>
      <c r="AA40" s="13" t="n"/>
      <c r="AB40" s="13" t="n"/>
      <c r="AC40" s="13" t="n"/>
      <c r="AD40" s="13" t="n"/>
      <c r="AE40" s="13" t="n"/>
      <c r="AF40" s="13" t="n"/>
      <c r="AG40" s="13" t="n"/>
      <c r="AH40" s="13" t="n"/>
      <c r="AI40" s="13" t="n"/>
    </row>
    <row r="41" ht="14.5" customHeight="1">
      <c r="A41" s="11" t="n">
        <v>10</v>
      </c>
      <c r="B41" s="11" t="n"/>
      <c r="C41" s="12" t="n"/>
      <c r="D41" s="11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3" t="n"/>
      <c r="AA41" s="13" t="n"/>
      <c r="AB41" s="13" t="n"/>
      <c r="AC41" s="13" t="n"/>
      <c r="AD41" s="13" t="n"/>
      <c r="AE41" s="13" t="n"/>
      <c r="AF41" s="13" t="n"/>
      <c r="AG41" s="13" t="n"/>
      <c r="AH41" s="13" t="n"/>
      <c r="AI41" s="13" t="n"/>
    </row>
    <row r="42" ht="14.5" customHeight="1">
      <c r="A42" s="11" t="n">
        <v>11</v>
      </c>
      <c r="B42" s="11" t="n"/>
      <c r="C42" s="12" t="n"/>
      <c r="D42" s="11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  <c r="X42" s="13" t="n"/>
      <c r="Y42" s="13" t="n"/>
      <c r="Z42" s="13" t="n"/>
      <c r="AA42" s="13" t="n"/>
      <c r="AB42" s="13" t="n"/>
      <c r="AC42" s="13" t="n"/>
      <c r="AD42" s="13" t="n"/>
      <c r="AE42" s="13" t="n"/>
      <c r="AF42" s="13" t="n"/>
      <c r="AG42" s="13" t="n"/>
      <c r="AH42" s="13" t="n"/>
      <c r="AI42" s="13" t="n"/>
    </row>
    <row r="43" ht="14.5" customHeight="1">
      <c r="A43" s="11" t="n">
        <v>12</v>
      </c>
      <c r="B43" s="11" t="n"/>
      <c r="C43" s="12" t="n"/>
      <c r="D43" s="11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  <c r="V43" s="13" t="n"/>
      <c r="W43" s="13" t="n"/>
      <c r="X43" s="13" t="n"/>
      <c r="Y43" s="13" t="n"/>
      <c r="Z43" s="13" t="n"/>
      <c r="AA43" s="13" t="n"/>
      <c r="AB43" s="13" t="n"/>
      <c r="AC43" s="13" t="n"/>
      <c r="AD43" s="13" t="n"/>
      <c r="AE43" s="13" t="n"/>
      <c r="AF43" s="13" t="n"/>
      <c r="AG43" s="13" t="n"/>
      <c r="AH43" s="13" t="n"/>
      <c r="AI43" s="13" t="n"/>
    </row>
    <row r="44" ht="15" customHeight="1">
      <c r="A44" s="18" t="inlineStr">
        <is>
          <t>SPECIAL SHIFTING</t>
        </is>
      </c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/>
      <c r="Q44" s="19" t="n"/>
      <c r="R44" s="19" t="n"/>
      <c r="S44" s="19" t="n"/>
      <c r="T44" s="19" t="n"/>
      <c r="U44" s="19" t="n"/>
      <c r="V44" s="19" t="n"/>
      <c r="W44" s="19" t="n"/>
      <c r="X44" s="19" t="n"/>
      <c r="Y44" s="19" t="n"/>
      <c r="Z44" s="19" t="n"/>
      <c r="AA44" s="19" t="n"/>
      <c r="AB44" s="19" t="n"/>
      <c r="AC44" s="19" t="n"/>
      <c r="AD44" s="19" t="n"/>
      <c r="AE44" s="19" t="n"/>
      <c r="AF44" s="19" t="n"/>
      <c r="AG44" s="19" t="n"/>
      <c r="AH44" s="19" t="n"/>
      <c r="AI44" s="19" t="n"/>
    </row>
    <row r="45" ht="14.5" customHeight="1">
      <c r="A45" s="11" t="n">
        <v>1</v>
      </c>
      <c r="B45" s="11" t="n"/>
      <c r="C45" s="12" t="n"/>
      <c r="D45" s="11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3" t="n"/>
      <c r="AA45" s="13" t="n"/>
      <c r="AB45" s="13" t="n"/>
      <c r="AC45" s="13" t="n"/>
      <c r="AD45" s="13" t="n"/>
      <c r="AE45" s="13" t="n"/>
      <c r="AF45" s="13" t="n"/>
      <c r="AG45" s="13" t="n"/>
      <c r="AH45" s="13" t="n"/>
      <c r="AI45" s="13" t="n"/>
    </row>
    <row r="46" ht="14.5" customHeight="1">
      <c r="A46" s="11" t="n">
        <v>2</v>
      </c>
      <c r="B46" s="11" t="n"/>
      <c r="C46" s="12" t="n"/>
      <c r="D46" s="11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  <c r="Z46" s="13" t="n"/>
      <c r="AA46" s="13" t="n"/>
      <c r="AB46" s="13" t="n"/>
      <c r="AC46" s="13" t="n"/>
      <c r="AD46" s="13" t="n"/>
      <c r="AE46" s="13" t="n"/>
      <c r="AF46" s="13" t="n"/>
      <c r="AG46" s="13" t="n"/>
      <c r="AH46" s="13" t="n"/>
      <c r="AI46" s="13" t="n"/>
    </row>
    <row r="47" ht="14.5" customHeight="1">
      <c r="A47" s="11" t="n">
        <v>3</v>
      </c>
      <c r="B47" s="11" t="n"/>
      <c r="C47" s="12" t="n"/>
      <c r="D47" s="11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  <c r="AA47" s="13" t="n"/>
      <c r="AB47" s="13" t="n"/>
      <c r="AC47" s="13" t="n"/>
      <c r="AD47" s="13" t="n"/>
      <c r="AE47" s="13" t="n"/>
      <c r="AF47" s="13" t="n"/>
      <c r="AG47" s="13" t="n"/>
      <c r="AH47" s="13" t="n"/>
      <c r="AI47" s="13" t="n"/>
    </row>
    <row r="48" ht="14.5" customHeight="1">
      <c r="A48" s="11" t="n">
        <v>4</v>
      </c>
      <c r="B48" s="11" t="n"/>
      <c r="C48" s="12" t="n"/>
      <c r="D48" s="11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  <c r="AA48" s="13" t="n"/>
      <c r="AB48" s="13" t="n"/>
      <c r="AC48" s="13" t="n"/>
      <c r="AD48" s="13" t="n"/>
      <c r="AE48" s="13" t="n"/>
      <c r="AF48" s="13" t="n"/>
      <c r="AG48" s="13" t="n"/>
      <c r="AH48" s="13" t="n"/>
      <c r="AI48" s="13" t="n"/>
    </row>
    <row r="49" ht="14.5" customHeight="1">
      <c r="A49" s="11" t="n">
        <v>5</v>
      </c>
      <c r="B49" s="11" t="n"/>
      <c r="C49" s="12" t="n"/>
      <c r="D49" s="11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  <c r="AI49" s="13" t="n"/>
    </row>
    <row r="51">
      <c r="A51" s="20" t="inlineStr">
        <is>
          <t>TOTAL DAILY
CREWS MANPOWER</t>
        </is>
      </c>
      <c r="B51" s="43" t="n"/>
      <c r="C51" s="44" t="n"/>
      <c r="D51" s="8" t="inlineStr">
        <is>
          <t>SHIFT</t>
        </is>
      </c>
      <c r="E51" s="7">
        <f>E3</f>
        <v/>
      </c>
      <c r="F51" s="7">
        <f>F3</f>
        <v/>
      </c>
      <c r="G51" s="7">
        <f>G3</f>
        <v/>
      </c>
      <c r="H51" s="7">
        <f>H3</f>
        <v/>
      </c>
      <c r="I51" s="7">
        <f>I3</f>
        <v/>
      </c>
      <c r="J51" s="7">
        <f>J3</f>
        <v/>
      </c>
      <c r="K51" s="7">
        <f>K3</f>
        <v/>
      </c>
      <c r="L51" s="7">
        <f>L3</f>
        <v/>
      </c>
      <c r="M51" s="7">
        <f>M3</f>
        <v/>
      </c>
      <c r="N51" s="7">
        <f>N3</f>
        <v/>
      </c>
      <c r="O51" s="7">
        <f>O3</f>
        <v/>
      </c>
      <c r="P51" s="7">
        <f>P3</f>
        <v/>
      </c>
      <c r="Q51" s="7">
        <f>Q3</f>
        <v/>
      </c>
      <c r="R51" s="7">
        <f>R3</f>
        <v/>
      </c>
      <c r="S51" s="7">
        <f>S3</f>
        <v/>
      </c>
      <c r="T51" s="7">
        <f>T3</f>
        <v/>
      </c>
      <c r="U51" s="7">
        <f>U3</f>
        <v/>
      </c>
      <c r="V51" s="7">
        <f>V3</f>
        <v/>
      </c>
      <c r="W51" s="7">
        <f>W3</f>
        <v/>
      </c>
      <c r="X51" s="7">
        <f>X3</f>
        <v/>
      </c>
      <c r="Y51" s="7">
        <f>Y3</f>
        <v/>
      </c>
      <c r="Z51" s="7">
        <f>Z3</f>
        <v/>
      </c>
      <c r="AA51" s="7">
        <f>AA3</f>
        <v/>
      </c>
      <c r="AB51" s="7">
        <f>AB3</f>
        <v/>
      </c>
      <c r="AC51" s="7">
        <f>AC3</f>
        <v/>
      </c>
      <c r="AD51" s="7">
        <f>AD3</f>
        <v/>
      </c>
      <c r="AE51" s="7">
        <f>AE3</f>
        <v/>
      </c>
      <c r="AF51" s="7">
        <f>AF3</f>
        <v/>
      </c>
      <c r="AG51" s="7">
        <f>AG3</f>
        <v/>
      </c>
      <c r="AH51" s="7">
        <f>AH3</f>
        <v/>
      </c>
      <c r="AI51" s="7">
        <f>AI3</f>
        <v/>
      </c>
    </row>
    <row r="52" ht="13.5" customHeight="1">
      <c r="A52" s="45" t="n"/>
      <c r="C52" s="46" t="n"/>
      <c r="D52" s="22" t="inlineStr">
        <is>
          <t>D</t>
        </is>
      </c>
      <c r="E52" s="11">
        <f>IF(E$4="","",COUNTIF(E6:E49,"D"))</f>
        <v/>
      </c>
      <c r="F52" s="11">
        <f>IF(F$4="","",COUNTIF(F6:F49,"D"))</f>
        <v/>
      </c>
      <c r="G52" s="11">
        <f>IF(G$4="","",COUNTIF(G6:G49,"D"))</f>
        <v/>
      </c>
      <c r="H52" s="11">
        <f>IF(H$4="","",COUNTIF(H6:H49,"D"))</f>
        <v/>
      </c>
      <c r="I52" s="11">
        <f>IF(I$4="","",COUNTIF(I6:I49,"D"))</f>
        <v/>
      </c>
      <c r="J52" s="11">
        <f>IF(J$4="","",COUNTIF(J6:J49,"D"))</f>
        <v/>
      </c>
      <c r="K52" s="11">
        <f>IF(K$4="","",COUNTIF(K6:K49,"D"))</f>
        <v/>
      </c>
      <c r="L52" s="11">
        <f>IF(L$4="","",COUNTIF(L6:L49,"D"))</f>
        <v/>
      </c>
      <c r="M52" s="11">
        <f>IF(M$4="","",COUNTIF(M6:M49,"D"))</f>
        <v/>
      </c>
      <c r="N52" s="11">
        <f>IF(N$4="","",COUNTIF(N6:N49,"D"))</f>
        <v/>
      </c>
      <c r="O52" s="11">
        <f>IF(O$4="","",COUNTIF(O6:O49,"D"))</f>
        <v/>
      </c>
      <c r="P52" s="11">
        <f>IF(P$4="","",COUNTIF(P6:P49,"D"))</f>
        <v/>
      </c>
      <c r="Q52" s="11">
        <f>IF(Q$4="","",COUNTIF(Q6:Q49,"D"))</f>
        <v/>
      </c>
      <c r="R52" s="11">
        <f>IF(R$4="","",COUNTIF(R6:R49,"D"))</f>
        <v/>
      </c>
      <c r="S52" s="11">
        <f>IF(S$4="","",COUNTIF(S6:S49,"D"))</f>
        <v/>
      </c>
      <c r="T52" s="11">
        <f>IF(T$4="","",COUNTIF(T6:T49,"D"))</f>
        <v/>
      </c>
      <c r="U52" s="11">
        <f>IF(U$4="","",COUNTIF(U6:U49,"D"))</f>
        <v/>
      </c>
      <c r="V52" s="11">
        <f>IF(V$4="","",COUNTIF(V6:V49,"D"))</f>
        <v/>
      </c>
      <c r="W52" s="11">
        <f>IF(W$4="","",COUNTIF(W6:W49,"D"))</f>
        <v/>
      </c>
      <c r="X52" s="11">
        <f>IF(X$4="","",COUNTIF(X6:X49,"D"))</f>
        <v/>
      </c>
      <c r="Y52" s="11">
        <f>IF(Y$4="","",COUNTIF(Y6:Y49,"D"))</f>
        <v/>
      </c>
      <c r="Z52" s="11">
        <f>IF(Z$4="","",COUNTIF(Z6:Z49,"D"))</f>
        <v/>
      </c>
      <c r="AA52" s="11">
        <f>IF(AA$4="","",COUNTIF(AA6:AA49,"D"))</f>
        <v/>
      </c>
      <c r="AB52" s="11">
        <f>IF(AB$4="","",COUNTIF(AB6:AB49,"D"))</f>
        <v/>
      </c>
      <c r="AC52" s="11">
        <f>IF(AC$4="","",COUNTIF(AC6:AC49,"D"))</f>
        <v/>
      </c>
      <c r="AD52" s="11">
        <f>IF(AD$4="","",COUNTIF(AD6:AD49,"D"))</f>
        <v/>
      </c>
      <c r="AE52" s="11">
        <f>IF(AE$4="","",COUNTIF(AE6:AE49,"D"))</f>
        <v/>
      </c>
      <c r="AF52" s="11">
        <f>IF(AF$4="","",COUNTIF(AF6:AF49,"D"))</f>
        <v/>
      </c>
      <c r="AG52" s="11">
        <f>IF(AG$4="","",COUNTIF(AG6:AG49,"D"))</f>
        <v/>
      </c>
      <c r="AH52" s="11">
        <f>IF(AH$4="","",COUNTIF(AH6:AH49,"D"))</f>
        <v/>
      </c>
      <c r="AI52" s="11">
        <f>IF(AI$4="","",COUNTIF(AI6:AI49,"D"))</f>
        <v/>
      </c>
    </row>
    <row r="53" ht="13.5" customHeight="1">
      <c r="A53" s="45" t="n"/>
      <c r="C53" s="46" t="n"/>
      <c r="D53" s="23" t="inlineStr">
        <is>
          <t>T</t>
        </is>
      </c>
      <c r="E53" s="11">
        <f>IF(E$4="","",COUNTIF(E6:E49,"T"))</f>
        <v/>
      </c>
      <c r="F53" s="11">
        <f>IF(F$4="","",COUNTIF(F6:F49,"T"))</f>
        <v/>
      </c>
      <c r="G53" s="11">
        <f>IF(G$4="","",COUNTIF(G6:G49,"T"))</f>
        <v/>
      </c>
      <c r="H53" s="11">
        <f>IF(H$4="","",COUNTIF(H6:H49,"T"))</f>
        <v/>
      </c>
      <c r="I53" s="11">
        <f>IF(I$4="","",COUNTIF(I6:I49,"T"))</f>
        <v/>
      </c>
      <c r="J53" s="11">
        <f>IF(J$4="","",COUNTIF(J6:J49,"T"))</f>
        <v/>
      </c>
      <c r="K53" s="11">
        <f>IF(K$4="","",COUNTIF(K6:K49,"T"))</f>
        <v/>
      </c>
      <c r="L53" s="11">
        <f>IF(L$4="","",COUNTIF(L6:L49,"T"))</f>
        <v/>
      </c>
      <c r="M53" s="11">
        <f>IF(M$4="","",COUNTIF(M6:M49,"T"))</f>
        <v/>
      </c>
      <c r="N53" s="11">
        <f>IF(N$4="","",COUNTIF(N6:N49,"T"))</f>
        <v/>
      </c>
      <c r="O53" s="11">
        <f>IF(O$4="","",COUNTIF(O6:O49,"T"))</f>
        <v/>
      </c>
      <c r="P53" s="11">
        <f>IF(P$4="","",COUNTIF(P6:P49,"T"))</f>
        <v/>
      </c>
      <c r="Q53" s="11">
        <f>IF(Q$4="","",COUNTIF(Q6:Q49,"T"))</f>
        <v/>
      </c>
      <c r="R53" s="11">
        <f>IF(R$4="","",COUNTIF(R6:R49,"T"))</f>
        <v/>
      </c>
      <c r="S53" s="11">
        <f>IF(S$4="","",COUNTIF(S6:S49,"T"))</f>
        <v/>
      </c>
      <c r="T53" s="11">
        <f>IF(T$4="","",COUNTIF(T6:T49,"T"))</f>
        <v/>
      </c>
      <c r="U53" s="11">
        <f>IF(U$4="","",COUNTIF(U6:U49,"T"))</f>
        <v/>
      </c>
      <c r="V53" s="11">
        <f>IF(V$4="","",COUNTIF(V6:V49,"T"))</f>
        <v/>
      </c>
      <c r="W53" s="11">
        <f>IF(W$4="","",COUNTIF(W6:W49,"T"))</f>
        <v/>
      </c>
      <c r="X53" s="11">
        <f>IF(X$4="","",COUNTIF(X6:X49,"T"))</f>
        <v/>
      </c>
      <c r="Y53" s="11">
        <f>IF(Y$4="","",COUNTIF(Y6:Y49,"T"))</f>
        <v/>
      </c>
      <c r="Z53" s="11">
        <f>IF(Z$4="","",COUNTIF(Z6:Z49,"T"))</f>
        <v/>
      </c>
      <c r="AA53" s="11">
        <f>IF(AA$4="","",COUNTIF(AA6:AA49,"T"))</f>
        <v/>
      </c>
      <c r="AB53" s="11">
        <f>IF(AB$4="","",COUNTIF(AB6:AB49,"T"))</f>
        <v/>
      </c>
      <c r="AC53" s="11">
        <f>IF(AC$4="","",COUNTIF(AC6:AC49,"T"))</f>
        <v/>
      </c>
      <c r="AD53" s="11">
        <f>IF(AD$4="","",COUNTIF(AD6:AD49,"T"))</f>
        <v/>
      </c>
      <c r="AE53" s="11">
        <f>IF(AE$4="","",COUNTIF(AE6:AE49,"T"))</f>
        <v/>
      </c>
      <c r="AF53" s="11">
        <f>IF(AF$4="","",COUNTIF(AF6:AF49,"T"))</f>
        <v/>
      </c>
      <c r="AG53" s="11">
        <f>IF(AG$4="","",COUNTIF(AG6:AG49,"T"))</f>
        <v/>
      </c>
      <c r="AH53" s="11">
        <f>IF(AH$4="","",COUNTIF(AH6:AH49,"T"))</f>
        <v/>
      </c>
      <c r="AI53" s="11">
        <f>IF(AI$4="","",COUNTIF(AI6:AI49,"T"))</f>
        <v/>
      </c>
    </row>
    <row r="54" ht="13.5" customHeight="1">
      <c r="A54" s="47" t="n"/>
      <c r="B54" s="48" t="n"/>
      <c r="C54" s="49" t="n"/>
      <c r="D54" s="24" t="inlineStr">
        <is>
          <t>G</t>
        </is>
      </c>
      <c r="E54" s="11">
        <f>IF(E$4="","",COUNTIF(E6:E49,"G"))</f>
        <v/>
      </c>
      <c r="F54" s="11">
        <f>IF(F$4="","",COUNTIF(F6:F49,"G"))</f>
        <v/>
      </c>
      <c r="G54" s="11">
        <f>IF(G$4="","",COUNTIF(G6:G49,"G"))</f>
        <v/>
      </c>
      <c r="H54" s="11">
        <f>IF(H$4="","",COUNTIF(H6:H49,"G"))</f>
        <v/>
      </c>
      <c r="I54" s="11">
        <f>IF(I$4="","",COUNTIF(I6:I49,"G"))</f>
        <v/>
      </c>
      <c r="J54" s="11">
        <f>IF(J$4="","",COUNTIF(J6:J49,"G"))</f>
        <v/>
      </c>
      <c r="K54" s="11">
        <f>IF(K$4="","",COUNTIF(K6:K49,"G"))</f>
        <v/>
      </c>
      <c r="L54" s="11">
        <f>IF(L$4="","",COUNTIF(L6:L49,"G"))</f>
        <v/>
      </c>
      <c r="M54" s="11">
        <f>IF(M$4="","",COUNTIF(M6:M49,"G"))</f>
        <v/>
      </c>
      <c r="N54" s="11">
        <f>IF(N$4="","",COUNTIF(N6:N49,"G"))</f>
        <v/>
      </c>
      <c r="O54" s="11">
        <f>IF(O$4="","",COUNTIF(O6:O49,"G"))</f>
        <v/>
      </c>
      <c r="P54" s="11">
        <f>IF(P$4="","",COUNTIF(P6:P49,"G"))</f>
        <v/>
      </c>
      <c r="Q54" s="11">
        <f>IF(Q$4="","",COUNTIF(Q6:Q49,"G"))</f>
        <v/>
      </c>
      <c r="R54" s="11">
        <f>IF(R$4="","",COUNTIF(R6:R49,"G"))</f>
        <v/>
      </c>
      <c r="S54" s="11">
        <f>IF(S$4="","",COUNTIF(S6:S49,"G"))</f>
        <v/>
      </c>
      <c r="T54" s="11">
        <f>IF(T$4="","",COUNTIF(T6:T49,"G"))</f>
        <v/>
      </c>
      <c r="U54" s="11">
        <f>IF(U$4="","",COUNTIF(U6:U49,"G"))</f>
        <v/>
      </c>
      <c r="V54" s="11">
        <f>IF(V$4="","",COUNTIF(V6:V49,"G"))</f>
        <v/>
      </c>
      <c r="W54" s="11">
        <f>IF(W$4="","",COUNTIF(W6:W49,"G"))</f>
        <v/>
      </c>
      <c r="X54" s="11">
        <f>IF(X$4="","",COUNTIF(X6:X49,"G"))</f>
        <v/>
      </c>
      <c r="Y54" s="11">
        <f>IF(Y$4="","",COUNTIF(Y6:Y49,"G"))</f>
        <v/>
      </c>
      <c r="Z54" s="11">
        <f>IF(Z$4="","",COUNTIF(Z6:Z49,"G"))</f>
        <v/>
      </c>
      <c r="AA54" s="11">
        <f>IF(AA$4="","",COUNTIF(AA6:AA49,"G"))</f>
        <v/>
      </c>
      <c r="AB54" s="11">
        <f>IF(AB$4="","",COUNTIF(AB6:AB49,"G"))</f>
        <v/>
      </c>
      <c r="AC54" s="11">
        <f>IF(AC$4="","",COUNTIF(AC6:AC49,"G"))</f>
        <v/>
      </c>
      <c r="AD54" s="11">
        <f>IF(AD$4="","",COUNTIF(AD6:AD49,"G"))</f>
        <v/>
      </c>
      <c r="AE54" s="11">
        <f>IF(AE$4="","",COUNTIF(AE6:AE49,"G"))</f>
        <v/>
      </c>
      <c r="AF54" s="11">
        <f>IF(AF$4="","",COUNTIF(AF6:AF49,"G"))</f>
        <v/>
      </c>
      <c r="AG54" s="11">
        <f>IF(AG$4="","",COUNTIF(AG6:AG49,"G"))</f>
        <v/>
      </c>
      <c r="AH54" s="11">
        <f>IF(AH$4="","",COUNTIF(AH6:AH49,"G"))</f>
        <v/>
      </c>
      <c r="AI54" s="11">
        <f>IF(AI$4="","",COUNTIF(AI6:AI49,"G"))</f>
        <v/>
      </c>
    </row>
    <row r="55" ht="13.5" customHeight="1">
      <c r="A55" s="21" t="n"/>
      <c r="B55" s="21" t="n"/>
      <c r="C55" s="21" t="n"/>
      <c r="D55" s="13" t="inlineStr">
        <is>
          <t>TOT</t>
        </is>
      </c>
      <c r="E55" s="13">
        <f>IF(E$4="","",SUM(E52:E54))</f>
        <v/>
      </c>
      <c r="F55" s="13">
        <f>IF(F$4="","",SUM(F52:F54))</f>
        <v/>
      </c>
      <c r="G55" s="13">
        <f>IF(G$4="","",SUM(G52:G54))</f>
        <v/>
      </c>
      <c r="H55" s="13">
        <f>IF(H$4="","",SUM(H52:H54))</f>
        <v/>
      </c>
      <c r="I55" s="13">
        <f>IF(I$4="","",SUM(I52:I54))</f>
        <v/>
      </c>
      <c r="J55" s="13">
        <f>IF(J$4="","",SUM(J52:J54))</f>
        <v/>
      </c>
      <c r="K55" s="13">
        <f>IF(K$4="","",SUM(K52:K54))</f>
        <v/>
      </c>
      <c r="L55" s="13">
        <f>IF(L$4="","",SUM(L52:L54))</f>
        <v/>
      </c>
      <c r="M55" s="13">
        <f>IF(M$4="","",SUM(M52:M54))</f>
        <v/>
      </c>
      <c r="N55" s="13">
        <f>IF(N$4="","",SUM(N52:N54))</f>
        <v/>
      </c>
      <c r="O55" s="13">
        <f>IF(O$4="","",SUM(O52:O54))</f>
        <v/>
      </c>
      <c r="P55" s="13">
        <f>IF(P$4="","",SUM(P52:P54))</f>
        <v/>
      </c>
      <c r="Q55" s="13">
        <f>IF(Q$4="","",SUM(Q52:Q54))</f>
        <v/>
      </c>
      <c r="R55" s="13">
        <f>IF(R$4="","",SUM(R52:R54))</f>
        <v/>
      </c>
      <c r="S55" s="13">
        <f>IF(S$4="","",SUM(S52:S54))</f>
        <v/>
      </c>
      <c r="T55" s="13">
        <f>IF(T$4="","",SUM(T52:T54))</f>
        <v/>
      </c>
      <c r="U55" s="13">
        <f>IF(U$4="","",SUM(U52:U54))</f>
        <v/>
      </c>
      <c r="V55" s="13">
        <f>IF(V$4="","",SUM(V52:V54))</f>
        <v/>
      </c>
      <c r="W55" s="13">
        <f>IF(W$4="","",SUM(W52:W54))</f>
        <v/>
      </c>
      <c r="X55" s="13">
        <f>IF(X$4="","",SUM(X52:X54))</f>
        <v/>
      </c>
      <c r="Y55" s="13">
        <f>IF(Y$4="","",SUM(Y52:Y54))</f>
        <v/>
      </c>
      <c r="Z55" s="13">
        <f>IF(Z$4="","",SUM(Z52:Z54))</f>
        <v/>
      </c>
      <c r="AA55" s="13">
        <f>IF(AA$4="","",SUM(AA52:AA54))</f>
        <v/>
      </c>
      <c r="AB55" s="13">
        <f>IF(AB$4="","",SUM(AB52:AB54))</f>
        <v/>
      </c>
      <c r="AC55" s="13">
        <f>IF(AC$4="","",SUM(AC52:AC54))</f>
        <v/>
      </c>
      <c r="AD55" s="13">
        <f>IF(AD$4="","",SUM(AD52:AD54))</f>
        <v/>
      </c>
      <c r="AE55" s="13">
        <f>IF(AE$4="","",SUM(AE52:AE54))</f>
        <v/>
      </c>
      <c r="AF55" s="13">
        <f>IF(AF$4="","",SUM(AF52:AF54))</f>
        <v/>
      </c>
      <c r="AG55" s="13">
        <f>IF(AG$4="","",SUM(AG52:AG54))</f>
        <v/>
      </c>
      <c r="AH55" s="13">
        <f>IF(AH$4="","",SUM(AH52:AH54))</f>
        <v/>
      </c>
      <c r="AI55" s="13">
        <f>IF(AI$4="","",SUM(AI52:AI54))</f>
        <v/>
      </c>
    </row>
    <row r="57">
      <c r="A57" s="25" t="inlineStr">
        <is>
          <t>SHIFT TIMES</t>
        </is>
      </c>
      <c r="F57" s="25" t="inlineStr">
        <is>
          <t>CODE LEGEND</t>
        </is>
      </c>
    </row>
    <row r="58" ht="14" customHeight="1">
      <c r="B58" s="26" t="inlineStr">
        <is>
          <t>D</t>
        </is>
      </c>
      <c r="C58" s="27" t="inlineStr">
        <is>
          <t>DAY (07:00 - 15:00)</t>
        </is>
      </c>
      <c r="F58" s="22" t="inlineStr">
        <is>
          <t>D</t>
        </is>
      </c>
      <c r="G58" s="50" t="n"/>
      <c r="H58" s="28" t="inlineStr">
        <is>
          <t>DAY</t>
        </is>
      </c>
      <c r="J58" s="23" t="inlineStr">
        <is>
          <t>T</t>
        </is>
      </c>
      <c r="K58" s="50" t="n"/>
      <c r="L58" s="28" t="inlineStr">
        <is>
          <t>TWILIGHT</t>
        </is>
      </c>
      <c r="N58" s="24" t="inlineStr">
        <is>
          <t>G</t>
        </is>
      </c>
      <c r="O58" s="50" t="n"/>
      <c r="P58" s="28" t="inlineStr">
        <is>
          <t>GRAVEYARD</t>
        </is>
      </c>
      <c r="R58" s="29" t="inlineStr">
        <is>
          <t>TR</t>
        </is>
      </c>
      <c r="S58" s="50" t="n"/>
      <c r="T58" s="28" t="inlineStr">
        <is>
          <t>TRAINING</t>
        </is>
      </c>
      <c r="V58" s="30" t="inlineStr">
        <is>
          <t>V</t>
        </is>
      </c>
      <c r="W58" s="50" t="n"/>
      <c r="X58" s="28" t="inlineStr">
        <is>
          <t>VACATION</t>
        </is>
      </c>
      <c r="Z58" s="31" t="inlineStr">
        <is>
          <t>R</t>
        </is>
      </c>
      <c r="AA58" s="50" t="n"/>
      <c r="AB58" s="28" t="inlineStr">
        <is>
          <t>REST/RDO</t>
        </is>
      </c>
      <c r="AD58" s="32" t="inlineStr">
        <is>
          <t>A</t>
        </is>
      </c>
      <c r="AE58" s="50" t="n"/>
      <c r="AF58" s="28" t="inlineStr">
        <is>
          <t>ABSENT</t>
        </is>
      </c>
    </row>
    <row r="59" ht="14" customHeight="1">
      <c r="B59" s="33" t="inlineStr">
        <is>
          <t>T</t>
        </is>
      </c>
      <c r="C59" s="27" t="inlineStr">
        <is>
          <t>TWI (15:00 - 23:00)</t>
        </is>
      </c>
      <c r="F59" s="34" t="inlineStr">
        <is>
          <t>H</t>
        </is>
      </c>
      <c r="G59" s="50" t="n"/>
      <c r="H59" s="28" t="inlineStr">
        <is>
          <t>HOLIDAY</t>
        </is>
      </c>
      <c r="J59" s="35" t="inlineStr">
        <is>
          <t>OT</t>
        </is>
      </c>
      <c r="K59" s="50" t="n"/>
      <c r="L59" s="28" t="inlineStr">
        <is>
          <t>OVERTIME</t>
        </is>
      </c>
      <c r="N59" s="36" t="inlineStr">
        <is>
          <t>OS</t>
        </is>
      </c>
      <c r="O59" s="50" t="n"/>
      <c r="P59" s="28" t="inlineStr">
        <is>
          <t>OUTSTATION</t>
        </is>
      </c>
      <c r="R59" s="37" t="inlineStr">
        <is>
          <t>S/L</t>
        </is>
      </c>
      <c r="S59" s="50" t="n"/>
      <c r="T59" s="28" t="inlineStr">
        <is>
          <t>SICK LEAVE</t>
        </is>
      </c>
      <c r="V59" s="38" t="inlineStr">
        <is>
          <t>C/T</t>
        </is>
      </c>
      <c r="W59" s="50" t="n"/>
      <c r="X59" s="28" t="inlineStr">
        <is>
          <t>COMP TIME</t>
        </is>
      </c>
      <c r="Z59" s="39" t="inlineStr">
        <is>
          <t>L</t>
        </is>
      </c>
      <c r="AA59" s="50" t="n"/>
      <c r="AB59" s="28" t="inlineStr">
        <is>
          <t>LATE/LEAVE</t>
        </is>
      </c>
      <c r="AD59" s="40" t="inlineStr">
        <is>
          <t>N</t>
        </is>
      </c>
      <c r="AE59" s="50" t="n"/>
      <c r="AF59" s="28" t="inlineStr">
        <is>
          <t>NOTE</t>
        </is>
      </c>
    </row>
    <row r="60" ht="14" customHeight="1">
      <c r="B60" s="41" t="inlineStr">
        <is>
          <t>G</t>
        </is>
      </c>
      <c r="C60" s="27" t="inlineStr">
        <is>
          <t>GRV (23:00 - 07:00)</t>
        </is>
      </c>
    </row>
  </sheetData>
  <mergeCells count="40">
    <mergeCell ref="A5:D5"/>
    <mergeCell ref="E2:AI2"/>
    <mergeCell ref="AB58:AC58"/>
    <mergeCell ref="C58:D58"/>
    <mergeCell ref="E1:AE1"/>
    <mergeCell ref="V58:W58"/>
    <mergeCell ref="J59:K59"/>
    <mergeCell ref="H58:I58"/>
    <mergeCell ref="R59:S59"/>
    <mergeCell ref="AF1:AI1"/>
    <mergeCell ref="A44:D44"/>
    <mergeCell ref="F59:G59"/>
    <mergeCell ref="T58:U58"/>
    <mergeCell ref="AD59:AE59"/>
    <mergeCell ref="H59:I59"/>
    <mergeCell ref="A31:D31"/>
    <mergeCell ref="A51:C54"/>
    <mergeCell ref="P59:Q59"/>
    <mergeCell ref="T59:U59"/>
    <mergeCell ref="V59:W59"/>
    <mergeCell ref="AB59:AC59"/>
    <mergeCell ref="N58:O58"/>
    <mergeCell ref="Z58:AA58"/>
    <mergeCell ref="C59:D59"/>
    <mergeCell ref="A1:D1"/>
    <mergeCell ref="C60:D60"/>
    <mergeCell ref="L58:M58"/>
    <mergeCell ref="X58:Y58"/>
    <mergeCell ref="AF59:AG59"/>
    <mergeCell ref="AF58:AG58"/>
    <mergeCell ref="N59:O59"/>
    <mergeCell ref="F58:G58"/>
    <mergeCell ref="A18:D18"/>
    <mergeCell ref="L59:M59"/>
    <mergeCell ref="X59:Y59"/>
    <mergeCell ref="P58:Q58"/>
    <mergeCell ref="Z59:AA59"/>
    <mergeCell ref="R58:S58"/>
    <mergeCell ref="J58:K58"/>
    <mergeCell ref="AD58:AE58"/>
  </mergeCells>
  <conditionalFormatting sqref="E6:AI17">
    <cfRule type="cellIs" priority="1" operator="equal" dxfId="0">
      <formula>"D"</formula>
    </cfRule>
    <cfRule type="cellIs" priority="2" operator="equal" dxfId="1">
      <formula>"T"</formula>
    </cfRule>
    <cfRule type="cellIs" priority="3" operator="equal" dxfId="2">
      <formula>"G"</formula>
    </cfRule>
    <cfRule type="cellIs" priority="4" operator="equal" dxfId="3">
      <formula>"TR"</formula>
    </cfRule>
    <cfRule type="cellIs" priority="5" operator="equal" dxfId="4">
      <formula>"V"</formula>
    </cfRule>
    <cfRule type="cellIs" priority="6" operator="equal" dxfId="5">
      <formula>"R"</formula>
    </cfRule>
    <cfRule type="cellIs" priority="7" operator="equal" dxfId="6">
      <formula>"A"</formula>
    </cfRule>
    <cfRule type="cellIs" priority="8" operator="equal" dxfId="7">
      <formula>"H"</formula>
    </cfRule>
    <cfRule type="cellIs" priority="9" operator="equal" dxfId="8">
      <formula>"OT"</formula>
    </cfRule>
    <cfRule type="cellIs" priority="10" operator="equal" dxfId="9">
      <formula>"OS"</formula>
    </cfRule>
    <cfRule type="cellIs" priority="11" operator="equal" dxfId="10">
      <formula>"S/L"</formula>
    </cfRule>
    <cfRule type="cellIs" priority="12" operator="equal" dxfId="11">
      <formula>"C/T"</formula>
    </cfRule>
    <cfRule type="cellIs" priority="13" operator="equal" dxfId="12">
      <formula>"L"</formula>
    </cfRule>
    <cfRule type="cellIs" priority="14" operator="equal" dxfId="13">
      <formula>"N"</formula>
    </cfRule>
    <cfRule type="expression" priority="15" dxfId="14">
      <formula>AND(E$4&lt;&gt;"",OR(E$3="Fri",E$3="Sat"))</formula>
    </cfRule>
  </conditionalFormatting>
  <conditionalFormatting sqref="E19:AI30">
    <cfRule type="cellIs" priority="16" operator="equal" dxfId="0">
      <formula>"D"</formula>
    </cfRule>
    <cfRule type="cellIs" priority="17" operator="equal" dxfId="1">
      <formula>"T"</formula>
    </cfRule>
    <cfRule type="cellIs" priority="18" operator="equal" dxfId="2">
      <formula>"G"</formula>
    </cfRule>
    <cfRule type="cellIs" priority="19" operator="equal" dxfId="3">
      <formula>"TR"</formula>
    </cfRule>
    <cfRule type="cellIs" priority="20" operator="equal" dxfId="4">
      <formula>"V"</formula>
    </cfRule>
    <cfRule type="cellIs" priority="21" operator="equal" dxfId="5">
      <formula>"R"</formula>
    </cfRule>
    <cfRule type="cellIs" priority="22" operator="equal" dxfId="6">
      <formula>"A"</formula>
    </cfRule>
    <cfRule type="cellIs" priority="23" operator="equal" dxfId="7">
      <formula>"H"</formula>
    </cfRule>
    <cfRule type="cellIs" priority="24" operator="equal" dxfId="8">
      <formula>"OT"</formula>
    </cfRule>
    <cfRule type="cellIs" priority="25" operator="equal" dxfId="9">
      <formula>"OS"</formula>
    </cfRule>
    <cfRule type="cellIs" priority="26" operator="equal" dxfId="10">
      <formula>"S/L"</formula>
    </cfRule>
    <cfRule type="cellIs" priority="27" operator="equal" dxfId="11">
      <formula>"C/T"</formula>
    </cfRule>
    <cfRule type="cellIs" priority="28" operator="equal" dxfId="12">
      <formula>"L"</formula>
    </cfRule>
    <cfRule type="cellIs" priority="29" operator="equal" dxfId="13">
      <formula>"N"</formula>
    </cfRule>
    <cfRule type="expression" priority="30" dxfId="14">
      <formula>AND(E$4&lt;&gt;"",OR(E$3="Fri",E$3="Sat"))</formula>
    </cfRule>
  </conditionalFormatting>
  <conditionalFormatting sqref="E32:AI43">
    <cfRule type="cellIs" priority="31" operator="equal" dxfId="0">
      <formula>"D"</formula>
    </cfRule>
    <cfRule type="cellIs" priority="32" operator="equal" dxfId="1">
      <formula>"T"</formula>
    </cfRule>
    <cfRule type="cellIs" priority="33" operator="equal" dxfId="2">
      <formula>"G"</formula>
    </cfRule>
    <cfRule type="cellIs" priority="34" operator="equal" dxfId="3">
      <formula>"TR"</formula>
    </cfRule>
    <cfRule type="cellIs" priority="35" operator="equal" dxfId="4">
      <formula>"V"</formula>
    </cfRule>
    <cfRule type="cellIs" priority="36" operator="equal" dxfId="5">
      <formula>"R"</formula>
    </cfRule>
    <cfRule type="cellIs" priority="37" operator="equal" dxfId="6">
      <formula>"A"</formula>
    </cfRule>
    <cfRule type="cellIs" priority="38" operator="equal" dxfId="7">
      <formula>"H"</formula>
    </cfRule>
    <cfRule type="cellIs" priority="39" operator="equal" dxfId="8">
      <formula>"OT"</formula>
    </cfRule>
    <cfRule type="cellIs" priority="40" operator="equal" dxfId="9">
      <formula>"OS"</formula>
    </cfRule>
    <cfRule type="cellIs" priority="41" operator="equal" dxfId="10">
      <formula>"S/L"</formula>
    </cfRule>
    <cfRule type="cellIs" priority="42" operator="equal" dxfId="11">
      <formula>"C/T"</formula>
    </cfRule>
    <cfRule type="cellIs" priority="43" operator="equal" dxfId="12">
      <formula>"L"</formula>
    </cfRule>
    <cfRule type="cellIs" priority="44" operator="equal" dxfId="13">
      <formula>"N"</formula>
    </cfRule>
    <cfRule type="expression" priority="45" dxfId="14">
      <formula>AND(E$4&lt;&gt;"",OR(E$3="Fri",E$3="Sat"))</formula>
    </cfRule>
  </conditionalFormatting>
  <conditionalFormatting sqref="E45:AI49">
    <cfRule type="cellIs" priority="46" operator="equal" dxfId="0">
      <formula>"D"</formula>
    </cfRule>
    <cfRule type="cellIs" priority="47" operator="equal" dxfId="1">
      <formula>"T"</formula>
    </cfRule>
    <cfRule type="cellIs" priority="48" operator="equal" dxfId="2">
      <formula>"G"</formula>
    </cfRule>
    <cfRule type="cellIs" priority="49" operator="equal" dxfId="3">
      <formula>"TR"</formula>
    </cfRule>
    <cfRule type="cellIs" priority="50" operator="equal" dxfId="4">
      <formula>"V"</formula>
    </cfRule>
    <cfRule type="cellIs" priority="51" operator="equal" dxfId="5">
      <formula>"R"</formula>
    </cfRule>
    <cfRule type="cellIs" priority="52" operator="equal" dxfId="6">
      <formula>"A"</formula>
    </cfRule>
    <cfRule type="cellIs" priority="53" operator="equal" dxfId="7">
      <formula>"H"</formula>
    </cfRule>
    <cfRule type="cellIs" priority="54" operator="equal" dxfId="8">
      <formula>"OT"</formula>
    </cfRule>
    <cfRule type="cellIs" priority="55" operator="equal" dxfId="9">
      <formula>"OS"</formula>
    </cfRule>
    <cfRule type="cellIs" priority="56" operator="equal" dxfId="10">
      <formula>"S/L"</formula>
    </cfRule>
    <cfRule type="cellIs" priority="57" operator="equal" dxfId="11">
      <formula>"C/T"</formula>
    </cfRule>
    <cfRule type="cellIs" priority="58" operator="equal" dxfId="12">
      <formula>"L"</formula>
    </cfRule>
    <cfRule type="cellIs" priority="59" operator="equal" dxfId="13">
      <formula>"N"</formula>
    </cfRule>
    <cfRule type="expression" priority="60" dxfId="14">
      <formula>AND(E$4&lt;&gt;"",OR(E$3="Fri",E$3="Sat"))</formula>
    </cfRule>
  </conditionalFormatting>
  <printOptions horizontalCentered="1"/>
  <pageMargins left="0.25" right="0.25" top="0.3" bottom="0.3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2026-09-09T13:17:49Z</dcterms:created>
  <dcterms:modified xmlns:dcterms="http://purl.org/dc/terms/" xmlns:xsi="http://www.w3.org/2001/XMLSchema-instance" xsi:type="dcterms:W3CDTF">2026-09-09T13:19:10Z</dcterms:modified>
</cp:coreProperties>
</file>