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196B24"/>
      <sz val="12"/>
    </font>
    <font>
      <b val="1"/>
      <sz val="12"/>
    </font>
    <font>
      <b val="1"/>
      <sz val="11"/>
    </font>
    <font>
      <b val="1"/>
      <sz val="9"/>
    </font>
    <font>
      <b val="1"/>
      <color rgb="00B45309"/>
      <sz val="11"/>
    </font>
    <font>
      <b val="1"/>
      <color rgb="001F4E3D"/>
      <sz val="11"/>
    </font>
    <font>
      <b val="1"/>
      <sz val="8"/>
    </font>
    <font>
      <b val="1"/>
      <color rgb="00FFFFFF"/>
      <sz val="10"/>
    </font>
    <font>
      <color rgb="008A9299"/>
      <sz val="8"/>
    </font>
    <font>
      <sz val="9"/>
    </font>
    <font>
      <b val="1"/>
      <color rgb="001F4E3D"/>
      <sz val="9"/>
    </font>
    <font>
      <b val="1"/>
      <color rgb="0092400E"/>
      <sz val="9"/>
    </font>
    <font>
      <sz val="8"/>
    </font>
    <font>
      <b val="1"/>
      <color rgb="001A56DB"/>
      <sz val="9"/>
    </font>
    <font>
      <b val="1"/>
      <color rgb="00065F46"/>
      <sz val="9"/>
    </font>
    <font>
      <b val="1"/>
      <color rgb="005521B5"/>
      <sz val="9"/>
    </font>
    <font>
      <b val="1"/>
      <color rgb="000E7490"/>
      <sz val="9"/>
    </font>
    <font>
      <b val="1"/>
      <color rgb="006B7280"/>
      <sz val="9"/>
    </font>
    <font>
      <b val="1"/>
      <color rgb="00F9FAFB"/>
      <sz val="9"/>
    </font>
    <font>
      <b val="1"/>
      <color rgb="007E22CE"/>
      <sz val="9"/>
    </font>
    <font>
      <b val="1"/>
      <color rgb="00C2410C"/>
      <sz val="9"/>
    </font>
    <font>
      <b val="1"/>
      <color rgb="003730A3"/>
      <sz val="9"/>
    </font>
    <font>
      <b val="1"/>
      <color rgb="00BE123C"/>
      <sz val="9"/>
    </font>
    <font>
      <b val="1"/>
      <color rgb="003F6212"/>
      <sz val="9"/>
    </font>
    <font>
      <b val="1"/>
      <color rgb="00475569"/>
      <sz val="9"/>
    </font>
    <font>
      <b val="1"/>
      <color rgb="00713F12"/>
      <sz val="9"/>
    </font>
  </fonts>
  <fills count="21">
    <fill>
      <patternFill/>
    </fill>
    <fill>
      <patternFill patternType="gray125"/>
    </fill>
    <fill>
      <patternFill patternType="solid">
        <fgColor rgb="00EEF2F0"/>
      </patternFill>
    </fill>
    <fill>
      <patternFill patternType="solid">
        <fgColor rgb="001A56DB"/>
      </patternFill>
    </fill>
    <fill>
      <patternFill patternType="solid">
        <fgColor rgb="00057A55"/>
      </patternFill>
    </fill>
    <fill>
      <patternFill patternType="solid">
        <fgColor rgb="00B45309"/>
      </patternFill>
    </fill>
    <fill>
      <patternFill patternType="solid">
        <fgColor rgb="006C2BD9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rgb="00F3F4F6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4">
    <border>
      <left/>
      <right/>
      <top/>
      <bottom/>
      <diagonal/>
    </border>
    <border>
      <left style="thin">
        <color rgb="00C9CFD6"/>
      </left>
      <right style="thin">
        <color rgb="00C9CFD6"/>
      </right>
      <top style="thin">
        <color rgb="00C9CFD6"/>
      </top>
      <bottom style="thin">
        <color rgb="00C9CFD6"/>
      </bottom>
    </border>
    <border>
      <bottom style="thin">
        <color rgb="004A5560"/>
      </bottom>
    </border>
    <border>
      <left/>
      <right/>
      <top/>
      <bottom style="thin">
        <color rgb="004A556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8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1" fillId="0" borderId="0" pivotButton="0" quotePrefix="0" xfId="0"/>
    <xf numFmtId="0" fontId="12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8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center" vertical="center"/>
    </xf>
    <xf numFmtId="0" fontId="22" fillId="16" borderId="1" applyAlignment="1" pivotButton="0" quotePrefix="0" xfId="0">
      <alignment horizontal="center" vertical="center"/>
    </xf>
    <xf numFmtId="0" fontId="23" fillId="17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/>
    </xf>
    <xf numFmtId="0" fontId="25" fillId="19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 hidden="0"/>
  </cellStyles>
  <dxfs count="15">
    <dxf>
      <font>
        <b val="1"/>
        <color rgb="0092400E"/>
        <sz val="9"/>
      </font>
      <fill>
        <patternFill patternType="solid">
          <fgColor rgb="00FEF3C7"/>
        </patternFill>
      </fill>
    </dxf>
    <dxf>
      <font>
        <b val="1"/>
        <color rgb="001A56DB"/>
        <sz val="9"/>
      </font>
      <fill>
        <patternFill patternType="solid">
          <fgColor rgb="00DBEAFE"/>
        </patternFill>
      </fill>
    </dxf>
    <dxf>
      <font>
        <b val="1"/>
        <color rgb="00065F46"/>
        <sz val="9"/>
      </font>
      <fill>
        <patternFill patternType="solid">
          <fgColor rgb="00D1FAE5"/>
        </patternFill>
      </fill>
    </dxf>
    <dxf>
      <font>
        <b val="1"/>
        <color rgb="005521B5"/>
        <sz val="9"/>
      </font>
      <fill>
        <patternFill patternType="solid">
          <fgColor rgb="00EDEBFE"/>
        </patternFill>
      </fill>
    </dxf>
    <dxf>
      <font>
        <b val="1"/>
        <color rgb="000E7490"/>
        <sz val="9"/>
      </font>
      <fill>
        <patternFill patternType="solid">
          <fgColor rgb="00CFFAFE"/>
        </patternFill>
      </fill>
    </dxf>
    <dxf>
      <font>
        <b val="1"/>
        <color rgb="006B7280"/>
        <sz val="9"/>
      </font>
      <fill>
        <patternFill patternType="solid">
          <fgColor rgb="00F3F4F6"/>
        </patternFill>
      </fill>
    </dxf>
    <dxf>
      <font>
        <b val="1"/>
        <color rgb="00F9FAFB"/>
        <sz val="9"/>
      </font>
      <fill>
        <patternFill patternType="solid">
          <fgColor rgb="001F2937"/>
        </patternFill>
      </fill>
    </dxf>
    <dxf>
      <font>
        <b val="1"/>
        <color rgb="007E22CE"/>
        <sz val="9"/>
      </font>
      <fill>
        <patternFill patternType="solid">
          <fgColor rgb="00FDF4FF"/>
        </patternFill>
      </fill>
    </dxf>
    <dxf>
      <font>
        <b val="1"/>
        <color rgb="00C2410C"/>
        <sz val="9"/>
      </font>
      <fill>
        <patternFill patternType="solid">
          <fgColor rgb="00FFF7ED"/>
        </patternFill>
      </fill>
    </dxf>
    <dxf>
      <font>
        <b val="1"/>
        <color rgb="003730A3"/>
        <sz val="9"/>
      </font>
      <fill>
        <patternFill patternType="solid">
          <fgColor rgb="00E0E7FF"/>
        </patternFill>
      </fill>
    </dxf>
    <dxf>
      <font>
        <b val="1"/>
        <color rgb="00BE123C"/>
        <sz val="9"/>
      </font>
      <fill>
        <patternFill patternType="solid">
          <fgColor rgb="00FFE4E6"/>
        </patternFill>
      </fill>
    </dxf>
    <dxf>
      <font>
        <b val="1"/>
        <color rgb="003F6212"/>
        <sz val="9"/>
      </font>
      <fill>
        <patternFill patternType="solid">
          <fgColor rgb="00ECFCCB"/>
        </patternFill>
      </fill>
    </dxf>
    <dxf>
      <font>
        <b val="1"/>
        <color rgb="00475569"/>
        <sz val="9"/>
      </font>
      <fill>
        <patternFill patternType="solid">
          <fgColor rgb="00F1F5F9"/>
        </patternFill>
      </fill>
    </dxf>
    <dxf>
      <font>
        <b val="1"/>
        <color rgb="00713F12"/>
        <sz val="9"/>
      </font>
      <fill>
        <patternFill patternType="solid">
          <fgColor rgb="00FEF9C3"/>
        </patternFill>
      </fill>
    </dxf>
    <dxf>
      <fill>
        <patternFill patternType="solid">
          <fgColor rgb="00F6F7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9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5" customWidth="1" min="1" max="1"/>
    <col width="10" customWidth="1" min="2" max="2"/>
    <col width="22" customWidth="1" min="3" max="3"/>
    <col width="9.5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hidden="1" width="13" customWidth="1" min="37" max="37"/>
  </cols>
  <sheetData>
    <row r="1">
      <c r="A1" s="1" t="inlineStr">
        <is>
          <t>SAUDIA TECHNIC</t>
        </is>
      </c>
      <c r="E1" s="2" t="inlineStr">
        <is>
          <t>AIRCRAFT HEAVY MAINTENANCE · SPV CABIN — MONTHLY ROSTER</t>
        </is>
      </c>
      <c r="Z1" s="3" t="inlineStr">
        <is>
          <t>CC: 264</t>
        </is>
      </c>
    </row>
    <row r="2">
      <c r="A2" s="4" t="inlineStr">
        <is>
          <t>MONTH:</t>
        </is>
      </c>
      <c r="B2" s="5" t="inlineStr">
        <is>
          <t>JUL</t>
        </is>
      </c>
      <c r="C2" s="4" t="inlineStr">
        <is>
          <t>YEAR:</t>
        </is>
      </c>
      <c r="D2" s="5" t="n">
        <v>2026</v>
      </c>
      <c r="E2" s="6">
        <f>TEXT(DATE($D$2,$AK$2,1),"mmmm yyyy")</f>
        <v/>
      </c>
      <c r="AK2">
        <f>IF(ISNUMBER($B$2),$B$2,MATCH(LEFT(UPPER(TRIM($B$2)),3),{"JAN","FEB","MAR","APR","MAY","JUN","JUL","AUG","SEP","OCT","NOV","DEC"},0))</f>
        <v/>
      </c>
    </row>
    <row r="3">
      <c r="E3" s="7">
        <f>IF(1&lt;=DAY(EOMONTH(DATE($D$2,$AK$2,1),0)),TEXT(DATE($D$2,$AK$2,1),"ddd"),"")</f>
        <v/>
      </c>
      <c r="F3" s="7">
        <f>IF(2&lt;=DAY(EOMONTH(DATE($D$2,$AK$2,1),0)),TEXT(DATE($D$2,$AK$2,2),"ddd"),"")</f>
        <v/>
      </c>
      <c r="G3" s="7">
        <f>IF(3&lt;=DAY(EOMONTH(DATE($D$2,$AK$2,1),0)),TEXT(DATE($D$2,$AK$2,3),"ddd"),"")</f>
        <v/>
      </c>
      <c r="H3" s="7">
        <f>IF(4&lt;=DAY(EOMONTH(DATE($D$2,$AK$2,1),0)),TEXT(DATE($D$2,$AK$2,4),"ddd"),"")</f>
        <v/>
      </c>
      <c r="I3" s="7">
        <f>IF(5&lt;=DAY(EOMONTH(DATE($D$2,$AK$2,1),0)),TEXT(DATE($D$2,$AK$2,5),"ddd"),"")</f>
        <v/>
      </c>
      <c r="J3" s="7">
        <f>IF(6&lt;=DAY(EOMONTH(DATE($D$2,$AK$2,1),0)),TEXT(DATE($D$2,$AK$2,6),"ddd"),"")</f>
        <v/>
      </c>
      <c r="K3" s="7">
        <f>IF(7&lt;=DAY(EOMONTH(DATE($D$2,$AK$2,1),0)),TEXT(DATE($D$2,$AK$2,7),"ddd"),"")</f>
        <v/>
      </c>
      <c r="L3" s="7">
        <f>IF(8&lt;=DAY(EOMONTH(DATE($D$2,$AK$2,1),0)),TEXT(DATE($D$2,$AK$2,8),"ddd"),"")</f>
        <v/>
      </c>
      <c r="M3" s="7">
        <f>IF(9&lt;=DAY(EOMONTH(DATE($D$2,$AK$2,1),0)),TEXT(DATE($D$2,$AK$2,9),"ddd"),"")</f>
        <v/>
      </c>
      <c r="N3" s="7">
        <f>IF(10&lt;=DAY(EOMONTH(DATE($D$2,$AK$2,1),0)),TEXT(DATE($D$2,$AK$2,10),"ddd"),"")</f>
        <v/>
      </c>
      <c r="O3" s="7">
        <f>IF(11&lt;=DAY(EOMONTH(DATE($D$2,$AK$2,1),0)),TEXT(DATE($D$2,$AK$2,11),"ddd"),"")</f>
        <v/>
      </c>
      <c r="P3" s="7">
        <f>IF(12&lt;=DAY(EOMONTH(DATE($D$2,$AK$2,1),0)),TEXT(DATE($D$2,$AK$2,12),"ddd"),"")</f>
        <v/>
      </c>
      <c r="Q3" s="7">
        <f>IF(13&lt;=DAY(EOMONTH(DATE($D$2,$AK$2,1),0)),TEXT(DATE($D$2,$AK$2,13),"ddd"),"")</f>
        <v/>
      </c>
      <c r="R3" s="7">
        <f>IF(14&lt;=DAY(EOMONTH(DATE($D$2,$AK$2,1),0)),TEXT(DATE($D$2,$AK$2,14),"ddd"),"")</f>
        <v/>
      </c>
      <c r="S3" s="7">
        <f>IF(15&lt;=DAY(EOMONTH(DATE($D$2,$AK$2,1),0)),TEXT(DATE($D$2,$AK$2,15),"ddd"),"")</f>
        <v/>
      </c>
      <c r="T3" s="7">
        <f>IF(16&lt;=DAY(EOMONTH(DATE($D$2,$AK$2,1),0)),TEXT(DATE($D$2,$AK$2,16),"ddd"),"")</f>
        <v/>
      </c>
      <c r="U3" s="7">
        <f>IF(17&lt;=DAY(EOMONTH(DATE($D$2,$AK$2,1),0)),TEXT(DATE($D$2,$AK$2,17),"ddd"),"")</f>
        <v/>
      </c>
      <c r="V3" s="7">
        <f>IF(18&lt;=DAY(EOMONTH(DATE($D$2,$AK$2,1),0)),TEXT(DATE($D$2,$AK$2,18),"ddd"),"")</f>
        <v/>
      </c>
      <c r="W3" s="7">
        <f>IF(19&lt;=DAY(EOMONTH(DATE($D$2,$AK$2,1),0)),TEXT(DATE($D$2,$AK$2,19),"ddd"),"")</f>
        <v/>
      </c>
      <c r="X3" s="7">
        <f>IF(20&lt;=DAY(EOMONTH(DATE($D$2,$AK$2,1),0)),TEXT(DATE($D$2,$AK$2,20),"ddd"),"")</f>
        <v/>
      </c>
      <c r="Y3" s="7">
        <f>IF(21&lt;=DAY(EOMONTH(DATE($D$2,$AK$2,1),0)),TEXT(DATE($D$2,$AK$2,21),"ddd"),"")</f>
        <v/>
      </c>
      <c r="Z3" s="7">
        <f>IF(22&lt;=DAY(EOMONTH(DATE($D$2,$AK$2,1),0)),TEXT(DATE($D$2,$AK$2,22),"ddd"),"")</f>
        <v/>
      </c>
      <c r="AA3" s="7">
        <f>IF(23&lt;=DAY(EOMONTH(DATE($D$2,$AK$2,1),0)),TEXT(DATE($D$2,$AK$2,23),"ddd"),"")</f>
        <v/>
      </c>
      <c r="AB3" s="7">
        <f>IF(24&lt;=DAY(EOMONTH(DATE($D$2,$AK$2,1),0)),TEXT(DATE($D$2,$AK$2,24),"ddd"),"")</f>
        <v/>
      </c>
      <c r="AC3" s="7">
        <f>IF(25&lt;=DAY(EOMONTH(DATE($D$2,$AK$2,1),0)),TEXT(DATE($D$2,$AK$2,25),"ddd"),"")</f>
        <v/>
      </c>
      <c r="AD3" s="7">
        <f>IF(26&lt;=DAY(EOMONTH(DATE($D$2,$AK$2,1),0)),TEXT(DATE($D$2,$AK$2,26),"ddd"),"")</f>
        <v/>
      </c>
      <c r="AE3" s="7">
        <f>IF(27&lt;=DAY(EOMONTH(DATE($D$2,$AK$2,1),0)),TEXT(DATE($D$2,$AK$2,27),"ddd"),"")</f>
        <v/>
      </c>
      <c r="AF3" s="7">
        <f>IF(28&lt;=DAY(EOMONTH(DATE($D$2,$AK$2,1),0)),TEXT(DATE($D$2,$AK$2,28),"ddd"),"")</f>
        <v/>
      </c>
      <c r="AG3" s="7">
        <f>IF(29&lt;=DAY(EOMONTH(DATE($D$2,$AK$2,1),0)),TEXT(DATE($D$2,$AK$2,29),"ddd"),"")</f>
        <v/>
      </c>
      <c r="AH3" s="7">
        <f>IF(30&lt;=DAY(EOMONTH(DATE($D$2,$AK$2,1),0)),TEXT(DATE($D$2,$AK$2,30),"ddd"),"")</f>
        <v/>
      </c>
      <c r="AI3" s="7">
        <f>IF(31&lt;=DAY(EOMONTH(DATE($D$2,$AK$2,1),0)),TEXT(DATE($D$2,$AK$2,31),"ddd"),"")</f>
        <v/>
      </c>
    </row>
    <row r="4">
      <c r="A4" s="8" t="inlineStr">
        <is>
          <t>#</t>
        </is>
      </c>
      <c r="B4" s="8" t="inlineStr">
        <is>
          <t>PRN</t>
        </is>
      </c>
      <c r="C4" s="8" t="inlineStr">
        <is>
          <t>NAME</t>
        </is>
      </c>
      <c r="D4" s="8" t="inlineStr">
        <is>
          <t>Posn</t>
        </is>
      </c>
      <c r="E4" s="8">
        <f>IF(1&lt;=DAY(EOMONTH(DATE($D$2,$AK$2,1),0)),1,"")</f>
        <v/>
      </c>
      <c r="F4" s="8">
        <f>IF(2&lt;=DAY(EOMONTH(DATE($D$2,$AK$2,1),0)),2,"")</f>
        <v/>
      </c>
      <c r="G4" s="8">
        <f>IF(3&lt;=DAY(EOMONTH(DATE($D$2,$AK$2,1),0)),3,"")</f>
        <v/>
      </c>
      <c r="H4" s="8">
        <f>IF(4&lt;=DAY(EOMONTH(DATE($D$2,$AK$2,1),0)),4,"")</f>
        <v/>
      </c>
      <c r="I4" s="8">
        <f>IF(5&lt;=DAY(EOMONTH(DATE($D$2,$AK$2,1),0)),5,"")</f>
        <v/>
      </c>
      <c r="J4" s="8">
        <f>IF(6&lt;=DAY(EOMONTH(DATE($D$2,$AK$2,1),0)),6,"")</f>
        <v/>
      </c>
      <c r="K4" s="8">
        <f>IF(7&lt;=DAY(EOMONTH(DATE($D$2,$AK$2,1),0)),7,"")</f>
        <v/>
      </c>
      <c r="L4" s="8">
        <f>IF(8&lt;=DAY(EOMONTH(DATE($D$2,$AK$2,1),0)),8,"")</f>
        <v/>
      </c>
      <c r="M4" s="8">
        <f>IF(9&lt;=DAY(EOMONTH(DATE($D$2,$AK$2,1),0)),9,"")</f>
        <v/>
      </c>
      <c r="N4" s="8">
        <f>IF(10&lt;=DAY(EOMONTH(DATE($D$2,$AK$2,1),0)),10,"")</f>
        <v/>
      </c>
      <c r="O4" s="8">
        <f>IF(11&lt;=DAY(EOMONTH(DATE($D$2,$AK$2,1),0)),11,"")</f>
        <v/>
      </c>
      <c r="P4" s="8">
        <f>IF(12&lt;=DAY(EOMONTH(DATE($D$2,$AK$2,1),0)),12,"")</f>
        <v/>
      </c>
      <c r="Q4" s="8">
        <f>IF(13&lt;=DAY(EOMONTH(DATE($D$2,$AK$2,1),0)),13,"")</f>
        <v/>
      </c>
      <c r="R4" s="8">
        <f>IF(14&lt;=DAY(EOMONTH(DATE($D$2,$AK$2,1),0)),14,"")</f>
        <v/>
      </c>
      <c r="S4" s="8">
        <f>IF(15&lt;=DAY(EOMONTH(DATE($D$2,$AK$2,1),0)),15,"")</f>
        <v/>
      </c>
      <c r="T4" s="8">
        <f>IF(16&lt;=DAY(EOMONTH(DATE($D$2,$AK$2,1),0)),16,"")</f>
        <v/>
      </c>
      <c r="U4" s="8">
        <f>IF(17&lt;=DAY(EOMONTH(DATE($D$2,$AK$2,1),0)),17,"")</f>
        <v/>
      </c>
      <c r="V4" s="8">
        <f>IF(18&lt;=DAY(EOMONTH(DATE($D$2,$AK$2,1),0)),18,"")</f>
        <v/>
      </c>
      <c r="W4" s="8">
        <f>IF(19&lt;=DAY(EOMONTH(DATE($D$2,$AK$2,1),0)),19,"")</f>
        <v/>
      </c>
      <c r="X4" s="8">
        <f>IF(20&lt;=DAY(EOMONTH(DATE($D$2,$AK$2,1),0)),20,"")</f>
        <v/>
      </c>
      <c r="Y4" s="8">
        <f>IF(21&lt;=DAY(EOMONTH(DATE($D$2,$AK$2,1),0)),21,"")</f>
        <v/>
      </c>
      <c r="Z4" s="8">
        <f>IF(22&lt;=DAY(EOMONTH(DATE($D$2,$AK$2,1),0)),22,"")</f>
        <v/>
      </c>
      <c r="AA4" s="8">
        <f>IF(23&lt;=DAY(EOMONTH(DATE($D$2,$AK$2,1),0)),23,"")</f>
        <v/>
      </c>
      <c r="AB4" s="8">
        <f>IF(24&lt;=DAY(EOMONTH(DATE($D$2,$AK$2,1),0)),24,"")</f>
        <v/>
      </c>
      <c r="AC4" s="8">
        <f>IF(25&lt;=DAY(EOMONTH(DATE($D$2,$AK$2,1),0)),25,"")</f>
        <v/>
      </c>
      <c r="AD4" s="8">
        <f>IF(26&lt;=DAY(EOMONTH(DATE($D$2,$AK$2,1),0)),26,"")</f>
        <v/>
      </c>
      <c r="AE4" s="8">
        <f>IF(27&lt;=DAY(EOMONTH(DATE($D$2,$AK$2,1),0)),27,"")</f>
        <v/>
      </c>
      <c r="AF4" s="8">
        <f>IF(28&lt;=DAY(EOMONTH(DATE($D$2,$AK$2,1),0)),28,"")</f>
        <v/>
      </c>
      <c r="AG4" s="8">
        <f>IF(29&lt;=DAY(EOMONTH(DATE($D$2,$AK$2,1),0)),29,"")</f>
        <v/>
      </c>
      <c r="AH4" s="8">
        <f>IF(30&lt;=DAY(EOMONTH(DATE($D$2,$AK$2,1),0)),30,"")</f>
        <v/>
      </c>
      <c r="AI4" s="8">
        <f>IF(31&lt;=DAY(EOMONTH(DATE($D$2,$AK$2,1),0)),31,"")</f>
        <v/>
      </c>
    </row>
    <row r="5" ht="16" customHeight="1">
      <c r="A5" s="9" t="inlineStr">
        <is>
          <t>CREW 1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</row>
    <row r="6">
      <c r="A6" s="11" t="n">
        <v>1</v>
      </c>
      <c r="B6" s="11" t="n"/>
      <c r="C6" s="12" t="n"/>
      <c r="D6" s="11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>
      <c r="A7" s="11" t="n">
        <v>2</v>
      </c>
      <c r="B7" s="11" t="n"/>
      <c r="C7" s="12" t="n"/>
      <c r="D7" s="11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>
      <c r="A8" s="11" t="n">
        <v>3</v>
      </c>
      <c r="B8" s="11" t="n"/>
      <c r="C8" s="12" t="n"/>
      <c r="D8" s="11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>
      <c r="A9" s="11" t="n">
        <v>4</v>
      </c>
      <c r="B9" s="11" t="n"/>
      <c r="C9" s="12" t="n"/>
      <c r="D9" s="11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>
      <c r="A10" s="11" t="n">
        <v>5</v>
      </c>
      <c r="B10" s="11" t="n"/>
      <c r="C10" s="12" t="n"/>
      <c r="D10" s="11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>
      <c r="A11" s="11" t="n">
        <v>6</v>
      </c>
      <c r="B11" s="11" t="n"/>
      <c r="C11" s="12" t="n"/>
      <c r="D11" s="11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>
      <c r="A12" s="11" t="n">
        <v>7</v>
      </c>
      <c r="B12" s="11" t="n"/>
      <c r="C12" s="12" t="n"/>
      <c r="D12" s="11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>
      <c r="A13" s="11" t="n">
        <v>8</v>
      </c>
      <c r="B13" s="11" t="n"/>
      <c r="C13" s="12" t="n"/>
      <c r="D13" s="11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>
      <c r="A14" s="11" t="n">
        <v>9</v>
      </c>
      <c r="B14" s="11" t="n"/>
      <c r="C14" s="12" t="n"/>
      <c r="D14" s="11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>
      <c r="A15" s="11" t="n">
        <v>10</v>
      </c>
      <c r="B15" s="11" t="n"/>
      <c r="C15" s="12" t="n"/>
      <c r="D15" s="11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>
      <c r="A16" s="11" t="n">
        <v>11</v>
      </c>
      <c r="B16" s="11" t="n"/>
      <c r="C16" s="12" t="n"/>
      <c r="D16" s="11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>
      <c r="A17" s="11" t="n">
        <v>12</v>
      </c>
      <c r="B17" s="11" t="n"/>
      <c r="C17" s="12" t="n"/>
      <c r="D17" s="11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9" ht="16" customHeight="1">
      <c r="A19" s="14" t="inlineStr">
        <is>
          <t>CREW 2</t>
        </is>
      </c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</row>
    <row r="20">
      <c r="A20" s="11" t="n">
        <v>1</v>
      </c>
      <c r="B20" s="11" t="n"/>
      <c r="C20" s="12" t="n"/>
      <c r="D20" s="11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>
      <c r="A21" s="11" t="n">
        <v>2</v>
      </c>
      <c r="B21" s="11" t="n"/>
      <c r="C21" s="12" t="n"/>
      <c r="D21" s="11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>
      <c r="A22" s="11" t="n">
        <v>3</v>
      </c>
      <c r="B22" s="11" t="n"/>
      <c r="C22" s="12" t="n"/>
      <c r="D22" s="11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>
      <c r="A23" s="11" t="n">
        <v>4</v>
      </c>
      <c r="B23" s="11" t="n"/>
      <c r="C23" s="12" t="n"/>
      <c r="D23" s="11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>
      <c r="A24" s="11" t="n">
        <v>5</v>
      </c>
      <c r="B24" s="11" t="n"/>
      <c r="C24" s="12" t="n"/>
      <c r="D24" s="11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>
      <c r="A25" s="11" t="n">
        <v>6</v>
      </c>
      <c r="B25" s="11" t="n"/>
      <c r="C25" s="12" t="n"/>
      <c r="D25" s="11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>
      <c r="A26" s="11" t="n">
        <v>7</v>
      </c>
      <c r="B26" s="11" t="n"/>
      <c r="C26" s="12" t="n"/>
      <c r="D26" s="11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>
      <c r="A27" s="11" t="n">
        <v>8</v>
      </c>
      <c r="B27" s="11" t="n"/>
      <c r="C27" s="12" t="n"/>
      <c r="D27" s="11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>
      <c r="A28" s="11" t="n">
        <v>9</v>
      </c>
      <c r="B28" s="11" t="n"/>
      <c r="C28" s="12" t="n"/>
      <c r="D28" s="11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>
      <c r="A29" s="11" t="n">
        <v>10</v>
      </c>
      <c r="B29" s="11" t="n"/>
      <c r="C29" s="12" t="n"/>
      <c r="D29" s="11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>
      <c r="A30" s="11" t="n">
        <v>11</v>
      </c>
      <c r="B30" s="11" t="n"/>
      <c r="C30" s="12" t="n"/>
      <c r="D30" s="11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>
      <c r="A31" s="11" t="n">
        <v>12</v>
      </c>
      <c r="B31" s="11" t="n"/>
      <c r="C31" s="12" t="n"/>
      <c r="D31" s="11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3" ht="16" customHeight="1">
      <c r="A33" s="16" t="inlineStr">
        <is>
          <t>CREW 3</t>
        </is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>
      <c r="A34" s="11" t="n">
        <v>1</v>
      </c>
      <c r="B34" s="11" t="n"/>
      <c r="C34" s="12" t="n"/>
      <c r="D34" s="11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>
      <c r="A35" s="11" t="n">
        <v>2</v>
      </c>
      <c r="B35" s="11" t="n"/>
      <c r="C35" s="12" t="n"/>
      <c r="D35" s="11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6">
      <c r="A36" s="11" t="n">
        <v>3</v>
      </c>
      <c r="B36" s="11" t="n"/>
      <c r="C36" s="12" t="n"/>
      <c r="D36" s="11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</row>
    <row r="37">
      <c r="A37" s="11" t="n">
        <v>4</v>
      </c>
      <c r="B37" s="11" t="n"/>
      <c r="C37" s="12" t="n"/>
      <c r="D37" s="11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</row>
    <row r="38">
      <c r="A38" s="11" t="n">
        <v>5</v>
      </c>
      <c r="B38" s="11" t="n"/>
      <c r="C38" s="12" t="n"/>
      <c r="D38" s="11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</row>
    <row r="39">
      <c r="A39" s="11" t="n">
        <v>6</v>
      </c>
      <c r="B39" s="11" t="n"/>
      <c r="C39" s="12" t="n"/>
      <c r="D39" s="11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>
      <c r="A40" s="11" t="n">
        <v>7</v>
      </c>
      <c r="B40" s="11" t="n"/>
      <c r="C40" s="12" t="n"/>
      <c r="D40" s="11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>
      <c r="A41" s="11" t="n">
        <v>8</v>
      </c>
      <c r="B41" s="11" t="n"/>
      <c r="C41" s="12" t="n"/>
      <c r="D41" s="11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>
      <c r="A42" s="11" t="n">
        <v>9</v>
      </c>
      <c r="B42" s="11" t="n"/>
      <c r="C42" s="12" t="n"/>
      <c r="D42" s="11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>
      <c r="A43" s="11" t="n">
        <v>10</v>
      </c>
      <c r="B43" s="11" t="n"/>
      <c r="C43" s="12" t="n"/>
      <c r="D43" s="11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>
      <c r="A44" s="11" t="n">
        <v>11</v>
      </c>
      <c r="B44" s="11" t="n"/>
      <c r="C44" s="12" t="n"/>
      <c r="D44" s="11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>
      <c r="A45" s="11" t="n">
        <v>12</v>
      </c>
      <c r="B45" s="11" t="n"/>
      <c r="C45" s="12" t="n"/>
      <c r="D45" s="11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7" ht="16" customHeight="1">
      <c r="A47" s="18" t="inlineStr">
        <is>
          <t>SPECIAL SHIFTING</t>
        </is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</row>
    <row r="48">
      <c r="A48" s="11" t="n">
        <v>1</v>
      </c>
      <c r="B48" s="11" t="n"/>
      <c r="C48" s="12" t="n"/>
      <c r="D48" s="11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>
      <c r="A49" s="11" t="n">
        <v>2</v>
      </c>
      <c r="B49" s="11" t="n"/>
      <c r="C49" s="12" t="n"/>
      <c r="D49" s="11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>
      <c r="A50" s="11" t="n">
        <v>3</v>
      </c>
      <c r="B50" s="11" t="n"/>
      <c r="C50" s="12" t="n"/>
      <c r="D50" s="11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>
      <c r="A51" s="11" t="n">
        <v>4</v>
      </c>
      <c r="B51" s="11" t="n"/>
      <c r="C51" s="12" t="n"/>
      <c r="D51" s="11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>
      <c r="A52" s="11" t="n">
        <v>5</v>
      </c>
      <c r="B52" s="11" t="n"/>
      <c r="C52" s="12" t="n"/>
      <c r="D52" s="11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5">
      <c r="A55" s="20" t="inlineStr">
        <is>
          <t>CODE LEGEND</t>
        </is>
      </c>
    </row>
    <row r="56">
      <c r="A56" s="21" t="inlineStr">
        <is>
          <t>D</t>
        </is>
      </c>
      <c r="B56" s="22" t="inlineStr">
        <is>
          <t>DAY</t>
        </is>
      </c>
      <c r="C56" s="23" t="inlineStr">
        <is>
          <t>T</t>
        </is>
      </c>
      <c r="D56" s="22" t="inlineStr">
        <is>
          <t>TWILIGHT</t>
        </is>
      </c>
      <c r="E56" s="24" t="inlineStr">
        <is>
          <t>G</t>
        </is>
      </c>
      <c r="F56" s="22" t="inlineStr">
        <is>
          <t>GRAVEYARD</t>
        </is>
      </c>
      <c r="G56" s="25" t="inlineStr">
        <is>
          <t>TR</t>
        </is>
      </c>
      <c r="H56" s="22" t="inlineStr">
        <is>
          <t>TRAINING</t>
        </is>
      </c>
      <c r="I56" s="26" t="inlineStr">
        <is>
          <t>V</t>
        </is>
      </c>
      <c r="J56" s="22" t="inlineStr">
        <is>
          <t>VACATION</t>
        </is>
      </c>
      <c r="K56" s="27" t="inlineStr">
        <is>
          <t>R</t>
        </is>
      </c>
      <c r="L56" s="22" t="inlineStr">
        <is>
          <t>REST/RDO</t>
        </is>
      </c>
      <c r="M56" s="28" t="inlineStr">
        <is>
          <t>A</t>
        </is>
      </c>
      <c r="N56" s="22" t="inlineStr">
        <is>
          <t>ABSENT</t>
        </is>
      </c>
      <c r="O56" s="29" t="inlineStr">
        <is>
          <t>H</t>
        </is>
      </c>
      <c r="P56" s="22" t="inlineStr">
        <is>
          <t>HOLIDAY</t>
        </is>
      </c>
      <c r="Q56" s="30" t="inlineStr">
        <is>
          <t>OT</t>
        </is>
      </c>
      <c r="R56" s="22" t="inlineStr">
        <is>
          <t>OVERTIME</t>
        </is>
      </c>
      <c r="S56" s="31" t="inlineStr">
        <is>
          <t>OS</t>
        </is>
      </c>
      <c r="T56" s="22" t="inlineStr">
        <is>
          <t>OUTSTATION</t>
        </is>
      </c>
      <c r="U56" s="32" t="inlineStr">
        <is>
          <t>S/L</t>
        </is>
      </c>
      <c r="V56" s="22" t="inlineStr">
        <is>
          <t>SICK LEAVE</t>
        </is>
      </c>
      <c r="W56" s="33" t="inlineStr">
        <is>
          <t>C/T</t>
        </is>
      </c>
      <c r="X56" s="22" t="inlineStr">
        <is>
          <t>COMP TIME</t>
        </is>
      </c>
      <c r="Y56" s="34" t="inlineStr">
        <is>
          <t>L</t>
        </is>
      </c>
      <c r="Z56" s="22" t="inlineStr">
        <is>
          <t>LATE/LEAVE</t>
        </is>
      </c>
      <c r="AA56" s="35" t="inlineStr">
        <is>
          <t>N</t>
        </is>
      </c>
      <c r="AB56" s="22" t="inlineStr">
        <is>
          <t>NOTE</t>
        </is>
      </c>
    </row>
    <row r="59">
      <c r="B59" s="4" t="inlineStr">
        <is>
          <t>PREPARED BY:</t>
        </is>
      </c>
      <c r="C59" s="36" t="n"/>
      <c r="D59" s="37" t="n"/>
      <c r="E59" s="37" t="n"/>
      <c r="F59" s="37" t="n"/>
      <c r="G59" s="37" t="n"/>
      <c r="H59" s="37" t="n"/>
      <c r="T59" s="4" t="inlineStr">
        <is>
          <t>APPROVED BY:</t>
        </is>
      </c>
      <c r="V59" s="36" t="n"/>
      <c r="W59" s="37" t="n"/>
      <c r="X59" s="37" t="n"/>
      <c r="Y59" s="37" t="n"/>
      <c r="Z59" s="37" t="n"/>
      <c r="AA59" s="37" t="n"/>
    </row>
  </sheetData>
  <mergeCells count="10">
    <mergeCell ref="A1:D1"/>
    <mergeCell ref="A5:D5"/>
    <mergeCell ref="V59:AA59"/>
    <mergeCell ref="E2:AC2"/>
    <mergeCell ref="E1:Y1"/>
    <mergeCell ref="A19:D19"/>
    <mergeCell ref="A33:D33"/>
    <mergeCell ref="Z1:AC1"/>
    <mergeCell ref="C59:H59"/>
    <mergeCell ref="A47:D47"/>
  </mergeCells>
  <conditionalFormatting sqref="E6:AI17">
    <cfRule type="cellIs" priority="1" operator="equal" dxfId="0">
      <formula>"D"</formula>
    </cfRule>
    <cfRule type="cellIs" priority="2" operator="equal" dxfId="1">
      <formula>"T"</formula>
    </cfRule>
    <cfRule type="cellIs" priority="3" operator="equal" dxfId="2">
      <formula>"G"</formula>
    </cfRule>
    <cfRule type="cellIs" priority="4" operator="equal" dxfId="3">
      <formula>"TR"</formula>
    </cfRule>
    <cfRule type="cellIs" priority="5" operator="equal" dxfId="4">
      <formula>"V"</formula>
    </cfRule>
    <cfRule type="cellIs" priority="6" operator="equal" dxfId="5">
      <formula>"R"</formula>
    </cfRule>
    <cfRule type="cellIs" priority="7" operator="equal" dxfId="6">
      <formula>"A"</formula>
    </cfRule>
    <cfRule type="cellIs" priority="8" operator="equal" dxfId="7">
      <formula>"H"</formula>
    </cfRule>
    <cfRule type="cellIs" priority="9" operator="equal" dxfId="8">
      <formula>"OT"</formula>
    </cfRule>
    <cfRule type="cellIs" priority="10" operator="equal" dxfId="9">
      <formula>"OS"</formula>
    </cfRule>
    <cfRule type="cellIs" priority="11" operator="equal" dxfId="10">
      <formula>"S/L"</formula>
    </cfRule>
    <cfRule type="cellIs" priority="12" operator="equal" dxfId="11">
      <formula>"C/T"</formula>
    </cfRule>
    <cfRule type="cellIs" priority="13" operator="equal" dxfId="12">
      <formula>"L"</formula>
    </cfRule>
    <cfRule type="cellIs" priority="14" operator="equal" dxfId="13">
      <formula>"N"</formula>
    </cfRule>
    <cfRule type="expression" priority="15" dxfId="14">
      <formula>AND(E$4&lt;&gt;"",OR(E$3="Fri",E$3="Sat"))</formula>
    </cfRule>
  </conditionalFormatting>
  <conditionalFormatting sqref="E20:AI31">
    <cfRule type="cellIs" priority="16" operator="equal" dxfId="0">
      <formula>"D"</formula>
    </cfRule>
    <cfRule type="cellIs" priority="17" operator="equal" dxfId="1">
      <formula>"T"</formula>
    </cfRule>
    <cfRule type="cellIs" priority="18" operator="equal" dxfId="2">
      <formula>"G"</formula>
    </cfRule>
    <cfRule type="cellIs" priority="19" operator="equal" dxfId="3">
      <formula>"TR"</formula>
    </cfRule>
    <cfRule type="cellIs" priority="20" operator="equal" dxfId="4">
      <formula>"V"</formula>
    </cfRule>
    <cfRule type="cellIs" priority="21" operator="equal" dxfId="5">
      <formula>"R"</formula>
    </cfRule>
    <cfRule type="cellIs" priority="22" operator="equal" dxfId="6">
      <formula>"A"</formula>
    </cfRule>
    <cfRule type="cellIs" priority="23" operator="equal" dxfId="7">
      <formula>"H"</formula>
    </cfRule>
    <cfRule type="cellIs" priority="24" operator="equal" dxfId="8">
      <formula>"OT"</formula>
    </cfRule>
    <cfRule type="cellIs" priority="25" operator="equal" dxfId="9">
      <formula>"OS"</formula>
    </cfRule>
    <cfRule type="cellIs" priority="26" operator="equal" dxfId="10">
      <formula>"S/L"</formula>
    </cfRule>
    <cfRule type="cellIs" priority="27" operator="equal" dxfId="11">
      <formula>"C/T"</formula>
    </cfRule>
    <cfRule type="cellIs" priority="28" operator="equal" dxfId="12">
      <formula>"L"</formula>
    </cfRule>
    <cfRule type="cellIs" priority="29" operator="equal" dxfId="13">
      <formula>"N"</formula>
    </cfRule>
    <cfRule type="expression" priority="30" dxfId="14">
      <formula>AND(E$4&lt;&gt;"",OR(E$3="Fri",E$3="Sat"))</formula>
    </cfRule>
  </conditionalFormatting>
  <conditionalFormatting sqref="E34:AI45">
    <cfRule type="cellIs" priority="31" operator="equal" dxfId="0">
      <formula>"D"</formula>
    </cfRule>
    <cfRule type="cellIs" priority="32" operator="equal" dxfId="1">
      <formula>"T"</formula>
    </cfRule>
    <cfRule type="cellIs" priority="33" operator="equal" dxfId="2">
      <formula>"G"</formula>
    </cfRule>
    <cfRule type="cellIs" priority="34" operator="equal" dxfId="3">
      <formula>"TR"</formula>
    </cfRule>
    <cfRule type="cellIs" priority="35" operator="equal" dxfId="4">
      <formula>"V"</formula>
    </cfRule>
    <cfRule type="cellIs" priority="36" operator="equal" dxfId="5">
      <formula>"R"</formula>
    </cfRule>
    <cfRule type="cellIs" priority="37" operator="equal" dxfId="6">
      <formula>"A"</formula>
    </cfRule>
    <cfRule type="cellIs" priority="38" operator="equal" dxfId="7">
      <formula>"H"</formula>
    </cfRule>
    <cfRule type="cellIs" priority="39" operator="equal" dxfId="8">
      <formula>"OT"</formula>
    </cfRule>
    <cfRule type="cellIs" priority="40" operator="equal" dxfId="9">
      <formula>"OS"</formula>
    </cfRule>
    <cfRule type="cellIs" priority="41" operator="equal" dxfId="10">
      <formula>"S/L"</formula>
    </cfRule>
    <cfRule type="cellIs" priority="42" operator="equal" dxfId="11">
      <formula>"C/T"</formula>
    </cfRule>
    <cfRule type="cellIs" priority="43" operator="equal" dxfId="12">
      <formula>"L"</formula>
    </cfRule>
    <cfRule type="cellIs" priority="44" operator="equal" dxfId="13">
      <formula>"N"</formula>
    </cfRule>
    <cfRule type="expression" priority="45" dxfId="14">
      <formula>AND(E$4&lt;&gt;"",OR(E$3="Fri",E$3="Sat"))</formula>
    </cfRule>
  </conditionalFormatting>
  <conditionalFormatting sqref="E48:AI52">
    <cfRule type="cellIs" priority="46" operator="equal" dxfId="0">
      <formula>"D"</formula>
    </cfRule>
    <cfRule type="cellIs" priority="47" operator="equal" dxfId="1">
      <formula>"T"</formula>
    </cfRule>
    <cfRule type="cellIs" priority="48" operator="equal" dxfId="2">
      <formula>"G"</formula>
    </cfRule>
    <cfRule type="cellIs" priority="49" operator="equal" dxfId="3">
      <formula>"TR"</formula>
    </cfRule>
    <cfRule type="cellIs" priority="50" operator="equal" dxfId="4">
      <formula>"V"</formula>
    </cfRule>
    <cfRule type="cellIs" priority="51" operator="equal" dxfId="5">
      <formula>"R"</formula>
    </cfRule>
    <cfRule type="cellIs" priority="52" operator="equal" dxfId="6">
      <formula>"A"</formula>
    </cfRule>
    <cfRule type="cellIs" priority="53" operator="equal" dxfId="7">
      <formula>"H"</formula>
    </cfRule>
    <cfRule type="cellIs" priority="54" operator="equal" dxfId="8">
      <formula>"OT"</formula>
    </cfRule>
    <cfRule type="cellIs" priority="55" operator="equal" dxfId="9">
      <formula>"OS"</formula>
    </cfRule>
    <cfRule type="cellIs" priority="56" operator="equal" dxfId="10">
      <formula>"S/L"</formula>
    </cfRule>
    <cfRule type="cellIs" priority="57" operator="equal" dxfId="11">
      <formula>"C/T"</formula>
    </cfRule>
    <cfRule type="cellIs" priority="58" operator="equal" dxfId="12">
      <formula>"L"</formula>
    </cfRule>
    <cfRule type="cellIs" priority="59" operator="equal" dxfId="13">
      <formula>"N"</formula>
    </cfRule>
    <cfRule type="expression" priority="60" dxfId="14">
      <formula>AND(E$4&lt;&gt;"",OR(E$3="Fri",E$3="Sat"))</formula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2026-09-09T13:05:11Z</dcterms:created>
  <dcterms:modified xmlns:dcterms="http://purl.org/dc/terms/" xmlns:xsi="http://www.w3.org/2001/XMLSchema-instance" xsi:type="dcterms:W3CDTF">2026-09-09T13:09:27Z</dcterms:modified>
</cp:coreProperties>
</file>