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Times New Roman"/>
      <b val="1"/>
      <color rgb="00FFFFFF"/>
      <sz val="13"/>
    </font>
    <font>
      <name val="Times New Roman"/>
      <b val="1"/>
      <color rgb="00000000"/>
      <sz val="8"/>
    </font>
    <font>
      <name val="Times New Roman"/>
      <b val="1"/>
      <color rgb="00B45309"/>
      <sz val="12"/>
    </font>
    <font>
      <name val="Times New Roman"/>
      <b val="1"/>
      <color rgb="0015803D"/>
      <sz val="12"/>
    </font>
    <font>
      <name val="Times New Roman"/>
      <b val="1"/>
      <color rgb="00FFFFFF"/>
      <sz val="11"/>
    </font>
    <font>
      <name val="Times New Roman"/>
      <b val="1"/>
      <color rgb="00000000"/>
      <sz val="10"/>
    </font>
    <font>
      <name val="Times New Roman"/>
      <b val="1"/>
      <color rgb="00000000"/>
      <sz val="9"/>
    </font>
    <font>
      <name val="Times New Roman"/>
      <color rgb="009AA2A9"/>
      <sz val="9"/>
    </font>
    <font>
      <name val="Times New Roman"/>
      <color rgb="00000000"/>
      <sz val="11"/>
    </font>
    <font>
      <name val="Times New Roman"/>
      <color rgb="00000000"/>
      <sz val="12"/>
    </font>
    <font>
      <name val="Times New Roman"/>
      <b val="1"/>
      <color rgb="00000000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000000"/>
      <sz val="11"/>
    </font>
    <font>
      <name val="Times New Roman"/>
      <b val="1"/>
      <color rgb="0015803D"/>
      <sz val="10"/>
    </font>
    <font>
      <name val="Times New Roman"/>
      <color rgb="00000000"/>
      <sz val="10"/>
    </font>
    <font>
      <name val="Times New Roman"/>
      <b val="1"/>
      <color rgb="0092400E"/>
      <sz val="10"/>
    </font>
    <font>
      <name val="Times New Roman"/>
      <color rgb="00000000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006B7280"/>
      <sz val="10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2">
    <fill>
      <patternFill/>
    </fill>
    <fill>
      <patternFill patternType="gray125"/>
    </fill>
    <fill>
      <patternFill patternType="solid">
        <fgColor rgb="0015803D"/>
      </patternFill>
    </fill>
    <fill>
      <patternFill patternType="solid">
        <fgColor rgb="001A56DB"/>
      </patternFill>
    </fill>
    <fill>
      <patternFill patternType="solid">
        <fgColor rgb="00EEF2F0"/>
      </patternFill>
    </fill>
    <fill>
      <patternFill patternType="solid">
        <fgColor rgb="00057A55"/>
      </patternFill>
    </fill>
    <fill>
      <patternFill patternType="solid">
        <fgColor rgb="00B45309"/>
      </patternFill>
    </fill>
    <fill>
      <patternFill patternType="solid">
        <fgColor rgb="006C2BD9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rgb="00F3F4F6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C9CFD6"/>
      </left>
      <right style="thin">
        <color rgb="00C9CFD6"/>
      </right>
      <top style="thin">
        <color rgb="00C9CFD6"/>
      </top>
      <bottom style="thin">
        <color rgb="00C9CFD6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5" fillId="7" borderId="0" applyAlignment="1" pivotButton="0" quotePrefix="0" xfId="0">
      <alignment horizontal="left" vertical="center" indent="1"/>
    </xf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8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9" borderId="1" applyAlignment="1" pivotButton="0" quotePrefix="0" xfId="0">
      <alignment horizontal="center" vertical="center"/>
    </xf>
    <xf numFmtId="0" fontId="21" fillId="10" borderId="1" applyAlignment="1" pivotButton="0" quotePrefix="0" xfId="0">
      <alignment horizontal="center" vertical="center"/>
    </xf>
    <xf numFmtId="0" fontId="22" fillId="11" borderId="1" applyAlignment="1" pivotButton="0" quotePrefix="0" xfId="0">
      <alignment horizontal="center" vertical="center"/>
    </xf>
    <xf numFmtId="0" fontId="23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5" fillId="14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28" fillId="17" borderId="1" applyAlignment="1" pivotButton="0" quotePrefix="0" xfId="0">
      <alignment horizontal="center" vertical="center"/>
    </xf>
    <xf numFmtId="0" fontId="29" fillId="18" borderId="1" applyAlignment="1" pivotButton="0" quotePrefix="0" xfId="0">
      <alignment horizontal="center" vertical="center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32" fillId="21" borderId="1" applyAlignment="1" pivotButton="0" quotePrefix="0" xfId="0">
      <alignment horizontal="center" vertical="center"/>
    </xf>
    <xf numFmtId="0" fontId="24" fillId="0" borderId="0" pivotButton="0" quotePrefix="0" xfId="0"/>
    <xf numFmtId="0" fontId="9" fillId="0" borderId="1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7"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6B7280"/>
      </font>
      <fill>
        <patternFill>
          <bgColor rgb="00F3F4F6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F3F4F6"/>
        </patternFill>
      </fill>
    </dxf>
    <dxf>
      <fill>
        <patternFill>
          <bgColor rgb="00E2EFDA"/>
        </patternFill>
      </fill>
    </dxf>
    <dxf>
      <fill>
        <patternFill>
          <bgColor rgb="00B4C6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K11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8" customWidth="1" min="1" max="1"/>
    <col width="11" customWidth="1" min="2" max="2"/>
    <col width="24" customWidth="1" min="3" max="3"/>
    <col width="10.5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4.6" customWidth="1" min="35" max="35"/>
    <col hidden="1" width="13" customWidth="1" min="37" max="37"/>
  </cols>
  <sheetData>
    <row r="1" ht="22" customHeight="1">
      <c r="A1" s="1" t="inlineStr">
        <is>
          <t>SAUDIA TECHNIC — AIRCRAFT HEAVY MAINTENANCE · SPV CABIN MONTHLY ROSTER · CC: 264</t>
        </is>
      </c>
    </row>
    <row r="2" ht="18" customHeight="1">
      <c r="A2" s="2" t="inlineStr">
        <is>
          <t>MONTH</t>
        </is>
      </c>
      <c r="B2" s="3" t="inlineStr">
        <is>
          <t>JUL</t>
        </is>
      </c>
      <c r="C2" s="4" t="inlineStr">
        <is>
          <t>YEAR</t>
        </is>
      </c>
      <c r="D2" s="3" t="n">
        <v>2026</v>
      </c>
      <c r="E2" s="5">
        <f>TEXT(DATE($D$2,$AK$2,1),"mmmm yyyy")</f>
        <v/>
      </c>
      <c r="AK2">
        <f>IF(ISNUMBER($B$2),$B$2,MATCH(LEFT(UPPER(TRIM($B$2)),3),{"JAN","FEB","MAR","APR","MAY","JUN","JUL","AUG","SEP","OCT","NOV","DEC"},0))</f>
        <v/>
      </c>
    </row>
    <row r="3" ht="17" customHeight="1">
      <c r="A3" s="6" t="inlineStr">
        <is>
          <t>CREW 1</t>
        </is>
      </c>
    </row>
    <row r="4" ht="13" customHeight="1">
      <c r="E4" s="7">
        <f>IF(1&lt;=DAY(EOMONTH(DATE($D$2,$AK$2,1),0)),TEXT(DATE($D$2,$AK$2,1),"ddd"),"")</f>
        <v/>
      </c>
      <c r="F4" s="7">
        <f>IF(2&lt;=DAY(EOMONTH(DATE($D$2,$AK$2,1),0)),TEXT(DATE($D$2,$AK$2,2),"ddd"),"")</f>
        <v/>
      </c>
      <c r="G4" s="7">
        <f>IF(3&lt;=DAY(EOMONTH(DATE($D$2,$AK$2,1),0)),TEXT(DATE($D$2,$AK$2,3),"ddd"),"")</f>
        <v/>
      </c>
      <c r="H4" s="7">
        <f>IF(4&lt;=DAY(EOMONTH(DATE($D$2,$AK$2,1),0)),TEXT(DATE($D$2,$AK$2,4),"ddd"),"")</f>
        <v/>
      </c>
      <c r="I4" s="7">
        <f>IF(5&lt;=DAY(EOMONTH(DATE($D$2,$AK$2,1),0)),TEXT(DATE($D$2,$AK$2,5),"ddd"),"")</f>
        <v/>
      </c>
      <c r="J4" s="7">
        <f>IF(6&lt;=DAY(EOMONTH(DATE($D$2,$AK$2,1),0)),TEXT(DATE($D$2,$AK$2,6),"ddd"),"")</f>
        <v/>
      </c>
      <c r="K4" s="7">
        <f>IF(7&lt;=DAY(EOMONTH(DATE($D$2,$AK$2,1),0)),TEXT(DATE($D$2,$AK$2,7),"ddd"),"")</f>
        <v/>
      </c>
      <c r="L4" s="7">
        <f>IF(8&lt;=DAY(EOMONTH(DATE($D$2,$AK$2,1),0)),TEXT(DATE($D$2,$AK$2,8),"ddd"),"")</f>
        <v/>
      </c>
      <c r="M4" s="7">
        <f>IF(9&lt;=DAY(EOMONTH(DATE($D$2,$AK$2,1),0)),TEXT(DATE($D$2,$AK$2,9),"ddd"),"")</f>
        <v/>
      </c>
      <c r="N4" s="7">
        <f>IF(10&lt;=DAY(EOMONTH(DATE($D$2,$AK$2,1),0)),TEXT(DATE($D$2,$AK$2,10),"ddd"),"")</f>
        <v/>
      </c>
      <c r="O4" s="7">
        <f>IF(11&lt;=DAY(EOMONTH(DATE($D$2,$AK$2,1),0)),TEXT(DATE($D$2,$AK$2,11),"ddd"),"")</f>
        <v/>
      </c>
      <c r="P4" s="7">
        <f>IF(12&lt;=DAY(EOMONTH(DATE($D$2,$AK$2,1),0)),TEXT(DATE($D$2,$AK$2,12),"ddd"),"")</f>
        <v/>
      </c>
      <c r="Q4" s="7">
        <f>IF(13&lt;=DAY(EOMONTH(DATE($D$2,$AK$2,1),0)),TEXT(DATE($D$2,$AK$2,13),"ddd"),"")</f>
        <v/>
      </c>
      <c r="R4" s="7">
        <f>IF(14&lt;=DAY(EOMONTH(DATE($D$2,$AK$2,1),0)),TEXT(DATE($D$2,$AK$2,14),"ddd"),"")</f>
        <v/>
      </c>
      <c r="S4" s="7">
        <f>IF(15&lt;=DAY(EOMONTH(DATE($D$2,$AK$2,1),0)),TEXT(DATE($D$2,$AK$2,15),"ddd"),"")</f>
        <v/>
      </c>
      <c r="T4" s="7">
        <f>IF(16&lt;=DAY(EOMONTH(DATE($D$2,$AK$2,1),0)),TEXT(DATE($D$2,$AK$2,16),"ddd"),"")</f>
        <v/>
      </c>
      <c r="U4" s="7">
        <f>IF(17&lt;=DAY(EOMONTH(DATE($D$2,$AK$2,1),0)),TEXT(DATE($D$2,$AK$2,17),"ddd"),"")</f>
        <v/>
      </c>
      <c r="V4" s="7">
        <f>IF(18&lt;=DAY(EOMONTH(DATE($D$2,$AK$2,1),0)),TEXT(DATE($D$2,$AK$2,18),"ddd"),"")</f>
        <v/>
      </c>
      <c r="W4" s="7">
        <f>IF(19&lt;=DAY(EOMONTH(DATE($D$2,$AK$2,1),0)),TEXT(DATE($D$2,$AK$2,19),"ddd"),"")</f>
        <v/>
      </c>
      <c r="X4" s="7">
        <f>IF(20&lt;=DAY(EOMONTH(DATE($D$2,$AK$2,1),0)),TEXT(DATE($D$2,$AK$2,20),"ddd"),"")</f>
        <v/>
      </c>
      <c r="Y4" s="7">
        <f>IF(21&lt;=DAY(EOMONTH(DATE($D$2,$AK$2,1),0)),TEXT(DATE($D$2,$AK$2,21),"ddd"),"")</f>
        <v/>
      </c>
      <c r="Z4" s="7">
        <f>IF(22&lt;=DAY(EOMONTH(DATE($D$2,$AK$2,1),0)),TEXT(DATE($D$2,$AK$2,22),"ddd"),"")</f>
        <v/>
      </c>
      <c r="AA4" s="7">
        <f>IF(23&lt;=DAY(EOMONTH(DATE($D$2,$AK$2,1),0)),TEXT(DATE($D$2,$AK$2,23),"ddd"),"")</f>
        <v/>
      </c>
      <c r="AB4" s="7">
        <f>IF(24&lt;=DAY(EOMONTH(DATE($D$2,$AK$2,1),0)),TEXT(DATE($D$2,$AK$2,24),"ddd"),"")</f>
        <v/>
      </c>
      <c r="AC4" s="7">
        <f>IF(25&lt;=DAY(EOMONTH(DATE($D$2,$AK$2,1),0)),TEXT(DATE($D$2,$AK$2,25),"ddd"),"")</f>
        <v/>
      </c>
      <c r="AD4" s="7">
        <f>IF(26&lt;=DAY(EOMONTH(DATE($D$2,$AK$2,1),0)),TEXT(DATE($D$2,$AK$2,26),"ddd"),"")</f>
        <v/>
      </c>
      <c r="AE4" s="7">
        <f>IF(27&lt;=DAY(EOMONTH(DATE($D$2,$AK$2,1),0)),TEXT(DATE($D$2,$AK$2,27),"ddd"),"")</f>
        <v/>
      </c>
      <c r="AF4" s="7">
        <f>IF(28&lt;=DAY(EOMONTH(DATE($D$2,$AK$2,1),0)),TEXT(DATE($D$2,$AK$2,28),"ddd"),"")</f>
        <v/>
      </c>
      <c r="AG4" s="7">
        <f>IF(29&lt;=DAY(EOMONTH(DATE($D$2,$AK$2,1),0)),TEXT(DATE($D$2,$AK$2,29),"ddd"),"")</f>
        <v/>
      </c>
      <c r="AH4" s="7">
        <f>IF(30&lt;=DAY(EOMONTH(DATE($D$2,$AK$2,1),0)),TEXT(DATE($D$2,$AK$2,30),"ddd"),"")</f>
        <v/>
      </c>
      <c r="AI4" s="7">
        <f>IF(31&lt;=DAY(EOMONTH(DATE($D$2,$AK$2,1),0)),TEXT(DATE($D$2,$AK$2,31),"ddd"),"")</f>
        <v/>
      </c>
    </row>
    <row r="5" ht="16" customHeight="1">
      <c r="A5" s="8" t="inlineStr">
        <is>
          <t>#</t>
        </is>
      </c>
      <c r="B5" s="8" t="inlineStr">
        <is>
          <t>PRN</t>
        </is>
      </c>
      <c r="C5" s="8" t="inlineStr">
        <is>
          <t>NAME</t>
        </is>
      </c>
      <c r="D5" s="8" t="inlineStr">
        <is>
          <t>Posn</t>
        </is>
      </c>
      <c r="E5" s="9">
        <f>IF(1&lt;=DAY(EOMONTH(DATE($D$2,$AK$2,1),0)),1,"")</f>
        <v/>
      </c>
      <c r="F5" s="9">
        <f>IF(2&lt;=DAY(EOMONTH(DATE($D$2,$AK$2,1),0)),2,"")</f>
        <v/>
      </c>
      <c r="G5" s="9">
        <f>IF(3&lt;=DAY(EOMONTH(DATE($D$2,$AK$2,1),0)),3,"")</f>
        <v/>
      </c>
      <c r="H5" s="9">
        <f>IF(4&lt;=DAY(EOMONTH(DATE($D$2,$AK$2,1),0)),4,"")</f>
        <v/>
      </c>
      <c r="I5" s="9">
        <f>IF(5&lt;=DAY(EOMONTH(DATE($D$2,$AK$2,1),0)),5,"")</f>
        <v/>
      </c>
      <c r="J5" s="9">
        <f>IF(6&lt;=DAY(EOMONTH(DATE($D$2,$AK$2,1),0)),6,"")</f>
        <v/>
      </c>
      <c r="K5" s="9">
        <f>IF(7&lt;=DAY(EOMONTH(DATE($D$2,$AK$2,1),0)),7,"")</f>
        <v/>
      </c>
      <c r="L5" s="9">
        <f>IF(8&lt;=DAY(EOMONTH(DATE($D$2,$AK$2,1),0)),8,"")</f>
        <v/>
      </c>
      <c r="M5" s="9">
        <f>IF(9&lt;=DAY(EOMONTH(DATE($D$2,$AK$2,1),0)),9,"")</f>
        <v/>
      </c>
      <c r="N5" s="9">
        <f>IF(10&lt;=DAY(EOMONTH(DATE($D$2,$AK$2,1),0)),10,"")</f>
        <v/>
      </c>
      <c r="O5" s="9">
        <f>IF(11&lt;=DAY(EOMONTH(DATE($D$2,$AK$2,1),0)),11,"")</f>
        <v/>
      </c>
      <c r="P5" s="9">
        <f>IF(12&lt;=DAY(EOMONTH(DATE($D$2,$AK$2,1),0)),12,"")</f>
        <v/>
      </c>
      <c r="Q5" s="9">
        <f>IF(13&lt;=DAY(EOMONTH(DATE($D$2,$AK$2,1),0)),13,"")</f>
        <v/>
      </c>
      <c r="R5" s="9">
        <f>IF(14&lt;=DAY(EOMONTH(DATE($D$2,$AK$2,1),0)),14,"")</f>
        <v/>
      </c>
      <c r="S5" s="9">
        <f>IF(15&lt;=DAY(EOMONTH(DATE($D$2,$AK$2,1),0)),15,"")</f>
        <v/>
      </c>
      <c r="T5" s="9">
        <f>IF(16&lt;=DAY(EOMONTH(DATE($D$2,$AK$2,1),0)),16,"")</f>
        <v/>
      </c>
      <c r="U5" s="9">
        <f>IF(17&lt;=DAY(EOMONTH(DATE($D$2,$AK$2,1),0)),17,"")</f>
        <v/>
      </c>
      <c r="V5" s="9">
        <f>IF(18&lt;=DAY(EOMONTH(DATE($D$2,$AK$2,1),0)),18,"")</f>
        <v/>
      </c>
      <c r="W5" s="9">
        <f>IF(19&lt;=DAY(EOMONTH(DATE($D$2,$AK$2,1),0)),19,"")</f>
        <v/>
      </c>
      <c r="X5" s="9">
        <f>IF(20&lt;=DAY(EOMONTH(DATE($D$2,$AK$2,1),0)),20,"")</f>
        <v/>
      </c>
      <c r="Y5" s="9">
        <f>IF(21&lt;=DAY(EOMONTH(DATE($D$2,$AK$2,1),0)),21,"")</f>
        <v/>
      </c>
      <c r="Z5" s="9">
        <f>IF(22&lt;=DAY(EOMONTH(DATE($D$2,$AK$2,1),0)),22,"")</f>
        <v/>
      </c>
      <c r="AA5" s="9">
        <f>IF(23&lt;=DAY(EOMONTH(DATE($D$2,$AK$2,1),0)),23,"")</f>
        <v/>
      </c>
      <c r="AB5" s="9">
        <f>IF(24&lt;=DAY(EOMONTH(DATE($D$2,$AK$2,1),0)),24,"")</f>
        <v/>
      </c>
      <c r="AC5" s="9">
        <f>IF(25&lt;=DAY(EOMONTH(DATE($D$2,$AK$2,1),0)),25,"")</f>
        <v/>
      </c>
      <c r="AD5" s="9">
        <f>IF(26&lt;=DAY(EOMONTH(DATE($D$2,$AK$2,1),0)),26,"")</f>
        <v/>
      </c>
      <c r="AE5" s="9">
        <f>IF(27&lt;=DAY(EOMONTH(DATE($D$2,$AK$2,1),0)),27,"")</f>
        <v/>
      </c>
      <c r="AF5" s="9">
        <f>IF(28&lt;=DAY(EOMONTH(DATE($D$2,$AK$2,1),0)),28,"")</f>
        <v/>
      </c>
      <c r="AG5" s="9">
        <f>IF(29&lt;=DAY(EOMONTH(DATE($D$2,$AK$2,1),0)),29,"")</f>
        <v/>
      </c>
      <c r="AH5" s="9">
        <f>IF(30&lt;=DAY(EOMONTH(DATE($D$2,$AK$2,1),0)),30,"")</f>
        <v/>
      </c>
      <c r="AI5" s="9">
        <f>IF(31&lt;=DAY(EOMONTH(DATE($D$2,$AK$2,1),0)),31,"")</f>
        <v/>
      </c>
    </row>
    <row r="6" ht="17" customHeight="1">
      <c r="A6" s="10">
        <f>IF($C6="","",ROW()-5)</f>
        <v/>
      </c>
      <c r="B6" s="11" t="n"/>
      <c r="C6" s="12" t="n"/>
      <c r="D6" s="11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 ht="17" customHeight="1">
      <c r="A7" s="10">
        <f>IF($C7="","",ROW()-5)</f>
        <v/>
      </c>
      <c r="B7" s="11" t="n"/>
      <c r="C7" s="12" t="n"/>
      <c r="D7" s="11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 ht="17" customHeight="1">
      <c r="A8" s="10">
        <f>IF($C8="","",ROW()-5)</f>
        <v/>
      </c>
      <c r="B8" s="11" t="n"/>
      <c r="C8" s="12" t="n"/>
      <c r="D8" s="11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 ht="17" customHeight="1">
      <c r="A9" s="10">
        <f>IF($C9="","",ROW()-5)</f>
        <v/>
      </c>
      <c r="B9" s="11" t="n"/>
      <c r="C9" s="12" t="n"/>
      <c r="D9" s="11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 ht="17" customHeight="1">
      <c r="A10" s="10">
        <f>IF($C10="","",ROW()-5)</f>
        <v/>
      </c>
      <c r="B10" s="11" t="n"/>
      <c r="C10" s="12" t="n"/>
      <c r="D10" s="11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 ht="17" customHeight="1">
      <c r="A11" s="10">
        <f>IF($C11="","",ROW()-5)</f>
        <v/>
      </c>
      <c r="B11" s="11" t="n"/>
      <c r="C11" s="12" t="n"/>
      <c r="D11" s="11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 ht="17" customHeight="1">
      <c r="A12" s="10">
        <f>IF($C12="","",ROW()-5)</f>
        <v/>
      </c>
      <c r="B12" s="11" t="n"/>
      <c r="C12" s="12" t="n"/>
      <c r="D12" s="11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 ht="17" customHeight="1">
      <c r="A13" s="10">
        <f>IF($C13="","",ROW()-5)</f>
        <v/>
      </c>
      <c r="B13" s="11" t="n"/>
      <c r="C13" s="12" t="n"/>
      <c r="D13" s="11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 ht="17" customHeight="1">
      <c r="A14" s="10">
        <f>IF($C14="","",ROW()-5)</f>
        <v/>
      </c>
      <c r="B14" s="11" t="n"/>
      <c r="C14" s="12" t="n"/>
      <c r="D14" s="11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 ht="17" customHeight="1">
      <c r="A15" s="10">
        <f>IF($C15="","",ROW()-5)</f>
        <v/>
      </c>
      <c r="B15" s="11" t="n"/>
      <c r="C15" s="12" t="n"/>
      <c r="D15" s="11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 ht="17" customHeight="1">
      <c r="A16" s="10">
        <f>IF($C16="","",ROW()-5)</f>
        <v/>
      </c>
      <c r="B16" s="11" t="n"/>
      <c r="C16" s="12" t="n"/>
      <c r="D16" s="11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 ht="17" customHeight="1">
      <c r="A17" s="10">
        <f>IF($C17="","",ROW()-5)</f>
        <v/>
      </c>
      <c r="B17" s="11" t="n"/>
      <c r="C17" s="12" t="n"/>
      <c r="D17" s="11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 ht="17" customHeight="1">
      <c r="A18" s="14" t="inlineStr">
        <is>
          <t>CREW 2</t>
        </is>
      </c>
    </row>
    <row r="19" ht="13" customHeight="1">
      <c r="E19" s="7">
        <f>IF(1&lt;=DAY(EOMONTH(DATE($D$2,$AK$2,1),0)),TEXT(DATE($D$2,$AK$2,1),"ddd"),"")</f>
        <v/>
      </c>
      <c r="F19" s="7">
        <f>IF(2&lt;=DAY(EOMONTH(DATE($D$2,$AK$2,1),0)),TEXT(DATE($D$2,$AK$2,2),"ddd"),"")</f>
        <v/>
      </c>
      <c r="G19" s="7">
        <f>IF(3&lt;=DAY(EOMONTH(DATE($D$2,$AK$2,1),0)),TEXT(DATE($D$2,$AK$2,3),"ddd"),"")</f>
        <v/>
      </c>
      <c r="H19" s="7">
        <f>IF(4&lt;=DAY(EOMONTH(DATE($D$2,$AK$2,1),0)),TEXT(DATE($D$2,$AK$2,4),"ddd"),"")</f>
        <v/>
      </c>
      <c r="I19" s="7">
        <f>IF(5&lt;=DAY(EOMONTH(DATE($D$2,$AK$2,1),0)),TEXT(DATE($D$2,$AK$2,5),"ddd"),"")</f>
        <v/>
      </c>
      <c r="J19" s="7">
        <f>IF(6&lt;=DAY(EOMONTH(DATE($D$2,$AK$2,1),0)),TEXT(DATE($D$2,$AK$2,6),"ddd"),"")</f>
        <v/>
      </c>
      <c r="K19" s="7">
        <f>IF(7&lt;=DAY(EOMONTH(DATE($D$2,$AK$2,1),0)),TEXT(DATE($D$2,$AK$2,7),"ddd"),"")</f>
        <v/>
      </c>
      <c r="L19" s="7">
        <f>IF(8&lt;=DAY(EOMONTH(DATE($D$2,$AK$2,1),0)),TEXT(DATE($D$2,$AK$2,8),"ddd"),"")</f>
        <v/>
      </c>
      <c r="M19" s="7">
        <f>IF(9&lt;=DAY(EOMONTH(DATE($D$2,$AK$2,1),0)),TEXT(DATE($D$2,$AK$2,9),"ddd"),"")</f>
        <v/>
      </c>
      <c r="N19" s="7">
        <f>IF(10&lt;=DAY(EOMONTH(DATE($D$2,$AK$2,1),0)),TEXT(DATE($D$2,$AK$2,10),"ddd"),"")</f>
        <v/>
      </c>
      <c r="O19" s="7">
        <f>IF(11&lt;=DAY(EOMONTH(DATE($D$2,$AK$2,1),0)),TEXT(DATE($D$2,$AK$2,11),"ddd"),"")</f>
        <v/>
      </c>
      <c r="P19" s="7">
        <f>IF(12&lt;=DAY(EOMONTH(DATE($D$2,$AK$2,1),0)),TEXT(DATE($D$2,$AK$2,12),"ddd"),"")</f>
        <v/>
      </c>
      <c r="Q19" s="7">
        <f>IF(13&lt;=DAY(EOMONTH(DATE($D$2,$AK$2,1),0)),TEXT(DATE($D$2,$AK$2,13),"ddd"),"")</f>
        <v/>
      </c>
      <c r="R19" s="7">
        <f>IF(14&lt;=DAY(EOMONTH(DATE($D$2,$AK$2,1),0)),TEXT(DATE($D$2,$AK$2,14),"ddd"),"")</f>
        <v/>
      </c>
      <c r="S19" s="7">
        <f>IF(15&lt;=DAY(EOMONTH(DATE($D$2,$AK$2,1),0)),TEXT(DATE($D$2,$AK$2,15),"ddd"),"")</f>
        <v/>
      </c>
      <c r="T19" s="7">
        <f>IF(16&lt;=DAY(EOMONTH(DATE($D$2,$AK$2,1),0)),TEXT(DATE($D$2,$AK$2,16),"ddd"),"")</f>
        <v/>
      </c>
      <c r="U19" s="7">
        <f>IF(17&lt;=DAY(EOMONTH(DATE($D$2,$AK$2,1),0)),TEXT(DATE($D$2,$AK$2,17),"ddd"),"")</f>
        <v/>
      </c>
      <c r="V19" s="7">
        <f>IF(18&lt;=DAY(EOMONTH(DATE($D$2,$AK$2,1),0)),TEXT(DATE($D$2,$AK$2,18),"ddd"),"")</f>
        <v/>
      </c>
      <c r="W19" s="7">
        <f>IF(19&lt;=DAY(EOMONTH(DATE($D$2,$AK$2,1),0)),TEXT(DATE($D$2,$AK$2,19),"ddd"),"")</f>
        <v/>
      </c>
      <c r="X19" s="7">
        <f>IF(20&lt;=DAY(EOMONTH(DATE($D$2,$AK$2,1),0)),TEXT(DATE($D$2,$AK$2,20),"ddd"),"")</f>
        <v/>
      </c>
      <c r="Y19" s="7">
        <f>IF(21&lt;=DAY(EOMONTH(DATE($D$2,$AK$2,1),0)),TEXT(DATE($D$2,$AK$2,21),"ddd"),"")</f>
        <v/>
      </c>
      <c r="Z19" s="7">
        <f>IF(22&lt;=DAY(EOMONTH(DATE($D$2,$AK$2,1),0)),TEXT(DATE($D$2,$AK$2,22),"ddd"),"")</f>
        <v/>
      </c>
      <c r="AA19" s="7">
        <f>IF(23&lt;=DAY(EOMONTH(DATE($D$2,$AK$2,1),0)),TEXT(DATE($D$2,$AK$2,23),"ddd"),"")</f>
        <v/>
      </c>
      <c r="AB19" s="7">
        <f>IF(24&lt;=DAY(EOMONTH(DATE($D$2,$AK$2,1),0)),TEXT(DATE($D$2,$AK$2,24),"ddd"),"")</f>
        <v/>
      </c>
      <c r="AC19" s="7">
        <f>IF(25&lt;=DAY(EOMONTH(DATE($D$2,$AK$2,1),0)),TEXT(DATE($D$2,$AK$2,25),"ddd"),"")</f>
        <v/>
      </c>
      <c r="AD19" s="7">
        <f>IF(26&lt;=DAY(EOMONTH(DATE($D$2,$AK$2,1),0)),TEXT(DATE($D$2,$AK$2,26),"ddd"),"")</f>
        <v/>
      </c>
      <c r="AE19" s="7">
        <f>IF(27&lt;=DAY(EOMONTH(DATE($D$2,$AK$2,1),0)),TEXT(DATE($D$2,$AK$2,27),"ddd"),"")</f>
        <v/>
      </c>
      <c r="AF19" s="7">
        <f>IF(28&lt;=DAY(EOMONTH(DATE($D$2,$AK$2,1),0)),TEXT(DATE($D$2,$AK$2,28),"ddd"),"")</f>
        <v/>
      </c>
      <c r="AG19" s="7">
        <f>IF(29&lt;=DAY(EOMONTH(DATE($D$2,$AK$2,1),0)),TEXT(DATE($D$2,$AK$2,29),"ddd"),"")</f>
        <v/>
      </c>
      <c r="AH19" s="7">
        <f>IF(30&lt;=DAY(EOMONTH(DATE($D$2,$AK$2,1),0)),TEXT(DATE($D$2,$AK$2,30),"ddd"),"")</f>
        <v/>
      </c>
      <c r="AI19" s="7">
        <f>IF(31&lt;=DAY(EOMONTH(DATE($D$2,$AK$2,1),0)),TEXT(DATE($D$2,$AK$2,31),"ddd"),"")</f>
        <v/>
      </c>
    </row>
    <row r="20" ht="16" customHeight="1">
      <c r="A20" s="8" t="inlineStr">
        <is>
          <t>#</t>
        </is>
      </c>
      <c r="B20" s="8" t="inlineStr">
        <is>
          <t>PRN</t>
        </is>
      </c>
      <c r="C20" s="8" t="inlineStr">
        <is>
          <t>NAME</t>
        </is>
      </c>
      <c r="D20" s="8" t="inlineStr">
        <is>
          <t>Posn</t>
        </is>
      </c>
      <c r="E20" s="9">
        <f>IF(1&lt;=DAY(EOMONTH(DATE($D$2,$AK$2,1),0)),1,"")</f>
        <v/>
      </c>
      <c r="F20" s="9">
        <f>IF(2&lt;=DAY(EOMONTH(DATE($D$2,$AK$2,1),0)),2,"")</f>
        <v/>
      </c>
      <c r="G20" s="9">
        <f>IF(3&lt;=DAY(EOMONTH(DATE($D$2,$AK$2,1),0)),3,"")</f>
        <v/>
      </c>
      <c r="H20" s="9">
        <f>IF(4&lt;=DAY(EOMONTH(DATE($D$2,$AK$2,1),0)),4,"")</f>
        <v/>
      </c>
      <c r="I20" s="9">
        <f>IF(5&lt;=DAY(EOMONTH(DATE($D$2,$AK$2,1),0)),5,"")</f>
        <v/>
      </c>
      <c r="J20" s="9">
        <f>IF(6&lt;=DAY(EOMONTH(DATE($D$2,$AK$2,1),0)),6,"")</f>
        <v/>
      </c>
      <c r="K20" s="9">
        <f>IF(7&lt;=DAY(EOMONTH(DATE($D$2,$AK$2,1),0)),7,"")</f>
        <v/>
      </c>
      <c r="L20" s="9">
        <f>IF(8&lt;=DAY(EOMONTH(DATE($D$2,$AK$2,1),0)),8,"")</f>
        <v/>
      </c>
      <c r="M20" s="9">
        <f>IF(9&lt;=DAY(EOMONTH(DATE($D$2,$AK$2,1),0)),9,"")</f>
        <v/>
      </c>
      <c r="N20" s="9">
        <f>IF(10&lt;=DAY(EOMONTH(DATE($D$2,$AK$2,1),0)),10,"")</f>
        <v/>
      </c>
      <c r="O20" s="9">
        <f>IF(11&lt;=DAY(EOMONTH(DATE($D$2,$AK$2,1),0)),11,"")</f>
        <v/>
      </c>
      <c r="P20" s="9">
        <f>IF(12&lt;=DAY(EOMONTH(DATE($D$2,$AK$2,1),0)),12,"")</f>
        <v/>
      </c>
      <c r="Q20" s="9">
        <f>IF(13&lt;=DAY(EOMONTH(DATE($D$2,$AK$2,1),0)),13,"")</f>
        <v/>
      </c>
      <c r="R20" s="9">
        <f>IF(14&lt;=DAY(EOMONTH(DATE($D$2,$AK$2,1),0)),14,"")</f>
        <v/>
      </c>
      <c r="S20" s="9">
        <f>IF(15&lt;=DAY(EOMONTH(DATE($D$2,$AK$2,1),0)),15,"")</f>
        <v/>
      </c>
      <c r="T20" s="9">
        <f>IF(16&lt;=DAY(EOMONTH(DATE($D$2,$AK$2,1),0)),16,"")</f>
        <v/>
      </c>
      <c r="U20" s="9">
        <f>IF(17&lt;=DAY(EOMONTH(DATE($D$2,$AK$2,1),0)),17,"")</f>
        <v/>
      </c>
      <c r="V20" s="9">
        <f>IF(18&lt;=DAY(EOMONTH(DATE($D$2,$AK$2,1),0)),18,"")</f>
        <v/>
      </c>
      <c r="W20" s="9">
        <f>IF(19&lt;=DAY(EOMONTH(DATE($D$2,$AK$2,1),0)),19,"")</f>
        <v/>
      </c>
      <c r="X20" s="9">
        <f>IF(20&lt;=DAY(EOMONTH(DATE($D$2,$AK$2,1),0)),20,"")</f>
        <v/>
      </c>
      <c r="Y20" s="9">
        <f>IF(21&lt;=DAY(EOMONTH(DATE($D$2,$AK$2,1),0)),21,"")</f>
        <v/>
      </c>
      <c r="Z20" s="9">
        <f>IF(22&lt;=DAY(EOMONTH(DATE($D$2,$AK$2,1),0)),22,"")</f>
        <v/>
      </c>
      <c r="AA20" s="9">
        <f>IF(23&lt;=DAY(EOMONTH(DATE($D$2,$AK$2,1),0)),23,"")</f>
        <v/>
      </c>
      <c r="AB20" s="9">
        <f>IF(24&lt;=DAY(EOMONTH(DATE($D$2,$AK$2,1),0)),24,"")</f>
        <v/>
      </c>
      <c r="AC20" s="9">
        <f>IF(25&lt;=DAY(EOMONTH(DATE($D$2,$AK$2,1),0)),25,"")</f>
        <v/>
      </c>
      <c r="AD20" s="9">
        <f>IF(26&lt;=DAY(EOMONTH(DATE($D$2,$AK$2,1),0)),26,"")</f>
        <v/>
      </c>
      <c r="AE20" s="9">
        <f>IF(27&lt;=DAY(EOMONTH(DATE($D$2,$AK$2,1),0)),27,"")</f>
        <v/>
      </c>
      <c r="AF20" s="9">
        <f>IF(28&lt;=DAY(EOMONTH(DATE($D$2,$AK$2,1),0)),28,"")</f>
        <v/>
      </c>
      <c r="AG20" s="9">
        <f>IF(29&lt;=DAY(EOMONTH(DATE($D$2,$AK$2,1),0)),29,"")</f>
        <v/>
      </c>
      <c r="AH20" s="9">
        <f>IF(30&lt;=DAY(EOMONTH(DATE($D$2,$AK$2,1),0)),30,"")</f>
        <v/>
      </c>
      <c r="AI20" s="9">
        <f>IF(31&lt;=DAY(EOMONTH(DATE($D$2,$AK$2,1),0)),31,"")</f>
        <v/>
      </c>
    </row>
    <row r="21" ht="17" customHeight="1">
      <c r="A21" s="10">
        <f>IF($C21="","",ROW()-20)</f>
        <v/>
      </c>
      <c r="B21" s="11" t="n"/>
      <c r="C21" s="12" t="n"/>
      <c r="D21" s="11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 ht="17" customHeight="1">
      <c r="A22" s="10">
        <f>IF($C22="","",ROW()-20)</f>
        <v/>
      </c>
      <c r="B22" s="11" t="n"/>
      <c r="C22" s="12" t="n"/>
      <c r="D22" s="11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 ht="17" customHeight="1">
      <c r="A23" s="10">
        <f>IF($C23="","",ROW()-20)</f>
        <v/>
      </c>
      <c r="B23" s="11" t="n"/>
      <c r="C23" s="12" t="n"/>
      <c r="D23" s="11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 ht="17" customHeight="1">
      <c r="A24" s="10">
        <f>IF($C24="","",ROW()-20)</f>
        <v/>
      </c>
      <c r="B24" s="11" t="n"/>
      <c r="C24" s="12" t="n"/>
      <c r="D24" s="11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 ht="17" customHeight="1">
      <c r="A25" s="10">
        <f>IF($C25="","",ROW()-20)</f>
        <v/>
      </c>
      <c r="B25" s="11" t="n"/>
      <c r="C25" s="12" t="n"/>
      <c r="D25" s="11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 ht="17" customHeight="1">
      <c r="A26" s="10">
        <f>IF($C26="","",ROW()-20)</f>
        <v/>
      </c>
      <c r="B26" s="11" t="n"/>
      <c r="C26" s="12" t="n"/>
      <c r="D26" s="11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 ht="17" customHeight="1">
      <c r="A27" s="10">
        <f>IF($C27="","",ROW()-20)</f>
        <v/>
      </c>
      <c r="B27" s="11" t="n"/>
      <c r="C27" s="12" t="n"/>
      <c r="D27" s="11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 ht="17" customHeight="1">
      <c r="A28" s="10">
        <f>IF($C28="","",ROW()-20)</f>
        <v/>
      </c>
      <c r="B28" s="11" t="n"/>
      <c r="C28" s="12" t="n"/>
      <c r="D28" s="11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 ht="17" customHeight="1">
      <c r="A29" s="10">
        <f>IF($C29="","",ROW()-20)</f>
        <v/>
      </c>
      <c r="B29" s="11" t="n"/>
      <c r="C29" s="12" t="n"/>
      <c r="D29" s="11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 ht="17" customHeight="1">
      <c r="A30" s="10">
        <f>IF($C30="","",ROW()-20)</f>
        <v/>
      </c>
      <c r="B30" s="11" t="n"/>
      <c r="C30" s="12" t="n"/>
      <c r="D30" s="11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 ht="17" customHeight="1">
      <c r="A31" s="10">
        <f>IF($C31="","",ROW()-20)</f>
        <v/>
      </c>
      <c r="B31" s="11" t="n"/>
      <c r="C31" s="12" t="n"/>
      <c r="D31" s="11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 ht="17" customHeight="1">
      <c r="A32" s="10">
        <f>IF($C32="","",ROW()-20)</f>
        <v/>
      </c>
      <c r="B32" s="11" t="n"/>
      <c r="C32" s="12" t="n"/>
      <c r="D32" s="11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 ht="17" customHeight="1">
      <c r="A33" s="15" t="inlineStr">
        <is>
          <t>CREW 3</t>
        </is>
      </c>
    </row>
    <row r="34" ht="13" customHeight="1">
      <c r="E34" s="7">
        <f>IF(1&lt;=DAY(EOMONTH(DATE($D$2,$AK$2,1),0)),TEXT(DATE($D$2,$AK$2,1),"ddd"),"")</f>
        <v/>
      </c>
      <c r="F34" s="7">
        <f>IF(2&lt;=DAY(EOMONTH(DATE($D$2,$AK$2,1),0)),TEXT(DATE($D$2,$AK$2,2),"ddd"),"")</f>
        <v/>
      </c>
      <c r="G34" s="7">
        <f>IF(3&lt;=DAY(EOMONTH(DATE($D$2,$AK$2,1),0)),TEXT(DATE($D$2,$AK$2,3),"ddd"),"")</f>
        <v/>
      </c>
      <c r="H34" s="7">
        <f>IF(4&lt;=DAY(EOMONTH(DATE($D$2,$AK$2,1),0)),TEXT(DATE($D$2,$AK$2,4),"ddd"),"")</f>
        <v/>
      </c>
      <c r="I34" s="7">
        <f>IF(5&lt;=DAY(EOMONTH(DATE($D$2,$AK$2,1),0)),TEXT(DATE($D$2,$AK$2,5),"ddd"),"")</f>
        <v/>
      </c>
      <c r="J34" s="7">
        <f>IF(6&lt;=DAY(EOMONTH(DATE($D$2,$AK$2,1),0)),TEXT(DATE($D$2,$AK$2,6),"ddd"),"")</f>
        <v/>
      </c>
      <c r="K34" s="7">
        <f>IF(7&lt;=DAY(EOMONTH(DATE($D$2,$AK$2,1),0)),TEXT(DATE($D$2,$AK$2,7),"ddd"),"")</f>
        <v/>
      </c>
      <c r="L34" s="7">
        <f>IF(8&lt;=DAY(EOMONTH(DATE($D$2,$AK$2,1),0)),TEXT(DATE($D$2,$AK$2,8),"ddd"),"")</f>
        <v/>
      </c>
      <c r="M34" s="7">
        <f>IF(9&lt;=DAY(EOMONTH(DATE($D$2,$AK$2,1),0)),TEXT(DATE($D$2,$AK$2,9),"ddd"),"")</f>
        <v/>
      </c>
      <c r="N34" s="7">
        <f>IF(10&lt;=DAY(EOMONTH(DATE($D$2,$AK$2,1),0)),TEXT(DATE($D$2,$AK$2,10),"ddd"),"")</f>
        <v/>
      </c>
      <c r="O34" s="7">
        <f>IF(11&lt;=DAY(EOMONTH(DATE($D$2,$AK$2,1),0)),TEXT(DATE($D$2,$AK$2,11),"ddd"),"")</f>
        <v/>
      </c>
      <c r="P34" s="7">
        <f>IF(12&lt;=DAY(EOMONTH(DATE($D$2,$AK$2,1),0)),TEXT(DATE($D$2,$AK$2,12),"ddd"),"")</f>
        <v/>
      </c>
      <c r="Q34" s="7">
        <f>IF(13&lt;=DAY(EOMONTH(DATE($D$2,$AK$2,1),0)),TEXT(DATE($D$2,$AK$2,13),"ddd"),"")</f>
        <v/>
      </c>
      <c r="R34" s="7">
        <f>IF(14&lt;=DAY(EOMONTH(DATE($D$2,$AK$2,1),0)),TEXT(DATE($D$2,$AK$2,14),"ddd"),"")</f>
        <v/>
      </c>
      <c r="S34" s="7">
        <f>IF(15&lt;=DAY(EOMONTH(DATE($D$2,$AK$2,1),0)),TEXT(DATE($D$2,$AK$2,15),"ddd"),"")</f>
        <v/>
      </c>
      <c r="T34" s="7">
        <f>IF(16&lt;=DAY(EOMONTH(DATE($D$2,$AK$2,1),0)),TEXT(DATE($D$2,$AK$2,16),"ddd"),"")</f>
        <v/>
      </c>
      <c r="U34" s="7">
        <f>IF(17&lt;=DAY(EOMONTH(DATE($D$2,$AK$2,1),0)),TEXT(DATE($D$2,$AK$2,17),"ddd"),"")</f>
        <v/>
      </c>
      <c r="V34" s="7">
        <f>IF(18&lt;=DAY(EOMONTH(DATE($D$2,$AK$2,1),0)),TEXT(DATE($D$2,$AK$2,18),"ddd"),"")</f>
        <v/>
      </c>
      <c r="W34" s="7">
        <f>IF(19&lt;=DAY(EOMONTH(DATE($D$2,$AK$2,1),0)),TEXT(DATE($D$2,$AK$2,19),"ddd"),"")</f>
        <v/>
      </c>
      <c r="X34" s="7">
        <f>IF(20&lt;=DAY(EOMONTH(DATE($D$2,$AK$2,1),0)),TEXT(DATE($D$2,$AK$2,20),"ddd"),"")</f>
        <v/>
      </c>
      <c r="Y34" s="7">
        <f>IF(21&lt;=DAY(EOMONTH(DATE($D$2,$AK$2,1),0)),TEXT(DATE($D$2,$AK$2,21),"ddd"),"")</f>
        <v/>
      </c>
      <c r="Z34" s="7">
        <f>IF(22&lt;=DAY(EOMONTH(DATE($D$2,$AK$2,1),0)),TEXT(DATE($D$2,$AK$2,22),"ddd"),"")</f>
        <v/>
      </c>
      <c r="AA34" s="7">
        <f>IF(23&lt;=DAY(EOMONTH(DATE($D$2,$AK$2,1),0)),TEXT(DATE($D$2,$AK$2,23),"ddd"),"")</f>
        <v/>
      </c>
      <c r="AB34" s="7">
        <f>IF(24&lt;=DAY(EOMONTH(DATE($D$2,$AK$2,1),0)),TEXT(DATE($D$2,$AK$2,24),"ddd"),"")</f>
        <v/>
      </c>
      <c r="AC34" s="7">
        <f>IF(25&lt;=DAY(EOMONTH(DATE($D$2,$AK$2,1),0)),TEXT(DATE($D$2,$AK$2,25),"ddd"),"")</f>
        <v/>
      </c>
      <c r="AD34" s="7">
        <f>IF(26&lt;=DAY(EOMONTH(DATE($D$2,$AK$2,1),0)),TEXT(DATE($D$2,$AK$2,26),"ddd"),"")</f>
        <v/>
      </c>
      <c r="AE34" s="7">
        <f>IF(27&lt;=DAY(EOMONTH(DATE($D$2,$AK$2,1),0)),TEXT(DATE($D$2,$AK$2,27),"ddd"),"")</f>
        <v/>
      </c>
      <c r="AF34" s="7">
        <f>IF(28&lt;=DAY(EOMONTH(DATE($D$2,$AK$2,1),0)),TEXT(DATE($D$2,$AK$2,28),"ddd"),"")</f>
        <v/>
      </c>
      <c r="AG34" s="7">
        <f>IF(29&lt;=DAY(EOMONTH(DATE($D$2,$AK$2,1),0)),TEXT(DATE($D$2,$AK$2,29),"ddd"),"")</f>
        <v/>
      </c>
      <c r="AH34" s="7">
        <f>IF(30&lt;=DAY(EOMONTH(DATE($D$2,$AK$2,1),0)),TEXT(DATE($D$2,$AK$2,30),"ddd"),"")</f>
        <v/>
      </c>
      <c r="AI34" s="7">
        <f>IF(31&lt;=DAY(EOMONTH(DATE($D$2,$AK$2,1),0)),TEXT(DATE($D$2,$AK$2,31),"ddd"),"")</f>
        <v/>
      </c>
    </row>
    <row r="35" ht="16" customHeight="1">
      <c r="A35" s="8" t="inlineStr">
        <is>
          <t>#</t>
        </is>
      </c>
      <c r="B35" s="8" t="inlineStr">
        <is>
          <t>PRN</t>
        </is>
      </c>
      <c r="C35" s="8" t="inlineStr">
        <is>
          <t>NAME</t>
        </is>
      </c>
      <c r="D35" s="8" t="inlineStr">
        <is>
          <t>Posn</t>
        </is>
      </c>
      <c r="E35" s="9">
        <f>IF(1&lt;=DAY(EOMONTH(DATE($D$2,$AK$2,1),0)),1,"")</f>
        <v/>
      </c>
      <c r="F35" s="9">
        <f>IF(2&lt;=DAY(EOMONTH(DATE($D$2,$AK$2,1),0)),2,"")</f>
        <v/>
      </c>
      <c r="G35" s="9">
        <f>IF(3&lt;=DAY(EOMONTH(DATE($D$2,$AK$2,1),0)),3,"")</f>
        <v/>
      </c>
      <c r="H35" s="9">
        <f>IF(4&lt;=DAY(EOMONTH(DATE($D$2,$AK$2,1),0)),4,"")</f>
        <v/>
      </c>
      <c r="I35" s="9">
        <f>IF(5&lt;=DAY(EOMONTH(DATE($D$2,$AK$2,1),0)),5,"")</f>
        <v/>
      </c>
      <c r="J35" s="9">
        <f>IF(6&lt;=DAY(EOMONTH(DATE($D$2,$AK$2,1),0)),6,"")</f>
        <v/>
      </c>
      <c r="K35" s="9">
        <f>IF(7&lt;=DAY(EOMONTH(DATE($D$2,$AK$2,1),0)),7,"")</f>
        <v/>
      </c>
      <c r="L35" s="9">
        <f>IF(8&lt;=DAY(EOMONTH(DATE($D$2,$AK$2,1),0)),8,"")</f>
        <v/>
      </c>
      <c r="M35" s="9">
        <f>IF(9&lt;=DAY(EOMONTH(DATE($D$2,$AK$2,1),0)),9,"")</f>
        <v/>
      </c>
      <c r="N35" s="9">
        <f>IF(10&lt;=DAY(EOMONTH(DATE($D$2,$AK$2,1),0)),10,"")</f>
        <v/>
      </c>
      <c r="O35" s="9">
        <f>IF(11&lt;=DAY(EOMONTH(DATE($D$2,$AK$2,1),0)),11,"")</f>
        <v/>
      </c>
      <c r="P35" s="9">
        <f>IF(12&lt;=DAY(EOMONTH(DATE($D$2,$AK$2,1),0)),12,"")</f>
        <v/>
      </c>
      <c r="Q35" s="9">
        <f>IF(13&lt;=DAY(EOMONTH(DATE($D$2,$AK$2,1),0)),13,"")</f>
        <v/>
      </c>
      <c r="R35" s="9">
        <f>IF(14&lt;=DAY(EOMONTH(DATE($D$2,$AK$2,1),0)),14,"")</f>
        <v/>
      </c>
      <c r="S35" s="9">
        <f>IF(15&lt;=DAY(EOMONTH(DATE($D$2,$AK$2,1),0)),15,"")</f>
        <v/>
      </c>
      <c r="T35" s="9">
        <f>IF(16&lt;=DAY(EOMONTH(DATE($D$2,$AK$2,1),0)),16,"")</f>
        <v/>
      </c>
      <c r="U35" s="9">
        <f>IF(17&lt;=DAY(EOMONTH(DATE($D$2,$AK$2,1),0)),17,"")</f>
        <v/>
      </c>
      <c r="V35" s="9">
        <f>IF(18&lt;=DAY(EOMONTH(DATE($D$2,$AK$2,1),0)),18,"")</f>
        <v/>
      </c>
      <c r="W35" s="9">
        <f>IF(19&lt;=DAY(EOMONTH(DATE($D$2,$AK$2,1),0)),19,"")</f>
        <v/>
      </c>
      <c r="X35" s="9">
        <f>IF(20&lt;=DAY(EOMONTH(DATE($D$2,$AK$2,1),0)),20,"")</f>
        <v/>
      </c>
      <c r="Y35" s="9">
        <f>IF(21&lt;=DAY(EOMONTH(DATE($D$2,$AK$2,1),0)),21,"")</f>
        <v/>
      </c>
      <c r="Z35" s="9">
        <f>IF(22&lt;=DAY(EOMONTH(DATE($D$2,$AK$2,1),0)),22,"")</f>
        <v/>
      </c>
      <c r="AA35" s="9">
        <f>IF(23&lt;=DAY(EOMONTH(DATE($D$2,$AK$2,1),0)),23,"")</f>
        <v/>
      </c>
      <c r="AB35" s="9">
        <f>IF(24&lt;=DAY(EOMONTH(DATE($D$2,$AK$2,1),0)),24,"")</f>
        <v/>
      </c>
      <c r="AC35" s="9">
        <f>IF(25&lt;=DAY(EOMONTH(DATE($D$2,$AK$2,1),0)),25,"")</f>
        <v/>
      </c>
      <c r="AD35" s="9">
        <f>IF(26&lt;=DAY(EOMONTH(DATE($D$2,$AK$2,1),0)),26,"")</f>
        <v/>
      </c>
      <c r="AE35" s="9">
        <f>IF(27&lt;=DAY(EOMONTH(DATE($D$2,$AK$2,1),0)),27,"")</f>
        <v/>
      </c>
      <c r="AF35" s="9">
        <f>IF(28&lt;=DAY(EOMONTH(DATE($D$2,$AK$2,1),0)),28,"")</f>
        <v/>
      </c>
      <c r="AG35" s="9">
        <f>IF(29&lt;=DAY(EOMONTH(DATE($D$2,$AK$2,1),0)),29,"")</f>
        <v/>
      </c>
      <c r="AH35" s="9">
        <f>IF(30&lt;=DAY(EOMONTH(DATE($D$2,$AK$2,1),0)),30,"")</f>
        <v/>
      </c>
      <c r="AI35" s="9">
        <f>IF(31&lt;=DAY(EOMONTH(DATE($D$2,$AK$2,1),0)),31,"")</f>
        <v/>
      </c>
    </row>
    <row r="36" ht="17" customHeight="1">
      <c r="A36" s="10">
        <f>IF($C36="","",ROW()-35)</f>
        <v/>
      </c>
      <c r="B36" s="11" t="n"/>
      <c r="C36" s="12" t="n"/>
      <c r="D36" s="11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</row>
    <row r="37" ht="17" customHeight="1">
      <c r="A37" s="10">
        <f>IF($C37="","",ROW()-35)</f>
        <v/>
      </c>
      <c r="B37" s="11" t="n"/>
      <c r="C37" s="12" t="n"/>
      <c r="D37" s="11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</row>
    <row r="38" ht="17" customHeight="1">
      <c r="A38" s="10">
        <f>IF($C38="","",ROW()-35)</f>
        <v/>
      </c>
      <c r="B38" s="11" t="n"/>
      <c r="C38" s="12" t="n"/>
      <c r="D38" s="11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</row>
    <row r="39" ht="17" customHeight="1">
      <c r="A39" s="10">
        <f>IF($C39="","",ROW()-35)</f>
        <v/>
      </c>
      <c r="B39" s="11" t="n"/>
      <c r="C39" s="12" t="n"/>
      <c r="D39" s="11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 ht="17" customHeight="1">
      <c r="A40" s="10">
        <f>IF($C40="","",ROW()-35)</f>
        <v/>
      </c>
      <c r="B40" s="11" t="n"/>
      <c r="C40" s="12" t="n"/>
      <c r="D40" s="11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 ht="17" customHeight="1">
      <c r="A41" s="10">
        <f>IF($C41="","",ROW()-35)</f>
        <v/>
      </c>
      <c r="B41" s="11" t="n"/>
      <c r="C41" s="12" t="n"/>
      <c r="D41" s="11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 ht="17" customHeight="1">
      <c r="A42" s="10">
        <f>IF($C42="","",ROW()-35)</f>
        <v/>
      </c>
      <c r="B42" s="11" t="n"/>
      <c r="C42" s="12" t="n"/>
      <c r="D42" s="11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 ht="17" customHeight="1">
      <c r="A43" s="10">
        <f>IF($C43="","",ROW()-35)</f>
        <v/>
      </c>
      <c r="B43" s="11" t="n"/>
      <c r="C43" s="12" t="n"/>
      <c r="D43" s="11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 ht="17" customHeight="1">
      <c r="A44" s="10">
        <f>IF($C44="","",ROW()-35)</f>
        <v/>
      </c>
      <c r="B44" s="11" t="n"/>
      <c r="C44" s="12" t="n"/>
      <c r="D44" s="11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 ht="17" customHeight="1">
      <c r="A45" s="10">
        <f>IF($C45="","",ROW()-35)</f>
        <v/>
      </c>
      <c r="B45" s="11" t="n"/>
      <c r="C45" s="12" t="n"/>
      <c r="D45" s="11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 ht="17" customHeight="1">
      <c r="A46" s="10">
        <f>IF($C46="","",ROW()-35)</f>
        <v/>
      </c>
      <c r="B46" s="11" t="n"/>
      <c r="C46" s="12" t="n"/>
      <c r="D46" s="11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 ht="17" customHeight="1">
      <c r="A47" s="10">
        <f>IF($C47="","",ROW()-35)</f>
        <v/>
      </c>
      <c r="B47" s="11" t="n"/>
      <c r="C47" s="12" t="n"/>
      <c r="D47" s="11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 ht="17" customHeight="1">
      <c r="A48" s="16" t="inlineStr">
        <is>
          <t>SPECIAL SHIFTING</t>
        </is>
      </c>
    </row>
    <row r="49" ht="13" customHeight="1">
      <c r="E49" s="7">
        <f>IF(1&lt;=DAY(EOMONTH(DATE($D$2,$AK$2,1),0)),TEXT(DATE($D$2,$AK$2,1),"ddd"),"")</f>
        <v/>
      </c>
      <c r="F49" s="7">
        <f>IF(2&lt;=DAY(EOMONTH(DATE($D$2,$AK$2,1),0)),TEXT(DATE($D$2,$AK$2,2),"ddd"),"")</f>
        <v/>
      </c>
      <c r="G49" s="7">
        <f>IF(3&lt;=DAY(EOMONTH(DATE($D$2,$AK$2,1),0)),TEXT(DATE($D$2,$AK$2,3),"ddd"),"")</f>
        <v/>
      </c>
      <c r="H49" s="7">
        <f>IF(4&lt;=DAY(EOMONTH(DATE($D$2,$AK$2,1),0)),TEXT(DATE($D$2,$AK$2,4),"ddd"),"")</f>
        <v/>
      </c>
      <c r="I49" s="7">
        <f>IF(5&lt;=DAY(EOMONTH(DATE($D$2,$AK$2,1),0)),TEXT(DATE($D$2,$AK$2,5),"ddd"),"")</f>
        <v/>
      </c>
      <c r="J49" s="7">
        <f>IF(6&lt;=DAY(EOMONTH(DATE($D$2,$AK$2,1),0)),TEXT(DATE($D$2,$AK$2,6),"ddd"),"")</f>
        <v/>
      </c>
      <c r="K49" s="7">
        <f>IF(7&lt;=DAY(EOMONTH(DATE($D$2,$AK$2,1),0)),TEXT(DATE($D$2,$AK$2,7),"ddd"),"")</f>
        <v/>
      </c>
      <c r="L49" s="7">
        <f>IF(8&lt;=DAY(EOMONTH(DATE($D$2,$AK$2,1),0)),TEXT(DATE($D$2,$AK$2,8),"ddd"),"")</f>
        <v/>
      </c>
      <c r="M49" s="7">
        <f>IF(9&lt;=DAY(EOMONTH(DATE($D$2,$AK$2,1),0)),TEXT(DATE($D$2,$AK$2,9),"ddd"),"")</f>
        <v/>
      </c>
      <c r="N49" s="7">
        <f>IF(10&lt;=DAY(EOMONTH(DATE($D$2,$AK$2,1),0)),TEXT(DATE($D$2,$AK$2,10),"ddd"),"")</f>
        <v/>
      </c>
      <c r="O49" s="7">
        <f>IF(11&lt;=DAY(EOMONTH(DATE($D$2,$AK$2,1),0)),TEXT(DATE($D$2,$AK$2,11),"ddd"),"")</f>
        <v/>
      </c>
      <c r="P49" s="7">
        <f>IF(12&lt;=DAY(EOMONTH(DATE($D$2,$AK$2,1),0)),TEXT(DATE($D$2,$AK$2,12),"ddd"),"")</f>
        <v/>
      </c>
      <c r="Q49" s="7">
        <f>IF(13&lt;=DAY(EOMONTH(DATE($D$2,$AK$2,1),0)),TEXT(DATE($D$2,$AK$2,13),"ddd"),"")</f>
        <v/>
      </c>
      <c r="R49" s="7">
        <f>IF(14&lt;=DAY(EOMONTH(DATE($D$2,$AK$2,1),0)),TEXT(DATE($D$2,$AK$2,14),"ddd"),"")</f>
        <v/>
      </c>
      <c r="S49" s="7">
        <f>IF(15&lt;=DAY(EOMONTH(DATE($D$2,$AK$2,1),0)),TEXT(DATE($D$2,$AK$2,15),"ddd"),"")</f>
        <v/>
      </c>
      <c r="T49" s="7">
        <f>IF(16&lt;=DAY(EOMONTH(DATE($D$2,$AK$2,1),0)),TEXT(DATE($D$2,$AK$2,16),"ddd"),"")</f>
        <v/>
      </c>
      <c r="U49" s="7">
        <f>IF(17&lt;=DAY(EOMONTH(DATE($D$2,$AK$2,1),0)),TEXT(DATE($D$2,$AK$2,17),"ddd"),"")</f>
        <v/>
      </c>
      <c r="V49" s="7">
        <f>IF(18&lt;=DAY(EOMONTH(DATE($D$2,$AK$2,1),0)),TEXT(DATE($D$2,$AK$2,18),"ddd"),"")</f>
        <v/>
      </c>
      <c r="W49" s="7">
        <f>IF(19&lt;=DAY(EOMONTH(DATE($D$2,$AK$2,1),0)),TEXT(DATE($D$2,$AK$2,19),"ddd"),"")</f>
        <v/>
      </c>
      <c r="X49" s="7">
        <f>IF(20&lt;=DAY(EOMONTH(DATE($D$2,$AK$2,1),0)),TEXT(DATE($D$2,$AK$2,20),"ddd"),"")</f>
        <v/>
      </c>
      <c r="Y49" s="7">
        <f>IF(21&lt;=DAY(EOMONTH(DATE($D$2,$AK$2,1),0)),TEXT(DATE($D$2,$AK$2,21),"ddd"),"")</f>
        <v/>
      </c>
      <c r="Z49" s="7">
        <f>IF(22&lt;=DAY(EOMONTH(DATE($D$2,$AK$2,1),0)),TEXT(DATE($D$2,$AK$2,22),"ddd"),"")</f>
        <v/>
      </c>
      <c r="AA49" s="7">
        <f>IF(23&lt;=DAY(EOMONTH(DATE($D$2,$AK$2,1),0)),TEXT(DATE($D$2,$AK$2,23),"ddd"),"")</f>
        <v/>
      </c>
      <c r="AB49" s="7">
        <f>IF(24&lt;=DAY(EOMONTH(DATE($D$2,$AK$2,1),0)),TEXT(DATE($D$2,$AK$2,24),"ddd"),"")</f>
        <v/>
      </c>
      <c r="AC49" s="7">
        <f>IF(25&lt;=DAY(EOMONTH(DATE($D$2,$AK$2,1),0)),TEXT(DATE($D$2,$AK$2,25),"ddd"),"")</f>
        <v/>
      </c>
      <c r="AD49" s="7">
        <f>IF(26&lt;=DAY(EOMONTH(DATE($D$2,$AK$2,1),0)),TEXT(DATE($D$2,$AK$2,26),"ddd"),"")</f>
        <v/>
      </c>
      <c r="AE49" s="7">
        <f>IF(27&lt;=DAY(EOMONTH(DATE($D$2,$AK$2,1),0)),TEXT(DATE($D$2,$AK$2,27),"ddd"),"")</f>
        <v/>
      </c>
      <c r="AF49" s="7">
        <f>IF(28&lt;=DAY(EOMONTH(DATE($D$2,$AK$2,1),0)),TEXT(DATE($D$2,$AK$2,28),"ddd"),"")</f>
        <v/>
      </c>
      <c r="AG49" s="7">
        <f>IF(29&lt;=DAY(EOMONTH(DATE($D$2,$AK$2,1),0)),TEXT(DATE($D$2,$AK$2,29),"ddd"),"")</f>
        <v/>
      </c>
      <c r="AH49" s="7">
        <f>IF(30&lt;=DAY(EOMONTH(DATE($D$2,$AK$2,1),0)),TEXT(DATE($D$2,$AK$2,30),"ddd"),"")</f>
        <v/>
      </c>
      <c r="AI49" s="7">
        <f>IF(31&lt;=DAY(EOMONTH(DATE($D$2,$AK$2,1),0)),TEXT(DATE($D$2,$AK$2,31),"ddd"),"")</f>
        <v/>
      </c>
    </row>
    <row r="50" ht="16" customHeight="1">
      <c r="A50" s="8" t="inlineStr">
        <is>
          <t>#</t>
        </is>
      </c>
      <c r="B50" s="8" t="inlineStr">
        <is>
          <t>PRN</t>
        </is>
      </c>
      <c r="C50" s="8" t="inlineStr">
        <is>
          <t>NAME</t>
        </is>
      </c>
      <c r="D50" s="8" t="inlineStr">
        <is>
          <t>Posn</t>
        </is>
      </c>
      <c r="E50" s="9">
        <f>IF(1&lt;=DAY(EOMONTH(DATE($D$2,$AK$2,1),0)),1,"")</f>
        <v/>
      </c>
      <c r="F50" s="9">
        <f>IF(2&lt;=DAY(EOMONTH(DATE($D$2,$AK$2,1),0)),2,"")</f>
        <v/>
      </c>
      <c r="G50" s="9">
        <f>IF(3&lt;=DAY(EOMONTH(DATE($D$2,$AK$2,1),0)),3,"")</f>
        <v/>
      </c>
      <c r="H50" s="9">
        <f>IF(4&lt;=DAY(EOMONTH(DATE($D$2,$AK$2,1),0)),4,"")</f>
        <v/>
      </c>
      <c r="I50" s="9">
        <f>IF(5&lt;=DAY(EOMONTH(DATE($D$2,$AK$2,1),0)),5,"")</f>
        <v/>
      </c>
      <c r="J50" s="9">
        <f>IF(6&lt;=DAY(EOMONTH(DATE($D$2,$AK$2,1),0)),6,"")</f>
        <v/>
      </c>
      <c r="K50" s="9">
        <f>IF(7&lt;=DAY(EOMONTH(DATE($D$2,$AK$2,1),0)),7,"")</f>
        <v/>
      </c>
      <c r="L50" s="9">
        <f>IF(8&lt;=DAY(EOMONTH(DATE($D$2,$AK$2,1),0)),8,"")</f>
        <v/>
      </c>
      <c r="M50" s="9">
        <f>IF(9&lt;=DAY(EOMONTH(DATE($D$2,$AK$2,1),0)),9,"")</f>
        <v/>
      </c>
      <c r="N50" s="9">
        <f>IF(10&lt;=DAY(EOMONTH(DATE($D$2,$AK$2,1),0)),10,"")</f>
        <v/>
      </c>
      <c r="O50" s="9">
        <f>IF(11&lt;=DAY(EOMONTH(DATE($D$2,$AK$2,1),0)),11,"")</f>
        <v/>
      </c>
      <c r="P50" s="9">
        <f>IF(12&lt;=DAY(EOMONTH(DATE($D$2,$AK$2,1),0)),12,"")</f>
        <v/>
      </c>
      <c r="Q50" s="9">
        <f>IF(13&lt;=DAY(EOMONTH(DATE($D$2,$AK$2,1),0)),13,"")</f>
        <v/>
      </c>
      <c r="R50" s="9">
        <f>IF(14&lt;=DAY(EOMONTH(DATE($D$2,$AK$2,1),0)),14,"")</f>
        <v/>
      </c>
      <c r="S50" s="9">
        <f>IF(15&lt;=DAY(EOMONTH(DATE($D$2,$AK$2,1),0)),15,"")</f>
        <v/>
      </c>
      <c r="T50" s="9">
        <f>IF(16&lt;=DAY(EOMONTH(DATE($D$2,$AK$2,1),0)),16,"")</f>
        <v/>
      </c>
      <c r="U50" s="9">
        <f>IF(17&lt;=DAY(EOMONTH(DATE($D$2,$AK$2,1),0)),17,"")</f>
        <v/>
      </c>
      <c r="V50" s="9">
        <f>IF(18&lt;=DAY(EOMONTH(DATE($D$2,$AK$2,1),0)),18,"")</f>
        <v/>
      </c>
      <c r="W50" s="9">
        <f>IF(19&lt;=DAY(EOMONTH(DATE($D$2,$AK$2,1),0)),19,"")</f>
        <v/>
      </c>
      <c r="X50" s="9">
        <f>IF(20&lt;=DAY(EOMONTH(DATE($D$2,$AK$2,1),0)),20,"")</f>
        <v/>
      </c>
      <c r="Y50" s="9">
        <f>IF(21&lt;=DAY(EOMONTH(DATE($D$2,$AK$2,1),0)),21,"")</f>
        <v/>
      </c>
      <c r="Z50" s="9">
        <f>IF(22&lt;=DAY(EOMONTH(DATE($D$2,$AK$2,1),0)),22,"")</f>
        <v/>
      </c>
      <c r="AA50" s="9">
        <f>IF(23&lt;=DAY(EOMONTH(DATE($D$2,$AK$2,1),0)),23,"")</f>
        <v/>
      </c>
      <c r="AB50" s="9">
        <f>IF(24&lt;=DAY(EOMONTH(DATE($D$2,$AK$2,1),0)),24,"")</f>
        <v/>
      </c>
      <c r="AC50" s="9">
        <f>IF(25&lt;=DAY(EOMONTH(DATE($D$2,$AK$2,1),0)),25,"")</f>
        <v/>
      </c>
      <c r="AD50" s="9">
        <f>IF(26&lt;=DAY(EOMONTH(DATE($D$2,$AK$2,1),0)),26,"")</f>
        <v/>
      </c>
      <c r="AE50" s="9">
        <f>IF(27&lt;=DAY(EOMONTH(DATE($D$2,$AK$2,1),0)),27,"")</f>
        <v/>
      </c>
      <c r="AF50" s="9">
        <f>IF(28&lt;=DAY(EOMONTH(DATE($D$2,$AK$2,1),0)),28,"")</f>
        <v/>
      </c>
      <c r="AG50" s="9">
        <f>IF(29&lt;=DAY(EOMONTH(DATE($D$2,$AK$2,1),0)),29,"")</f>
        <v/>
      </c>
      <c r="AH50" s="9">
        <f>IF(30&lt;=DAY(EOMONTH(DATE($D$2,$AK$2,1),0)),30,"")</f>
        <v/>
      </c>
      <c r="AI50" s="9">
        <f>IF(31&lt;=DAY(EOMONTH(DATE($D$2,$AK$2,1),0)),31,"")</f>
        <v/>
      </c>
    </row>
    <row r="51" ht="17" customHeight="1">
      <c r="A51" s="10">
        <f>IF($C51="","",ROW()-50)</f>
        <v/>
      </c>
      <c r="B51" s="11" t="n"/>
      <c r="C51" s="12" t="n"/>
      <c r="D51" s="11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 ht="17" customHeight="1">
      <c r="A52" s="10">
        <f>IF($C52="","",ROW()-50)</f>
        <v/>
      </c>
      <c r="B52" s="11" t="n"/>
      <c r="C52" s="12" t="n"/>
      <c r="D52" s="11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 ht="17" customHeight="1">
      <c r="A53" s="10">
        <f>IF($C53="","",ROW()-50)</f>
        <v/>
      </c>
      <c r="B53" s="11" t="n"/>
      <c r="C53" s="12" t="n"/>
      <c r="D53" s="11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 ht="17" customHeight="1">
      <c r="A54" s="10">
        <f>IF($C54="","",ROW()-50)</f>
        <v/>
      </c>
      <c r="B54" s="11" t="n"/>
      <c r="C54" s="12" t="n"/>
      <c r="D54" s="11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 ht="17" customHeight="1">
      <c r="A55" s="10">
        <f>IF($C55="","",ROW()-50)</f>
        <v/>
      </c>
      <c r="B55" s="11" t="n"/>
      <c r="C55" s="12" t="n"/>
      <c r="D55" s="11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7">
      <c r="A57" s="17" t="inlineStr">
        <is>
          <t>TOTAL DAILY
CREWS MANPOWER</t>
        </is>
      </c>
      <c r="B57" s="18" t="n"/>
      <c r="C57" s="18" t="n"/>
      <c r="D57" s="8" t="inlineStr">
        <is>
          <t>SHIFT</t>
        </is>
      </c>
      <c r="E57" s="7">
        <f>E5</f>
        <v/>
      </c>
      <c r="F57" s="7">
        <f>F5</f>
        <v/>
      </c>
      <c r="G57" s="7">
        <f>G5</f>
        <v/>
      </c>
      <c r="H57" s="7">
        <f>H5</f>
        <v/>
      </c>
      <c r="I57" s="7">
        <f>I5</f>
        <v/>
      </c>
      <c r="J57" s="7">
        <f>J5</f>
        <v/>
      </c>
      <c r="K57" s="7">
        <f>K5</f>
        <v/>
      </c>
      <c r="L57" s="7">
        <f>L5</f>
        <v/>
      </c>
      <c r="M57" s="7">
        <f>M5</f>
        <v/>
      </c>
      <c r="N57" s="7">
        <f>N5</f>
        <v/>
      </c>
      <c r="O57" s="7">
        <f>O5</f>
        <v/>
      </c>
      <c r="P57" s="7">
        <f>P5</f>
        <v/>
      </c>
      <c r="Q57" s="7">
        <f>Q5</f>
        <v/>
      </c>
      <c r="R57" s="7">
        <f>R5</f>
        <v/>
      </c>
      <c r="S57" s="7">
        <f>S5</f>
        <v/>
      </c>
      <c r="T57" s="7">
        <f>T5</f>
        <v/>
      </c>
      <c r="U57" s="7">
        <f>U5</f>
        <v/>
      </c>
      <c r="V57" s="7">
        <f>V5</f>
        <v/>
      </c>
      <c r="W57" s="7">
        <f>W5</f>
        <v/>
      </c>
      <c r="X57" s="7">
        <f>X5</f>
        <v/>
      </c>
      <c r="Y57" s="7">
        <f>Y5</f>
        <v/>
      </c>
      <c r="Z57" s="7">
        <f>Z5</f>
        <v/>
      </c>
      <c r="AA57" s="7">
        <f>AA5</f>
        <v/>
      </c>
      <c r="AB57" s="7">
        <f>AB5</f>
        <v/>
      </c>
      <c r="AC57" s="7">
        <f>AC5</f>
        <v/>
      </c>
      <c r="AD57" s="7">
        <f>AD5</f>
        <v/>
      </c>
      <c r="AE57" s="7">
        <f>AE5</f>
        <v/>
      </c>
      <c r="AF57" s="7">
        <f>AF5</f>
        <v/>
      </c>
      <c r="AG57" s="7">
        <f>AG5</f>
        <v/>
      </c>
      <c r="AH57" s="7">
        <f>AH5</f>
        <v/>
      </c>
      <c r="AI57" s="7">
        <f>AI5</f>
        <v/>
      </c>
    </row>
    <row r="58" ht="15" customHeight="1">
      <c r="A58" s="18" t="n"/>
      <c r="B58" s="18" t="n"/>
      <c r="C58" s="18" t="n"/>
      <c r="D58" s="19" t="inlineStr">
        <is>
          <t>D</t>
        </is>
      </c>
      <c r="E58" s="11">
        <f>IF(E$5="","",COUNTIF(E6:E55,"D"))</f>
        <v/>
      </c>
      <c r="F58" s="11">
        <f>IF(F$5="","",COUNTIF(F6:F55,"D"))</f>
        <v/>
      </c>
      <c r="G58" s="11">
        <f>IF(G$5="","",COUNTIF(G6:G55,"D"))</f>
        <v/>
      </c>
      <c r="H58" s="11">
        <f>IF(H$5="","",COUNTIF(H6:H55,"D"))</f>
        <v/>
      </c>
      <c r="I58" s="11">
        <f>IF(I$5="","",COUNTIF(I6:I55,"D"))</f>
        <v/>
      </c>
      <c r="J58" s="11">
        <f>IF(J$5="","",COUNTIF(J6:J55,"D"))</f>
        <v/>
      </c>
      <c r="K58" s="11">
        <f>IF(K$5="","",COUNTIF(K6:K55,"D"))</f>
        <v/>
      </c>
      <c r="L58" s="11">
        <f>IF(L$5="","",COUNTIF(L6:L55,"D"))</f>
        <v/>
      </c>
      <c r="M58" s="11">
        <f>IF(M$5="","",COUNTIF(M6:M55,"D"))</f>
        <v/>
      </c>
      <c r="N58" s="11">
        <f>IF(N$5="","",COUNTIF(N6:N55,"D"))</f>
        <v/>
      </c>
      <c r="O58" s="11">
        <f>IF(O$5="","",COUNTIF(O6:O55,"D"))</f>
        <v/>
      </c>
      <c r="P58" s="11">
        <f>IF(P$5="","",COUNTIF(P6:P55,"D"))</f>
        <v/>
      </c>
      <c r="Q58" s="11">
        <f>IF(Q$5="","",COUNTIF(Q6:Q55,"D"))</f>
        <v/>
      </c>
      <c r="R58" s="11">
        <f>IF(R$5="","",COUNTIF(R6:R55,"D"))</f>
        <v/>
      </c>
      <c r="S58" s="11">
        <f>IF(S$5="","",COUNTIF(S6:S55,"D"))</f>
        <v/>
      </c>
      <c r="T58" s="11">
        <f>IF(T$5="","",COUNTIF(T6:T55,"D"))</f>
        <v/>
      </c>
      <c r="U58" s="11">
        <f>IF(U$5="","",COUNTIF(U6:U55,"D"))</f>
        <v/>
      </c>
      <c r="V58" s="11">
        <f>IF(V$5="","",COUNTIF(V6:V55,"D"))</f>
        <v/>
      </c>
      <c r="W58" s="11">
        <f>IF(W$5="","",COUNTIF(W6:W55,"D"))</f>
        <v/>
      </c>
      <c r="X58" s="11">
        <f>IF(X$5="","",COUNTIF(X6:X55,"D"))</f>
        <v/>
      </c>
      <c r="Y58" s="11">
        <f>IF(Y$5="","",COUNTIF(Y6:Y55,"D"))</f>
        <v/>
      </c>
      <c r="Z58" s="11">
        <f>IF(Z$5="","",COUNTIF(Z6:Z55,"D"))</f>
        <v/>
      </c>
      <c r="AA58" s="11">
        <f>IF(AA$5="","",COUNTIF(AA6:AA55,"D"))</f>
        <v/>
      </c>
      <c r="AB58" s="11">
        <f>IF(AB$5="","",COUNTIF(AB6:AB55,"D"))</f>
        <v/>
      </c>
      <c r="AC58" s="11">
        <f>IF(AC$5="","",COUNTIF(AC6:AC55,"D"))</f>
        <v/>
      </c>
      <c r="AD58" s="11">
        <f>IF(AD$5="","",COUNTIF(AD6:AD55,"D"))</f>
        <v/>
      </c>
      <c r="AE58" s="11">
        <f>IF(AE$5="","",COUNTIF(AE6:AE55,"D"))</f>
        <v/>
      </c>
      <c r="AF58" s="11">
        <f>IF(AF$5="","",COUNTIF(AF6:AF55,"D"))</f>
        <v/>
      </c>
      <c r="AG58" s="11">
        <f>IF(AG$5="","",COUNTIF(AG6:AG55,"D"))</f>
        <v/>
      </c>
      <c r="AH58" s="11">
        <f>IF(AH$5="","",COUNTIF(AH6:AH55,"D"))</f>
        <v/>
      </c>
      <c r="AI58" s="11">
        <f>IF(AI$5="","",COUNTIF(AI6:AI55,"D"))</f>
        <v/>
      </c>
    </row>
    <row r="59" ht="15" customHeight="1">
      <c r="A59" s="18" t="n"/>
      <c r="B59" s="18" t="n"/>
      <c r="C59" s="18" t="n"/>
      <c r="D59" s="20" t="inlineStr">
        <is>
          <t>T</t>
        </is>
      </c>
      <c r="E59" s="11">
        <f>IF(E$5="","",COUNTIF(E6:E55,"T"))</f>
        <v/>
      </c>
      <c r="F59" s="11">
        <f>IF(F$5="","",COUNTIF(F6:F55,"T"))</f>
        <v/>
      </c>
      <c r="G59" s="11">
        <f>IF(G$5="","",COUNTIF(G6:G55,"T"))</f>
        <v/>
      </c>
      <c r="H59" s="11">
        <f>IF(H$5="","",COUNTIF(H6:H55,"T"))</f>
        <v/>
      </c>
      <c r="I59" s="11">
        <f>IF(I$5="","",COUNTIF(I6:I55,"T"))</f>
        <v/>
      </c>
      <c r="J59" s="11">
        <f>IF(J$5="","",COUNTIF(J6:J55,"T"))</f>
        <v/>
      </c>
      <c r="K59" s="11">
        <f>IF(K$5="","",COUNTIF(K6:K55,"T"))</f>
        <v/>
      </c>
      <c r="L59" s="11">
        <f>IF(L$5="","",COUNTIF(L6:L55,"T"))</f>
        <v/>
      </c>
      <c r="M59" s="11">
        <f>IF(M$5="","",COUNTIF(M6:M55,"T"))</f>
        <v/>
      </c>
      <c r="N59" s="11">
        <f>IF(N$5="","",COUNTIF(N6:N55,"T"))</f>
        <v/>
      </c>
      <c r="O59" s="11">
        <f>IF(O$5="","",COUNTIF(O6:O55,"T"))</f>
        <v/>
      </c>
      <c r="P59" s="11">
        <f>IF(P$5="","",COUNTIF(P6:P55,"T"))</f>
        <v/>
      </c>
      <c r="Q59" s="11">
        <f>IF(Q$5="","",COUNTIF(Q6:Q55,"T"))</f>
        <v/>
      </c>
      <c r="R59" s="11">
        <f>IF(R$5="","",COUNTIF(R6:R55,"T"))</f>
        <v/>
      </c>
      <c r="S59" s="11">
        <f>IF(S$5="","",COUNTIF(S6:S55,"T"))</f>
        <v/>
      </c>
      <c r="T59" s="11">
        <f>IF(T$5="","",COUNTIF(T6:T55,"T"))</f>
        <v/>
      </c>
      <c r="U59" s="11">
        <f>IF(U$5="","",COUNTIF(U6:U55,"T"))</f>
        <v/>
      </c>
      <c r="V59" s="11">
        <f>IF(V$5="","",COUNTIF(V6:V55,"T"))</f>
        <v/>
      </c>
      <c r="W59" s="11">
        <f>IF(W$5="","",COUNTIF(W6:W55,"T"))</f>
        <v/>
      </c>
      <c r="X59" s="11">
        <f>IF(X$5="","",COUNTIF(X6:X55,"T"))</f>
        <v/>
      </c>
      <c r="Y59" s="11">
        <f>IF(Y$5="","",COUNTIF(Y6:Y55,"T"))</f>
        <v/>
      </c>
      <c r="Z59" s="11">
        <f>IF(Z$5="","",COUNTIF(Z6:Z55,"T"))</f>
        <v/>
      </c>
      <c r="AA59" s="11">
        <f>IF(AA$5="","",COUNTIF(AA6:AA55,"T"))</f>
        <v/>
      </c>
      <c r="AB59" s="11">
        <f>IF(AB$5="","",COUNTIF(AB6:AB55,"T"))</f>
        <v/>
      </c>
      <c r="AC59" s="11">
        <f>IF(AC$5="","",COUNTIF(AC6:AC55,"T"))</f>
        <v/>
      </c>
      <c r="AD59" s="11">
        <f>IF(AD$5="","",COUNTIF(AD6:AD55,"T"))</f>
        <v/>
      </c>
      <c r="AE59" s="11">
        <f>IF(AE$5="","",COUNTIF(AE6:AE55,"T"))</f>
        <v/>
      </c>
      <c r="AF59" s="11">
        <f>IF(AF$5="","",COUNTIF(AF6:AF55,"T"))</f>
        <v/>
      </c>
      <c r="AG59" s="11">
        <f>IF(AG$5="","",COUNTIF(AG6:AG55,"T"))</f>
        <v/>
      </c>
      <c r="AH59" s="11">
        <f>IF(AH$5="","",COUNTIF(AH6:AH55,"T"))</f>
        <v/>
      </c>
      <c r="AI59" s="11">
        <f>IF(AI$5="","",COUNTIF(AI6:AI55,"T"))</f>
        <v/>
      </c>
    </row>
    <row r="60" ht="15" customHeight="1">
      <c r="A60" s="18" t="n"/>
      <c r="B60" s="18" t="n"/>
      <c r="C60" s="18" t="n"/>
      <c r="D60" s="21" t="inlineStr">
        <is>
          <t>G</t>
        </is>
      </c>
      <c r="E60" s="11">
        <f>IF(E$5="","",COUNTIF(E6:E55,"G"))</f>
        <v/>
      </c>
      <c r="F60" s="11">
        <f>IF(F$5="","",COUNTIF(F6:F55,"G"))</f>
        <v/>
      </c>
      <c r="G60" s="11">
        <f>IF(G$5="","",COUNTIF(G6:G55,"G"))</f>
        <v/>
      </c>
      <c r="H60" s="11">
        <f>IF(H$5="","",COUNTIF(H6:H55,"G"))</f>
        <v/>
      </c>
      <c r="I60" s="11">
        <f>IF(I$5="","",COUNTIF(I6:I55,"G"))</f>
        <v/>
      </c>
      <c r="J60" s="11">
        <f>IF(J$5="","",COUNTIF(J6:J55,"G"))</f>
        <v/>
      </c>
      <c r="K60" s="11">
        <f>IF(K$5="","",COUNTIF(K6:K55,"G"))</f>
        <v/>
      </c>
      <c r="L60" s="11">
        <f>IF(L$5="","",COUNTIF(L6:L55,"G"))</f>
        <v/>
      </c>
      <c r="M60" s="11">
        <f>IF(M$5="","",COUNTIF(M6:M55,"G"))</f>
        <v/>
      </c>
      <c r="N60" s="11">
        <f>IF(N$5="","",COUNTIF(N6:N55,"G"))</f>
        <v/>
      </c>
      <c r="O60" s="11">
        <f>IF(O$5="","",COUNTIF(O6:O55,"G"))</f>
        <v/>
      </c>
      <c r="P60" s="11">
        <f>IF(P$5="","",COUNTIF(P6:P55,"G"))</f>
        <v/>
      </c>
      <c r="Q60" s="11">
        <f>IF(Q$5="","",COUNTIF(Q6:Q55,"G"))</f>
        <v/>
      </c>
      <c r="R60" s="11">
        <f>IF(R$5="","",COUNTIF(R6:R55,"G"))</f>
        <v/>
      </c>
      <c r="S60" s="11">
        <f>IF(S$5="","",COUNTIF(S6:S55,"G"))</f>
        <v/>
      </c>
      <c r="T60" s="11">
        <f>IF(T$5="","",COUNTIF(T6:T55,"G"))</f>
        <v/>
      </c>
      <c r="U60" s="11">
        <f>IF(U$5="","",COUNTIF(U6:U55,"G"))</f>
        <v/>
      </c>
      <c r="V60" s="11">
        <f>IF(V$5="","",COUNTIF(V6:V55,"G"))</f>
        <v/>
      </c>
      <c r="W60" s="11">
        <f>IF(W$5="","",COUNTIF(W6:W55,"G"))</f>
        <v/>
      </c>
      <c r="X60" s="11">
        <f>IF(X$5="","",COUNTIF(X6:X55,"G"))</f>
        <v/>
      </c>
      <c r="Y60" s="11">
        <f>IF(Y$5="","",COUNTIF(Y6:Y55,"G"))</f>
        <v/>
      </c>
      <c r="Z60" s="11">
        <f>IF(Z$5="","",COUNTIF(Z6:Z55,"G"))</f>
        <v/>
      </c>
      <c r="AA60" s="11">
        <f>IF(AA$5="","",COUNTIF(AA6:AA55,"G"))</f>
        <v/>
      </c>
      <c r="AB60" s="11">
        <f>IF(AB$5="","",COUNTIF(AB6:AB55,"G"))</f>
        <v/>
      </c>
      <c r="AC60" s="11">
        <f>IF(AC$5="","",COUNTIF(AC6:AC55,"G"))</f>
        <v/>
      </c>
      <c r="AD60" s="11">
        <f>IF(AD$5="","",COUNTIF(AD6:AD55,"G"))</f>
        <v/>
      </c>
      <c r="AE60" s="11">
        <f>IF(AE$5="","",COUNTIF(AE6:AE55,"G"))</f>
        <v/>
      </c>
      <c r="AF60" s="11">
        <f>IF(AF$5="","",COUNTIF(AF6:AF55,"G"))</f>
        <v/>
      </c>
      <c r="AG60" s="11">
        <f>IF(AG$5="","",COUNTIF(AG6:AG55,"G"))</f>
        <v/>
      </c>
      <c r="AH60" s="11">
        <f>IF(AH$5="","",COUNTIF(AH6:AH55,"G"))</f>
        <v/>
      </c>
      <c r="AI60" s="11">
        <f>IF(AI$5="","",COUNTIF(AI6:AI55,"G"))</f>
        <v/>
      </c>
    </row>
    <row r="61" ht="15" customHeight="1">
      <c r="A61" s="18" t="n"/>
      <c r="B61" s="18" t="n"/>
      <c r="C61" s="18" t="n"/>
      <c r="D61" s="22" t="inlineStr">
        <is>
          <t>TOT</t>
        </is>
      </c>
      <c r="E61" s="23">
        <f>IF(E$5="","",SUM(E58:E60))</f>
        <v/>
      </c>
      <c r="F61" s="23">
        <f>IF(F$5="","",SUM(F58:F60))</f>
        <v/>
      </c>
      <c r="G61" s="23">
        <f>IF(G$5="","",SUM(G58:G60))</f>
        <v/>
      </c>
      <c r="H61" s="23">
        <f>IF(H$5="","",SUM(H58:H60))</f>
        <v/>
      </c>
      <c r="I61" s="23">
        <f>IF(I$5="","",SUM(I58:I60))</f>
        <v/>
      </c>
      <c r="J61" s="23">
        <f>IF(J$5="","",SUM(J58:J60))</f>
        <v/>
      </c>
      <c r="K61" s="23">
        <f>IF(K$5="","",SUM(K58:K60))</f>
        <v/>
      </c>
      <c r="L61" s="23">
        <f>IF(L$5="","",SUM(L58:L60))</f>
        <v/>
      </c>
      <c r="M61" s="23">
        <f>IF(M$5="","",SUM(M58:M60))</f>
        <v/>
      </c>
      <c r="N61" s="23">
        <f>IF(N$5="","",SUM(N58:N60))</f>
        <v/>
      </c>
      <c r="O61" s="23">
        <f>IF(O$5="","",SUM(O58:O60))</f>
        <v/>
      </c>
      <c r="P61" s="23">
        <f>IF(P$5="","",SUM(P58:P60))</f>
        <v/>
      </c>
      <c r="Q61" s="23">
        <f>IF(Q$5="","",SUM(Q58:Q60))</f>
        <v/>
      </c>
      <c r="R61" s="23">
        <f>IF(R$5="","",SUM(R58:R60))</f>
        <v/>
      </c>
      <c r="S61" s="23">
        <f>IF(S$5="","",SUM(S58:S60))</f>
        <v/>
      </c>
      <c r="T61" s="23">
        <f>IF(T$5="","",SUM(T58:T60))</f>
        <v/>
      </c>
      <c r="U61" s="23">
        <f>IF(U$5="","",SUM(U58:U60))</f>
        <v/>
      </c>
      <c r="V61" s="23">
        <f>IF(V$5="","",SUM(V58:V60))</f>
        <v/>
      </c>
      <c r="W61" s="23">
        <f>IF(W$5="","",SUM(W58:W60))</f>
        <v/>
      </c>
      <c r="X61" s="23">
        <f>IF(X$5="","",SUM(X58:X60))</f>
        <v/>
      </c>
      <c r="Y61" s="23">
        <f>IF(Y$5="","",SUM(Y58:Y60))</f>
        <v/>
      </c>
      <c r="Z61" s="23">
        <f>IF(Z$5="","",SUM(Z58:Z60))</f>
        <v/>
      </c>
      <c r="AA61" s="23">
        <f>IF(AA$5="","",SUM(AA58:AA60))</f>
        <v/>
      </c>
      <c r="AB61" s="23">
        <f>IF(AB$5="","",SUM(AB58:AB60))</f>
        <v/>
      </c>
      <c r="AC61" s="23">
        <f>IF(AC$5="","",SUM(AC58:AC60))</f>
        <v/>
      </c>
      <c r="AD61" s="23">
        <f>IF(AD$5="","",SUM(AD58:AD60))</f>
        <v/>
      </c>
      <c r="AE61" s="23">
        <f>IF(AE$5="","",SUM(AE58:AE60))</f>
        <v/>
      </c>
      <c r="AF61" s="23">
        <f>IF(AF$5="","",SUM(AF58:AF60))</f>
        <v/>
      </c>
      <c r="AG61" s="23">
        <f>IF(AG$5="","",SUM(AG58:AG60))</f>
        <v/>
      </c>
      <c r="AH61" s="23">
        <f>IF(AH$5="","",SUM(AH58:AH60))</f>
        <v/>
      </c>
      <c r="AI61" s="23">
        <f>IF(AI$5="","",SUM(AI58:AI60))</f>
        <v/>
      </c>
    </row>
    <row r="63">
      <c r="A63" s="24" t="inlineStr">
        <is>
          <t>SHIFT TIMES</t>
        </is>
      </c>
      <c r="F63" s="24" t="inlineStr">
        <is>
          <t>CODE LEGEND</t>
        </is>
      </c>
    </row>
    <row r="64" ht="16" customHeight="1">
      <c r="B64" s="19" t="inlineStr">
        <is>
          <t>D</t>
        </is>
      </c>
      <c r="C64" s="25" t="inlineStr">
        <is>
          <t>DAY (07:00 - 15:00)</t>
        </is>
      </c>
      <c r="F64" s="26" t="inlineStr">
        <is>
          <t>D</t>
        </is>
      </c>
      <c r="G64" s="18" t="n"/>
      <c r="H64" s="27" t="inlineStr">
        <is>
          <t>DAY</t>
        </is>
      </c>
      <c r="L64" s="28" t="inlineStr">
        <is>
          <t>T</t>
        </is>
      </c>
      <c r="M64" s="18" t="n"/>
      <c r="N64" s="27" t="inlineStr">
        <is>
          <t>TWILIGHT</t>
        </is>
      </c>
      <c r="R64" s="29" t="inlineStr">
        <is>
          <t>G</t>
        </is>
      </c>
      <c r="S64" s="18" t="n"/>
      <c r="T64" s="27" t="inlineStr">
        <is>
          <t>GRAVEYARD</t>
        </is>
      </c>
      <c r="X64" s="30" t="inlineStr">
        <is>
          <t>TR</t>
        </is>
      </c>
      <c r="Y64" s="18" t="n"/>
      <c r="Z64" s="27" t="inlineStr">
        <is>
          <t>TRAINING</t>
        </is>
      </c>
      <c r="AD64" s="31" t="inlineStr">
        <is>
          <t>V</t>
        </is>
      </c>
      <c r="AE64" s="18" t="n"/>
      <c r="AF64" s="27" t="inlineStr">
        <is>
          <t>VACATION</t>
        </is>
      </c>
    </row>
    <row r="65" ht="16" customHeight="1">
      <c r="B65" s="20" t="inlineStr">
        <is>
          <t>T</t>
        </is>
      </c>
      <c r="C65" s="25" t="inlineStr">
        <is>
          <t>TWI (15:00 - 23:00)</t>
        </is>
      </c>
      <c r="F65" s="32" t="inlineStr">
        <is>
          <t>R</t>
        </is>
      </c>
      <c r="G65" s="18" t="n"/>
      <c r="H65" s="27" t="inlineStr">
        <is>
          <t>REST/RDO</t>
        </is>
      </c>
      <c r="L65" s="33" t="inlineStr">
        <is>
          <t>A</t>
        </is>
      </c>
      <c r="M65" s="18" t="n"/>
      <c r="N65" s="27" t="inlineStr">
        <is>
          <t>ABSENT</t>
        </is>
      </c>
      <c r="R65" s="34" t="inlineStr">
        <is>
          <t>H</t>
        </is>
      </c>
      <c r="S65" s="18" t="n"/>
      <c r="T65" s="27" t="inlineStr">
        <is>
          <t>HOLIDAY</t>
        </is>
      </c>
      <c r="X65" s="35" t="inlineStr">
        <is>
          <t>OT</t>
        </is>
      </c>
      <c r="Y65" s="18" t="n"/>
      <c r="Z65" s="27" t="inlineStr">
        <is>
          <t>OVERTIME</t>
        </is>
      </c>
      <c r="AD65" s="36" t="inlineStr">
        <is>
          <t>OS</t>
        </is>
      </c>
      <c r="AE65" s="18" t="n"/>
      <c r="AF65" s="27" t="inlineStr">
        <is>
          <t>OUTSTATION</t>
        </is>
      </c>
    </row>
    <row r="66" ht="16" customHeight="1">
      <c r="B66" s="21" t="inlineStr">
        <is>
          <t>G</t>
        </is>
      </c>
      <c r="C66" s="25" t="inlineStr">
        <is>
          <t>GRV (23:00 - 07:00)</t>
        </is>
      </c>
      <c r="F66" s="37" t="inlineStr">
        <is>
          <t>S/L</t>
        </is>
      </c>
      <c r="G66" s="18" t="n"/>
      <c r="H66" s="27" t="inlineStr">
        <is>
          <t>SICK LEAVE</t>
        </is>
      </c>
      <c r="L66" s="38" t="inlineStr">
        <is>
          <t>C/T</t>
        </is>
      </c>
      <c r="M66" s="18" t="n"/>
      <c r="N66" s="27" t="inlineStr">
        <is>
          <t>COMP TIME</t>
        </is>
      </c>
      <c r="R66" s="39" t="inlineStr">
        <is>
          <t>L</t>
        </is>
      </c>
      <c r="S66" s="18" t="n"/>
      <c r="T66" s="27" t="inlineStr">
        <is>
          <t>LATE/LEAVE</t>
        </is>
      </c>
      <c r="X66" s="40" t="inlineStr">
        <is>
          <t>N</t>
        </is>
      </c>
      <c r="Y66" s="18" t="n"/>
      <c r="Z66" s="27" t="inlineStr">
        <is>
          <t>NOTE</t>
        </is>
      </c>
    </row>
    <row r="68">
      <c r="A68" s="41" t="inlineStr">
        <is>
          <t>STAFF LIST — copy names into the crews above (excluded from print)</t>
        </is>
      </c>
    </row>
    <row r="69">
      <c r="A69" s="8" t="inlineStr">
        <is>
          <t>#</t>
        </is>
      </c>
      <c r="B69" s="8" t="inlineStr">
        <is>
          <t>PRN</t>
        </is>
      </c>
      <c r="C69" s="8" t="inlineStr">
        <is>
          <t>NAME</t>
        </is>
      </c>
      <c r="D69" s="8" t="inlineStr">
        <is>
          <t>Posn</t>
        </is>
      </c>
    </row>
    <row r="70" ht="15" customHeight="1">
      <c r="A70" s="10" t="n">
        <v>1</v>
      </c>
      <c r="B70" s="11" t="inlineStr">
        <is>
          <t>13006435</t>
        </is>
      </c>
      <c r="C70" s="42" t="inlineStr">
        <is>
          <t>HOMAID ALJAHDALI</t>
        </is>
      </c>
      <c r="D70" s="43" t="inlineStr">
        <is>
          <t>ACT/SUPV</t>
        </is>
      </c>
    </row>
    <row r="71" ht="15" customHeight="1">
      <c r="A71" s="10" t="n">
        <v>2</v>
      </c>
      <c r="B71" s="11" t="inlineStr">
        <is>
          <t>13008931</t>
        </is>
      </c>
      <c r="C71" s="42" t="inlineStr">
        <is>
          <t>RONILO NOGADAS AMEN</t>
        </is>
      </c>
      <c r="D71" s="43" t="inlineStr">
        <is>
          <t>ACT/SUPV</t>
        </is>
      </c>
    </row>
    <row r="72" ht="15" customHeight="1">
      <c r="A72" s="10" t="n">
        <v>3</v>
      </c>
      <c r="B72" s="11" t="inlineStr">
        <is>
          <t>13010279</t>
        </is>
      </c>
      <c r="C72" s="42" t="inlineStr">
        <is>
          <t>AHMED M. ALWAHBI</t>
        </is>
      </c>
      <c r="D72" s="43" t="inlineStr">
        <is>
          <t>ACT/SUPV</t>
        </is>
      </c>
    </row>
    <row r="73" ht="15" customHeight="1">
      <c r="A73" s="10" t="n">
        <v>4</v>
      </c>
      <c r="B73" s="11" t="inlineStr">
        <is>
          <t>13007568</t>
        </is>
      </c>
      <c r="C73" s="42" t="inlineStr">
        <is>
          <t>NAIF ALANEZI</t>
        </is>
      </c>
      <c r="D73" s="43" t="inlineStr">
        <is>
          <t>ACT/SUPV</t>
        </is>
      </c>
    </row>
    <row r="74" ht="15" customHeight="1">
      <c r="A74" s="10" t="n">
        <v>5</v>
      </c>
      <c r="B74" s="11" t="inlineStr">
        <is>
          <t>30005295</t>
        </is>
      </c>
      <c r="C74" s="42" t="inlineStr">
        <is>
          <t>RODEL CLEMENTE</t>
        </is>
      </c>
      <c r="D74" s="43" t="inlineStr">
        <is>
          <t>TECH</t>
        </is>
      </c>
    </row>
    <row r="75" ht="15" customHeight="1">
      <c r="A75" s="10" t="n">
        <v>6</v>
      </c>
      <c r="B75" s="11" t="inlineStr">
        <is>
          <t>30001593</t>
        </is>
      </c>
      <c r="C75" s="42" t="inlineStr">
        <is>
          <t>FYSAL M. ALEDAINI</t>
        </is>
      </c>
      <c r="D75" s="43" t="inlineStr">
        <is>
          <t>OJT</t>
        </is>
      </c>
    </row>
    <row r="76" ht="15" customHeight="1">
      <c r="A76" s="10" t="n">
        <v>7</v>
      </c>
      <c r="B76" s="11" t="inlineStr">
        <is>
          <t>30001338</t>
        </is>
      </c>
      <c r="C76" s="42" t="inlineStr">
        <is>
          <t>MASHHOUR ALSULAIMANI</t>
        </is>
      </c>
      <c r="D76" s="43" t="inlineStr">
        <is>
          <t>OJT</t>
        </is>
      </c>
    </row>
    <row r="77" ht="15" customHeight="1">
      <c r="A77" s="10" t="n">
        <v>8</v>
      </c>
      <c r="B77" s="11" t="inlineStr">
        <is>
          <t>30001573</t>
        </is>
      </c>
      <c r="C77" s="42" t="inlineStr">
        <is>
          <t>JEHAD M. HAKAMI</t>
        </is>
      </c>
      <c r="D77" s="43" t="inlineStr">
        <is>
          <t>OJT</t>
        </is>
      </c>
    </row>
    <row r="78" ht="15" customHeight="1">
      <c r="A78" s="10" t="n">
        <v>9</v>
      </c>
      <c r="B78" s="11" t="inlineStr">
        <is>
          <t>30001366</t>
        </is>
      </c>
      <c r="C78" s="42" t="inlineStr">
        <is>
          <t>ABDULAZIZ ZAKOUR</t>
        </is>
      </c>
      <c r="D78" s="43" t="inlineStr">
        <is>
          <t>OJT</t>
        </is>
      </c>
    </row>
    <row r="79" ht="15" customHeight="1">
      <c r="A79" s="10" t="n">
        <v>10</v>
      </c>
      <c r="B79" s="11" t="inlineStr">
        <is>
          <t>30001450</t>
        </is>
      </c>
      <c r="C79" s="42" t="inlineStr">
        <is>
          <t>MUHAMMED ALSHAIKH</t>
        </is>
      </c>
      <c r="D79" s="43" t="inlineStr">
        <is>
          <t>OJT</t>
        </is>
      </c>
    </row>
    <row r="80" ht="15" customHeight="1">
      <c r="A80" s="10" t="n">
        <v>11</v>
      </c>
      <c r="B80" s="11" t="inlineStr">
        <is>
          <t>30001602</t>
        </is>
      </c>
      <c r="C80" s="42" t="inlineStr">
        <is>
          <t>AHMED M. ALYAMANI</t>
        </is>
      </c>
      <c r="D80" s="43" t="inlineStr">
        <is>
          <t>OJT</t>
        </is>
      </c>
    </row>
    <row r="81" ht="15" customHeight="1">
      <c r="A81" s="10" t="n">
        <v>12</v>
      </c>
      <c r="B81" s="11" t="inlineStr">
        <is>
          <t>40001135</t>
        </is>
      </c>
      <c r="C81" s="42" t="inlineStr">
        <is>
          <t>SYAHLENDRA SYAMSOE</t>
        </is>
      </c>
      <c r="D81" s="43" t="inlineStr">
        <is>
          <t>FITTER</t>
        </is>
      </c>
    </row>
    <row r="82" ht="15" customHeight="1">
      <c r="A82" s="10" t="n">
        <v>13</v>
      </c>
      <c r="B82" s="11" t="inlineStr">
        <is>
          <t>70010082</t>
        </is>
      </c>
      <c r="C82" s="42" t="inlineStr">
        <is>
          <t>MOHAMMAD KAIFI</t>
        </is>
      </c>
      <c r="D82" s="43" t="inlineStr">
        <is>
          <t>FITTER</t>
        </is>
      </c>
    </row>
    <row r="83" ht="15" customHeight="1">
      <c r="A83" s="10" t="n">
        <v>14</v>
      </c>
      <c r="B83" s="11" t="inlineStr">
        <is>
          <t>13009258</t>
        </is>
      </c>
      <c r="C83" s="42" t="inlineStr">
        <is>
          <t>ALI ALAHMADI</t>
        </is>
      </c>
      <c r="D83" s="43" t="inlineStr">
        <is>
          <t>FITTER</t>
        </is>
      </c>
    </row>
    <row r="84" ht="15" customHeight="1">
      <c r="A84" s="10" t="n">
        <v>15</v>
      </c>
      <c r="B84" s="11" t="inlineStr">
        <is>
          <t>13009255</t>
        </is>
      </c>
      <c r="C84" s="42" t="inlineStr">
        <is>
          <t>HOSSAM ALGHAMDI</t>
        </is>
      </c>
      <c r="D84" s="43" t="inlineStr">
        <is>
          <t>FITTER</t>
        </is>
      </c>
    </row>
    <row r="85" ht="15" customHeight="1">
      <c r="A85" s="10" t="n">
        <v>16</v>
      </c>
      <c r="B85" s="11" t="inlineStr">
        <is>
          <t>13009047</t>
        </is>
      </c>
      <c r="C85" s="42" t="inlineStr">
        <is>
          <t>JIMRICKS AQINO</t>
        </is>
      </c>
      <c r="D85" s="43" t="inlineStr">
        <is>
          <t>FITTER</t>
        </is>
      </c>
    </row>
    <row r="86" ht="15" customHeight="1">
      <c r="A86" s="10" t="n">
        <v>17</v>
      </c>
      <c r="B86" s="11" t="inlineStr">
        <is>
          <t>13006567</t>
        </is>
      </c>
      <c r="C86" s="42" t="inlineStr">
        <is>
          <t>AHMED AL-GHAMDI</t>
        </is>
      </c>
      <c r="D86" s="43" t="inlineStr">
        <is>
          <t>ACT/SUPV</t>
        </is>
      </c>
    </row>
    <row r="87" ht="15" customHeight="1">
      <c r="A87" s="10" t="n">
        <v>18</v>
      </c>
      <c r="B87" s="11" t="inlineStr">
        <is>
          <t>13010253</t>
        </is>
      </c>
      <c r="C87" s="42" t="inlineStr">
        <is>
          <t>AHMED S. ALGHAMDI</t>
        </is>
      </c>
      <c r="D87" s="43" t="inlineStr">
        <is>
          <t>ACT/SUPV</t>
        </is>
      </c>
    </row>
    <row r="88" ht="15" customHeight="1">
      <c r="A88" s="10" t="n">
        <v>19</v>
      </c>
      <c r="B88" s="11" t="inlineStr">
        <is>
          <t>13007276</t>
        </is>
      </c>
      <c r="C88" s="42" t="inlineStr">
        <is>
          <t>MOHAMMED BAROOM</t>
        </is>
      </c>
      <c r="D88" s="43" t="inlineStr">
        <is>
          <t>TECH</t>
        </is>
      </c>
    </row>
    <row r="89" ht="15" customHeight="1">
      <c r="A89" s="10" t="n">
        <v>20</v>
      </c>
      <c r="B89" s="11" t="inlineStr">
        <is>
          <t>13010286</t>
        </is>
      </c>
      <c r="C89" s="42" t="inlineStr">
        <is>
          <t>ABDULAZIZ F. ALBOUQ</t>
        </is>
      </c>
      <c r="D89" s="43" t="inlineStr">
        <is>
          <t>TECH</t>
        </is>
      </c>
    </row>
    <row r="90" ht="15" customHeight="1">
      <c r="A90" s="10" t="n">
        <v>21</v>
      </c>
      <c r="B90" s="11" t="inlineStr">
        <is>
          <t>30004221</t>
        </is>
      </c>
      <c r="C90" s="42" t="inlineStr">
        <is>
          <t>YOUSEF BARIFAH</t>
        </is>
      </c>
      <c r="D90" s="43" t="inlineStr">
        <is>
          <t>TECH</t>
        </is>
      </c>
    </row>
    <row r="91" ht="15" customHeight="1">
      <c r="A91" s="10" t="n">
        <v>22</v>
      </c>
      <c r="B91" s="11" t="inlineStr">
        <is>
          <t>30001345</t>
        </is>
      </c>
      <c r="C91" s="42" t="inlineStr">
        <is>
          <t>AHMED ALSHARIF</t>
        </is>
      </c>
      <c r="D91" s="43" t="inlineStr">
        <is>
          <t>OJT</t>
        </is>
      </c>
    </row>
    <row r="92" ht="15" customHeight="1">
      <c r="A92" s="10" t="n">
        <v>23</v>
      </c>
      <c r="B92" s="11" t="inlineStr">
        <is>
          <t>30001351</t>
        </is>
      </c>
      <c r="C92" s="42" t="inlineStr">
        <is>
          <t>KHALID ALSHUBRAMI</t>
        </is>
      </c>
      <c r="D92" s="43" t="inlineStr">
        <is>
          <t>OJT</t>
        </is>
      </c>
    </row>
    <row r="93" ht="15" customHeight="1">
      <c r="A93" s="10" t="n">
        <v>24</v>
      </c>
      <c r="B93" s="11" t="inlineStr">
        <is>
          <t>30001451</t>
        </is>
      </c>
      <c r="C93" s="42" t="inlineStr">
        <is>
          <t>MUHAMMED ALHARBI</t>
        </is>
      </c>
      <c r="D93" s="43" t="inlineStr">
        <is>
          <t>OJT</t>
        </is>
      </c>
    </row>
    <row r="94" ht="15" customHeight="1">
      <c r="A94" s="10" t="n">
        <v>25</v>
      </c>
      <c r="B94" s="11" t="inlineStr">
        <is>
          <t>30001452</t>
        </is>
      </c>
      <c r="C94" s="42" t="inlineStr">
        <is>
          <t>SAAD ALDOSARI</t>
        </is>
      </c>
      <c r="D94" s="43" t="inlineStr">
        <is>
          <t>OJT</t>
        </is>
      </c>
    </row>
    <row r="95" ht="15" customHeight="1">
      <c r="A95" s="10" t="n">
        <v>26</v>
      </c>
      <c r="B95" s="11" t="inlineStr">
        <is>
          <t>30001461</t>
        </is>
      </c>
      <c r="C95" s="42" t="inlineStr">
        <is>
          <t>HUSSAM ALTHUBAITI</t>
        </is>
      </c>
      <c r="D95" s="43" t="inlineStr">
        <is>
          <t>OJT</t>
        </is>
      </c>
    </row>
    <row r="96" ht="15" customHeight="1">
      <c r="A96" s="10" t="n">
        <v>27</v>
      </c>
      <c r="B96" s="11" t="inlineStr">
        <is>
          <t>30001575</t>
        </is>
      </c>
      <c r="C96" s="42" t="inlineStr">
        <is>
          <t>FADUL A. FADUL</t>
        </is>
      </c>
      <c r="D96" s="43" t="inlineStr">
        <is>
          <t>OJT</t>
        </is>
      </c>
    </row>
    <row r="97" ht="15" customHeight="1">
      <c r="A97" s="10" t="n">
        <v>28</v>
      </c>
      <c r="B97" s="11" t="inlineStr">
        <is>
          <t>30001577</t>
        </is>
      </c>
      <c r="C97" s="42" t="inlineStr">
        <is>
          <t>FOUAD A. MOJALLY</t>
        </is>
      </c>
      <c r="D97" s="43" t="inlineStr">
        <is>
          <t>OJT</t>
        </is>
      </c>
    </row>
    <row r="98" ht="15" customHeight="1">
      <c r="A98" s="10" t="n">
        <v>29</v>
      </c>
      <c r="B98" s="11" t="inlineStr">
        <is>
          <t>30001774</t>
        </is>
      </c>
      <c r="C98" s="42" t="inlineStr">
        <is>
          <t>SAAD A. ALQAHTANI</t>
        </is>
      </c>
      <c r="D98" s="43" t="inlineStr">
        <is>
          <t>OJT</t>
        </is>
      </c>
    </row>
    <row r="99" ht="15" customHeight="1">
      <c r="A99" s="10" t="n">
        <v>30</v>
      </c>
      <c r="B99" s="11" t="inlineStr">
        <is>
          <t>40000188</t>
        </is>
      </c>
      <c r="C99" s="42" t="inlineStr">
        <is>
          <t>RAKAN AGILY</t>
        </is>
      </c>
      <c r="D99" s="43" t="inlineStr">
        <is>
          <t>FITTER</t>
        </is>
      </c>
    </row>
    <row r="100" ht="15" customHeight="1">
      <c r="A100" s="10" t="n">
        <v>31</v>
      </c>
      <c r="B100" s="11" t="inlineStr">
        <is>
          <t>13009042</t>
        </is>
      </c>
      <c r="C100" s="42" t="inlineStr">
        <is>
          <t>OLANDRES JR BEINVENIDO</t>
        </is>
      </c>
      <c r="D100" s="43" t="inlineStr">
        <is>
          <t>FITTER</t>
        </is>
      </c>
    </row>
    <row r="101" ht="15" customHeight="1">
      <c r="A101" s="10" t="n">
        <v>32</v>
      </c>
      <c r="B101" s="11" t="inlineStr">
        <is>
          <t>40000706</t>
        </is>
      </c>
      <c r="C101" s="42" t="inlineStr">
        <is>
          <t>JASON C. GUEVARRA</t>
        </is>
      </c>
      <c r="D101" s="43" t="inlineStr">
        <is>
          <t>FITTER</t>
        </is>
      </c>
    </row>
    <row r="102" ht="15" customHeight="1">
      <c r="A102" s="10" t="n">
        <v>33</v>
      </c>
      <c r="B102" s="11" t="inlineStr">
        <is>
          <t>13009023</t>
        </is>
      </c>
      <c r="C102" s="42" t="inlineStr">
        <is>
          <t>SAMEER ALDUSUQI</t>
        </is>
      </c>
      <c r="D102" s="43" t="inlineStr">
        <is>
          <t>FITTER</t>
        </is>
      </c>
    </row>
    <row r="103" ht="15" customHeight="1">
      <c r="A103" s="10" t="n">
        <v>34</v>
      </c>
      <c r="B103" s="11" t="inlineStr">
        <is>
          <t>13004037</t>
        </is>
      </c>
      <c r="C103" s="42" t="inlineStr">
        <is>
          <t>KHALID FAISAL AL-ALAWI</t>
        </is>
      </c>
      <c r="D103" s="43" t="inlineStr">
        <is>
          <t>SUPV</t>
        </is>
      </c>
    </row>
    <row r="104" ht="15" customHeight="1">
      <c r="A104" s="10" t="n">
        <v>35</v>
      </c>
      <c r="B104" s="11" t="inlineStr">
        <is>
          <t>13010931</t>
        </is>
      </c>
      <c r="C104" s="42" t="inlineStr">
        <is>
          <t>SULTAN ALMASRI</t>
        </is>
      </c>
      <c r="D104" s="43" t="inlineStr">
        <is>
          <t>TECH</t>
        </is>
      </c>
    </row>
    <row r="105" ht="15" customHeight="1">
      <c r="A105" s="10" t="n">
        <v>36</v>
      </c>
      <c r="B105" s="11" t="inlineStr">
        <is>
          <t>30003319</t>
        </is>
      </c>
      <c r="C105" s="42" t="inlineStr">
        <is>
          <t>MANSOUR ALHARBI</t>
        </is>
      </c>
      <c r="D105" s="43" t="inlineStr">
        <is>
          <t>TECH</t>
        </is>
      </c>
    </row>
    <row r="106" ht="15" customHeight="1">
      <c r="A106" s="10" t="n">
        <v>37</v>
      </c>
      <c r="B106" s="11" t="inlineStr">
        <is>
          <t>30003362</t>
        </is>
      </c>
      <c r="C106" s="42" t="inlineStr">
        <is>
          <t>AYMAN HAMED</t>
        </is>
      </c>
      <c r="D106" s="43" t="inlineStr">
        <is>
          <t>TECH</t>
        </is>
      </c>
    </row>
    <row r="107" ht="15" customHeight="1">
      <c r="A107" s="10" t="n">
        <v>38</v>
      </c>
      <c r="B107" s="11" t="inlineStr">
        <is>
          <t>30003449</t>
        </is>
      </c>
      <c r="C107" s="42" t="inlineStr">
        <is>
          <t>HAZEM ALSUBHI</t>
        </is>
      </c>
      <c r="D107" s="43" t="inlineStr">
        <is>
          <t>TECH</t>
        </is>
      </c>
    </row>
    <row r="108" ht="15" customHeight="1">
      <c r="A108" s="10" t="n">
        <v>39</v>
      </c>
      <c r="B108" s="11" t="inlineStr">
        <is>
          <t>30003471</t>
        </is>
      </c>
      <c r="C108" s="42" t="inlineStr">
        <is>
          <t>MOHAMMED ALOQBA</t>
        </is>
      </c>
      <c r="D108" s="43" t="inlineStr">
        <is>
          <t>TECH</t>
        </is>
      </c>
    </row>
    <row r="109" ht="15" customHeight="1">
      <c r="A109" s="10" t="n">
        <v>40</v>
      </c>
      <c r="B109" s="11" t="inlineStr">
        <is>
          <t>30003607</t>
        </is>
      </c>
      <c r="C109" s="42" t="inlineStr">
        <is>
          <t>SIRAJ KHAYAT</t>
        </is>
      </c>
      <c r="D109" s="43" t="inlineStr">
        <is>
          <t>TECH</t>
        </is>
      </c>
    </row>
    <row r="110" ht="15" customHeight="1">
      <c r="A110" s="10" t="n">
        <v>41</v>
      </c>
      <c r="B110" s="11" t="inlineStr">
        <is>
          <t>30004358</t>
        </is>
      </c>
      <c r="C110" s="42" t="inlineStr">
        <is>
          <t>SALMAN ALJAADANI</t>
        </is>
      </c>
      <c r="D110" s="43" t="inlineStr">
        <is>
          <t>TECH</t>
        </is>
      </c>
    </row>
    <row r="111" ht="15" customHeight="1">
      <c r="A111" s="10" t="n">
        <v>42</v>
      </c>
      <c r="B111" s="11" t="inlineStr">
        <is>
          <t>30004434</t>
        </is>
      </c>
      <c r="C111" s="42" t="inlineStr">
        <is>
          <t>EID ALRIFAI</t>
        </is>
      </c>
      <c r="D111" s="43" t="inlineStr">
        <is>
          <t>TECH</t>
        </is>
      </c>
    </row>
    <row r="112" ht="15" customHeight="1">
      <c r="A112" s="10" t="n">
        <v>43</v>
      </c>
      <c r="B112" s="11" t="inlineStr">
        <is>
          <t>30004838</t>
        </is>
      </c>
      <c r="C112" s="42" t="inlineStr">
        <is>
          <t>MUAED MEERA</t>
        </is>
      </c>
      <c r="D112" s="43" t="inlineStr">
        <is>
          <t>TECH</t>
        </is>
      </c>
    </row>
  </sheetData>
  <mergeCells count="39">
    <mergeCell ref="H66:K66"/>
    <mergeCell ref="T66:W66"/>
    <mergeCell ref="R64:S64"/>
    <mergeCell ref="H65:K65"/>
    <mergeCell ref="E2:AI2"/>
    <mergeCell ref="F65:G65"/>
    <mergeCell ref="AD64:AE64"/>
    <mergeCell ref="L66:M66"/>
    <mergeCell ref="A48:AI48"/>
    <mergeCell ref="C64:D64"/>
    <mergeCell ref="X66:Y66"/>
    <mergeCell ref="A68:J68"/>
    <mergeCell ref="N65:Q65"/>
    <mergeCell ref="C65:D65"/>
    <mergeCell ref="Z65:AC65"/>
    <mergeCell ref="A1:AI1"/>
    <mergeCell ref="A57:C61"/>
    <mergeCell ref="R65:S65"/>
    <mergeCell ref="AD65:AE65"/>
    <mergeCell ref="F66:G66"/>
    <mergeCell ref="L64:M64"/>
    <mergeCell ref="X65:Y65"/>
    <mergeCell ref="N66:Q66"/>
    <mergeCell ref="Z66:AC66"/>
    <mergeCell ref="X64:Y64"/>
    <mergeCell ref="A18:AI18"/>
    <mergeCell ref="A3:AI3"/>
    <mergeCell ref="H64:K64"/>
    <mergeCell ref="T65:W65"/>
    <mergeCell ref="R66:S66"/>
    <mergeCell ref="AF65:AI65"/>
    <mergeCell ref="A33:AI33"/>
    <mergeCell ref="N64:Q64"/>
    <mergeCell ref="T64:W64"/>
    <mergeCell ref="C66:D66"/>
    <mergeCell ref="L65:M65"/>
    <mergeCell ref="Z64:AC64"/>
    <mergeCell ref="AF64:AI64"/>
    <mergeCell ref="F64:G64"/>
  </mergeCells>
  <conditionalFormatting sqref="E6:AI17">
    <cfRule type="cellIs" priority="1" operator="equal" dxfId="0">
      <formula>"D"</formula>
    </cfRule>
    <cfRule type="cellIs" priority="2" operator="equal" dxfId="1">
      <formula>"T"</formula>
    </cfRule>
    <cfRule type="cellIs" priority="3" operator="equal" dxfId="2">
      <formula>"G"</formula>
    </cfRule>
    <cfRule type="cellIs" priority="4" operator="equal" dxfId="3">
      <formula>"TR"</formula>
    </cfRule>
    <cfRule type="cellIs" priority="5" operator="equal" dxfId="4">
      <formula>"V"</formula>
    </cfRule>
    <cfRule type="cellIs" priority="6" operator="equal" dxfId="5">
      <formula>"R"</formula>
    </cfRule>
    <cfRule type="cellIs" priority="7" operator="equal" dxfId="6">
      <formula>"A"</formula>
    </cfRule>
    <cfRule type="cellIs" priority="8" operator="equal" dxfId="7">
      <formula>"H"</formula>
    </cfRule>
    <cfRule type="cellIs" priority="9" operator="equal" dxfId="8">
      <formula>"OT"</formula>
    </cfRule>
    <cfRule type="cellIs" priority="10" operator="equal" dxfId="9">
      <formula>"OS"</formula>
    </cfRule>
    <cfRule type="cellIs" priority="11" operator="equal" dxfId="10">
      <formula>"S/L"</formula>
    </cfRule>
    <cfRule type="cellIs" priority="12" operator="equal" dxfId="11">
      <formula>"C/T"</formula>
    </cfRule>
    <cfRule type="cellIs" priority="13" operator="equal" dxfId="12">
      <formula>"L"</formula>
    </cfRule>
    <cfRule type="cellIs" priority="14" operator="equal" dxfId="13">
      <formula>"N"</formula>
    </cfRule>
    <cfRule type="expression" priority="15" dxfId="14">
      <formula>AND(E$5&lt;&gt;"",OR(E$4="Fri",E$4="Sat"))</formula>
    </cfRule>
  </conditionalFormatting>
  <conditionalFormatting sqref="E21:AI32">
    <cfRule type="cellIs" priority="16" operator="equal" dxfId="0">
      <formula>"D"</formula>
    </cfRule>
    <cfRule type="cellIs" priority="17" operator="equal" dxfId="1">
      <formula>"T"</formula>
    </cfRule>
    <cfRule type="cellIs" priority="18" operator="equal" dxfId="2">
      <formula>"G"</formula>
    </cfRule>
    <cfRule type="cellIs" priority="19" operator="equal" dxfId="3">
      <formula>"TR"</formula>
    </cfRule>
    <cfRule type="cellIs" priority="20" operator="equal" dxfId="4">
      <formula>"V"</formula>
    </cfRule>
    <cfRule type="cellIs" priority="21" operator="equal" dxfId="5">
      <formula>"R"</formula>
    </cfRule>
    <cfRule type="cellIs" priority="22" operator="equal" dxfId="6">
      <formula>"A"</formula>
    </cfRule>
    <cfRule type="cellIs" priority="23" operator="equal" dxfId="7">
      <formula>"H"</formula>
    </cfRule>
    <cfRule type="cellIs" priority="24" operator="equal" dxfId="8">
      <formula>"OT"</formula>
    </cfRule>
    <cfRule type="cellIs" priority="25" operator="equal" dxfId="9">
      <formula>"OS"</formula>
    </cfRule>
    <cfRule type="cellIs" priority="26" operator="equal" dxfId="10">
      <formula>"S/L"</formula>
    </cfRule>
    <cfRule type="cellIs" priority="27" operator="equal" dxfId="11">
      <formula>"C/T"</formula>
    </cfRule>
    <cfRule type="cellIs" priority="28" operator="equal" dxfId="12">
      <formula>"L"</formula>
    </cfRule>
    <cfRule type="cellIs" priority="29" operator="equal" dxfId="13">
      <formula>"N"</formula>
    </cfRule>
    <cfRule type="expression" priority="30" dxfId="14">
      <formula>AND(E$5&lt;&gt;"",OR(E$4="Fri",E$4="Sat"))</formula>
    </cfRule>
  </conditionalFormatting>
  <conditionalFormatting sqref="E36:AI47">
    <cfRule type="cellIs" priority="31" operator="equal" dxfId="0">
      <formula>"D"</formula>
    </cfRule>
    <cfRule type="cellIs" priority="32" operator="equal" dxfId="1">
      <formula>"T"</formula>
    </cfRule>
    <cfRule type="cellIs" priority="33" operator="equal" dxfId="2">
      <formula>"G"</formula>
    </cfRule>
    <cfRule type="cellIs" priority="34" operator="equal" dxfId="3">
      <formula>"TR"</formula>
    </cfRule>
    <cfRule type="cellIs" priority="35" operator="equal" dxfId="4">
      <formula>"V"</formula>
    </cfRule>
    <cfRule type="cellIs" priority="36" operator="equal" dxfId="5">
      <formula>"R"</formula>
    </cfRule>
    <cfRule type="cellIs" priority="37" operator="equal" dxfId="6">
      <formula>"A"</formula>
    </cfRule>
    <cfRule type="cellIs" priority="38" operator="equal" dxfId="7">
      <formula>"H"</formula>
    </cfRule>
    <cfRule type="cellIs" priority="39" operator="equal" dxfId="8">
      <formula>"OT"</formula>
    </cfRule>
    <cfRule type="cellIs" priority="40" operator="equal" dxfId="9">
      <formula>"OS"</formula>
    </cfRule>
    <cfRule type="cellIs" priority="41" operator="equal" dxfId="10">
      <formula>"S/L"</formula>
    </cfRule>
    <cfRule type="cellIs" priority="42" operator="equal" dxfId="11">
      <formula>"C/T"</formula>
    </cfRule>
    <cfRule type="cellIs" priority="43" operator="equal" dxfId="12">
      <formula>"L"</formula>
    </cfRule>
    <cfRule type="cellIs" priority="44" operator="equal" dxfId="13">
      <formula>"N"</formula>
    </cfRule>
    <cfRule type="expression" priority="45" dxfId="14">
      <formula>AND(E$5&lt;&gt;"",OR(E$4="Fri",E$4="Sat"))</formula>
    </cfRule>
  </conditionalFormatting>
  <conditionalFormatting sqref="E51:AI55">
    <cfRule type="cellIs" priority="46" operator="equal" dxfId="0">
      <formula>"D"</formula>
    </cfRule>
    <cfRule type="cellIs" priority="47" operator="equal" dxfId="1">
      <formula>"T"</formula>
    </cfRule>
    <cfRule type="cellIs" priority="48" operator="equal" dxfId="2">
      <formula>"G"</formula>
    </cfRule>
    <cfRule type="cellIs" priority="49" operator="equal" dxfId="3">
      <formula>"TR"</formula>
    </cfRule>
    <cfRule type="cellIs" priority="50" operator="equal" dxfId="4">
      <formula>"V"</formula>
    </cfRule>
    <cfRule type="cellIs" priority="51" operator="equal" dxfId="5">
      <formula>"R"</formula>
    </cfRule>
    <cfRule type="cellIs" priority="52" operator="equal" dxfId="6">
      <formula>"A"</formula>
    </cfRule>
    <cfRule type="cellIs" priority="53" operator="equal" dxfId="7">
      <formula>"H"</formula>
    </cfRule>
    <cfRule type="cellIs" priority="54" operator="equal" dxfId="8">
      <formula>"OT"</formula>
    </cfRule>
    <cfRule type="cellIs" priority="55" operator="equal" dxfId="9">
      <formula>"OS"</formula>
    </cfRule>
    <cfRule type="cellIs" priority="56" operator="equal" dxfId="10">
      <formula>"S/L"</formula>
    </cfRule>
    <cfRule type="cellIs" priority="57" operator="equal" dxfId="11">
      <formula>"C/T"</formula>
    </cfRule>
    <cfRule type="cellIs" priority="58" operator="equal" dxfId="12">
      <formula>"L"</formula>
    </cfRule>
    <cfRule type="cellIs" priority="59" operator="equal" dxfId="13">
      <formula>"N"</formula>
    </cfRule>
    <cfRule type="expression" priority="60" dxfId="14">
      <formula>AND(E$5&lt;&gt;"",OR(E$4="Fri",E$4="Sat"))</formula>
    </cfRule>
  </conditionalFormatting>
  <conditionalFormatting sqref="A6:D17">
    <cfRule type="expression" priority="61" dxfId="15">
      <formula>$D6="OJT"</formula>
    </cfRule>
    <cfRule type="expression" priority="62" dxfId="16">
      <formula>$D6="ACT/SUPV"</formula>
    </cfRule>
  </conditionalFormatting>
  <conditionalFormatting sqref="A21:D32">
    <cfRule type="expression" priority="63" dxfId="15">
      <formula>$D21="OJT"</formula>
    </cfRule>
    <cfRule type="expression" priority="64" dxfId="16">
      <formula>$D21="ACT/SUPV"</formula>
    </cfRule>
  </conditionalFormatting>
  <conditionalFormatting sqref="A36:D47">
    <cfRule type="expression" priority="65" dxfId="15">
      <formula>$D36="OJT"</formula>
    </cfRule>
    <cfRule type="expression" priority="66" dxfId="16">
      <formula>$D36="ACT/SUPV"</formula>
    </cfRule>
  </conditionalFormatting>
  <conditionalFormatting sqref="A51:D55">
    <cfRule type="expression" priority="67" dxfId="15">
      <formula>$D51="OJT"</formula>
    </cfRule>
    <cfRule type="expression" priority="68" dxfId="16">
      <formula>$D51="ACT/SUPV"</formula>
    </cfRule>
  </conditionalFormatting>
  <conditionalFormatting sqref="A70:D112">
    <cfRule type="expression" priority="69" dxfId="15">
      <formula>$D70="OJT"</formula>
    </cfRule>
    <cfRule type="expression" priority="70" dxfId="16">
      <formula>$D70="ACT/SUPV"</formula>
    </cfRule>
  </conditionalFormatting>
  <dataValidations count="1">
    <dataValidation sqref="E6:AI17 E21:AI32 E36:AI47 E51:AI55" showDropDown="0" showInputMessage="0" showErrorMessage="0" allowBlank="1" type="list">
      <formula1>"D,T,G,TR,V,R,A,H,OT,OS,S/L,C/T,L,N"</formula1>
    </dataValidation>
  </dataValidations>
  <printOptions horizontalCentered="1"/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2026-09-09T16:21:18Z</dcterms:created>
  <dcterms:modified xmlns:dcterms="http://purl.org/dc/terms/" xmlns:xsi="http://www.w3.org/2001/XMLSchema-instance" xsi:type="dcterms:W3CDTF">2026-09-09T16:21:18Z</dcterms:modified>
</cp:coreProperties>
</file>