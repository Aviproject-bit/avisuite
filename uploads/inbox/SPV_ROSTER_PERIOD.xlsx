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'ROSTER'!$A$1:$AI$89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yyyy"/>
    <numFmt numFmtId="165" formatCode="yyyy-mm-dd"/>
    <numFmt numFmtId="166" formatCode="DD/MM/YYYY"/>
  </numFmts>
  <fonts count="29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10"/>
    </font>
    <font>
      <name val="Times New Roman"/>
      <b val="1"/>
      <sz val="9"/>
    </font>
    <font>
      <name val="Times New Roman"/>
      <b val="1"/>
      <color rgb="00B45309"/>
      <sz val="13"/>
    </font>
    <font>
      <name val="Times New Roman"/>
      <i val="1"/>
      <color rgb="006B7280"/>
      <sz val="8"/>
    </font>
    <font>
      <name val="Times New Roman"/>
      <sz val="10"/>
    </font>
    <font>
      <name val="Times New Roman"/>
      <sz val="11"/>
    </font>
    <font>
      <name val="Times New Roman"/>
      <sz val="12"/>
    </font>
    <font>
      <name val="Times New Roman"/>
      <b val="1"/>
      <color rgb="00196B24"/>
      <sz val="10"/>
    </font>
    <font>
      <name val="Times New Roman"/>
      <b val="1"/>
      <color rgb="00000000"/>
      <sz val="10"/>
    </font>
    <font>
      <name val="Times New Roman"/>
      <sz val="9"/>
    </font>
    <font>
      <name val="Times New Roman"/>
      <b val="1"/>
      <color rgb="00F9FAFB"/>
      <sz val="10"/>
    </font>
    <font>
      <name val="Times New Roman"/>
      <b val="1"/>
      <color rgb="007E22CE"/>
      <sz val="10"/>
    </font>
    <font>
      <name val="Times New Roman"/>
      <b val="1"/>
      <color rgb="00C2410C"/>
      <sz val="10"/>
    </font>
    <font>
      <name val="Times New Roman"/>
      <b val="1"/>
      <color rgb="003730A3"/>
      <sz val="10"/>
    </font>
    <font>
      <name val="Times New Roman"/>
      <b val="1"/>
      <color rgb="00BE123C"/>
      <sz val="10"/>
    </font>
    <font>
      <name val="Times New Roman"/>
      <b val="1"/>
      <color rgb="003F6212"/>
      <sz val="10"/>
    </font>
    <font>
      <name val="Times New Roman"/>
      <b val="1"/>
      <color rgb="00475569"/>
      <sz val="10"/>
    </font>
    <font>
      <name val="Times New Roman"/>
      <b val="1"/>
      <color rgb="00713F12"/>
      <sz val="10"/>
    </font>
  </fonts>
  <fills count="27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FFF8E1"/>
      </patternFill>
    </fill>
    <fill>
      <patternFill patternType="solid">
        <fgColor rgb="00FFFF99"/>
      </patternFill>
    </fill>
    <fill>
      <patternFill patternType="solid">
        <fgColor rgb="00D0DFE5"/>
      </patternFill>
    </fill>
    <fill>
      <patternFill patternType="solid">
        <fgColor rgb="008693A0"/>
      </patternFill>
    </fill>
    <fill>
      <patternFill patternType="solid">
        <fgColor rgb="00D8AAD3"/>
      </patternFill>
    </fill>
    <fill>
      <patternFill patternType="solid">
        <fgColor rgb="0094CA81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CFCCB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1" fillId="11" borderId="0" applyAlignment="1" pivotButton="0" quotePrefix="0" xfId="0">
      <alignment horizontal="center" vertical="center"/>
    </xf>
    <xf numFmtId="0" fontId="0" fillId="0" borderId="5" pivotButton="0" quotePrefix="0" xfId="0"/>
    <xf numFmtId="0" fontId="12" fillId="0" borderId="0" applyAlignment="1" pivotButton="0" quotePrefix="0" xfId="0">
      <alignment horizontal="center" vertical="center"/>
    </xf>
    <xf numFmtId="166" fontId="13" fillId="12" borderId="34" applyAlignment="1" applyProtection="1" pivotButton="0" quotePrefix="0" xfId="0">
      <alignment horizontal="center" vertical="center"/>
      <protection locked="0" hidden="0"/>
    </xf>
    <xf numFmtId="0" fontId="15" fillId="0" borderId="14" applyAlignment="1" pivotButton="0" quotePrefix="0" xfId="0">
      <alignment horizontal="center" vertical="center"/>
    </xf>
    <xf numFmtId="0" fontId="16" fillId="4" borderId="14" applyAlignment="1" applyProtection="1" pivotButton="0" quotePrefix="0" xfId="0">
      <alignment horizontal="center" vertical="center"/>
      <protection locked="0" hidden="0"/>
    </xf>
    <xf numFmtId="0" fontId="17" fillId="4" borderId="14" applyAlignment="1" applyProtection="1" pivotButton="0" quotePrefix="0" xfId="0">
      <alignment horizontal="left" vertical="center" indent="1"/>
      <protection locked="0" hidden="0"/>
    </xf>
    <xf numFmtId="0" fontId="16" fillId="4" borderId="15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center" vertical="center"/>
      <protection locked="0" hidden="0"/>
    </xf>
    <xf numFmtId="0" fontId="13" fillId="12" borderId="34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center" vertical="center"/>
    </xf>
    <xf numFmtId="0" fontId="16" fillId="0" borderId="14" applyAlignment="1" applyProtection="1" pivotButton="0" quotePrefix="0" xfId="0">
      <alignment horizontal="center" vertical="center"/>
      <protection locked="0" hidden="0"/>
    </xf>
    <xf numFmtId="0" fontId="17" fillId="0" borderId="14" applyAlignment="1" applyProtection="1" pivotButton="0" quotePrefix="0" xfId="0">
      <alignment horizontal="left" vertical="center" indent="1"/>
      <protection locked="0" hidden="0"/>
    </xf>
    <xf numFmtId="0" fontId="15" fillId="5" borderId="14" applyAlignment="1" pivotButton="0" quotePrefix="0" xfId="0">
      <alignment horizontal="center" vertical="center"/>
    </xf>
    <xf numFmtId="0" fontId="16" fillId="5" borderId="14" applyAlignment="1" applyProtection="1" pivotButton="0" quotePrefix="0" xfId="0">
      <alignment horizontal="center" vertical="center"/>
      <protection locked="0" hidden="0"/>
    </xf>
    <xf numFmtId="0" fontId="17" fillId="5" borderId="14" applyAlignment="1" applyProtection="1" pivotButton="0" quotePrefix="0" xfId="0">
      <alignment horizontal="left" vertical="center" indent="1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6" fillId="0" borderId="23" applyAlignment="1" applyProtection="1" pivotButton="0" quotePrefix="0" xfId="0">
      <alignment horizontal="center" vertical="center"/>
      <protection locked="0" hidden="0"/>
    </xf>
    <xf numFmtId="0" fontId="6" fillId="0" borderId="24" applyAlignment="1" applyProtection="1" pivotButton="0" quotePrefix="0" xfId="0">
      <alignment horizontal="center" vertical="center"/>
      <protection locked="0" hidden="0"/>
    </xf>
    <xf numFmtId="0" fontId="6" fillId="0" borderId="25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0" borderId="15" applyAlignment="1" applyProtection="1" pivotButton="0" quotePrefix="0" xfId="0">
      <alignment horizontal="center" vertical="center"/>
      <protection locked="0" hidden="0"/>
    </xf>
    <xf numFmtId="0" fontId="7" fillId="6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left" vertical="center" inden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9" pivotButton="0" quotePrefix="0" xfId="0"/>
    <xf numFmtId="0" fontId="6" fillId="0" borderId="28" applyAlignment="1" applyProtection="1" pivotButton="0" quotePrefix="0" xfId="0">
      <alignment horizontal="center" vertical="center"/>
      <protection locked="0" hidden="0"/>
    </xf>
    <xf numFmtId="0" fontId="8" fillId="6" borderId="14" applyAlignment="1" pivotButton="0" quotePrefix="0" xfId="0">
      <alignment horizontal="center" vertical="center" wrapText="1"/>
    </xf>
    <xf numFmtId="0" fontId="0" fillId="0" borderId="18" pivotButton="0" quotePrefix="0" xfId="0"/>
    <xf numFmtId="0" fontId="18" fillId="0" borderId="0" pivotButton="0" quotePrefix="0" xfId="0"/>
    <xf numFmtId="0" fontId="19" fillId="13" borderId="34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indent="1"/>
    </xf>
    <xf numFmtId="0" fontId="19" fillId="14" borderId="34" applyAlignment="1" pivotButton="0" quotePrefix="0" xfId="0">
      <alignment horizontal="center" vertical="center"/>
    </xf>
    <xf numFmtId="0" fontId="11" fillId="15" borderId="34" applyAlignment="1" pivotButton="0" quotePrefix="0" xfId="0">
      <alignment horizontal="center" vertical="center"/>
    </xf>
    <xf numFmtId="0" fontId="19" fillId="16" borderId="34" applyAlignment="1" pivotButton="0" quotePrefix="0" xfId="0">
      <alignment horizontal="center" vertical="center"/>
    </xf>
    <xf numFmtId="0" fontId="19" fillId="17" borderId="34" applyAlignment="1" pivotButton="0" quotePrefix="0" xfId="0">
      <alignment horizontal="center" vertical="center"/>
    </xf>
    <xf numFmtId="0" fontId="19" fillId="18" borderId="34" applyAlignment="1" pivotButton="0" quotePrefix="0" xfId="0">
      <alignment horizontal="center" vertical="center"/>
    </xf>
    <xf numFmtId="0" fontId="21" fillId="19" borderId="34" applyAlignment="1" pivotButton="0" quotePrefix="0" xfId="0">
      <alignment horizontal="center" vertical="center"/>
    </xf>
    <xf numFmtId="0" fontId="22" fillId="20" borderId="34" applyAlignment="1" pivotButton="0" quotePrefix="0" xfId="0">
      <alignment horizontal="center" vertical="center"/>
    </xf>
    <xf numFmtId="0" fontId="23" fillId="21" borderId="34" applyAlignment="1" pivotButton="0" quotePrefix="0" xfId="0">
      <alignment horizontal="center" vertical="center"/>
    </xf>
    <xf numFmtId="0" fontId="24" fillId="22" borderId="34" applyAlignment="1" pivotButton="0" quotePrefix="0" xfId="0">
      <alignment horizontal="center" vertical="center"/>
    </xf>
    <xf numFmtId="0" fontId="25" fillId="23" borderId="34" applyAlignment="1" pivotButton="0" quotePrefix="0" xfId="0">
      <alignment horizontal="center" vertical="center"/>
    </xf>
    <xf numFmtId="0" fontId="26" fillId="24" borderId="34" applyAlignment="1" pivotButton="0" quotePrefix="0" xfId="0">
      <alignment horizontal="center" vertical="center"/>
    </xf>
    <xf numFmtId="0" fontId="27" fillId="25" borderId="34" applyAlignment="1" pivotButton="0" quotePrefix="0" xfId="0">
      <alignment horizontal="center" vertical="center"/>
    </xf>
    <xf numFmtId="0" fontId="28" fillId="26" borderId="34" applyAlignment="1" pivotButton="0" quotePrefix="0" xfId="0">
      <alignment horizontal="center" vertical="center"/>
    </xf>
  </cellXfs>
  <cellStyles count="1">
    <cellStyle name="عادي" xfId="0" builtinId="0"/>
  </cellStyles>
  <dxfs count="28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000000"/>
      </font>
      <fill>
        <patternFill>
          <bgColor rgb="00FFFF99"/>
        </patternFill>
      </fill>
    </dxf>
    <dxf>
      <font>
        <name val="Times New Roman"/>
        <b val="1"/>
        <color rgb="00000000"/>
      </font>
      <fill>
        <patternFill>
          <bgColor rgb="00D0DFE5"/>
        </patternFill>
      </fill>
    </dxf>
    <dxf>
      <font>
        <name val="Times New Roman"/>
        <b val="1"/>
        <color rgb="00FFFFFF"/>
      </font>
      <fill>
        <patternFill>
          <bgColor rgb="008693A0"/>
        </patternFill>
      </fill>
    </dxf>
    <dxf>
      <font>
        <name val="Times New Roman"/>
        <b val="1"/>
        <color rgb="00000000"/>
      </font>
      <fill>
        <patternFill>
          <bgColor rgb="00D8AAD3"/>
        </patternFill>
      </fill>
    </dxf>
    <dxf>
      <font>
        <name val="Times New Roman"/>
        <b val="1"/>
        <color rgb="00000000"/>
      </font>
      <fill>
        <patternFill>
          <bgColor rgb="0094CA81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AF2D0"/>
        </patternFill>
      </fill>
    </dxf>
    <dxf>
      <fill>
        <patternFill>
          <bgColor rgb="0083CCEB"/>
        </patternFill>
      </fill>
    </dxf>
    <dxf>
      <font>
        <name val="Times New Roman"/>
        <b val="1"/>
        <color rgb="00C00000"/>
      </font>
      <fill>
        <patternFill>
          <bgColor rgb="00FFE1E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8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8" customWidth="1" min="37" max="37"/>
    <col width="5" customWidth="1" min="38" max="38"/>
    <col width="5" customWidth="1" min="39" max="39"/>
    <col width="5" customWidth="1" min="40" max="40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80" t="inlineStr">
        <is>
          <t>CC: 264</t>
        </is>
      </c>
    </row>
    <row r="2" ht="21" customHeight="1" thickBot="1">
      <c r="A2" s="105" t="n"/>
      <c r="B2" s="105" t="n"/>
      <c r="C2" s="105" t="n"/>
      <c r="D2" s="105" t="n"/>
      <c r="E2" s="106">
        <f>UPPER(TEXT($AL$4,"dd mmm")&amp;" — "&amp;TEXT($AL$4+$AL$5-1,"dd mmm yyyy"))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07" t="n"/>
      <c r="AE2" s="108" t="n"/>
      <c r="AF2" s="108" t="n"/>
      <c r="AG2" s="108" t="n"/>
      <c r="AH2" s="108" t="n"/>
      <c r="AI2" s="108" t="n"/>
    </row>
    <row r="3" ht="15" customHeight="1" thickBot="1">
      <c r="A3" s="47" t="inlineStr">
        <is>
          <t>CREW 1</t>
        </is>
      </c>
      <c r="E3" s="1">
        <f>IF(1&lt;=$AL$5,TEXT($AL$4+0,"ddd"),"")</f>
        <v/>
      </c>
      <c r="F3" s="1">
        <f>IF(2&lt;=$AL$5,TEXT($AL$4+1,"ddd"),"")</f>
        <v/>
      </c>
      <c r="G3" s="1">
        <f>IF(3&lt;=$AL$5,TEXT($AL$4+2,"ddd"),"")</f>
        <v/>
      </c>
      <c r="H3" s="1">
        <f>IF(4&lt;=$AL$5,TEXT($AL$4+3,"ddd"),"")</f>
        <v/>
      </c>
      <c r="I3" s="1">
        <f>IF(5&lt;=$AL$5,TEXT($AL$4+4,"ddd"),"")</f>
        <v/>
      </c>
      <c r="J3" s="1">
        <f>IF(6&lt;=$AL$5,TEXT($AL$4+5,"ddd"),"")</f>
        <v/>
      </c>
      <c r="K3" s="1">
        <f>IF(7&lt;=$AL$5,TEXT($AL$4+6,"ddd"),"")</f>
        <v/>
      </c>
      <c r="L3" s="1">
        <f>IF(8&lt;=$AL$5,TEXT($AL$4+7,"ddd"),"")</f>
        <v/>
      </c>
      <c r="M3" s="1">
        <f>IF(9&lt;=$AL$5,TEXT($AL$4+8,"ddd"),"")</f>
        <v/>
      </c>
      <c r="N3" s="1">
        <f>IF(10&lt;=$AL$5,TEXT($AL$4+9,"ddd"),"")</f>
        <v/>
      </c>
      <c r="O3" s="1">
        <f>IF(11&lt;=$AL$5,TEXT($AL$4+10,"ddd"),"")</f>
        <v/>
      </c>
      <c r="P3" s="1">
        <f>IF(12&lt;=$AL$5,TEXT($AL$4+11,"ddd"),"")</f>
        <v/>
      </c>
      <c r="Q3" s="1">
        <f>IF(13&lt;=$AL$5,TEXT($AL$4+12,"ddd"),"")</f>
        <v/>
      </c>
      <c r="R3" s="1">
        <f>IF(14&lt;=$AL$5,TEXT($AL$4+13,"ddd"),"")</f>
        <v/>
      </c>
      <c r="S3" s="1">
        <f>IF(15&lt;=$AL$5,TEXT($AL$4+14,"ddd"),"")</f>
        <v/>
      </c>
      <c r="T3" s="1">
        <f>IF(16&lt;=$AL$5,TEXT($AL$4+15,"ddd"),"")</f>
        <v/>
      </c>
      <c r="U3" s="1">
        <f>IF(17&lt;=$AL$5,TEXT($AL$4+16,"ddd"),"")</f>
        <v/>
      </c>
      <c r="V3" s="1">
        <f>IF(18&lt;=$AL$5,TEXT($AL$4+17,"ddd"),"")</f>
        <v/>
      </c>
      <c r="W3" s="1">
        <f>IF(19&lt;=$AL$5,TEXT($AL$4+18,"ddd"),"")</f>
        <v/>
      </c>
      <c r="X3" s="1">
        <f>IF(20&lt;=$AL$5,TEXT($AL$4+19,"ddd"),"")</f>
        <v/>
      </c>
      <c r="Y3" s="1">
        <f>IF(21&lt;=$AL$5,TEXT($AL$4+20,"ddd"),"")</f>
        <v/>
      </c>
      <c r="Z3" s="1">
        <f>IF(22&lt;=$AL$5,TEXT($AL$4+21,"ddd"),"")</f>
        <v/>
      </c>
      <c r="AA3" s="1">
        <f>IF(23&lt;=$AL$5,TEXT($AL$4+22,"ddd"),"")</f>
        <v/>
      </c>
      <c r="AB3" s="1">
        <f>IF(24&lt;=$AL$5,TEXT($AL$4+23,"ddd"),"")</f>
        <v/>
      </c>
      <c r="AC3" s="1">
        <f>IF(25&lt;=$AL$5,TEXT($AL$4+24,"ddd"),"")</f>
        <v/>
      </c>
      <c r="AD3" s="1">
        <f>IF(26&lt;=$AL$5,TEXT($AL$4+25,"ddd"),"")</f>
        <v/>
      </c>
      <c r="AE3" s="1">
        <f>IF(27&lt;=$AL$5,TEXT($AL$4+26,"ddd"),"")</f>
        <v/>
      </c>
      <c r="AF3" s="1">
        <f>IF(28&lt;=$AL$5,TEXT($AL$4+27,"ddd"),"")</f>
        <v/>
      </c>
      <c r="AG3" s="1">
        <f>IF(29&lt;=$AL$5,TEXT($AL$4+28,"ddd"),"")</f>
        <v/>
      </c>
      <c r="AH3" s="24">
        <f>IF(30&lt;=$AL$5,TEXT($AL$4+29,"ddd"),"")</f>
        <v/>
      </c>
      <c r="AI3" s="21">
        <f>IF(31&lt;=$AL$5,TEXT($AL$4+30,"ddd"),"")</f>
        <v/>
      </c>
      <c r="AK3" s="109" t="inlineStr">
        <is>
          <t>ROSTER PERIOD</t>
        </is>
      </c>
    </row>
    <row r="4" ht="16.2" customHeight="1" thickBot="1">
      <c r="A4" s="110" t="n"/>
      <c r="E4" s="2">
        <f>IF(1&lt;=$AL$5,DAY($AL$4+0),"")</f>
        <v/>
      </c>
      <c r="F4" s="2">
        <f>IF(2&lt;=$AL$5,DAY($AL$4+1),"")</f>
        <v/>
      </c>
      <c r="G4" s="2">
        <f>IF(3&lt;=$AL$5,DAY($AL$4+2),"")</f>
        <v/>
      </c>
      <c r="H4" s="2">
        <f>IF(4&lt;=$AL$5,DAY($AL$4+3),"")</f>
        <v/>
      </c>
      <c r="I4" s="3">
        <f>IF(5&lt;=$AL$5,DAY($AL$4+4),"")</f>
        <v/>
      </c>
      <c r="J4" s="4">
        <f>IF(6&lt;=$AL$5,DAY($AL$4+5),"")</f>
        <v/>
      </c>
      <c r="K4" s="4">
        <f>IF(7&lt;=$AL$5,DAY($AL$4+6),"")</f>
        <v/>
      </c>
      <c r="L4" s="3">
        <f>IF(8&lt;=$AL$5,DAY($AL$4+7),"")</f>
        <v/>
      </c>
      <c r="M4" s="4">
        <f>IF(9&lt;=$AL$5,DAY($AL$4+8),"")</f>
        <v/>
      </c>
      <c r="N4" s="2">
        <f>IF(10&lt;=$AL$5,DAY($AL$4+9),"")</f>
        <v/>
      </c>
      <c r="O4" s="2">
        <f>IF(11&lt;=$AL$5,DAY($AL$4+10),"")</f>
        <v/>
      </c>
      <c r="P4" s="2">
        <f>IF(12&lt;=$AL$5,DAY($AL$4+11),"")</f>
        <v/>
      </c>
      <c r="Q4" s="2">
        <f>IF(13&lt;=$AL$5,DAY($AL$4+12),"")</f>
        <v/>
      </c>
      <c r="R4" s="2">
        <f>IF(14&lt;=$AL$5,DAY($AL$4+13),"")</f>
        <v/>
      </c>
      <c r="S4" s="2">
        <f>IF(15&lt;=$AL$5,DAY($AL$4+14),"")</f>
        <v/>
      </c>
      <c r="T4" s="2">
        <f>IF(16&lt;=$AL$5,DAY($AL$4+15),"")</f>
        <v/>
      </c>
      <c r="U4" s="2">
        <f>IF(17&lt;=$AL$5,DAY($AL$4+16),"")</f>
        <v/>
      </c>
      <c r="V4" s="2">
        <f>IF(18&lt;=$AL$5,DAY($AL$4+17),"")</f>
        <v/>
      </c>
      <c r="W4" s="2">
        <f>IF(19&lt;=$AL$5,DAY($AL$4+18),"")</f>
        <v/>
      </c>
      <c r="X4" s="2">
        <f>IF(20&lt;=$AL$5,DAY($AL$4+19),"")</f>
        <v/>
      </c>
      <c r="Y4" s="2">
        <f>IF(21&lt;=$AL$5,DAY($AL$4+20),"")</f>
        <v/>
      </c>
      <c r="Z4" s="2">
        <f>IF(22&lt;=$AL$5,DAY($AL$4+21),"")</f>
        <v/>
      </c>
      <c r="AA4" s="2">
        <f>IF(23&lt;=$AL$5,DAY($AL$4+22),"")</f>
        <v/>
      </c>
      <c r="AB4" s="2">
        <f>IF(24&lt;=$AL$5,DAY($AL$4+23),"")</f>
        <v/>
      </c>
      <c r="AC4" s="2">
        <f>IF(25&lt;=$AL$5,DAY($AL$4+24),"")</f>
        <v/>
      </c>
      <c r="AD4" s="2">
        <f>IF(26&lt;=$AL$5,DAY($AL$4+25),"")</f>
        <v/>
      </c>
      <c r="AE4" s="2">
        <f>IF(27&lt;=$AL$5,DAY($AL$4+26),"")</f>
        <v/>
      </c>
      <c r="AF4" s="2">
        <f>IF(28&lt;=$AL$5,DAY($AL$4+27),"")</f>
        <v/>
      </c>
      <c r="AG4" s="2">
        <f>IF(29&lt;=$AL$5,DAY($AL$4+28),"")</f>
        <v/>
      </c>
      <c r="AH4" s="25">
        <f>IF(30&lt;=$AL$5,DAY($AL$4+29),"")</f>
        <v/>
      </c>
      <c r="AI4" s="22">
        <f>IF(31&lt;=$AL$5,DAY($AL$4+30),"")</f>
        <v/>
      </c>
      <c r="AK4" s="111" t="inlineStr">
        <is>
          <t>START</t>
        </is>
      </c>
      <c r="AL4" s="112" t="n">
        <v>46426</v>
      </c>
    </row>
    <row r="5" ht="16.2" customHeight="1" thickBot="1">
      <c r="A5" s="113">
        <f>IF($C5="","",ROW()-4)</f>
        <v/>
      </c>
      <c r="B5" s="114" t="n">
        <v>13006435</v>
      </c>
      <c r="C5" s="115" t="inlineStr">
        <is>
          <t>HOMAID ALJAHDALI</t>
        </is>
      </c>
      <c r="D5" s="116" t="inlineStr">
        <is>
          <t>ACT/SUPV</t>
        </is>
      </c>
      <c r="E5" s="117" t="n"/>
      <c r="F5" s="117" t="n"/>
      <c r="G5" s="118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  <c r="S5" s="117" t="n"/>
      <c r="T5" s="117" t="n"/>
      <c r="U5" s="117" t="n"/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117" t="n"/>
      <c r="AH5" s="119" t="n"/>
      <c r="AI5" s="120" t="n"/>
      <c r="AK5" s="111" t="inlineStr">
        <is>
          <t>DAYS</t>
        </is>
      </c>
      <c r="AL5" s="121" t="n">
        <v>30</v>
      </c>
    </row>
    <row r="6" ht="16.2" customHeight="1" thickBot="1">
      <c r="A6" s="113">
        <f>IF($C6="","",ROW()-4)</f>
        <v/>
      </c>
      <c r="B6" s="114" t="n">
        <v>13008931</v>
      </c>
      <c r="C6" s="115" t="inlineStr">
        <is>
          <t>RONILO NOGADAS AMEN</t>
        </is>
      </c>
      <c r="D6" s="114" t="inlineStr">
        <is>
          <t>ACT/SUPV</t>
        </is>
      </c>
      <c r="E6" s="117" t="n"/>
      <c r="F6" s="117" t="n"/>
      <c r="G6" s="118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7" t="n"/>
      <c r="AE6" s="117" t="n"/>
      <c r="AF6" s="117" t="n"/>
      <c r="AG6" s="117" t="n"/>
      <c r="AH6" s="119" t="n"/>
      <c r="AI6" s="120" t="n"/>
      <c r="AK6" s="122" t="inlineStr">
        <is>
          <t>any start date · up to 31 days</t>
        </is>
      </c>
    </row>
    <row r="7" ht="16.2" customHeight="1" thickBot="1">
      <c r="A7" s="113">
        <f>IF($C7="","",ROW()-4)</f>
        <v/>
      </c>
      <c r="B7" s="114" t="n">
        <v>13010279</v>
      </c>
      <c r="C7" s="115" t="inlineStr">
        <is>
          <t>AHMED M. ALWAHBI</t>
        </is>
      </c>
      <c r="D7" s="114" t="inlineStr">
        <is>
          <t>ACT/SUPV</t>
        </is>
      </c>
      <c r="E7" s="117" t="n"/>
      <c r="F7" s="117" t="n"/>
      <c r="G7" s="118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117" t="n"/>
      <c r="R7" s="117" t="n"/>
      <c r="S7" s="117" t="n"/>
      <c r="T7" s="117" t="n"/>
      <c r="U7" s="117" t="n"/>
      <c r="V7" s="117" t="n"/>
      <c r="W7" s="117" t="n"/>
      <c r="X7" s="117" t="n"/>
      <c r="Y7" s="117" t="n"/>
      <c r="Z7" s="117" t="n"/>
      <c r="AA7" s="117" t="n"/>
      <c r="AB7" s="117" t="n"/>
      <c r="AC7" s="117" t="n"/>
      <c r="AD7" s="117" t="n"/>
      <c r="AE7" s="117" t="n"/>
      <c r="AF7" s="117" t="n"/>
      <c r="AG7" s="117" t="n"/>
      <c r="AH7" s="119" t="n"/>
      <c r="AI7" s="120" t="n"/>
    </row>
    <row r="8" ht="16.2" customHeight="1" thickBot="1">
      <c r="A8" s="113">
        <f>IF($C8="","",ROW()-4)</f>
        <v/>
      </c>
      <c r="B8" s="114" t="n">
        <v>13007568</v>
      </c>
      <c r="C8" s="115" t="inlineStr">
        <is>
          <t>NAIF ALANEZI</t>
        </is>
      </c>
      <c r="D8" s="114" t="inlineStr">
        <is>
          <t>ACT/SUPV</t>
        </is>
      </c>
      <c r="E8" s="117" t="n"/>
      <c r="F8" s="117" t="n"/>
      <c r="G8" s="118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17" t="n"/>
      <c r="U8" s="117" t="n"/>
      <c r="V8" s="117" t="n"/>
      <c r="W8" s="117" t="n"/>
      <c r="X8" s="117" t="n"/>
      <c r="Y8" s="117" t="n"/>
      <c r="Z8" s="117" t="n"/>
      <c r="AA8" s="117" t="n"/>
      <c r="AB8" s="117" t="n"/>
      <c r="AC8" s="117" t="n"/>
      <c r="AD8" s="117" t="n"/>
      <c r="AE8" s="117" t="n"/>
      <c r="AF8" s="117" t="n"/>
      <c r="AG8" s="117" t="n"/>
      <c r="AH8" s="119" t="n"/>
      <c r="AI8" s="120" t="n"/>
    </row>
    <row r="9" ht="16.2" customHeight="1" thickBot="1">
      <c r="A9" s="113">
        <f>IF($C9="","",ROW()-4)</f>
        <v/>
      </c>
      <c r="B9" s="123" t="n">
        <v>30005295</v>
      </c>
      <c r="C9" s="124" t="inlineStr">
        <is>
          <t>RODEL CLEMENTE</t>
        </is>
      </c>
      <c r="D9" s="123" t="inlineStr">
        <is>
          <t>TECH</t>
        </is>
      </c>
      <c r="E9" s="117" t="n"/>
      <c r="F9" s="117" t="n"/>
      <c r="G9" s="118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117" t="n"/>
      <c r="R9" s="117" t="n"/>
      <c r="S9" s="117" t="n"/>
      <c r="T9" s="117" t="n"/>
      <c r="U9" s="117" t="n"/>
      <c r="V9" s="117" t="n"/>
      <c r="W9" s="117" t="n"/>
      <c r="X9" s="117" t="n"/>
      <c r="Y9" s="117" t="n"/>
      <c r="Z9" s="117" t="n"/>
      <c r="AA9" s="117" t="n"/>
      <c r="AB9" s="117" t="n"/>
      <c r="AC9" s="117" t="n"/>
      <c r="AD9" s="117" t="n"/>
      <c r="AE9" s="117" t="n"/>
      <c r="AF9" s="117" t="n"/>
      <c r="AG9" s="117" t="n"/>
      <c r="AH9" s="119" t="n"/>
      <c r="AI9" s="120" t="n"/>
    </row>
    <row r="10" ht="16.2" customHeight="1" thickBot="1">
      <c r="A10" s="125">
        <f>IF($C10="","",ROW()-4)</f>
        <v/>
      </c>
      <c r="B10" s="126" t="n">
        <v>30001593</v>
      </c>
      <c r="C10" s="127" t="inlineStr">
        <is>
          <t>FYSAL M. ALEDAINI</t>
        </is>
      </c>
      <c r="D10" s="126" t="inlineStr">
        <is>
          <t>OJT</t>
        </is>
      </c>
      <c r="E10" s="117" t="n"/>
      <c r="F10" s="117" t="n"/>
      <c r="G10" s="118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117" t="n"/>
      <c r="R10" s="117" t="n"/>
      <c r="S10" s="117" t="n"/>
      <c r="T10" s="117" t="n"/>
      <c r="U10" s="117" t="n"/>
      <c r="V10" s="117" t="n"/>
      <c r="W10" s="117" t="n"/>
      <c r="X10" s="117" t="n"/>
      <c r="Y10" s="117" t="n"/>
      <c r="Z10" s="117" t="n"/>
      <c r="AA10" s="117" t="n"/>
      <c r="AB10" s="117" t="n"/>
      <c r="AC10" s="117" t="n"/>
      <c r="AD10" s="117" t="n"/>
      <c r="AE10" s="117" t="n"/>
      <c r="AF10" s="117" t="n"/>
      <c r="AG10" s="117" t="n"/>
      <c r="AH10" s="119" t="n"/>
      <c r="AI10" s="120" t="n"/>
    </row>
    <row r="11" ht="16.2" customHeight="1" thickBot="1">
      <c r="A11" s="125">
        <f>IF($C11="","",ROW()-4)</f>
        <v/>
      </c>
      <c r="B11" s="126" t="n">
        <v>30001338</v>
      </c>
      <c r="C11" s="127" t="inlineStr">
        <is>
          <t>MASHHOUR ALSULAIMANI</t>
        </is>
      </c>
      <c r="D11" s="126" t="inlineStr">
        <is>
          <t>OJT</t>
        </is>
      </c>
      <c r="E11" s="117" t="n"/>
      <c r="F11" s="117" t="n"/>
      <c r="G11" s="118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117" t="n"/>
      <c r="R11" s="117" t="n"/>
      <c r="S11" s="117" t="n"/>
      <c r="T11" s="117" t="n"/>
      <c r="U11" s="117" t="n"/>
      <c r="V11" s="117" t="n"/>
      <c r="W11" s="117" t="n"/>
      <c r="X11" s="117" t="n"/>
      <c r="Y11" s="117" t="n"/>
      <c r="Z11" s="117" t="n"/>
      <c r="AA11" s="117" t="n"/>
      <c r="AB11" s="117" t="n"/>
      <c r="AC11" s="117" t="n"/>
      <c r="AD11" s="117" t="n"/>
      <c r="AE11" s="117" t="n"/>
      <c r="AF11" s="117" t="n"/>
      <c r="AG11" s="117" t="n"/>
      <c r="AH11" s="119" t="n"/>
      <c r="AI11" s="120" t="n"/>
    </row>
    <row r="12" ht="16.2" customHeight="1" thickBot="1">
      <c r="A12" s="125">
        <f>IF($C12="","",ROW()-4)</f>
        <v/>
      </c>
      <c r="B12" s="126" t="n">
        <v>30001573</v>
      </c>
      <c r="C12" s="127" t="inlineStr">
        <is>
          <t>JEHAD M. HAKAMI</t>
        </is>
      </c>
      <c r="D12" s="126" t="inlineStr">
        <is>
          <t>OJT</t>
        </is>
      </c>
      <c r="E12" s="117" t="n"/>
      <c r="F12" s="117" t="n"/>
      <c r="G12" s="118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117" t="n"/>
      <c r="R12" s="117" t="n"/>
      <c r="S12" s="117" t="n"/>
      <c r="T12" s="117" t="n"/>
      <c r="U12" s="117" t="n"/>
      <c r="V12" s="117" t="n"/>
      <c r="W12" s="117" t="n"/>
      <c r="X12" s="117" t="n"/>
      <c r="Y12" s="117" t="n"/>
      <c r="Z12" s="117" t="n"/>
      <c r="AA12" s="117" t="n"/>
      <c r="AB12" s="117" t="n"/>
      <c r="AC12" s="117" t="n"/>
      <c r="AD12" s="117" t="n"/>
      <c r="AE12" s="117" t="n"/>
      <c r="AF12" s="117" t="n"/>
      <c r="AG12" s="117" t="n"/>
      <c r="AH12" s="119" t="n"/>
      <c r="AI12" s="120" t="n"/>
    </row>
    <row r="13" ht="16.2" customHeight="1" thickBot="1">
      <c r="A13" s="125">
        <f>IF($C13="","",ROW()-4)</f>
        <v/>
      </c>
      <c r="B13" s="126" t="n">
        <v>30001366</v>
      </c>
      <c r="C13" s="127" t="inlineStr">
        <is>
          <t>ABDULAZIZ ZAKOUR</t>
        </is>
      </c>
      <c r="D13" s="126" t="inlineStr">
        <is>
          <t>OJT</t>
        </is>
      </c>
      <c r="E13" s="117" t="n"/>
      <c r="F13" s="117" t="n"/>
      <c r="G13" s="118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117" t="n"/>
      <c r="R13" s="117" t="n"/>
      <c r="S13" s="117" t="n"/>
      <c r="T13" s="117" t="n"/>
      <c r="U13" s="117" t="n"/>
      <c r="V13" s="117" t="n"/>
      <c r="W13" s="117" t="n"/>
      <c r="X13" s="117" t="n"/>
      <c r="Y13" s="117" t="n"/>
      <c r="Z13" s="117" t="n"/>
      <c r="AA13" s="117" t="n"/>
      <c r="AB13" s="117" t="n"/>
      <c r="AC13" s="117" t="n"/>
      <c r="AD13" s="117" t="n"/>
      <c r="AE13" s="117" t="n"/>
      <c r="AF13" s="117" t="n"/>
      <c r="AG13" s="117" t="n"/>
      <c r="AH13" s="119" t="n"/>
      <c r="AI13" s="120" t="n"/>
    </row>
    <row r="14" ht="16.2" customHeight="1" thickBot="1">
      <c r="A14" s="125">
        <f>IF($C14="","",ROW()-4)</f>
        <v/>
      </c>
      <c r="B14" s="126" t="n">
        <v>30001450</v>
      </c>
      <c r="C14" s="127" t="inlineStr">
        <is>
          <t>MUHAMMED ALSHAIKH</t>
        </is>
      </c>
      <c r="D14" s="126" t="inlineStr">
        <is>
          <t>OJT</t>
        </is>
      </c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8" t="n"/>
      <c r="U14" s="128" t="n"/>
      <c r="V14" s="128" t="n"/>
      <c r="W14" s="128" t="n"/>
      <c r="X14" s="128" t="n"/>
      <c r="Y14" s="128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  <c r="AI14" s="120" t="n"/>
    </row>
    <row r="15" ht="16.2" customHeight="1" thickBot="1">
      <c r="A15" s="125">
        <f>IF($C15="","",ROW()-4)</f>
        <v/>
      </c>
      <c r="B15" s="126" t="n">
        <v>30001602</v>
      </c>
      <c r="C15" s="127" t="inlineStr">
        <is>
          <t>AHMED M. ALYAMANI</t>
        </is>
      </c>
      <c r="D15" s="126" t="inlineStr">
        <is>
          <t>OJT</t>
        </is>
      </c>
      <c r="E15" s="117" t="n"/>
      <c r="F15" s="117" t="n"/>
      <c r="G15" s="118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117" t="n"/>
      <c r="R15" s="117" t="n"/>
      <c r="S15" s="117" t="n"/>
      <c r="T15" s="117" t="n"/>
      <c r="U15" s="117" t="n"/>
      <c r="V15" s="117" t="n"/>
      <c r="W15" s="117" t="n"/>
      <c r="X15" s="117" t="n"/>
      <c r="Y15" s="117" t="n"/>
      <c r="Z15" s="117" t="n"/>
      <c r="AA15" s="117" t="n"/>
      <c r="AB15" s="117" t="n"/>
      <c r="AC15" s="117" t="n"/>
      <c r="AD15" s="117" t="n"/>
      <c r="AE15" s="117" t="n"/>
      <c r="AF15" s="117" t="n"/>
      <c r="AG15" s="117" t="n"/>
      <c r="AH15" s="119" t="n"/>
      <c r="AI15" s="120" t="n"/>
    </row>
    <row r="16" ht="16.2" customHeight="1" thickBot="1">
      <c r="A16" s="113">
        <f>IF($C16="","",ROW()-4)</f>
        <v/>
      </c>
      <c r="B16" s="123" t="n">
        <v>40001135</v>
      </c>
      <c r="C16" s="124" t="inlineStr">
        <is>
          <t>SYAHLENDRA SYAMSOE</t>
        </is>
      </c>
      <c r="D16" s="129" t="inlineStr">
        <is>
          <t>FITTER</t>
        </is>
      </c>
      <c r="E16" s="117" t="n"/>
      <c r="F16" s="117" t="n"/>
      <c r="G16" s="118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117" t="n"/>
      <c r="R16" s="117" t="n"/>
      <c r="S16" s="117" t="n"/>
      <c r="T16" s="117" t="n"/>
      <c r="U16" s="117" t="n"/>
      <c r="V16" s="117" t="n"/>
      <c r="W16" s="117" t="n"/>
      <c r="X16" s="117" t="n"/>
      <c r="Y16" s="117" t="n"/>
      <c r="Z16" s="117" t="n"/>
      <c r="AA16" s="117" t="n"/>
      <c r="AB16" s="117" t="n"/>
      <c r="AC16" s="117" t="n"/>
      <c r="AD16" s="117" t="n"/>
      <c r="AE16" s="117" t="n"/>
      <c r="AF16" s="117" t="n"/>
      <c r="AG16" s="117" t="n"/>
      <c r="AH16" s="119" t="n"/>
      <c r="AI16" s="120" t="n"/>
    </row>
    <row r="17" ht="16.2" customHeight="1" thickBot="1">
      <c r="A17" s="113">
        <f>IF($C17="","",ROW()-4)</f>
        <v/>
      </c>
      <c r="B17" s="123" t="n">
        <v>70010082</v>
      </c>
      <c r="C17" s="124" t="inlineStr">
        <is>
          <t>MOHAMMAD KAIFI</t>
        </is>
      </c>
      <c r="D17" s="123" t="inlineStr">
        <is>
          <t>FITTER</t>
        </is>
      </c>
      <c r="E17" s="117" t="n"/>
      <c r="F17" s="117" t="n"/>
      <c r="G17" s="118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117" t="n"/>
      <c r="R17" s="117" t="n"/>
      <c r="S17" s="117" t="n"/>
      <c r="T17" s="117" t="n"/>
      <c r="U17" s="117" t="n"/>
      <c r="V17" s="117" t="n"/>
      <c r="W17" s="117" t="n"/>
      <c r="X17" s="117" t="n"/>
      <c r="Y17" s="117" t="n"/>
      <c r="Z17" s="117" t="n"/>
      <c r="AA17" s="117" t="n"/>
      <c r="AB17" s="117" t="n"/>
      <c r="AC17" s="117" t="n"/>
      <c r="AD17" s="117" t="n"/>
      <c r="AE17" s="117" t="n"/>
      <c r="AF17" s="117" t="n"/>
      <c r="AG17" s="117" t="n"/>
      <c r="AH17" s="119" t="n"/>
      <c r="AI17" s="120" t="n"/>
    </row>
    <row r="18" ht="16.2" customHeight="1" thickBot="1">
      <c r="A18" s="113">
        <f>IF($C18="","",ROW()-4)</f>
        <v/>
      </c>
      <c r="B18" s="123" t="n">
        <v>13009258</v>
      </c>
      <c r="C18" s="124" t="inlineStr">
        <is>
          <t>ALI ALAHMADI</t>
        </is>
      </c>
      <c r="D18" s="129" t="inlineStr">
        <is>
          <t>FITTER</t>
        </is>
      </c>
      <c r="E18" s="117" t="n"/>
      <c r="F18" s="117" t="n"/>
      <c r="G18" s="118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117" t="n"/>
      <c r="R18" s="117" t="n"/>
      <c r="S18" s="117" t="n"/>
      <c r="T18" s="117" t="n"/>
      <c r="U18" s="117" t="n"/>
      <c r="V18" s="117" t="n"/>
      <c r="W18" s="117" t="n"/>
      <c r="X18" s="117" t="n"/>
      <c r="Y18" s="117" t="n"/>
      <c r="Z18" s="117" t="n"/>
      <c r="AA18" s="117" t="n"/>
      <c r="AB18" s="117" t="n"/>
      <c r="AC18" s="117" t="n"/>
      <c r="AD18" s="117" t="n"/>
      <c r="AE18" s="117" t="n"/>
      <c r="AF18" s="117" t="n"/>
      <c r="AG18" s="117" t="n"/>
      <c r="AH18" s="119" t="n"/>
      <c r="AI18" s="120" t="n"/>
    </row>
    <row r="19" ht="16.2" customHeight="1" thickBot="1">
      <c r="A19" s="113">
        <f>IF($C19="","",ROW()-4)</f>
        <v/>
      </c>
      <c r="B19" s="123" t="n">
        <v>13009255</v>
      </c>
      <c r="C19" s="124" t="inlineStr">
        <is>
          <t>HOSSAM ALGHAMDI</t>
        </is>
      </c>
      <c r="D19" s="123" t="inlineStr">
        <is>
          <t>FITTER</t>
        </is>
      </c>
      <c r="E19" s="117" t="n"/>
      <c r="F19" s="117" t="n"/>
      <c r="G19" s="118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7" t="n"/>
      <c r="W19" s="117" t="n"/>
      <c r="X19" s="117" t="n"/>
      <c r="Y19" s="117" t="n"/>
      <c r="Z19" s="117" t="n"/>
      <c r="AA19" s="117" t="n"/>
      <c r="AB19" s="117" t="n"/>
      <c r="AC19" s="117" t="n"/>
      <c r="AD19" s="117" t="n"/>
      <c r="AE19" s="117" t="n"/>
      <c r="AF19" s="117" t="n"/>
      <c r="AG19" s="117" t="n"/>
      <c r="AH19" s="119" t="n"/>
      <c r="AI19" s="120" t="n"/>
    </row>
    <row r="20" ht="16.2" customHeight="1" thickBot="1">
      <c r="A20" s="113">
        <f>IF($C20="","",ROW()-4)</f>
        <v/>
      </c>
      <c r="B20" s="123" t="n">
        <v>13009047</v>
      </c>
      <c r="C20" s="124" t="inlineStr">
        <is>
          <t>JIMRICKS AQINO</t>
        </is>
      </c>
      <c r="D20" s="123" t="inlineStr">
        <is>
          <t>FITTER</t>
        </is>
      </c>
      <c r="E20" s="130" t="n"/>
      <c r="F20" s="130" t="n"/>
      <c r="G20" s="131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  <c r="R20" s="130" t="n"/>
      <c r="S20" s="130" t="n"/>
      <c r="T20" s="130" t="n"/>
      <c r="U20" s="130" t="n"/>
      <c r="V20" s="130" t="n"/>
      <c r="W20" s="130" t="n"/>
      <c r="X20" s="130" t="n"/>
      <c r="Y20" s="130" t="n"/>
      <c r="Z20" s="130" t="n"/>
      <c r="AA20" s="130" t="n"/>
      <c r="AB20" s="130" t="n"/>
      <c r="AC20" s="130" t="n"/>
      <c r="AD20" s="130" t="n"/>
      <c r="AE20" s="130" t="n"/>
      <c r="AF20" s="130" t="n"/>
      <c r="AG20" s="130" t="n"/>
      <c r="AH20" s="132" t="n"/>
      <c r="AI20" s="120" t="n"/>
    </row>
    <row r="21" ht="16.2" customHeight="1" thickBot="1">
      <c r="A21" s="12" t="n"/>
      <c r="C21" s="13" t="n"/>
      <c r="D21" s="13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15" customHeight="1" thickBot="1">
      <c r="A22" s="74" t="inlineStr">
        <is>
          <t>CREW 2</t>
        </is>
      </c>
      <c r="B22" s="133" t="n"/>
      <c r="C22" s="133" t="n"/>
      <c r="D22" s="133" t="n"/>
      <c r="E22" s="30">
        <f>IF(1&lt;=$AL$5,TEXT($AL$4+0,"ddd"),"")</f>
        <v/>
      </c>
      <c r="F22" s="30">
        <f>IF(2&lt;=$AL$5,TEXT($AL$4+1,"ddd"),"")</f>
        <v/>
      </c>
      <c r="G22" s="30">
        <f>IF(3&lt;=$AL$5,TEXT($AL$4+2,"ddd"),"")</f>
        <v/>
      </c>
      <c r="H22" s="30">
        <f>IF(4&lt;=$AL$5,TEXT($AL$4+3,"ddd"),"")</f>
        <v/>
      </c>
      <c r="I22" s="30">
        <f>IF(5&lt;=$AL$5,TEXT($AL$4+4,"ddd"),"")</f>
        <v/>
      </c>
      <c r="J22" s="30">
        <f>IF(6&lt;=$AL$5,TEXT($AL$4+5,"ddd"),"")</f>
        <v/>
      </c>
      <c r="K22" s="30">
        <f>IF(7&lt;=$AL$5,TEXT($AL$4+6,"ddd"),"")</f>
        <v/>
      </c>
      <c r="L22" s="30">
        <f>IF(8&lt;=$AL$5,TEXT($AL$4+7,"ddd"),"")</f>
        <v/>
      </c>
      <c r="M22" s="30">
        <f>IF(9&lt;=$AL$5,TEXT($AL$4+8,"ddd"),"")</f>
        <v/>
      </c>
      <c r="N22" s="30">
        <f>IF(10&lt;=$AL$5,TEXT($AL$4+9,"ddd"),"")</f>
        <v/>
      </c>
      <c r="O22" s="30">
        <f>IF(11&lt;=$AL$5,TEXT($AL$4+10,"ddd"),"")</f>
        <v/>
      </c>
      <c r="P22" s="30">
        <f>IF(12&lt;=$AL$5,TEXT($AL$4+11,"ddd"),"")</f>
        <v/>
      </c>
      <c r="Q22" s="30">
        <f>IF(13&lt;=$AL$5,TEXT($AL$4+12,"ddd"),"")</f>
        <v/>
      </c>
      <c r="R22" s="30">
        <f>IF(14&lt;=$AL$5,TEXT($AL$4+13,"ddd"),"")</f>
        <v/>
      </c>
      <c r="S22" s="30">
        <f>IF(15&lt;=$AL$5,TEXT($AL$4+14,"ddd"),"")</f>
        <v/>
      </c>
      <c r="T22" s="30">
        <f>IF(16&lt;=$AL$5,TEXT($AL$4+15,"ddd"),"")</f>
        <v/>
      </c>
      <c r="U22" s="30">
        <f>IF(17&lt;=$AL$5,TEXT($AL$4+16,"ddd"),"")</f>
        <v/>
      </c>
      <c r="V22" s="30">
        <f>IF(18&lt;=$AL$5,TEXT($AL$4+17,"ddd"),"")</f>
        <v/>
      </c>
      <c r="W22" s="30">
        <f>IF(19&lt;=$AL$5,TEXT($AL$4+18,"ddd"),"")</f>
        <v/>
      </c>
      <c r="X22" s="30">
        <f>IF(20&lt;=$AL$5,TEXT($AL$4+19,"ddd"),"")</f>
        <v/>
      </c>
      <c r="Y22" s="30">
        <f>IF(21&lt;=$AL$5,TEXT($AL$4+20,"ddd"),"")</f>
        <v/>
      </c>
      <c r="Z22" s="30">
        <f>IF(22&lt;=$AL$5,TEXT($AL$4+21,"ddd"),"")</f>
        <v/>
      </c>
      <c r="AA22" s="30">
        <f>IF(23&lt;=$AL$5,TEXT($AL$4+22,"ddd"),"")</f>
        <v/>
      </c>
      <c r="AB22" s="30">
        <f>IF(24&lt;=$AL$5,TEXT($AL$4+23,"ddd"),"")</f>
        <v/>
      </c>
      <c r="AC22" s="30">
        <f>IF(25&lt;=$AL$5,TEXT($AL$4+24,"ddd"),"")</f>
        <v/>
      </c>
      <c r="AD22" s="30">
        <f>IF(26&lt;=$AL$5,TEXT($AL$4+25,"ddd"),"")</f>
        <v/>
      </c>
      <c r="AE22" s="30">
        <f>IF(27&lt;=$AL$5,TEXT($AL$4+26,"ddd"),"")</f>
        <v/>
      </c>
      <c r="AF22" s="30">
        <f>IF(28&lt;=$AL$5,TEXT($AL$4+27,"ddd"),"")</f>
        <v/>
      </c>
      <c r="AG22" s="30">
        <f>IF(29&lt;=$AL$5,TEXT($AL$4+28,"ddd"),"")</f>
        <v/>
      </c>
      <c r="AH22" s="30">
        <f>IF(30&lt;=$AL$5,TEXT($AL$4+29,"ddd"),"")</f>
        <v/>
      </c>
      <c r="AI22" s="31">
        <f>IF(31&lt;=$AL$5,TEXT($AL$4+30,"ddd"),"")</f>
        <v/>
      </c>
    </row>
    <row r="23" ht="16.2" customHeight="1" thickBot="1">
      <c r="A23" s="134" t="n"/>
      <c r="B23" s="135" t="n"/>
      <c r="C23" s="135" t="n"/>
      <c r="D23" s="135" t="n"/>
      <c r="E23" s="2">
        <f>IF(1&lt;=$AL$5,DAY($AL$4+0),"")</f>
        <v/>
      </c>
      <c r="F23" s="2">
        <f>IF(2&lt;=$AL$5,DAY($AL$4+1),"")</f>
        <v/>
      </c>
      <c r="G23" s="2">
        <f>IF(3&lt;=$AL$5,DAY($AL$4+2),"")</f>
        <v/>
      </c>
      <c r="H23" s="2">
        <f>IF(4&lt;=$AL$5,DAY($AL$4+3),"")</f>
        <v/>
      </c>
      <c r="I23" s="3">
        <f>IF(5&lt;=$AL$5,DAY($AL$4+4),"")</f>
        <v/>
      </c>
      <c r="J23" s="4">
        <f>IF(6&lt;=$AL$5,DAY($AL$4+5),"")</f>
        <v/>
      </c>
      <c r="K23" s="4">
        <f>IF(7&lt;=$AL$5,DAY($AL$4+6),"")</f>
        <v/>
      </c>
      <c r="L23" s="3">
        <f>IF(8&lt;=$AL$5,DAY($AL$4+7),"")</f>
        <v/>
      </c>
      <c r="M23" s="4">
        <f>IF(9&lt;=$AL$5,DAY($AL$4+8),"")</f>
        <v/>
      </c>
      <c r="N23" s="2">
        <f>IF(10&lt;=$AL$5,DAY($AL$4+9),"")</f>
        <v/>
      </c>
      <c r="O23" s="2">
        <f>IF(11&lt;=$AL$5,DAY($AL$4+10),"")</f>
        <v/>
      </c>
      <c r="P23" s="2">
        <f>IF(12&lt;=$AL$5,DAY($AL$4+11),"")</f>
        <v/>
      </c>
      <c r="Q23" s="2">
        <f>IF(13&lt;=$AL$5,DAY($AL$4+12),"")</f>
        <v/>
      </c>
      <c r="R23" s="2">
        <f>IF(14&lt;=$AL$5,DAY($AL$4+13),"")</f>
        <v/>
      </c>
      <c r="S23" s="2">
        <f>IF(15&lt;=$AL$5,DAY($AL$4+14),"")</f>
        <v/>
      </c>
      <c r="T23" s="2">
        <f>IF(16&lt;=$AL$5,DAY($AL$4+15),"")</f>
        <v/>
      </c>
      <c r="U23" s="2">
        <f>IF(17&lt;=$AL$5,DAY($AL$4+16),"")</f>
        <v/>
      </c>
      <c r="V23" s="2">
        <f>IF(18&lt;=$AL$5,DAY($AL$4+17),"")</f>
        <v/>
      </c>
      <c r="W23" s="2">
        <f>IF(19&lt;=$AL$5,DAY($AL$4+18),"")</f>
        <v/>
      </c>
      <c r="X23" s="2">
        <f>IF(20&lt;=$AL$5,DAY($AL$4+19),"")</f>
        <v/>
      </c>
      <c r="Y23" s="2">
        <f>IF(21&lt;=$AL$5,DAY($AL$4+20),"")</f>
        <v/>
      </c>
      <c r="Z23" s="2">
        <f>IF(22&lt;=$AL$5,DAY($AL$4+21),"")</f>
        <v/>
      </c>
      <c r="AA23" s="2">
        <f>IF(23&lt;=$AL$5,DAY($AL$4+22),"")</f>
        <v/>
      </c>
      <c r="AB23" s="2">
        <f>IF(24&lt;=$AL$5,DAY($AL$4+23),"")</f>
        <v/>
      </c>
      <c r="AC23" s="2">
        <f>IF(25&lt;=$AL$5,DAY($AL$4+24),"")</f>
        <v/>
      </c>
      <c r="AD23" s="2">
        <f>IF(26&lt;=$AL$5,DAY($AL$4+25),"")</f>
        <v/>
      </c>
      <c r="AE23" s="2">
        <f>IF(27&lt;=$AL$5,DAY($AL$4+26),"")</f>
        <v/>
      </c>
      <c r="AF23" s="2">
        <f>IF(28&lt;=$AL$5,DAY($AL$4+27),"")</f>
        <v/>
      </c>
      <c r="AG23" s="2">
        <f>IF(29&lt;=$AL$5,DAY($AL$4+28),"")</f>
        <v/>
      </c>
      <c r="AH23" s="2">
        <f>IF(30&lt;=$AL$5,DAY($AL$4+29),"")</f>
        <v/>
      </c>
      <c r="AI23" s="25">
        <f>IF(31&lt;=$AL$5,DAY($AL$4+30),"")</f>
        <v/>
      </c>
    </row>
    <row r="24" ht="16.2" customHeight="1" thickBot="1">
      <c r="A24" s="113">
        <f>IF($C24="","",ROW()-23)</f>
        <v/>
      </c>
      <c r="B24" s="114" t="n">
        <v>13006567</v>
      </c>
      <c r="C24" s="115" t="inlineStr">
        <is>
          <t>AHMED AL-GHAMDI</t>
        </is>
      </c>
      <c r="D24" s="114" t="inlineStr">
        <is>
          <t>ACT/SUPV</t>
        </is>
      </c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  <c r="S24" s="117" t="n"/>
      <c r="T24" s="117" t="n"/>
      <c r="U24" s="117" t="n"/>
      <c r="V24" s="117" t="n"/>
      <c r="W24" s="117" t="n"/>
      <c r="X24" s="117" t="n"/>
      <c r="Y24" s="117" t="n"/>
      <c r="Z24" s="117" t="n"/>
      <c r="AA24" s="117" t="n"/>
      <c r="AB24" s="117" t="n"/>
      <c r="AC24" s="117" t="n"/>
      <c r="AD24" s="117" t="n"/>
      <c r="AE24" s="117" t="n"/>
      <c r="AF24" s="117" t="n"/>
      <c r="AG24" s="117" t="n"/>
      <c r="AH24" s="117" t="n"/>
      <c r="AI24" s="119" t="n"/>
    </row>
    <row r="25" ht="16.2" customHeight="1" thickBot="1">
      <c r="A25" s="113">
        <f>IF($C25="","",ROW()-23)</f>
        <v/>
      </c>
      <c r="B25" s="114" t="n">
        <v>13010253</v>
      </c>
      <c r="C25" s="115" t="inlineStr">
        <is>
          <t>AHMED S. ALGHAMDI</t>
        </is>
      </c>
      <c r="D25" s="114" t="inlineStr">
        <is>
          <t>ACT/SUPV</t>
        </is>
      </c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17" t="n"/>
      <c r="Y25" s="117" t="n"/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9" t="n"/>
    </row>
    <row r="26" ht="16.2" customHeight="1" thickBot="1">
      <c r="A26" s="113">
        <f>IF($C26="","",ROW()-23)</f>
        <v/>
      </c>
      <c r="B26" s="123" t="n">
        <v>13007276</v>
      </c>
      <c r="C26" s="124" t="inlineStr">
        <is>
          <t>MOHAMMED BAROOM</t>
        </is>
      </c>
      <c r="D26" s="136" t="inlineStr">
        <is>
          <t>TECH</t>
        </is>
      </c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117" t="n"/>
      <c r="R26" s="117" t="n"/>
      <c r="S26" s="117" t="n"/>
      <c r="T26" s="117" t="n"/>
      <c r="U26" s="117" t="n"/>
      <c r="V26" s="117" t="n"/>
      <c r="W26" s="117" t="n"/>
      <c r="X26" s="117" t="n"/>
      <c r="Y26" s="117" t="n"/>
      <c r="Z26" s="117" t="n"/>
      <c r="AA26" s="117" t="n"/>
      <c r="AB26" s="117" t="n"/>
      <c r="AC26" s="117" t="n"/>
      <c r="AD26" s="117" t="n"/>
      <c r="AE26" s="117" t="n"/>
      <c r="AF26" s="117" t="n"/>
      <c r="AG26" s="117" t="n"/>
      <c r="AH26" s="117" t="n"/>
      <c r="AI26" s="119" t="n"/>
    </row>
    <row r="27" ht="16.2" customHeight="1" thickBot="1">
      <c r="A27" s="113">
        <f>IF($C27="","",ROW()-23)</f>
        <v/>
      </c>
      <c r="B27" s="123" t="n">
        <v>13010286</v>
      </c>
      <c r="C27" s="124" t="inlineStr">
        <is>
          <t>ABDULAZIZ F. ALBOUQ</t>
        </is>
      </c>
      <c r="D27" s="136" t="inlineStr">
        <is>
          <t>TECH</t>
        </is>
      </c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17" t="n"/>
      <c r="Y27" s="117" t="n"/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9" t="n"/>
    </row>
    <row r="28" ht="16.2" customHeight="1" thickBot="1">
      <c r="A28" s="113">
        <f>IF($C28="","",ROW()-23)</f>
        <v/>
      </c>
      <c r="B28" s="123" t="n">
        <v>30004221</v>
      </c>
      <c r="C28" s="124" t="inlineStr">
        <is>
          <t>YOUSEF BARIFAH</t>
        </is>
      </c>
      <c r="D28" s="136" t="inlineStr">
        <is>
          <t>TECH</t>
        </is>
      </c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117" t="n"/>
      <c r="R28" s="117" t="n"/>
      <c r="S28" s="117" t="n"/>
      <c r="T28" s="117" t="n"/>
      <c r="U28" s="117" t="n"/>
      <c r="V28" s="117" t="n"/>
      <c r="W28" s="117" t="n"/>
      <c r="X28" s="117" t="n"/>
      <c r="Y28" s="117" t="n"/>
      <c r="Z28" s="117" t="n"/>
      <c r="AA28" s="117" t="n"/>
      <c r="AB28" s="117" t="n"/>
      <c r="AC28" s="117" t="n"/>
      <c r="AD28" s="117" t="n"/>
      <c r="AE28" s="117" t="n"/>
      <c r="AF28" s="117" t="n"/>
      <c r="AG28" s="117" t="n"/>
      <c r="AH28" s="117" t="n"/>
      <c r="AI28" s="119" t="n"/>
    </row>
    <row r="29" ht="16.2" customHeight="1" thickBot="1">
      <c r="A29" s="125">
        <f>IF($C29="","",ROW()-23)</f>
        <v/>
      </c>
      <c r="B29" s="126" t="n">
        <v>30001345</v>
      </c>
      <c r="C29" s="127" t="inlineStr">
        <is>
          <t>AHMED ALSHARIF</t>
        </is>
      </c>
      <c r="D29" s="126" t="inlineStr">
        <is>
          <t>OJT</t>
        </is>
      </c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17" t="n"/>
      <c r="Y29" s="117" t="n"/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9" t="n"/>
    </row>
    <row r="30" ht="16.2" customHeight="1" thickBot="1">
      <c r="A30" s="125">
        <f>IF($C30="","",ROW()-23)</f>
        <v/>
      </c>
      <c r="B30" s="126" t="n">
        <v>30001351</v>
      </c>
      <c r="C30" s="127" t="inlineStr">
        <is>
          <t>KHALID ALSHUBRAMI</t>
        </is>
      </c>
      <c r="D30" s="126" t="inlineStr">
        <is>
          <t>OJT</t>
        </is>
      </c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  <c r="S30" s="117" t="n"/>
      <c r="T30" s="117" t="n"/>
      <c r="U30" s="117" t="n"/>
      <c r="V30" s="117" t="n"/>
      <c r="W30" s="117" t="n"/>
      <c r="X30" s="117" t="n"/>
      <c r="Y30" s="117" t="n"/>
      <c r="Z30" s="117" t="n"/>
      <c r="AA30" s="117" t="n"/>
      <c r="AB30" s="117" t="n"/>
      <c r="AC30" s="117" t="n"/>
      <c r="AD30" s="117" t="n"/>
      <c r="AE30" s="117" t="n"/>
      <c r="AF30" s="117" t="n"/>
      <c r="AG30" s="117" t="n"/>
      <c r="AH30" s="117" t="n"/>
      <c r="AI30" s="119" t="n"/>
    </row>
    <row r="31" ht="16.2" customHeight="1" thickBot="1">
      <c r="A31" s="125">
        <f>IF($C31="","",ROW()-23)</f>
        <v/>
      </c>
      <c r="B31" s="126" t="n">
        <v>30001451</v>
      </c>
      <c r="C31" s="127" t="inlineStr">
        <is>
          <t>MUHAMMED ALHARBI</t>
        </is>
      </c>
      <c r="D31" s="126" t="inlineStr">
        <is>
          <t>OJT</t>
        </is>
      </c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17" t="n"/>
      <c r="Y31" s="117" t="n"/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9" t="n"/>
    </row>
    <row r="32" ht="16.2" customHeight="1" thickBot="1">
      <c r="A32" s="125">
        <f>IF($C32="","",ROW()-23)</f>
        <v/>
      </c>
      <c r="B32" s="126" t="n">
        <v>30001452</v>
      </c>
      <c r="C32" s="127" t="inlineStr">
        <is>
          <t>SAAD ALDOSARI</t>
        </is>
      </c>
      <c r="D32" s="126" t="inlineStr">
        <is>
          <t>OJT</t>
        </is>
      </c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9" t="n"/>
    </row>
    <row r="33" ht="16.2" customHeight="1" thickBot="1">
      <c r="A33" s="125">
        <f>IF($C33="","",ROW()-23)</f>
        <v/>
      </c>
      <c r="B33" s="126" t="n">
        <v>30001461</v>
      </c>
      <c r="C33" s="127" t="inlineStr">
        <is>
          <t>HUSSAM ALTHUBAITI</t>
        </is>
      </c>
      <c r="D33" s="126" t="inlineStr">
        <is>
          <t>OJT</t>
        </is>
      </c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17" t="n"/>
      <c r="Y33" s="117" t="n"/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9" t="n"/>
    </row>
    <row r="34" ht="16.2" customHeight="1" thickBot="1">
      <c r="A34" s="125">
        <f>IF($C34="","",ROW()-23)</f>
        <v/>
      </c>
      <c r="B34" s="126" t="n">
        <v>30001575</v>
      </c>
      <c r="C34" s="127" t="inlineStr">
        <is>
          <t>FADUL A. FADUL</t>
        </is>
      </c>
      <c r="D34" s="126" t="inlineStr">
        <is>
          <t>OJT</t>
        </is>
      </c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117" t="n"/>
      <c r="R34" s="117" t="n"/>
      <c r="S34" s="117" t="n"/>
      <c r="T34" s="117" t="n"/>
      <c r="U34" s="117" t="n"/>
      <c r="V34" s="117" t="n"/>
      <c r="W34" s="117" t="n"/>
      <c r="X34" s="117" t="n"/>
      <c r="Y34" s="117" t="n"/>
      <c r="Z34" s="117" t="n"/>
      <c r="AA34" s="117" t="n"/>
      <c r="AB34" s="117" t="n"/>
      <c r="AC34" s="117" t="n"/>
      <c r="AD34" s="117" t="n"/>
      <c r="AE34" s="117" t="n"/>
      <c r="AF34" s="117" t="n"/>
      <c r="AG34" s="117" t="n"/>
      <c r="AH34" s="117" t="n"/>
      <c r="AI34" s="119" t="n"/>
    </row>
    <row r="35" ht="16.2" customHeight="1" thickBot="1">
      <c r="A35" s="125">
        <f>IF($C35="","",ROW()-23)</f>
        <v/>
      </c>
      <c r="B35" s="126" t="n">
        <v>30001577</v>
      </c>
      <c r="C35" s="127" t="inlineStr">
        <is>
          <t>FOUAD A. MOJALLY</t>
        </is>
      </c>
      <c r="D35" s="126" t="inlineStr">
        <is>
          <t>OJT</t>
        </is>
      </c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17" t="n"/>
      <c r="Y35" s="117" t="n"/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9" t="n"/>
    </row>
    <row r="36" ht="16.2" customHeight="1" thickBot="1">
      <c r="A36" s="125">
        <f>IF($C36="","",ROW()-23)</f>
        <v/>
      </c>
      <c r="B36" s="126" t="n">
        <v>30001774</v>
      </c>
      <c r="C36" s="127" t="inlineStr">
        <is>
          <t>SAAD A. ALQAHTANI</t>
        </is>
      </c>
      <c r="D36" s="126" t="inlineStr">
        <is>
          <t>OJT</t>
        </is>
      </c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117" t="n"/>
      <c r="R36" s="117" t="n"/>
      <c r="S36" s="117" t="n"/>
      <c r="T36" s="117" t="n"/>
      <c r="U36" s="117" t="n"/>
      <c r="V36" s="117" t="n"/>
      <c r="W36" s="117" t="n"/>
      <c r="X36" s="117" t="n"/>
      <c r="Y36" s="117" t="n"/>
      <c r="Z36" s="117" t="n"/>
      <c r="AA36" s="117" t="n"/>
      <c r="AB36" s="117" t="n"/>
      <c r="AC36" s="117" t="n"/>
      <c r="AD36" s="117" t="n"/>
      <c r="AE36" s="117" t="n"/>
      <c r="AF36" s="117" t="n"/>
      <c r="AG36" s="117" t="n"/>
      <c r="AH36" s="117" t="n"/>
      <c r="AI36" s="119" t="n"/>
    </row>
    <row r="37" ht="16.2" customHeight="1" thickBot="1">
      <c r="A37" s="113">
        <f>IF($C37="","",ROW()-23)</f>
        <v/>
      </c>
      <c r="B37" s="123" t="n">
        <v>40000188</v>
      </c>
      <c r="C37" s="124" t="inlineStr">
        <is>
          <t>RAKAN AGILY</t>
        </is>
      </c>
      <c r="D37" s="123" t="inlineStr">
        <is>
          <t>FITTER</t>
        </is>
      </c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17" t="n"/>
      <c r="Y37" s="117" t="n"/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9" t="n"/>
    </row>
    <row r="38" ht="16.2" customHeight="1" thickBot="1">
      <c r="A38" s="113">
        <f>IF($C38="","",ROW()-23)</f>
        <v/>
      </c>
      <c r="B38" s="123" t="n">
        <v>13009042</v>
      </c>
      <c r="C38" s="124" t="inlineStr">
        <is>
          <t>OLANDRES JR BEINVENIDO</t>
        </is>
      </c>
      <c r="D38" s="123" t="inlineStr">
        <is>
          <t>FITTER</t>
        </is>
      </c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117" t="n"/>
      <c r="R38" s="117" t="n"/>
      <c r="S38" s="117" t="n"/>
      <c r="T38" s="117" t="n"/>
      <c r="U38" s="117" t="n"/>
      <c r="V38" s="117" t="n"/>
      <c r="W38" s="117" t="n"/>
      <c r="X38" s="117" t="n"/>
      <c r="Y38" s="117" t="n"/>
      <c r="Z38" s="117" t="n"/>
      <c r="AA38" s="117" t="n"/>
      <c r="AB38" s="117" t="n"/>
      <c r="AC38" s="117" t="n"/>
      <c r="AD38" s="117" t="n"/>
      <c r="AE38" s="117" t="n"/>
      <c r="AF38" s="117" t="n"/>
      <c r="AG38" s="117" t="n"/>
      <c r="AH38" s="117" t="n"/>
      <c r="AI38" s="119" t="n"/>
    </row>
    <row r="39" ht="16.2" customHeight="1" thickBot="1">
      <c r="A39" s="113">
        <f>IF($C39="","",ROW()-23)</f>
        <v/>
      </c>
      <c r="B39" s="123" t="n">
        <v>40000706</v>
      </c>
      <c r="C39" s="124" t="inlineStr">
        <is>
          <t>JASON C. GUEVARRA</t>
        </is>
      </c>
      <c r="D39" s="123" t="inlineStr">
        <is>
          <t>FITTER</t>
        </is>
      </c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17" t="n"/>
      <c r="Y39" s="117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9" t="n"/>
    </row>
    <row r="40" ht="16.2" customHeight="1" thickBot="1">
      <c r="A40" s="113">
        <f>IF($C40="","",ROW()-23)</f>
        <v/>
      </c>
      <c r="B40" s="123" t="n">
        <v>13009023</v>
      </c>
      <c r="C40" s="124" t="inlineStr">
        <is>
          <t>SAMEER ALDUSUQI</t>
        </is>
      </c>
      <c r="D40" s="123" t="inlineStr">
        <is>
          <t>FITTER</t>
        </is>
      </c>
      <c r="E40" s="130" t="n"/>
      <c r="F40" s="130" t="n"/>
      <c r="G40" s="130" t="n"/>
      <c r="H40" s="130" t="n"/>
      <c r="I40" s="130" t="n"/>
      <c r="J40" s="130" t="n"/>
      <c r="K40" s="130" t="n"/>
      <c r="L40" s="130" t="n"/>
      <c r="M40" s="130" t="n"/>
      <c r="N40" s="130" t="n"/>
      <c r="O40" s="130" t="n"/>
      <c r="P40" s="130" t="n"/>
      <c r="Q40" s="130" t="n"/>
      <c r="R40" s="130" t="n"/>
      <c r="S40" s="130" t="n"/>
      <c r="T40" s="130" t="n"/>
      <c r="U40" s="130" t="n"/>
      <c r="V40" s="130" t="n"/>
      <c r="W40" s="130" t="n"/>
      <c r="X40" s="130" t="n"/>
      <c r="Y40" s="130" t="n"/>
      <c r="Z40" s="130" t="n"/>
      <c r="AA40" s="130" t="n"/>
      <c r="AB40" s="130" t="n"/>
      <c r="AC40" s="130" t="n"/>
      <c r="AD40" s="130" t="n"/>
      <c r="AE40" s="130" t="n"/>
      <c r="AF40" s="130" t="n"/>
      <c r="AG40" s="130" t="n"/>
      <c r="AH40" s="130" t="n"/>
      <c r="AI40" s="132" t="n"/>
    </row>
    <row r="41" ht="15" customHeight="1" thickBot="1"/>
    <row r="42" ht="15" customHeight="1" thickBot="1">
      <c r="A42" s="137" t="inlineStr">
        <is>
          <t>SPECIAL SHIFTING</t>
        </is>
      </c>
      <c r="B42" s="133" t="n"/>
      <c r="C42" s="133" t="n"/>
      <c r="D42" s="138" t="n"/>
      <c r="E42" s="1">
        <f>IF(1&lt;=$AL$5,TEXT($AL$4+0,"ddd"),"")</f>
        <v/>
      </c>
      <c r="F42" s="1">
        <f>IF(2&lt;=$AL$5,TEXT($AL$4+1,"ddd"),"")</f>
        <v/>
      </c>
      <c r="G42" s="1">
        <f>IF(3&lt;=$AL$5,TEXT($AL$4+2,"ddd"),"")</f>
        <v/>
      </c>
      <c r="H42" s="1">
        <f>IF(4&lt;=$AL$5,TEXT($AL$4+3,"ddd"),"")</f>
        <v/>
      </c>
      <c r="I42" s="1">
        <f>IF(5&lt;=$AL$5,TEXT($AL$4+4,"ddd"),"")</f>
        <v/>
      </c>
      <c r="J42" s="1">
        <f>IF(6&lt;=$AL$5,TEXT($AL$4+5,"ddd"),"")</f>
        <v/>
      </c>
      <c r="K42" s="1">
        <f>IF(7&lt;=$AL$5,TEXT($AL$4+6,"ddd"),"")</f>
        <v/>
      </c>
      <c r="L42" s="1">
        <f>IF(8&lt;=$AL$5,TEXT($AL$4+7,"ddd"),"")</f>
        <v/>
      </c>
      <c r="M42" s="1">
        <f>IF(9&lt;=$AL$5,TEXT($AL$4+8,"ddd"),"")</f>
        <v/>
      </c>
      <c r="N42" s="1">
        <f>IF(10&lt;=$AL$5,TEXT($AL$4+9,"ddd"),"")</f>
        <v/>
      </c>
      <c r="O42" s="1">
        <f>IF(11&lt;=$AL$5,TEXT($AL$4+10,"ddd"),"")</f>
        <v/>
      </c>
      <c r="P42" s="1">
        <f>IF(12&lt;=$AL$5,TEXT($AL$4+11,"ddd"),"")</f>
        <v/>
      </c>
      <c r="Q42" s="1">
        <f>IF(13&lt;=$AL$5,TEXT($AL$4+12,"ddd"),"")</f>
        <v/>
      </c>
      <c r="R42" s="1">
        <f>IF(14&lt;=$AL$5,TEXT($AL$4+13,"ddd"),"")</f>
        <v/>
      </c>
      <c r="S42" s="1">
        <f>IF(15&lt;=$AL$5,TEXT($AL$4+14,"ddd"),"")</f>
        <v/>
      </c>
      <c r="T42" s="1">
        <f>IF(16&lt;=$AL$5,TEXT($AL$4+15,"ddd"),"")</f>
        <v/>
      </c>
      <c r="U42" s="1">
        <f>IF(17&lt;=$AL$5,TEXT($AL$4+16,"ddd"),"")</f>
        <v/>
      </c>
      <c r="V42" s="1">
        <f>IF(18&lt;=$AL$5,TEXT($AL$4+17,"ddd"),"")</f>
        <v/>
      </c>
      <c r="W42" s="1">
        <f>IF(19&lt;=$AL$5,TEXT($AL$4+18,"ddd"),"")</f>
        <v/>
      </c>
      <c r="X42" s="1">
        <f>IF(20&lt;=$AL$5,TEXT($AL$4+19,"ddd"),"")</f>
        <v/>
      </c>
      <c r="Y42" s="1">
        <f>IF(21&lt;=$AL$5,TEXT($AL$4+20,"ddd"),"")</f>
        <v/>
      </c>
      <c r="Z42" s="1">
        <f>IF(22&lt;=$AL$5,TEXT($AL$4+21,"ddd"),"")</f>
        <v/>
      </c>
      <c r="AA42" s="1">
        <f>IF(23&lt;=$AL$5,TEXT($AL$4+22,"ddd"),"")</f>
        <v/>
      </c>
      <c r="AB42" s="1">
        <f>IF(24&lt;=$AL$5,TEXT($AL$4+23,"ddd"),"")</f>
        <v/>
      </c>
      <c r="AC42" s="1">
        <f>IF(25&lt;=$AL$5,TEXT($AL$4+24,"ddd"),"")</f>
        <v/>
      </c>
      <c r="AD42" s="1">
        <f>IF(26&lt;=$AL$5,TEXT($AL$4+25,"ddd"),"")</f>
        <v/>
      </c>
      <c r="AE42" s="1">
        <f>IF(27&lt;=$AL$5,TEXT($AL$4+26,"ddd"),"")</f>
        <v/>
      </c>
      <c r="AF42" s="1">
        <f>IF(28&lt;=$AL$5,TEXT($AL$4+27,"ddd"),"")</f>
        <v/>
      </c>
      <c r="AG42" s="1">
        <f>IF(29&lt;=$AL$5,TEXT($AL$4+28,"ddd"),"")</f>
        <v/>
      </c>
      <c r="AH42" s="1">
        <f>IF(30&lt;=$AL$5,TEXT($AL$4+29,"ddd"),"")</f>
        <v/>
      </c>
      <c r="AI42" s="1">
        <f>IF(31&lt;=$AL$5,TEXT($AL$4+30,"ddd"),"")</f>
        <v/>
      </c>
    </row>
    <row r="43" ht="16.2" customHeight="1" thickBot="1">
      <c r="A43" s="134" t="n"/>
      <c r="B43" s="135" t="n"/>
      <c r="C43" s="135" t="n"/>
      <c r="D43" s="139" t="n"/>
      <c r="E43" s="2">
        <f>IF(1&lt;=$AL$5,DAY($AL$4+0),"")</f>
        <v/>
      </c>
      <c r="F43" s="2">
        <f>IF(2&lt;=$AL$5,DAY($AL$4+1),"")</f>
        <v/>
      </c>
      <c r="G43" s="2">
        <f>IF(3&lt;=$AL$5,DAY($AL$4+2),"")</f>
        <v/>
      </c>
      <c r="H43" s="2">
        <f>IF(4&lt;=$AL$5,DAY($AL$4+3),"")</f>
        <v/>
      </c>
      <c r="I43" s="3">
        <f>IF(5&lt;=$AL$5,DAY($AL$4+4),"")</f>
        <v/>
      </c>
      <c r="J43" s="4">
        <f>IF(6&lt;=$AL$5,DAY($AL$4+5),"")</f>
        <v/>
      </c>
      <c r="K43" s="4">
        <f>IF(7&lt;=$AL$5,DAY($AL$4+6),"")</f>
        <v/>
      </c>
      <c r="L43" s="3">
        <f>IF(8&lt;=$AL$5,DAY($AL$4+7),"")</f>
        <v/>
      </c>
      <c r="M43" s="4">
        <f>IF(9&lt;=$AL$5,DAY($AL$4+8),"")</f>
        <v/>
      </c>
      <c r="N43" s="2">
        <f>IF(10&lt;=$AL$5,DAY($AL$4+9),"")</f>
        <v/>
      </c>
      <c r="O43" s="2">
        <f>IF(11&lt;=$AL$5,DAY($AL$4+10),"")</f>
        <v/>
      </c>
      <c r="P43" s="2">
        <f>IF(12&lt;=$AL$5,DAY($AL$4+11),"")</f>
        <v/>
      </c>
      <c r="Q43" s="2">
        <f>IF(13&lt;=$AL$5,DAY($AL$4+12),"")</f>
        <v/>
      </c>
      <c r="R43" s="2">
        <f>IF(14&lt;=$AL$5,DAY($AL$4+13),"")</f>
        <v/>
      </c>
      <c r="S43" s="2">
        <f>IF(15&lt;=$AL$5,DAY($AL$4+14),"")</f>
        <v/>
      </c>
      <c r="T43" s="2">
        <f>IF(16&lt;=$AL$5,DAY($AL$4+15),"")</f>
        <v/>
      </c>
      <c r="U43" s="2">
        <f>IF(17&lt;=$AL$5,DAY($AL$4+16),"")</f>
        <v/>
      </c>
      <c r="V43" s="2">
        <f>IF(18&lt;=$AL$5,DAY($AL$4+17),"")</f>
        <v/>
      </c>
      <c r="W43" s="2">
        <f>IF(19&lt;=$AL$5,DAY($AL$4+18),"")</f>
        <v/>
      </c>
      <c r="X43" s="2">
        <f>IF(20&lt;=$AL$5,DAY($AL$4+19),"")</f>
        <v/>
      </c>
      <c r="Y43" s="2">
        <f>IF(21&lt;=$AL$5,DAY($AL$4+20),"")</f>
        <v/>
      </c>
      <c r="Z43" s="2">
        <f>IF(22&lt;=$AL$5,DAY($AL$4+21),"")</f>
        <v/>
      </c>
      <c r="AA43" s="2">
        <f>IF(23&lt;=$AL$5,DAY($AL$4+22),"")</f>
        <v/>
      </c>
      <c r="AB43" s="2">
        <f>IF(24&lt;=$AL$5,DAY($AL$4+23),"")</f>
        <v/>
      </c>
      <c r="AC43" s="2">
        <f>IF(25&lt;=$AL$5,DAY($AL$4+24),"")</f>
        <v/>
      </c>
      <c r="AD43" s="2">
        <f>IF(26&lt;=$AL$5,DAY($AL$4+25),"")</f>
        <v/>
      </c>
      <c r="AE43" s="2">
        <f>IF(27&lt;=$AL$5,DAY($AL$4+26),"")</f>
        <v/>
      </c>
      <c r="AF43" s="2">
        <f>IF(28&lt;=$AL$5,DAY($AL$4+27),"")</f>
        <v/>
      </c>
      <c r="AG43" s="2">
        <f>IF(29&lt;=$AL$5,DAY($AL$4+28),"")</f>
        <v/>
      </c>
      <c r="AH43" s="2">
        <f>IF(30&lt;=$AL$5,DAY($AL$4+29),"")</f>
        <v/>
      </c>
      <c r="AI43" s="2">
        <f>IF(31&lt;=$AL$5,DAY($AL$4+30),"")</f>
        <v/>
      </c>
    </row>
    <row r="44" ht="16.2" customHeight="1" thickBot="1">
      <c r="A44" s="113">
        <f>IF($C44="","",ROW()-43)</f>
        <v/>
      </c>
      <c r="B44" s="123" t="n">
        <v>13004037</v>
      </c>
      <c r="C44" s="124" t="inlineStr">
        <is>
          <t>KHALID FAISAL AL-ALAWI</t>
        </is>
      </c>
      <c r="D44" s="123" t="inlineStr">
        <is>
          <t>SUPV</t>
        </is>
      </c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7" t="n"/>
      <c r="V44" s="117" t="n"/>
      <c r="W44" s="117" t="n"/>
      <c r="X44" s="117" t="n"/>
      <c r="Y44" s="117" t="n"/>
      <c r="Z44" s="117" t="n"/>
      <c r="AA44" s="117" t="n"/>
      <c r="AB44" s="117" t="n"/>
      <c r="AC44" s="117" t="n"/>
      <c r="AD44" s="117" t="n"/>
      <c r="AE44" s="117" t="n"/>
      <c r="AF44" s="117" t="n"/>
      <c r="AG44" s="117" t="n"/>
      <c r="AH44" s="117" t="n"/>
      <c r="AI44" s="132" t="n"/>
    </row>
    <row r="45" ht="16.2" customHeight="1" thickBot="1">
      <c r="A45" s="140">
        <f>IF($C45="","",ROW()-43)</f>
        <v/>
      </c>
      <c r="B45" s="141" t="n"/>
      <c r="C45" s="142" t="n"/>
      <c r="D45" s="141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I45" s="144" t="n"/>
    </row>
    <row r="46" ht="15" customHeight="1" thickBot="1">
      <c r="A46" s="137" t="inlineStr">
        <is>
          <t>TRANSFERRED-IN MANPOWER</t>
        </is>
      </c>
      <c r="B46" s="133" t="n"/>
      <c r="C46" s="133" t="n"/>
      <c r="D46" s="138" t="n"/>
      <c r="E46" s="1">
        <f>IF(1&lt;=$AL$5,TEXT($AL$4+0,"ddd"),"")</f>
        <v/>
      </c>
      <c r="F46" s="1">
        <f>IF(2&lt;=$AL$5,TEXT($AL$4+1,"ddd"),"")</f>
        <v/>
      </c>
      <c r="G46" s="1">
        <f>IF(3&lt;=$AL$5,TEXT($AL$4+2,"ddd"),"")</f>
        <v/>
      </c>
      <c r="H46" s="1">
        <f>IF(4&lt;=$AL$5,TEXT($AL$4+3,"ddd"),"")</f>
        <v/>
      </c>
      <c r="I46" s="1">
        <f>IF(5&lt;=$AL$5,TEXT($AL$4+4,"ddd"),"")</f>
        <v/>
      </c>
      <c r="J46" s="1">
        <f>IF(6&lt;=$AL$5,TEXT($AL$4+5,"ddd"),"")</f>
        <v/>
      </c>
      <c r="K46" s="1">
        <f>IF(7&lt;=$AL$5,TEXT($AL$4+6,"ddd"),"")</f>
        <v/>
      </c>
      <c r="L46" s="1">
        <f>IF(8&lt;=$AL$5,TEXT($AL$4+7,"ddd"),"")</f>
        <v/>
      </c>
      <c r="M46" s="1">
        <f>IF(9&lt;=$AL$5,TEXT($AL$4+8,"ddd"),"")</f>
        <v/>
      </c>
      <c r="N46" s="1">
        <f>IF(10&lt;=$AL$5,TEXT($AL$4+9,"ddd"),"")</f>
        <v/>
      </c>
      <c r="O46" s="1">
        <f>IF(11&lt;=$AL$5,TEXT($AL$4+10,"ddd"),"")</f>
        <v/>
      </c>
      <c r="P46" s="1">
        <f>IF(12&lt;=$AL$5,TEXT($AL$4+11,"ddd"),"")</f>
        <v/>
      </c>
      <c r="Q46" s="1">
        <f>IF(13&lt;=$AL$5,TEXT($AL$4+12,"ddd"),"")</f>
        <v/>
      </c>
      <c r="R46" s="1">
        <f>IF(14&lt;=$AL$5,TEXT($AL$4+13,"ddd"),"")</f>
        <v/>
      </c>
      <c r="S46" s="1">
        <f>IF(15&lt;=$AL$5,TEXT($AL$4+14,"ddd"),"")</f>
        <v/>
      </c>
      <c r="T46" s="1">
        <f>IF(16&lt;=$AL$5,TEXT($AL$4+15,"ddd"),"")</f>
        <v/>
      </c>
      <c r="U46" s="1">
        <f>IF(17&lt;=$AL$5,TEXT($AL$4+16,"ddd"),"")</f>
        <v/>
      </c>
      <c r="V46" s="1">
        <f>IF(18&lt;=$AL$5,TEXT($AL$4+17,"ddd"),"")</f>
        <v/>
      </c>
      <c r="W46" s="1">
        <f>IF(19&lt;=$AL$5,TEXT($AL$4+18,"ddd"),"")</f>
        <v/>
      </c>
      <c r="X46" s="1">
        <f>IF(20&lt;=$AL$5,TEXT($AL$4+19,"ddd"),"")</f>
        <v/>
      </c>
      <c r="Y46" s="1">
        <f>IF(21&lt;=$AL$5,TEXT($AL$4+20,"ddd"),"")</f>
        <v/>
      </c>
      <c r="Z46" s="1">
        <f>IF(22&lt;=$AL$5,TEXT($AL$4+21,"ddd"),"")</f>
        <v/>
      </c>
      <c r="AA46" s="1">
        <f>IF(23&lt;=$AL$5,TEXT($AL$4+22,"ddd"),"")</f>
        <v/>
      </c>
      <c r="AB46" s="1">
        <f>IF(24&lt;=$AL$5,TEXT($AL$4+23,"ddd"),"")</f>
        <v/>
      </c>
      <c r="AC46" s="1">
        <f>IF(25&lt;=$AL$5,TEXT($AL$4+24,"ddd"),"")</f>
        <v/>
      </c>
      <c r="AD46" s="1">
        <f>IF(26&lt;=$AL$5,TEXT($AL$4+25,"ddd"),"")</f>
        <v/>
      </c>
      <c r="AE46" s="1">
        <f>IF(27&lt;=$AL$5,TEXT($AL$4+26,"ddd"),"")</f>
        <v/>
      </c>
      <c r="AF46" s="1">
        <f>IF(28&lt;=$AL$5,TEXT($AL$4+27,"ddd"),"")</f>
        <v/>
      </c>
      <c r="AG46" s="1">
        <f>IF(29&lt;=$AL$5,TEXT($AL$4+28,"ddd"),"")</f>
        <v/>
      </c>
      <c r="AH46" s="1">
        <f>IF(30&lt;=$AL$5,TEXT($AL$4+29,"ddd"),"")</f>
        <v/>
      </c>
      <c r="AI46" s="1">
        <f>IF(31&lt;=$AL$5,TEXT($AL$4+30,"ddd"),"")</f>
        <v/>
      </c>
    </row>
    <row r="47" ht="16.2" customHeight="1" thickBot="1">
      <c r="A47" s="134" t="n"/>
      <c r="B47" s="135" t="n"/>
      <c r="C47" s="135" t="n"/>
      <c r="D47" s="139" t="n"/>
      <c r="E47" s="2">
        <f>IF(1&lt;=$AL$5,DAY($AL$4+0),"")</f>
        <v/>
      </c>
      <c r="F47" s="2">
        <f>IF(2&lt;=$AL$5,DAY($AL$4+1),"")</f>
        <v/>
      </c>
      <c r="G47" s="2">
        <f>IF(3&lt;=$AL$5,DAY($AL$4+2),"")</f>
        <v/>
      </c>
      <c r="H47" s="2">
        <f>IF(4&lt;=$AL$5,DAY($AL$4+3),"")</f>
        <v/>
      </c>
      <c r="I47" s="3">
        <f>IF(5&lt;=$AL$5,DAY($AL$4+4),"")</f>
        <v/>
      </c>
      <c r="J47" s="4">
        <f>IF(6&lt;=$AL$5,DAY($AL$4+5),"")</f>
        <v/>
      </c>
      <c r="K47" s="4">
        <f>IF(7&lt;=$AL$5,DAY($AL$4+6),"")</f>
        <v/>
      </c>
      <c r="L47" s="3">
        <f>IF(8&lt;=$AL$5,DAY($AL$4+7),"")</f>
        <v/>
      </c>
      <c r="M47" s="4">
        <f>IF(9&lt;=$AL$5,DAY($AL$4+8),"")</f>
        <v/>
      </c>
      <c r="N47" s="2">
        <f>IF(10&lt;=$AL$5,DAY($AL$4+9),"")</f>
        <v/>
      </c>
      <c r="O47" s="2">
        <f>IF(11&lt;=$AL$5,DAY($AL$4+10),"")</f>
        <v/>
      </c>
      <c r="P47" s="2">
        <f>IF(12&lt;=$AL$5,DAY($AL$4+11),"")</f>
        <v/>
      </c>
      <c r="Q47" s="2">
        <f>IF(13&lt;=$AL$5,DAY($AL$4+12),"")</f>
        <v/>
      </c>
      <c r="R47" s="2">
        <f>IF(14&lt;=$AL$5,DAY($AL$4+13),"")</f>
        <v/>
      </c>
      <c r="S47" s="2">
        <f>IF(15&lt;=$AL$5,DAY($AL$4+14),"")</f>
        <v/>
      </c>
      <c r="T47" s="2">
        <f>IF(16&lt;=$AL$5,DAY($AL$4+15),"")</f>
        <v/>
      </c>
      <c r="U47" s="2">
        <f>IF(17&lt;=$AL$5,DAY($AL$4+16),"")</f>
        <v/>
      </c>
      <c r="V47" s="2">
        <f>IF(18&lt;=$AL$5,DAY($AL$4+17),"")</f>
        <v/>
      </c>
      <c r="W47" s="2">
        <f>IF(19&lt;=$AL$5,DAY($AL$4+18),"")</f>
        <v/>
      </c>
      <c r="X47" s="2">
        <f>IF(20&lt;=$AL$5,DAY($AL$4+19),"")</f>
        <v/>
      </c>
      <c r="Y47" s="2">
        <f>IF(21&lt;=$AL$5,DAY($AL$4+20),"")</f>
        <v/>
      </c>
      <c r="Z47" s="2">
        <f>IF(22&lt;=$AL$5,DAY($AL$4+21),"")</f>
        <v/>
      </c>
      <c r="AA47" s="2">
        <f>IF(23&lt;=$AL$5,DAY($AL$4+22),"")</f>
        <v/>
      </c>
      <c r="AB47" s="2">
        <f>IF(24&lt;=$AL$5,DAY($AL$4+23),"")</f>
        <v/>
      </c>
      <c r="AC47" s="2">
        <f>IF(25&lt;=$AL$5,DAY($AL$4+24),"")</f>
        <v/>
      </c>
      <c r="AD47" s="2">
        <f>IF(26&lt;=$AL$5,DAY($AL$4+25),"")</f>
        <v/>
      </c>
      <c r="AE47" s="2">
        <f>IF(27&lt;=$AL$5,DAY($AL$4+26),"")</f>
        <v/>
      </c>
      <c r="AF47" s="2">
        <f>IF(28&lt;=$AL$5,DAY($AL$4+27),"")</f>
        <v/>
      </c>
      <c r="AG47" s="2">
        <f>IF(29&lt;=$AL$5,DAY($AL$4+28),"")</f>
        <v/>
      </c>
      <c r="AH47" s="2">
        <f>IF(30&lt;=$AL$5,DAY($AL$4+29),"")</f>
        <v/>
      </c>
      <c r="AI47" s="2">
        <f>IF(31&lt;=$AL$5,DAY($AL$4+30),"")</f>
        <v/>
      </c>
    </row>
    <row r="48" ht="16.2" customHeight="1" thickBot="1">
      <c r="A48" s="113">
        <f>IF($C48="","",ROW()-47)</f>
        <v/>
      </c>
      <c r="B48" s="123" t="n">
        <v>13010931</v>
      </c>
      <c r="C48" s="124" t="inlineStr">
        <is>
          <t>SULTAN ALMASRI</t>
        </is>
      </c>
      <c r="D48" s="123" t="inlineStr">
        <is>
          <t>TECH</t>
        </is>
      </c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7" t="n"/>
      <c r="W48" s="117" t="n"/>
      <c r="X48" s="117" t="n"/>
      <c r="Y48" s="117" t="n"/>
      <c r="Z48" s="117" t="n"/>
      <c r="AA48" s="117" t="n"/>
      <c r="AB48" s="117" t="n"/>
      <c r="AC48" s="117" t="n"/>
      <c r="AD48" s="117" t="n"/>
      <c r="AE48" s="117" t="n"/>
      <c r="AF48" s="117" t="n"/>
      <c r="AG48" s="117" t="n"/>
      <c r="AH48" s="117" t="n"/>
      <c r="AI48" s="117" t="n"/>
    </row>
    <row r="49" ht="16.2" customHeight="1" thickBot="1">
      <c r="A49" s="113">
        <f>IF($C49="","",ROW()-47)</f>
        <v/>
      </c>
      <c r="B49" s="123" t="n">
        <v>30003319</v>
      </c>
      <c r="C49" s="124" t="inlineStr">
        <is>
          <t>MANSOUR ALHARBI</t>
        </is>
      </c>
      <c r="D49" s="123" t="inlineStr">
        <is>
          <t>TECH</t>
        </is>
      </c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</row>
    <row r="50" ht="16.2" customHeight="1" thickBot="1">
      <c r="A50" s="113">
        <f>IF($C50="","",ROW()-47)</f>
        <v/>
      </c>
      <c r="B50" s="123" t="n">
        <v>30003362</v>
      </c>
      <c r="C50" s="124" t="inlineStr">
        <is>
          <t>AYMAN HAMED</t>
        </is>
      </c>
      <c r="D50" s="123" t="inlineStr">
        <is>
          <t>TECH</t>
        </is>
      </c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</row>
    <row r="51" ht="16.2" customHeight="1" thickBot="1">
      <c r="A51" s="113">
        <f>IF($C51="","",ROW()-47)</f>
        <v/>
      </c>
      <c r="B51" s="123" t="n">
        <v>30003449</v>
      </c>
      <c r="C51" s="124" t="inlineStr">
        <is>
          <t>HAZEM ALSUBHI</t>
        </is>
      </c>
      <c r="D51" s="123" t="inlineStr">
        <is>
          <t>TECH</t>
        </is>
      </c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</row>
    <row r="52" ht="16.2" customHeight="1" thickBot="1">
      <c r="A52" s="113">
        <f>IF($C52="","",ROW()-47)</f>
        <v/>
      </c>
      <c r="B52" s="123" t="n">
        <v>30003471</v>
      </c>
      <c r="C52" s="124" t="inlineStr">
        <is>
          <t>MOHAMMED ALOQBA</t>
        </is>
      </c>
      <c r="D52" s="123" t="inlineStr">
        <is>
          <t>TECH</t>
        </is>
      </c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7" t="n"/>
      <c r="V52" s="117" t="n"/>
      <c r="W52" s="117" t="n"/>
      <c r="X52" s="117" t="n"/>
      <c r="Y52" s="117" t="n"/>
      <c r="Z52" s="117" t="n"/>
      <c r="AA52" s="117" t="n"/>
      <c r="AB52" s="117" t="n"/>
      <c r="AC52" s="117" t="n"/>
      <c r="AD52" s="117" t="n"/>
      <c r="AE52" s="117" t="n"/>
      <c r="AF52" s="117" t="n"/>
      <c r="AG52" s="117" t="n"/>
      <c r="AH52" s="117" t="n"/>
      <c r="AI52" s="117" t="n"/>
    </row>
    <row r="53" ht="16.2" customHeight="1" thickBot="1">
      <c r="A53" s="113">
        <f>IF($C53="","",ROW()-47)</f>
        <v/>
      </c>
      <c r="B53" s="123" t="n">
        <v>30003607</v>
      </c>
      <c r="C53" s="124" t="inlineStr">
        <is>
          <t>SIRAJ KHAYAT</t>
        </is>
      </c>
      <c r="D53" s="123" t="inlineStr">
        <is>
          <t>TECH</t>
        </is>
      </c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7" t="n"/>
      <c r="V53" s="117" t="n"/>
      <c r="W53" s="117" t="n"/>
      <c r="X53" s="117" t="n"/>
      <c r="Y53" s="117" t="n"/>
      <c r="Z53" s="117" t="n"/>
      <c r="AA53" s="117" t="n"/>
      <c r="AB53" s="117" t="n"/>
      <c r="AC53" s="117" t="n"/>
      <c r="AD53" s="117" t="n"/>
      <c r="AE53" s="117" t="n"/>
      <c r="AF53" s="117" t="n"/>
      <c r="AG53" s="117" t="n"/>
      <c r="AH53" s="117" t="n"/>
      <c r="AI53" s="117" t="n"/>
    </row>
    <row r="54" ht="16.2" customHeight="1" thickBot="1">
      <c r="A54" s="113">
        <f>IF($C54="","",ROW()-47)</f>
        <v/>
      </c>
      <c r="B54" s="123" t="n">
        <v>30004358</v>
      </c>
      <c r="C54" s="124" t="inlineStr">
        <is>
          <t>SALMAN ALJAADANI</t>
        </is>
      </c>
      <c r="D54" s="123" t="inlineStr">
        <is>
          <t>TECH</t>
        </is>
      </c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</row>
    <row r="55" ht="16.2" customHeight="1" thickBot="1">
      <c r="A55" s="113">
        <f>IF($C55="","",ROW()-47)</f>
        <v/>
      </c>
      <c r="B55" s="123" t="n">
        <v>30004434</v>
      </c>
      <c r="C55" s="124" t="inlineStr">
        <is>
          <t>EID ALRIFAI</t>
        </is>
      </c>
      <c r="D55" s="123" t="inlineStr">
        <is>
          <t>TECH</t>
        </is>
      </c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</row>
    <row r="56" ht="16.2" customHeight="1" thickBot="1">
      <c r="A56" s="113">
        <f>IF($C56="","",ROW()-47)</f>
        <v/>
      </c>
      <c r="B56" s="123" t="n">
        <v>30004838</v>
      </c>
      <c r="C56" s="124" t="inlineStr">
        <is>
          <t>MUAED MEERA</t>
        </is>
      </c>
      <c r="D56" s="123" t="inlineStr">
        <is>
          <t>TECH</t>
        </is>
      </c>
      <c r="E56" s="145" t="n"/>
      <c r="F56" s="145" t="n"/>
      <c r="G56" s="145" t="n"/>
      <c r="H56" s="145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</row>
    <row r="57" ht="16.2" customHeight="1" thickBot="1">
      <c r="A57" s="113">
        <f>IF($C57="","",ROW()-47)</f>
        <v/>
      </c>
      <c r="B57" s="123" t="n"/>
      <c r="C57" s="124" t="n"/>
      <c r="D57" s="136" t="n"/>
      <c r="E57" s="117" t="n"/>
      <c r="I57" s="120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</row>
    <row r="58" ht="16.2" customHeight="1" thickBot="1">
      <c r="A58" s="113">
        <f>IF($C58="","",ROW()-47)</f>
        <v/>
      </c>
      <c r="B58" s="123" t="n"/>
      <c r="C58" s="124" t="n"/>
      <c r="D58" s="136" t="n"/>
      <c r="E58" s="117" t="n"/>
      <c r="I58" s="120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</row>
    <row r="59" ht="16.2" customHeight="1" thickBot="1">
      <c r="A59" s="113">
        <f>IF($C59="","",ROW()-47)</f>
        <v/>
      </c>
      <c r="B59" s="123" t="n"/>
      <c r="C59" s="124" t="n"/>
      <c r="D59" s="136" t="n"/>
      <c r="E59" s="117" t="n"/>
      <c r="F59" s="146" t="n"/>
      <c r="G59" s="146" t="n"/>
      <c r="H59" s="147" t="n"/>
      <c r="I59" s="120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7" t="n"/>
      <c r="V59" s="117" t="n"/>
      <c r="W59" s="117" t="n"/>
      <c r="X59" s="117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</row>
    <row r="60" ht="16.2" customHeight="1" thickBot="1">
      <c r="A60" s="113">
        <f>IF($C60="","",ROW()-47)</f>
        <v/>
      </c>
      <c r="B60" s="123" t="n"/>
      <c r="C60" s="124" t="n"/>
      <c r="D60" s="136" t="n"/>
      <c r="E60" s="117" t="n"/>
      <c r="F60" s="146" t="n"/>
      <c r="G60" s="146" t="n"/>
      <c r="H60" s="147" t="n"/>
      <c r="I60" s="120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17" t="n"/>
    </row>
    <row r="61" ht="16.2" customHeight="1" thickBot="1">
      <c r="A61" s="113">
        <f>IF($C61="","",ROW()-47)</f>
        <v/>
      </c>
      <c r="B61" s="123" t="n"/>
      <c r="C61" s="124" t="n"/>
      <c r="D61" s="136" t="n"/>
      <c r="E61" s="117" t="n"/>
      <c r="I61" s="120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17" t="n"/>
    </row>
    <row r="62" ht="16.2" customHeight="1" thickBot="1">
      <c r="A62" s="113">
        <f>IF($C62="","",ROW()-47)</f>
        <v/>
      </c>
      <c r="B62" s="123" t="n"/>
      <c r="C62" s="124" t="n"/>
      <c r="D62" s="136" t="n"/>
      <c r="E62" s="117" t="n"/>
      <c r="F62" s="146" t="n"/>
      <c r="G62" s="146" t="n"/>
      <c r="H62" s="147" t="n"/>
      <c r="I62" s="120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17" t="n"/>
    </row>
    <row r="63" ht="16.2" customHeight="1" thickBot="1">
      <c r="A63" s="113">
        <f>IF($C63="","",ROW()-47)</f>
        <v/>
      </c>
      <c r="B63" s="123" t="n"/>
      <c r="C63" s="124" t="n"/>
      <c r="D63" s="136" t="n"/>
      <c r="E63" s="117" t="n"/>
      <c r="F63" s="146" t="n"/>
      <c r="G63" s="146" t="n"/>
      <c r="H63" s="147" t="n"/>
      <c r="I63" s="120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17" t="n"/>
    </row>
    <row r="64" ht="16.2" customHeight="1" thickBot="1">
      <c r="A64" s="113">
        <f>IF($C64="","",ROW()-47)</f>
        <v/>
      </c>
      <c r="B64" s="123" t="n"/>
      <c r="C64" s="124" t="n"/>
      <c r="D64" s="136" t="n"/>
      <c r="E64" s="117" t="n"/>
      <c r="F64" s="146" t="n"/>
      <c r="G64" s="146" t="n"/>
      <c r="H64" s="147" t="n"/>
      <c r="I64" s="120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17" t="n"/>
    </row>
    <row r="65" ht="16.2" customHeight="1" thickBot="1">
      <c r="A65" s="113">
        <f>IF($C65="","",ROW()-47)</f>
        <v/>
      </c>
      <c r="B65" s="123" t="n"/>
      <c r="C65" s="124" t="n"/>
      <c r="D65" s="136" t="n"/>
      <c r="E65" s="117" t="n"/>
      <c r="F65" s="146" t="n"/>
      <c r="G65" s="146" t="n"/>
      <c r="H65" s="147" t="n"/>
      <c r="I65" s="120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17" t="n"/>
    </row>
    <row r="66" ht="16.2" customHeight="1" thickBot="1">
      <c r="A66" s="113">
        <f>IF($C66="","",ROW()-47)</f>
        <v/>
      </c>
      <c r="B66" s="123" t="n"/>
      <c r="C66" s="124" t="n"/>
      <c r="D66" s="136" t="n"/>
      <c r="E66" s="148" t="n"/>
      <c r="F66" s="118" t="n"/>
      <c r="G66" s="118" t="n"/>
      <c r="H66" s="120" t="n"/>
      <c r="I66" s="120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117" t="n"/>
      <c r="AG66" s="117" t="n"/>
      <c r="AH66" s="117" t="n"/>
      <c r="AI66" s="117" t="n"/>
    </row>
    <row r="67" ht="16.2" customHeight="1" thickBot="1">
      <c r="A67" s="113">
        <f>IF($C67="","",ROW()-47)</f>
        <v/>
      </c>
      <c r="B67" s="123" t="n"/>
      <c r="C67" s="124" t="n"/>
      <c r="D67" s="136" t="n"/>
      <c r="E67" s="148" t="n"/>
      <c r="F67" s="118" t="n"/>
      <c r="G67" s="118" t="n"/>
      <c r="H67" s="120" t="n"/>
      <c r="I67" s="120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17" t="n"/>
    </row>
    <row r="68" ht="16.2" customHeight="1" thickBot="1">
      <c r="A68" s="113">
        <f>IF($C68="","",ROW()-47)</f>
        <v/>
      </c>
      <c r="B68" s="123" t="n"/>
      <c r="C68" s="124" t="n"/>
      <c r="D68" s="136" t="n"/>
      <c r="E68" s="148" t="n"/>
      <c r="F68" s="118" t="n"/>
      <c r="G68" s="118" t="n"/>
      <c r="H68" s="120" t="n"/>
      <c r="I68" s="120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7" t="n"/>
      <c r="V68" s="117" t="n"/>
      <c r="W68" s="117" t="n"/>
      <c r="X68" s="117" t="n"/>
      <c r="Y68" s="117" t="n"/>
      <c r="Z68" s="117" t="n"/>
      <c r="AA68" s="117" t="n"/>
      <c r="AB68" s="117" t="n"/>
      <c r="AC68" s="117" t="n"/>
      <c r="AD68" s="117" t="n"/>
      <c r="AE68" s="117" t="n"/>
      <c r="AF68" s="117" t="n"/>
      <c r="AG68" s="117" t="n"/>
      <c r="AH68" s="117" t="n"/>
      <c r="AI68" s="117" t="n"/>
    </row>
    <row r="69" ht="16.2" customHeight="1" thickBot="1">
      <c r="A69" s="113">
        <f>IF($C69="","",ROW()-47)</f>
        <v/>
      </c>
      <c r="B69" s="123" t="n"/>
      <c r="C69" s="124" t="n"/>
      <c r="D69" s="136" t="n"/>
      <c r="E69" s="148" t="n"/>
      <c r="F69" s="118" t="n"/>
      <c r="G69" s="118" t="n"/>
      <c r="H69" s="120" t="n"/>
      <c r="I69" s="120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117" t="n"/>
      <c r="AB69" s="117" t="n"/>
      <c r="AC69" s="117" t="n"/>
      <c r="AD69" s="117" t="n"/>
      <c r="AE69" s="117" t="n"/>
      <c r="AF69" s="117" t="n"/>
      <c r="AG69" s="117" t="n"/>
      <c r="AH69" s="117" t="n"/>
      <c r="AI69" s="117" t="n"/>
    </row>
    <row r="70" ht="16.2" customHeight="1" thickBot="1">
      <c r="A70" s="113">
        <f>IF($C70="","",ROW()-47)</f>
        <v/>
      </c>
      <c r="B70" s="123" t="n"/>
      <c r="C70" s="124" t="n"/>
      <c r="D70" s="136" t="n"/>
      <c r="E70" s="148" t="n"/>
      <c r="F70" s="118" t="n"/>
      <c r="G70" s="118" t="n"/>
      <c r="H70" s="120" t="n"/>
      <c r="I70" s="120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7" t="n"/>
      <c r="V70" s="117" t="n"/>
      <c r="W70" s="117" t="n"/>
      <c r="X70" s="117" t="n"/>
      <c r="Y70" s="117" t="n"/>
      <c r="Z70" s="117" t="n"/>
      <c r="AA70" s="117" t="n"/>
      <c r="AB70" s="117" t="n"/>
      <c r="AC70" s="117" t="n"/>
      <c r="AD70" s="117" t="n"/>
      <c r="AE70" s="117" t="n"/>
      <c r="AF70" s="117" t="n"/>
      <c r="AG70" s="117" t="n"/>
      <c r="AH70" s="117" t="n"/>
      <c r="AI70" s="117" t="n"/>
    </row>
    <row r="71" ht="16.2" customHeight="1" thickBot="1">
      <c r="A71" s="113">
        <f>IF($C71="","",ROW()-47)</f>
        <v/>
      </c>
      <c r="B71" s="123" t="n"/>
      <c r="C71" s="124" t="n"/>
      <c r="D71" s="136" t="n"/>
      <c r="E71" s="148" t="n"/>
      <c r="F71" s="118" t="n"/>
      <c r="G71" s="118" t="n"/>
      <c r="H71" s="120" t="n"/>
      <c r="I71" s="120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7" t="n"/>
      <c r="V71" s="117" t="n"/>
      <c r="W71" s="117" t="n"/>
      <c r="X71" s="117" t="n"/>
      <c r="Y71" s="117" t="n"/>
      <c r="Z71" s="117" t="n"/>
      <c r="AA71" s="117" t="n"/>
      <c r="AB71" s="117" t="n"/>
      <c r="AC71" s="117" t="n"/>
      <c r="AD71" s="117" t="n"/>
      <c r="AE71" s="117" t="n"/>
      <c r="AF71" s="117" t="n"/>
      <c r="AG71" s="117" t="n"/>
      <c r="AH71" s="117" t="n"/>
      <c r="AI71" s="117" t="n"/>
    </row>
    <row r="72" ht="16.2" customHeight="1" thickBot="1">
      <c r="A72" s="113">
        <f>IF($C72="","",ROW()-47)</f>
        <v/>
      </c>
      <c r="B72" s="123" t="n"/>
      <c r="C72" s="124" t="n"/>
      <c r="D72" s="136" t="n"/>
      <c r="E72" s="117" t="n"/>
      <c r="I72" s="120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7" t="n"/>
      <c r="V72" s="117" t="n"/>
      <c r="W72" s="117" t="n"/>
      <c r="X72" s="117" t="n"/>
      <c r="Y72" s="117" t="n"/>
      <c r="Z72" s="117" t="n"/>
      <c r="AA72" s="117" t="n"/>
      <c r="AB72" s="117" t="n"/>
      <c r="AC72" s="117" t="n"/>
      <c r="AD72" s="117" t="n"/>
      <c r="AE72" s="117" t="n"/>
      <c r="AF72" s="117" t="n"/>
      <c r="AG72" s="117" t="n"/>
      <c r="AH72" s="117" t="n"/>
      <c r="AI72" s="117" t="n"/>
    </row>
    <row r="73" ht="16.2" customHeight="1" thickBot="1">
      <c r="A73" s="140">
        <f>IF($C73="","",ROW()-47)</f>
        <v/>
      </c>
      <c r="B73" s="141" t="n"/>
      <c r="C73" s="142" t="n"/>
      <c r="D73" s="141" t="n"/>
      <c r="E73" s="143" t="n"/>
      <c r="F73" s="143" t="n"/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144" t="n"/>
      <c r="Q73" s="144" t="n"/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144" t="n"/>
    </row>
    <row r="74" ht="15" customHeight="1" thickBot="1">
      <c r="A74" s="149" t="inlineStr">
        <is>
          <t>TOTAL DAILY CREWS MANPOWER</t>
        </is>
      </c>
      <c r="B74" s="133" t="n"/>
      <c r="C74" s="138" t="n"/>
      <c r="D74" s="137" t="inlineStr">
        <is>
          <t>SHIFT</t>
        </is>
      </c>
      <c r="E74" s="1">
        <f>IF(1&lt;=$AL$5,TEXT($AL$4+0,"ddd"),"")</f>
        <v/>
      </c>
      <c r="F74" s="1">
        <f>IF(2&lt;=$AL$5,TEXT($AL$4+1,"ddd"),"")</f>
        <v/>
      </c>
      <c r="G74" s="1">
        <f>IF(3&lt;=$AL$5,TEXT($AL$4+2,"ddd"),"")</f>
        <v/>
      </c>
      <c r="H74" s="1">
        <f>IF(4&lt;=$AL$5,TEXT($AL$4+3,"ddd"),"")</f>
        <v/>
      </c>
      <c r="I74" s="1">
        <f>IF(5&lt;=$AL$5,TEXT($AL$4+4,"ddd"),"")</f>
        <v/>
      </c>
      <c r="J74" s="1">
        <f>IF(6&lt;=$AL$5,TEXT($AL$4+5,"ddd"),"")</f>
        <v/>
      </c>
      <c r="K74" s="1">
        <f>IF(7&lt;=$AL$5,TEXT($AL$4+6,"ddd"),"")</f>
        <v/>
      </c>
      <c r="L74" s="1">
        <f>IF(8&lt;=$AL$5,TEXT($AL$4+7,"ddd"),"")</f>
        <v/>
      </c>
      <c r="M74" s="1">
        <f>IF(9&lt;=$AL$5,TEXT($AL$4+8,"ddd"),"")</f>
        <v/>
      </c>
      <c r="N74" s="1">
        <f>IF(10&lt;=$AL$5,TEXT($AL$4+9,"ddd"),"")</f>
        <v/>
      </c>
      <c r="O74" s="1">
        <f>IF(11&lt;=$AL$5,TEXT($AL$4+10,"ddd"),"")</f>
        <v/>
      </c>
      <c r="P74" s="1">
        <f>IF(12&lt;=$AL$5,TEXT($AL$4+11,"ddd"),"")</f>
        <v/>
      </c>
      <c r="Q74" s="1">
        <f>IF(13&lt;=$AL$5,TEXT($AL$4+12,"ddd"),"")</f>
        <v/>
      </c>
      <c r="R74" s="1">
        <f>IF(14&lt;=$AL$5,TEXT($AL$4+13,"ddd"),"")</f>
        <v/>
      </c>
      <c r="S74" s="1">
        <f>IF(15&lt;=$AL$5,TEXT($AL$4+14,"ddd"),"")</f>
        <v/>
      </c>
      <c r="T74" s="1">
        <f>IF(16&lt;=$AL$5,TEXT($AL$4+15,"ddd"),"")</f>
        <v/>
      </c>
      <c r="U74" s="1">
        <f>IF(17&lt;=$AL$5,TEXT($AL$4+16,"ddd"),"")</f>
        <v/>
      </c>
      <c r="V74" s="1">
        <f>IF(18&lt;=$AL$5,TEXT($AL$4+17,"ddd"),"")</f>
        <v/>
      </c>
      <c r="W74" s="1">
        <f>IF(19&lt;=$AL$5,TEXT($AL$4+18,"ddd"),"")</f>
        <v/>
      </c>
      <c r="X74" s="1">
        <f>IF(20&lt;=$AL$5,TEXT($AL$4+19,"ddd"),"")</f>
        <v/>
      </c>
      <c r="Y74" s="1">
        <f>IF(21&lt;=$AL$5,TEXT($AL$4+20,"ddd"),"")</f>
        <v/>
      </c>
      <c r="Z74" s="1">
        <f>IF(22&lt;=$AL$5,TEXT($AL$4+21,"ddd"),"")</f>
        <v/>
      </c>
      <c r="AA74" s="1">
        <f>IF(23&lt;=$AL$5,TEXT($AL$4+22,"ddd"),"")</f>
        <v/>
      </c>
      <c r="AB74" s="1">
        <f>IF(24&lt;=$AL$5,TEXT($AL$4+23,"ddd"),"")</f>
        <v/>
      </c>
      <c r="AC74" s="1">
        <f>IF(25&lt;=$AL$5,TEXT($AL$4+24,"ddd"),"")</f>
        <v/>
      </c>
      <c r="AD74" s="1">
        <f>IF(26&lt;=$AL$5,TEXT($AL$4+25,"ddd"),"")</f>
        <v/>
      </c>
      <c r="AE74" s="1">
        <f>IF(27&lt;=$AL$5,TEXT($AL$4+26,"ddd"),"")</f>
        <v/>
      </c>
      <c r="AF74" s="1">
        <f>IF(28&lt;=$AL$5,TEXT($AL$4+27,"ddd"),"")</f>
        <v/>
      </c>
      <c r="AG74" s="1">
        <f>IF(29&lt;=$AL$5,TEXT($AL$4+28,"ddd"),"")</f>
        <v/>
      </c>
      <c r="AH74" s="1">
        <f>IF(30&lt;=$AL$5,TEXT($AL$4+29,"ddd"),"")</f>
        <v/>
      </c>
      <c r="AI74" s="1">
        <f>IF(31&lt;=$AL$5,TEXT($AL$4+30,"ddd"),"")</f>
        <v/>
      </c>
    </row>
    <row r="75" ht="16.2" customHeight="1" thickBot="1">
      <c r="A75" s="110" t="n"/>
      <c r="C75" s="150" t="n"/>
      <c r="D75" s="105" t="n"/>
      <c r="E75" s="2">
        <f>IF(1&lt;=$AL$5,DAY($AL$4+0),"")</f>
        <v/>
      </c>
      <c r="F75" s="2">
        <f>IF(2&lt;=$AL$5,DAY($AL$4+1),"")</f>
        <v/>
      </c>
      <c r="G75" s="2">
        <f>IF(3&lt;=$AL$5,DAY($AL$4+2),"")</f>
        <v/>
      </c>
      <c r="H75" s="2">
        <f>IF(4&lt;=$AL$5,DAY($AL$4+3),"")</f>
        <v/>
      </c>
      <c r="I75" s="3">
        <f>IF(5&lt;=$AL$5,DAY($AL$4+4),"")</f>
        <v/>
      </c>
      <c r="J75" s="4">
        <f>IF(6&lt;=$AL$5,DAY($AL$4+5),"")</f>
        <v/>
      </c>
      <c r="K75" s="4">
        <f>IF(7&lt;=$AL$5,DAY($AL$4+6),"")</f>
        <v/>
      </c>
      <c r="L75" s="3">
        <f>IF(8&lt;=$AL$5,DAY($AL$4+7),"")</f>
        <v/>
      </c>
      <c r="M75" s="4">
        <f>IF(9&lt;=$AL$5,DAY($AL$4+8),"")</f>
        <v/>
      </c>
      <c r="N75" s="2">
        <f>IF(10&lt;=$AL$5,DAY($AL$4+9),"")</f>
        <v/>
      </c>
      <c r="O75" s="2">
        <f>IF(11&lt;=$AL$5,DAY($AL$4+10),"")</f>
        <v/>
      </c>
      <c r="P75" s="2">
        <f>IF(12&lt;=$AL$5,DAY($AL$4+11),"")</f>
        <v/>
      </c>
      <c r="Q75" s="2">
        <f>IF(13&lt;=$AL$5,DAY($AL$4+12),"")</f>
        <v/>
      </c>
      <c r="R75" s="2">
        <f>IF(14&lt;=$AL$5,DAY($AL$4+13),"")</f>
        <v/>
      </c>
      <c r="S75" s="2">
        <f>IF(15&lt;=$AL$5,DAY($AL$4+14),"")</f>
        <v/>
      </c>
      <c r="T75" s="2">
        <f>IF(16&lt;=$AL$5,DAY($AL$4+15),"")</f>
        <v/>
      </c>
      <c r="U75" s="2">
        <f>IF(17&lt;=$AL$5,DAY($AL$4+16),"")</f>
        <v/>
      </c>
      <c r="V75" s="2">
        <f>IF(18&lt;=$AL$5,DAY($AL$4+17),"")</f>
        <v/>
      </c>
      <c r="W75" s="2">
        <f>IF(19&lt;=$AL$5,DAY($AL$4+18),"")</f>
        <v/>
      </c>
      <c r="X75" s="2">
        <f>IF(20&lt;=$AL$5,DAY($AL$4+19),"")</f>
        <v/>
      </c>
      <c r="Y75" s="2">
        <f>IF(21&lt;=$AL$5,DAY($AL$4+20),"")</f>
        <v/>
      </c>
      <c r="Z75" s="2">
        <f>IF(22&lt;=$AL$5,DAY($AL$4+21),"")</f>
        <v/>
      </c>
      <c r="AA75" s="2">
        <f>IF(23&lt;=$AL$5,DAY($AL$4+22),"")</f>
        <v/>
      </c>
      <c r="AB75" s="2">
        <f>IF(24&lt;=$AL$5,DAY($AL$4+23),"")</f>
        <v/>
      </c>
      <c r="AC75" s="2">
        <f>IF(25&lt;=$AL$5,DAY($AL$4+24),"")</f>
        <v/>
      </c>
      <c r="AD75" s="2">
        <f>IF(26&lt;=$AL$5,DAY($AL$4+25),"")</f>
        <v/>
      </c>
      <c r="AE75" s="2">
        <f>IF(27&lt;=$AL$5,DAY($AL$4+26),"")</f>
        <v/>
      </c>
      <c r="AF75" s="2">
        <f>IF(28&lt;=$AL$5,DAY($AL$4+27),"")</f>
        <v/>
      </c>
      <c r="AG75" s="2">
        <f>IF(29&lt;=$AL$5,DAY($AL$4+28),"")</f>
        <v/>
      </c>
      <c r="AH75" s="2">
        <f>IF(30&lt;=$AL$5,DAY($AL$4+29),"")</f>
        <v/>
      </c>
      <c r="AI75" s="2">
        <f>IF(31&lt;=$AL$5,DAY($AL$4+30),"")</f>
        <v/>
      </c>
    </row>
    <row r="76" ht="16.2" customHeight="1" thickBot="1">
      <c r="A76" s="110" t="n"/>
      <c r="C76" s="150" t="n"/>
      <c r="D76" s="15" t="inlineStr">
        <is>
          <t>D</t>
        </is>
      </c>
      <c r="E76" s="16">
        <f>COUNTIF(E1:E73,"D")</f>
        <v/>
      </c>
      <c r="F76" s="16">
        <f>COUNTIF(F1:F73,"D")</f>
        <v/>
      </c>
      <c r="G76" s="16">
        <f>COUNTIF(G1:G73,"D")</f>
        <v/>
      </c>
      <c r="H76" s="16">
        <f>COUNTIF(H1:H73,"D")</f>
        <v/>
      </c>
      <c r="I76" s="16">
        <f>COUNTIF(I1:I73,"D")</f>
        <v/>
      </c>
      <c r="J76" s="16">
        <f>COUNTIF(J1:J73,"D")</f>
        <v/>
      </c>
      <c r="K76" s="16">
        <f>COUNTIF(K1:K73,"D")</f>
        <v/>
      </c>
      <c r="L76" s="16">
        <f>COUNTIF(L1:L73,"D")</f>
        <v/>
      </c>
      <c r="M76" s="16">
        <f>COUNTIF(M1:M73,"D")</f>
        <v/>
      </c>
      <c r="N76" s="16">
        <f>COUNTIF(N1:N73,"D")</f>
        <v/>
      </c>
      <c r="O76" s="16">
        <f>COUNTIF(O1:O73,"D")</f>
        <v/>
      </c>
      <c r="P76" s="16">
        <f>COUNTIF(P1:P73,"D")</f>
        <v/>
      </c>
      <c r="Q76" s="16">
        <f>COUNTIF(Q1:Q73,"D")</f>
        <v/>
      </c>
      <c r="R76" s="16">
        <f>COUNTIF(R1:R73,"D")</f>
        <v/>
      </c>
      <c r="S76" s="16">
        <f>COUNTIF(S1:S73,"D")</f>
        <v/>
      </c>
      <c r="T76" s="16">
        <f>COUNTIF(T1:T73,"D")</f>
        <v/>
      </c>
      <c r="U76" s="16">
        <f>COUNTIF(U1:U73,"D")</f>
        <v/>
      </c>
      <c r="V76" s="16">
        <f>COUNTIF(V1:V73,"D")</f>
        <v/>
      </c>
      <c r="W76" s="16">
        <f>COUNTIF(W1:W73,"D")</f>
        <v/>
      </c>
      <c r="X76" s="16">
        <f>COUNTIF(X1:X73,"D")</f>
        <v/>
      </c>
      <c r="Y76" s="16">
        <f>COUNTIF(Y1:Y73,"D")</f>
        <v/>
      </c>
      <c r="Z76" s="16">
        <f>COUNTIF(Z1:Z73,"D")</f>
        <v/>
      </c>
      <c r="AA76" s="16">
        <f>COUNTIF(AA1:AA73,"D")</f>
        <v/>
      </c>
      <c r="AB76" s="16">
        <f>COUNTIF(AB1:AB73,"D")</f>
        <v/>
      </c>
      <c r="AC76" s="16">
        <f>COUNTIF(AC1:AC73,"D")</f>
        <v/>
      </c>
      <c r="AD76" s="16">
        <f>COUNTIF(AD1:AD73,"D")</f>
        <v/>
      </c>
      <c r="AE76" s="16">
        <f>COUNTIF(AE1:AE73,"D")</f>
        <v/>
      </c>
      <c r="AF76" s="16">
        <f>COUNTIF(AF1:AF73,"D")</f>
        <v/>
      </c>
      <c r="AG76" s="16">
        <f>COUNTIF(AG1:AG73,"D")</f>
        <v/>
      </c>
      <c r="AH76" s="16">
        <f>COUNTIF(AH1:AH73,"D")</f>
        <v/>
      </c>
      <c r="AI76" s="16">
        <f>COUNTIF(AI1:AI73,"D")</f>
        <v/>
      </c>
    </row>
    <row r="77" ht="16.2" customHeight="1" thickBot="1">
      <c r="A77" s="110" t="n"/>
      <c r="C77" s="150" t="n"/>
      <c r="D77" s="17" t="inlineStr">
        <is>
          <t>T</t>
        </is>
      </c>
      <c r="E77" s="18">
        <f>COUNTIF(E1:E73,"T")</f>
        <v/>
      </c>
      <c r="F77" s="18">
        <f>COUNTIF(F1:F73,"T")</f>
        <v/>
      </c>
      <c r="G77" s="18">
        <f>COUNTIF(G1:G73,"T")</f>
        <v/>
      </c>
      <c r="H77" s="18">
        <f>COUNTIF(H1:H73,"T")</f>
        <v/>
      </c>
      <c r="I77" s="18">
        <f>COUNTIF(I1:I73,"T")</f>
        <v/>
      </c>
      <c r="J77" s="18">
        <f>COUNTIF(J1:J73,"T")</f>
        <v/>
      </c>
      <c r="K77" s="18">
        <f>COUNTIF(K1:K73,"T")</f>
        <v/>
      </c>
      <c r="L77" s="18">
        <f>COUNTIF(L1:L73,"T")</f>
        <v/>
      </c>
      <c r="M77" s="18">
        <f>COUNTIF(M1:M73,"T")</f>
        <v/>
      </c>
      <c r="N77" s="18">
        <f>COUNTIF(N1:N73,"T")</f>
        <v/>
      </c>
      <c r="O77" s="18">
        <f>COUNTIF(O1:O73,"T")</f>
        <v/>
      </c>
      <c r="P77" s="18">
        <f>COUNTIF(P1:P73,"T")</f>
        <v/>
      </c>
      <c r="Q77" s="18">
        <f>COUNTIF(Q1:Q73,"T")</f>
        <v/>
      </c>
      <c r="R77" s="18">
        <f>COUNTIF(R1:R73,"T")</f>
        <v/>
      </c>
      <c r="S77" s="18">
        <f>COUNTIF(S1:S73,"T")</f>
        <v/>
      </c>
      <c r="T77" s="18">
        <f>COUNTIF(T1:T73,"T")</f>
        <v/>
      </c>
      <c r="U77" s="18">
        <f>COUNTIF(U1:U73,"T")</f>
        <v/>
      </c>
      <c r="V77" s="18">
        <f>COUNTIF(V1:V73,"T")</f>
        <v/>
      </c>
      <c r="W77" s="18">
        <f>COUNTIF(W1:W73,"T")</f>
        <v/>
      </c>
      <c r="X77" s="18">
        <f>COUNTIF(X1:X73,"T")</f>
        <v/>
      </c>
      <c r="Y77" s="18">
        <f>COUNTIF(Y1:Y73,"T")</f>
        <v/>
      </c>
      <c r="Z77" s="18">
        <f>COUNTIF(Z1:Z73,"T")</f>
        <v/>
      </c>
      <c r="AA77" s="18">
        <f>COUNTIF(AA1:AA73,"T")</f>
        <v/>
      </c>
      <c r="AB77" s="18">
        <f>COUNTIF(AB1:AB73,"T")</f>
        <v/>
      </c>
      <c r="AC77" s="18">
        <f>COUNTIF(AC1:AC73,"T")</f>
        <v/>
      </c>
      <c r="AD77" s="18">
        <f>COUNTIF(AD1:AD73,"T")</f>
        <v/>
      </c>
      <c r="AE77" s="18">
        <f>COUNTIF(AE1:AE73,"T")</f>
        <v/>
      </c>
      <c r="AF77" s="18">
        <f>COUNTIF(AF1:AF73,"T")</f>
        <v/>
      </c>
      <c r="AG77" s="18">
        <f>COUNTIF(AG1:AG73,"T")</f>
        <v/>
      </c>
      <c r="AH77" s="18">
        <f>COUNTIF(AH1:AH73,"T")</f>
        <v/>
      </c>
      <c r="AI77" s="18">
        <f>COUNTIF(AI1:AI73,"T")</f>
        <v/>
      </c>
    </row>
    <row r="78" ht="16.2" customHeight="1" thickBot="1">
      <c r="A78" s="134" t="n"/>
      <c r="B78" s="135" t="n"/>
      <c r="C78" s="139" t="n"/>
      <c r="D78" s="19" t="inlineStr">
        <is>
          <t>G</t>
        </is>
      </c>
      <c r="E78" s="20">
        <f>COUNTIF(E1:E73,"G")</f>
        <v/>
      </c>
      <c r="F78" s="20">
        <f>COUNTIF(F1:F73,"G")</f>
        <v/>
      </c>
      <c r="G78" s="20">
        <f>COUNTIF(G1:G73,"G")</f>
        <v/>
      </c>
      <c r="H78" s="20">
        <f>COUNTIF(H1:H73,"G")</f>
        <v/>
      </c>
      <c r="I78" s="20">
        <f>COUNTIF(I1:I73,"G")</f>
        <v/>
      </c>
      <c r="J78" s="20">
        <f>COUNTIF(J1:J73,"G")</f>
        <v/>
      </c>
      <c r="K78" s="20">
        <f>COUNTIF(K1:K73,"G")</f>
        <v/>
      </c>
      <c r="L78" s="20">
        <f>COUNTIF(L1:L73,"G")</f>
        <v/>
      </c>
      <c r="M78" s="20">
        <f>COUNTIF(M1:M73,"G")</f>
        <v/>
      </c>
      <c r="N78" s="20">
        <f>COUNTIF(N1:N73,"G")</f>
        <v/>
      </c>
      <c r="O78" s="20">
        <f>COUNTIF(O1:O73,"G")</f>
        <v/>
      </c>
      <c r="P78" s="20">
        <f>COUNTIF(P1:P73,"G")</f>
        <v/>
      </c>
      <c r="Q78" s="20">
        <f>COUNTIF(Q1:Q73,"G")</f>
        <v/>
      </c>
      <c r="R78" s="20">
        <f>COUNTIF(R1:R73,"G")</f>
        <v/>
      </c>
      <c r="S78" s="20">
        <f>COUNTIF(S1:S73,"G")</f>
        <v/>
      </c>
      <c r="T78" s="20">
        <f>COUNTIF(T1:T73,"G")</f>
        <v/>
      </c>
      <c r="U78" s="20">
        <f>COUNTIF(U1:U73,"G")</f>
        <v/>
      </c>
      <c r="V78" s="20">
        <f>COUNTIF(V1:V73,"G")</f>
        <v/>
      </c>
      <c r="W78" s="20">
        <f>COUNTIF(W1:W73,"G")</f>
        <v/>
      </c>
      <c r="X78" s="20">
        <f>COUNTIF(X1:X73,"G")</f>
        <v/>
      </c>
      <c r="Y78" s="20">
        <f>COUNTIF(Y1:Y73,"G")</f>
        <v/>
      </c>
      <c r="Z78" s="20">
        <f>COUNTIF(Z1:Z73,"G")</f>
        <v/>
      </c>
      <c r="AA78" s="20">
        <f>COUNTIF(AA1:AA73,"G")</f>
        <v/>
      </c>
      <c r="AB78" s="20">
        <f>COUNTIF(AB1:AB73,"G")</f>
        <v/>
      </c>
      <c r="AC78" s="20">
        <f>COUNTIF(AC1:AC73,"G")</f>
        <v/>
      </c>
      <c r="AD78" s="20">
        <f>COUNTIF(AD1:AD73,"G")</f>
        <v/>
      </c>
      <c r="AE78" s="20">
        <f>COUNTIF(AE1:AE73,"G")</f>
        <v/>
      </c>
      <c r="AF78" s="20">
        <f>COUNTIF(AF1:AF73,"G")</f>
        <v/>
      </c>
      <c r="AG78" s="20">
        <f>COUNTIF(AG1:AG73,"G")</f>
        <v/>
      </c>
      <c r="AH78" s="20">
        <f>COUNTIF(AH1:AH73,"G")</f>
        <v/>
      </c>
      <c r="AI78" s="20">
        <f>COUNTIF(AI1:AI73,"G")</f>
        <v/>
      </c>
    </row>
    <row r="79" ht="15" customHeight="1" thickBot="1"/>
    <row r="80" ht="21" customHeight="1" thickBot="1">
      <c r="E80" s="137" t="inlineStr">
        <is>
          <t>SHIFT</t>
        </is>
      </c>
      <c r="F80" s="103" t="n"/>
      <c r="G80" s="103" t="n"/>
      <c r="H80" s="103" t="n"/>
      <c r="I80" s="103" t="n"/>
      <c r="J80" s="104" t="n"/>
    </row>
    <row r="81" ht="16.2" customHeight="1" thickBot="1">
      <c r="E81" s="44" t="inlineStr">
        <is>
          <t>D</t>
        </is>
      </c>
      <c r="F81" s="44" t="inlineStr">
        <is>
          <t>DAY (07:00 - 15:00)</t>
        </is>
      </c>
      <c r="G81" s="103" t="n"/>
      <c r="H81" s="103" t="n"/>
      <c r="I81" s="103" t="n"/>
      <c r="J81" s="104" t="n"/>
    </row>
    <row r="82" ht="16.2" customHeight="1" thickBot="1">
      <c r="E82" s="45" t="inlineStr">
        <is>
          <t>T</t>
        </is>
      </c>
      <c r="F82" s="45" t="inlineStr">
        <is>
          <t>TWI (15:00 - 23:00)</t>
        </is>
      </c>
      <c r="G82" s="103" t="n"/>
      <c r="H82" s="103" t="n"/>
      <c r="I82" s="103" t="n"/>
      <c r="J82" s="104" t="n"/>
      <c r="M82" s="95" t="inlineStr">
        <is>
          <t>ABDULLAH A. ALSHEHRY</t>
        </is>
      </c>
      <c r="N82" s="135" t="n"/>
      <c r="O82" s="135" t="n"/>
      <c r="P82" s="135" t="n"/>
      <c r="Q82" s="135" t="n"/>
      <c r="R82" s="135" t="n"/>
      <c r="S82" s="135" t="n"/>
      <c r="W82" s="96">
        <f>UPPER(TEXT(TODAY(),"DDDD dd/mm/yyyy"))</f>
        <v/>
      </c>
      <c r="X82" s="135" t="n"/>
      <c r="Y82" s="135" t="n"/>
      <c r="Z82" s="135" t="n"/>
      <c r="AA82" s="135" t="n"/>
      <c r="AB82" s="135" t="n"/>
      <c r="AC82" s="135" t="n"/>
    </row>
    <row r="83" ht="16.2" customHeight="1" thickBot="1">
      <c r="E83" s="46" t="inlineStr">
        <is>
          <t>G</t>
        </is>
      </c>
      <c r="F83" s="20" t="inlineStr">
        <is>
          <t>GRV (23:00 - 07:00)</t>
        </is>
      </c>
      <c r="G83" s="103" t="n"/>
      <c r="H83" s="103" t="n"/>
      <c r="I83" s="103" t="n"/>
      <c r="J83" s="104" t="n"/>
      <c r="M83" s="94" t="inlineStr">
        <is>
          <t>SPV CABIN SEC MGR</t>
        </is>
      </c>
      <c r="W83" s="94" t="inlineStr">
        <is>
          <t>DATE</t>
        </is>
      </c>
    </row>
    <row r="85">
      <c r="E85" s="151" t="inlineStr">
        <is>
          <t>CODE LEGEND — ALL CODES</t>
        </is>
      </c>
    </row>
    <row r="86" ht="16" customHeight="1">
      <c r="E86" s="152" t="inlineStr">
        <is>
          <t>D</t>
        </is>
      </c>
      <c r="F86" s="153" t="inlineStr">
        <is>
          <t>DAY</t>
        </is>
      </c>
      <c r="K86" s="154" t="inlineStr">
        <is>
          <t>T</t>
        </is>
      </c>
      <c r="L86" s="153" t="inlineStr">
        <is>
          <t>TWILIGHT</t>
        </is>
      </c>
      <c r="Q86" s="155" t="inlineStr">
        <is>
          <t>G</t>
        </is>
      </c>
      <c r="R86" s="153" t="inlineStr">
        <is>
          <t>GRAVEYARD</t>
        </is>
      </c>
      <c r="W86" s="156" t="inlineStr">
        <is>
          <t>TR</t>
        </is>
      </c>
      <c r="X86" s="153" t="inlineStr">
        <is>
          <t>TRAINING</t>
        </is>
      </c>
      <c r="AC86" s="157" t="inlineStr">
        <is>
          <t>V</t>
        </is>
      </c>
      <c r="AD86" s="153" t="inlineStr">
        <is>
          <t>VACATION</t>
        </is>
      </c>
    </row>
    <row r="87" ht="16" customHeight="1">
      <c r="E87" s="158" t="inlineStr">
        <is>
          <t>R</t>
        </is>
      </c>
      <c r="F87" s="153" t="inlineStr">
        <is>
          <t>REST/RDO</t>
        </is>
      </c>
      <c r="K87" s="159" t="inlineStr">
        <is>
          <t>A</t>
        </is>
      </c>
      <c r="L87" s="153" t="inlineStr">
        <is>
          <t>ABSENT</t>
        </is>
      </c>
      <c r="Q87" s="160" t="inlineStr">
        <is>
          <t>H</t>
        </is>
      </c>
      <c r="R87" s="153" t="inlineStr">
        <is>
          <t>HOLIDAY</t>
        </is>
      </c>
      <c r="W87" s="161" t="inlineStr">
        <is>
          <t>OT</t>
        </is>
      </c>
      <c r="X87" s="153" t="inlineStr">
        <is>
          <t>OVERTIME</t>
        </is>
      </c>
      <c r="AC87" s="162" t="inlineStr">
        <is>
          <t>OS</t>
        </is>
      </c>
      <c r="AD87" s="153" t="inlineStr">
        <is>
          <t>OUTSTATION</t>
        </is>
      </c>
    </row>
    <row r="88" ht="16" customHeight="1">
      <c r="E88" s="163" t="inlineStr">
        <is>
          <t>S/L</t>
        </is>
      </c>
      <c r="F88" s="153" t="inlineStr">
        <is>
          <t>SICK LEAVE</t>
        </is>
      </c>
      <c r="K88" s="164" t="inlineStr">
        <is>
          <t>C/T</t>
        </is>
      </c>
      <c r="L88" s="153" t="inlineStr">
        <is>
          <t>COMP TIME</t>
        </is>
      </c>
      <c r="Q88" s="165" t="inlineStr">
        <is>
          <t>L</t>
        </is>
      </c>
      <c r="R88" s="153" t="inlineStr">
        <is>
          <t>LATE/LEAVE</t>
        </is>
      </c>
      <c r="W88" s="166" t="inlineStr">
        <is>
          <t>N</t>
        </is>
      </c>
      <c r="X88" s="153" t="inlineStr">
        <is>
          <t>NOTE</t>
        </is>
      </c>
    </row>
  </sheetData>
  <sheetProtection selectLockedCells="0" selectUnlockedCells="0" sheet="1" objects="0" insertRows="0" insertHyperlinks="1" autoFilter="1" scenarios="0" formatColumns="1" deleteColumns="1" insertColumns="1" pivotTables="1" deleteRows="1" formatCells="1" formatRows="1" sort="1"/>
  <mergeCells count="45">
    <mergeCell ref="X88:AA88"/>
    <mergeCell ref="E2:AC2"/>
    <mergeCell ref="C1:C2"/>
    <mergeCell ref="AK6:AN6"/>
    <mergeCell ref="AD87:AG87"/>
    <mergeCell ref="A74:C78"/>
    <mergeCell ref="W82:AC82"/>
    <mergeCell ref="E80:J80"/>
    <mergeCell ref="F83:J83"/>
    <mergeCell ref="F88:I88"/>
    <mergeCell ref="L86:O86"/>
    <mergeCell ref="AL5:AN5"/>
    <mergeCell ref="A46:D47"/>
    <mergeCell ref="AD1:AI2"/>
    <mergeCell ref="A3:D4"/>
    <mergeCell ref="F87:I87"/>
    <mergeCell ref="E62:H62"/>
    <mergeCell ref="B1:B2"/>
    <mergeCell ref="M83:S83"/>
    <mergeCell ref="X86:AA86"/>
    <mergeCell ref="AL4:AN4"/>
    <mergeCell ref="R88:U88"/>
    <mergeCell ref="E64:H64"/>
    <mergeCell ref="R87:U87"/>
    <mergeCell ref="F81:J81"/>
    <mergeCell ref="A22:D23"/>
    <mergeCell ref="D74:D75"/>
    <mergeCell ref="W83:AC83"/>
    <mergeCell ref="A42:D43"/>
    <mergeCell ref="AK3:AN3"/>
    <mergeCell ref="M82:S82"/>
    <mergeCell ref="L87:O87"/>
    <mergeCell ref="X87:AA87"/>
    <mergeCell ref="F86:I86"/>
    <mergeCell ref="E63:H63"/>
    <mergeCell ref="E60:H60"/>
    <mergeCell ref="E1:AC1"/>
    <mergeCell ref="E65:H65"/>
    <mergeCell ref="L88:O88"/>
    <mergeCell ref="F82:J82"/>
    <mergeCell ref="R86:U86"/>
    <mergeCell ref="D1:D2"/>
    <mergeCell ref="E59:H59"/>
    <mergeCell ref="AD86:AG86"/>
    <mergeCell ref="A1:A2"/>
  </mergeCells>
  <conditionalFormatting sqref="E5:AI73">
    <cfRule type="cellIs" priority="13" operator="equal" dxfId="12">
      <formula>"D"</formula>
    </cfRule>
    <cfRule type="cellIs" priority="14" operator="equal" dxfId="13">
      <formula>"T"</formula>
    </cfRule>
    <cfRule type="cellIs" priority="15" operator="equal" dxfId="14">
      <formula>"G"</formula>
    </cfRule>
    <cfRule type="cellIs" priority="16" operator="equal" dxfId="15">
      <formula>"TR"</formula>
    </cfRule>
    <cfRule type="cellIs" priority="17" operator="equal" dxfId="16">
      <formula>"V"</formula>
    </cfRule>
    <cfRule type="cellIs" priority="18" operator="equal" dxfId="17">
      <formula>"A"</formula>
    </cfRule>
    <cfRule type="cellIs" priority="19" operator="equal" dxfId="18">
      <formula>"H"</formula>
    </cfRule>
    <cfRule type="cellIs" priority="20" operator="equal" dxfId="19">
      <formula>"OT"</formula>
    </cfRule>
    <cfRule type="cellIs" priority="21" operator="equal" dxfId="20">
      <formula>"OS"</formula>
    </cfRule>
    <cfRule type="cellIs" priority="22" operator="equal" dxfId="21">
      <formula>"S/L"</formula>
    </cfRule>
    <cfRule type="cellIs" priority="23" operator="equal" dxfId="22">
      <formula>"C/T"</formula>
    </cfRule>
    <cfRule type="cellIs" priority="24" operator="equal" dxfId="23">
      <formula>"L"</formula>
    </cfRule>
    <cfRule type="cellIs" priority="25" operator="equal" dxfId="24">
      <formula>"N"</formula>
    </cfRule>
  </conditionalFormatting>
  <conditionalFormatting sqref="A5:D73">
    <cfRule type="expression" priority="26" dxfId="25">
      <formula>$D5="OJT"</formula>
    </cfRule>
    <cfRule type="expression" priority="27" dxfId="26">
      <formula>$D5="ACT/SUPV"</formula>
    </cfRule>
  </conditionalFormatting>
  <conditionalFormatting sqref="C5:C73">
    <cfRule type="expression" priority="28" dxfId="27">
      <formula>AND($C5&lt;&gt;"",NOT(EXACT($C5,UPPER($C5))))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2026-09-09T18:08:44Z</dcterms:modified>
  <cp:lastModifiedBy>Ahmed Saeed Alghamdi</cp:lastModifiedBy>
</cp:coreProperties>
</file>