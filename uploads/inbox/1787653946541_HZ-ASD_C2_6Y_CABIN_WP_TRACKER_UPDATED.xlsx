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Z-ASD Tracker" sheetId="1" state="visible" r:id="rId3"/>
    <sheet name="DASHBOARD" sheetId="2" state="visible" r:id="rId4"/>
    <sheet name="AOG" sheetId="3" state="visible" r:id="rId5"/>
    <sheet name="LAYOVER" sheetId="4" state="visible" r:id="rId6"/>
    <sheet name="Findings Draft" sheetId="5" state="visible" r:id="rId7"/>
    <sheet name="OPEN UP-ACCESS" sheetId="6" state="visible" r:id="rId8"/>
    <sheet name="FULL PKG" sheetId="7" state="hidden" r:id="rId9"/>
  </sheets>
  <definedNames>
    <definedName function="false" hidden="true" localSheetId="2" name="_xlnm._FilterDatabase" vbProcedure="false">AOG!$A$3:$M$185</definedName>
    <definedName function="false" hidden="true" localSheetId="6" name="_xlnm._FilterDatabase" vbProcedure="false">'FULL PKG'!$A$1:$J$1254</definedName>
    <definedName function="false" hidden="true" localSheetId="5" name="_xlnm._FilterDatabase" vbProcedure="false">'OPEN UP-ACCESS'!$A$3:$J$504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<sst xmlns="http://schemas.openxmlformats.org/spreadsheetml/2006/main" count="13921" uniqueCount="5571">
  <si>
    <t xml:space="preserve">POOL CABIN  ✈ HZ-ASD ✈  C2+6Y CHECK WORK PACKAGE TRACKER</t>
  </si>
  <si>
    <t xml:space="preserve">WO / Event
Number</t>
  </si>
  <si>
    <t xml:space="preserve">Task Description</t>
  </si>
  <si>
    <t xml:space="preserve">Seq.
No.</t>
  </si>
  <si>
    <t xml:space="preserve">Category</t>
  </si>
  <si>
    <t xml:space="preserve">Status</t>
  </si>
  <si>
    <t xml:space="preserve">Priority</t>
  </si>
  <si>
    <t xml:space="preserve">Specialty</t>
  </si>
  <si>
    <t xml:space="preserve">PARTS
REQ.</t>
  </si>
  <si>
    <t xml:space="preserve">Remarks</t>
  </si>
  <si>
    <t xml:space="preserve">Time EVAL?</t>
  </si>
  <si>
    <t xml:space="preserve">AREA</t>
  </si>
  <si>
    <t xml:space="preserve">Updated</t>
  </si>
  <si>
    <t xml:space="preserve">Closed
Date</t>
  </si>
  <si>
    <t xml:space="preserve">Est
MH</t>
  </si>
  <si>
    <t xml:space="preserve">ATA</t>
  </si>
  <si>
    <t xml:space="preserve">Booked
MH</t>
  </si>
  <si>
    <t xml:space="preserve">Actual
Dur (h)</t>
  </si>
  <si>
    <t xml:space="preserve">200125-06-1</t>
  </si>
  <si>
    <t xml:space="preserve">200125-06-1 (2) / LATERAL AVIONICS COMPT INSP</t>
  </si>
  <si>
    <t xml:space="preserve">11</t>
  </si>
  <si>
    <t xml:space="preserve">ACFT GENERAL T/C</t>
  </si>
  <si>
    <t xml:space="preserve">Closed</t>
  </si>
  <si>
    <t xml:space="preserve">Critical</t>
  </si>
  <si>
    <t xml:space="preserve">JOINT</t>
  </si>
  <si>
    <t xml:space="preserve">FWD</t>
  </si>
  <si>
    <t xml:space="preserve">200145-01-1</t>
  </si>
  <si>
    <t xml:space="preserve">200145-01-1 (2) / ZONE UNDER CABIN FLOOR CLEANING</t>
  </si>
  <si>
    <t xml:space="preserve">Open</t>
  </si>
  <si>
    <t xml:space="preserve">CABIN ACCESS</t>
  </si>
  <si>
    <t xml:space="preserve">AFT</t>
  </si>
  <si>
    <t xml:space="preserve">200231-03-1</t>
  </si>
  <si>
    <t xml:space="preserve">200231-03-1 (2) / FORWARD PASSENGER COMPARTMENT INSP</t>
  </si>
  <si>
    <t xml:space="preserve">24</t>
  </si>
  <si>
    <t xml:space="preserve">GENERAL CABIN</t>
  </si>
  <si>
    <t xml:space="preserve">Normal</t>
  </si>
  <si>
    <t xml:space="preserve">C/W</t>
  </si>
  <si>
    <t xml:space="preserve">N/A</t>
  </si>
  <si>
    <t xml:space="preserve">24-92</t>
  </si>
  <si>
    <t xml:space="preserve">200241-04-1</t>
  </si>
  <si>
    <t xml:space="preserve">200241-04-1 (2) / CENTER PASSENGER COMPARTMENT INSP</t>
  </si>
  <si>
    <t xml:space="preserve">25</t>
  </si>
  <si>
    <t xml:space="preserve">CAB + INSP / REMINE CLOSE UP</t>
  </si>
  <si>
    <t xml:space="preserve">200251-03-1</t>
  </si>
  <si>
    <t xml:space="preserve">200251-03-1 (2) / AFT PASSENGER COMPARTMENT INSPECTION</t>
  </si>
  <si>
    <t xml:space="preserve">26</t>
  </si>
  <si>
    <t xml:space="preserve">25-11-00-18-0-SVA-001</t>
  </si>
  <si>
    <t xml:space="preserve">25-11-00-18-0-SVA-001 (04) / FOURTH OCCUPANT SEAT COVERS REPLCMNT</t>
  </si>
  <si>
    <t xml:space="preserve">32</t>
  </si>
  <si>
    <t xml:space="preserve">FLIGHT DECK</t>
  </si>
  <si>
    <t xml:space="preserve">CAB</t>
  </si>
  <si>
    <t xml:space="preserve">Requested</t>
  </si>
  <si>
    <t xml:space="preserve">P/S 4509031 CLOSED</t>
  </si>
  <si>
    <t xml:space="preserve">25-11</t>
  </si>
  <si>
    <t xml:space="preserve">25-11-00-18-0-SVA-002</t>
  </si>
  <si>
    <t xml:space="preserve">25-11-00-18-0-SVA-002 (04) / THIRD OCCUPANT SEAT COVERS R/R</t>
  </si>
  <si>
    <t xml:space="preserve">33</t>
  </si>
  <si>
    <t xml:space="preserve">P/S 4509039 CLOSED</t>
  </si>
  <si>
    <t xml:space="preserve">25-22-00-03-0-SVA-002</t>
  </si>
  <si>
    <t xml:space="preserve">25-22-00-03-0-SVA-002 (02) / CABIN ATTENDANT SEAT COVERS R&amp;R</t>
  </si>
  <si>
    <t xml:space="preserve">34</t>
  </si>
  <si>
    <t xml:space="preserve">F/A SEAT</t>
  </si>
  <si>
    <t xml:space="preserve">P/S 4509037 (SOME PARTS S/D)</t>
  </si>
  <si>
    <t xml:space="preserve">25-22</t>
  </si>
  <si>
    <t xml:space="preserve">253000-01-1</t>
  </si>
  <si>
    <t xml:space="preserve">253000-01-1 (3) / GALLEY ATTACHMENT POINTS INSPECTION</t>
  </si>
  <si>
    <t xml:space="preserve">35</t>
  </si>
  <si>
    <t xml:space="preserve">GALLEY</t>
  </si>
  <si>
    <t xml:space="preserve">25-30</t>
  </si>
  <si>
    <t xml:space="preserve">254000-02-2</t>
  </si>
  <si>
    <t xml:space="preserve">254000-02-2 (2) / LAVATORIE’S ATTACHMENT POINTS INSP</t>
  </si>
  <si>
    <t xml:space="preserve">36</t>
  </si>
  <si>
    <t xml:space="preserve">LAVATORY</t>
  </si>
  <si>
    <t xml:space="preserve">CAB + INSP  / REMINE CLOSE UP</t>
  </si>
  <si>
    <t xml:space="preserve">25-40</t>
  </si>
  <si>
    <t xml:space="preserve">256141-01-1</t>
  </si>
  <si>
    <t xml:space="preserve">256141-01-1 (3) / CAPT AND F/O EMERGENCY DEVICE INSP</t>
  </si>
  <si>
    <t xml:space="preserve">37</t>
  </si>
  <si>
    <t xml:space="preserve">C/W </t>
  </si>
  <si>
    <t xml:space="preserve">25-61</t>
  </si>
  <si>
    <t xml:space="preserve">262541-01-1</t>
  </si>
  <si>
    <t xml:space="preserve">262541-01-1 (3) / LAVATORIES FIRE EXTINGUISHERS INSP</t>
  </si>
  <si>
    <t xml:space="preserve">38</t>
  </si>
  <si>
    <t xml:space="preserve">INSP</t>
  </si>
  <si>
    <t xml:space="preserve">26-25</t>
  </si>
  <si>
    <t xml:space="preserve">323300-01-1</t>
  </si>
  <si>
    <t xml:space="preserve">323300-01-1 (2) / LG FREE FALL EXTN MECH&amp;CABLE INSP</t>
  </si>
  <si>
    <t xml:space="preserve">44</t>
  </si>
  <si>
    <t xml:space="preserve">CABIN + COCKPIT ACCESS </t>
  </si>
  <si>
    <t xml:space="preserve">32-33</t>
  </si>
  <si>
    <t xml:space="preserve">323300-04-1</t>
  </si>
  <si>
    <t xml:space="preserve">323300-04-1 (3) / LG FREE FALL MECH CABLE TENTION CHK</t>
  </si>
  <si>
    <t xml:space="preserve">45</t>
  </si>
  <si>
    <t xml:space="preserve">531102-01-1</t>
  </si>
  <si>
    <t xml:space="preserve">531102-01-1 (5) / LH/RH FORWARD PASSENGER DOORS INSP</t>
  </si>
  <si>
    <t xml:space="preserve">51</t>
  </si>
  <si>
    <t xml:space="preserve">PAX DOORS</t>
  </si>
  <si>
    <t xml:space="preserve">53-11</t>
  </si>
  <si>
    <t xml:space="preserve">531164-01-1</t>
  </si>
  <si>
    <t xml:space="preserve">531164-01-1 (02) / FUSELAGE FR 15-21 INSPECTION</t>
  </si>
  <si>
    <t xml:space="preserve">52</t>
  </si>
  <si>
    <t xml:space="preserve">A&amp;P / REMINE CLOSE UP</t>
  </si>
  <si>
    <t xml:space="preserve">531166-01-2</t>
  </si>
  <si>
    <t xml:space="preserve">531166-01-2 (2) / FUSELAGE FR 16-20 INSPECTION</t>
  </si>
  <si>
    <t xml:space="preserve">53</t>
  </si>
  <si>
    <t xml:space="preserve">FWD DOORS GIRT FITTINGS / TO DO</t>
  </si>
  <si>
    <t xml:space="preserve">531181-01-1</t>
  </si>
  <si>
    <t xml:space="preserve">531181-01-1 (3) / FUSELAGE INTERNL STRUCT FR15-21 INSP</t>
  </si>
  <si>
    <t xml:space="preserve">55</t>
  </si>
  <si>
    <t xml:space="preserve">FWD GALLEY + LAV A + ALL B/C SEATS + COCKPIT DOOR + FLOOR PANELS REMOVAL </t>
  </si>
  <si>
    <t xml:space="preserve">531189-01-2</t>
  </si>
  <si>
    <t xml:space="preserve">531189-01-2 (2) / CABIN FLOOR STRUCT FR12 &amp; FR21 INSP</t>
  </si>
  <si>
    <t xml:space="preserve">56</t>
  </si>
  <si>
    <t xml:space="preserve">FWD GALLEY + LAV A + ALL B/C SEATS + COCKPIT DOOR + FLOOR PANELS REMOVAL</t>
  </si>
  <si>
    <t xml:space="preserve">531194-01-2</t>
  </si>
  <si>
    <t xml:space="preserve">531194-01-2 (2) / FLOOR STRUCTURE FR21 TO FR24 INSP</t>
  </si>
  <si>
    <t xml:space="preserve">57</t>
  </si>
  <si>
    <t xml:space="preserve">G2 GALLEY +  ALL SEATS REMOVAL</t>
  </si>
  <si>
    <t xml:space="preserve">534132-02-1</t>
  </si>
  <si>
    <t xml:space="preserve">534132-02-1 (2) / DETAILED INSP OF AFT PASS/CREW DOOR CUTOUT, UPPER CORNERS</t>
  </si>
  <si>
    <t xml:space="preserve">60</t>
  </si>
  <si>
    <t xml:space="preserve">53-41</t>
  </si>
  <si>
    <t xml:space="preserve">534135-01-4</t>
  </si>
  <si>
    <t xml:space="preserve">534135-01-4 (03) / AFT PASSENGER/CREW DOOR CUTOUT INSP</t>
  </si>
  <si>
    <t xml:space="preserve">61</t>
  </si>
  <si>
    <t xml:space="preserve">534147-01-1</t>
  </si>
  <si>
    <t xml:space="preserve">534147-01-1 (2) / CABIN FLOOR STRUC AROUND GALLEY&amp;LAV</t>
  </si>
  <si>
    <t xml:space="preserve">62</t>
  </si>
  <si>
    <t xml:space="preserve">REMOVE ALL GALLEYS AND LAVS + SOME ROWS OF G/C SEATS / REMINE CLOSE UP</t>
  </si>
  <si>
    <t xml:space="preserve">534195-01-2</t>
  </si>
  <si>
    <t xml:space="preserve">534195-01-2 (01) / CABIN FLOOR STRUCT BELOW AFT ENTERAN</t>
  </si>
  <si>
    <t xml:space="preserve">66</t>
  </si>
  <si>
    <t xml:space="preserve">AFT AREA / REMINE CLOSE UP</t>
  </si>
  <si>
    <t xml:space="preserve">562101-01-1</t>
  </si>
  <si>
    <t xml:space="preserve">562101-01-1 (3) / CABIN AND DOOR WINDOW PANES INSP</t>
  </si>
  <si>
    <t xml:space="preserve">79</t>
  </si>
  <si>
    <t xml:space="preserve">CAB + INSP / INTERIOR C/W REMINE EXTERIR</t>
  </si>
  <si>
    <t xml:space="preserve">56-21</t>
  </si>
  <si>
    <t xml:space="preserve">571157-01-1</t>
  </si>
  <si>
    <t xml:space="preserve">571157-01-1 (3) / CENTER WING BOX UPPER SKIN INSP</t>
  </si>
  <si>
    <t xml:space="preserve">81</t>
  </si>
  <si>
    <t xml:space="preserve">ACCESS</t>
  </si>
  <si>
    <t xml:space="preserve">ZL-145-01-1</t>
  </si>
  <si>
    <t xml:space="preserve">ZL-145-01-1 (2) / ZONE UNDER CABIN FLOOR INSPECTION</t>
  </si>
  <si>
    <t xml:space="preserve">109</t>
  </si>
  <si>
    <t xml:space="preserve">CAB + INSP / FR 36 TO FR 46 / REMINE CLOSE UP</t>
  </si>
  <si>
    <t xml:space="preserve">05-21</t>
  </si>
  <si>
    <t xml:space="preserve">ZL-171-02-1</t>
  </si>
  <si>
    <t xml:space="preserve">ZL-171-02-1 (2) / AFT CABIN UNDERFLOOR COMPART INSP</t>
  </si>
  <si>
    <t xml:space="preserve">115</t>
  </si>
  <si>
    <t xml:space="preserve">ZL-211-01-1</t>
  </si>
  <si>
    <t xml:space="preserve">ZL-211-01-1 (03) / COCKPIT ZONAL INSPECTION</t>
  </si>
  <si>
    <t xml:space="preserve">122</t>
  </si>
  <si>
    <t xml:space="preserve">05-22</t>
  </si>
  <si>
    <t xml:space="preserve">ZL-833-02-1</t>
  </si>
  <si>
    <t xml:space="preserve">ZL-833-02-1 (04) / FWD AND AFT EMERGENCY EXITS INSP</t>
  </si>
  <si>
    <t xml:space="preserve">157</t>
  </si>
  <si>
    <t xml:space="preserve">AP</t>
  </si>
  <si>
    <t xml:space="preserve">05-28</t>
  </si>
  <si>
    <t xml:space="preserve">05-SVA-01</t>
  </si>
  <si>
    <t xml:space="preserve">05-SVA-01 (00) / EMERGENCY EQUIPMENTS EXPIRY CHECK</t>
  </si>
  <si>
    <t xml:space="preserve">159</t>
  </si>
  <si>
    <t xml:space="preserve">ALL INFORMATIONS FILLED TO BE CLOSE BEFORE ACFT RELASE</t>
  </si>
  <si>
    <t xml:space="preserve">05</t>
  </si>
  <si>
    <t xml:space="preserve">11-11-00-01-0-SVA</t>
  </si>
  <si>
    <t xml:space="preserve">11-11-00-01-0-SVA (02) / INTERIOR PLACARDS CHECK</t>
  </si>
  <si>
    <t xml:space="preserve">160</t>
  </si>
  <si>
    <t xml:space="preserve">PAINT</t>
  </si>
  <si>
    <t xml:space="preserve">11-11</t>
  </si>
  <si>
    <t xml:space="preserve">212300-02-1</t>
  </si>
  <si>
    <t xml:space="preserve">212300-02-1 (4) / LAVATORY AIR EXTRACTION FLTR R/R</t>
  </si>
  <si>
    <t xml:space="preserve">162</t>
  </si>
  <si>
    <t xml:space="preserve">21-23</t>
  </si>
  <si>
    <t xml:space="preserve">25-10-00-00-SVA</t>
  </si>
  <si>
    <t xml:space="preserve">25-10-00-00-SVA (00) / COCKPIT CHECK</t>
  </si>
  <si>
    <t xml:space="preserve">168</t>
  </si>
  <si>
    <t xml:space="preserve">CAB ONLY / CHECK C/W</t>
  </si>
  <si>
    <t xml:space="preserve">25-10</t>
  </si>
  <si>
    <t xml:space="preserve">25-20-00-00-SVA</t>
  </si>
  <si>
    <t xml:space="preserve">25-20-00-00-SVA (01) / GENERAL CABIN DEEP INSP</t>
  </si>
  <si>
    <t xml:space="preserve">169</t>
  </si>
  <si>
    <t xml:space="preserve">CAB + INSP / CHECK C/W</t>
  </si>
  <si>
    <t xml:space="preserve">25-21-00-00-SVA</t>
  </si>
  <si>
    <t xml:space="preserve">25-21-00-00-SVA (01) / B/C SEAT DEEP INSP</t>
  </si>
  <si>
    <t xml:space="preserve">170</t>
  </si>
  <si>
    <t xml:space="preserve">PAX SEAT</t>
  </si>
  <si>
    <t xml:space="preserve">SEAT</t>
  </si>
  <si>
    <t xml:space="preserve">SEAT SHOP</t>
  </si>
  <si>
    <t xml:space="preserve">25-21-01-00-SVA</t>
  </si>
  <si>
    <t xml:space="preserve">25-21-01-00-SVA (01) / G/C SEAT DEEP INSP</t>
  </si>
  <si>
    <t xml:space="preserve">171</t>
  </si>
  <si>
    <t xml:space="preserve">STEP 8 (CAB POOL SPLTY) / TO DO AFTER SEAT INATALLAITON</t>
  </si>
  <si>
    <t xml:space="preserve">25-22-00-00-SVA</t>
  </si>
  <si>
    <t xml:space="preserve">25-22-00-00-SVA (01) / CABIN CREW SEAT DEEP INSP</t>
  </si>
  <si>
    <t xml:space="preserve">172</t>
  </si>
  <si>
    <t xml:space="preserve">25-26-00-08-0-SVA</t>
  </si>
  <si>
    <t xml:space="preserve">25-26-00-08-0-SVA (05) / PASSNGER COMPT CURTAINS REPLACEMENT</t>
  </si>
  <si>
    <t xml:space="preserve">173</t>
  </si>
  <si>
    <t xml:space="preserve">P/S 4509045 CLOSED</t>
  </si>
  <si>
    <t xml:space="preserve">25-26</t>
  </si>
  <si>
    <t xml:space="preserve">25-28-00-03-0-SVA-001</t>
  </si>
  <si>
    <t xml:space="preserve">25-28-00-03-0-SVA-001 (07) / HZ-ASA TO ASG AISLE CARPETS R/R</t>
  </si>
  <si>
    <t xml:space="preserve">174</t>
  </si>
  <si>
    <t xml:space="preserve">P/S 4509318 CLOSED</t>
  </si>
  <si>
    <t xml:space="preserve">25-28</t>
  </si>
  <si>
    <t xml:space="preserve">25-30-00-03-0-SVA</t>
  </si>
  <si>
    <t xml:space="preserve">25-30-00-03-0-SVA (02) / GALLEY CTL PANELS ELECTRICAL INSP</t>
  </si>
  <si>
    <t xml:space="preserve">175</t>
  </si>
  <si>
    <t xml:space="preserve">AV</t>
  </si>
  <si>
    <t xml:space="preserve">25-30-00-13-0-SVA</t>
  </si>
  <si>
    <t xml:space="preserve">25-30-00-13-0-SVA (02) / GALLY &amp; WATER AUTO DRAIN VALVES OPC</t>
  </si>
  <si>
    <t xml:space="preserve">176</t>
  </si>
  <si>
    <t xml:space="preserve">CAB ONLY / TO DO</t>
  </si>
  <si>
    <t xml:space="preserve">25-32-00-00-SVA</t>
  </si>
  <si>
    <t xml:space="preserve">25-32-00-00-SVA (01) / GALLEY CHECK</t>
  </si>
  <si>
    <t xml:space="preserve">177</t>
  </si>
  <si>
    <t xml:space="preserve">25-40-00-00-SVA</t>
  </si>
  <si>
    <t xml:space="preserve">25-40-00-00-SVA (01) / LAV CHECK</t>
  </si>
  <si>
    <t xml:space="preserve">178</t>
  </si>
  <si>
    <t xml:space="preserve">25-60-00-03-0-SVA</t>
  </si>
  <si>
    <t xml:space="preserve">25-60-00-03-0-SVA (01) / EMERGENCY EQUIPMENT IN C/A SEAT STOWAGE INSPECTION</t>
  </si>
  <si>
    <t xml:space="preserve">179</t>
  </si>
  <si>
    <t xml:space="preserve">25-60</t>
  </si>
  <si>
    <t xml:space="preserve">25-65-00-01-0-SVA</t>
  </si>
  <si>
    <t xml:space="preserve">25-65-00-01-0-SVA (02) / EMERGENCY EQUIP VALIDITY INSP</t>
  </si>
  <si>
    <t xml:space="preserve">180</t>
  </si>
  <si>
    <t xml:space="preserve">25-65</t>
  </si>
  <si>
    <t xml:space="preserve">25-65-00-01-0-SVA-001</t>
  </si>
  <si>
    <t xml:space="preserve">25-65-00-01-0-SVA-001 (02) / FIRST AID MEDICAL SURVL KIT CHECK</t>
  </si>
  <si>
    <t xml:space="preserve">181</t>
  </si>
  <si>
    <t xml:space="preserve">253400-01-1.</t>
  </si>
  <si>
    <t xml:space="preserve">253400-01-1. (03) / GALLEY COOLING CLEANING</t>
  </si>
  <si>
    <t xml:space="preserve">182</t>
  </si>
  <si>
    <t xml:space="preserve">CAB / TO DO</t>
  </si>
  <si>
    <t xml:space="preserve">20-00</t>
  </si>
  <si>
    <t xml:space="preserve">253400-02-1</t>
  </si>
  <si>
    <t xml:space="preserve">253400-02-1 (3) / AIRCHILLER CONDENSER AIR FLTR CLEANING</t>
  </si>
  <si>
    <t xml:space="preserve">183</t>
  </si>
  <si>
    <t xml:space="preserve">25-34</t>
  </si>
  <si>
    <t xml:space="preserve">256241-05-1</t>
  </si>
  <si>
    <t xml:space="preserve">256241-05-1 (5) / CABN DOORS GIRT BAR FITT STOP CLEAN</t>
  </si>
  <si>
    <t xml:space="preserve">186</t>
  </si>
  <si>
    <t xml:space="preserve">25-62</t>
  </si>
  <si>
    <t xml:space="preserve">261700-06-1</t>
  </si>
  <si>
    <t xml:space="preserve">261700-06-1 (0) / LAVATORY SMOKE DETECTION</t>
  </si>
  <si>
    <t xml:space="preserve">189</t>
  </si>
  <si>
    <t xml:space="preserve">31-63-00-01-SVA-001</t>
  </si>
  <si>
    <t xml:space="preserve">31-63-00-01-SVA-001 (04) / COCKPIT AND AVIONICS COMPARTMENT AREA AND EQUIPMENT`S CLEANING.</t>
  </si>
  <si>
    <t xml:space="preserve">207</t>
  </si>
  <si>
    <t xml:space="preserve">31-63</t>
  </si>
  <si>
    <t xml:space="preserve">353000-01-1</t>
  </si>
  <si>
    <t xml:space="preserve">353000-01-1 (5) / PORTABLE OXYGEN CYLINDERS OPC</t>
  </si>
  <si>
    <t xml:space="preserve">215</t>
  </si>
  <si>
    <t xml:space="preserve">35-32</t>
  </si>
  <si>
    <t xml:space="preserve">353000-05-1</t>
  </si>
  <si>
    <t xml:space="preserve">353000-05-1 (5) / CABIN PBE INSP</t>
  </si>
  <si>
    <t xml:space="preserve">216</t>
  </si>
  <si>
    <t xml:space="preserve">35-30</t>
  </si>
  <si>
    <t xml:space="preserve">383200-01-1</t>
  </si>
  <si>
    <t xml:space="preserve">383200-01-1 (3) / WASHBASIN FILTER ELEMENT CLEANING</t>
  </si>
  <si>
    <t xml:space="preserve">219</t>
  </si>
  <si>
    <t xml:space="preserve">38-32</t>
  </si>
  <si>
    <t xml:space="preserve">525111-06-2</t>
  </si>
  <si>
    <t xml:space="preserve">525111-06-2 (2) / FUNCTIONAL CHECK OF THE CORRECT ADJUSTMENT OF THE COCKPIT DOOR, ELECTRICAL RELEASE STRIKES AND LATCH MECHANISM</t>
  </si>
  <si>
    <t xml:space="preserve">223</t>
  </si>
  <si>
    <t xml:space="preserve">52-51</t>
  </si>
  <si>
    <t xml:space="preserve">527100-02-1</t>
  </si>
  <si>
    <t xml:space="preserve">527100-02-1 (4) / MAIN ENTRY DR WARNING PRX SW ACTUAT</t>
  </si>
  <si>
    <t xml:space="preserve">224</t>
  </si>
  <si>
    <t xml:space="preserve">12-22</t>
  </si>
  <si>
    <t xml:space="preserve">561000-01-1-SVA</t>
  </si>
  <si>
    <t xml:space="preserve">561000-01-1-SVA (04) / COCKPIT WINDOWS INSPECTION</t>
  </si>
  <si>
    <t xml:space="preserve">227</t>
  </si>
  <si>
    <t xml:space="preserve">AP + INSP (ACCESS)</t>
  </si>
  <si>
    <t xml:space="preserve">56-10</t>
  </si>
  <si>
    <t xml:space="preserve">05-00-00-05-SVA</t>
  </si>
  <si>
    <t xml:space="preserve">05-00-00-05-SVA (03) / FINAL PRODUCT QUALITY INSPECTION</t>
  </si>
  <si>
    <t xml:space="preserve">234</t>
  </si>
  <si>
    <t xml:space="preserve">SVTI</t>
  </si>
  <si>
    <t xml:space="preserve">05-00</t>
  </si>
  <si>
    <t xml:space="preserve">08-10-00-01-0-A</t>
  </si>
  <si>
    <t xml:space="preserve">08-10-00-01-0-A (02) / WIGHT &amp; BALANCE</t>
  </si>
  <si>
    <t xml:space="preserve">235</t>
  </si>
  <si>
    <t xml:space="preserve">08-10</t>
  </si>
  <si>
    <t xml:space="preserve">212100-01-1</t>
  </si>
  <si>
    <t xml:space="preserve">212100-01-1 (05) / COKPT AIR SUPPLY DUCT GRID CLEANING</t>
  </si>
  <si>
    <t xml:space="preserve">241</t>
  </si>
  <si>
    <t xml:space="preserve">21-21</t>
  </si>
  <si>
    <t xml:space="preserve">23-73-00-01-0-SVA</t>
  </si>
  <si>
    <t xml:space="preserve">23-73-00-01-0-SVA (01) / CABIN SIGNS OPS CHK</t>
  </si>
  <si>
    <t xml:space="preserve">257</t>
  </si>
  <si>
    <t xml:space="preserve">23-73</t>
  </si>
  <si>
    <t xml:space="preserve">233300-02-1</t>
  </si>
  <si>
    <t xml:space="preserve">233300-02-1 (4) / PASSENGER ENTERTAINMENT OPC</t>
  </si>
  <si>
    <t xml:space="preserve">258</t>
  </si>
  <si>
    <t xml:space="preserve">23-33</t>
  </si>
  <si>
    <t xml:space="preserve">235100-01-1</t>
  </si>
  <si>
    <t xml:space="preserve">235100-01-1 (02) / CAPT AND F/O AUDIO CTL PANELS OPC</t>
  </si>
  <si>
    <t xml:space="preserve">259</t>
  </si>
  <si>
    <t xml:space="preserve">23-51</t>
  </si>
  <si>
    <t xml:space="preserve">25-11-00-03-0-SVA-001</t>
  </si>
  <si>
    <t xml:space="preserve">25-11-00-03-0-SVA-001 (02) / THIRD OCCUPANT SEAT BOTTOM CUSHION REPLACMENT</t>
  </si>
  <si>
    <t xml:space="preserve">272</t>
  </si>
  <si>
    <t xml:space="preserve">P/S 4509325 / SEAT WILL BE REPLACED</t>
  </si>
  <si>
    <t xml:space="preserve">25-11-00-08-0-SVA</t>
  </si>
  <si>
    <t xml:space="preserve">25-11-00-08-0-SVA (03) / CAPTAIN AND F/O SEATS BOTTOM REPLACMENT</t>
  </si>
  <si>
    <t xml:space="preserve">273</t>
  </si>
  <si>
    <t xml:space="preserve">P/S 4509326</t>
  </si>
  <si>
    <t xml:space="preserve">25-11-00-09-0-SVA</t>
  </si>
  <si>
    <t xml:space="preserve">25-11-00-09-0-SVA (04) / CAPTAIN &amp; F/O SEATS COVERS REPLACMENT</t>
  </si>
  <si>
    <t xml:space="preserve">274</t>
  </si>
  <si>
    <t xml:space="preserve">P/S 4509328</t>
  </si>
  <si>
    <t xml:space="preserve">25-11-00-17-0-SVA-002</t>
  </si>
  <si>
    <t xml:space="preserve">25-11-00-17-0-SVA-002 (03) / FOURTH OCCUPANT SEAT BOTTOM CUSHION REPLACMENT</t>
  </si>
  <si>
    <t xml:space="preserve">275</t>
  </si>
  <si>
    <t xml:space="preserve">25-28-00-04-0-SVA-001</t>
  </si>
  <si>
    <t xml:space="preserve">25-28-00-04-0-SVA-001 (03) / A320(HZ-ASA TO ASG) CARPETS&amp;MATS R/R</t>
  </si>
  <si>
    <t xml:space="preserve">276</t>
  </si>
  <si>
    <t xml:space="preserve">P/S 4509334</t>
  </si>
  <si>
    <t xml:space="preserve">25-28-00-04-0-SVA-002</t>
  </si>
  <si>
    <t xml:space="preserve">25-28-00-04-0-SVA-002 (03) / COCKPIT COMPARTMENT CARPETS REPLCMNT</t>
  </si>
  <si>
    <t xml:space="preserve">277</t>
  </si>
  <si>
    <t xml:space="preserve">P/S 4509336</t>
  </si>
  <si>
    <t xml:space="preserve">25-SVA-01</t>
  </si>
  <si>
    <t xml:space="preserve">25-SVA-01 (01) / COCKPIT CHECK</t>
  </si>
  <si>
    <t xml:space="preserve">278</t>
  </si>
  <si>
    <t xml:space="preserve">CAB + INSP</t>
  </si>
  <si>
    <t xml:space="preserve">25-SVA-02</t>
  </si>
  <si>
    <t xml:space="preserve">25-SVA-02 (01) / GENERAL CABIN ITEMS C-CHK</t>
  </si>
  <si>
    <t xml:space="preserve">279</t>
  </si>
  <si>
    <t xml:space="preserve">25-SVA-03</t>
  </si>
  <si>
    <t xml:space="preserve">25-SVA-03 (01) / B/C SEAT REFRESH</t>
  </si>
  <si>
    <t xml:space="preserve">280</t>
  </si>
  <si>
    <t xml:space="preserve">25-SVA-04</t>
  </si>
  <si>
    <t xml:space="preserve">25-SVA-04 (01) / B/C SEAT DEEP REFRESH</t>
  </si>
  <si>
    <t xml:space="preserve">281</t>
  </si>
  <si>
    <t xml:space="preserve">25-SVA-05</t>
  </si>
  <si>
    <t xml:space="preserve">25-SVA-05 (01) / G/C SEAT REFRESH</t>
  </si>
  <si>
    <t xml:space="preserve">282</t>
  </si>
  <si>
    <t xml:space="preserve">STEP 6 (CAB POOL SPLTY)</t>
  </si>
  <si>
    <t xml:space="preserve">25-SVA-06</t>
  </si>
  <si>
    <t xml:space="preserve">25-SVA-06 (01) / GALLEY REFRESH</t>
  </si>
  <si>
    <t xml:space="preserve">283</t>
  </si>
  <si>
    <t xml:space="preserve">25-SVA-07</t>
  </si>
  <si>
    <t xml:space="preserve">25-SVA-07 (01) / LAV REFRESH</t>
  </si>
  <si>
    <t xml:space="preserve">284</t>
  </si>
  <si>
    <t xml:space="preserve">25-SVA-08</t>
  </si>
  <si>
    <t xml:space="preserve">25-SVA-08 (01) / CABIN CREW SEAT DEEP INSP</t>
  </si>
  <si>
    <t xml:space="preserve">285</t>
  </si>
  <si>
    <t xml:space="preserve">25-SVA-09</t>
  </si>
  <si>
    <t xml:space="preserve">25-SVA-09 (01) / B/C PAX SEATS CUSHION R/R</t>
  </si>
  <si>
    <t xml:space="preserve">286</t>
  </si>
  <si>
    <t xml:space="preserve">25-SVA-10</t>
  </si>
  <si>
    <t xml:space="preserve">25-SVA-10 (02) / G/C PAX SEATS CUSHION R/R</t>
  </si>
  <si>
    <t xml:space="preserve">287</t>
  </si>
  <si>
    <t xml:space="preserve">252100-01-0-SVA-002</t>
  </si>
  <si>
    <t xml:space="preserve">252100-01-0-SVA-002 (02) / A320 AIRCRAFT HZ-ASA THRU HZ-ASG PASSENGER SEATS COVERS R/R</t>
  </si>
  <si>
    <t xml:space="preserve">288</t>
  </si>
  <si>
    <t xml:space="preserve">25-21</t>
  </si>
  <si>
    <t xml:space="preserve">252100-01-1</t>
  </si>
  <si>
    <t xml:space="preserve">252100-01-1 (4) / PAX SEAT ATTACH TO FLOOR&amp;STRUC INSP</t>
  </si>
  <si>
    <t xml:space="preserve">289</t>
  </si>
  <si>
    <t xml:space="preserve">REMAINING CLOSE UP</t>
  </si>
  <si>
    <t xml:space="preserve">2521000103-001</t>
  </si>
  <si>
    <t xml:space="preserve">2521000103-001 (05) / PASS COMPARTMENT SEAT BELTS CLEANING B/C</t>
  </si>
  <si>
    <t xml:space="preserve">290</t>
  </si>
  <si>
    <t xml:space="preserve">2521000103-002</t>
  </si>
  <si>
    <t xml:space="preserve">2521000103-002 (06) / PASS COMPARTMENT SEAT BELTS CLEANING G/C</t>
  </si>
  <si>
    <t xml:space="preserve">291</t>
  </si>
  <si>
    <t xml:space="preserve">252200-01-1</t>
  </si>
  <si>
    <t xml:space="preserve">252200-01-1 (4) / CABIN ATTED SEAT ATTACHMENTS INSP</t>
  </si>
  <si>
    <t xml:space="preserve">292</t>
  </si>
  <si>
    <t xml:space="preserve">CAB + INSP / WITH INSTALLTION</t>
  </si>
  <si>
    <t xml:space="preserve">252200-03-1</t>
  </si>
  <si>
    <t xml:space="preserve">252200-03-1 (4) / CABIN ATTENDANT SEATS BELTS INSP</t>
  </si>
  <si>
    <t xml:space="preserve">293</t>
  </si>
  <si>
    <t xml:space="preserve">254000-04-2</t>
  </si>
  <si>
    <t xml:space="preserve">254000-04-2 (4) / LAVATORIES FLOOR PANELS INSPECTION</t>
  </si>
  <si>
    <t xml:space="preserve">294</t>
  </si>
  <si>
    <t xml:space="preserve">256535-01-1</t>
  </si>
  <si>
    <t xml:space="preserve">256535-01-1 (02) / EMERGENCY LOCATOR TRANSMITTER OPC</t>
  </si>
  <si>
    <t xml:space="preserve">297</t>
  </si>
  <si>
    <t xml:space="preserve">256652-01-1-SVA</t>
  </si>
  <si>
    <t xml:space="preserve">256652-01-1-SVA (01) / LIFE VEST RESTORATION PERIODIC CHECK FOR EXPIRATION</t>
  </si>
  <si>
    <t xml:space="preserve">299</t>
  </si>
  <si>
    <t xml:space="preserve">C/W REMAINING CLOSE UP</t>
  </si>
  <si>
    <t xml:space="preserve">262541-04-1</t>
  </si>
  <si>
    <t xml:space="preserve">262541-04-1 (3) / LAVATORY FIRE EXTG PRESS READING CHK</t>
  </si>
  <si>
    <t xml:space="preserve">312</t>
  </si>
  <si>
    <t xml:space="preserve">272100-02-1</t>
  </si>
  <si>
    <t xml:space="preserve">272100-02-1 (03) / RUDDER CONTROL CABLES INSP</t>
  </si>
  <si>
    <t xml:space="preserve">318</t>
  </si>
  <si>
    <t xml:space="preserve">335100-11-1</t>
  </si>
  <si>
    <t xml:space="preserve">335100-11-1 (1) / CABIN EMERGENCY LIGHTING</t>
  </si>
  <si>
    <t xml:space="preserve">413</t>
  </si>
  <si>
    <t xml:space="preserve">33-51</t>
  </si>
  <si>
    <t xml:space="preserve">351000-01-1</t>
  </si>
  <si>
    <t xml:space="preserve">351000-01-1 (3) / FULL FACE/QUICK OXYGEN MASKS OPC</t>
  </si>
  <si>
    <t xml:space="preserve">425</t>
  </si>
  <si>
    <t xml:space="preserve">35-12</t>
  </si>
  <si>
    <t xml:space="preserve">351241-01-1</t>
  </si>
  <si>
    <t xml:space="preserve">351241-01-1 (3) / CREW OXYGEN MASKS INSPECTION</t>
  </si>
  <si>
    <t xml:space="preserve">426</t>
  </si>
  <si>
    <t xml:space="preserve">352000-02-1</t>
  </si>
  <si>
    <t xml:space="preserve">352000-02-1 (3) / PAX OXYGEN SYSTEM MASK RELEASE FNC</t>
  </si>
  <si>
    <t xml:space="preserve">427</t>
  </si>
  <si>
    <t xml:space="preserve">35-23</t>
  </si>
  <si>
    <t xml:space="preserve">352142-01-1-SVA</t>
  </si>
  <si>
    <t xml:space="preserve">352142-01-1-SVA (01) / VALIDITY CHECK OF CHEMICAL OXYGEN GENERATORS</t>
  </si>
  <si>
    <t xml:space="preserve">428</t>
  </si>
  <si>
    <t xml:space="preserve">35-21</t>
  </si>
  <si>
    <t xml:space="preserve">353000-06-1-SVA</t>
  </si>
  <si>
    <t xml:space="preserve">353000-06-1-SVA (03) / COCKPIT (PBE) INSPECTION</t>
  </si>
  <si>
    <t xml:space="preserve">429</t>
  </si>
  <si>
    <t xml:space="preserve">25-64</t>
  </si>
  <si>
    <t xml:space="preserve">353000-07-1</t>
  </si>
  <si>
    <t xml:space="preserve">353000-07-1 (4) / PORTABLE OXYGEN MASKS INSPECTION</t>
  </si>
  <si>
    <t xml:space="preserve">430</t>
  </si>
  <si>
    <t xml:space="preserve">383100-07-1</t>
  </si>
  <si>
    <t xml:space="preserve">383100-07-1 (07) / VACUUM TOILET SYSTEM CLEANING</t>
  </si>
  <si>
    <t xml:space="preserve">439</t>
  </si>
  <si>
    <t xml:space="preserve">OPEN UP</t>
  </si>
  <si>
    <t xml:space="preserve">38-31</t>
  </si>
  <si>
    <t xml:space="preserve">384242-01-1</t>
  </si>
  <si>
    <t xml:space="preserve">384242-01-1 (01) / WATER COMPRESSOR AIR FILTER R&amp;R</t>
  </si>
  <si>
    <t xml:space="preserve">442</t>
  </si>
  <si>
    <t xml:space="preserve">38-42</t>
  </si>
  <si>
    <t xml:space="preserve">521000-01-SVA</t>
  </si>
  <si>
    <t xml:space="preserve">521000-01-SVA (01) / FWD LH PASSENGER/CREW DOOR DAMPER AND EMERGENCY OPERATION CYLINDER DIAPHRAGM REPLACEMENT</t>
  </si>
  <si>
    <t xml:space="preserve">446</t>
  </si>
  <si>
    <t xml:space="preserve">52-10</t>
  </si>
  <si>
    <t xml:space="preserve">521000-02-1</t>
  </si>
  <si>
    <t xml:space="preserve">521000-02-1 (3) / PASSENGER/CREW DOOR SUSPENSION CHK</t>
  </si>
  <si>
    <t xml:space="preserve">447</t>
  </si>
  <si>
    <t xml:space="preserve">521000-02-SVA</t>
  </si>
  <si>
    <t xml:space="preserve">521000-02-SVA (01) / FWD RH PASSENGER/CREW DOOR DAMPER AND EMERGENCY OPERATION CYLINDER DIAPHRAGM REPLACEMENT</t>
  </si>
  <si>
    <t xml:space="preserve">448</t>
  </si>
  <si>
    <t xml:space="preserve">521000-03-SVA</t>
  </si>
  <si>
    <t xml:space="preserve">521000-03-SVA (01) / AFT LH PASSENGER/CREW DOOR DAMPER AND EMERGENCY OPERATION CYLINDER DIAPHRAGM REPLACEMENT</t>
  </si>
  <si>
    <t xml:space="preserve">449</t>
  </si>
  <si>
    <t xml:space="preserve">521000-04-1-001</t>
  </si>
  <si>
    <t xml:space="preserve">521000-04-1-001 (03) / L/H FWD PAX/CREW DOOR INTEGRITY CHK</t>
  </si>
  <si>
    <t xml:space="preserve">450</t>
  </si>
  <si>
    <t xml:space="preserve">521000-04-1-002</t>
  </si>
  <si>
    <t xml:space="preserve">521000-04-1-002 (03) / R/H FWD PAX/CREW DOOR INTEGRITY CHK</t>
  </si>
  <si>
    <t xml:space="preserve">451</t>
  </si>
  <si>
    <t xml:space="preserve">521000-04-1-003</t>
  </si>
  <si>
    <t xml:space="preserve">521000-04-1-003 (03) / L/H AFT PAX/CREW DOOR INTEGRITY CHK</t>
  </si>
  <si>
    <t xml:space="preserve">452</t>
  </si>
  <si>
    <t xml:space="preserve">521000-04-1-004</t>
  </si>
  <si>
    <t xml:space="preserve">521000-04-1-004 (03) / R/H AFT PAX/CREW DOOR INTEGRITY CHK</t>
  </si>
  <si>
    <t xml:space="preserve">453</t>
  </si>
  <si>
    <t xml:space="preserve">521000-04-SVA</t>
  </si>
  <si>
    <t xml:space="preserve">521000-04-SVA (01) / AFT RH PASSENGER/CREW DOOR DAMPER AND EMERGENCY OPERATION CYLINDER DIAPHRAGM REPLACEMENT</t>
  </si>
  <si>
    <t xml:space="preserve">454</t>
  </si>
  <si>
    <t xml:space="preserve">521000-05-1</t>
  </si>
  <si>
    <t xml:space="preserve">521000-05-1 (4) / PAX/CREW DOOR LOCKING MECHANISM CHK</t>
  </si>
  <si>
    <t xml:space="preserve">455</t>
  </si>
  <si>
    <t xml:space="preserve">521000-06-1</t>
  </si>
  <si>
    <t xml:space="preserve">521000-06-1 (4) / PASS/CRW DOOR EMER ESC SLIDE FUNCHK</t>
  </si>
  <si>
    <t xml:space="preserve">456</t>
  </si>
  <si>
    <t xml:space="preserve">521000-07-1-001</t>
  </si>
  <si>
    <t xml:space="preserve">521000-07-1-001 (4) / FWRD L/H&amp;R/H PASS/CREW DOR AJAST CK</t>
  </si>
  <si>
    <t xml:space="preserve">457</t>
  </si>
  <si>
    <t xml:space="preserve">521000-07-1-002</t>
  </si>
  <si>
    <t xml:space="preserve">521000-07-1-002 (5) / AFT PASS/CREW DOORS ADJUSTMENT CHK</t>
  </si>
  <si>
    <t xml:space="preserve">458</t>
  </si>
  <si>
    <t xml:space="preserve">521000-08-1</t>
  </si>
  <si>
    <t xml:space="preserve">521000-08-1 (5) / PASS/CREW DOORS INTRLK MECHANISM OPC</t>
  </si>
  <si>
    <t xml:space="preserve">459</t>
  </si>
  <si>
    <t xml:space="preserve">521000-09-1</t>
  </si>
  <si>
    <t xml:space="preserve">521000-09-1 (6) / PASS/CREW DOOR MECH LOCK IND FUN CHK</t>
  </si>
  <si>
    <t xml:space="preserve">460</t>
  </si>
  <si>
    <t xml:space="preserve">521000-10-1</t>
  </si>
  <si>
    <t xml:space="preserve">521000-10-1 (6) / PASS/CREW DOOR DAMPING FUNC CHECK</t>
  </si>
  <si>
    <t xml:space="preserve">461</t>
  </si>
  <si>
    <t xml:space="preserve">521000-11-1</t>
  </si>
  <si>
    <t xml:space="preserve">521000-11-1 (6) / PASS/CREW DOORS STRIKERS MECHNSM OP</t>
  </si>
  <si>
    <t xml:space="preserve">462</t>
  </si>
  <si>
    <t xml:space="preserve">521000-12-1</t>
  </si>
  <si>
    <t xml:space="preserve">521000-12-1 (6) / PASS/CREW DOOR ESCAB SLIDE DIS OPC</t>
  </si>
  <si>
    <t xml:space="preserve">463</t>
  </si>
  <si>
    <t xml:space="preserve">521000-18-1</t>
  </si>
  <si>
    <t xml:space="preserve">521000-18-1 (3) / FUNCTIONAL CHECK OF ESCAPE SLIDE DISARMING WHEN DOOR IS OPENED FROM OUTSIDE.</t>
  </si>
  <si>
    <t xml:space="preserve">464</t>
  </si>
  <si>
    <t xml:space="preserve">521121-02-1</t>
  </si>
  <si>
    <t xml:space="preserve">521121-02-1 (4) / PASSENGER/CREW DOORS LUBRICATION</t>
  </si>
  <si>
    <t xml:space="preserve">465</t>
  </si>
  <si>
    <t xml:space="preserve">522100-01-1</t>
  </si>
  <si>
    <t xml:space="preserve">522100-01-1 (02) / PAX EMER EXIT OPENING FROM INSIDE</t>
  </si>
  <si>
    <t xml:space="preserve">466</t>
  </si>
  <si>
    <t xml:space="preserve">52-21</t>
  </si>
  <si>
    <t xml:space="preserve">522100-02-5</t>
  </si>
  <si>
    <t xml:space="preserve">522100-02-5 (04) / PASSENGER COMP EMERGENCY EXIT FNC</t>
  </si>
  <si>
    <t xml:space="preserve">467</t>
  </si>
  <si>
    <t xml:space="preserve">522100-07-5</t>
  </si>
  <si>
    <t xml:space="preserve">522100-07-5 (03) / EMERGENCY EXIT HATCH OPERATION</t>
  </si>
  <si>
    <t xml:space="preserve">468</t>
  </si>
  <si>
    <t xml:space="preserve">AP + INSP</t>
  </si>
  <si>
    <t xml:space="preserve">522100-08-1</t>
  </si>
  <si>
    <t xml:space="preserve">522100-08-1 (02) / PASSENGER COMPT EMERGENCY EXIT OPC</t>
  </si>
  <si>
    <t xml:space="preserve">469</t>
  </si>
  <si>
    <t xml:space="preserve">525111-01-1</t>
  </si>
  <si>
    <t xml:space="preserve">525111-01-1 (3) / COCKPIT DOOR LOCKING SYS MECH PARTS INSP</t>
  </si>
  <si>
    <t xml:space="preserve">473</t>
  </si>
  <si>
    <t xml:space="preserve">525111-02-1</t>
  </si>
  <si>
    <t xml:space="preserve">525111-02-1 (3) / COCKPIT DOOR PRESS SENSING CHANNELS</t>
  </si>
  <si>
    <t xml:space="preserve">474</t>
  </si>
  <si>
    <t xml:space="preserve">AV + INSP</t>
  </si>
  <si>
    <t xml:space="preserve">525111-03-1</t>
  </si>
  <si>
    <t xml:space="preserve">525111-03-1 (4) / COCKPIT DOOR MANUAL SWITCH OVER OPS</t>
  </si>
  <si>
    <t xml:space="preserve">475</t>
  </si>
  <si>
    <t xml:space="preserve">525111-04-1</t>
  </si>
  <si>
    <t xml:space="preserve">525111-04-1 (3) / COCKPIT DOOR OPENING WITH POWER OFF</t>
  </si>
  <si>
    <t xml:space="preserve">476</t>
  </si>
  <si>
    <t xml:space="preserve">525111-05-1</t>
  </si>
  <si>
    <t xml:space="preserve">525111-05-1 (3) / COCKPIT DOOR OPENING BY EMERG CODE</t>
  </si>
  <si>
    <t xml:space="preserve">477</t>
  </si>
  <si>
    <t xml:space="preserve">527100-01-1</t>
  </si>
  <si>
    <t xml:space="preserve">527100-01-1 (6) / DOOR WARNING SYSTEM OPERATIONAL TEST</t>
  </si>
  <si>
    <t xml:space="preserve">478</t>
  </si>
  <si>
    <t xml:space="preserve">52-71</t>
  </si>
  <si>
    <t xml:space="preserve">527300-01-1</t>
  </si>
  <si>
    <t xml:space="preserve">527300-01-1 (04) / EMERGENCY ESCAPE SLIDE WARNING SYS</t>
  </si>
  <si>
    <t xml:space="preserve">479</t>
  </si>
  <si>
    <t xml:space="preserve">52-73</t>
  </si>
  <si>
    <t xml:space="preserve">527300-02-1</t>
  </si>
  <si>
    <t xml:space="preserve">527300-02-1 (3) / EMERGENCY ESCAPE SLIDE RELEASE AND OVERPRESSURE WARNING SYSTEMS</t>
  </si>
  <si>
    <t xml:space="preserve">480</t>
  </si>
  <si>
    <t xml:space="preserve">531151-02-1</t>
  </si>
  <si>
    <t xml:space="preserve">531151-02-1 (1) / DETAILED INSPECTION OF DOOR STOP FITTINGS PROTRUDING PART NOT COVERED BY THE LINING ON FRAME 16 AND FRAME 20, LH/RH.</t>
  </si>
  <si>
    <t xml:space="preserve">481</t>
  </si>
  <si>
    <t xml:space="preserve">531176-02-1</t>
  </si>
  <si>
    <t xml:space="preserve">531176-02-1 (1) / GVI OF COCKPIT SIDE WINDOWS, EXTERNAL VISIBLE PORTION OF FRAMEWORK, BETWEEN FR 4 AND FR 12, LH/RH.</t>
  </si>
  <si>
    <t xml:space="preserve">482</t>
  </si>
  <si>
    <t xml:space="preserve">531178-02-1</t>
  </si>
  <si>
    <t xml:space="preserve">531178-02-1 (3) / GENERAL VISUAL INSPECTION OF COCKPIT WINDSHIELD, EXTERNAL VISIBLE PORTION OF RETAINERS.</t>
  </si>
  <si>
    <t xml:space="preserve">483</t>
  </si>
  <si>
    <t xml:space="preserve">531182-02-1</t>
  </si>
  <si>
    <t xml:space="preserve">531182-02-1 (1) / DET INSP OF SLIDING WINDOW FRAME, UPPER AND LOWER FRAMES AND FR4 &amp; FR8 FRAMES, INTERNAL STR FROM FR4 TO FR8 LH/RH</t>
  </si>
  <si>
    <t xml:space="preserve">484</t>
  </si>
  <si>
    <t xml:space="preserve">561200-02-1</t>
  </si>
  <si>
    <t xml:space="preserve">561200-02-1 (2) / COCKPIT SLIDING WINDOW LUBRICATION</t>
  </si>
  <si>
    <t xml:space="preserve">509</t>
  </si>
  <si>
    <t xml:space="preserve">P/S 4509339</t>
  </si>
  <si>
    <t xml:space="preserve">38-10-00-SVA</t>
  </si>
  <si>
    <t xml:space="preserve">38-10-00-SVA (01) / DECALCIFICATION OF THE POTABLE WATER TANK AND DISTRIBUTION SYSTEM</t>
  </si>
  <si>
    <t xml:space="preserve">591</t>
  </si>
  <si>
    <t xml:space="preserve">38-10</t>
  </si>
  <si>
    <t xml:space="preserve">521000-14-1</t>
  </si>
  <si>
    <t xml:space="preserve">521000-14-1 (7) / FWD AND AFT PASS/CREW DOOR HINGE LUB</t>
  </si>
  <si>
    <t xml:space="preserve">594</t>
  </si>
  <si>
    <t xml:space="preserve">521121-01-1</t>
  </si>
  <si>
    <t xml:space="preserve">521121-01-1 (4) / FWD AND AFT PASS/CREW DOOR EXT LUB</t>
  </si>
  <si>
    <t xml:space="preserve">595</t>
  </si>
  <si>
    <t xml:space="preserve">ZL-831-01-1</t>
  </si>
  <si>
    <t xml:space="preserve">ZL-831-01-1 (05) / AFT PASSENGER/CREW DOOR</t>
  </si>
  <si>
    <t xml:space="preserve">602</t>
  </si>
  <si>
    <t xml:space="preserve">521000-20-1</t>
  </si>
  <si>
    <t xml:space="preserve">521000-20-1 (1) / OPERATIONAL CHECK OF DOOR DAMPING.</t>
  </si>
  <si>
    <t xml:space="preserve">609</t>
  </si>
  <si>
    <t xml:space="preserve">521104-01-1</t>
  </si>
  <si>
    <t xml:space="preserve">521104-01-1 (02) / FWD PAX DOOR INTERNAL STRUCTURE INSP</t>
  </si>
  <si>
    <t xml:space="preserve">610</t>
  </si>
  <si>
    <t xml:space="preserve">521304-01-1</t>
  </si>
  <si>
    <t xml:space="preserve">521304-01-1 (02) / AFT PAX DOOR INTERNAL STRUCTURE INSP</t>
  </si>
  <si>
    <t xml:space="preserve">611</t>
  </si>
  <si>
    <t xml:space="preserve">52-13</t>
  </si>
  <si>
    <t xml:space="preserve">522102-01-1</t>
  </si>
  <si>
    <t xml:space="preserve">522102-01-1 (04) / EMERGENCY EXITS STRUCTURE INSPECTION</t>
  </si>
  <si>
    <t xml:space="preserve">612</t>
  </si>
  <si>
    <t xml:space="preserve">531163-01-1</t>
  </si>
  <si>
    <t xml:space="preserve">531163-01-1 (03) / FWD PAX/CREW DOOR SURROUND INSP</t>
  </si>
  <si>
    <t xml:space="preserve">618</t>
  </si>
  <si>
    <t xml:space="preserve">533129-07-1</t>
  </si>
  <si>
    <t xml:space="preserve">533129-07-1 (0) / EMERGENCY EXIT CUTOUTS</t>
  </si>
  <si>
    <t xml:space="preserve">626</t>
  </si>
  <si>
    <t xml:space="preserve">534123-01-3</t>
  </si>
  <si>
    <t xml:space="preserve">534123-01-3 (06) / GUSSET PLATE FASTENER HOLE NDT INSP</t>
  </si>
  <si>
    <t xml:space="preserve">630</t>
  </si>
  <si>
    <t xml:space="preserve">ACCESS (AFT GALLEY/LAVS - AFT DOOR LININGS - BLANKETS)</t>
  </si>
  <si>
    <t xml:space="preserve">534135-02-1</t>
  </si>
  <si>
    <t xml:space="preserve">534135-02-1 (0) / REAR FUSELAGE</t>
  </si>
  <si>
    <t xml:space="preserve">631</t>
  </si>
  <si>
    <t xml:space="preserve">57-21</t>
  </si>
  <si>
    <t xml:space="preserve">534143-01-3</t>
  </si>
  <si>
    <t xml:space="preserve">534143-01-3 (03) / AFT PASSENGER/CREW DOOR CUTOUT INSP</t>
  </si>
  <si>
    <t xml:space="preserve">632</t>
  </si>
  <si>
    <t xml:space="preserve">534195-01-1</t>
  </si>
  <si>
    <t xml:space="preserve">534195-01-1 (0) / CABIN FLOOR STRUCTURE AFT ENTRANCE A</t>
  </si>
  <si>
    <t xml:space="preserve">635</t>
  </si>
  <si>
    <t xml:space="preserve">ACCESS (AFT AREA)</t>
  </si>
  <si>
    <t xml:space="preserve">534395-01-2</t>
  </si>
  <si>
    <t xml:space="preserve">534395-01-2 (0) / LATERAL SHEAR PLATES BETWEEN FRAME 6</t>
  </si>
  <si>
    <t xml:space="preserve">636</t>
  </si>
  <si>
    <t xml:space="preserve">ACCESS (AFT AREA - GALLEY/LAVS)</t>
  </si>
  <si>
    <t xml:space="preserve">53-51</t>
  </si>
  <si>
    <t xml:space="preserve">29294847</t>
  </si>
  <si>
    <t xml:space="preserve">252582/AD-A320/A321, INSPECTION OF ALL LAVATORY WASTE RECEPTACLE DOORS</t>
  </si>
  <si>
    <t xml:space="preserve">706</t>
  </si>
  <si>
    <t xml:space="preserve">30970374</t>
  </si>
  <si>
    <t xml:space="preserve">EOD-320-25-00052-R00/PAD-THIRD OCCUPANT SEAT – 168 SERIES BOTTOM EQUIPPED SCREW REPLACEMENT</t>
  </si>
  <si>
    <t xml:space="preserve">711</t>
  </si>
  <si>
    <t xml:space="preserve">P/S 4509340</t>
  </si>
  <si>
    <t xml:space="preserve">29155749</t>
  </si>
  <si>
    <t xml:space="preserve">EOD-320-31-00011-R00/FDIMU - TELEDYNE ETHERNET AND ADC ACTIVATION FOR FOMAX</t>
  </si>
  <si>
    <t xml:space="preserve">721</t>
  </si>
  <si>
    <t xml:space="preserve">FOMAX</t>
  </si>
  <si>
    <t xml:space="preserve">31</t>
  </si>
  <si>
    <t xml:space="preserve">30817926</t>
  </si>
  <si>
    <t xml:space="preserve">EOD-320-44-00014-R00/ECLIPSE CONNECTIVITY MODIFICATION</t>
  </si>
  <si>
    <t xml:space="preserve">727</t>
  </si>
  <si>
    <t xml:space="preserve">REVIEW FOR ACCESS</t>
  </si>
  <si>
    <t xml:space="preserve">31328631</t>
  </si>
  <si>
    <t xml:space="preserve">EOD-320-44-00028-R00/DE-MOD TAQNIA SYSTEM REMOVAL</t>
  </si>
  <si>
    <t xml:space="preserve">728</t>
  </si>
  <si>
    <t xml:space="preserve">29155915</t>
  </si>
  <si>
    <t xml:space="preserve">EOD-320-46-00004-R00/INSTALL FOMAX SYSTEM PROVISIONS</t>
  </si>
  <si>
    <t xml:space="preserve">729</t>
  </si>
  <si>
    <t xml:space="preserve">FOMAX (ACCESS COCKPIT)</t>
  </si>
  <si>
    <t xml:space="preserve">46</t>
  </si>
  <si>
    <t xml:space="preserve">29156039</t>
  </si>
  <si>
    <t xml:space="preserve">EOD-320-46-00005-R00/INSTALL INTERNAL GATELINK ANTENNA FOR FOMAX</t>
  </si>
  <si>
    <t xml:space="preserve">730</t>
  </si>
  <si>
    <t xml:space="preserve">FOMAX (B/C BLANKETS REMOVAL)</t>
  </si>
  <si>
    <t xml:space="preserve">29156133</t>
  </si>
  <si>
    <t xml:space="preserve">EOD-320-46-00006-R00/INSTALL COCKPIT WIFI ANTENNA FOR FOMAX</t>
  </si>
  <si>
    <t xml:space="preserve">731</t>
  </si>
  <si>
    <t xml:space="preserve">29156195</t>
  </si>
  <si>
    <t xml:space="preserve">EOD-320-46-00007-R00/CONNECT ETHERNET LINK BETWEEN FOMAX AND FDIMU</t>
  </si>
  <si>
    <t xml:space="preserve">732</t>
  </si>
  <si>
    <t xml:space="preserve">29157165</t>
  </si>
  <si>
    <t xml:space="preserve">EOD-320-46-00008-R00/FOMAX 4 ACTIVATION</t>
  </si>
  <si>
    <t xml:space="preserve">733</t>
  </si>
  <si>
    <t xml:space="preserve">29156249</t>
  </si>
  <si>
    <t xml:space="preserve">EOD-320-46-00009-R00/ACTIVATE FOMAX OPTION 1</t>
  </si>
  <si>
    <t xml:space="preserve">734</t>
  </si>
  <si>
    <t xml:space="preserve">18607800</t>
  </si>
  <si>
    <t xml:space="preserve">EOD-320-53-00023-R00/CENTER FUSELAGE -MODIFY FASTENER HOLE OF FRAME FEET COUPLING</t>
  </si>
  <si>
    <t xml:space="preserve">740</t>
  </si>
  <si>
    <t xml:space="preserve">29441536</t>
  </si>
  <si>
    <t xml:space="preserve">EOD-320-53-00026-R01/A320- FUSELAGE - REAR FUSELAGE - INSPECTION FOR CRACKS AT FR68</t>
  </si>
  <si>
    <t xml:space="preserve">741</t>
  </si>
  <si>
    <t xml:space="preserve">AFT AREA / OPEN UP</t>
  </si>
  <si>
    <t xml:space="preserve">31381248</t>
  </si>
  <si>
    <t xml:space="preserve">EOD-320-53-00047-R00/AD-REAR FUSELAGE - EXCHANGE NYLON BUSHES REF SB 53-1542</t>
  </si>
  <si>
    <t xml:space="preserve">743</t>
  </si>
  <si>
    <t xml:space="preserve">SEATS REMOVAL</t>
  </si>
  <si>
    <t xml:space="preserve">31053051</t>
  </si>
  <si>
    <t xml:space="preserve">EOD-333-25-00024-R00/AD- A330/A320- INSPECT EACH BUCKLE SCREW FOR CRACKED,LOOSE</t>
  </si>
  <si>
    <t xml:space="preserve">746</t>
  </si>
  <si>
    <t xml:space="preserve">30936889</t>
  </si>
  <si>
    <t xml:space="preserve">S32-R10370/A32S - LANDING GEAR - FLEET CAMPIAGN FOR FREE FALL MECHANISM</t>
  </si>
  <si>
    <t xml:space="preserve">751</t>
  </si>
  <si>
    <t xml:space="preserve">ACCESS (FLOOR PANLES/SEATS)</t>
  </si>
  <si>
    <t xml:space="preserve">31197928</t>
  </si>
  <si>
    <t xml:space="preserve">REPLACE MF20-534/B005068 (FULL FACE QUICK DONN MASK REGULATOR)</t>
  </si>
  <si>
    <t xml:space="preserve">763</t>
  </si>
  <si>
    <t xml:space="preserve">80944787</t>
  </si>
  <si>
    <t xml:space="preserve">PANEL 41C CEILING PANEL FOUND DAMAGE</t>
  </si>
  <si>
    <t xml:space="preserve">772</t>
  </si>
  <si>
    <t xml:space="preserve">TEDLAR/SIDEWALL</t>
  </si>
  <si>
    <t xml:space="preserve">LOGBOOK CABIN</t>
  </si>
  <si>
    <t xml:space="preserve">81002632</t>
  </si>
  <si>
    <t xml:space="preserve">AFT GALLEY COMP COVERT ATTACHMENT FITTING S302 S303 S304 LOWER FLAP IS BROKEN AND DETACHED FROM FLOOR</t>
  </si>
  <si>
    <t xml:space="preserve">773</t>
  </si>
  <si>
    <t xml:space="preserve">LOGBOOK CABIN / S3 CLOSET RAMP ASSY</t>
  </si>
  <si>
    <t xml:space="preserve">STJC-20-00-00-01-GA-GO</t>
  </si>
  <si>
    <t xml:space="preserve">HEAVY CHK AIRCRAFT (PRE-INSP)</t>
  </si>
  <si>
    <t xml:space="preserve">782</t>
  </si>
  <si>
    <t xml:space="preserve">20</t>
  </si>
  <si>
    <t xml:space="preserve">STJC-20-00-00-06-A32S-SV</t>
  </si>
  <si>
    <t xml:space="preserve">HEAVEY CHECK PRE-HANGAR PREPARATION</t>
  </si>
  <si>
    <t xml:space="preserve">786</t>
  </si>
  <si>
    <t xml:space="preserve">STJC-20-00-00-07-A32S-SV</t>
  </si>
  <si>
    <t xml:space="preserve">HEAVEY CHECK DE-HANGARING PREPARATION</t>
  </si>
  <si>
    <t xml:space="preserve">787</t>
  </si>
  <si>
    <t xml:space="preserve">STJC-20-00-00-08-A32S-SV</t>
  </si>
  <si>
    <t xml:space="preserve">CABIN DOORS SAFETY PINS INSTALLATION/REMOVAL</t>
  </si>
  <si>
    <t xml:space="preserve">788</t>
  </si>
  <si>
    <t xml:space="preserve">STJC-AREAS-FINAL-INSPECTION-01-GA-GO</t>
  </si>
  <si>
    <t xml:space="preserve">AIRCRAFT FINAL INSPECTION</t>
  </si>
  <si>
    <t xml:space="preserve">789</t>
  </si>
  <si>
    <t xml:space="preserve">STJC-AREAS-FINAL-INSPECTION-02-GA-GO</t>
  </si>
  <si>
    <t xml:space="preserve">COCKPIT AND PAX CABIN FINAL INSPECTION</t>
  </si>
  <si>
    <t xml:space="preserve">790</t>
  </si>
  <si>
    <t xml:space="preserve">STJC-CRS-GA-SV</t>
  </si>
  <si>
    <t xml:space="preserve">CERTIFICATE OF RELEASE TO SERVICE (CRS)</t>
  </si>
  <si>
    <t xml:space="preserve">798</t>
  </si>
  <si>
    <t xml:space="preserve">05-11</t>
  </si>
  <si>
    <t xml:space="preserve">STJC-RTS-03-A32S-SV</t>
  </si>
  <si>
    <t xml:space="preserve">AIRCRAFT RETURN TO SERVICE FOR HEAVEY CHECK</t>
  </si>
  <si>
    <t xml:space="preserve">799</t>
  </si>
  <si>
    <t xml:space="preserve">381000-01-1</t>
  </si>
  <si>
    <t xml:space="preserve">381000-01-1 (3) / WATER TANK DISINFECTION</t>
  </si>
  <si>
    <t xml:space="preserve">803</t>
  </si>
  <si>
    <t xml:space="preserve">32840057</t>
  </si>
  <si>
    <t xml:space="preserve">DCC-32S (13) / DCC A32S DAILY CABIN CHECK</t>
  </si>
  <si>
    <t xml:space="preserve">804</t>
  </si>
  <si>
    <t xml:space="preserve">25-00</t>
  </si>
  <si>
    <t xml:space="preserve">CCC-32S</t>
  </si>
  <si>
    <t xml:space="preserve">CCC-32S (05) / A32S CABIN CRITICAL CHECK</t>
  </si>
  <si>
    <t xml:space="preserve">810</t>
  </si>
  <si>
    <t xml:space="preserve">FINDING (NRC) TASKCARD 25-SVA-03 (01) / ITEM ONE ALL B/C SEAT STRUCTURE  DIRTY</t>
  </si>
  <si>
    <t xml:space="preserve">FINDING (NRC) TASKCARD 25-SVA-03 (01) / ITEM ONE ALL B/C SEAT ARMCAP AISLE AND CTR DIRTY</t>
  </si>
  <si>
    <t xml:space="preserve">FINDING (NRC) TASKCARD 25-SVA-03 (01) / ITEM ONE ALL B/C SEAT BELT DIRTY</t>
  </si>
  <si>
    <t xml:space="preserve">FINDING (NRC) TASKCARD 25-SVA-03 (01) / ITEM ONE B/C SEAT# 1A,C,J , 2J,L , 3A,C,L 4C , 5C,J,L FOOD TRAY DOOR - SHROUD ASSEMBLY DAMAGED</t>
  </si>
  <si>
    <t xml:space="preserve">FINDING (NRC) TASKCARD 25-SVA-03 (01) / ITEM ONE B/C SEATS OVERRIDE - MANUAL CABLE DAMAGED.  RECLINE CABLE AT SEAT # 4L LEGREST CABLE AT SEATS# 2J,3L,5A,J</t>
  </si>
  <si>
    <t xml:space="preserve">FINDING (NRC) TASKCARD 25-SVA-03 (01) / ITEM ONE B/C SEAT# 1C , 2A , 4A ARMREST LOOSE</t>
  </si>
  <si>
    <t xml:space="preserve">FINDING (NRC) TASKCARD 25-SVA-03 (01) / ITEM ONE B/C SEAT# 1J,2J,3J  RUBSTRIP - SHELL DAMAGED</t>
  </si>
  <si>
    <t xml:space="preserve">FINDING (NRC) TASKCARD 25-SVA-03 (01) / ITEM ONE ALL B/C SEAT LANYARD AND PIN - DETENT  MISSING</t>
  </si>
  <si>
    <t xml:space="preserve">FINDING (NRC) TASKCARD 25-SVA-03 (01) / ITEM ONE B/C SEAT# 1AC , 5AC SHROUD - CONSOLE, FRONT LOWER DAMAGED</t>
  </si>
  <si>
    <t xml:space="preserve">FINDING (NRC) TASKCARD 25-SVA-03 (01) / ITEM ONE B/C SEAT# 1C , 3J RUBSTRIP - FRONT DAMAGED</t>
  </si>
  <si>
    <t xml:space="preserve">FINDING (NRC) TASKCARD 25-65-00-01-0-SVA (02) / RII/AVN AFT MEGAPHONE P/N A12SA S/N 1142984 WILL EXPIRE 09 /10/ 2026 LESS THAN 80 DAYS</t>
  </si>
  <si>
    <t xml:space="preserve">FINDING (NRC) TASKCARD 25-65-00-01-0-SVA-001 /RII/CABIN AFT BOTH FIRST  AID KIT WILL EXPIRE ON 06/2026 LESS THAN 6 MONTH</t>
  </si>
  <si>
    <t xml:space="preserve">FINDING (NRC) TASKCARD 353000-07-1 /CABIN/ NO CALLBACK PORTABLE OXYGEN MASK BEHIND SEAT 5 J WILL EXPIRE ON 09/2026</t>
  </si>
  <si>
    <t xml:space="preserve">FINDING (NRC) TASKCARD 25-SVA-05 (01) / ITEM ONE ALL G/C SEAT MAGAZINE SPRING LOOSE</t>
  </si>
  <si>
    <t xml:space="preserve">FINDING (NRC) TASKCARD 25-SVA-05 (01) / ITEM ONE ALL G/C SEAT STRUCTURE DIRTY</t>
  </si>
  <si>
    <t xml:space="preserve">FINDING (NRC) TASKCARD 25-SVA-05 (01) / ITEM ONE ALL G/C SEAT ARMREST LOOSE</t>
  </si>
  <si>
    <t xml:space="preserve">FINDING (NRC) TASKCARD 25-SVA-05 (01) / ITEM ONE ALL G/C SEAT HEADREST REQUIRE REMOVE FOR ACCESS</t>
  </si>
  <si>
    <t xml:space="preserve">IFE REMOTE CONTROL VHS REMOTE CONTROL FOR 1L IS BROKEN  BY CREW: 11013005</t>
  </si>
  <si>
    <t xml:space="preserve">S38-D10019/A320/21 - VERIFICATION OF WATER-HEATER; LAVATORY</t>
  </si>
  <si>
    <t xml:space="preserve">FINDING (NRC) TASKCARD 25-SVA-05 (01) / ITEM ONE ALL G/C SEATS FOODTRAY DIRTY</t>
  </si>
  <si>
    <t xml:space="preserve">FINDING (NRC) TASKCARD 25-SVA-05 (01) / ITEM ONE G/C SEATS #30C LINER CRACKED</t>
  </si>
  <si>
    <t xml:space="preserve">FINDING (NRC) TASKCARD 25-SVA-05 (01) / ITEM ONE G/C SEATS#30A,B,C,J,K,L  FOOD TRAY DIRTEY</t>
  </si>
  <si>
    <t xml:space="preserve">FINDING (NRC) TASKCARD 25-SVA-05 (01) / ITEM ONE G/C SEATS# 33J, 34C,J ,37C, 38C, 40C, 41J AISLE BUMBER DAMAGE</t>
  </si>
  <si>
    <t xml:space="preserve">FINDING (NRC) TASKCARD 25-SVA-05 (01) / ITEM ONE ALL G/C SEATS BACKREST LOOSE</t>
  </si>
  <si>
    <t xml:space="preserve">44-SVA-01</t>
  </si>
  <si>
    <t xml:space="preserve">44-SVA-01 (01) / PANASONIC LEVEL 1 CHECK</t>
  </si>
  <si>
    <t xml:space="preserve">ISC/IN SERVCE CHECK_N</t>
  </si>
  <si>
    <t xml:space="preserve">W_N/WEEKLY CHECK</t>
  </si>
  <si>
    <t xml:space="preserve">FINDING (NRC) TASKCARD 25-SVA-05 (01) / ITEM ONE G/C SEAT#30L ARM MONITOR LOOSE</t>
  </si>
  <si>
    <t xml:space="preserve">ISC-32S</t>
  </si>
  <si>
    <t xml:space="preserve">ISC-32S (14) / 32S IN-SERVEICE-CHECK (ISC)</t>
  </si>
  <si>
    <t xml:space="preserve">WEEKLY-32S</t>
  </si>
  <si>
    <t xml:space="preserve">WEEKLY-32S (05) / WEEKLY 32S CHECK</t>
  </si>
  <si>
    <t xml:space="preserve">AFT R/H PAX/CREW DOOR---CAB---NO CALLBACK DURING INSP, FOUND AFT R/H PAX/CREW DOOR SEAL DUSTY</t>
  </si>
  <si>
    <t xml:space="preserve">FINDING (NRC) TASKCARD 25-SVA-03 (01) / ITEM ONE B/C SEAT#1A,L, AND 4A, SHROUD/VELCRO ASSEMBLY DAMAGED.</t>
  </si>
  <si>
    <t xml:space="preserve">FINDING (NRC) TASKCARD 25-SVA-03 (01) / ITEM ONE B/C SEAT#2L, 4L, COVER - ARM SHROUD MISSING.</t>
  </si>
  <si>
    <t xml:space="preserve">FINDING (NRC) TASKCARD 25-SVA-03 (01) / ITEM ONE B/C SEAT#1L, 2A,C, 3L, 4L, 5A, SEAT CLOSEOUT ASSEMBLY DAMAGED.</t>
  </si>
  <si>
    <t xml:space="preserve">FINDING (NRC) TASKCARD 25-SVA-03 (01) / ITEM ONE B/C SEAT# 1J, 2J, 3C, 4A,C,  5A,C,J,  LATCH - BACK MISSING</t>
  </si>
  <si>
    <t xml:space="preserve">FINDING (NRC) TASKCARD 25-SVA-03 (01) / ITEM ONE B/C SEAT# 1L, 3L, 4A, 5A,C LIFE VEST DOOR, DUAL PAWL ASSEMBLY - NON LOCKABLE DAMAGED.</t>
  </si>
  <si>
    <t xml:space="preserve">FINDING (NRC) TASKCARD 25-SVA-03 (01) / ITEM ONE B/C SEAT#2A, 4J  PANEL ASSEMBLY - ACCESS DAMAGED.</t>
  </si>
  <si>
    <t xml:space="preserve">FINDING (NRC) TASKCARD 25-SVA-03 (01) / ITEM ONE B/C SEAT#3JL COCKTAIL TABLE ASSEMBLY  WITH SCRATCH.</t>
  </si>
  <si>
    <t xml:space="preserve">FINDING (NRC) TASKCARD 25-SVA-03 (01) / ITEM ONE B/C SEAT#1J, 2A,L, 4A, 5J, SHROUD - CONSOLE SIDE DAMAGED.</t>
  </si>
  <si>
    <t xml:space="preserve">CAB RII  - OXYGEN MASK F/O OXYGEN MASK VALVE DISK MISSING</t>
  </si>
  <si>
    <t xml:space="preserve">⚠ AMOS STILL OPEN 25-AUG - VERIFY</t>
  </si>
  <si>
    <t xml:space="preserve">AFT GALLY  SM--CALL BACK AFT GALLEY LOWER ATTACHMENT POINTS  FITTING WITH 3 EA PLAT RUSTY</t>
  </si>
  <si>
    <t xml:space="preserve">S/M</t>
  </si>
  <si>
    <t xml:space="preserve">SM: REQ CLEAN UP</t>
  </si>
  <si>
    <t xml:space="preserve">S/M L2 STOWAGE LOWER DIVIDER PACKER WITH 4 EACH FROZEN SCREWS</t>
  </si>
  <si>
    <t xml:space="preserve">CAB-CALLBACK L2 STOWAGE REMOVAL FOR ACCESS</t>
  </si>
  <si>
    <t xml:space="preserve">S/M NO CALLBACK L2 STOWAGE RAMP ASSY FOUND ALL INSERTS REMOVED</t>
  </si>
  <si>
    <t xml:space="preserve">CAB-CALLBACK R2 STOWAGE REMOVED FOR ACCESS</t>
  </si>
  <si>
    <t xml:space="preserve">RII-CAB-L1 INBOARD AND OUTBOARD L1 INBOARD AND OUTBOARD WALL-MOUNTED FLIGHT ATTENDANT SEAT REQUIRE REMOVAL FOR ACCESS.</t>
  </si>
  <si>
    <t xml:space="preserve">RII-CAB-SWIVEL SWIVEL FLIGHT ATTENDANT SEAT REQUIRE REMOVAL FOR ACCESS</t>
  </si>
  <si>
    <t xml:space="preserve">RII-CALLBACK-R2 DOUBLE WALL-MOUNTED R2 DOUBLE WALL-MOUNTED FLIGHT ATTENDANT SEAT REQUIRE REMOVAL FOR ACCESS</t>
  </si>
  <si>
    <t xml:space="preserve">RII-CALLBACK L1 INBOARD AND OUTBOARD WALL-MOUNTED FLIGHT ATTENDANT SEAT REQUIRE REMOVAL FOR ACCESS.</t>
  </si>
  <si>
    <t xml:space="preserve">CAB - NO CALLBACK - LIFE VESTS ALL LIFE VESTS WILL EXPIRE WITHIN 3 YEARS.</t>
  </si>
  <si>
    <t xml:space="preserve">FINDING (NRC) TASKCARD 25-SVA-03 (01) / ITEM ONE ALL B/C SEAT FOOTWELL ASSEMBLY REQUIRE REMOVE FOR ACCESS</t>
  </si>
  <si>
    <t xml:space="preserve">FINDING (NRC) TASKCARD 25-SVA-03 (01) / ITEM ONE ALL B/C SEAT PANEL ASSEMBLY - ACCESS REQUIRE REMOVE FOR ACCESS</t>
  </si>
  <si>
    <t xml:space="preserve">CAB - NO CALLBACK - AFT GALLEY AFT GALLEY COUNTERTOP SEALANT DETERIORATED.</t>
  </si>
  <si>
    <t xml:space="preserve">CAB - NO CALLBACK - AFT GALLEY AFT 7 EA LONG AND 7 EA SHORT CART TURN CATCHES PAINT DETERIORATED.</t>
  </si>
  <si>
    <t xml:space="preserve">CAB - NO CALLBACK - AFT GALLEY AFT GALLEY COMPT. 517 UPPER COVER IS MISSING.</t>
  </si>
  <si>
    <t xml:space="preserve">CAB - NO CALLBACK - FWD GALLEY G1 GALLEY 4 EA LONG AND 4 EA SMALL CART TURN CATCHES PAINT DETERIORATED.</t>
  </si>
  <si>
    <t xml:space="preserve">CABIN AREA -AV -NO CALL BACK (NRC) TASKCARD 25-SVA-02 (01) / ITEM ONE PSU LIGTH COVER NOT SECUERD ABOVE SEAT 32C,38L</t>
  </si>
  <si>
    <t xml:space="preserve">PNT - NO CALLBACK - LAV A LAV A WASHBASIN PANEL PAINT SCRATCHED.</t>
  </si>
  <si>
    <t xml:space="preserve">CABIN AREA -AV -NO CALL BACK (NRC) TASKCARD 25-SVA-02 (01) / ITEM ONE PSU SEAT BELT LIGTH INOP AT ABOVE SEAT NO 43K</t>
  </si>
  <si>
    <t xml:space="preserve">CAB - NO CALLBACK - G2 GALLEY G2 GALLEY 4 EA LONG AND 4 EA SMALL CART TURN CATCHES PAINT DETERIORATED.</t>
  </si>
  <si>
    <t xml:space="preserve">SM - NO CALLBACK - GALLEY G2 G2 GALLEY COMP.  205, 202, AND 209 MISSING STRIKER.</t>
  </si>
  <si>
    <t xml:space="preserve">AOG</t>
  </si>
  <si>
    <t xml:space="preserve">PNT - NO CALLBACK - LAV A LAV A BABY NUSRING TABLE PAINT FADED.</t>
  </si>
  <si>
    <t xml:space="preserve">CAB - RII - OXYGEN GENERATORS OXYGEN GENERATORS AT ROW 30 LH AND 34 LH WILL EXPIRE ON 05/2027 ROW 30 LH PN: E63440-00 SN: BEDE-F012-020  ROW 34 LH PN: E63440-00 SN: BEDE-F019-109</t>
  </si>
  <si>
    <t xml:space="preserve">PNT - NO CALLBACK - LAV A LAV A DECAL "PLEASE LOCK THE DOOR" AND FINE DECAL DISCOLORED.</t>
  </si>
  <si>
    <t xml:space="preserve">PNT - NO CALLBACK - GALLEY G2 GALLEY G2 COMP. 209 DOOR PAINT CHIPPED.</t>
  </si>
  <si>
    <t xml:space="preserve">CAB - NO CALLBACK - G1 GALLEY G1 GALLEY WORK SLIDING TABLE STUCK.</t>
  </si>
  <si>
    <t xml:space="preserve">CAB - NO CALLBACK - G1 GALLEY G1 GALLEY COUNTERTOP SEALANT DETERIORATED.</t>
  </si>
  <si>
    <t xml:space="preserve">CAB - NO CALLBACK - G2 GALLEY G2 GALLEY COUNTERTOP SEALANT DETERIORATED.</t>
  </si>
  <si>
    <t xml:space="preserve">CAB - RII - DESCENT DEVICE FLIGHT DECK FIRST OFFICER EMERGENCY DESCENT DEVICE COVER DETACHED.</t>
  </si>
  <si>
    <t xml:space="preserve">CAB - NO CALLBACK L1 DOOR INBOARD F/A SEAT UPPER BACK CUSHION WORN OUT</t>
  </si>
  <si>
    <t xml:space="preserve">CAB - NO CALLBACK L1 DOOR INBOARD F/A SEAT LOWER BACK CUSHION WORN OUT</t>
  </si>
  <si>
    <t xml:space="preserve">CAB - NO CALLBACK L1 DOOR INBOARD F/A SEAT BOTTOM CUSHION WORN OUT</t>
  </si>
  <si>
    <t xml:space="preserve">CAB - NO CALL BACK L1 DOOR INBOARD F/A SEAT BELT DIRTY</t>
  </si>
  <si>
    <t xml:space="preserve">PNT - NO CALLBACK L1 DOOR INBOARD F/A SEAT LOWER BOTTOM CASE PAINT FADED</t>
  </si>
  <si>
    <t xml:space="preserve">PNT - NO CALLBACK L1 DOOR INBOARD F/A SEAT LEFT SIDE PAINT FADED</t>
  </si>
  <si>
    <t xml:space="preserve">CAB - NO CALLBACK R2 DOOR F/A SWIVEL SEAT BOTTOM CUSHION WORN OUT</t>
  </si>
  <si>
    <t xml:space="preserve">PNT - NO CALLBACK R2 DOOR F/A SWIVEL SEAT BOTH SIDES PAINT FADED</t>
  </si>
  <si>
    <t xml:space="preserve">PNT - NO CALLBACK R2 DOOR F/A SWIVEL SEAT HEAD CASE PAINT FADED</t>
  </si>
  <si>
    <t xml:space="preserve">PNT - NO CALLBACK R2 DOOR F/A SWIVEL SEAT DOWN CASE PAINT FADED</t>
  </si>
  <si>
    <t xml:space="preserve">CAB - NO CALLBACK L1 DOOR OUTBOARD F/A SEAT BELT DIRTY</t>
  </si>
  <si>
    <t xml:space="preserve">CAB - NO CALLBACK L1 DOOR OUTBOARD F/A SEAT UPPER BUMPER DAMAGED</t>
  </si>
  <si>
    <t xml:space="preserve">PNT - NO CALLBACK L1 DOOR OUTBOARD F/A SEAT LOWER BOTTOM CASE PAINT FADED</t>
  </si>
  <si>
    <t xml:space="preserve">CAB - NO CALLBACK L1 DOOR OUTBOARD F/A SEAT BOTTOM CUSHION WORN OUT</t>
  </si>
  <si>
    <t xml:space="preserve">CAB - NO CALLBACK L1 DOOR OUTBOARD F/A SEAT LOWER BACK CUSHION WORN OUT</t>
  </si>
  <si>
    <t xml:space="preserve">PNT - NO CALLBACK L2 DOOR F/A SEAT LEFT SIDE PAINT FADED</t>
  </si>
  <si>
    <t xml:space="preserve">PNT - NO CALLBACK L2 DOOR F/A SEAT LOWER BOTTOM CASE PAINT FADED</t>
  </si>
  <si>
    <t xml:space="preserve">CAB - NO CALLBACK L2 DOOR F/A SEAT BOTTOM CUSHION WORN OUT</t>
  </si>
  <si>
    <t xml:space="preserve">CAB - NO CALLBACK L2 DOOR F/A SEAT LOWER BACK CUSHION WORN OUT</t>
  </si>
  <si>
    <t xml:space="preserve">PNT - NO CALLBACK R2 DOOR F/A SEAT LOWER BOTTOM CASE PAINT FADED</t>
  </si>
  <si>
    <t xml:space="preserve">CAB - NO CALLBACK R2 DOOR F/A SEAT BOTTOM CUSHION WORN OUT</t>
  </si>
  <si>
    <t xml:space="preserve">CAB -RII DURING OXYGEN GENERATOR CHECK FOUND GREEN LANYARD MISSING AND  BRIDLE ASSY  AT SEAT# 1 AC,2AC ,4AC,5AC,30ABC,31ABC,32ABC,34ABC,35ABC,36ABC,37ABC,38ABC,40ABC,41ABC,42ABC,43ABC,44ABC,</t>
  </si>
  <si>
    <t xml:space="preserve">CAB -RII DURING OXYGEN GENERATOR CHECK FOUND GREEN LANYARD MISSING AND  BRIDLE ASSY  AT SEAT# 2JL,4JL,30JKL,31JKL32JKL,34JKL,36JKL,37JKL,38JKL,39JKL,40JKL,41JKL,42JKL,43JKL,44JKL.</t>
  </si>
  <si>
    <t xml:space="preserve">FINDING (NRC) TASKCARD 25-SVA-05 (01) / ITEM ONE ALL G/C SEAT BELT DIRTY</t>
  </si>
  <si>
    <t xml:space="preserve">CABIN FLOOR PANELS - CAB -CALLBACK COCKPIT PANEL # 211FF AND CABIN FLOOR PANEL NO: 232WF, 241EF, 241KF, 241LF,  242FF, 242KF, AND 242LF REQUIRES REMOVAL FOR ACCESS.</t>
  </si>
  <si>
    <t xml:space="preserve">L2 PAX DOOR REF. TO W/O: 94844866 LH-AFT PASSENGER DOOR SEAL RETAINER WITH DENT ON LOWER EDGE. L= 1.3"IN. W= 0.3"IN. D= 0.284"IN.</t>
  </si>
  <si>
    <t xml:space="preserve">S52-R10175/ASD // L2 PAX DOOR SEAL RETAINER WITH DENT &amp; GOUGE</t>
  </si>
  <si>
    <t xml:space="preserve">CAB---RII---CKCPT DR COCKPIT DOOR LATCH TENONS NEED ADJUSTMENT</t>
  </si>
  <si>
    <t xml:space="preserve">CAB---RII---CKCPT DR COCKPIT DOOR CLEARANCES A, C &amp; P OUT OF LIMIT</t>
  </si>
  <si>
    <t xml:space="preserve">PAINT - NO CALL BACK - CEILING PANEL CEILING PANEL FOUND DAMAGED ABOVE 4LJ</t>
  </si>
  <si>
    <t xml:space="preserve">PAINT - NO CALL BACK - CEILING PANEL CHIPPED CEILING PANEL PNT CHIPPED OFF AT 41CBA</t>
  </si>
  <si>
    <t xml:space="preserve">CAB - NO CALL BACK - L2 DOOR ASSIST HANDLE LOOSE AT L2 DOOR.</t>
  </si>
  <si>
    <t xml:space="preserve">CAB - NO CALL BACK - OSB OSB UPPER TRIM BROKEN AT 44 LKJ</t>
  </si>
  <si>
    <t xml:space="preserve">CAB - NO CALL BACK - GLLY SLIDING TABLE 2EA RETAINER FADED</t>
  </si>
  <si>
    <t xml:space="preserve">PANT - NO CALL BACK - OSB OSB AT 44 CBA PAINT CHIPPED &amp; INNER DENTS</t>
  </si>
  <si>
    <t xml:space="preserve">REQ REMOVAL</t>
  </si>
  <si>
    <t xml:space="preserve">CAB - NO CALL BACK - OSB OSB DEVIDER DAMAGED AT 32LKJ</t>
  </si>
  <si>
    <t xml:space="preserve">CAB - NO CALL BACK - EMERGENCY CHART EMERGENCY CHART HOLDER FOUND DAMAGED</t>
  </si>
  <si>
    <t xml:space="preserve">CAB - NO CALL BACK - OSB OSB UPPER LINER BROKEN AT 3 CA</t>
  </si>
  <si>
    <t xml:space="preserve">PAINT - NO CALL BACK - OSB OSB PAINT FOUND CHIPPED AT 1 CA</t>
  </si>
  <si>
    <t xml:space="preserve">PAINT - NO CALL BACK - WINDOW SHADE WINDOW SHADE PAINT CHIPPED AT 41 CBA</t>
  </si>
  <si>
    <t xml:space="preserve">CAB - NO CALLBACK - FWD GALLEY FWD GALLEY 8 EA AIR FLAP SEAL DETERIORATED.</t>
  </si>
  <si>
    <t xml:space="preserve">CABIN FLOOR PANELS - CAB - CALLBACK COCKPIT/CABIN FLOOR PANELS 211FF REQUIRE REMOVAL FOR ACCESS.</t>
  </si>
  <si>
    <t xml:space="preserve">CAB - NO CALL BACK - AFT GALLEY 502 AFT GALLEY COMPARTMENT 502 SLAM LATCH INOP</t>
  </si>
  <si>
    <t xml:space="preserve">CAB - NO CALL BACK - B/C HOUSEKEEPING B/C 1A AND 2C REQUIRE HOUSEKEEPING</t>
  </si>
  <si>
    <t xml:space="preserve">AV - RII SEATS AT 30ABC TO 34 ABC REQUIRED TO REMOVED ELECTRICAL WIRE FOR ACCESS.</t>
  </si>
  <si>
    <t xml:space="preserve">CAB - NO CALL BACK - B/C 4C SHELF GLUE RESIDUE B/C 4C SHELF GLUE RESIDUE</t>
  </si>
  <si>
    <t xml:space="preserve">CAB - NO CALL BACK - COMPT. 108 FWD GALLEY COMPT. 108 CARTS COOLING RUBBER WORN OUT</t>
  </si>
  <si>
    <t xml:space="preserve">CAB - NO CALL BACK - GALLEY COMPT. 108 BUMPERS GALLEY COMPT. 108 BUMPERS DEATTACHED.</t>
  </si>
  <si>
    <t xml:space="preserve">CAB - NO CALL BACK - COMPT. 111 FWD GALLEY COMPT. 111 CARTS COOLING RUBBER WORN OUT</t>
  </si>
  <si>
    <t xml:space="preserve">CAB - NO CALL BACK - GALLEY 201 DAMAGED FWD GALLEY COMPT. 201 DOOR TRIM DAMAGED</t>
  </si>
  <si>
    <t xml:space="preserve">PNT - NO CALL BACK - R2 DOOR R2 DOOR DECORATIVE COVER OF THE ESCAPE SLIDE/RAFT NEEDS PAINT</t>
  </si>
  <si>
    <t xml:space="preserve">CAB - NO CALLBACK - LAV E LAV E SHROUD SCREW MISSING</t>
  </si>
  <si>
    <t xml:space="preserve">CAB - NO CALLBACK - LAV E LAV E BABY BASSINET LOWER STOPPER  MISSING</t>
  </si>
  <si>
    <t xml:space="preserve">CAB - NO CALL BACK - AIR VENTILATION ALL LAV AIR VENTILATION FILTERS DIRTY</t>
  </si>
  <si>
    <t xml:space="preserve">S/M - NO CALL BACK - C101 STOWAGE FWD COMPARTMENT C101 FRAME DAMAGE</t>
  </si>
  <si>
    <t xml:space="preserve">CAB - NO CALLBACK - LAV E LAV E DOOR WASHBASIN SCREW MISSING</t>
  </si>
  <si>
    <t xml:space="preserve">CAB - NO CALL BACK - KICK STRIP KICK STRIP IN FRONT OF 1LJ SEALANT MISSING</t>
  </si>
  <si>
    <t xml:space="preserve">CAB - NO CALL BACK - ICE BOX FWD GALLEY COMPT. 208 ICE BOX FULL OF WATER</t>
  </si>
  <si>
    <t xml:space="preserve">CAB - NO CALL BACK - FWD GALLEY COMPT. 209 DOOR TEDLAR DAMAGE</t>
  </si>
  <si>
    <t xml:space="preserve">CAB - NO CALL BACK - LAV A SEALANT LAV A ABOVE TOILET SEAT SEALANT MISSING</t>
  </si>
  <si>
    <t xml:space="preserve">CAB - NO CALLBACK-LAV E LAV E PAN FLOOR STRIP SCREW MISSING</t>
  </si>
  <si>
    <t xml:space="preserve">PNT - NO CALL BACK - L2 DOOR DECORATIVE COVER L2 DOOR DECORATIVE COVER OF THE ESCAPE SLIDE/RAFT NEEDS PAINT</t>
  </si>
  <si>
    <t xml:space="preserve">PAINT-NO CALLBACK (LAV E) LAV E ASHTRAY DECAL IN DOOR  AND OUTDOOR  DISCOLORATION.</t>
  </si>
  <si>
    <t xml:space="preserve">CAB-NO CALL BACK (LAV E) LAV E DOOR HINGE  WITH MISSING SCREW 1EA.</t>
  </si>
  <si>
    <t xml:space="preserve">CAB - NO CALLBACK - (LAV E) LAV E DOOR LOCK VACANT IS FADED.</t>
  </si>
  <si>
    <t xml:space="preserve">RII-CAB SEAT# 30ABC, 31ABC, 32ABC, 33ABC AND 30JKL,31JKL, 32JKL ,33JKL REQUIRE REMOVAL  SEAT`S FOR ACCESS.</t>
  </si>
  <si>
    <t xml:space="preserve">CAB PAX SEAT---SEAT SHOP-- NO CALL BACK SEAT NO 30 J,K,L BAGAGE ROD NUT MISSSING.</t>
  </si>
  <si>
    <t xml:space="preserve">CAB RII - F/A L2 F/A SEAT REQUIRE REMOVAL FOR ACCESS</t>
  </si>
  <si>
    <t xml:space="preserve">PAX SEAT--- AV-- NO CALL BACK PAX SEAT , POWER SOCKET SHROUD NOT SECURED SEAT NO:33L,34JL,35K,37JL</t>
  </si>
  <si>
    <t xml:space="preserve">PAX SEAT--- AV-- NO CALL BACK PAX SEAT , POWER SOCKET SHROUD NOT SECURED SEAT NO: 38J,K   39J,K,L   40 J,K,L    41 J,K,L  42J,K  43 J,K,L</t>
  </si>
  <si>
    <t xml:space="preserve">PAX SEAT--- AV-- NO CALL BACK PAX SEAT , POWER SOCKET SHROUD NOT SECURED SEAT NO:  43 A,C   42 B,C    40A,C   39A,C AND  38A,B,C</t>
  </si>
  <si>
    <t xml:space="preserve">PAX SEAT--- AV-- NO CALL BACK PAX SEAT , POWER SOCKET SHROUD NOT SECURED SEAT NO: 37A,B,C  36A,B,C  35C  34A,B,C</t>
  </si>
  <si>
    <t xml:space="preserve">PAX SEAT--- AV-- NO CALL BACK PAX SEAT , POWER SOCKET SHROUD NOT SECURED SEAT NO: 33B,C   32A,B,C  AND 31A,B</t>
  </si>
  <si>
    <t xml:space="preserve">CAB PAX SEAT--- SEAT SHOP-- NO CALL BACK PAX SEAT 43 J,K   ACTUATOR NUT MISSING.</t>
  </si>
  <si>
    <t xml:space="preserve">CAB--PAX SEAT--- RII CAB  PAX SEAT 43C FWD BEAM WITH CRACK.</t>
  </si>
  <si>
    <t xml:space="preserve">CAB--PAX SEAT--- RII CAB  PAX SEAT 40C FWD BEAM WITH CRACK.</t>
  </si>
  <si>
    <t xml:space="preserve">CAB--PAX SEAT--- RII CAB  PAX SEAT NO 35C FWD BEAM WITH CRACK.</t>
  </si>
  <si>
    <t xml:space="preserve">CAB--PAX SEAT--- RII CAB  PAX SEAT NO 33C FWD BEAM WITH CRACK.</t>
  </si>
  <si>
    <t xml:space="preserve">CAB - NO CALL BACK - OSB OSB MISSING RUBBER BUMBER 20 EA</t>
  </si>
  <si>
    <t xml:space="preserve">AV - NO CALLBACK - PAX SEATS ELECTRICAL CONNECTIONS AT SEATS 30RH TO 34RH REQUIRE REMOVAL FOR ACCESS.</t>
  </si>
  <si>
    <t xml:space="preserve">PNT - RII - LAV A LAV A ACCESS DOOR WASTE COMPARTMENT HAS SMALL SCRATCHES ON UPPER SIDE.</t>
  </si>
  <si>
    <t xml:space="preserve">CAB - RII - LAV E LAV E ACCESS DOOR WASTE COMPARTMENT WITH SMALL CRACK NEXT TO LATCH.</t>
  </si>
  <si>
    <t xml:space="preserve">PNT - NO CALLBACK - LAV D LAV D ACCESS DOOR WASTE COMPARTMENT INSIDE PAINT SCRATCHED.</t>
  </si>
  <si>
    <t xml:space="preserve">CAB - RII - LAV E LAV E WASTE FLAP DAMPER INOP</t>
  </si>
  <si>
    <t xml:space="preserve">PNT - RII - LAV E LAV E ACCESS DOOR WASTE COMPARTMENT WITH SCRATCHES FROM OUTSIDE.</t>
  </si>
  <si>
    <t xml:space="preserve">FINDING (NRC) TASKCARD 25-SVA-03 (01) / ITEM ONE B/C SEAT# 2C  CLOSEOUT - VIDEO, AISLE LOOSE.</t>
  </si>
  <si>
    <t xml:space="preserve">AVIO - N0 CALL BACK - SEAT CONNECTION ELECTRICAL CONNECTIONS AT SEATS 39RH TO 44RH REQUIRE REMOVAL FOR ACCESS.</t>
  </si>
  <si>
    <t xml:space="preserve">AVIO - N0 CALL BACK - SEAT CONNECTION ELECTRICAL CONNECTIONS AT SEATS 39LH TO 44LH REQUIRE REMOVAL FOR ACCESS.</t>
  </si>
  <si>
    <t xml:space="preserve">MACHINIST - NO CALLBACK - FWD GALLEY G2 FWD G2 GALLEY  COMP. 209 HINGE SCREW THREAD FOUND WITH BROKEN SCREW.</t>
  </si>
  <si>
    <t xml:space="preserve">CAB - CALL BACK - AFT GLLY AFT GALLEY REQUIRE REMOVAL FOR ACCESS</t>
  </si>
  <si>
    <t xml:space="preserve">CAB - CALLBACK - G1 GALLEY G1 GALLEY REQUIRE REMOVAL FOR ACCESS.</t>
  </si>
  <si>
    <t xml:space="preserve">CAB - CALLBACK - LAV A "LAVATORY A" REQUIRE REMOVAL FOR ACCESS.</t>
  </si>
  <si>
    <t xml:space="preserve">CAB - CALL BACK - LAV E LAVATORY "E" REQUIRE REMOVAL FOR ACCESS</t>
  </si>
  <si>
    <t xml:space="preserve">CAB - CALL BACK - LAV D LAVATORY "D" REQUIRE REMOVAL FOR ACCESS</t>
  </si>
  <si>
    <t xml:space="preserve">CAB - CALLBACK - STOWAGE C1 "STOWAGE C1" REQUIRE REMOVAL FOR ACCESS.</t>
  </si>
  <si>
    <t xml:space="preserve">CAB - CALL BACK- SEAT SEATS FROM 40LH TO 44 LH AND 40RH TO 44RH REQUIRE REMOVAL FOR ACCESS</t>
  </si>
  <si>
    <t xml:space="preserve">CAB - NO CALLBACK - LAV D LAV D DOOR HINGE SCREW MISSING</t>
  </si>
  <si>
    <t xml:space="preserve">CAB - NO CALLBACK - LAV D LAV D LOWER CABINET LATCH SCREW MISSING</t>
  </si>
  <si>
    <t xml:space="preserve">CAB - NO CALLBACK - LAV D LAV D DOOR FRAME SCREW MISSING</t>
  </si>
  <si>
    <t xml:space="preserve">CAB - NO CALLBACK - LAV D LAV D THRESHOLD SCREW MISSING</t>
  </si>
  <si>
    <t xml:space="preserve">CAB - NO CALLBACK - LAV D LAV D TOILET SHROUD NOT SECURED</t>
  </si>
  <si>
    <t xml:space="preserve">CAB - NO CALLBACK - LAV D LAV D TOILET SEAT COVER BROKEN</t>
  </si>
  <si>
    <t xml:space="preserve">CAB - NO CALLBACK - LAV D LAV D DOOR LOCK LABLE FADED</t>
  </si>
  <si>
    <t xml:space="preserve">CAB - RII - SEAT REMOVAL FOR ACCESS SEAT 5JL REQUIRE REMOVAL FOR ACCESS</t>
  </si>
  <si>
    <t xml:space="preserve">CAB - NO CALL BACK - COFFEE MAKER AFT GALLEY COFFEE MAKER NO.1 STENCIL</t>
  </si>
  <si>
    <t xml:space="preserve">FINDING (NRC) TASKCARD 25-SVA-03 (01) / ITEM ONE ALL B/C SEAT DIAPHRAGM - SEATPAN REQUIRE REMOVE FOR ACCESS</t>
  </si>
  <si>
    <t xml:space="preserve">FINDING (NRC) TASKCARD 25-SVA-05 (01) / ITEM ONE ALL G/C SEAT DIAPHRAGM – BOTTOM REQUIRE REMOVE FOR ACCESS</t>
  </si>
  <si>
    <t xml:space="preserve">FINDING (NRC) TASKCARD 25-SVA-03 (01) / ITEM ONE ALL B/C SEAT FOODTRAYS ARE NOT ADJUSTABLE.</t>
  </si>
  <si>
    <t xml:space="preserve">FINDING (NRC) TASKCARD 25-SVA-03 (01) / ITEM ONE ALL B/C SEAT HEADREST REQUIRE REMOVE FOR ACCESS</t>
  </si>
  <si>
    <t xml:space="preserve">FINDING (NRC) TASKCARD ZL-833-02-1 (04) / ITEM-1 RII--CAB RH EMERGENCY EXIT HATCH DOOR WITH DOOR SEAL WORN AT LOWER EDGE</t>
  </si>
  <si>
    <t xml:space="preserve">FINDING (NRC) TASKCARD ZL-833-02-1 (04) / ITEM-1 RII--SM RH FWD EMERGENCY EXIT HATCH DOOR CUTOUT WITH ABRAISION AT LOWER EDGE  L=80 MM W=10 MM</t>
  </si>
  <si>
    <t xml:space="preserve">FINDING (NRC) TASKCARD 25-SVA-05 (01) / ITEM ONE G/C FRONT ROW SEAT#30A,B,C,J,K,L, ESCUTCHEON – IAT WITH SCRATCH.</t>
  </si>
  <si>
    <t xml:space="preserve">GALLEY - PAINT - NO CALL BACK FWD AND AFT GALLEY ALL OVEN DOORS PAINT CHIPPED OFF .</t>
  </si>
  <si>
    <t xml:space="preserve">PNT - NO CALL BACK - COCKPIT PANELS SEVERAL COCKPIT ACCESS PANELS REQ. PAINT ( 211AW, 211BW, 211FW, 211LW, 211AZ, 212AW, 212BW, 212FW, 212AZ )</t>
  </si>
  <si>
    <t xml:space="preserve">33015570</t>
  </si>
  <si>
    <t xml:space="preserve">CAB - RII - COCKPIT CAPTAIN SEAT INERTIA REEL FAILED TO RETRACT PROPERLY.</t>
  </si>
  <si>
    <t xml:space="preserve">1316</t>
  </si>
  <si>
    <t xml:space="preserve">33017436</t>
  </si>
  <si>
    <t xml:space="preserve">CAB - NO CALL BACK - CURTAIN RAIL FWD GALLEY CURTAIN RAIL DEFORMED</t>
  </si>
  <si>
    <t xml:space="preserve">1317</t>
  </si>
  <si>
    <t xml:space="preserve">33017645</t>
  </si>
  <si>
    <t xml:space="preserve">CAB - NO CALL BACK - GALLEY G2 GALLEY COMP. 204 2EA TURN CATCH FADED</t>
  </si>
  <si>
    <t xml:space="preserve">1318</t>
  </si>
  <si>
    <t xml:space="preserve">33018932</t>
  </si>
  <si>
    <t xml:space="preserve">CTR WING BOX REAR SPAR---CAB--CALLBACK REQ REMOVAL OF THE APPLICABLE INSULATION BLANKETS TO GET ACCESS TO THE INSPECTION AREA (FR42)</t>
  </si>
  <si>
    <t xml:space="preserve">1320</t>
  </si>
  <si>
    <t xml:space="preserve">33019264</t>
  </si>
  <si>
    <t xml:space="preserve">ESCAPE SLIDE -RII FWD PAX DOOR L/H ESCAPE SLIDE RQE REMOVED FOR ACCESS  P/N : D30664-709         S/N: M18949</t>
  </si>
  <si>
    <t xml:space="preserve">1321</t>
  </si>
  <si>
    <t xml:space="preserve">33019327</t>
  </si>
  <si>
    <t xml:space="preserve">ESCAPE SLIDE RII FWD PAX DOOR ESCAPE SLIDE R/H RQE REMOVAL FOR ACCESS  PN/: D30664-709             S/N : C0740</t>
  </si>
  <si>
    <t xml:space="preserve">1323</t>
  </si>
  <si>
    <t xml:space="preserve">33019384</t>
  </si>
  <si>
    <t xml:space="preserve">ESCAPE SLIDE RII AFT PAX DOOR ESCAPE SLIDE R/H RQE REMOVED FOR ACCESS  PN/ D30665-709        SN/ M8479</t>
  </si>
  <si>
    <t xml:space="preserve">1324</t>
  </si>
  <si>
    <t xml:space="preserve">33019437</t>
  </si>
  <si>
    <t xml:space="preserve">ESCAPE SLIDE RII AFT PAX DOOR ESCAPE SLIDE L/H RQE REMOVEVAL FOR ACCESS  PN / D30665-709     SN/ M14410</t>
  </si>
  <si>
    <t xml:space="preserve">1325</t>
  </si>
  <si>
    <t xml:space="preserve">33020601</t>
  </si>
  <si>
    <t xml:space="preserve">FWD PAX DOORS PNT NO CALL BACK FWD PAX DOORS  LINING AND FRAME LINIING WHILE REMOVING FOUND WITH PNT FADED .</t>
  </si>
  <si>
    <t xml:space="preserve">1332</t>
  </si>
  <si>
    <t xml:space="preserve">33020680</t>
  </si>
  <si>
    <t xml:space="preserve">AFT PAX DOORS PANT FEDED NO CALL BACK AFT PAX DOORS LINING AND FRAME LINING FOUND WITH FADED PNT.</t>
  </si>
  <si>
    <t xml:space="preserve">1333</t>
  </si>
  <si>
    <t xml:space="preserve">33020727</t>
  </si>
  <si>
    <t xml:space="preserve">CAB - UNDER FLOOR STRUC - SEAT TRACK (Y-1292) - SM - RII CABIN UNDER FLOOR STRUCTURE FOUND MOST R/H SEAT TRACK (Y-1292) FWD OF FR47 WITH EXCESSIVE PLAY AND AFT ATTACHMENT BOLT WITH MISSING NUT .</t>
  </si>
  <si>
    <t xml:space="preserve">1334</t>
  </si>
  <si>
    <t xml:space="preserve">33020729</t>
  </si>
  <si>
    <t xml:space="preserve">CAB - FLOOR STRUC - SEAT TRACK (Y-1292) - SM - RII CABIN FLOOR STRUCTURE FOUND  SEAT TRACK (Y-1292) FWD OF FR42 WITH GOUGE AT THE MIDDLE OF SEAT TRACK .  DIM:-      L=0.31 INCH.                                         ,W=0.17 INCH....</t>
  </si>
  <si>
    <t xml:space="preserve">1336</t>
  </si>
  <si>
    <t xml:space="preserve">33020731</t>
  </si>
  <si>
    <t xml:space="preserve">CAB - FLOOR STRUC - SEAT TRACK (Y-765) - SM - RII CABIN FLOOR STRUCTURE FOUND  SEAT TRACK (Y-765) FWD OF FR41 WITH GOUGE AT UPPER FLANGE OF SEAT TRACK .  DIM:-      L=0.78 INCH.                                         ,W=0.15 INCH....</t>
  </si>
  <si>
    <t xml:space="preserve">1337</t>
  </si>
  <si>
    <t xml:space="preserve">33020734</t>
  </si>
  <si>
    <t xml:space="preserve">CAB - UNDER FLOOR - CAB - CALL BACK CABIN FROM FR 43 TO FR46 FOUND UNDER FLOOR STRUCTURE WITH MISSING CIC APPLICATION AND FROM FR36 TO FR46 FOUND UNDER FLOOR STRUCTURE , AIR CONDITIONING  DUCT , LINES DUSTY AND  WITH EXCESSIVE LINT ACCUMULATION.</t>
  </si>
  <si>
    <t xml:space="preserve">1338</t>
  </si>
  <si>
    <t xml:space="preserve">MACHINEST - NO CALL BACK - OVEN G1 GALLEY OVEN COMP. 104 SCREWS FROZEN</t>
  </si>
  <si>
    <t xml:space="preserve">EMERGENCY EXIT HATCH - CABIN - CALLBACK AROUND EMERGENCY EXIT HATCH PANEL AND INSULATION BLANKET REQ REMOVAL</t>
  </si>
  <si>
    <t xml:space="preserve">CAB - NO CALL BACK - GALLEY G1 GALLEY COMP 207. LATCH INOP</t>
  </si>
  <si>
    <t xml:space="preserve">CAB - NO CALL BACK - GALLEY G2 GALLEY FOOT STEP LEVER MISSING</t>
  </si>
  <si>
    <t xml:space="preserve">LEVER INSTALLED</t>
  </si>
  <si>
    <t xml:space="preserve">CAB - NO CALLBACK - FWD FLOOR MAT J/C ENTRY WAY AND FWD GALLEY FLOOR MAT REQUIRE REPLACEMENT.</t>
  </si>
  <si>
    <t xml:space="preserve">CAB - NO CALL BACK - GALLEY G1 GALLEY COMP. 101 SLIDE EXTRACTOR INOP</t>
  </si>
  <si>
    <t xml:space="preserve">CAB - NO CALLBACK - COCKPIT F/O SLIDING WINDOW BLIND ROLLER DETERIORATED.</t>
  </si>
  <si>
    <t xml:space="preserve">CAB - NO CALLBACK - COCKPIT CAPTAIN FOOTREST RUBBER MAT WORN-OUT.</t>
  </si>
  <si>
    <t xml:space="preserve">CAB - NO CALLBACK - COCKPIT FLIGHT DECK CAPTAIN AND FIRST OFFICER PEDAL RUBBER MAT DIRTY.</t>
  </si>
  <si>
    <t xml:space="preserve">CAB - NO CALLBACK - LAV A LAV A SERVICE CABIINET HINGE LOOSE.</t>
  </si>
  <si>
    <t xml:space="preserve">FINDING (NRC) TASKCARD 531102-01-1 (5) / ITEM-1 PNT--NOCALLBACK BOTH FWD LH AND RH UPPER PASSENGER DOORS CUTOUT WITH PAINT CHAFING</t>
  </si>
  <si>
    <t xml:space="preserve">CAB - RII - COCKPIT FLIGHT DECK FIRST OFFICER SEAT HARNESS DETERIORATED.</t>
  </si>
  <si>
    <t xml:space="preserve">I/W</t>
  </si>
  <si>
    <t xml:space="preserve">FINDING (NRC) TASKCARD 534132-02-1 (2) / ITEM ONE PNT--NOCLLBACK BOTH AFT LH AND RH UPPER PASSENGER DOORS CUTOUT WITH PAINT CHAFING</t>
  </si>
  <si>
    <t xml:space="preserve">CAB - RII - 4TH OCCUPANT FLIGHT DECK SEAT 4TH OCCUPANT HARNESS DETERIORATED.</t>
  </si>
  <si>
    <t xml:space="preserve">CAB - RII - 3RD OCCUPANT FLIGHT DECK 3RD OCCUPANT LOWER SHROUD NEXT TO LIFE VEST COVER DEFORMED.</t>
  </si>
  <si>
    <t xml:space="preserve">SEAT R/R</t>
  </si>
  <si>
    <t xml:space="preserve">CAB - NO CALL BACK - GALLEY G1 GALLEY OVEN #1 UPPER GRILL DE ATTACHED</t>
  </si>
  <si>
    <t xml:space="preserve">CAB - NO CALL BACK - GALLEY FWD GALLEY (G1,G2) SIDE TURN CATCH FADED</t>
  </si>
  <si>
    <t xml:space="preserve">CAB - RII - R2 DOOR PANEL ASSY-FLOOR L2 &amp; R2 DOOR PANEL FLOOR ASSY  WITH DAMAGE</t>
  </si>
  <si>
    <t xml:space="preserve">33028166</t>
  </si>
  <si>
    <t xml:space="preserve">CAB - NO CALLBACK - G1 GALLEY G1 GALLEY AIR CHILLER COVER PANEL GRILLE DEFORMED.</t>
  </si>
  <si>
    <t xml:space="preserve">1373</t>
  </si>
  <si>
    <t xml:space="preserve">TQ 844238 F/UP</t>
  </si>
  <si>
    <t xml:space="preserve">33028214</t>
  </si>
  <si>
    <t xml:space="preserve">FINDING (NRC) TASKCARD 534143-01-3 (03) / ITEM-1 SM--RII AFT RH DOOR CUTOUT AT FR 68 AREA CORRODED  AROUND GIRT BAR FITTING AND AT THE DRAIN HOLE</t>
  </si>
  <si>
    <t xml:space="preserve">1374</t>
  </si>
  <si>
    <t xml:space="preserve">33028291</t>
  </si>
  <si>
    <t xml:space="preserve">FINDING (NRC) TASKCARD 534143-01-3 (03) / ITEM-1 SM--RII AFT LH DOOR CUTOUT AT FR 68 AND FR 66 AREA CORRODED  AT GIRT BAR FITTINGS RIVETS 2EA</t>
  </si>
  <si>
    <t xml:space="preserve">1375</t>
  </si>
  <si>
    <t xml:space="preserve">33028466</t>
  </si>
  <si>
    <t xml:space="preserve">CAB - CALLBACK - G2 GALLEY G2 GALLEY REQUIRE REMOVAL FOR ACCESS.</t>
  </si>
  <si>
    <t xml:space="preserve">1377</t>
  </si>
  <si>
    <t xml:space="preserve">33028471</t>
  </si>
  <si>
    <t xml:space="preserve">CAB - RII - B/C SEATS ALL B/C SEATS REQUIRE REMOVAL FOR ACCESS.</t>
  </si>
  <si>
    <t xml:space="preserve">1378</t>
  </si>
  <si>
    <t xml:space="preserve">33028546</t>
  </si>
  <si>
    <t xml:space="preserve">CAB - NO CALLBACK - G/C AREA G/C AREA 9 EA SIDEWALLS WINDOW FRAME FOUND BROKEN.</t>
  </si>
  <si>
    <t xml:space="preserve">1379</t>
  </si>
  <si>
    <t xml:space="preserve">all b/c instled</t>
  </si>
  <si>
    <t xml:space="preserve">33028549</t>
  </si>
  <si>
    <t xml:space="preserve">PNT - NO CALL BACK - GALLEY FWD (G1) GALLEY PAINT PEELED OFF BETWEEN COMP. 104 AND 105.</t>
  </si>
  <si>
    <t xml:space="preserve">1380</t>
  </si>
  <si>
    <t xml:space="preserve">33029239</t>
  </si>
  <si>
    <t xml:space="preserve">FWD CABIN=====SM=====RII FWD CABIN FLOOR STRUCTURE BESIDE R1 DOOR UNDER ACCESS PNL 222FF BETWEEN FR 16-20 , ALONG Y-1732 AND Y-1292  RAILS 04EA LOCATION WITH SURFACE CORROSION  DIMENSION AS FOLLOWS  ALONG Y-1292 1)LENGTH = 1.6", WIDTH 1.1" 2)LENGT...</t>
  </si>
  <si>
    <t xml:space="preserve">1385</t>
  </si>
  <si>
    <t xml:space="preserve">33032675</t>
  </si>
  <si>
    <t xml:space="preserve">CAB - NO CALLBACK - G2 GALLEY G2 GALLEY ICE DRAWER LOWER TRIM DETACHED.</t>
  </si>
  <si>
    <t xml:space="preserve">1390</t>
  </si>
  <si>
    <t xml:space="preserve">33033307</t>
  </si>
  <si>
    <t xml:space="preserve">FINDING (NRC) TASKCARD DCC-32S (13) / ITEM ONE DURING DCC FOUND SIDEWALL AT SEAT 3JL, 4JL, 11JL AND 5AC TEDLAR DAMAGED</t>
  </si>
  <si>
    <t xml:space="preserve">WALL</t>
  </si>
  <si>
    <t xml:space="preserve">33041186</t>
  </si>
  <si>
    <t xml:space="preserve">CAB- SIEDWALL-NO CALLBACK SIDEWALL BETWEEN 3 LJ / 4LJ TEDLAR DAMAGE</t>
  </si>
  <si>
    <t xml:space="preserve">1403</t>
  </si>
  <si>
    <t xml:space="preserve">33041202</t>
  </si>
  <si>
    <t xml:space="preserve">CAB-SIDEWALL-NO CALL BACK SIDEWALL 1LJ TEDLAR DAMAGE</t>
  </si>
  <si>
    <t xml:space="preserve">1404</t>
  </si>
  <si>
    <t xml:space="preserve">33045500</t>
  </si>
  <si>
    <t xml:space="preserve">CAB - CALL BACK - RH AFT EXIT DOOR RH AFT EXIT DOOR INNER SIDE AROUND WINDOW FRAME BROKEN</t>
  </si>
  <si>
    <t xml:space="preserve">1409</t>
  </si>
  <si>
    <t xml:space="preserve">33049397</t>
  </si>
  <si>
    <t xml:space="preserve">FINDING (NRC) TASKCARD DCC-32S (13) / ITEM ONE DURING DCC FOUND GALLEY 2 DOOR 206 TEDLAR DAMAGED</t>
  </si>
  <si>
    <t xml:space="preserve">33049403</t>
  </si>
  <si>
    <t xml:space="preserve">FINDING (NRC) TASKCARD DCC-32S (13) / ITEM ONE DURING DCC FOUND ICE BUCKET BOX 208 TEDLAR DAMAGED</t>
  </si>
  <si>
    <t xml:space="preserve">33049404</t>
  </si>
  <si>
    <t xml:space="preserve">FINDING (NRC) TASKCARD DCC-32S (13) / ITEM ONE DURING DCC FOUND GALLEY DOOR 515 TEDLAR DAMAGED</t>
  </si>
  <si>
    <t xml:space="preserve">SIDEWALL - NO CALL BACK - TEDLER SIDEWALL 5AC TEDLAR CHIPPED OFF</t>
  </si>
  <si>
    <t xml:space="preserve">GALLEY ..... CAB...... NO CALL BACK GALLEY DOOR 210 TEDLAR DAMAGED</t>
  </si>
  <si>
    <t xml:space="preserve">FINDING (NRC) TASKCARD CCC-32S (05) / ITEM ONE LAV D  INNER WALL TEDLAR DAMMAGED</t>
  </si>
  <si>
    <t xml:space="preserve">CAB- AFT WALL .... NO ....CALL BACK AFT WALL OF 44 JKL TEDLAR DAMAGED</t>
  </si>
  <si>
    <t xml:space="preserve">FINDING (NRC) TASKCARD DCC-32S (13) / ITEM ONE DURING DCC FOUND UPPER WALL OF COCKPIT DOOR TEDLAR DAMAGED</t>
  </si>
  <si>
    <t xml:space="preserve">FINDING (NRC) TASKCARD DCC-32S (13) / ITEM ONE DURING DCC FOUND L1 DOOR LOWER OF F/A SEAT UNDER LIFE VEST TEDLAR DAMAGED</t>
  </si>
  <si>
    <t xml:space="preserve">FINDING (NRC) TASKCARD DCC-32S (13) / ITEM ONE DURING DCC FOUND FWD WALL BESIDE L1 DOOR LOWER AREA TEDLAR DAMAGED</t>
  </si>
  <si>
    <t xml:space="preserve">PNT - NO CALLBACK - SEATS DURING CKPT CHK FOUND SIDE OF CAP. AND F/O SEATS PAINT CHIPPED</t>
  </si>
  <si>
    <t xml:space="preserve">PNT - NO CALLBACK - COCKPIT COCKPIT SEVERAL CEILING PANELS PAINT CHIPPED</t>
  </si>
  <si>
    <t xml:space="preserve">PNT - NO CALLBACK - WINDOW FRAMES BOTH CAPTAIN AND F/O WINDOW FRAMES PAINT  REQUIRED</t>
  </si>
  <si>
    <t xml:space="preserve">PNT - NO CALLBACK - SLIDING TABLES SLIDING TABLES PAINT REQUIRED</t>
  </si>
  <si>
    <t xml:space="preserve">FINDING (NRC) TASKCARD DCC-32S (13) / ITEM ONE DURING DCC FOUND SIDE WALL AT SEAT 41JKL TEDLAR DAMAGED</t>
  </si>
  <si>
    <t xml:space="preserve">CAB - NO CALLBACK -AFT GALLEY AFT GALLEY 1 EA AIR FLAP SEALTORN.</t>
  </si>
  <si>
    <t xml:space="preserve">CAB - NO CALLBACK - F/A SEAT L1 INBOARD F/A SEAT LOWER AND UPPER RUBSTRIP DEFORMED.</t>
  </si>
  <si>
    <t xml:space="preserve">FINDING (NRC) TASKCARD 531194-01-2 (2) / ITEM-1 SM--RII FLOOR ATTACHMENT STRUCTURE AT FR 20 AND Y-765 WITH SURFACE CORROSION</t>
  </si>
  <si>
    <t xml:space="preserve">33079373</t>
  </si>
  <si>
    <t xml:space="preserve">CAB - CALL BACK - AFT GALLEY AFT GALLEY 2 EACH BUSHING MISSING</t>
  </si>
  <si>
    <t xml:space="preserve">33081174</t>
  </si>
  <si>
    <t xml:space="preserve">33081618</t>
  </si>
  <si>
    <t xml:space="preserve">FWD AND AFT CBN COMP - PNT - NO CALL BACK FWD COMPARTMENT C101 AND AFT C201 COMPARTMENT INNER SIDE PAINT PEELED OFF</t>
  </si>
  <si>
    <t xml:space="preserve">33084011</t>
  </si>
  <si>
    <t xml:space="preserve">CAB - NO CALL BACK - LOWER SHROUD CAP SEAT AFT LOWER SHROUD CRACKED</t>
  </si>
  <si>
    <t xml:space="preserve">33084029</t>
  </si>
  <si>
    <t xml:space="preserve">CAB - NO CALLBACK - UPPER SHROUD CAPTAIN UPPER SHROUD LOWER CORNER CUT</t>
  </si>
  <si>
    <t xml:space="preserve">33084129</t>
  </si>
  <si>
    <t xml:space="preserve">PNT - NO CALL BACK - CAP SEAT BOTTOM R/H BLACK METAL OF CAP. SEAT PAINT REQUIRED</t>
  </si>
  <si>
    <t xml:space="preserve">33084211</t>
  </si>
  <si>
    <t xml:space="preserve">CAB - NO CALLLBACK - ARM CAP CAPTAIN SEAT R/H ARM CAP DISCOLORATION</t>
  </si>
  <si>
    <t xml:space="preserve">33084235</t>
  </si>
  <si>
    <t xml:space="preserve">CAB - NO CALLBACK- ARM CAP CAPTAIN SEAT L/H ARM CAP AND PLASTIC CASE DISCOLORATION</t>
  </si>
  <si>
    <t xml:space="preserve">33084561</t>
  </si>
  <si>
    <t xml:space="preserve">CAB - NO CALLBACK - WASTE COVER WASTE COVER SPRING STUCK IN THE OPEN POSITION</t>
  </si>
  <si>
    <t xml:space="preserve">33086132</t>
  </si>
  <si>
    <t xml:space="preserve">PNT - NO CALLBACK - PLACARDS SEVERAL PLACARDS DAMAGED INSIDE CKPT ( OXY MASK R/H, MAX LOAD 3KG-7LB R/H, DISK STOWAGE R/H, DISK STOWAGE L/H, FLASH LIGHT L/H, LANDING GEAR PINS L/H )</t>
  </si>
  <si>
    <t xml:space="preserve">33088307</t>
  </si>
  <si>
    <t xml:space="preserve">CAB - NO CALLBACK - FLIGHT DECK DISK-LOCATING MISSING INSIDE CAP. SLIDING TABLE</t>
  </si>
  <si>
    <t xml:space="preserve">33088441</t>
  </si>
  <si>
    <t xml:space="preserve">FINDING (NRC) TASKCARD 25-20-00-00-SVA (01) / ITEM ONE ALL FLT ATT SEAT PAINT FADDED .</t>
  </si>
  <si>
    <t xml:space="preserve">33112583</t>
  </si>
  <si>
    <t xml:space="preserve">CAB - NO CALLBACK - COCKPIT L/H WINDOW LINING  BOTTOM CORNER DAMAGED</t>
  </si>
  <si>
    <t xml:space="preserve">33114000</t>
  </si>
  <si>
    <t xml:space="preserve">CAB - NO CALLBACK - COCKPIT PROTECTIVE CB PANEL FOUND BROKEN</t>
  </si>
  <si>
    <t xml:space="preserve">33114126</t>
  </si>
  <si>
    <t xml:space="preserve">PNT - NO CALLBACK - COCKPIT FLIGHT OFFICER ALL AROUND WINDOW FRAME REQUIRED PAINT</t>
  </si>
  <si>
    <t xml:space="preserve">33115217</t>
  </si>
  <si>
    <t xml:space="preserve">FINDING (NRC) TASKCARD 534143-01-3 (03) / ITEM-1 AFT &amp; FWD PAX DOOR GIRT-BAR FITTING BALNKING -PLATES REQ PNT</t>
  </si>
  <si>
    <t xml:space="preserve">33118115</t>
  </si>
  <si>
    <t xml:space="preserve">FINDING (NRC) TASKCARD DCC-32S (13) / ITEM ONE DURING DCC FOUND FWD WALL OF LAV D BEHIND CLOSET S302 TEDLAR DAMAGED</t>
  </si>
  <si>
    <t xml:space="preserve">33118117</t>
  </si>
  <si>
    <t xml:space="preserve">FINDING (NRC) TASKCARD DCC-32S (13) / ITEM ONE DURING DCC FOUND FWD WALL OF LAV E BEHIND CLOSET S201 TEDLAR DAMAGED</t>
  </si>
  <si>
    <t xml:space="preserve">33126961</t>
  </si>
  <si>
    <t xml:space="preserve">PNT - NO CALLBACK - LAV A LAV A UPPER SERVICE CABINET DOOR PAINT FADED</t>
  </si>
  <si>
    <t xml:space="preserve">33129954</t>
  </si>
  <si>
    <t xml:space="preserve">FINDING (NRC) TASKCARD DCC-32S (13) / ITEM ONE DURING DCC FOUND LAV D INNER WALL TEDLAR DAMAGED</t>
  </si>
  <si>
    <t xml:space="preserve">33129955</t>
  </si>
  <si>
    <t xml:space="preserve">FINDING (NRC) TASKCARD DCC-32S (13) / ITEM ONE DURING DCC FOUND CLOSET C101 TEDLAR DAMAGED</t>
  </si>
  <si>
    <t xml:space="preserve">33141095</t>
  </si>
  <si>
    <t xml:space="preserve">PNT - NO CALL BACK - COCKPIT CAPTAIN SLIDING FOLDABLE TABLE AROUND DISK-LOCATING BLACK RUBBER AND MIDDLE LATCH REQ PAINT</t>
  </si>
  <si>
    <t xml:space="preserve">33143467</t>
  </si>
  <si>
    <t xml:space="preserve">CAB - NO CALL BACK DADO PANEL BETWEEN. 43/44 JKL DAMMAGE</t>
  </si>
  <si>
    <t xml:space="preserve">33143477</t>
  </si>
  <si>
    <t xml:space="preserve">CAB - NO CALL BACK CLOSET DOOR C101 UPPER SIDE TEDLAR DAMMAGE</t>
  </si>
  <si>
    <t xml:space="preserve">33143702</t>
  </si>
  <si>
    <t xml:space="preserve">CAB - NO CALL BACK - WINDOW DURING RE INSTALLATION OF SIDEWALL FOUND WINDOW INNER COVER DAMAGED</t>
  </si>
  <si>
    <t xml:space="preserve">33147441</t>
  </si>
  <si>
    <t xml:space="preserve">FINDING (NRC) TASKCARD 25-SVA-05 (01) / ITEM ONE G/C SEATS# 35J, 36C AND 39C BUMPER – ENDBAY LOOSE.</t>
  </si>
  <si>
    <t xml:space="preserve">33151496</t>
  </si>
  <si>
    <t xml:space="preserve">CAB - RII - L1 F/A SEAT L1 DOOR L/H F/A SEAT LOWER BASE DEFORMED AND CRACKED</t>
  </si>
  <si>
    <t xml:space="preserve">33151563</t>
  </si>
  <si>
    <t xml:space="preserve">CAB - RII - L1 DOOR F/A SEAT L1 DOOR R/H F/A SEAT LOWER BASE DEFORMED &amp; CRACKED</t>
  </si>
  <si>
    <t xml:space="preserve">33151580</t>
  </si>
  <si>
    <t xml:space="preserve">CABIN - RII - L2 F/A SEAT L2 DOOR F/A SEAT LOWER BASE CORRODED</t>
  </si>
  <si>
    <t xml:space="preserve">33152581</t>
  </si>
  <si>
    <t xml:space="preserve">FINDING (NRC) TASKCARD DCC-32S (13) / ITEM ONE DURING DCC FOUND AFT WALL OF SEAT 44 ABC TEDLAR DAMAGED</t>
  </si>
  <si>
    <t xml:space="preserve">33152650</t>
  </si>
  <si>
    <t xml:space="preserve">FINDING (NRC) TASKCARD DCC-32S (13) / ITEM ONE DURING DCC FOUND LAV D OUTER WALL TEDLAR DAMAGED</t>
  </si>
  <si>
    <t xml:space="preserve">33163295</t>
  </si>
  <si>
    <t xml:space="preserve">CAB - RII - OXYGEN GENERATOR OXYGEN GENERATOR AT ROW 42 RH FOUND DAMAGED.</t>
  </si>
  <si>
    <t xml:space="preserve">CAB - RII - OXYGEN CONTAINER OXYGEN CONTAINER AT ROW 42 RH FOUND DAMAGED.</t>
  </si>
  <si>
    <t xml:space="preserve">Requested - R</t>
  </si>
  <si>
    <t xml:space="preserve">MACHINE SHOP - NO CALL BACK - GRID COLLECTOR DURING CLOSE UP FOUND COCKPIT GRID COLLECTOR TWO HELI COILS REQUIRE MACHINIST</t>
  </si>
  <si>
    <t xml:space="preserve">📊  HZ-ASD C2+6Y  —  WORK PACKAGE DASHBOARD</t>
  </si>
  <si>
    <t xml:space="preserve">START →</t>
  </si>
  <si>
    <t xml:space="preserve">END →</t>
  </si>
  <si>
    <t xml:space="preserve">TOTAL WOs</t>
  </si>
  <si>
    <t xml:space="preserve">CLOSED</t>
  </si>
  <si>
    <t xml:space="preserve">OPEN</t>
  </si>
  <si>
    <t xml:space="preserve">HPC ⏳</t>
  </si>
  <si>
    <t xml:space="preserve">🔴 AOG WO</t>
  </si>
  <si>
    <t xml:space="preserve">⚠️ CRITICAL WO</t>
  </si>
  <si>
    <t xml:space="preserve">DONE</t>
  </si>
  <si>
    <t xml:space="preserve">  TIMELINE  —  linked to LAYOVER sheet</t>
  </si>
  <si>
    <t xml:space="preserve">  BY SOURCE</t>
  </si>
  <si>
    <t xml:space="preserve">Total</t>
  </si>
  <si>
    <t xml:space="preserve">%</t>
  </si>
  <si>
    <t xml:space="preserve">Window ⏱</t>
  </si>
  <si>
    <t xml:space="preserve">Left</t>
  </si>
  <si>
    <t xml:space="preserve">ROUTINE TASKS (WP)</t>
  </si>
  <si>
    <t xml:space="preserve">ENG ORDERS (EOD/AD/EO)</t>
  </si>
  <si>
    <t xml:space="preserve">FINDINGS (AMOS)</t>
  </si>
  <si>
    <t xml:space="preserve">  BY CATEGORY</t>
  </si>
  <si>
    <t xml:space="preserve">Share</t>
  </si>
  <si>
    <t xml:space="preserve">  SPECIALTY</t>
  </si>
  <si>
    <t xml:space="preserve">  DAILY CLOSURES  —  last 10 days</t>
  </si>
  <si>
    <t xml:space="preserve">Σ Closed</t>
  </si>
  <si>
    <t xml:space="preserve">Cum %</t>
  </si>
  <si>
    <t xml:space="preserve">  🔓 ACCESS CARDS</t>
  </si>
  <si>
    <t xml:space="preserve">🔴 Still Open</t>
  </si>
  <si>
    <t xml:space="preserve">🟢 Closed</t>
  </si>
  <si>
    <t xml:space="preserve">  ⚙️ STATUS · PARTS · WORKLOAD</t>
  </si>
  <si>
    <t xml:space="preserve">  🕐 WORKLOAD BY SPECIALTY (MH)</t>
  </si>
  <si>
    <t xml:space="preserve">EST MH</t>
  </si>
  <si>
    <t xml:space="preserve">BOOKED MH</t>
  </si>
  <si>
    <t xml:space="preserve">SHARE %
(EST)</t>
  </si>
  <si>
    <t xml:space="preserve">SHARE %
(BOOKED)</t>
  </si>
  <si>
    <t xml:space="preserve">  ✈️ AIRCRAFT PACKAGE — ALL TRADES</t>
  </si>
  <si>
    <t xml:space="preserve">TOTAL</t>
  </si>
  <si>
    <t xml:space="preserve">TIME</t>
  </si>
  <si>
    <t xml:space="preserve">BOOKED</t>
  </si>
  <si>
    <t xml:space="preserve">  📍 BY AREA</t>
  </si>
  <si>
    <t xml:space="preserve">CARDS</t>
  </si>
  <si>
    <t xml:space="preserve">DONE %</t>
  </si>
  <si>
    <t xml:space="preserve">  🐌 STALLED CARDS  —  open for weeks with almost no hours booked</t>
  </si>
  <si>
    <t xml:space="preserve">WO / Task</t>
  </si>
  <si>
    <t xml:space="preserve">Description</t>
  </si>
  <si>
    <t xml:space="preserve">Dur h</t>
  </si>
  <si>
    <t xml:space="preserve">Booked</t>
  </si>
  <si>
    <t xml:space="preserve">IDLE MH</t>
  </si>
  <si>
    <t xml:space="preserve">AFT GALLEY COMP COVERT ATTACHMENT FITTING S302 S303 S304 L</t>
  </si>
  <si>
    <t xml:space="preserve">81172702</t>
  </si>
  <si>
    <t xml:space="preserve">IFE REMOTE CONTROL VHS REMOTE CONTROL FOR 1L IS BROKEN  BY</t>
  </si>
  <si>
    <t xml:space="preserve">94844868</t>
  </si>
  <si>
    <t xml:space="preserve">L2 PAX DOOR REF. TO W/O: 94844866 LH-AFT PASSENGER DOOR SE</t>
  </si>
  <si>
    <t xml:space="preserve">32982199</t>
  </si>
  <si>
    <t xml:space="preserve">RII-CAB-L1 INBOARD AND OUTBOARD L1 INBOARD AND OUTBOARD WA</t>
  </si>
  <si>
    <t xml:space="preserve">32982200</t>
  </si>
  <si>
    <t xml:space="preserve">RII-CAB-SWIVEL SWIVEL FLIGHT ATTENDANT SEAT REQUIRE REMOVA</t>
  </si>
  <si>
    <t xml:space="preserve">32982203</t>
  </si>
  <si>
    <t xml:space="preserve">RII-CALLBACK L1 INBOARD AND OUTBOARD WALL-MOUNTED FLIGHT A</t>
  </si>
  <si>
    <t xml:space="preserve">32982197</t>
  </si>
  <si>
    <t xml:space="preserve">AOG / MATERIAL — CABIN CARDS · HZ-ASD C2+6Y · 19-Aug-2026</t>
  </si>
  <si>
    <t xml:space="preserve">#</t>
  </si>
  <si>
    <t xml:space="preserve">WO</t>
  </si>
  <si>
    <t xml:space="preserve">Seq</t>
  </si>
  <si>
    <t xml:space="preserve">Card Description</t>
  </si>
  <si>
    <t xml:space="preserve">Part No.</t>
  </si>
  <si>
    <t xml:space="preserve">Part Description</t>
  </si>
  <si>
    <t xml:space="preserve">Qty</t>
  </si>
  <si>
    <t xml:space="preserve">Unit</t>
  </si>
  <si>
    <t xml:space="preserve">Availability</t>
  </si>
  <si>
    <t xml:space="preserve">Transfer</t>
  </si>
  <si>
    <t xml:space="preserve">Created</t>
  </si>
  <si>
    <t xml:space="preserve">Note</t>
  </si>
  <si>
    <t xml:space="preserve">Delivery</t>
  </si>
  <si>
    <t xml:space="preserve">32984848</t>
  </si>
  <si>
    <t xml:space="preserve">1012</t>
  </si>
  <si>
    <t xml:space="preserve">SP0614</t>
  </si>
  <si>
    <t xml:space="preserve">STRIKER PLATE U/O PN 330SVA4RGA00</t>
  </si>
  <si>
    <t xml:space="preserve">EA</t>
  </si>
  <si>
    <t xml:space="preserve">NOT AVAILABLE</t>
  </si>
  <si>
    <t xml:space="preserve">TRANSFER_NEEDED</t>
  </si>
  <si>
    <t xml:space="preserve">20.Jul.2026</t>
  </si>
  <si>
    <t xml:space="preserve">—</t>
  </si>
  <si>
    <t xml:space="preserve">32985332</t>
  </si>
  <si>
    <t xml:space="preserve">1038</t>
  </si>
  <si>
    <t xml:space="preserve">4115-1-131-8110</t>
  </si>
  <si>
    <t xml:space="preserve">RESTRNT-SYSTEM</t>
  </si>
  <si>
    <t xml:space="preserve">P26081726, 60 EA, EDD 10AUG26</t>
  </si>
  <si>
    <t xml:space="preserve">32985343</t>
  </si>
  <si>
    <t xml:space="preserve">1045</t>
  </si>
  <si>
    <t xml:space="preserve">32991511</t>
  </si>
  <si>
    <t xml:space="preserve">1202</t>
  </si>
  <si>
    <t xml:space="preserve">A225400429-750</t>
  </si>
  <si>
    <t xml:space="preserve">DOOR ASSY-WASHBASIN</t>
  </si>
  <si>
    <t xml:space="preserve">23.Jul.2026</t>
  </si>
  <si>
    <t xml:space="preserve">32988850</t>
  </si>
  <si>
    <t xml:space="preserve">1121</t>
  </si>
  <si>
    <t xml:space="preserve">SP1395</t>
  </si>
  <si>
    <t xml:space="preserve">VALVE ASSY-FLAP</t>
  </si>
  <si>
    <t xml:space="preserve">27.Jul.2026</t>
  </si>
  <si>
    <t xml:space="preserve">02 EA ISSUED TO ACFT, PO P26712626, 03 EA, NEW PO, U/APPROVAL.</t>
  </si>
  <si>
    <t xml:space="preserve">33022670</t>
  </si>
  <si>
    <t xml:space="preserve">1342</t>
  </si>
  <si>
    <t xml:space="preserve">3212MU01SA41</t>
  </si>
  <si>
    <t xml:space="preserve">FOOTSTEP ASSY</t>
  </si>
  <si>
    <t xml:space="preserve">28.Jul.2026</t>
  </si>
  <si>
    <t xml:space="preserve">32985350</t>
  </si>
  <si>
    <t xml:space="preserve">1049</t>
  </si>
  <si>
    <t xml:space="preserve">2E7003-1</t>
  </si>
  <si>
    <t xml:space="preserve">CUSHION-BACK</t>
  </si>
  <si>
    <t xml:space="preserve">30.Jul.2026</t>
  </si>
  <si>
    <t xml:space="preserve">AVBL (JED=1,RUH=5).</t>
  </si>
  <si>
    <t xml:space="preserve">32985304</t>
  </si>
  <si>
    <t xml:space="preserve">1036</t>
  </si>
  <si>
    <t xml:space="preserve">32985832</t>
  </si>
  <si>
    <t xml:space="preserve">1061</t>
  </si>
  <si>
    <t xml:space="preserve">E60614-00-0240</t>
  </si>
  <si>
    <t xml:space="preserve">LANYARD, GENERATOR RELEASE (GREEN)</t>
  </si>
  <si>
    <t xml:space="preserve">ORDERED</t>
  </si>
  <si>
    <t xml:space="preserve">04.Aug.2026</t>
  </si>
  <si>
    <t xml:space="preserve">15.Aug.2026</t>
  </si>
  <si>
    <t xml:space="preserve">32985833</t>
  </si>
  <si>
    <t xml:space="preserve">1062</t>
  </si>
  <si>
    <t xml:space="preserve">05.Aug.2026</t>
  </si>
  <si>
    <t xml:space="preserve">06.Aug.2026</t>
  </si>
  <si>
    <t xml:space="preserve">33069524</t>
  </si>
  <si>
    <t xml:space="preserve">1431</t>
  </si>
  <si>
    <t xml:space="preserve">HZ-ASD  C2+6Y-CHK  +  WIFI  —  LAYOVER SCHEDULE</t>
  </si>
  <si>
    <t xml:space="preserve">TASK</t>
  </si>
  <si>
    <t xml:space="preserve">Start</t>
  </si>
  <si>
    <t xml:space="preserve">Finish</t>
  </si>
  <si>
    <t xml:space="preserve">PHASE 1  (Pre Hangar)</t>
  </si>
  <si>
    <t xml:space="preserve">Aircraft Arrival</t>
  </si>
  <si>
    <t xml:space="preserve">Heavy Wash</t>
  </si>
  <si>
    <t xml:space="preserve">Both ENG Preservation</t>
  </si>
  <si>
    <t xml:space="preserve">Pre HGR</t>
  </si>
  <si>
    <t xml:space="preserve">21-Jul</t>
  </si>
  <si>
    <t xml:space="preserve">Pre Insp</t>
  </si>
  <si>
    <t xml:space="preserve">Defuel</t>
  </si>
  <si>
    <t xml:space="preserve">22-Jul</t>
  </si>
  <si>
    <t xml:space="preserve">PHASE 2  (Inspection)</t>
  </si>
  <si>
    <t xml:space="preserve">Nose Jacking – Prox Sensor Check</t>
  </si>
  <si>
    <t xml:space="preserve">Open-Up</t>
  </si>
  <si>
    <t xml:space="preserve">26-Jul</t>
  </si>
  <si>
    <t xml:space="preserve">Joint Cards Insp</t>
  </si>
  <si>
    <t xml:space="preserve">3-Aug</t>
  </si>
  <si>
    <t xml:space="preserve">Jacking – Free Fall Func Chk &amp; NLG</t>
  </si>
  <si>
    <t xml:space="preserve">5-Aug	</t>
  </si>
  <si>
    <t xml:space="preserve">Power Off</t>
  </si>
  <si>
    <t xml:space="preserve">2-Aug</t>
  </si>
  <si>
    <t xml:space="preserve">FINDING CUT-OFF</t>
  </si>
  <si>
    <t xml:space="preserve">PHASE 3  (Modification &amp; Rectification)</t>
  </si>
  <si>
    <t xml:space="preserve">Findings &amp; Rectification</t>
  </si>
  <si>
    <t xml:space="preserve">19-Aug</t>
  </si>
  <si>
    <t xml:space="preserve">Engineering Orders Doc (EOD's / ER's)</t>
  </si>
  <si>
    <t xml:space="preserve">8-Aug</t>
  </si>
  <si>
    <t xml:space="preserve">FOMAX &amp; Eclipse Connectivity Mods</t>
  </si>
  <si>
    <t xml:space="preserve">5-Aug</t>
  </si>
  <si>
    <t xml:space="preserve">MATERIALS ARRIVAL CUT-OFF</t>
  </si>
  <si>
    <t xml:space="preserve">PHASE 4  (Close Up &amp; Final Inspection)</t>
  </si>
  <si>
    <t xml:space="preserve">Cabin Restoration</t>
  </si>
  <si>
    <t xml:space="preserve">Areas Close Up</t>
  </si>
  <si>
    <t xml:space="preserve">Cabin, Cargos &amp; Cockpit</t>
  </si>
  <si>
    <t xml:space="preserve">Fuselage, Empennage &amp; Wings</t>
  </si>
  <si>
    <t xml:space="preserve">Engines</t>
  </si>
  <si>
    <t xml:space="preserve">OPS &amp; Func Check  (Power On)</t>
  </si>
  <si>
    <t xml:space="preserve">W&amp;B</t>
  </si>
  <si>
    <t xml:space="preserve">20-Aug</t>
  </si>
  <si>
    <t xml:space="preserve">Refuel &amp; Leak Checks</t>
  </si>
  <si>
    <t xml:space="preserve">21-Aug</t>
  </si>
  <si>
    <t xml:space="preserve">Engine Run</t>
  </si>
  <si>
    <t xml:space="preserve">22-Aug</t>
  </si>
  <si>
    <t xml:space="preserve">PHASE 5  (Release)</t>
  </si>
  <si>
    <t xml:space="preserve">Final Product Quality Inspection (FPQI)</t>
  </si>
  <si>
    <t xml:space="preserve">24-Aug</t>
  </si>
  <si>
    <t xml:space="preserve">Aircraft Release</t>
  </si>
  <si>
    <t xml:space="preserve">  MILESTONES  —  auto from the schedule above</t>
  </si>
  <si>
    <t xml:space="preserve">FINDINGS CUTOFF</t>
  </si>
  <si>
    <t xml:space="preserve">FOMAX START</t>
  </si>
  <si>
    <t xml:space="preserve">FOMAX END</t>
  </si>
  <si>
    <t xml:space="preserve">POWER OFF</t>
  </si>
  <si>
    <t xml:space="preserve">POWER ON</t>
  </si>
  <si>
    <t xml:space="preserve">CABIN CLOSE-UP</t>
  </si>
  <si>
    <t xml:space="preserve">FINAL INSPECTION</t>
  </si>
  <si>
    <t xml:space="preserve">DE-HANGAR</t>
  </si>
  <si>
    <t xml:space="preserve">📋  FINDINGS DRAFT — Pre-AMOS </t>
  </si>
  <si>
    <t xml:space="preserve">Findings sourced from ACFT Finding Report App · Review &amp; assign P/N before raising on AMOS</t>
  </si>
  <si>
    <t xml:space="preserve"> By</t>
  </si>
  <si>
    <t xml:space="preserve">Sub-Category</t>
  </si>
  <si>
    <t xml:space="preserve">Finding Description</t>
  </si>
  <si>
    <t xml:space="preserve">Photo URL</t>
  </si>
  <si>
    <t xml:space="preserve">AMOS Status</t>
  </si>
  <si>
    <t xml:space="preserve">WO No.</t>
  </si>
  <si>
    <t xml:space="preserve">P/N Required</t>
  </si>
  <si>
    <t xml:space="preserve">STOWAGE</t>
  </si>
  <si>
    <t xml:space="preserve">STOWAGE COMP DIRTY</t>
  </si>
  <si>
    <t xml:space="preserve"> </t>
  </si>
  <si>
    <t xml:space="preserve">https://i.ibb.co/V0S6MWKf/2c0f499aba84.jpg | https://i.ibb.co/DHR2Xff9/e954f2fa6628.jpg | https://i.ibb.co/ymNVHCr5/82edb4a173a1.jpg | https://i.ibb.co/mC61CMhY/2c192cc49cbd.jpg</t>
  </si>
  <si>
    <t xml:space="preserve">Not Raised</t>
  </si>
  <si>
    <t xml:space="preserve">DECALS</t>
  </si>
  <si>
    <t xml:space="preserve">DECAL DAMAGES</t>
  </si>
  <si>
    <t xml:space="preserve">https://i.ibb.co/7JSQz40y/121e4cb35567.jpg | https://i.ibb.co/pStxDjx/5a7078625ab8.jpg | https://i.ibb.co/4ZNPYDdT/bc71fabd91d4.jpg | https://i.ibb.co/7N0t9b8b/c83b27d90ddf.jpg | https://i.ibb.co/FLWyVfps/b7ea655f3e1d.jpg</t>
  </si>
  <si>
    <t xml:space="preserve">WASTE GATE</t>
  </si>
  <si>
    <t xml:space="preserve">WASTE GATE SPRING STUCK AND EDGES CHIPPED</t>
  </si>
  <si>
    <t xml:space="preserve">https://i.ibb.co/cKvnQbLQ/d8d90d2d32a4.jpg | https://i.ibb.co/1j6tQkM/d4739312fa3b.jpg</t>
  </si>
  <si>
    <t xml:space="preserve">FIRE EX</t>
  </si>
  <si>
    <t xml:space="preserve">PORT FIRE EX COMP EDGES CHIPPED AND DIRTY AND DECAL EDGES DAMAGE</t>
  </si>
  <si>
    <t xml:space="preserve">https://i.ibb.co/LDKNs53R/60a738aab7c7.jpg | https://i.ibb.co/Kxw7TX6x/cb59ff7813b0.jpg</t>
  </si>
  <si>
    <t xml:space="preserve">DISC STOWAGE</t>
  </si>
  <si>
    <t xml:space="preserve">DISC STOWAGE DIRTY, PAINT PEELED</t>
  </si>
  <si>
    <t xml:space="preserve">https://i.ibb.co/sdM1bx04/333df573f526.jpg | https://i.ibb.co/PynFbg0/9f4695bb788c.jpg | https://i.ibb.co/BHcr8tYx/4133ee94ebe8.jpg</t>
  </si>
  <si>
    <t xml:space="preserve">STOWAGE COMP</t>
  </si>
  <si>
    <t xml:space="preserve">STOWAGE COMP DIRTY AND PAINT FADED</t>
  </si>
  <si>
    <t xml:space="preserve">https://i.ibb.co/TdKwHcy/1ffabf0fe14f.jpg | https://i.ibb.co/TDG7VKmF/171a79eb51db.jpg | https://i.ibb.co/Q7WVmGz2/0c91afae6c65.jpg</t>
  </si>
  <si>
    <t xml:space="preserve">COMP</t>
  </si>
  <si>
    <t xml:space="preserve">STOWAGE COMP EDGES DAMAGED AND PLASTIC PAINT PEELED</t>
  </si>
  <si>
    <t xml:space="preserve">https://i.ibb.co/cc3kMLpK/53b04780be07.jpg | https://i.ibb.co/ZRSZV7zx/23f87b95eb76.jpg</t>
  </si>
  <si>
    <t xml:space="preserve">FO</t>
  </si>
  <si>
    <t xml:space="preserve">FO SLIDING TABLE PAINT CHIPPED</t>
  </si>
  <si>
    <t xml:space="preserve">https://i.ibb.co/5WPqGk9Z/ff9771b3f85c.jpg | https://i.ibb.co/Xx9XSkkW/a843df085b90.jpg | https://i.ibb.co/gMsCZk8F/1fca9100cc60.jpg | https://i.ibb.co/gbwZJgF0/cf72cec589c0.jpg | https://i.ibb.co/b560yNCb/199686d84502.jpg</t>
  </si>
  <si>
    <t xml:space="preserve">CAP TABLE</t>
  </si>
  <si>
    <t xml:space="preserve">CAP SLIDING TABLE END CAB CHIPPED PAINT, MIDDLE LATCH STIFF, MIDDLE TABLE SCRATCHED AND CHIPPED, PAPER CLIP CORRODED, BLACK-RUBBER MISSING, SLOW, STIFF AND NEEDS FORCE IN RETURNING MECHANISM</t>
  </si>
  <si>
    <t xml:space="preserve">https://i.ibb.co/LDLC8ZqF/8cf77b6f5530.jpg | https://i.ibb.co/ZRLNXrzt/4800d4fd2aa6.jpg | https://i.ibb.co/xq9k1xMs/262fcf47083b.jpg | https://i.ibb.co/JWDXJzWr/07cf1aaa8eb2.jpg | https://i.ibb.co/Cpr2n0LQ/9d1b84c61530.jpg</t>
  </si>
  <si>
    <t xml:space="preserve">https://i.ibb.co/1J82sxYH/922b22e2b347.jpg | https://i.ibb.co/SDgWyTVT/871156f4c614.jpg | https://i.ibb.co/vxQ7GXv3/6ebd6ef51764.jpg | https://i.ibb.co/XrmVv1DK/2f46cc33c276.jpg | https://i.ibb.co/bjvdTxyL/3123161a3e72.jpg</t>
  </si>
  <si>
    <t xml:space="preserve">CAP SEAT</t>
  </si>
  <si>
    <t xml:space="preserve">CAP SEATBUILT FAILUR QUICK RETURN MECHANISM</t>
  </si>
  <si>
    <t xml:space="preserve">https://i.ibb.co/Psk4g0Px/1cb054ea4f6a.jpg</t>
  </si>
  <si>
    <t xml:space="preserve">FO R/ARM REST DISCOLORED EDGES, DIRTY AND PLASTIC CRACKED</t>
  </si>
  <si>
    <t xml:space="preserve">https://i.ibb.co/WW3Ww89K/4b2a0d6496e6.jpg | https://i.ibb.co/mFXLhmw9/ae9d4313e427.jpg | https://i.ibb.co/ZPMHNRR/47d47cad66a4.jpg | https://i.ibb.co/Rt7R2Wp/40cda1aa9e80.jpg</t>
  </si>
  <si>
    <t xml:space="preserve">CAP SEAT R/ARM REST CRACKED AND COVER DISCOLORED AND DIRTY</t>
  </si>
  <si>
    <t xml:space="preserve">https://i.ibb.co/jptRYwZ/4b75071905d7.jpg</t>
  </si>
  <si>
    <t xml:space="preserve">ARM REST</t>
  </si>
  <si>
    <t xml:space="preserve">CAP L/ARM REST ADJUSTMENT PLASITC COVER DIRTY</t>
  </si>
  <si>
    <t xml:space="preserve">https://i.ibb.co/fdQJtVPD/6c5898afedb4.jpg</t>
  </si>
  <si>
    <t xml:space="preserve">CAP L/ARM REST BLACK-STAIN, SMALL CHIPPED AND CUT</t>
  </si>
  <si>
    <t xml:space="preserve">https://i.ibb.co/Q7RmqyDf/fb4466e57942.jpg | https://i.ibb.co/tMSsM8mG/f53be1cf7c3a.jpg | https://i.ibb.co/ynK0c9RY/d0d17dcd9252.jpg | https://i.ibb.co/7JmgMSjk/82bf315c451b.jpg | https://i.ibb.co/qMP5DS22/2df5b79458e4.jpg</t>
  </si>
  <si>
    <t xml:space="preserve">FO SEAT BLACK-AFT METAL CHIPPED PAINT</t>
  </si>
  <si>
    <t xml:space="preserve">https://i.ibb.co/QvjZWqKG/59d01c63a2f6.jpg</t>
  </si>
  <si>
    <t xml:space="preserve">FO BACK-LIFE-VEST SHROUD CUT DOWNWARD</t>
  </si>
  <si>
    <t xml:space="preserve">https://i.ibb.co/m19rqHf/b2e4ad62c53d.jpg</t>
  </si>
  <si>
    <t xml:space="preserve">CAP SEAT LIFE-VEST SHROUD CUT</t>
  </si>
  <si>
    <t xml:space="preserve">https://i.ibb.co/yn0yQ4x1/279f1f147658.jpg</t>
  </si>
  <si>
    <t xml:space="preserve">FO SEAT LIFE-VEST DECAL BLACK- STAINS</t>
  </si>
  <si>
    <t xml:space="preserve">https://i.ibb.co/2YCfrKVB/556a869cc13b.jpg</t>
  </si>
  <si>
    <t xml:space="preserve">CAP SEAT DOWNWARD BLACK-METAL CHIPPED PAINT</t>
  </si>
  <si>
    <t xml:space="preserve">https://i.ibb.co/cS5D6Psm/243ecd294b1f.jpg</t>
  </si>
  <si>
    <t xml:space="preserve">CAP SEAT LIFE-VEST DECAL SMALL CHIPP</t>
  </si>
  <si>
    <t xml:space="preserve">https://i.ibb.co/MxQpY4gN/12a5ddc7c3f2.jpg</t>
  </si>
  <si>
    <t xml:space="preserve">CAP SEAT LIFE-VEST INTERIOR STOWAGE SCRATCHED AND DIRTY</t>
  </si>
  <si>
    <t xml:space="preserve">https://i.ibb.co/mVT1jb3q/cc4177051ecc.jpg</t>
  </si>
  <si>
    <t xml:space="preserve">2ND OBSERVER</t>
  </si>
  <si>
    <t xml:space="preserve">SECOND OBSERVER CHEST BUILT WHITE PAINT STAIN</t>
  </si>
  <si>
    <t xml:space="preserve">https://i.ibb.co/CKNQ4z9d/e8e9d04a488b.jpg</t>
  </si>
  <si>
    <t xml:space="preserve">SECOND OBSERVER BACK REST DISCONNECTED</t>
  </si>
  <si>
    <t xml:space="preserve">https://i.ibb.co/Vc777w3c/b0b48c74575e.jpg | https://i.ibb.co/N648M3vP/11c2306341dc.jpg</t>
  </si>
  <si>
    <t xml:space="preserve">1ST OBSERVER</t>
  </si>
  <si>
    <t xml:space="preserve">FIRST OBSERVER SEAT METAL CHIPPED PAINT</t>
  </si>
  <si>
    <t xml:space="preserve">https://i.ibb.co/bq5YNVk/85adca2d030c.jpg | https://i.ibb.co/YFfSdYCR/e6bcb06764ab.jpg</t>
  </si>
  <si>
    <t xml:space="preserve">SECOND OBSERVER SEAT COVER DIRTY AND HAS PAINT</t>
  </si>
  <si>
    <t xml:space="preserve">https://i.ibb.co/2zzR477/08f76236c977.jpg | https://i.ibb.co/7x7wYdSR/131c64682066.jpg | https://i.ibb.co/qMYS1513/84844b7670b5.jpg | https://i.ibb.co/qY3RKBtm/6270fc2e42b8.jpg</t>
  </si>
  <si>
    <t xml:space="preserve">SECOND OBSERVER BACK REST VELCRO AND BACK SHROUD DAMAGED</t>
  </si>
  <si>
    <t xml:space="preserve">https://i.ibb.co/whnh6pLr/6ba11748fd70.jpg | https://i.ibb.co/twRzwJN2/45656291e067.jpg | https://i.ibb.co/SD0SB54n/ec34380d7077.jpg | https://i.ibb.co/ZzK4tJ5X/5cd310c90a79.jpg</t>
  </si>
  <si>
    <t xml:space="preserve">FIRST OBSERVER SEAT DOWNWARD LIFE-VEST VELCRO AND ITS SHROURD DAMAGED</t>
  </si>
  <si>
    <t xml:space="preserve">https://i.ibb.co/0RrZqhPv/83cabfa26e93.jpg | https://i.ibb.co/WW9zMtSJ/2366efe464e8.jpg | https://i.ibb.co/MxcBVKt5/79dd79aa0263.jpg</t>
  </si>
  <si>
    <t xml:space="preserve">FIRST OBSERVER SEAT CUSHION ASSY OUT OF POSITION</t>
  </si>
  <si>
    <t xml:space="preserve">https://i.ibb.co/twwK46n6/a17d41102121.jpg</t>
  </si>
  <si>
    <t xml:space="preserve">1ST OBSERVER FRAYED BOTH CHEST SEAT BUILTS</t>
  </si>
  <si>
    <t xml:space="preserve">https://i.ibb.co/BVDVySKF/2531c0f00e11.jpg</t>
  </si>
  <si>
    <t xml:space="preserve">FIRST OBSERVER BACK REST CUSHION COVER STAINS</t>
  </si>
  <si>
    <t xml:space="preserve">https://i.ibb.co/Lzt9XjGn/c5910b5f05df.jpg | https://i.ibb.co/7JtVCDb1/781b1f4bca16.jpg</t>
  </si>
  <si>
    <t xml:space="preserve">FIRST OBSERVER HEAD REST BACK SHROUD PAINT FADED AND CHIPPED</t>
  </si>
  <si>
    <t xml:space="preserve">https://i.ibb.co/QvBqsVrB/62c63eda3c80.jpg | https://i.ibb.co/JRYGm3CY/d71b42254f96.jpg</t>
  </si>
  <si>
    <t xml:space="preserve">FO SEAT CHIPPED PAINT AND SCRATCHED</t>
  </si>
  <si>
    <t xml:space="preserve">https://i.ibb.co/MkzHWMCN/b7b646fa0e2f.jpg</t>
  </si>
  <si>
    <t xml:space="preserve">CAP</t>
  </si>
  <si>
    <t xml:space="preserve">CAP SEAT VELCRO DAMAGED</t>
  </si>
  <si>
    <t xml:space="preserve">https://i.ibb.co/ch6mpQxv/cfc4cb910db7.jpg</t>
  </si>
  <si>
    <t xml:space="preserve">FO SEAT VELCRO DAMAGED</t>
  </si>
  <si>
    <t xml:space="preserve">https://i.ibb.co/99k4Dq5L/d46c0d84098c.jpg</t>
  </si>
  <si>
    <t xml:space="preserve">FO BACK REST WOOL DAMAGED</t>
  </si>
  <si>
    <t xml:space="preserve">https://i.ibb.co/bgfH9kgk/77a72493a2a9.jpg</t>
  </si>
  <si>
    <t xml:space="preserve">FO HEAD REST WOOL DAMAGED</t>
  </si>
  <si>
    <t xml:space="preserve">https://i.ibb.co/yBxP5Z23/e2a71d7eb3ba.jpg</t>
  </si>
  <si>
    <t xml:space="preserve">FO HEAD REST COVER DIRTY</t>
  </si>
  <si>
    <t xml:space="preserve">https://i.ibb.co/ynphm1Nj/2387e98568d7.jpg</t>
  </si>
  <si>
    <t xml:space="preserve">CO-PILOT</t>
  </si>
  <si>
    <t xml:space="preserve">FO SEAT CUSHION COVER WRINKLED AND DIRTY AND OUT OF POSITION</t>
  </si>
  <si>
    <t xml:space="preserve">https://i.ibb.co/DHn8F1T6/b6651423efea.jpg | https://i.ibb.co/QFJfJ2KN/c02f7ffad194.jpg</t>
  </si>
  <si>
    <t xml:space="preserve">CO-PILOT BACK REST COVER DIRTY</t>
  </si>
  <si>
    <t xml:space="preserve">https://i.ibb.co/2727DJB1/3ae7e496ad10.jpg</t>
  </si>
  <si>
    <t xml:space="preserve">CAP SEAT WOOL DAMAGED</t>
  </si>
  <si>
    <t xml:space="preserve">https://i.ibb.co/FL85fX9x/31b1b21ce9e1.jpg</t>
  </si>
  <si>
    <t xml:space="preserve">CAP SEAT METAL CHIPPED PAINT</t>
  </si>
  <si>
    <t xml:space="preserve">https://i.ibb.co/j97YnJMw/b05e6fe61233.jpg</t>
  </si>
  <si>
    <t xml:space="preserve">CAP SEAT COVER WRINKELD AND DIRTY</t>
  </si>
  <si>
    <t xml:space="preserve">https://i.ibb.co/NgbxRL2N/27e5367d796d.jpg</t>
  </si>
  <si>
    <t xml:space="preserve">CAP BACK REST CUSHION COVER STITCHES OUT</t>
  </si>
  <si>
    <t xml:space="preserve">https://i.ibb.co/fGZNDCPk/92ca183952a3.jpg</t>
  </si>
  <si>
    <t xml:space="preserve">GREEN PAINT ON CAP BACK REST COVER</t>
  </si>
  <si>
    <t xml:space="preserve">https://i.ibb.co/7HnFvQr/e70e3dd50d94.jpg</t>
  </si>
  <si>
    <t xml:space="preserve">PILOT HEAD REST COVER DIRTY</t>
  </si>
  <si>
    <t xml:space="preserve">https://i.ibb.co/0pv4pkLZ/76b22a74ae65.jpg | https://i.ibb.co/21CbSPSV/d84741ae1ef3.jpg</t>
  </si>
  <si>
    <t xml:space="preserve">5CA</t>
  </si>
  <si>
    <t xml:space="preserve">WINDOW</t>
  </si>
  <si>
    <t xml:space="preserve">https://i.ibb.co/84bDjHc0/d316030718c1.jpg</t>
  </si>
  <si>
    <t xml:space="preserve">41 CBA</t>
  </si>
  <si>
    <t xml:space="preserve">https://i.ibb.co/Dgt4DpFw/4b7c6bdd70a4.jpg</t>
  </si>
  <si>
    <t xml:space="preserve">L1 DOOR</t>
  </si>
  <si>
    <t xml:space="preserve">https://i.ibb.co/7NZ7NNxR/2857df8c6fa3.jpg | https://i.ibb.co/8DJTWgNL/f95d061a7c01.jpg</t>
  </si>
  <si>
    <t xml:space="preserve">L2DOOR</t>
  </si>
  <si>
    <t xml:space="preserve">ASSIST HAND LOOSE</t>
  </si>
  <si>
    <t xml:space="preserve">https://i.ibb.co/5gk4tDhh/13efe7f780ea.jpg</t>
  </si>
  <si>
    <t xml:space="preserve">SLIDRAFT L2</t>
  </si>
  <si>
    <t xml:space="preserve">https://i.ibb.co/gHscmRs/fd9581d7dfe7.jpg | https://i.ibb.co/nsR0bHvJ/335b2133a087.jpg | https://i.ibb.co/JRWSZJ8s/01331eaab6af.jpg</t>
  </si>
  <si>
    <t xml:space="preserve">SLIDRAFT R2</t>
  </si>
  <si>
    <t xml:space="preserve">PAINT BUSTLE</t>
  </si>
  <si>
    <t xml:space="preserve">https://i.ibb.co/60GT35SB/a38a518fb250.jpg | https://i.ibb.co/ynxLnqK2/de727618bf77.jpg</t>
  </si>
  <si>
    <t xml:space="preserve">OSB 44 LKJ</t>
  </si>
  <si>
    <t xml:space="preserve">COVER HEAD STOWG CRACKED</t>
  </si>
  <si>
    <t xml:space="preserve">https://i.ibb.co/WWd398s8/861ceceec6a6.jpg</t>
  </si>
  <si>
    <t xml:space="preserve">OSB 44 CBA</t>
  </si>
  <si>
    <t xml:space="preserve">https://i.ibb.co/TMKCr6Qj/75c05868109a.jpg | https://i.ibb.co/nqTKt8Jt/447819849780.jpg | https://i.ibb.co/jPsdRth0/f57ee83007c1.jpg | https://i.ibb.co/XkzS6Vht/04d876ad9637.jpg</t>
  </si>
  <si>
    <t xml:space="preserve">OSB 42LKJ</t>
  </si>
  <si>
    <t xml:space="preserve">MISSING BUMBER</t>
  </si>
  <si>
    <t xml:space="preserve">https://i.ibb.co/KxFSKVX8/9bd40414853c.jpg</t>
  </si>
  <si>
    <t xml:space="preserve">OSB 42CBA</t>
  </si>
  <si>
    <t xml:space="preserve">https://i.ibb.co/vxGt43t7/1459f5f65542.jpg</t>
  </si>
  <si>
    <t xml:space="preserve">OSB 41 LKJ</t>
  </si>
  <si>
    <t xml:space="preserve">CRACKED AND MISSING BUMBER</t>
  </si>
  <si>
    <t xml:space="preserve">https://i.ibb.co/pr9cnSM0/52e81f995e35.jpg | https://i.ibb.co/jkx1RFmM/58d9c1af3583.jpg | https://i.ibb.co/Z6fbrkNj/3f7e99b85707.jpg | https://i.ibb.co/N27jvxkF/580608c09a1f.jpg</t>
  </si>
  <si>
    <t xml:space="preserve">OSB 41 CBA</t>
  </si>
  <si>
    <t xml:space="preserve">https://i.ibb.co/s47XvNd/6cd9ef796bc1.jpg</t>
  </si>
  <si>
    <t xml:space="preserve">OVER HEAD 41 CBA</t>
  </si>
  <si>
    <t xml:space="preserve">CEILING PANEL CRACKED</t>
  </si>
  <si>
    <t xml:space="preserve">https://i.ibb.co/JFxHNzQs/89805b217683.jpg | https://i.ibb.co/4nhpCV18/8cdef659b359.jpg</t>
  </si>
  <si>
    <t xml:space="preserve">OSB 40 LKJ</t>
  </si>
  <si>
    <t xml:space="preserve">PAINT , DENT</t>
  </si>
  <si>
    <t xml:space="preserve">https://i.ibb.co/DfPjwzRN/496dbf06e75b.jpg | https://i.ibb.co/0jB6qQzf/baab45f12c2c.jpg</t>
  </si>
  <si>
    <t xml:space="preserve">OSB40CBA</t>
  </si>
  <si>
    <t xml:space="preserve">MISSING BUMBER AND SECRW</t>
  </si>
  <si>
    <t xml:space="preserve">https://i.ibb.co/d4Fj3bGz/8e7891537bc9.jpg | https://i.ibb.co/qLsSVB96/970630c19e27.jpg | https://i.ibb.co/R4j5mGFJ/ee733396a77e.jpg</t>
  </si>
  <si>
    <t xml:space="preserve">ISB LKJ</t>
  </si>
  <si>
    <t xml:space="preserve">CRACKED</t>
  </si>
  <si>
    <t xml:space="preserve">https://i.ibb.co/Z6vK4Dbz/66cda2b68d8b.jpg | https://i.ibb.co/dJVL0w4T/72a2bfda9aa7.jpg</t>
  </si>
  <si>
    <t xml:space="preserve">OSB 39 CBA</t>
  </si>
  <si>
    <t xml:space="preserve">https://i.ibb.co/G4bnFGC2/5206906f3b42.jpg</t>
  </si>
  <si>
    <t xml:space="preserve">OVER HEAD 37CBA</t>
  </si>
  <si>
    <t xml:space="preserve">https://i.ibb.co/b5w020G9/b4f5572b1ed9.jpg</t>
  </si>
  <si>
    <t xml:space="preserve">OSB 36 LKJ</t>
  </si>
  <si>
    <t xml:space="preserve">https://i.ibb.co/JFx8N73m/87766c057487.jpg</t>
  </si>
  <si>
    <t xml:space="preserve">OSB 33LKJ</t>
  </si>
  <si>
    <t xml:space="preserve">https://i.ibb.co/XxrgzxPy/1a8cdc94caf7.jpg</t>
  </si>
  <si>
    <t xml:space="preserve">https://i.ibb.co/1YfKKW0z/f03ad0c350db.jpg</t>
  </si>
  <si>
    <t xml:space="preserve">OSB 32LKJ</t>
  </si>
  <si>
    <t xml:space="preserve">https://i.ibb.co/MkR0wtkV/d5324666531f.jpg</t>
  </si>
  <si>
    <t xml:space="preserve">OSB DIVIDER PAINT AND DAMAGE</t>
  </si>
  <si>
    <t xml:space="preserve">https://i.ibb.co/LXHbBNCX/ffb1ff765db9.jpg | https://i.ibb.co/tpsftxFz/1d02acd3f358.jpg</t>
  </si>
  <si>
    <t xml:space="preserve">OSB 31LKJ</t>
  </si>
  <si>
    <t xml:space="preserve">https://i.ibb.co/k2SrBPM5/11211fd0389f.jpg</t>
  </si>
  <si>
    <t xml:space="preserve">OSB 32CBA</t>
  </si>
  <si>
    <t xml:space="preserve">https://i.ibb.co/zVBk1qwZ/60c33b536f0c.jpg | https://i.ibb.co/mmcTs3N/10eb29f0da42.jpg | https://i.ibb.co/qMdt52kF/47a022d4f459.jpg</t>
  </si>
  <si>
    <t xml:space="preserve">OSB 30LKJ</t>
  </si>
  <si>
    <t xml:space="preserve">https://i.ibb.co/B5mscqGS/7e1bf118ed62.jpg | https://i.ibb.co/jZ18LjZW/876650fc0f79.jpg</t>
  </si>
  <si>
    <t xml:space="preserve">OVER HEAD 5LJ</t>
  </si>
  <si>
    <t xml:space="preserve">https://i.ibb.co/1f9BYpkC/2e6bef2110c3.jpg | https://i.ibb.co/s9z2nynG/9ec1af033762.jpg</t>
  </si>
  <si>
    <t xml:space="preserve">OSB 5LJ</t>
  </si>
  <si>
    <t xml:space="preserve">https://i.ibb.co/jvyz6t53/fb9fb5fa0ec6.jpg</t>
  </si>
  <si>
    <t xml:space="preserve">OSB</t>
  </si>
  <si>
    <t xml:space="preserve">MISSING INNER BUMBER</t>
  </si>
  <si>
    <t xml:space="preserve">https://i.ibb.co/Mxd7vgYg/9d7c8aab30d2.jpg | https://i.ibb.co/YFKgFHYf/f6c70b3f6822.jpg | https://i.ibb.co/WNBbN3vS/7da76f22d2c1.jpg</t>
  </si>
  <si>
    <t xml:space="preserve">OSB 4LJ</t>
  </si>
  <si>
    <t xml:space="preserve">https://i.ibb.co/6cpzYdWQ/f762fb52f07b.jpg | https://i.ibb.co/9m9CrCqY/f3a8d937fd34.jpg | https://i.ibb.co/qMP99g1S/80fb132c4eab.jpg</t>
  </si>
  <si>
    <t xml:space="preserve">4LJ</t>
  </si>
  <si>
    <t xml:space="preserve">OSB MISSING BUMBER</t>
  </si>
  <si>
    <t xml:space="preserve">https://i.ibb.co/DHQ7syLg/73bf486c6e76.jpg</t>
  </si>
  <si>
    <t xml:space="preserve">OSB 3CA</t>
  </si>
  <si>
    <t xml:space="preserve">OSB LINIER BROKEN</t>
  </si>
  <si>
    <t xml:space="preserve">https://i.ibb.co/zVHJnzrS/fad54d3429b0.jpg | https://i.ibb.co/bTwrPnN/3037c7e7281d.jpg</t>
  </si>
  <si>
    <t xml:space="preserve">OVER HEAD 2CA</t>
  </si>
  <si>
    <t xml:space="preserve">https://i.ibb.co/gMsyXPqk/34fb9778d954.jpg</t>
  </si>
  <si>
    <t xml:space="preserve">OVER HEAD 1LJ</t>
  </si>
  <si>
    <t xml:space="preserve">PINT, CRACKED</t>
  </si>
  <si>
    <t xml:space="preserve">https://i.ibb.co/s9kX5qNn/17ebc1d5f32c.jpg | https://i.ibb.co/ZRy3r3T4/b7413580da86.jpg | https://i.ibb.co/YFfCwF3B/2aa619eef3ec.jpg</t>
  </si>
  <si>
    <t xml:space="preserve">OVER HEAD 1CA</t>
  </si>
  <si>
    <t xml:space="preserve">https://i.ibb.co/MysFvdJK/7cc994a38d21.jpg</t>
  </si>
  <si>
    <t xml:space="preserve">MISSING RUBBER BUMBER</t>
  </si>
  <si>
    <t xml:space="preserve">https://i.ibb.co/Tx6nqyqM/d58074246362.jpg</t>
  </si>
  <si>
    <t xml:space="preserve">FWD GALLEY</t>
  </si>
  <si>
    <t xml:space="preserve">EMERGENCY FRAME BROKEN</t>
  </si>
  <si>
    <t xml:space="preserve">https://i.ibb.co/Z6n5bDy4/4f4da9bc0de9.jpg</t>
  </si>
  <si>
    <t xml:space="preserve">GALLY G1</t>
  </si>
  <si>
    <t xml:space="preserve">REQUIRES PAINT</t>
  </si>
  <si>
    <t xml:space="preserve">https://i.ibb.co/99rtDHqr/38ed67902991.jpg</t>
  </si>
  <si>
    <t xml:space="preserve">SHAREEF</t>
  </si>
  <si>
    <t xml:space="preserve">R/H CLOSET TEDLAR DIRTY</t>
  </si>
  <si>
    <t xml:space="preserve">https://i.ibb.co/6cbTrRvm/54a21f4c79cc.jpg</t>
  </si>
  <si>
    <t xml:space="preserve">L/H CLOSET SCREW MISSING WASHER</t>
  </si>
  <si>
    <t xml:space="preserve">https://i.ibb.co/CsQ3bMwb/b65c494a5b4a.jpg</t>
  </si>
  <si>
    <t xml:space="preserve">L/H CLOSET SMALL KNOB LOOSE</t>
  </si>
  <si>
    <t xml:space="preserve">https://i.ibb.co/7tGh4dNy/4929a6514712.jpg</t>
  </si>
  <si>
    <t xml:space="preserve">L/H TURN CATCHES PNT SCRATCHED</t>
  </si>
  <si>
    <t xml:space="preserve">CLOSET L/H MISSING SEALANT</t>
  </si>
  <si>
    <t xml:space="preserve">https://i.ibb.co/MyBC3Y11/aab966f5177d.jpg</t>
  </si>
  <si>
    <t xml:space="preserve">CLOSET L/H DIRTY</t>
  </si>
  <si>
    <t xml:space="preserve">https://i.ibb.co/whMYr764/9d52359ec6c4.jpg</t>
  </si>
  <si>
    <t xml:space="preserve">CLOSET R/H DIRTY</t>
  </si>
  <si>
    <t xml:space="preserve">https://i.ibb.co/N6shNgZC/1e25ef869dc1.jpg</t>
  </si>
  <si>
    <t xml:space="preserve">REQ PNT. TEDLAR ALSO</t>
  </si>
  <si>
    <t xml:space="preserve">https://i.ibb.co/DH3JhYzK/8f57d09b687c.jpg</t>
  </si>
  <si>
    <t xml:space="preserve">2 SCREWS MISSING CLOSET R/H</t>
  </si>
  <si>
    <t xml:space="preserve">https://i.ibb.co/XfCX7R4G/6d09137f212b.jpg</t>
  </si>
  <si>
    <t xml:space="preserve">STRIKER IS DAMAGED UPPER CLOSET L/H ( S301</t>
  </si>
  <si>
    <t xml:space="preserve">https://i.ibb.co/HpVx8KTH/f4db823cd1b0.jpg</t>
  </si>
  <si>
    <t xml:space="preserve">MOUNT COVER MISSING CLOSET L/H</t>
  </si>
  <si>
    <t xml:space="preserve">https://i.ibb.co/h1h3HCjZ/36bcd77b32c6.jpg</t>
  </si>
  <si>
    <t xml:space="preserve">AFT CLOSET L/H</t>
  </si>
  <si>
    <t xml:space="preserve">https://i.ibb.co/23QKr9Nb/a1508e34cfb2.jpg</t>
  </si>
  <si>
    <t xml:space="preserve">FWD G2</t>
  </si>
  <si>
    <t xml:space="preserve">STRIKER MISSING FOR COMP.  205, AND 202</t>
  </si>
  <si>
    <t xml:space="preserve">ALSO, COMP 209 STRIKE IS DAMAGED.</t>
  </si>
  <si>
    <t xml:space="preserve">https://i.ibb.co/Mk1Hp0w5/b982e9d22a76.jpg | https://i.ibb.co/fd9GghBj/7a2685e0f0d4.jpg</t>
  </si>
  <si>
    <t xml:space="preserve">TEDLAR ABOVE WINDOW 3LJ, 5AC CHIPPED</t>
  </si>
  <si>
    <t xml:space="preserve">SPLINEFOR  1AC, 1LJ, 5LJ BROKEN</t>
  </si>
  <si>
    <t xml:space="preserve">https://i.ibb.co/MyJ6PzQP/729b451d0af7.jpg | https://i.ibb.co/yDBLBFv/6201a108f7f4.jpg | https://i.ibb.co/yc95Kjfd/6e1bda0f3b78.jpg</t>
  </si>
  <si>
    <t xml:space="preserve">DOG HOUSE LH B/C REQ PAINT</t>
  </si>
  <si>
    <t xml:space="preserve">https://i.ibb.co/21WbMzdG/2467fd140f9c.jpg</t>
  </si>
  <si>
    <t xml:space="preserve">OVH STOWAGE 4LJ BROKEN</t>
  </si>
  <si>
    <t xml:space="preserve">https://i.ibb.co/VWN1MJ2T/2c7c4aaa5233.jpg</t>
  </si>
  <si>
    <t xml:space="preserve">OVH STOWAGE BROKEN 1LJ</t>
  </si>
  <si>
    <t xml:space="preserve">https://i.ibb.co/8LR8MfdZ/eedf5881277d.jpg</t>
  </si>
  <si>
    <t xml:space="preserve">OVH STOWAGE DOOR FOUND DIRTY FWD OF 1LJ</t>
  </si>
  <si>
    <t xml:space="preserve">https://i.ibb.co/2YkBJbkk/d692b05da1ae.jpg</t>
  </si>
  <si>
    <t xml:space="preserve">FWD STOWAGE SEALANT MISSINF</t>
  </si>
  <si>
    <t xml:space="preserve">https://i.ibb.co/4R3DG9V4/d02d02819b94.jpg</t>
  </si>
  <si>
    <t xml:space="preserve">ALL OVERHEAD STOWAGE COMPARTMENTS DIRTY</t>
  </si>
  <si>
    <t xml:space="preserve">https://i.ibb.co/fzxDQgq6/cebeb219bdfb.jpg</t>
  </si>
  <si>
    <t xml:space="preserve">SEVERAL WINDOWS MISSMATCH COLORS</t>
  </si>
  <si>
    <t xml:space="preserve">https://i.ibb.co/YF7xJhxS/39481d412fba.jpg</t>
  </si>
  <si>
    <t xml:space="preserve">FWD STOWAGE TEDLAR CHIPPED</t>
  </si>
  <si>
    <t xml:space="preserve">https://i.ibb.co/sJ5k78Ps/e4e20e5ece6a.jpg | https://i.ibb.co/PsvR868L/4834a4a1a72f.jpg</t>
  </si>
  <si>
    <t xml:space="preserve">FWD TRIM REQ S/M</t>
  </si>
  <si>
    <t xml:space="preserve">https://i.ibb.co/zVVsHN6Y/57687a50cb99.jpg | https://i.ibb.co/0y76kqMn/fadc4c2fd699.jpg</t>
  </si>
  <si>
    <t xml:space="preserve">3CA OVH STOWAGE TRIM BROKEN</t>
  </si>
  <si>
    <t xml:space="preserve">https://i.ibb.co/xS0SyrLw/ae70d27393fb.jpg</t>
  </si>
  <si>
    <t xml:space="preserve">SEVERAL OVH STOWAGE NEED ADJUSTMENT</t>
  </si>
  <si>
    <t xml:space="preserve">OVH STOWAGE FRONT OF 1LJ REQ PAINT</t>
  </si>
  <si>
    <t xml:space="preserve">https://i.ibb.co/jkG28k8W/21d6184cf99f.jpg</t>
  </si>
  <si>
    <t xml:space="preserve">2CA, 6CA OVH STOWAGE BUMBER MISSING</t>
  </si>
  <si>
    <t xml:space="preserve">https://i.ibb.co/n8D75xvm/095e05b24d33.jpg | https://i.ibb.co/fYdpHzhJ/bb386e02592f.jpg</t>
  </si>
  <si>
    <t xml:space="preserve">CEILING PANEL FOUND BROKEN ABOVE 4LJ</t>
  </si>
  <si>
    <t xml:space="preserve">https://i.ibb.co/8nNvFF5P/639a7fff4c28.jpg</t>
  </si>
  <si>
    <t xml:space="preserve">DIVIDER CURTAIN MISSING SLIDESAND HOOKS</t>
  </si>
  <si>
    <t xml:space="preserve">https://i.ibb.co/CpqWvd47/af4e7cff70f5.jpg | https://i.ibb.co/M5pPgBN6/28d7df91ad00.jpg</t>
  </si>
  <si>
    <t xml:space="preserve">PARTITION TEDLAR FOLDED</t>
  </si>
  <si>
    <t xml:space="preserve">https://i.ibb.co/wFVKWxcS/cbf00f8f6445.jpg</t>
  </si>
  <si>
    <t xml:space="preserve">https://i.ibb.co/60sfPVRr/60186075a704.jpg | https://i.ibb.co/93cc1GF9/4dcdf9d5b99b.jpg</t>
  </si>
  <si>
    <t xml:space="preserve">GALLY G2</t>
  </si>
  <si>
    <t xml:space="preserve">PAINT 201 202 205 206 209 210</t>
  </si>
  <si>
    <t xml:space="preserve">https://i.ibb.co/B5wGqg8b/05c759851e6a.jpg | https://i.ibb.co/0SBcPxM/d0fe0c86cc73.jpg | https://i.ibb.co/Zzh6tNqg/c8003db95f6b.jpg | https://i.ibb.co/dJHTS5zW/02434c2a1a46.jpg | https://i.ibb.co/1Gc8Vn6w/8445e1786a22.jpg</t>
  </si>
  <si>
    <t xml:space="preserve">REQUIRES SHEET METAL DOOR STRIKER 201 202 205 206 209 210</t>
  </si>
  <si>
    <t xml:space="preserve">https://i.ibb.co/wNcdVsC4/eaf4fc008274.jpg | https://i.ibb.co/jBHpz63/4f483308f085.jpg | https://i.ibb.co/bgTBjq7D/3f67223bdf6f.jpg | https://i.ibb.co/KxJmHJFk/2598c7d8cf17.jpg | https://i.ibb.co/9mVkHZnF/466e5f1dd050.jpg</t>
  </si>
  <si>
    <t xml:space="preserve">SLAM LATCH LOOSE 201 203 205 209 210</t>
  </si>
  <si>
    <t xml:space="preserve">DISENGAGEMENT DEVICE 101 DEFORMED</t>
  </si>
  <si>
    <t xml:space="preserve">https://i.ibb.co/4Lm1wtv/867c68c34f18.jpg</t>
  </si>
  <si>
    <t xml:space="preserve">SEALENT DEFORMED AND DIRTY</t>
  </si>
  <si>
    <t xml:space="preserve">https://i.ibb.co/zT3vH0p4/e6d9f4d4ac11.jpg</t>
  </si>
  <si>
    <t xml:space="preserve">GALLY G1 AND G2</t>
  </si>
  <si>
    <t xml:space="preserve">SEALENT DEFORMED AND DIRTY 108 AND 109 AND 110 AND 111 AND 212</t>
  </si>
  <si>
    <t xml:space="preserve">https://i.ibb.co/nNJdmRCv/96dd1fa2af26.jpg | https://i.ibb.co/21ytbYXr/5d8a753ea700.jpg | https://i.ibb.co/rRKxF5JW/88e926d0f82d.jpg | https://i.ibb.co/GQgYY3g5/1e0993637a03.jpg | https://i.ibb.co/DDrsPRXQ/f31a7f3f7057.jpg</t>
  </si>
  <si>
    <t xml:space="preserve">REQUIRES SHEET METAL 209 AND 210</t>
  </si>
  <si>
    <t xml:space="preserve">https://i.ibb.co/fz71QBd6/ef70e2b30651.jpg | https://i.ibb.co/LXknV59C/6c1f8758b8e1.jpg</t>
  </si>
  <si>
    <t xml:space="preserve">REQUIRES SHEET METAL 201  AND 202 AND 206 AND 205 MISSING RIVETS</t>
  </si>
  <si>
    <t xml:space="preserve">https://i.ibb.co/tMx7gggm/abf525f29670.jpg | https://i.ibb.co/tfjqc3R/7e658c95da4e.jpg | https://i.ibb.co/3GLY3t0/2bd93c46a850.jpg | https://i.ibb.co/zVS1yp8j/b4402a249439.jpg | https://i.ibb.co/PZ7k18RS/dc899058dd70.jpg</t>
  </si>
  <si>
    <t xml:space="preserve">NEEDS SHEET METAL 101 AND 102</t>
  </si>
  <si>
    <t xml:space="preserve">https://i.ibb.co/v4xSmXy3/6399dadb5905.jpg | https://i.ibb.co/rG61wPKd/653916e35dcf.jpg | https://i.ibb.co/WvPQMy07/759f953cc713.jpg | https://i.ibb.co/sJt0Phch/be223e78ac22.jpg</t>
  </si>
  <si>
    <t xml:space="preserve">PAINT NEXT TO OVEN 2 AND BETWEN OVEN 1</t>
  </si>
  <si>
    <t xml:space="preserve">https://i.ibb.co/YF2bZzqj/4edade705ac0.jpg | https://i.ibb.co/HDGNGBBm/258684e06df6.jpg</t>
  </si>
  <si>
    <t xml:space="preserve">G2</t>
  </si>
  <si>
    <t xml:space="preserve">209 TEDLAR</t>
  </si>
  <si>
    <t xml:space="preserve">https://i.ibb.co/r2KgdVC9/a159e8a627e7.jpg</t>
  </si>
  <si>
    <t xml:space="preserve">WORN AND DAMAGED CART DIVIDER ON BOTH SIDES</t>
  </si>
  <si>
    <t xml:space="preserve">FOOT STEP SCRATCHED AND COLOUR FADED MISSING KNOB</t>
  </si>
  <si>
    <t xml:space="preserve">https://i.ibb.co/sxBDvN6/f0394f506858.jpg</t>
  </si>
  <si>
    <t xml:space="preserve">FOOT STEP SCRATCHED AND COLOUR FADED</t>
  </si>
  <si>
    <t xml:space="preserve">https://i.ibb.co/hJH4xjGC/61795342a129.jpg</t>
  </si>
  <si>
    <t xml:space="preserve">207 WASTE CONTAINER LATCH LOOSE</t>
  </si>
  <si>
    <t xml:space="preserve">https://i.ibb.co/Ng1Cj1Ry/a8df7cd5de9f.jpg</t>
  </si>
  <si>
    <t xml:space="preserve">MID LATCH LEVER LOOSE ON 109 AND 110</t>
  </si>
  <si>
    <t xml:space="preserve">https://i.ibb.co/DDrzbrxn/e9383d640838.jpg | https://i.ibb.co/yF6wHgts/30dffb1e290b.jpg | https://i.ibb.co/xqMc0PLj/66f858a056c9.jpg</t>
  </si>
  <si>
    <t xml:space="preserve">208 DAMAGED AND DECALS FADED</t>
  </si>
  <si>
    <t xml:space="preserve">https://i.ibb.co/9kWd0Ygd/414280c92f37.jpg</t>
  </si>
  <si>
    <t xml:space="preserve">204 RED LATCH BOTH SCRATCHED</t>
  </si>
  <si>
    <t xml:space="preserve">https://i.ibb.co/0ptc6SZs/17f4fd4318c8.jpg</t>
  </si>
  <si>
    <t xml:space="preserve">NEXT TOO AND ABOVE 204 BENT AND DAMGED</t>
  </si>
  <si>
    <t xml:space="preserve">https://i.ibb.co/0RbHPHY1/7582b3829c13.jpg | https://i.ibb.co/hJr7t9fs/ba3a38af79cf.jpg</t>
  </si>
  <si>
    <t xml:space="preserve">TURN CATCH DAMAGED AND SCRATCHED</t>
  </si>
  <si>
    <t xml:space="preserve">https://i.ibb.co/VYCmtf9Z/6abe906e4af3.jpg | https://i.ibb.co/2Y3KKpV1/59e5075d0501.jpg | https://i.ibb.co/1J6k3yPk/d5840ebc21c2.jpg | https://i.ibb.co/6Rw8RTfY/7762b24e04d3.jpg</t>
  </si>
  <si>
    <t xml:space="preserve">https://i.ibb.co/KjzGJ0Xy/9b1b750da460.jpg | https://i.ibb.co/MyM5vVmB/a852470e8dbb.jpg | https://i.ibb.co/4ZgC3gmB/759abe156364.jpg</t>
  </si>
  <si>
    <t xml:space="preserve">L1 CEILING PANEL DIRTY AND SCRATCHED
MIDDLE CEILING PANEL DAMAGED
R1 CEILING PANEL LIGHT DIRTY</t>
  </si>
  <si>
    <t xml:space="preserve">https://i.ibb.co/dw8GwPc9/df5693e0c7c3.jpg | https://i.ibb.co/TB4X0Fx0/6d3a18877e78.jpg | https://i.ibb.co/HyQZZNj/bcea8bc38464.jpg | https://i.ibb.co/wZfWmNrz/1d5c4e475c3f.jpg</t>
  </si>
  <si>
    <t xml:space="preserve">CURTAIN BENT SCRATCHED
MISSING CURTAIN STOPPER
DECALS FADED</t>
  </si>
  <si>
    <t xml:space="preserve">https://i.ibb.co/gbxGx10j/436326e8ca26.jpg | https://i.ibb.co/Kcb49JWf/6224e9593a1f.jpg | https://i.ibb.co/VWQFDgTW/ca59ccfde78b.jpg</t>
  </si>
  <si>
    <t xml:space="preserve">AIR CHILLER DAMAGED BETWEEN 110 AND 111</t>
  </si>
  <si>
    <t xml:space="preserve">https://i.ibb.co/gLQ6nDSd/b769ff1bfd36.jpg | https://i.ibb.co/nNH1cJQ9/f7c769cbee80.jpg | https://i.ibb.co/s9KYb1dr/00868dadc0c2.jpg | https://i.ibb.co/ks0kZQLG/c57413dd5305.jpg</t>
  </si>
  <si>
    <t xml:space="preserve">AIR CHILLER DAMAGED BETWEEN 109 AND 108</t>
  </si>
  <si>
    <t xml:space="preserve">https://i.ibb.co/Lzm3TnJR/92658f6e75d4.jpg | https://i.ibb.co/mCNXf5rp/a52a43397956.jpg | https://i.ibb.co/gFB6M7h5/82a835276612.jpg | https://i.ibb.co/XxVBz9Ld/48e7b76e0ef3.jpg</t>
  </si>
  <si>
    <t xml:space="preserve">SEALENT MISSING</t>
  </si>
  <si>
    <t xml:space="preserve">https://i.ibb.co/cXZtVCQp/2c0239d571ea.jpg</t>
  </si>
  <si>
    <t xml:space="preserve">MISSING SEALENT</t>
  </si>
  <si>
    <t xml:space="preserve">https://i.ibb.co/1f9hxr1D/6ca7a14531f6.jpg | https://i.ibb.co/zV6ZZw5x/13d9824beea4.jpg</t>
  </si>
  <si>
    <t xml:space="preserve">AIR CHILLER GRILL BENT</t>
  </si>
  <si>
    <t xml:space="preserve">https://i.ibb.co/1tZJf3W4/53e5a708a2d4.jpg</t>
  </si>
  <si>
    <t xml:space="preserve">NOT WORKING OVEN 1 OVEN 2 COFFEE 1 COFFEE 2
OVEN GRILL 1 LOOSE
OVEN GRILL 2 SCRATCHED</t>
  </si>
  <si>
    <t xml:space="preserve">https://i.ibb.co/4n4qYJGz/efd0e9731af2.jpg | https://i.ibb.co/Q7Qjv1j8/ba52c090056a.jpg | https://i.ibb.co/0RRgbJkW/212f35865743.jpg | https://i.ibb.co/Txm9wRRW/95294becc7ab.jpg</t>
  </si>
  <si>
    <t xml:space="preserve">CART CATCHER SCRATCHED AND DAMAGED</t>
  </si>
  <si>
    <t xml:space="preserve">https://i.ibb.co/mVLQTZT0/92cb65565712.jpg | https://i.ibb.co/C3mjqcWV/d651d7657618.jpg | https://i.ibb.co/LXtfJdQf/0ed730f0596f.jpg | https://i.ibb.co/F4vkvcS4/b946e8aeca88.jpg</t>
  </si>
  <si>
    <t xml:space="preserve">TABLE SCREW STUCK
TABLE HOLDER</t>
  </si>
  <si>
    <t xml:space="preserve">https://i.ibb.co/nMfNwcdf/32b9036c5d18.jpg | https://i.ibb.co/4wbG41pz/21026aa555dd.jpg | https://i.ibb.co/tTGj99Bm/ba2454883359.jpg</t>
  </si>
  <si>
    <t xml:space="preserve">CART CATCHER SCRATCHED AND DAMAGED
KNOB FADED COLOUR AND DAMGED</t>
  </si>
  <si>
    <t xml:space="preserve">https://i.ibb.co/JRtKQfZd/9f91d5bfd497.jpg | https://i.ibb.co/rqrBKg3/98ef4f1da09d.jpg | https://i.ibb.co/zhBy211v/b9d94ee34eae.jpg | https://i.ibb.co/4ZxTkFdC/31215b3b3112.jpg</t>
  </si>
  <si>
    <t xml:space="preserve">LAV A</t>
  </si>
  <si>
    <t xml:space="preserve">DECAL DISCOLORATION</t>
  </si>
  <si>
    <t xml:space="preserve">https://i.ibb.co/mrs7zTmp/c52f31d1f3b8.jpg</t>
  </si>
  <si>
    <t xml:space="preserve">LAV E</t>
  </si>
  <si>
    <t xml:space="preserve">DAMAGED TEDLAR</t>
  </si>
  <si>
    <t xml:space="preserve">https://i.ibb.co/679pj7JW/032df7288717.jpg</t>
  </si>
  <si>
    <t xml:space="preserve">DAMAGED NO SMOKE DECAL</t>
  </si>
  <si>
    <t xml:space="preserve">https://i.ibb.co/Ngv0bRVP/7b3a9bfc0229.jpg</t>
  </si>
  <si>
    <t xml:space="preserve">https://i.ibb.co/VpQmpzcB/b17035e70c99.jpg</t>
  </si>
  <si>
    <t xml:space="preserve">https://i.ibb.co/cXtMZ3RX/bf13822f1c96.jpg</t>
  </si>
  <si>
    <t xml:space="preserve">CHIPPED WRITINGS (VACANT/)</t>
  </si>
  <si>
    <t xml:space="preserve">https://i.ibb.co/sdXx9HRK/d46f55f62cdf.jpg</t>
  </si>
  <si>
    <t xml:space="preserve">DAMAGED SMOKE OR ASHTRAY DECAL</t>
  </si>
  <si>
    <t xml:space="preserve">https://i.ibb.co/QFtCs22P/85fa1d71ba6c.jpg</t>
  </si>
  <si>
    <t xml:space="preserve">DOWNWARD DIRT.LAV. DOOR</t>
  </si>
  <si>
    <t xml:space="preserve">https://i.ibb.co/MyW3tbfZ/39e6f301685c.jpg</t>
  </si>
  <si>
    <t xml:space="preserve">FOUAD MOJALLY</t>
  </si>
  <si>
    <t xml:space="preserve">D</t>
  </si>
  <si>
    <t xml:space="preserve">LAVATORY FILTER DIRTY</t>
  </si>
  <si>
    <t xml:space="preserve">https://i.ibb.co/DPvbPskJ/a5eec72114b7.jpg</t>
  </si>
  <si>
    <t xml:space="preserve">STOWAGE DOOR DENT</t>
  </si>
  <si>
    <t xml:space="preserve">https://i.ibb.co/QsTz3dx/b985995513df.jpg</t>
  </si>
  <si>
    <t xml:space="preserve">WASHBASINE PAINT DAMAG</t>
  </si>
  <si>
    <t xml:space="preserve">https://i.ibb.co/LzbTn4hV/ed28575c2735.jpg</t>
  </si>
  <si>
    <t xml:space="preserve">STUCK AND SCRATCHED ON THE PAD DRAWER</t>
  </si>
  <si>
    <t xml:space="preserve">https://i.ibb.co/LDf8wRbn/a7f8059b557a.jpg</t>
  </si>
  <si>
    <t xml:space="preserve">LAVATORY MIRROR FADED</t>
  </si>
  <si>
    <t xml:space="preserve">https://i.ibb.co/7BNyFqw/36d1b037fee1.jpg</t>
  </si>
  <si>
    <t xml:space="preserve">TOILET PAPER CASE CHIPPED PAINT</t>
  </si>
  <si>
    <t xml:space="preserve">https://i.ibb.co/MyJ6LXjg/4dfe707300d1.jpg</t>
  </si>
  <si>
    <t xml:space="preserve">LAVATORY DOOR HINGE MISSING SCREW</t>
  </si>
  <si>
    <t xml:space="preserve">https://i.ibb.co/JW2R228C/eba7ce9f76a5.jpg</t>
  </si>
  <si>
    <t xml:space="preserve">DISCOLORED AND DIRTY MIRROR DOWNWARD</t>
  </si>
  <si>
    <t xml:space="preserve">https://i.ibb.co/8LwVd5wz/f68bc27804d8.jpg</t>
  </si>
  <si>
    <t xml:space="preserve">LAVATORY THRESHOLD MISSING SCREW</t>
  </si>
  <si>
    <t xml:space="preserve">https://i.ibb.co/C3MLn3P8/cff405cd4423.jpg</t>
  </si>
  <si>
    <t xml:space="preserve">MISSING SCREW ON THE TOILET SHROUD</t>
  </si>
  <si>
    <t xml:space="preserve">https://i.ibb.co/tPD4wSSp/9f83d948f23d.jpg</t>
  </si>
  <si>
    <t xml:space="preserve">LAVATORY STOWAGE METAL PLATE DAMAGED</t>
  </si>
  <si>
    <t xml:space="preserve">https://i.ibb.co/M5knjvNc/9510cb84f122.jpg</t>
  </si>
  <si>
    <t xml:space="preserve">THE TRIANGLE THING. IN B/C R/H MISSING</t>
  </si>
  <si>
    <t xml:space="preserve">https://i.ibb.co/60Gz6k29/3328e69c9444.jpg | https://i.ibb.co/0RGT38Jd/8765e338d62f.jpg</t>
  </si>
  <si>
    <t xml:space="preserve">LAVATORY STOWAGE CABINIT RUBBER SEAL DAMAGED</t>
  </si>
  <si>
    <t xml:space="preserve">https://i.ibb.co/dsws3TMg/38f1714bbc08.jpg</t>
  </si>
  <si>
    <t xml:space="preserve">DIRTY FILTER</t>
  </si>
  <si>
    <t xml:space="preserve">https://i.ibb.co/ksmJKrn8/20c46daad85f.jpg</t>
  </si>
  <si>
    <t xml:space="preserve">MISSING SCREW ON DOOR HINGE</t>
  </si>
  <si>
    <t xml:space="preserve">https://i.ibb.co/YHq4VzG/3293f90e6d4d.jpg</t>
  </si>
  <si>
    <t xml:space="preserve">AFT GALLEY</t>
  </si>
  <si>
    <t xml:space="preserve">OVEN NEEDS PINT</t>
  </si>
  <si>
    <t xml:space="preserve">https://i.ibb.co/kVWQcjfb/d5f59f11d7bc.jpg</t>
  </si>
  <si>
    <t xml:space="preserve">LAVATORY STOWAGE CABINET MISSING SCREW</t>
  </si>
  <si>
    <t xml:space="preserve">https://i.ibb.co/QvDBjJcn/175cf909d418.jpg</t>
  </si>
  <si>
    <t xml:space="preserve">DOOR R2</t>
  </si>
  <si>
    <t xml:space="preserve">https://i.ibb.co/m59zvPN7/5e2f6f0140ed.jpg</t>
  </si>
  <si>
    <t xml:space="preserve">DISCONNECTED AND DAMAGED CABINET.COMP NEXT TO THE MIRROR AND MISSING RUBBER SEAL</t>
  </si>
  <si>
    <t xml:space="preserve">https://i.ibb.co/fVwK5hpV/e62262d1273d.jpg</t>
  </si>
  <si>
    <t xml:space="preserve">A/C</t>
  </si>
  <si>
    <t xml:space="preserve">https://i.ibb.co/wZmDGvfR/24aebb6aa2a1.jpg</t>
  </si>
  <si>
    <t xml:space="preserve">https://i.ibb.co/tpN2pRKR/b3f0ac5ce5ce.jpg</t>
  </si>
  <si>
    <t xml:space="preserve">CLOSET S301</t>
  </si>
  <si>
    <t xml:space="preserve">https://i.ibb.co/twP6KBCh/e364faa0a05f.jpg</t>
  </si>
  <si>
    <t xml:space="preserve">BABY BASSINET DOWNWARD HOLE</t>
  </si>
  <si>
    <t xml:space="preserve">https://i.ibb.co/TDnbYnNX/55f63537cf11.jpg</t>
  </si>
  <si>
    <t xml:space="preserve">MISSING SCREW 3EA</t>
  </si>
  <si>
    <t xml:space="preserve">https://i.ibb.co/c7Nny7d/db493548a3d4.jpg</t>
  </si>
  <si>
    <t xml:space="preserve">RED LATCH INOP</t>
  </si>
  <si>
    <t xml:space="preserve">https://i.ibb.co/d4L4K5zx/e8f6ff132221.jpg</t>
  </si>
  <si>
    <t xml:space="preserve">BABY BASSINET PROTECTIVE RUBBER MISSING</t>
  </si>
  <si>
    <t xml:space="preserve">https://i.ibb.co/fGqg14yW/067d1d7809c1.jpg</t>
  </si>
  <si>
    <t xml:space="preserve">LAVATORY DOOR HINGE MISSING SCREW + WASHER</t>
  </si>
  <si>
    <t xml:space="preserve">https://i.ibb.co/HDDtdwV9/68a3f9245b5e.jpg</t>
  </si>
  <si>
    <t xml:space="preserve">COVER MISSING</t>
  </si>
  <si>
    <t xml:space="preserve">https://i.ibb.co/SLQWPjy/a14a98c66c53.jpg</t>
  </si>
  <si>
    <t xml:space="preserve">B/C 4LJ</t>
  </si>
  <si>
    <t xml:space="preserve">https://i.ibb.co/0V6GVQm8/066e0d014357.jpg</t>
  </si>
  <si>
    <t xml:space="preserve">MISSING SEALANT</t>
  </si>
  <si>
    <t xml:space="preserve">https://i.ibb.co/Kc9Fd35s/356548df3adc.jpg</t>
  </si>
  <si>
    <t xml:space="preserve">FADULS</t>
  </si>
  <si>
    <t xml:space="preserve">https://i.ibb.co/DDqBgTvg/7b6ecc2d3bbf.jpg</t>
  </si>
  <si>
    <t xml:space="preserve">https://i.ibb.co/mCTwHnj3/54624dc96a6d.jpg</t>
  </si>
  <si>
    <t xml:space="preserve">SHROUD ASSEMBLY NOT SECURE</t>
  </si>
  <si>
    <t xml:space="preserve">https://i.ibb.co/dsVD2ZZq/88efe0eccd42.jpg</t>
  </si>
  <si>
    <t xml:space="preserve">HINGE BROKEN</t>
  </si>
  <si>
    <t xml:space="preserve">https://i.ibb.co/k7G8DTb/c9d665999c4c.jpg</t>
  </si>
  <si>
    <t xml:space="preserve">DOOR NOT SECURED</t>
  </si>
  <si>
    <t xml:space="preserve">https://i.ibb.co/5xSg2Szm/6e6f30d0df12.jpg</t>
  </si>
  <si>
    <t xml:space="preserve">BABY BASSINT DEEP SCRATCH</t>
  </si>
  <si>
    <t xml:space="preserve">https://i.ibb.co/XfWwM0Mv/e2ba680f0a0e.jpg</t>
  </si>
  <si>
    <t xml:space="preserve">https://i.ibb.co/SD7njffh/e529b0472fff.jpg</t>
  </si>
  <si>
    <t xml:space="preserve">PNT</t>
  </si>
  <si>
    <t xml:space="preserve">HAVE TO PERSONALLY CHECK. LOOSE AT THE LOWER HINGE.</t>
  </si>
  <si>
    <t xml:space="preserve">https://i.ibb.co/Fk5cH7L1/4b758f3867dc.jpg</t>
  </si>
  <si>
    <t xml:space="preserve">https://i.ibb.co/N6F8DCXC/d799e52cc3e6.jpg</t>
  </si>
  <si>
    <t xml:space="preserve">https://i.ibb.co/PvKn3Ttp/de8fc32528dd.jpg</t>
  </si>
  <si>
    <t xml:space="preserve">HINGE DAMAGE</t>
  </si>
  <si>
    <t xml:space="preserve">https://i.ibb.co/0psLW56P/107710d6bcb3.jpg</t>
  </si>
  <si>
    <t xml:space="preserve">OPEN UP / ACCESS LOG  ✈ HZ-ASD ✈  C2+6Y CHECK</t>
  </si>
  <si>
    <t xml:space="preserve">  Removed items log</t>
  </si>
  <si>
    <t xml:space="preserve">Item Removed  (panel / seat / component)</t>
  </si>
  <si>
    <t xml:space="preserve">Relevant
WO No.</t>
  </si>
  <si>
    <t xml:space="preserve">Removed By</t>
  </si>
  <si>
    <t xml:space="preserve">Date
Removed</t>
  </si>
  <si>
    <t xml:space="preserve">Re-Installed By</t>
  </si>
  <si>
    <t xml:space="preserve">Date
Re-Installed</t>
  </si>
  <si>
    <t xml:space="preserve">Title</t>
  </si>
  <si>
    <t xml:space="preserve">Est MH</t>
  </si>
  <si>
    <t xml:space="preserve">Booked MH</t>
  </si>
  <si>
    <t xml:space="preserve">Dur (h)</t>
  </si>
  <si>
    <t xml:space="preserve">Progress</t>
  </si>
  <si>
    <t xml:space="preserve">Phase</t>
  </si>
  <si>
    <t xml:space="preserve">Day</t>
  </si>
  <si>
    <t xml:space="preserve">Plan Cum</t>
  </si>
  <si>
    <t xml:space="preserve">1</t>
  </si>
  <si>
    <t xml:space="preserve">32797253</t>
  </si>
  <si>
    <t xml:space="preserve">6Y_N/6Y_N YEARS STRUCTURE</t>
  </si>
  <si>
    <t xml:space="preserve">N</t>
  </si>
  <si>
    <t xml:space="preserve">Not Started</t>
  </si>
  <si>
    <t xml:space="preserve">Idle</t>
  </si>
  <si>
    <t xml:space="preserve">JOB-SETUP, INSPECTION, JOB-CLOSEUP, JOB-CLOSEUP, JOB-CLOSEUP</t>
  </si>
  <si>
    <t xml:space="preserve">15</t>
  </si>
  <si>
    <t xml:space="preserve">200131-01-1</t>
  </si>
  <si>
    <t xml:space="preserve">200131-01-1 (2) / FWD CARGO COMPARTMENT CLEANING</t>
  </si>
  <si>
    <t xml:space="preserve">JOB-SETUP, CLEAN-UP, CLOSE-UP, CLOSE-UP</t>
  </si>
  <si>
    <t xml:space="preserve">16</t>
  </si>
  <si>
    <t xml:space="preserve">200133-01-1</t>
  </si>
  <si>
    <t xml:space="preserve">200133-01-1 (2) / FWD CGO UNDER FLOOR BAY (EWIS) CLEAN</t>
  </si>
  <si>
    <t xml:space="preserve">JOB-SETUP, CLEAN-UP, INSPECTION, JOB-CLOSEUP</t>
  </si>
  <si>
    <t xml:space="preserve">18</t>
  </si>
  <si>
    <t xml:space="preserve">200151-03-1</t>
  </si>
  <si>
    <t xml:space="preserve">200151-03-1 (02) / ACT (EWIS) WIRING CONNECTION INSP</t>
  </si>
  <si>
    <t xml:space="preserve">JOB-SETUP, JOB-SETUP, TC/P, TC/P, TC/P, TC/P, TC/P, TC/P, TC/P, TC/P, TC/P, TC/P, TC/P, TC/P, TC/P, TC/P, TC/P, INSPECTION, JOB-CLOSEUP, JOB-CLOSEUP, JOB-CLOSEUP</t>
  </si>
  <si>
    <t xml:space="preserve">JOB-SETUP, INSPECTION, JOB-CLOSEUP</t>
  </si>
  <si>
    <t xml:space="preserve">TC/P</t>
  </si>
  <si>
    <t xml:space="preserve">JOB-SETUP, INSPECTION, INSPECTION, INSPECTION, INSPECTION, JOB-CLOSEUP, JOB-CLOSEUP</t>
  </si>
  <si>
    <t xml:space="preserve">42</t>
  </si>
  <si>
    <t xml:space="preserve">282800-08-1</t>
  </si>
  <si>
    <t xml:space="preserve">282800-08-1 (02) / ADDITIONAL CENTER TANK (ACT) OPC</t>
  </si>
  <si>
    <t xml:space="preserve">28-28</t>
  </si>
  <si>
    <t xml:space="preserve">JOB-SETUP, OPS/LK, JOB-CLOSEUP</t>
  </si>
  <si>
    <t xml:space="preserve">43</t>
  </si>
  <si>
    <t xml:space="preserve">282800-18-1</t>
  </si>
  <si>
    <t xml:space="preserve">282800-18-1 (08) / VENT/TRANSFER PIPE SHROUDS FNC</t>
  </si>
  <si>
    <t xml:space="preserve">JOB-SETUP, TC/P, TC/P, INSPECTION, JOB-CLOSEUP, JOB-CLOSEUP</t>
  </si>
  <si>
    <t xml:space="preserve">JOB-SETUP, TC/P, TC/P, TC/P, TC/P, INSPECTION, INSPECTION, INSPECTION, INSPECTION, INSPECTION, INSPECTION, INSPECTION, --, JOB-CLOSEUP, JOB-CLOSEUP</t>
  </si>
  <si>
    <t xml:space="preserve">JOB-SETUP, JOB-SETUP, OPS/LK, OPS/LK, JOB-CLOSEUP, JOB-CLOSEUP</t>
  </si>
  <si>
    <t xml:space="preserve">JOB-SETUP, CLEAN-UP, INSPECTION, INSPECTION, INSPECTION, JOB-CLOSEUP</t>
  </si>
  <si>
    <t xml:space="preserve">JOB-SETUP, CLEAN-UP, INSPECTION, INSPECTION, JOB-CLOSEUP</t>
  </si>
  <si>
    <t xml:space="preserve">54</t>
  </si>
  <si>
    <t xml:space="preserve">531171-01-1</t>
  </si>
  <si>
    <t xml:space="preserve">531171-01-1 (2) / NLG SECONDARY DOOR HINGE SUPPORTS</t>
  </si>
  <si>
    <t xml:space="preserve">INSPECTION, INSPECTION</t>
  </si>
  <si>
    <t xml:space="preserve">JOB-SETUP, CLEAN-UP, INSPECTION, INSPECTION, INSPECTION, JOB-CLOSEUP, JOB-CLOSEUP</t>
  </si>
  <si>
    <t xml:space="preserve">JOB-SETUP, CLEAN-UP, INSPECTION, INSPECTION, INSPECTION, JOB-CLOSEUP, INSPECTION, JOB-CLOSEUP</t>
  </si>
  <si>
    <t xml:space="preserve">JOB-SETUP, JOB-SETUP, INSPECTION, TC/P, JOB-CLOSEUP, JOB-CLOSEUP, JOB-CLOSEUP</t>
  </si>
  <si>
    <t xml:space="preserve">59</t>
  </si>
  <si>
    <t xml:space="preserve">533136-01-1</t>
  </si>
  <si>
    <t xml:space="preserve">533136-01-1 (3) / MLG BAY INCLUDING DOOR BAY INSP</t>
  </si>
  <si>
    <t xml:space="preserve">53-31</t>
  </si>
  <si>
    <t xml:space="preserve">JOB-SETUP, INSPECTION, INSPECTION, JOB-CLOSEUP</t>
  </si>
  <si>
    <t xml:space="preserve">68</t>
  </si>
  <si>
    <t xml:space="preserve">535101-01-1</t>
  </si>
  <si>
    <t xml:space="preserve">535101-01-1 (2) / REAR PRESSURE BULKHEAD AFT FACE INSP</t>
  </si>
  <si>
    <t xml:space="preserve">JOB-SETUP, CLEAN-UP, INSPECTION, INSPECTION, INSPECTION, INSPECTION, JOB-CLOSEUP</t>
  </si>
  <si>
    <t xml:space="preserve">71</t>
  </si>
  <si>
    <t xml:space="preserve">553004-01-1</t>
  </si>
  <si>
    <t xml:space="preserve">553004-01-1 (2) / VERT STABILIZER ATTACH FITTINGS INSP</t>
  </si>
  <si>
    <t xml:space="preserve">55-36</t>
  </si>
  <si>
    <t xml:space="preserve">JOB-SETUP, JOB-SETUP, INSPECTION, INSPECTION, INSPECTION, JOB-CLOSEUP</t>
  </si>
  <si>
    <t xml:space="preserve">80</t>
  </si>
  <si>
    <t xml:space="preserve">571122-01-1</t>
  </si>
  <si>
    <t xml:space="preserve">571122-01-1 (2) / CENTER WING BOX REAR SPAR INSPECTION</t>
  </si>
  <si>
    <t xml:space="preserve">57-10</t>
  </si>
  <si>
    <t xml:space="preserve">JOB-SETUP, JOB-SETUP, INSPECTION, JOB-CLOSEUP, JOB-CLOSEUP</t>
  </si>
  <si>
    <t xml:space="preserve">JOB-CLOSEUP, JOB-CLOSEUP, INSPECTION, JOB-SETUP</t>
  </si>
  <si>
    <t xml:space="preserve">84</t>
  </si>
  <si>
    <t xml:space="preserve">572065-01-1-001</t>
  </si>
  <si>
    <t xml:space="preserve">572065-01-1-001 (03) / L/H OUTER WING TOP SKIN LOWER SURFACE INSP</t>
  </si>
  <si>
    <t xml:space="preserve">57-20</t>
  </si>
  <si>
    <t xml:space="preserve">JOB-SETUP, CLEAN-UP, INSPECTION, JOB-CLOSEUP, JOB-CLOSEUP</t>
  </si>
  <si>
    <t xml:space="preserve">85</t>
  </si>
  <si>
    <t xml:space="preserve">572065-01-1-002</t>
  </si>
  <si>
    <t xml:space="preserve">572065-01-1-002 (03) / R/H OUTER WING TOP SKIN LOWER SURFACE INSP</t>
  </si>
  <si>
    <t xml:space="preserve">99</t>
  </si>
  <si>
    <t xml:space="preserve">575151-03-1</t>
  </si>
  <si>
    <t xml:space="preserve">575151-03-1 (0) / TRAILING EDGE</t>
  </si>
  <si>
    <t xml:space="preserve">57-51</t>
  </si>
  <si>
    <t xml:space="preserve">JOB-SETUP, JOB-SETUP, INSPECTION, INSPECTION, JOB-CLOSEUP</t>
  </si>
  <si>
    <t xml:space="preserve">105</t>
  </si>
  <si>
    <t xml:space="preserve">ZL-125-02-1</t>
  </si>
  <si>
    <t xml:space="preserve">ZL-125-02-1 (4) / LATERAL AVIONIC COMPARTMENT INSP</t>
  </si>
  <si>
    <t xml:space="preserve">108</t>
  </si>
  <si>
    <t xml:space="preserve">ZL-133-01-1</t>
  </si>
  <si>
    <t xml:space="preserve">ZL-133-01-1 (2) / FWD CARGO COMPAR UNDERFLOOR BAY INSP</t>
  </si>
  <si>
    <t xml:space="preserve">111</t>
  </si>
  <si>
    <t xml:space="preserve">ZL-151-02-3</t>
  </si>
  <si>
    <t xml:space="preserve">ZL-151-02-3 (2) / AFT CARGO COMPARTMENT ZONAL INSP</t>
  </si>
  <si>
    <t xml:space="preserve">28-11</t>
  </si>
  <si>
    <t xml:space="preserve">JOB-SETUP, INSPECTION, INSPECTION, CLOSE-UP, CLOSE-UP</t>
  </si>
  <si>
    <t xml:space="preserve">112</t>
  </si>
  <si>
    <t xml:space="preserve">ZL-153-01-1</t>
  </si>
  <si>
    <t xml:space="preserve">ZL-153-01-1 (03) / AFT CARGO COMPTMENT UNDERFLOOR BAY</t>
  </si>
  <si>
    <t xml:space="preserve">JOB-SETUP, INSPECTION, INSPECTION, INSPECTION, INSPECTION, INSPECTION, JOB-CLOSEUP, JOB-CLOSEUP</t>
  </si>
  <si>
    <t xml:space="preserve">114</t>
  </si>
  <si>
    <t xml:space="preserve">ZL-163-01-1</t>
  </si>
  <si>
    <t xml:space="preserve">ZL-163-01-1 (01) / BULK CARGO COMPART UNDERFLOOR INSP</t>
  </si>
  <si>
    <t xml:space="preserve">117</t>
  </si>
  <si>
    <t xml:space="preserve">ZL-193-01-1</t>
  </si>
  <si>
    <t xml:space="preserve">ZL-193-01-1 (03) / UPPER WING FAIRING SLIDE STOWAGE AREA</t>
  </si>
  <si>
    <t xml:space="preserve">158</t>
  </si>
  <si>
    <t xml:space="preserve">31871161</t>
  </si>
  <si>
    <t xml:space="preserve">A_N (A_N09)/A_N-CHECK</t>
  </si>
  <si>
    <t xml:space="preserve">PRE INSP</t>
  </si>
  <si>
    <t xml:space="preserve">163</t>
  </si>
  <si>
    <t xml:space="preserve">212600-11-1</t>
  </si>
  <si>
    <t xml:space="preserve">212600-11-1 (4) / DEMISTER FLTER&amp;FILTER CARTRIDGE R&amp;R</t>
  </si>
  <si>
    <t xml:space="preserve">21-26</t>
  </si>
  <si>
    <t xml:space="preserve">JOB-SETUP, TC/P, TC/P, JOB-CLOSEUP</t>
  </si>
  <si>
    <t xml:space="preserve">165</t>
  </si>
  <si>
    <t xml:space="preserve">242000-25-1</t>
  </si>
  <si>
    <t xml:space="preserve">242000-25-1 (02) / AC GENERATION</t>
  </si>
  <si>
    <t xml:space="preserve">PRE HGR</t>
  </si>
  <si>
    <t xml:space="preserve">JOB-SETUP, JOB-SETUP, JOB-SETUP, CLEAN-UP, CLEAN-UP, JOB-CLOSEUP, JOB-CLOSEUP, JOB-CLOSEUP</t>
  </si>
  <si>
    <t xml:space="preserve">190</t>
  </si>
  <si>
    <t xml:space="preserve">262200-02-1</t>
  </si>
  <si>
    <t xml:space="preserve">262200-02-1 (4) / APU AUTO FIRE EXTINGUISHING OPS</t>
  </si>
  <si>
    <t xml:space="preserve">26-22</t>
  </si>
  <si>
    <t xml:space="preserve">OPS/LK</t>
  </si>
  <si>
    <t xml:space="preserve">199</t>
  </si>
  <si>
    <t xml:space="preserve">281100-05-1</t>
  </si>
  <si>
    <t xml:space="preserve">281100-05-1 (1) / GENERAL VISUAL INSPECTION OF FUEL TANKS FOR MINOR EXTERNAL LEAKS</t>
  </si>
  <si>
    <t xml:space="preserve">200</t>
  </si>
  <si>
    <t xml:space="preserve">281100-06-1</t>
  </si>
  <si>
    <t xml:space="preserve">281100-06-1 (3) / OPERATIONAL CHECK OF WATER DRAIN VALVES</t>
  </si>
  <si>
    <t xml:space="preserve">JOB-SETUP, OPS/LK</t>
  </si>
  <si>
    <t xml:space="preserve">201</t>
  </si>
  <si>
    <t xml:space="preserve">282800-01-1</t>
  </si>
  <si>
    <t xml:space="preserve">282800-01-1 (04) / ACT LEAK MONITOR OPERATIONAL CHECK</t>
  </si>
  <si>
    <t xml:space="preserve">OPS/LK, OPS/LK</t>
  </si>
  <si>
    <t xml:space="preserve">202</t>
  </si>
  <si>
    <t xml:space="preserve">282800-03-1</t>
  </si>
  <si>
    <t xml:space="preserve">282800-03-1 (03) / ACT WATER DRAIN VALVES OPS CHK</t>
  </si>
  <si>
    <t xml:space="preserve">12-32</t>
  </si>
  <si>
    <t xml:space="preserve">TC/P, TC/P</t>
  </si>
  <si>
    <t xml:space="preserve">CLEAN-UP, CLEAN-UP, CLEAN-UP</t>
  </si>
  <si>
    <t xml:space="preserve">222</t>
  </si>
  <si>
    <t xml:space="preserve">52-32-00-01-0-SVA</t>
  </si>
  <si>
    <t xml:space="preserve">52-32-00-01-0-SVA (01) / AFT CARGO COMPARTMENT DOOR PROXIMITY SWITCH AND TARGET CLEANING</t>
  </si>
  <si>
    <t xml:space="preserve">52-71-00</t>
  </si>
  <si>
    <t xml:space="preserve">CLEAN-UP, TC/P, TC/P, --, JOB-CLOSEUP</t>
  </si>
  <si>
    <t xml:space="preserve">225</t>
  </si>
  <si>
    <t xml:space="preserve">533154-06-1-A</t>
  </si>
  <si>
    <t xml:space="preserve">533154-06-1-A (03) / MLG HINGE FITTING KEEL BEAM INSP</t>
  </si>
  <si>
    <t xml:space="preserve">JOB-SETUP, JOB-SETUP, --, --, --, --, INSPECTION, --, INSPECTION, --, --, --</t>
  </si>
  <si>
    <t xml:space="preserve">226</t>
  </si>
  <si>
    <t xml:space="preserve">31675402</t>
  </si>
  <si>
    <t xml:space="preserve">EOD-320-53-00042-R00/FUSELAGE - CENTER FUSELAGE - INSPECT MLG DOOR HINGE FITTING ON KEEL BE</t>
  </si>
  <si>
    <t xml:space="preserve">ACHK</t>
  </si>
  <si>
    <t xml:space="preserve">228</t>
  </si>
  <si>
    <t xml:space="preserve">72-00-00-01-0-SVA-001</t>
  </si>
  <si>
    <t xml:space="preserve">72-00-00-01-0-SVA-001 (01) / NO. 1 ENGINE COMPRESSOR WASH</t>
  </si>
  <si>
    <t xml:space="preserve">72-00</t>
  </si>
  <si>
    <t xml:space="preserve">JOB-SETUP, CLEAN-UP, TC/P, TC/P, TC/P, TC/P, TC/P, TC/P, TC/P, TC/P, JOB-CLOSEUP</t>
  </si>
  <si>
    <t xml:space="preserve">229</t>
  </si>
  <si>
    <t xml:space="preserve">72-00-00-01-0-SVA-002</t>
  </si>
  <si>
    <t xml:space="preserve">72-00-00-01-0-SVA-002 (01) / NO. 2 ENGINE COMPRESSOR WASH</t>
  </si>
  <si>
    <t xml:space="preserve">231</t>
  </si>
  <si>
    <t xml:space="preserve">801110-C3-1-002</t>
  </si>
  <si>
    <t xml:space="preserve">801110-C3-1-002 (01) / NO.2 ENGINE STARTER REPLENISHMENT</t>
  </si>
  <si>
    <t xml:space="preserve">12-13</t>
  </si>
  <si>
    <t xml:space="preserve">JOB-SETUP, TC/P, JOB-CLOSEUP</t>
  </si>
  <si>
    <t xml:space="preserve">233</t>
  </si>
  <si>
    <t xml:space="preserve">31574335</t>
  </si>
  <si>
    <t xml:space="preserve">C_N (C_N02)/C-CHECK</t>
  </si>
  <si>
    <t xml:space="preserve">ACFT RELEASE, ACFT RELEASE</t>
  </si>
  <si>
    <t xml:space="preserve">WT&amp;BAL</t>
  </si>
  <si>
    <t xml:space="preserve">246</t>
  </si>
  <si>
    <t xml:space="preserve">213100-02-1</t>
  </si>
  <si>
    <t xml:space="preserve">213100-02-1 (4) / CABIN PRESSURE SYS MANUAL MODE OPC</t>
  </si>
  <si>
    <t xml:space="preserve">21-31</t>
  </si>
  <si>
    <t xml:space="preserve">248</t>
  </si>
  <si>
    <t xml:space="preserve">213100-04-1</t>
  </si>
  <si>
    <t xml:space="preserve">213100-04-1 (3) / PRESSURE CONTROL AND MONITORING OPC</t>
  </si>
  <si>
    <t xml:space="preserve">INSPECTION, --</t>
  </si>
  <si>
    <t xml:space="preserve">PRE INSP, --</t>
  </si>
  <si>
    <t xml:space="preserve">TC/P, TC/P, TC/P, TC/P</t>
  </si>
  <si>
    <t xml:space="preserve">--, PRE INSP, --</t>
  </si>
  <si>
    <t xml:space="preserve">296</t>
  </si>
  <si>
    <t xml:space="preserve">255000-10-1</t>
  </si>
  <si>
    <t xml:space="preserve">255000-10-1 (3) / LOWER DECK CARGO LOADING</t>
  </si>
  <si>
    <t xml:space="preserve">25-50</t>
  </si>
  <si>
    <t xml:space="preserve">TC/P, TC/P, TC/P, TC/P, TC/P, TC/P, TC/P</t>
  </si>
  <si>
    <t xml:space="preserve">JOB-SETUP, INSPECTION, --, JOB-CLOSEUP</t>
  </si>
  <si>
    <t xml:space="preserve">305</t>
  </si>
  <si>
    <t xml:space="preserve">262100-05-1</t>
  </si>
  <si>
    <t xml:space="preserve">262100-05-1 (6) / ENG FIRE EXTINGUISHING FIRE CTL OPC</t>
  </si>
  <si>
    <t xml:space="preserve">26-21</t>
  </si>
  <si>
    <t xml:space="preserve">316</t>
  </si>
  <si>
    <t xml:space="preserve">271400-03-1-001</t>
  </si>
  <si>
    <t xml:space="preserve">271400-03-1-001 (03) / L/H AILERON SERVO CONTROL FLUID CHK</t>
  </si>
  <si>
    <t xml:space="preserve">27-14</t>
  </si>
  <si>
    <t xml:space="preserve">PRE HGR, PRE HGR, PRE HGR</t>
  </si>
  <si>
    <t xml:space="preserve">317</t>
  </si>
  <si>
    <t xml:space="preserve">271400-03-1-002</t>
  </si>
  <si>
    <t xml:space="preserve">271400-03-1-002 (03) / R/H AILERON SERVO CONTROL FLUID CHK</t>
  </si>
  <si>
    <t xml:space="preserve">27-21</t>
  </si>
  <si>
    <t xml:space="preserve">TC/P, TC/P, INSPECTION, INSPECTION, INSPECTION, INSPECTION, INSPECTION, INSPECTION, INSPECTION</t>
  </si>
  <si>
    <t xml:space="preserve">319</t>
  </si>
  <si>
    <t xml:space="preserve">272100-04-1</t>
  </si>
  <si>
    <t xml:space="preserve">272100-04-1 (02) / RUDDER MECHANICAL CONTROL CHK</t>
  </si>
  <si>
    <t xml:space="preserve">27-26</t>
  </si>
  <si>
    <t xml:space="preserve">JOB-SETUP, JOB-SETUP, INSPECTION, JOB-CLOSEUP</t>
  </si>
  <si>
    <t xml:space="preserve">330</t>
  </si>
  <si>
    <t xml:space="preserve">274400-03-1</t>
  </si>
  <si>
    <t xml:space="preserve">274400-03-1 (3) / THS ACTUATOR NO-BACK DEVICE OPC</t>
  </si>
  <si>
    <t xml:space="preserve">27-44</t>
  </si>
  <si>
    <t xml:space="preserve">348</t>
  </si>
  <si>
    <t xml:space="preserve">275449-06-1-001</t>
  </si>
  <si>
    <t xml:space="preserve">275449-06-1-001 (03) / L/H FLAP ACTUATOR ASSEMBLIES SVS</t>
  </si>
  <si>
    <t xml:space="preserve">349</t>
  </si>
  <si>
    <t xml:space="preserve">275449-06-1-002</t>
  </si>
  <si>
    <t xml:space="preserve">275449-06-1-002 (03) / R/H FLAP ACTUATOR ASSEMBLIES</t>
  </si>
  <si>
    <t xml:space="preserve">350</t>
  </si>
  <si>
    <t xml:space="preserve">275451-01-1</t>
  </si>
  <si>
    <t xml:space="preserve">275451-01-1 (2) / FLAP PCU GEARBOX OIL REPLENISHMENT</t>
  </si>
  <si>
    <t xml:space="preserve">353</t>
  </si>
  <si>
    <t xml:space="preserve">278100-03-1</t>
  </si>
  <si>
    <t xml:space="preserve">278100-03-1 (3) / SLAT SYSTEM WING TIP BRAKE OPC</t>
  </si>
  <si>
    <t xml:space="preserve">27-81</t>
  </si>
  <si>
    <t xml:space="preserve">356</t>
  </si>
  <si>
    <t xml:space="preserve">278400-01-1-001</t>
  </si>
  <si>
    <t xml:space="preserve">278400-01-1-001 (02) / L/H WING SLAT TRACK INSPECTION</t>
  </si>
  <si>
    <t xml:space="preserve">27-84</t>
  </si>
  <si>
    <t xml:space="preserve">357</t>
  </si>
  <si>
    <t xml:space="preserve">278400-01-1-002</t>
  </si>
  <si>
    <t xml:space="preserve">278400-01-1-002 (02) / R/H WING SLAT TRACK INSPECTION</t>
  </si>
  <si>
    <t xml:space="preserve">358</t>
  </si>
  <si>
    <t xml:space="preserve">278451-01-1</t>
  </si>
  <si>
    <t xml:space="preserve">278451-01-1 (2) / SLAT PCU GEARBOX OIL REPLENISHMENT</t>
  </si>
  <si>
    <t xml:space="preserve">363</t>
  </si>
  <si>
    <t xml:space="preserve">281600-01-1-001</t>
  </si>
  <si>
    <t xml:space="preserve">281600-01-1-001 (02) / NO.1 ENGINE FUEL RECIRC VLV OPS CHK</t>
  </si>
  <si>
    <t xml:space="preserve">28-16</t>
  </si>
  <si>
    <t xml:space="preserve">JOB-SETUP, OPS/LK, OPS/LK, OPS/LK, JOB-CLOSEUP</t>
  </si>
  <si>
    <t xml:space="preserve">364</t>
  </si>
  <si>
    <t xml:space="preserve">281600-01-1-002</t>
  </si>
  <si>
    <t xml:space="preserve">281600-01-1-002 (02) / NO.2 ENGINE FUEL RECIRC VLV OPS CHK</t>
  </si>
  <si>
    <t xml:space="preserve">365</t>
  </si>
  <si>
    <t xml:space="preserve">281800-01-1</t>
  </si>
  <si>
    <t xml:space="preserve">281800-01-1 (2) / CTR TANK VAPOR SEAL DRAIN SYS FNC CK</t>
  </si>
  <si>
    <t xml:space="preserve">28-18</t>
  </si>
  <si>
    <t xml:space="preserve">366</t>
  </si>
  <si>
    <t xml:space="preserve">282100-02-1</t>
  </si>
  <si>
    <t xml:space="preserve">282100-02-1 (03) / CTR TANK PUMP CANISTER VALVES OPC</t>
  </si>
  <si>
    <t xml:space="preserve">28-21</t>
  </si>
  <si>
    <t xml:space="preserve">JOB-SETUP, OPS/LK, OPS/LK, JOB-CLOSEUP</t>
  </si>
  <si>
    <t xml:space="preserve">372</t>
  </si>
  <si>
    <t xml:space="preserve">282800-04-1</t>
  </si>
  <si>
    <t xml:space="preserve">282800-04-1 (02) / INDIVIDUAL MOTR TRX VLV OPC</t>
  </si>
  <si>
    <t xml:space="preserve">375</t>
  </si>
  <si>
    <t xml:space="preserve">282800-07-1</t>
  </si>
  <si>
    <t xml:space="preserve">282800-07-1 (02) / ACT TRANSFER SYSTEM FNC</t>
  </si>
  <si>
    <t xml:space="preserve">JOB-SETUP, TC/P, INSPECTION, INSPECTION, INSPECTION, JOB-CLOSEUP, JOB-CLOSEUP</t>
  </si>
  <si>
    <t xml:space="preserve">379</t>
  </si>
  <si>
    <t xml:space="preserve">291000-10-1</t>
  </si>
  <si>
    <t xml:space="preserve">291000-10-1 (03) / HYDRAULIC FIRE SHUTOFF VALVES FUNCTIONAL CHECK</t>
  </si>
  <si>
    <t xml:space="preserve">29-10</t>
  </si>
  <si>
    <t xml:space="preserve">381</t>
  </si>
  <si>
    <t xml:space="preserve">291000-20-1</t>
  </si>
  <si>
    <t xml:space="preserve">291000-20-1 (2) / ENG DRIVEN PUMP (EDP) DE-PRESS OPS</t>
  </si>
  <si>
    <t xml:space="preserve">402</t>
  </si>
  <si>
    <t xml:space="preserve">323100-04-1</t>
  </si>
  <si>
    <t xml:space="preserve">323100-04-1 (4) / (LG) SAFETY VALVE CLOSING OPS CHK</t>
  </si>
  <si>
    <t xml:space="preserve">32-31</t>
  </si>
  <si>
    <t xml:space="preserve">OPS/LK, OPS/LK, JOB-CLOSEUP, JOB-SETUP, TC/P</t>
  </si>
  <si>
    <t xml:space="preserve">JOB-SETUP, TC/P, TC/P, OPS/LK, JOB-CLOSEUP, JOB-CLOSEUP</t>
  </si>
  <si>
    <t xml:space="preserve">JOB-SETUP, --, --, JOB-CLOSEUP, --</t>
  </si>
  <si>
    <t xml:space="preserve">433</t>
  </si>
  <si>
    <t xml:space="preserve">361100-SVA-01</t>
  </si>
  <si>
    <t xml:space="preserve">361100-SVA-01 (01) / ENGINE BLEED AIR SUPPLY SYSTEM - HEALTH CHECK TEST OF TEMPERATURE CONT</t>
  </si>
  <si>
    <t xml:space="preserve">JOB-SETUP, OPS/LK, OPS/LK, --, --, --, --, JOB-CLOSEUP, JOB-CLOSEUP, JOB-CLOSEUP</t>
  </si>
  <si>
    <t xml:space="preserve">438</t>
  </si>
  <si>
    <t xml:space="preserve">361251-01-3</t>
  </si>
  <si>
    <t xml:space="preserve">361251-01-3 (03) / APU BLEED CHECK VALVE INSP</t>
  </si>
  <si>
    <t xml:space="preserve">36-12</t>
  </si>
  <si>
    <t xml:space="preserve">JOB-SETUP, JOB-SETUP, INSPECTION, INSPECTION, INSPECTION, OPS/LK, JOB-CLOSEUP</t>
  </si>
  <si>
    <t xml:space="preserve">CLEAN-UP</t>
  </si>
  <si>
    <t xml:space="preserve">440</t>
  </si>
  <si>
    <t xml:space="preserve">384142-01-1</t>
  </si>
  <si>
    <t xml:space="preserve">384142-01-1 (3) / AIR FILTER CARTRIDGE REPLACEMENT</t>
  </si>
  <si>
    <t xml:space="preserve">38-41</t>
  </si>
  <si>
    <t xml:space="preserve">JOB-SETUP, CLEAN-UP, TC/P, OPS/LK, OPS/LK, JOB-CLOSEUP</t>
  </si>
  <si>
    <t xml:space="preserve">JOB-SETUP, JOB-SETUP, INSPECTION, OPS/LK, OPS/LK, JOB-CLOSEUP, JOB-CLOSEUP, JOB-CLOSEUP, JOB-CLOSEUP</t>
  </si>
  <si>
    <t xml:space="preserve">JOB-SETUP, INSPECTION, INSPECTION, JOB-CLOSEUP, JOB-CLOSEUP, JOB-CLOSEUP, JOB-CLOSEUP, INSPECTION, JOB-CLOSEUP</t>
  </si>
  <si>
    <t xml:space="preserve">INSPECTION, INSPECTION, INSPECTION, JOB-CLOSEUP, JOB-CLOSEUP, JOB-CLOSEUP, JOB-CLOSEUP, INSPECTION, JOB-CLOSEUP</t>
  </si>
  <si>
    <t xml:space="preserve">OPS/LK, OPS/LK, OPS/LK, JOB-CLOSEUP, JOB-CLOSEUP, JOB-CLOSEUP</t>
  </si>
  <si>
    <t xml:space="preserve">OPS/LK, OPS/LK, OPS/LK, OPS/LK, OPS/LK, OPS/LK, OPS/LK, OPS/LK, OPS/LK, OPS/LK</t>
  </si>
  <si>
    <t xml:space="preserve">JOB-SETUP, OPS/LK, OPS/LK, JOB-CLOSEUP, JOB-CLOSEUP</t>
  </si>
  <si>
    <t xml:space="preserve">470</t>
  </si>
  <si>
    <t xml:space="preserve">523100-01-1</t>
  </si>
  <si>
    <t xml:space="preserve">523100-01-1 (3) / FORWARD CARGO COMPARTMENT DOOR FNC</t>
  </si>
  <si>
    <t xml:space="preserve">52-31</t>
  </si>
  <si>
    <t xml:space="preserve">JOB-SETUP, OPS/LK, JOB-CLOSEUP, JOB-CLOSEUP</t>
  </si>
  <si>
    <t xml:space="preserve">471</t>
  </si>
  <si>
    <t xml:space="preserve">523200-01-1</t>
  </si>
  <si>
    <t xml:space="preserve">523200-01-1 (3) / AFT CARGO COMPARTMENT DOOR FNC</t>
  </si>
  <si>
    <t xml:space="preserve">52-32</t>
  </si>
  <si>
    <t xml:space="preserve">501</t>
  </si>
  <si>
    <t xml:space="preserve">545000-05-1-001</t>
  </si>
  <si>
    <t xml:space="preserve">545000-05-1-001 (01) / L/H PYLON FIRE SEALS INSP</t>
  </si>
  <si>
    <t xml:space="preserve">502</t>
  </si>
  <si>
    <t xml:space="preserve">545000-05-1-002</t>
  </si>
  <si>
    <t xml:space="preserve">545000-05-1-002 (01) / R/H PYLON FIRE SEALS INSP</t>
  </si>
  <si>
    <t xml:space="preserve">508</t>
  </si>
  <si>
    <t xml:space="preserve">553600-01-1</t>
  </si>
  <si>
    <t xml:space="preserve">553600-01-1 (06) / FUNCTIONAL CHECK OF RUDDER HINGE LINE BEARINGS AND ATTACHMENTS FOR EXCESSIVE PLAY AND CONDITION</t>
  </si>
  <si>
    <t xml:space="preserve">55-47</t>
  </si>
  <si>
    <t xml:space="preserve">510</t>
  </si>
  <si>
    <t xml:space="preserve">572178-01-1-001</t>
  </si>
  <si>
    <t xml:space="preserve">572178-01-1-001 (03) / L/H OUTER WING, TOP SKIN INSP</t>
  </si>
  <si>
    <t xml:space="preserve">511</t>
  </si>
  <si>
    <t xml:space="preserve">572178-01-1-002</t>
  </si>
  <si>
    <t xml:space="preserve">572178-01-1-002 (03) / R/H OUTER WING, TOP SKIN INSP</t>
  </si>
  <si>
    <t xml:space="preserve">512</t>
  </si>
  <si>
    <t xml:space="preserve">572179-01-1-001</t>
  </si>
  <si>
    <t xml:space="preserve">572179-01-1-001 (03) / L/H OUTER WING TOP SKIN RIB 11 TO 27 INSP</t>
  </si>
  <si>
    <t xml:space="preserve">513</t>
  </si>
  <si>
    <t xml:space="preserve">572179-01-1-002</t>
  </si>
  <si>
    <t xml:space="preserve">572179-01-1-002 (03) / R/H OUTER WING TOP SKIN RIB 11 TO 27 INSP</t>
  </si>
  <si>
    <t xml:space="preserve">525</t>
  </si>
  <si>
    <t xml:space="preserve">711300-C1-1-001</t>
  </si>
  <si>
    <t xml:space="preserve">711300-C1-1-001 (02) / NO. 1 ENGINE FAN COWL LATCH TENSION</t>
  </si>
  <si>
    <t xml:space="preserve">71-13</t>
  </si>
  <si>
    <t xml:space="preserve">526</t>
  </si>
  <si>
    <t xml:space="preserve">711300-C1-1-002</t>
  </si>
  <si>
    <t xml:space="preserve">711300-C1-1-002 (02) / NO. 2 ENGINE FAN COWL LATCH TENSION</t>
  </si>
  <si>
    <t xml:space="preserve">537</t>
  </si>
  <si>
    <t xml:space="preserve">712213-01-1-001</t>
  </si>
  <si>
    <t xml:space="preserve">712213-01-1-001 (02) / NO. 1 ENGINE AFT MOUNT PINS INSP</t>
  </si>
  <si>
    <t xml:space="preserve">71-22</t>
  </si>
  <si>
    <t xml:space="preserve">JOB-SETUP, INSPECTION, INSPECTION, INSPECTION, INSPECTION, INSPECTION, INSPECTION, JOB-CLOSEUP</t>
  </si>
  <si>
    <t xml:space="preserve">538</t>
  </si>
  <si>
    <t xml:space="preserve">712213-01-1-002</t>
  </si>
  <si>
    <t xml:space="preserve">712213-01-1-002 (02) / NO. 2 ENGINE AFT MOUNT PINS INSP</t>
  </si>
  <si>
    <t xml:space="preserve">541</t>
  </si>
  <si>
    <t xml:space="preserve">72-00-00-27-0-SVA-001</t>
  </si>
  <si>
    <t xml:space="preserve">72-00-00-27-0-SVA-001 (01) / DEPERSERVATION OF ENG# 1 POST C-CHK</t>
  </si>
  <si>
    <t xml:space="preserve">542</t>
  </si>
  <si>
    <t xml:space="preserve">72-00-00-27-0-SVA-002</t>
  </si>
  <si>
    <t xml:space="preserve">72-00-00-27-0-SVA-002 (01) / DEPERSERVATION OF ENG# 2 POST C-CHK</t>
  </si>
  <si>
    <t xml:space="preserve">551</t>
  </si>
  <si>
    <t xml:space="preserve">783200-01-1-001</t>
  </si>
  <si>
    <t xml:space="preserve">783200-01-1-001 (04) / NO. 1 ENG “C” DUCT HINGE FITTINGS INSP</t>
  </si>
  <si>
    <t xml:space="preserve">78-32</t>
  </si>
  <si>
    <t xml:space="preserve">553</t>
  </si>
  <si>
    <t xml:space="preserve">783209-01-1</t>
  </si>
  <si>
    <t xml:space="preserve">783209-01-1 (02) / DETAILED INSPECTION OF THRUST REVERSER V-GROOVE ADAPTER RING.</t>
  </si>
  <si>
    <t xml:space="preserve">584</t>
  </si>
  <si>
    <t xml:space="preserve">282200-04-1</t>
  </si>
  <si>
    <t xml:space="preserve">282200-04-1 (1) / APU FUEL PUMP SYSTEM AND FUEL FEED LINE</t>
  </si>
  <si>
    <t xml:space="preserve">28-22</t>
  </si>
  <si>
    <t xml:space="preserve">585</t>
  </si>
  <si>
    <t xml:space="preserve">282400-01-1-001</t>
  </si>
  <si>
    <t xml:space="preserve">282400-01-1-001 (05) / NO. 1 ENG LOW PRESS SHUT OFF VALVE OPC</t>
  </si>
  <si>
    <t xml:space="preserve">28-24</t>
  </si>
  <si>
    <t xml:space="preserve">PRE HGR, PRE HGR, PRE HGR, OPS/LK, JOB-CLOSEUP</t>
  </si>
  <si>
    <t xml:space="preserve">586</t>
  </si>
  <si>
    <t xml:space="preserve">282400-01-1-002</t>
  </si>
  <si>
    <t xml:space="preserve">282400-01-1-002 (06) / NO.2 ENG LOW PRESS SHUT OFF VALVE OPC</t>
  </si>
  <si>
    <t xml:space="preserve">PRE HGR, PRE HGR, PRE HGR, PRE HGR, OPS/LK, JOB-CLOSEUP</t>
  </si>
  <si>
    <t xml:space="preserve">587</t>
  </si>
  <si>
    <t xml:space="preserve">282400-02-1-001</t>
  </si>
  <si>
    <t xml:space="preserve">282400-02-1-001 (04) / NO. 1 ENG LOW PRESS SHUT OFF VALVE OPC BY INDIVIDUAL MOTORS</t>
  </si>
  <si>
    <t xml:space="preserve">PRE HGR, PRE HGR, JOB-CLOSEUP</t>
  </si>
  <si>
    <t xml:space="preserve">588</t>
  </si>
  <si>
    <t xml:space="preserve">282400-02-1-002</t>
  </si>
  <si>
    <t xml:space="preserve">282400-02-1-002 (04) / NO. 2 ENG LOW PRESS SHUT OFF VALVE OPC BY INDIVIDUAL MOTORS</t>
  </si>
  <si>
    <t xml:space="preserve">590</t>
  </si>
  <si>
    <t xml:space="preserve">344200-04-1</t>
  </si>
  <si>
    <t xml:space="preserve">344200-04-1 (01) / RADIO ALTIMETER</t>
  </si>
  <si>
    <t xml:space="preserve">34-42</t>
  </si>
  <si>
    <t xml:space="preserve">JOB-SETUP, CLEAN-UP, INSPECTION, INSPECTION, JOB-CLOSEUP, JOB-CLOSEUP</t>
  </si>
  <si>
    <t xml:space="preserve">JOB-SETUP, --, JOB-CLOSEUP</t>
  </si>
  <si>
    <t xml:space="preserve">592</t>
  </si>
  <si>
    <t xml:space="preserve">383100-02-1</t>
  </si>
  <si>
    <t xml:space="preserve">383100-02-1 (3) / INSPECT WATER SEPARATOR AND ASSOCIATED FILTER ELEMENT, AND CLEAN AS NECESSARY</t>
  </si>
  <si>
    <t xml:space="preserve">JOB-SETUP, TC/P, CLOSE-UP</t>
  </si>
  <si>
    <t xml:space="preserve">603</t>
  </si>
  <si>
    <t xml:space="preserve">05-00-00-01-0-A</t>
  </si>
  <si>
    <t xml:space="preserve">05-00-00-01-0-A (04) / AIRCRAFT C&amp;D CHECKS DATA REVIEW</t>
  </si>
  <si>
    <t xml:space="preserve">604</t>
  </si>
  <si>
    <t xml:space="preserve">12-21-11-01-0-SVA</t>
  </si>
  <si>
    <t xml:space="preserve">12-21-11-01-0-SVA (03) / AIRCRAFT EXTERIOR APPEARANCE WASH</t>
  </si>
  <si>
    <t xml:space="preserve">12-21</t>
  </si>
  <si>
    <t xml:space="preserve">JOB-SETUP, JOB-SETUP, JOB-SETUP, CLEAN-UP, TC/P, TC/P, TC/P, TC/P, TC/P, JOB-CLOSEUP</t>
  </si>
  <si>
    <t xml:space="preserve">JOB-SETUP, JOB-SETUP, JOB-SETUP, CLEAN-UP, INSPECTION, INSPECTION, INSPECTION, INSPECTION, JOB-CLOSEUP, JOB-CLOSEUP</t>
  </si>
  <si>
    <t xml:space="preserve">613</t>
  </si>
  <si>
    <t xml:space="preserve">523103-01-1</t>
  </si>
  <si>
    <t xml:space="preserve">523103-01-1 (02) / FWD CGO DOOR INTERNAL STRUCTURE INSP</t>
  </si>
  <si>
    <t xml:space="preserve">614</t>
  </si>
  <si>
    <t xml:space="preserve">523109-01-1</t>
  </si>
  <si>
    <t xml:space="preserve">523109-01-1 (02) / FWD CARGO DOOR LOCKING HOOKS INSP</t>
  </si>
  <si>
    <t xml:space="preserve">615</t>
  </si>
  <si>
    <t xml:space="preserve">523113-01-1</t>
  </si>
  <si>
    <t xml:space="preserve">523113-01-1 (02) / AFT CGO DOOR INTERNAL STRUCTURE INSP</t>
  </si>
  <si>
    <t xml:space="preserve">JOB-SETUP, CLEAN-UP, INSPECTION, JOB-CLOSEUP, JOB-CLOSEUP, JOB-CLOSEUP</t>
  </si>
  <si>
    <t xml:space="preserve">617</t>
  </si>
  <si>
    <t xml:space="preserve">523303-01-1</t>
  </si>
  <si>
    <t xml:space="preserve">523303-01-1 (02) / BULK CARGO DOOR INTERNAL STRUC INSP</t>
  </si>
  <si>
    <t xml:space="preserve">52-33</t>
  </si>
  <si>
    <t xml:space="preserve">619</t>
  </si>
  <si>
    <t xml:space="preserve">532130-09-1</t>
  </si>
  <si>
    <t xml:space="preserve">532130-09-1 (02) / ANTI-CRASH ROD JUNCTION</t>
  </si>
  <si>
    <t xml:space="preserve">620</t>
  </si>
  <si>
    <t xml:space="preserve">532130-29-1</t>
  </si>
  <si>
    <t xml:space="preserve">532130-29-1 (01) / ANTI-CRASH ROD JUNCTION</t>
  </si>
  <si>
    <t xml:space="preserve">53-21</t>
  </si>
  <si>
    <t xml:space="preserve">JOB-SETUP, JOB-SETUP, JOB-SETUP, JOB-SETUP, INSPECTION, JOB-CLOSEUP, JOB-CLOSEUP, JOB-CLOSEUP, JOB-CLOSEUP, JOB-CLOSEUP</t>
  </si>
  <si>
    <t xml:space="preserve">621</t>
  </si>
  <si>
    <t xml:space="preserve">532132-01-1</t>
  </si>
  <si>
    <t xml:space="preserve">532132-01-1 (06) / FWD CARGO DOOR HINGE FITTING INSP</t>
  </si>
  <si>
    <t xml:space="preserve">CLEAN-UP, INSPECTION, INSPECTION, JOB-CLOSEUP</t>
  </si>
  <si>
    <t xml:space="preserve">623</t>
  </si>
  <si>
    <t xml:space="preserve">532175-01-1</t>
  </si>
  <si>
    <t xml:space="preserve">532175-01-1 (03) / INTERNAL STRUC AROUND FWD CGO DOOR</t>
  </si>
  <si>
    <t xml:space="preserve">JOB-SETUP, CLEAN-UP, INSPECTION, JOB-CLOSEUP, JOB-CLOSEUP, JOB-CLOSEUP, JOB-CLOSEUP, JOB-CLOSEUP, JOB-CLOSEUP, JOB-CLOSEUP, JOB-CLOSEUP, JOB-CLOSEUP</t>
  </si>
  <si>
    <t xml:space="preserve">JOB-SETUP, CLEAN-UP, INSPECTION, INSPECTION, INSPECTION, INSPECTION, INSPECTION, INSPECTION, JOB-CLOSEUP, --</t>
  </si>
  <si>
    <t xml:space="preserve">JOB-SETUP, INSPECTION, INSPECTION, INSPECTION, INSPECTION, INSPECTION, JOB-CLOSEUP</t>
  </si>
  <si>
    <t xml:space="preserve">633</t>
  </si>
  <si>
    <t xml:space="preserve">534150-01-1</t>
  </si>
  <si>
    <t xml:space="preserve">534150-01-1 (02) / AFT CARGO DOOR CUTOUT INSPECTION</t>
  </si>
  <si>
    <t xml:space="preserve">JOB-SETUP, JOB-SETUP, CLEAN-UP, INSPECTION, INSPECTION, INSPECTION, JOB-CLOSEUP, JOB-CLOSEUP</t>
  </si>
  <si>
    <t xml:space="preserve">634</t>
  </si>
  <si>
    <t xml:space="preserve">534164-01-1</t>
  </si>
  <si>
    <t xml:space="preserve">534164-01-1 (05) / BULK CGO DOOR CUTOUT INTERNAL STRUC</t>
  </si>
  <si>
    <t xml:space="preserve">JOB-SETUP, CLEAN-UP, INSPECTION, INSPECTION, INSPECTION, INSPECTION, INSPECTION, JOB-CLOSEUP</t>
  </si>
  <si>
    <t xml:space="preserve">639</t>
  </si>
  <si>
    <t xml:space="preserve">545134-09-6-001</t>
  </si>
  <si>
    <t xml:space="preserve">545134-09-6-001 (03) / L/H PYLON UPR SPAR RIB 4 AND 10 INSP</t>
  </si>
  <si>
    <t xml:space="preserve">54-51</t>
  </si>
  <si>
    <t xml:space="preserve">640</t>
  </si>
  <si>
    <t xml:space="preserve">545134-09-6-002</t>
  </si>
  <si>
    <t xml:space="preserve">545134-09-6-002 (02) / R/H PYLON UPR SPAR RIB 4 AND 10 INSP</t>
  </si>
  <si>
    <t xml:space="preserve">643</t>
  </si>
  <si>
    <t xml:space="preserve">572001-01-1-001</t>
  </si>
  <si>
    <t xml:space="preserve">572001-01-1-001 (02) / L/H WING FRONT SPAR FWD FACE INSP</t>
  </si>
  <si>
    <t xml:space="preserve">644</t>
  </si>
  <si>
    <t xml:space="preserve">572001-01-1-002</t>
  </si>
  <si>
    <t xml:space="preserve">572001-01-1-002 (02) / R/H WING FRONT SPAR FWD FACE INSP</t>
  </si>
  <si>
    <t xml:space="preserve">645</t>
  </si>
  <si>
    <t xml:space="preserve">572007-01-2-001</t>
  </si>
  <si>
    <t xml:space="preserve">572007-01-2-001 (03) / L-OUTER WING REAR SPAR AFT FACE INSP</t>
  </si>
  <si>
    <t xml:space="preserve">JOB-SETUP, INSPECTION, INSPECTION, JOB-CLOSEUP, JOB-CLOSEUP</t>
  </si>
  <si>
    <t xml:space="preserve">646</t>
  </si>
  <si>
    <t xml:space="preserve">572007-01-2-002</t>
  </si>
  <si>
    <t xml:space="preserve">572007-01-2-002 (03) / R-OUTER WING REAR SPAR AFT FACE INSP</t>
  </si>
  <si>
    <t xml:space="preserve">647</t>
  </si>
  <si>
    <t xml:space="preserve">572020-01-1-001</t>
  </si>
  <si>
    <t xml:space="preserve">572020-01-1-001 (03) / L/H WING TOP SKIN RIB 1 AND 8 INSP</t>
  </si>
  <si>
    <t xml:space="preserve">648</t>
  </si>
  <si>
    <t xml:space="preserve">572020-01-1-002</t>
  </si>
  <si>
    <t xml:space="preserve">572020-01-1-002 (03) / R/H WING TOP SKIN RIB 1 AND 8 INSP</t>
  </si>
  <si>
    <t xml:space="preserve">649</t>
  </si>
  <si>
    <t xml:space="preserve">572040-01-2-001</t>
  </si>
  <si>
    <t xml:space="preserve">572040-01-2-001 (03) / L/H WING BOTTOM SKIN CUTOUTS INSP</t>
  </si>
  <si>
    <t xml:space="preserve">650</t>
  </si>
  <si>
    <t xml:space="preserve">572040-01-2-002</t>
  </si>
  <si>
    <t xml:space="preserve">572040-01-2-002 (03) / R/H WING BOTTOM SKIN CUTOUTS INSP</t>
  </si>
  <si>
    <t xml:space="preserve">656</t>
  </si>
  <si>
    <t xml:space="preserve">572063-01-1-002</t>
  </si>
  <si>
    <t xml:space="preserve">572063-01-1-002 (02) / R/H O/WING BTOM SKN LWR SURFACE INSP</t>
  </si>
  <si>
    <t xml:space="preserve">657</t>
  </si>
  <si>
    <t xml:space="preserve">572066-01-1-001</t>
  </si>
  <si>
    <t xml:space="preserve">572066-01-1-001 (03) / L/H OUTER WING TOP SKIN LOWER SURFACE INSP</t>
  </si>
  <si>
    <t xml:space="preserve">658</t>
  </si>
  <si>
    <t xml:space="preserve">572066-01-1-002</t>
  </si>
  <si>
    <t xml:space="preserve">572066-01-1-002 (03) / R/H OUTER WING TOP SKIN LOWER SURFACE INSP</t>
  </si>
  <si>
    <t xml:space="preserve">664</t>
  </si>
  <si>
    <t xml:space="preserve">572139-01-2-001</t>
  </si>
  <si>
    <t xml:space="preserve">572139-01-2-001 (02) / L/H OUTR WING BOTOM SKIN RIB BAY CUTOUTS INSP</t>
  </si>
  <si>
    <t xml:space="preserve">665</t>
  </si>
  <si>
    <t xml:space="preserve">572139-01-2-002</t>
  </si>
  <si>
    <t xml:space="preserve">572139-01-2-002 (02) / R/H OUTR WING BOTOM SKIN RIB BAY CUTOUTS INSP</t>
  </si>
  <si>
    <t xml:space="preserve">666</t>
  </si>
  <si>
    <t xml:space="preserve">32712996</t>
  </si>
  <si>
    <t xml:space="preserve">572140-01-2-001 (03) / LH OUTER WNG BOTTOM SKN CUTOUTS INSP</t>
  </si>
  <si>
    <t xml:space="preserve">667</t>
  </si>
  <si>
    <t xml:space="preserve">572140-01-2-002</t>
  </si>
  <si>
    <t xml:space="preserve">572140-01-2-002 (03) / RH OUTER WNG BOTTOM SKN CUTOUTS INSP</t>
  </si>
  <si>
    <t xml:space="preserve">707</t>
  </si>
  <si>
    <t xml:space="preserve">29904504</t>
  </si>
  <si>
    <t xml:space="preserve">EOD-320-21-00004-R00/A320 - AIR CONDITIONING -AVIONICS EQUIPMENT VENTILATION - INTRODUCE A</t>
  </si>
  <si>
    <t xml:space="preserve">C</t>
  </si>
  <si>
    <t xml:space="preserve">709</t>
  </si>
  <si>
    <t xml:space="preserve">20893203</t>
  </si>
  <si>
    <t xml:space="preserve">EOD-320-25-00032-R00/AD-SPECIAL DETAILED INSPECTION OF THE RACK 80VU (CEO)</t>
  </si>
  <si>
    <t xml:space="preserve">PJED</t>
  </si>
  <si>
    <t xml:space="preserve">710</t>
  </si>
  <si>
    <t xml:space="preserve">29715410</t>
  </si>
  <si>
    <t xml:space="preserve">EOD-320-25-00050-R00/AD-EQUIPMENT/FURNISHINGS - LININGS AND FURNISHINGS/FORWARD CARGO</t>
  </si>
  <si>
    <t xml:space="preserve">CCHK</t>
  </si>
  <si>
    <t xml:space="preserve">712</t>
  </si>
  <si>
    <t xml:space="preserve">29411293</t>
  </si>
  <si>
    <t xml:space="preserve">EOD-320-27-00018-R00/A320 - FLIGHT CONTROLS - LIFT AUGMENTING - INTRODUCE IMPROVED SLAT GEA</t>
  </si>
  <si>
    <t xml:space="preserve">--, --, --, --, --, CLOSE-UP</t>
  </si>
  <si>
    <t xml:space="preserve">713</t>
  </si>
  <si>
    <t xml:space="preserve">29411377</t>
  </si>
  <si>
    <t xml:space="preserve">EOD-320-27-00019-R00/A320 - FLIGHT CONTROLS - LIFT AUGMENTING - INTRODUCE IMPROVED SLAT GEA</t>
  </si>
  <si>
    <t xml:space="preserve">715</t>
  </si>
  <si>
    <t xml:space="preserve">30839449</t>
  </si>
  <si>
    <t xml:space="preserve">EOD-320-29-00007-R00/HYDRAULIC POWER - PYLON - REPLACE BUSHING ON HP LINE ON SVA CFM PYLON</t>
  </si>
  <si>
    <t xml:space="preserve">--, JOB-SETUP, JOB-SETUP, JOB-SETUP, --, --, --, --, --, --, --, JOB-CLOSEUP, JOB-CLOSEUP, JOB-CLOSEUP, JOB-CLOSEUP, CLOSE-UP, CLOSE-UP</t>
  </si>
  <si>
    <t xml:space="preserve">716</t>
  </si>
  <si>
    <t xml:space="preserve">29500617</t>
  </si>
  <si>
    <t xml:space="preserve">EOD-320-31-00005-R00/A320 - INDICATING/RECORDING SYSTEMS - SDAC - ACQUISITION/INTERFACE- MO</t>
  </si>
  <si>
    <t xml:space="preserve">723</t>
  </si>
  <si>
    <t xml:space="preserve">23732996</t>
  </si>
  <si>
    <t xml:space="preserve">EOD-320-32-00023-R00/A32S – LANDING GEAR - MLG - INSPECTION SLIDING TUBE / SLAVE LINK LUG C</t>
  </si>
  <si>
    <t xml:space="preserve">725</t>
  </si>
  <si>
    <t xml:space="preserve">31990073</t>
  </si>
  <si>
    <t xml:space="preserve">EOD-320-32-00025-R00/A32S - LANDING GEAR – NLG - INTRODUCE A NEW IMPROVED</t>
  </si>
  <si>
    <t xml:space="preserve">LINE</t>
  </si>
  <si>
    <t xml:space="preserve">726</t>
  </si>
  <si>
    <t xml:space="preserve">27685448</t>
  </si>
  <si>
    <t xml:space="preserve">EOD-320-36-00008-R00/A320 -PNEUMATIC - INSTALL DISCRETE SIGNAL WIRING BETWEEN BMC AND PACKS</t>
  </si>
  <si>
    <t xml:space="preserve">735</t>
  </si>
  <si>
    <t xml:space="preserve">15777417</t>
  </si>
  <si>
    <t xml:space="preserve">EOD-320-53-00008-R00/AD-INSPECTION OF HORIZONTAL UPPER STIFFENER OF LATERAL WINDOW FRAME</t>
  </si>
  <si>
    <t xml:space="preserve">736</t>
  </si>
  <si>
    <t xml:space="preserve">15777631</t>
  </si>
  <si>
    <t xml:space="preserve">EOD-320-53-00009-R00/AD-INSPECTION OF HORIZONTAL UPPER STIFFENER OF LATERAL WINDOW FRAME</t>
  </si>
  <si>
    <t xml:space="preserve">737</t>
  </si>
  <si>
    <t xml:space="preserve">16152729</t>
  </si>
  <si>
    <t xml:space="preserve">EOD-320-53-00014-R00/AD-INSPECTION OF VERTICAL STIFFENER OF LATERAL</t>
  </si>
  <si>
    <t xml:space="preserve">738</t>
  </si>
  <si>
    <t xml:space="preserve">16152761</t>
  </si>
  <si>
    <t xml:space="preserve">EOD-320-53-00015-R00/AD-INSPECTION OF VERTICAL STIFFENER OF LATERAL</t>
  </si>
  <si>
    <t xml:space="preserve">739</t>
  </si>
  <si>
    <t xml:space="preserve">17837147</t>
  </si>
  <si>
    <t xml:space="preserve">EOD-320-53-00022-R00/CENTER FUSELAGE -INSPECTION OF FRAME FOOT AT FR43 RH/LH-</t>
  </si>
  <si>
    <t xml:space="preserve">742</t>
  </si>
  <si>
    <t xml:space="preserve">28479751</t>
  </si>
  <si>
    <t xml:space="preserve">EOD-320-53-00039-R00/FUSELAGE - CENTER FUSELAGE - KEEL BEAM BOTTOM PANEL INSPECTION AT FR46</t>
  </si>
  <si>
    <t xml:space="preserve">744</t>
  </si>
  <si>
    <t xml:space="preserve">29399531</t>
  </si>
  <si>
    <t xml:space="preserve">EOD-320-55-00001-R00/STABILIZERS - VERTICAL STABILIZER - INTRODUCE IMPROVED RUDDER HINGE LI</t>
  </si>
  <si>
    <t xml:space="preserve">747</t>
  </si>
  <si>
    <t xml:space="preserve">15969127</t>
  </si>
  <si>
    <t xml:space="preserve">EOD-A32S-53-00003-R03/INSPECTION OF THE SIDE BOX BEAM FLANGE AT LHS/RHS IN FR43 AREA.</t>
  </si>
  <si>
    <t xml:space="preserve">748</t>
  </si>
  <si>
    <t xml:space="preserve">10897096</t>
  </si>
  <si>
    <t xml:space="preserve">EOD-A32S-53-00019-R00/AD-A320/A321-FUSELAGE-DOOR STOP FITTING HOLES AT FR68-INSPECTION</t>
  </si>
  <si>
    <t xml:space="preserve">750</t>
  </si>
  <si>
    <t xml:space="preserve">31662556</t>
  </si>
  <si>
    <t xml:space="preserve">S29-R10107/A320 - HYDRULIC SYSTEM - ENGINE-PUMP PRESSURE SWITCH</t>
  </si>
  <si>
    <t xml:space="preserve">--, --, --, --, --, --, --, --, --, --, OPS/LK, --, --, --, CLOSE-UP</t>
  </si>
  <si>
    <t xml:space="preserve">753</t>
  </si>
  <si>
    <t xml:space="preserve">20038778</t>
  </si>
  <si>
    <t xml:space="preserve">S51-R10008/A320 FLEET // DENT AND BUCKLE CHART</t>
  </si>
  <si>
    <t xml:space="preserve">HNGR</t>
  </si>
  <si>
    <t xml:space="preserve">754</t>
  </si>
  <si>
    <t xml:space="preserve">31978429</t>
  </si>
  <si>
    <t xml:space="preserve">S52-D10064/INSPECTION OF HINGES/LATCHES AND LOSS OF SERVICE DOORS 19(X) PANELS</t>
  </si>
  <si>
    <t xml:space="preserve">755</t>
  </si>
  <si>
    <t xml:space="preserve">31573583</t>
  </si>
  <si>
    <t xml:space="preserve">S53-D10054/INSPECTION FOR MISSING/LOOSE/DAMAGED FASTENERS</t>
  </si>
  <si>
    <t xml:space="preserve">756</t>
  </si>
  <si>
    <t xml:space="preserve">32832482</t>
  </si>
  <si>
    <t xml:space="preserve">S71-D10554/CMF56-5B BOTH ENGINES INLET COWLS LIP SKIN INSPECTION &amp; REPAIR</t>
  </si>
  <si>
    <t xml:space="preserve">757</t>
  </si>
  <si>
    <t xml:space="preserve">29294848</t>
  </si>
  <si>
    <t xml:space="preserve">S73-D10063/ENGINE FUEL FILTER REPLACEMENT</t>
  </si>
  <si>
    <t xml:space="preserve">770</t>
  </si>
  <si>
    <t xml:space="preserve">31045000</t>
  </si>
  <si>
    <t xml:space="preserve">CFM56-5B3/3/643323 IN(INSPECTION) / EO 751107 CFM56-5B VBV RE-GREASING</t>
  </si>
  <si>
    <t xml:space="preserve">PANT</t>
  </si>
  <si>
    <t xml:space="preserve">774</t>
  </si>
  <si>
    <t xml:space="preserve">94493475</t>
  </si>
  <si>
    <t xml:space="preserve">DECAL #1 ENGINE OUTBOARD PIVOTING DOOR &amp; PIVOTING DOOR LOCKOUT PIN DECAL ARE TORN.</t>
  </si>
  <si>
    <t xml:space="preserve">775</t>
  </si>
  <si>
    <t xml:space="preserve">94493476</t>
  </si>
  <si>
    <t xml:space="preserve">DECAL #1 ENGINE OUTBOARD DEPLOY SWITCH ACCESS DOOR DECAL TORN.</t>
  </si>
  <si>
    <t xml:space="preserve">776</t>
  </si>
  <si>
    <t xml:space="preserve">94493487</t>
  </si>
  <si>
    <t xml:space="preserve">DECAL #2 ENGINE OUTBOARD NO PERSONEL &amp; 15FT AWAY DECAL FADED.</t>
  </si>
  <si>
    <t xml:space="preserve">777</t>
  </si>
  <si>
    <t xml:space="preserve">94493488</t>
  </si>
  <si>
    <t xml:space="preserve">DECAL #2 ENGINE INBOARD 15FT AWAY &amp; WARNING DECAL ARE FADED.</t>
  </si>
  <si>
    <t xml:space="preserve">778</t>
  </si>
  <si>
    <t xml:space="preserve">94493489</t>
  </si>
  <si>
    <t xml:space="preserve">DECAL LH MAIN LANDING GEAR INFLATE TYRES WITH NITROGEN DECAL FADED.</t>
  </si>
  <si>
    <t xml:space="preserve">779</t>
  </si>
  <si>
    <t xml:space="preserve">94734250</t>
  </si>
  <si>
    <t xml:space="preserve">WING DURING WALK ARR FOUND (R) WING JACKING POINT  (C0VER) MISSING</t>
  </si>
  <si>
    <t xml:space="preserve">781</t>
  </si>
  <si>
    <t xml:space="preserve">94799712</t>
  </si>
  <si>
    <t xml:space="preserve">DECAL FWD CARGO DOOR SELECTOR PNL AUX OPS INSTRUCTIONS DECAL IS FADED</t>
  </si>
  <si>
    <t xml:space="preserve">11-00</t>
  </si>
  <si>
    <t xml:space="preserve">783</t>
  </si>
  <si>
    <t xml:space="preserve">STJC-20-00-00-03-GA-GO</t>
  </si>
  <si>
    <t xml:space="preserve">TOOL ACCOUNTABILITY PRIOR TO ACFT RELEASE</t>
  </si>
  <si>
    <t xml:space="preserve">ACFT RELEASE</t>
  </si>
  <si>
    <t xml:space="preserve">784</t>
  </si>
  <si>
    <t xml:space="preserve">STJC-20-00-00-04-GA-SV</t>
  </si>
  <si>
    <t xml:space="preserve">AIRCRAFT MAINTENANCE AND CABIN LOGBOOKS AUDIT</t>
  </si>
  <si>
    <t xml:space="preserve">785</t>
  </si>
  <si>
    <t xml:space="preserve">STJC-20-00-00-05-GA-SV</t>
  </si>
  <si>
    <t xml:space="preserve">AIRCRAFT MAINTENANCE PACKAGE ACCOUNTABILITY CHECK</t>
  </si>
  <si>
    <t xml:space="preserve">ACFT RELEASE, ACFT RELEASE, --</t>
  </si>
  <si>
    <t xml:space="preserve">TC/P, TC/P, TC/P, TC/P, TC/P, TC/P, TC/P, TC/P, TC/P, TC/P, TC/P, TC/P, TC/P, TC/P, TC/P, TC/P, TC/P, TC/P</t>
  </si>
  <si>
    <t xml:space="preserve">FINAL INSP, FINAL INSP, FINAL INSP</t>
  </si>
  <si>
    <t xml:space="preserve">FINAL INSP</t>
  </si>
  <si>
    <t xml:space="preserve">791</t>
  </si>
  <si>
    <t xml:space="preserve">STJC-AREAS-FINAL-INSPECTION-03-GA-GO</t>
  </si>
  <si>
    <t xml:space="preserve">AIRCRAFT UPPER/LOWER FUSELAGE FINAL INSPECTION</t>
  </si>
  <si>
    <t xml:space="preserve">792</t>
  </si>
  <si>
    <t xml:space="preserve">STJC-AREAS-FINAL-INSPECTION-04-GA-GO</t>
  </si>
  <si>
    <t xml:space="preserve">EMPENNAGE FINAL INSPECTION</t>
  </si>
  <si>
    <t xml:space="preserve">793</t>
  </si>
  <si>
    <t xml:space="preserve">STJC-AREAS-FINAL-INSPECTION-05-GA-GO</t>
  </si>
  <si>
    <t xml:space="preserve">AFT/BULK/FWD CARGO COMPARTMENT FINAL INSPECTION</t>
  </si>
  <si>
    <t xml:space="preserve">794</t>
  </si>
  <si>
    <t xml:space="preserve">STJC-AREAS-FINAL-INSPECTION-06-GA-GO</t>
  </si>
  <si>
    <t xml:space="preserve">L/H AND R/H WINGS FINAL INSPECTION</t>
  </si>
  <si>
    <t xml:space="preserve">795</t>
  </si>
  <si>
    <t xml:space="preserve">STJC-AREAS-FINAL-INSPECTION-07-GA-GO</t>
  </si>
  <si>
    <t xml:space="preserve">LDGS &amp; WHEEL WEEL FINAL INSPECTION (MLG &amp; NLG)</t>
  </si>
  <si>
    <t xml:space="preserve">796</t>
  </si>
  <si>
    <t xml:space="preserve">STJC-AREAS-FINAL-INSPECTION-08-GA-GO</t>
  </si>
  <si>
    <t xml:space="preserve">ENGINE AND PYLON FINAL INSPECTION (L/H &amp; R/H)</t>
  </si>
  <si>
    <t xml:space="preserve">797</t>
  </si>
  <si>
    <t xml:space="preserve">STJC-AREAS-FINAL-INSPECTION-09-GA-GO</t>
  </si>
  <si>
    <t xml:space="preserve">APU FINAL INSPECTION</t>
  </si>
  <si>
    <t xml:space="preserve">FINAL INSP, FINAL INSP, FINAL INSP, FINAL INSP</t>
  </si>
  <si>
    <t xml:space="preserve">800</t>
  </si>
  <si>
    <t xml:space="preserve">32596938</t>
  </si>
  <si>
    <t xml:space="preserve">22-70-00-01-0-A (03) / FMC DATA UPLOAD</t>
  </si>
  <si>
    <t xml:space="preserve">22-70</t>
  </si>
  <si>
    <t xml:space="preserve">801</t>
  </si>
  <si>
    <t xml:space="preserve">242000-21-1-001</t>
  </si>
  <si>
    <t xml:space="preserve">242000-21-1-001 (04) / NO. 1 ENGINE AC GENERATION</t>
  </si>
  <si>
    <t xml:space="preserve">24-21</t>
  </si>
  <si>
    <t xml:space="preserve">--, TC/P, --</t>
  </si>
  <si>
    <t xml:space="preserve">JOB-SETUP, TC/P, TC/P, TC/P, --, --, --, --, --</t>
  </si>
  <si>
    <t xml:space="preserve">32913243</t>
  </si>
  <si>
    <t xml:space="preserve">JOB-SETUP, TC/P, TC/P, TC/P, TC/P, TC/P, TC/P, --</t>
  </si>
  <si>
    <t xml:space="preserve">811</t>
  </si>
  <si>
    <t xml:space="preserve">94844878</t>
  </si>
  <si>
    <t xml:space="preserve">O.O.S AIRCRAFT TAKEN OUT OF SERVICE AT 23:59 Z  DATE 17 JULY 2026 FOR C2 + 6 YEARS CHECK. SCHEDULE 38 DAYS</t>
  </si>
  <si>
    <t xml:space="preserve">812</t>
  </si>
  <si>
    <t xml:space="preserve">94844876</t>
  </si>
  <si>
    <t xml:space="preserve">L/G ALL L/G SAFETY PINS ARE INSTALLED. AS PER AMM 32-00-00-481-001-A  REV.69 DATE.01 MAY 2026</t>
  </si>
  <si>
    <t xml:space="preserve">32-00</t>
  </si>
  <si>
    <t xml:space="preserve">816</t>
  </si>
  <si>
    <t xml:space="preserve">32977864</t>
  </si>
  <si>
    <t xml:space="preserve">PRE---UPPER FUSELAGE---NOCALLBACK---AV UPPER FUSELAGE GPS 1 ANTENNA, FWD AREA PAINT FOUND ERODED.</t>
  </si>
  <si>
    <t xml:space="preserve">826</t>
  </si>
  <si>
    <t xml:space="preserve">32977906</t>
  </si>
  <si>
    <t xml:space="preserve">PRE---R/H WING---NOCALLBACK---AP R/H WING ADJACENT TO SLAT NO#01 I/B SIDE FIXED LEADING EDGE, SEAL FOUND TORN AND WORNOUT.</t>
  </si>
  <si>
    <t xml:space="preserve">05-25</t>
  </si>
  <si>
    <t xml:space="preserve">840</t>
  </si>
  <si>
    <t xml:space="preserve">32978254</t>
  </si>
  <si>
    <t xml:space="preserve">LH MLG----AP---NO CALL BACK--- LH MLG BETWEEN FIXED AND HINGE FAIRING BONDING WIRE FRAYED.</t>
  </si>
  <si>
    <t xml:space="preserve">847</t>
  </si>
  <si>
    <t xml:space="preserve">32978282</t>
  </si>
  <si>
    <t xml:space="preserve">RH MLG---SM---CALL BACK---- RH MLG DOOR ON AFT UPPER CORNER PNL148FB SHAVING WITH MISSING PIECE. L= 4" W= 0.187"</t>
  </si>
  <si>
    <t xml:space="preserve">850</t>
  </si>
  <si>
    <t xml:space="preserve">32978506</t>
  </si>
  <si>
    <t xml:space="preserve">LH MLG---AP---CALL BACK---- LH MLG DOWNLOCK SPRING RUSTY.</t>
  </si>
  <si>
    <t xml:space="preserve">32-30</t>
  </si>
  <si>
    <t xml:space="preserve">851</t>
  </si>
  <si>
    <t xml:space="preserve">32978507</t>
  </si>
  <si>
    <t xml:space="preserve">FWD CARGO COMP----SM---CALL BACK---- FWD CARGO COMP ENTRY DOOR AT AFT SIDE PLATE BENDED.</t>
  </si>
  <si>
    <t xml:space="preserve">852</t>
  </si>
  <si>
    <t xml:space="preserve">32978509</t>
  </si>
  <si>
    <t xml:space="preserve">FWD CARGO COMP---AP---NO CALL BACK---- FWD CARGO COMP ENTRY DOOR FWD  DOOR NET TORN.</t>
  </si>
  <si>
    <t xml:space="preserve">863</t>
  </si>
  <si>
    <t xml:space="preserve">32978591</t>
  </si>
  <si>
    <t xml:space="preserve">FWD CARGO DOOR---AP--NO CALL BACK---- FWD CARGO DOOR DATA PLATE  TORN.</t>
  </si>
  <si>
    <t xml:space="preserve">864</t>
  </si>
  <si>
    <t xml:space="preserve">32978593</t>
  </si>
  <si>
    <t xml:space="preserve">FWD CARGO DOOR---AP---CALL BACK--- FWD CARGO DOOR AFT LWR SIDE RUBBER SEAL WITH CUT</t>
  </si>
  <si>
    <t xml:space="preserve">867</t>
  </si>
  <si>
    <t xml:space="preserve">32978634</t>
  </si>
  <si>
    <t xml:space="preserve">AFT CARGO COMP----SM---CALL BACK---- AFT CARGO COMP AFT DOOR NET STANCHION TUBE WTIH DENT ON MID SIDE L=1" W=0.5" D=0.125"</t>
  </si>
  <si>
    <t xml:space="preserve">868</t>
  </si>
  <si>
    <t xml:space="preserve">32978638</t>
  </si>
  <si>
    <t xml:space="preserve">AFT CARGO COMP---SM---CALL BACK---- AFT CARGO COMP CIELING PNL 151DC  DAMAGE WITH MISSING HONEY COMB  L=1" W=0.5"</t>
  </si>
  <si>
    <t xml:space="preserve">869</t>
  </si>
  <si>
    <t xml:space="preserve">32978643</t>
  </si>
  <si>
    <t xml:space="preserve">AFT CARGO COMP----AP---NO CALL BACK--- AFT CARGO COMP SEVERAL PNL WITH MISSING SCREW AND DETACHED GAP SEAL.</t>
  </si>
  <si>
    <t xml:space="preserve">876</t>
  </si>
  <si>
    <t xml:space="preserve">32978879</t>
  </si>
  <si>
    <t xml:space="preserve">886</t>
  </si>
  <si>
    <t xml:space="preserve">32979256</t>
  </si>
  <si>
    <t xml:space="preserve">FINDING (NRC) TASKCARD ZL-500-02-1-002 (05) RH WING  AP--RII RH WING FLAP LWR KICK SEAL WITH CUT 0.5 IN.</t>
  </si>
  <si>
    <t xml:space="preserve">887</t>
  </si>
  <si>
    <t xml:space="preserve">32979285</t>
  </si>
  <si>
    <t xml:space="preserve">FINDING (NRC) TASKCARD ZL-500-02-1-002 (05) RH WING AP--NO CALLBACK RH WING FLAP MOV. TRACK NO#3  DRAINED WITH SIGN OF OIL LEAKAGE.</t>
  </si>
  <si>
    <t xml:space="preserve">888</t>
  </si>
  <si>
    <t xml:space="preserve">32979304</t>
  </si>
  <si>
    <t xml:space="preserve">FINDING (NRC) TASKCARD ZL-500-02-1-002 (05) / RH WING AP-- CALLBACK RH WING FLAP TRACK NO#3 O/B AFT UPPER SEAL WITH CUT.</t>
  </si>
  <si>
    <t xml:space="preserve">892</t>
  </si>
  <si>
    <t xml:space="preserve">32979530</t>
  </si>
  <si>
    <t xml:space="preserve">893</t>
  </si>
  <si>
    <t xml:space="preserve">32979557</t>
  </si>
  <si>
    <t xml:space="preserve">903</t>
  </si>
  <si>
    <t xml:space="preserve">32163655</t>
  </si>
  <si>
    <t xml:space="preserve">342B050000/06787 RS(RESTORATION) / CLN THERMOSTAT - FAN AIR VALVE CTRL</t>
  </si>
  <si>
    <t xml:space="preserve">36-11</t>
  </si>
  <si>
    <t xml:space="preserve">904</t>
  </si>
  <si>
    <t xml:space="preserve">32163652</t>
  </si>
  <si>
    <t xml:space="preserve">342B050000/10718 RS(RESTORATION) / CLN THERMOSTAT - FAN AIR VALVE CTRL</t>
  </si>
  <si>
    <t xml:space="preserve">905</t>
  </si>
  <si>
    <t xml:space="preserve">44-26-00</t>
  </si>
  <si>
    <t xml:space="preserve">906</t>
  </si>
  <si>
    <t xml:space="preserve">94844831</t>
  </si>
  <si>
    <t xml:space="preserve">DECAL BELLY LH LANDING GEAR ON GROUND AND YELLOW HYD BAY DECAL FOUND WORN</t>
  </si>
  <si>
    <t xml:space="preserve">907</t>
  </si>
  <si>
    <t xml:space="preserve">94844832</t>
  </si>
  <si>
    <t xml:space="preserve">DECAL AFT BELLY WATER DRAIN VALVE AND FUEL LEAK MONITOR DECAL FOUND FADED</t>
  </si>
  <si>
    <t xml:space="preserve">908</t>
  </si>
  <si>
    <t xml:space="preserve">94844833</t>
  </si>
  <si>
    <t xml:space="preserve">DECAL BELLY AIR CONDITIONING AND GROUND HYD CONNECTION BLUE DECAL FOUND FADED</t>
  </si>
  <si>
    <t xml:space="preserve">909</t>
  </si>
  <si>
    <t xml:space="preserve">94844834</t>
  </si>
  <si>
    <t xml:space="preserve">DECAL AFT CARGO SELECTOR PANEL AUX OPS INSTRUCTIONS DECAL FOUND WORN</t>
  </si>
  <si>
    <t xml:space="preserve">910</t>
  </si>
  <si>
    <t xml:space="preserve">94844835</t>
  </si>
  <si>
    <t xml:space="preserve">DECAL AFT BELLY APU CTR AND FUEL-DRAIN VENT DECAL FOUND TORN</t>
  </si>
  <si>
    <t xml:space="preserve">912</t>
  </si>
  <si>
    <t xml:space="preserve">94844837</t>
  </si>
  <si>
    <t xml:space="preserve">DECAL AFT CARGO DOOR ARROW, PULL, PUSH AND WARNING DECAL FOUND WORN</t>
  </si>
  <si>
    <t xml:space="preserve">915</t>
  </si>
  <si>
    <t xml:space="preserve">15777708</t>
  </si>
  <si>
    <t xml:space="preserve">EOD-320-53-00010-R00/FUSELAGE - MAIN STRUCTURE - APPLY A CUT ON STIFFENER ON</t>
  </si>
  <si>
    <t xml:space="preserve">916</t>
  </si>
  <si>
    <t xml:space="preserve">15777769</t>
  </si>
  <si>
    <t xml:space="preserve">EOD-320-53-00011-R00/FUSELAGE - MAIN STRUCTURE - APPLY A CUT ON STIFFENER ON</t>
  </si>
  <si>
    <t xml:space="preserve">917</t>
  </si>
  <si>
    <t xml:space="preserve">28372303</t>
  </si>
  <si>
    <t xml:space="preserve">REPLACE DVE90-07/7369 (VALVE-SOLENOID)</t>
  </si>
  <si>
    <t xml:space="preserve">35-00</t>
  </si>
  <si>
    <t xml:space="preserve">919</t>
  </si>
  <si>
    <t xml:space="preserve">32822269</t>
  </si>
  <si>
    <t xml:space="preserve">S26-R10173/A320/A321 - FIRE PROTECTION - INSTALLATION OF PLACARD IN LAVATORY</t>
  </si>
  <si>
    <t xml:space="preserve">922</t>
  </si>
  <si>
    <t xml:space="preserve">30262642</t>
  </si>
  <si>
    <t xml:space="preserve">S32-R10324/A320 - LANDING GEAR - OPERATIONAL CHECK OF PBCV TO VERIFY ELECTRICAL</t>
  </si>
  <si>
    <t xml:space="preserve">923</t>
  </si>
  <si>
    <t xml:space="preserve">32800094</t>
  </si>
  <si>
    <t xml:space="preserve">S36-R10202/EBAS ENHANCEMENT TASKS - BLEED HEALTH CHECK</t>
  </si>
  <si>
    <t xml:space="preserve">926</t>
  </si>
  <si>
    <t xml:space="preserve">32980026</t>
  </si>
  <si>
    <t xml:space="preserve">928</t>
  </si>
  <si>
    <t xml:space="preserve">32980047</t>
  </si>
  <si>
    <t xml:space="preserve">LATERAL AVIO COMPT---STR---RII 2EA CRACK ON BRACKET ATTACHED TO CLAMP ALONG FR16 OF TOILET PIPE ASSY (ACCESS FROM AVN DOOR 812, DIMENSION (L= 0.47IN)</t>
  </si>
  <si>
    <t xml:space="preserve">929</t>
  </si>
  <si>
    <t xml:space="preserve">32980064</t>
  </si>
  <si>
    <t xml:space="preserve">LATERAL AVIO COMPT---STR---RII 1EA CRACK ON BRACKET ATTACHED TO CLAMP ALONG FR17 OF TOILET PIPE ASSY (ACCESS FROM AVN DOOR 812, DIMENSION (L= 0.45IN)</t>
  </si>
  <si>
    <t xml:space="preserve">930</t>
  </si>
  <si>
    <t xml:space="preserve">32980065</t>
  </si>
  <si>
    <t xml:space="preserve">LATERAL AVIO COMPT---STR---RII 1EA BROKEN BRACKET WITH CLAMP ATTACHED ALONG FR19 OF TOILET PIPE ASSY ACCESS FROM AVN DOOR 812</t>
  </si>
  <si>
    <t xml:space="preserve">937</t>
  </si>
  <si>
    <t xml:space="preserve">32980104</t>
  </si>
  <si>
    <t xml:space="preserve">RH WING  S/M --CALLBACK / FINDING (NRC) TASKCARD ZL-500-02-1-001 (05) RH WING FLAP TRACK FAIRING NO#4 O/B AFT UPPER SEAL WITH CUT.</t>
  </si>
  <si>
    <t xml:space="preserve">939</t>
  </si>
  <si>
    <t xml:space="preserve">32980111</t>
  </si>
  <si>
    <t xml:space="preserve">FINDING (NRC) TASKCARD ZL-500-02-1-001 (05) / LH WING FT--RII LH WING FLAP FAIRING #4 DRAINED WITH FUEL LEAKAGE</t>
  </si>
  <si>
    <t xml:space="preserve">941</t>
  </si>
  <si>
    <t xml:space="preserve">32980118</t>
  </si>
  <si>
    <t xml:space="preserve">FINDING (NRC) TASKCARD ZL-500-02-1-001 (05) / LH WING AP--RII LH WING SLAT TRACK COVER NO#2 WITH CRACK DIM: L= 2 IN</t>
  </si>
  <si>
    <t xml:space="preserve">943</t>
  </si>
  <si>
    <t xml:space="preserve">44-21</t>
  </si>
  <si>
    <t xml:space="preserve">944</t>
  </si>
  <si>
    <t xml:space="preserve">32917899</t>
  </si>
  <si>
    <t xml:space="preserve">945</t>
  </si>
  <si>
    <t xml:space="preserve">32420054</t>
  </si>
  <si>
    <t xml:space="preserve">947</t>
  </si>
  <si>
    <t xml:space="preserve">TC/P, --, --, --</t>
  </si>
  <si>
    <t xml:space="preserve">948</t>
  </si>
  <si>
    <t xml:space="preserve">TC/P, --, --, --, --, --, --, --</t>
  </si>
  <si>
    <t xml:space="preserve">951</t>
  </si>
  <si>
    <t xml:space="preserve">32980175</t>
  </si>
  <si>
    <t xml:space="preserve">FINDING (NRC) TASKCARD ZL-500-02-1-001 (05) LH WING  AP--RII LH WING FLAP LWR KICK SEAL WITH CUT DIM: L=1 IN</t>
  </si>
  <si>
    <t xml:space="preserve">953</t>
  </si>
  <si>
    <t xml:space="preserve">32980186</t>
  </si>
  <si>
    <t xml:space="preserve">FINDING (NRC) TASKCARD ZL-500-02-1-001 (05) LH WING  AP--NO CALLBACK LH WING FLAP TRACK MOV. FAIRING WITH SIGN OF OIL LEAKAGE.</t>
  </si>
  <si>
    <t xml:space="preserve">956</t>
  </si>
  <si>
    <t xml:space="preserve">32981647</t>
  </si>
  <si>
    <t xml:space="preserve">957</t>
  </si>
  <si>
    <t xml:space="preserve">32981683</t>
  </si>
  <si>
    <t xml:space="preserve">965</t>
  </si>
  <si>
    <t xml:space="preserve">32982133</t>
  </si>
  <si>
    <t xml:space="preserve">966</t>
  </si>
  <si>
    <t xml:space="preserve">32982172</t>
  </si>
  <si>
    <t xml:space="preserve">968</t>
  </si>
  <si>
    <t xml:space="preserve">32982194</t>
  </si>
  <si>
    <t xml:space="preserve">969</t>
  </si>
  <si>
    <t xml:space="preserve">32982195</t>
  </si>
  <si>
    <t xml:space="preserve">970</t>
  </si>
  <si>
    <t xml:space="preserve">971</t>
  </si>
  <si>
    <t xml:space="preserve">972</t>
  </si>
  <si>
    <t xml:space="preserve">973</t>
  </si>
  <si>
    <t xml:space="preserve">32982202</t>
  </si>
  <si>
    <t xml:space="preserve">974</t>
  </si>
  <si>
    <t xml:space="preserve">984</t>
  </si>
  <si>
    <t xml:space="preserve">32983896</t>
  </si>
  <si>
    <t xml:space="preserve">LH WING INBORAD/OUTBOARD FIXED L/E---AP---CALLBACK REQ CLEANING OF  INBOARD/OUTBOARD FIXED LEADING EDGE STRUCTURE TO FACILITATE INSPECTION</t>
  </si>
  <si>
    <t xml:space="preserve">988</t>
  </si>
  <si>
    <t xml:space="preserve">32983937</t>
  </si>
  <si>
    <t xml:space="preserve">PRE---HYD COMPT---RII---FT LOWER FUSELAGE L/H HYD COMPT ACCESS THROUG PANEL 195 BB, WATER DRAIN VALVE FOUND WITH SIGN OF LEAK.</t>
  </si>
  <si>
    <t xml:space="preserve">989</t>
  </si>
  <si>
    <t xml:space="preserve">32983944</t>
  </si>
  <si>
    <t xml:space="preserve">PRE---HYD COMPT---NOCALLBACK---AP LOWER FUSELAGE L/H HYD COMPT ACCESS THROUG PANEL 195 BB, FWD WALL R/H SIDE AIR COND PACK EXHAUST FITTING, 02 EA BOLTS FOUND LOOSE.</t>
  </si>
  <si>
    <t xml:space="preserve">992</t>
  </si>
  <si>
    <t xml:space="preserve">32983996</t>
  </si>
  <si>
    <t xml:space="preserve">999</t>
  </si>
  <si>
    <t xml:space="preserve">32984263</t>
  </si>
  <si>
    <t xml:space="preserve">1003</t>
  </si>
  <si>
    <t xml:space="preserve">32984585</t>
  </si>
  <si>
    <t xml:space="preserve">1004</t>
  </si>
  <si>
    <t xml:space="preserve">32984729</t>
  </si>
  <si>
    <t xml:space="preserve">1005</t>
  </si>
  <si>
    <t xml:space="preserve">32984742</t>
  </si>
  <si>
    <t xml:space="preserve">1006</t>
  </si>
  <si>
    <t xml:space="preserve">32984765</t>
  </si>
  <si>
    <t xml:space="preserve">1009</t>
  </si>
  <si>
    <t xml:space="preserve">32984823</t>
  </si>
  <si>
    <t xml:space="preserve">1014</t>
  </si>
  <si>
    <t xml:space="preserve">32984906</t>
  </si>
  <si>
    <t xml:space="preserve">1021</t>
  </si>
  <si>
    <t xml:space="preserve">32985000</t>
  </si>
  <si>
    <t xml:space="preserve">AP---CALLBACK---ENG. 1 HP DUCT PRESSURE SENSE LINE AT 12 O`CLOCK CHAFFED OVER EGT THERMOCOUPLE</t>
  </si>
  <si>
    <t xml:space="preserve">05-24</t>
  </si>
  <si>
    <t xml:space="preserve">1030</t>
  </si>
  <si>
    <t xml:space="preserve">32985083</t>
  </si>
  <si>
    <t xml:space="preserve">1031</t>
  </si>
  <si>
    <t xml:space="preserve">32985088</t>
  </si>
  <si>
    <t xml:space="preserve">1053</t>
  </si>
  <si>
    <t xml:space="preserve">32985354</t>
  </si>
  <si>
    <t xml:space="preserve">1075</t>
  </si>
  <si>
    <t xml:space="preserve">32987066</t>
  </si>
  <si>
    <t xml:space="preserve">1077</t>
  </si>
  <si>
    <t xml:space="preserve">32987097</t>
  </si>
  <si>
    <t xml:space="preserve">1084</t>
  </si>
  <si>
    <t xml:space="preserve">32913240</t>
  </si>
  <si>
    <t xml:space="preserve">S28-R10083/A320,321 REPETITIVE FUEL SUMP AND DRAIN - WATER REMOVAL</t>
  </si>
  <si>
    <t xml:space="preserve">RON</t>
  </si>
  <si>
    <t xml:space="preserve">1085</t>
  </si>
  <si>
    <t xml:space="preserve">32984296</t>
  </si>
  <si>
    <t xml:space="preserve">S34-R10187/A320/A321 - T2CAS - UPDATE OF TERRAIN DATABASE INTO VERSION 227</t>
  </si>
  <si>
    <t xml:space="preserve">1086</t>
  </si>
  <si>
    <t xml:space="preserve">32974165</t>
  </si>
  <si>
    <t xml:space="preserve">1100</t>
  </si>
  <si>
    <t xml:space="preserve">32987976</t>
  </si>
  <si>
    <t xml:space="preserve">PRE---AFT CARGO---NOCALLBACK---AP AFT AND BULK CARGO COMPT DOOR NET IDENTIFICATION LABEL FOUND TORN AND NET STRIPS FOUND DETACHED.</t>
  </si>
  <si>
    <t xml:space="preserve">1101</t>
  </si>
  <si>
    <t xml:space="preserve">32987983</t>
  </si>
  <si>
    <t xml:space="preserve">PRE---AFT CARGO---NOCALLBACK---AP AFT AND BULK CARGO COMPT DOOR NET,  IDENTIFICATION LABEL AND DIVIDER NET FOUND EXCESSIVE DIRTY WITH STAIN MARKS.</t>
  </si>
  <si>
    <t xml:space="preserve">1107</t>
  </si>
  <si>
    <t xml:space="preserve">32988329</t>
  </si>
  <si>
    <t xml:space="preserve">1108</t>
  </si>
  <si>
    <t xml:space="preserve">32988444</t>
  </si>
  <si>
    <t xml:space="preserve">25-20</t>
  </si>
  <si>
    <t xml:space="preserve">1112</t>
  </si>
  <si>
    <t xml:space="preserve">32988660</t>
  </si>
  <si>
    <t xml:space="preserve">1113</t>
  </si>
  <si>
    <t xml:space="preserve">32988687</t>
  </si>
  <si>
    <t xml:space="preserve">1114</t>
  </si>
  <si>
    <t xml:space="preserve">32988706</t>
  </si>
  <si>
    <t xml:space="preserve">1115</t>
  </si>
  <si>
    <t xml:space="preserve">32988779</t>
  </si>
  <si>
    <t xml:space="preserve">1116</t>
  </si>
  <si>
    <t xml:space="preserve">32988786</t>
  </si>
  <si>
    <t xml:space="preserve">1124</t>
  </si>
  <si>
    <t xml:space="preserve">32989133</t>
  </si>
  <si>
    <t xml:space="preserve">CAB - NO CALL BACK - GLLY G2 GALLEY SEVERAL RUB STRIP FADED</t>
  </si>
  <si>
    <t xml:space="preserve">1126</t>
  </si>
  <si>
    <t xml:space="preserve">32989457</t>
  </si>
  <si>
    <t xml:space="preserve">1127</t>
  </si>
  <si>
    <t xml:space="preserve">32989455</t>
  </si>
  <si>
    <t xml:space="preserve">1128</t>
  </si>
  <si>
    <t xml:space="preserve">32989472</t>
  </si>
  <si>
    <t xml:space="preserve">1129</t>
  </si>
  <si>
    <t xml:space="preserve">32989475</t>
  </si>
  <si>
    <t xml:space="preserve">AV - NO CALLBACK - PAX SEATS SEATS AT 30ABC TO 34 ABC REQUIRED TO REMOVED ELECTRICAL WIRE FOR ACCESS.</t>
  </si>
  <si>
    <t xml:space="preserve">1131</t>
  </si>
  <si>
    <t xml:space="preserve">32989482</t>
  </si>
  <si>
    <t xml:space="preserve">1132</t>
  </si>
  <si>
    <t xml:space="preserve">32989491</t>
  </si>
  <si>
    <t xml:space="preserve">1133</t>
  </si>
  <si>
    <t xml:space="preserve">32989492</t>
  </si>
  <si>
    <t xml:space="preserve">1135</t>
  </si>
  <si>
    <t xml:space="preserve">32989529</t>
  </si>
  <si>
    <t xml:space="preserve">FWD GARGO COMPT=====FS=====NO CALL BACK FWD CARGO COMPARTMENT CEILING, SIDE WALL AND SLOPY AREA DIRTY WITH ACCUMULATED DUST</t>
  </si>
  <si>
    <t xml:space="preserve">1141</t>
  </si>
  <si>
    <t xml:space="preserve">32989728</t>
  </si>
  <si>
    <t xml:space="preserve">1144</t>
  </si>
  <si>
    <t xml:space="preserve">32989797</t>
  </si>
  <si>
    <t xml:space="preserve">1146</t>
  </si>
  <si>
    <t xml:space="preserve">32989825</t>
  </si>
  <si>
    <t xml:space="preserve">1147</t>
  </si>
  <si>
    <t xml:space="preserve">32989853</t>
  </si>
  <si>
    <t xml:space="preserve">1149</t>
  </si>
  <si>
    <t xml:space="preserve">32989860</t>
  </si>
  <si>
    <t xml:space="preserve">1154</t>
  </si>
  <si>
    <t xml:space="preserve">32989943</t>
  </si>
  <si>
    <t xml:space="preserve">1156</t>
  </si>
  <si>
    <t xml:space="preserve">32989952</t>
  </si>
  <si>
    <t xml:space="preserve">1163</t>
  </si>
  <si>
    <t xml:space="preserve">32989966</t>
  </si>
  <si>
    <t xml:space="preserve">#2 ENG - FAN FR ASSY - HMU LINES CLAMPS - AP - RII #2 ENG FAN FRAME ASSEMBLY AT 06:00 O`CLOCK POSTION FOUND HYDROMECHANICAL UNIT (HMU) SOV FUEL LINES (ROD AND HEAD LINES) CLAMPS CORRODED .</t>
  </si>
  <si>
    <t xml:space="preserve">1165</t>
  </si>
  <si>
    <t xml:space="preserve">32989971</t>
  </si>
  <si>
    <t xml:space="preserve">#2 ENG - L/H AND R/H T/REV - TEFLON SEAL - AP - RII #2 ENG L/H AND R/H THRUST REVERSERS AT FWD SIDE FOUND FAN COWLS RUB TEFLON SEAL DETERIORATED AND DETACHED.</t>
  </si>
  <si>
    <t xml:space="preserve">1166</t>
  </si>
  <si>
    <t xml:space="preserve">32989973</t>
  </si>
  <si>
    <t xml:space="preserve">#2 ENG - R/H T/REV - HCU - AP - NO CALL BACK #2 ENG R/H THRUST REVERSER FWD FACE FOUND HYDRAULIC CONTROL UNIT (HCU) LEAKING .</t>
  </si>
  <si>
    <t xml:space="preserve">1170</t>
  </si>
  <si>
    <t xml:space="preserve">32989993</t>
  </si>
  <si>
    <t xml:space="preserve">#2 ENG - L/H TREV - THERMAL BLANKET - SM - RII #2 ENG L/H THRUST REVERSER INNER SIDE FOUND THERMAL BLANKET TORN ( T/REV CHAFFING AGAINST T495 THERMOCOUPLE HARNESS AT 08:00 OCLOCK POSITION) DISTANCE TO NEAREST EDGE :- 2.5 INCH.  DIM:- L= 2.31 INCH....</t>
  </si>
  <si>
    <t xml:space="preserve">1171</t>
  </si>
  <si>
    <t xml:space="preserve">32989995</t>
  </si>
  <si>
    <t xml:space="preserve">1174</t>
  </si>
  <si>
    <t xml:space="preserve">32990008</t>
  </si>
  <si>
    <t xml:space="preserve">1192</t>
  </si>
  <si>
    <t xml:space="preserve">32990170</t>
  </si>
  <si>
    <t xml:space="preserve">#1 ENG - R/H FAN COWL - PRESS DR - AP - RII #1 ENG R/H FAN COWL INNER SIDE FOUND PRESSURE RELIEF DOOR UPPER AND LOWER SPRING LOADED ARMS HINGES RUSTED AND UPPER SPRING LOADED ARM LANYARD FWD END CHAFFED-OFF AND SPRING LOADED ARM END GOUGED.</t>
  </si>
  <si>
    <t xml:space="preserve">1195</t>
  </si>
  <si>
    <t xml:space="preserve">32990192</t>
  </si>
  <si>
    <t xml:space="preserve">#1 ENG - L/H AND R/H T/REV - TEFLON SEAL - AP - RII #1 ENG L/H AND R/H THRUST REVERSERS AT FWD SIDE FOUND FAN COWLS RUB TEFLON SEAL DETERIORATED AND DETACHED. (R/H T/REV TEFLON SEAL DETACHED FROM UPPER AND LOWER SIDE).</t>
  </si>
  <si>
    <t xml:space="preserve">1196</t>
  </si>
  <si>
    <t xml:space="preserve">32990196</t>
  </si>
  <si>
    <t xml:space="preserve">#1 ENG - L/H T/REV - LOWER BLOCKER DR - AP - NO CALL BACK #1 ENG L/H THRUST REVERSER FOUND LOWER BLOCKER DOOR ACTUATOR WITH HEAVY LEAK AT ROD END.</t>
  </si>
  <si>
    <t xml:space="preserve">1199</t>
  </si>
  <si>
    <t xml:space="preserve">32991206</t>
  </si>
  <si>
    <t xml:space="preserve">1200</t>
  </si>
  <si>
    <t xml:space="preserve">32991276</t>
  </si>
  <si>
    <t xml:space="preserve">1201</t>
  </si>
  <si>
    <t xml:space="preserve">32991499</t>
  </si>
  <si>
    <t xml:space="preserve">1204</t>
  </si>
  <si>
    <t xml:space="preserve">32991518</t>
  </si>
  <si>
    <t xml:space="preserve">FINDING (NRC) TASKCARD ZL-531-02-1-001 (01) LH WING  AP-- NO CALLBACK LH WING FLAP TRACK NO#2 AFT BONDING WIRE WITH CUT.</t>
  </si>
  <si>
    <t xml:space="preserve">1205</t>
  </si>
  <si>
    <t xml:space="preserve">32991527</t>
  </si>
  <si>
    <t xml:space="preserve">1206</t>
  </si>
  <si>
    <t xml:space="preserve">32991534</t>
  </si>
  <si>
    <t xml:space="preserve">1207</t>
  </si>
  <si>
    <t xml:space="preserve">32991563</t>
  </si>
  <si>
    <t xml:space="preserve">RH WING -- FT REFER TO TC # 572020-01-1-002, 572040-01-2-002, 572139-01-2-002, 572140-01-2-002 AND 572161-01-11-002 REQUIRE TO REMOVE RH WING FUEL TANK ACCESS PANELS  - 640AB, 640BB , 640CB, 640DB, 640EB, 640FB, 640GB  - 640HB, 640JB, 640KB, 640LB...</t>
  </si>
  <si>
    <t xml:space="preserve">1209</t>
  </si>
  <si>
    <t xml:space="preserve">32991584</t>
  </si>
  <si>
    <t xml:space="preserve">LH WING -- FT REFER TO TC # 572020-01-1-001, 572040-01-2-001, 572139-01-2-001, 572140-01-2-001 AND 572161-01-11-001 REQUIRE TO REMOVE LH WING FUEL TANK ACCESS PANELS  - 540AB, 540BB , 540CB, 540DB, 540EB, 540FB, 540GB  - 540HB, 540JB, 540KB, 540LB...</t>
  </si>
  <si>
    <t xml:space="preserve">1210</t>
  </si>
  <si>
    <t xml:space="preserve">32991594</t>
  </si>
  <si>
    <t xml:space="preserve">FINDING (NRC) TASKCARD ZL-531-02-1-002 (01) RH WING   AP--NO C/B RH WING FLAP TRACK NO#2 AFT BONDING WIRE WITH CUT .</t>
  </si>
  <si>
    <t xml:space="preserve">1213</t>
  </si>
  <si>
    <t xml:space="preserve">32991622</t>
  </si>
  <si>
    <t xml:space="preserve">FINDING (NRC) TASKCARD ZL-531-02-1-002 (01) RH WING  AP--CALLBACK FLAP TRACK NO#2 IN/B  FWD UPPER ACTUATOR SUPPORT LINK TEFLON COLLAR NOT SECURED.</t>
  </si>
  <si>
    <t xml:space="preserve">1214</t>
  </si>
  <si>
    <t xml:space="preserve">32991955</t>
  </si>
  <si>
    <t xml:space="preserve">FINDING (NRC) TASKCARD ZL-532-01-1-002 (04) RH WING  AP--NO CALLBACK RH WING FLAP TRACK NO#3 AFT BONDING WIRE WITH CUT .</t>
  </si>
  <si>
    <t xml:space="preserve">1215</t>
  </si>
  <si>
    <t xml:space="preserve">32991957</t>
  </si>
  <si>
    <t xml:space="preserve">FINDING (NRC) TASKCARD ZL-532-01-1-002 (04) RH WING   AP-- CALLBACK FLAP TRACK NO#3 IN/B  FWD UPPER ACTUATOR SUPPORT LINK TEFLON COLLAR NOT SECURED.</t>
  </si>
  <si>
    <t xml:space="preserve">1216</t>
  </si>
  <si>
    <t xml:space="preserve">32991972</t>
  </si>
  <si>
    <t xml:space="preserve">FINDING (NRC) TASKCARD ZL-533-01-1-002 (04) RH WING  AP--CALLBACK FLAP TRACK NO#4 IN/B  FWD UPPER ACTUATOR SUPPORT LINK TEFLON COLLAR NOT SECURED.</t>
  </si>
  <si>
    <t xml:space="preserve">1217</t>
  </si>
  <si>
    <t xml:space="preserve">32991973</t>
  </si>
  <si>
    <t xml:space="preserve">FINDING (NRC) TASKCARD ZL-533-01-1-002 (04) RH WING  AP--CALLBACK RH WING FLAP TRACK NO#4 AFT BONDING WIRE WITH CUT .</t>
  </si>
  <si>
    <t xml:space="preserve">1219</t>
  </si>
  <si>
    <t xml:space="preserve">32992488</t>
  </si>
  <si>
    <t xml:space="preserve">1220</t>
  </si>
  <si>
    <t xml:space="preserve">32992489</t>
  </si>
  <si>
    <t xml:space="preserve">1221</t>
  </si>
  <si>
    <t xml:space="preserve">32992493</t>
  </si>
  <si>
    <t xml:space="preserve">1222</t>
  </si>
  <si>
    <t xml:space="preserve">32992492</t>
  </si>
  <si>
    <t xml:space="preserve">1223</t>
  </si>
  <si>
    <t xml:space="preserve">32992500</t>
  </si>
  <si>
    <t xml:space="preserve">1224</t>
  </si>
  <si>
    <t xml:space="preserve">32992517</t>
  </si>
  <si>
    <t xml:space="preserve">1225</t>
  </si>
  <si>
    <t xml:space="preserve">32992509</t>
  </si>
  <si>
    <t xml:space="preserve">1230</t>
  </si>
  <si>
    <t xml:space="preserve">32992709</t>
  </si>
  <si>
    <t xml:space="preserve">1231</t>
  </si>
  <si>
    <t xml:space="preserve">32992712</t>
  </si>
  <si>
    <t xml:space="preserve">1232</t>
  </si>
  <si>
    <t xml:space="preserve">32992717</t>
  </si>
  <si>
    <t xml:space="preserve">1233</t>
  </si>
  <si>
    <t xml:space="preserve">32992719</t>
  </si>
  <si>
    <t xml:space="preserve">1234</t>
  </si>
  <si>
    <t xml:space="preserve">32992731</t>
  </si>
  <si>
    <t xml:space="preserve">1235</t>
  </si>
  <si>
    <t xml:space="preserve">32992738</t>
  </si>
  <si>
    <t xml:space="preserve">1250</t>
  </si>
  <si>
    <t xml:space="preserve">32994149</t>
  </si>
  <si>
    <t xml:space="preserve">25-25</t>
  </si>
  <si>
    <t xml:space="preserve">1258</t>
  </si>
  <si>
    <t xml:space="preserve">32995553</t>
  </si>
  <si>
    <t xml:space="preserve">AP---CALLBACK---LH WING LH WING INTERCONNECT STRUT LOWER KINK SEAL WITH CUT</t>
  </si>
  <si>
    <t xml:space="preserve">27-51</t>
  </si>
  <si>
    <t xml:space="preserve">1261</t>
  </si>
  <si>
    <t xml:space="preserve">32996054</t>
  </si>
  <si>
    <t xml:space="preserve">1262</t>
  </si>
  <si>
    <t xml:space="preserve">32996073</t>
  </si>
  <si>
    <t xml:space="preserve">1266</t>
  </si>
  <si>
    <t xml:space="preserve">32996751</t>
  </si>
  <si>
    <t xml:space="preserve">L/H  WING REFUEL DEFUEL COUPLING===AP==RII L/H WING REFUEL/DEFUEL COUPLING-CAP  CHAIN ASSEMBLY IS MISSING.</t>
  </si>
  <si>
    <t xml:space="preserve">28-25</t>
  </si>
  <si>
    <t xml:space="preserve">1267</t>
  </si>
  <si>
    <t xml:space="preserve">32996759</t>
  </si>
  <si>
    <t xml:space="preserve">R/H WING REFUEL/DEFUEL COUPLING===AP====RII R/H WING REFUEL/DEFUEL COUPLING-CAP  CHAIN ASSEMBLY IS MISSING</t>
  </si>
  <si>
    <t xml:space="preserve">1269</t>
  </si>
  <si>
    <t xml:space="preserve">32997085</t>
  </si>
  <si>
    <t xml:space="preserve">APU BLEED DUCT=====AP======NO CALL BACK APU BLEED DUCT CHECK VLV SPRING BROKEN</t>
  </si>
  <si>
    <t xml:space="preserve">1273</t>
  </si>
  <si>
    <t xml:space="preserve">32998206</t>
  </si>
  <si>
    <t xml:space="preserve">FINDING (NRC) TASKCARD 532181-02-1 (0) / ITEM-1 REF TO SEQ 489 INSPECTION AREA BETWEEN FR 34-35 AND STRG 38LH-38RH REQUIRE OPEN UP AND CLEANING FOR INSPECTION</t>
  </si>
  <si>
    <t xml:space="preserve">1274</t>
  </si>
  <si>
    <t xml:space="preserve">32998241</t>
  </si>
  <si>
    <t xml:space="preserve">FINDING (NRC) TASKCARD 532137-03-1 (1) / ITEM ONE SM--RII FWD CARGO DOOR CUTOUTS BOTH FWD AND AFT LOWER CUTOUTS AT FRAMES FR24A AND FR28 WITH BOTH FITTINGS MISSING FASTNERS (2EA PER FITTING)</t>
  </si>
  <si>
    <t xml:space="preserve">1280</t>
  </si>
  <si>
    <t xml:space="preserve">33000799</t>
  </si>
  <si>
    <t xml:space="preserve">AP---CALLBACK---AFT BULKHEAD REMOVE REAR PRESSURE BULKHEAD COVER FOR INSPECTION</t>
  </si>
  <si>
    <t xml:space="preserve">1286</t>
  </si>
  <si>
    <t xml:space="preserve">33002727</t>
  </si>
  <si>
    <t xml:space="preserve">AP---CALLBACK---RH WING SLAT 1 RH WING SLAT 1 OUTBOARD EDGE SEAL CUT OFF</t>
  </si>
  <si>
    <t xml:space="preserve">57-42</t>
  </si>
  <si>
    <t xml:space="preserve">1287</t>
  </si>
  <si>
    <t xml:space="preserve">33002757</t>
  </si>
  <si>
    <t xml:space="preserve">S52-R10176/ASD // L2 PAX DOOR SEAL RETAINER WITH DENT &amp; GOUGE</t>
  </si>
  <si>
    <t xml:space="preserve">1289</t>
  </si>
  <si>
    <t xml:space="preserve">33002784</t>
  </si>
  <si>
    <t xml:space="preserve">PNT - NO CALLBACK - OSBD OSB DOORS AT 1AC, 4AC, 5AC, 4JL, 5JL OSB DOORS REQUIRE PAINT (7 EA).</t>
  </si>
  <si>
    <t xml:space="preserve">1291</t>
  </si>
  <si>
    <t xml:space="preserve">33003253</t>
  </si>
  <si>
    <t xml:space="preserve">FINDING (NRC) TASKCARD 574505-01-1-001 (02) / ITEM-1 AP--RII LH WING SLAT N.O 4 LOWER PLATE LOCATED AT SLAT ATTACHMENT FITTING CRACKED 1EA</t>
  </si>
  <si>
    <t xml:space="preserve">57-45</t>
  </si>
  <si>
    <t xml:space="preserve">1292</t>
  </si>
  <si>
    <t xml:space="preserve">33003265</t>
  </si>
  <si>
    <t xml:space="preserve">FINDING (NRC) TASKCARD 574505-01-1-001 (02) / ITEM-1 AP--CALLBACK LH WING SLAT N.O 4 INNER RUBBER SEAL TORN 2 EA</t>
  </si>
  <si>
    <t xml:space="preserve">1293</t>
  </si>
  <si>
    <t xml:space="preserve">33003278</t>
  </si>
  <si>
    <t xml:space="preserve">AP---RII---RH WING SLAT 4 RH WING SLAT 4 INBOARD TRACK LOWER PLATE ATTACHMENT CRACKED</t>
  </si>
  <si>
    <t xml:space="preserve">1294</t>
  </si>
  <si>
    <t xml:space="preserve">33003279</t>
  </si>
  <si>
    <t xml:space="preserve">SM - BRACKET ABOVE COCKPIT DOOR BRACKET ABOVE COCKPIT DOOR REQUIRE REMOVAL FOR ACCESS</t>
  </si>
  <si>
    <t xml:space="preserve">1295</t>
  </si>
  <si>
    <t xml:space="preserve">33003366</t>
  </si>
  <si>
    <t xml:space="preserve">FINDING (NRC) TASKCARD 574605-01-1-001 (02) / ITEM-1 AP--RII LH WING SLAT N.O 5  INNER RUBBER SEAL TORN 1 EA</t>
  </si>
  <si>
    <t xml:space="preserve">57-46</t>
  </si>
  <si>
    <t xml:space="preserve">1296</t>
  </si>
  <si>
    <t xml:space="preserve">33003374</t>
  </si>
  <si>
    <t xml:space="preserve">FINDING (NRC) TASKCARD 574605-01-1-001 (02) / ITEM-1 AP--RII LH WING SLAT N.O 3 LOWER PLATE LOCATED AT SLAT ATTACHMENT FITTING CRACKED 1EA</t>
  </si>
  <si>
    <t xml:space="preserve">1297</t>
  </si>
  <si>
    <t xml:space="preserve">33007153</t>
  </si>
  <si>
    <t xml:space="preserve">FINDING (NRC) TASKCARD 574205-01-1-001 (02) / ITEM-1 AP--RII LH WING SLAT N.O 1 LOWER PLATE LOCATED AT SLAT ATTACHMENT FITTING CRACKED 1EA</t>
  </si>
  <si>
    <t xml:space="preserve">1298</t>
  </si>
  <si>
    <t xml:space="preserve">33007155</t>
  </si>
  <si>
    <t xml:space="preserve">FINDING (NRC) TASKCARD 574205-01-1-001 (02) / ITEM-1 AP--RII LH WING SLAT N.O 1  INNER RUBBER SEAL TORN 1 EA AT SLAT INNER INBOARD SIDE</t>
  </si>
  <si>
    <t xml:space="preserve">1299</t>
  </si>
  <si>
    <t xml:space="preserve">33007178</t>
  </si>
  <si>
    <t xml:space="preserve">FINDING (NRC) TASKCARD 574305-01-1-001 (02) / ITEM-1  AP--RII LH WING SLAT N.O 2 LOWER PLATE LOCATED AT SLAT ATTACHMENT FITTING CRACKED 1EA</t>
  </si>
  <si>
    <t xml:space="preserve">57-43</t>
  </si>
  <si>
    <t xml:space="preserve">1301</t>
  </si>
  <si>
    <t xml:space="preserve">33007347</t>
  </si>
  <si>
    <t xml:space="preserve">FINDING (NRC) TASKCARD 574405-01-1-001 (02) / ITEM-1 AP--RII LH WING SLAT N.O 3  INNER RUBBER SEAL TORN 1 EA</t>
  </si>
  <si>
    <t xml:space="preserve">57-44</t>
  </si>
  <si>
    <t xml:space="preserve">1314</t>
  </si>
  <si>
    <t xml:space="preserve">33013562</t>
  </si>
  <si>
    <t xml:space="preserve">ENG NO#01=====SM=====RII ENG NO#01 LH THR/REV NEAR THE FWD MOST HINGE ADJACENT STRUCTURE WITH BULGE ASSOCIATED WITH DELAMINATION  DIMENSION AS FOLLOWS LENGTH = 3.5" WIDTH = 3"</t>
  </si>
  <si>
    <t xml:space="preserve">1322</t>
  </si>
  <si>
    <t xml:space="preserve">33019321</t>
  </si>
  <si>
    <t xml:space="preserve">SM---RII---NLG ERROSION FOUND ON RH NOSE GEAR SWIVEL BEARING BUSHING</t>
  </si>
  <si>
    <t xml:space="preserve">32-21</t>
  </si>
  <si>
    <t xml:space="preserve">1335</t>
  </si>
  <si>
    <t xml:space="preserve">33020728</t>
  </si>
  <si>
    <t xml:space="preserve">AFT CGO COMPT=====AP=====NO CALL BACK AFT CGO COMPT FWD LEFT HAND SIDE APU DUCT CLAMP INSTALLATION ADJACENT AREA INSULATION BLANKETS WITH BURN MARKS (SIGN OF LEAK)</t>
  </si>
  <si>
    <t xml:space="preserve">1339</t>
  </si>
  <si>
    <t xml:space="preserve">33021722</t>
  </si>
  <si>
    <t xml:space="preserve">1343</t>
  </si>
  <si>
    <t xml:space="preserve">33022800</t>
  </si>
  <si>
    <t xml:space="preserve">1353</t>
  </si>
  <si>
    <t xml:space="preserve">33023666</t>
  </si>
  <si>
    <t xml:space="preserve">1358</t>
  </si>
  <si>
    <t xml:space="preserve">33023837</t>
  </si>
  <si>
    <t xml:space="preserve">1360</t>
  </si>
  <si>
    <t xml:space="preserve">33025667</t>
  </si>
  <si>
    <t xml:space="preserve">1372</t>
  </si>
  <si>
    <t xml:space="preserve">33028124</t>
  </si>
  <si>
    <t xml:space="preserve">BROKEN PLENUM LH&amp;RH-AP-N0-CALLBACK DURING INSPECTION FOUND LH &amp; RH PACKS PLENUM CHAMBERS DELAMINATED OUT OF LIMITS</t>
  </si>
  <si>
    <t xml:space="preserve">21-52</t>
  </si>
  <si>
    <t xml:space="preserve">1376</t>
  </si>
  <si>
    <t xml:space="preserve">33028349</t>
  </si>
  <si>
    <t xml:space="preserve">AP---CALLBACK---REAR AVN COMP REAR AVN COMPARTMENT UNDER INSULATION AND FLOOR AREA REQUIRE CIC</t>
  </si>
  <si>
    <t xml:space="preserve">1388</t>
  </si>
  <si>
    <t xml:space="preserve">33030877</t>
  </si>
  <si>
    <t xml:space="preserve">AP---CALLBACK---RH WING SLAT 1 RH WING SLAT 1 TRACK 3 UPPER SURROUNDING SEAL TORN</t>
  </si>
  <si>
    <t xml:space="preserve">1389</t>
  </si>
  <si>
    <t xml:space="preserve">33030906</t>
  </si>
  <si>
    <t xml:space="preserve">CTR TANK FUEL PNL----FT----RII REFER TO TC # 571192-19-1 AND 571192-09-1 REQUIRE TO REMOVE CENTER  FUEL TANK ACCESS PANEL 148AZ</t>
  </si>
  <si>
    <t xml:space="preserve">1393</t>
  </si>
  <si>
    <t xml:space="preserve">33035902</t>
  </si>
  <si>
    <t xml:space="preserve">VHS BROKEN VHS AT SEAT 1A BROKEN</t>
  </si>
  <si>
    <t xml:space="preserve">1394</t>
  </si>
  <si>
    <t xml:space="preserve">33035907</t>
  </si>
  <si>
    <t xml:space="preserve">VHS BROKEN VHS AT SEAT 1L BROKEN</t>
  </si>
  <si>
    <t xml:space="preserve">1395</t>
  </si>
  <si>
    <t xml:space="preserve">33036878</t>
  </si>
  <si>
    <t xml:space="preserve">ENG#1 HPV FUNCTIONAL CHECK FAILED -- AP -- RII ENG#1 HPV DURING HEALTH CHECK TEST FOUND HPV STUCK TO CLOSED POSITION, REQUIRE R/R.</t>
  </si>
  <si>
    <t xml:space="preserve">36-11-00</t>
  </si>
  <si>
    <t xml:space="preserve">1398</t>
  </si>
  <si>
    <t xml:space="preserve">33037962</t>
  </si>
  <si>
    <t xml:space="preserve">ENGINE #1 LH FAN COWL.....AP..RII REFER TO WO# 33014947. ENGINE #1 LH FAN COWL REQ REMOVAL FOR STRUCTURE REPAIR</t>
  </si>
  <si>
    <t xml:space="preserve">1399</t>
  </si>
  <si>
    <t xml:space="preserve">33037966</t>
  </si>
  <si>
    <t xml:space="preserve">ENGINE #1 RH FAN COWL.....AP...RII REFER TO WO# 33014938. ENGINE #1 RH FAN COWL REQ REMOVAL FOR STRUCTURE REPAIR</t>
  </si>
  <si>
    <t xml:space="preserve">1400</t>
  </si>
  <si>
    <t xml:space="preserve">33037967</t>
  </si>
  <si>
    <t xml:space="preserve">ENGINE #2 RH FAN COWL.....AP....RII REFER TO WO# 33014940. ENGINE # RH FAN COWL REQ REMOVAL FOR STRUCTURE REPAIR</t>
  </si>
  <si>
    <t xml:space="preserve">1405</t>
  </si>
  <si>
    <t xml:space="preserve">33043802</t>
  </si>
  <si>
    <t xml:space="preserve">TASKCARD 531166-01-2 (2) / ITEM-1---SM---CALL BACK--- R1 DOOR-CUTOUT LOWER-CORNERS ON FWD AND AFT FOUND SURFACE CORROSION.</t>
  </si>
  <si>
    <t xml:space="preserve">1408</t>
  </si>
  <si>
    <t xml:space="preserve">33045441</t>
  </si>
  <si>
    <t xml:space="preserve">VERTICAL MEMBER ASSEMBLIES FR24- AP-RII FWD CARGO VERTICAL MEMBER ASSEMBLIES AT FRAME 24 (LOC : Y-765, Y-254, Y254, Y765) FOUND DVI EVALUATION OUT OF LIMITS</t>
  </si>
  <si>
    <t xml:space="preserve">1410</t>
  </si>
  <si>
    <t xml:space="preserve">95001845</t>
  </si>
  <si>
    <t xml:space="preserve">ROB TQ REF. # 845597 ENG # 2 THRUST REVERSER HCU P/N : TY2013-11 S/N # 8888 REQ. ROB TO SVC AS 75</t>
  </si>
  <si>
    <t xml:space="preserve">70-00</t>
  </si>
  <si>
    <t xml:space="preserve">1416</t>
  </si>
  <si>
    <t xml:space="preserve">33057946</t>
  </si>
  <si>
    <t xml:space="preserve">1417</t>
  </si>
  <si>
    <t xml:space="preserve">33058259</t>
  </si>
  <si>
    <t xml:space="preserve">1419</t>
  </si>
  <si>
    <t xml:space="preserve">33058312</t>
  </si>
  <si>
    <t xml:space="preserve">1423</t>
  </si>
  <si>
    <t xml:space="preserve">33062059</t>
  </si>
  <si>
    <t xml:space="preserve">1427</t>
  </si>
  <si>
    <t xml:space="preserve">95001846</t>
  </si>
  <si>
    <t xml:space="preserve">ROB REF TO TQ # 846298 VHS ROBBED TO SVC AS55 P/N # RD-FA5117-01 S/N#H597712</t>
  </si>
  <si>
    <t xml:space="preserve">1432</t>
  </si>
  <si>
    <t xml:space="preserve">33073741</t>
  </si>
  <si>
    <t xml:space="preserve">1436</t>
  </si>
  <si>
    <t xml:space="preserve">33069060</t>
  </si>
  <si>
    <t xml:space="preserve">REPLACE 3214-31/151653 (BATTERY, EMERGENCY)</t>
  </si>
  <si>
    <t xml:space="preserve">1437</t>
  </si>
  <si>
    <t xml:space="preserve">33069005</t>
  </si>
  <si>
    <t xml:space="preserve">REPLACE 3214-31/151671 (BATTERY, EMERGENCY)</t>
  </si>
  <si>
    <t xml:space="preserve">1438</t>
  </si>
  <si>
    <t xml:space="preserve">33069059</t>
  </si>
  <si>
    <t xml:space="preserve">REPLACE 3214-31/151674 (BATTERY, EMERGENCY)</t>
  </si>
  <si>
    <t xml:space="preserve">1439</t>
  </si>
  <si>
    <t xml:space="preserve">33069030</t>
  </si>
  <si>
    <t xml:space="preserve">REPLACE 3214-31/151687 (BATTERY, EMERGENCY)</t>
  </si>
  <si>
    <t xml:space="preserve">1442</t>
  </si>
  <si>
    <t xml:space="preserve">1451</t>
  </si>
  <si>
    <t xml:space="preserve">1455</t>
  </si>
  <si>
    <t xml:space="preserve">33110403</t>
  </si>
  <si>
    <t xml:space="preserve">PNT CARGO PANELS - NO CALL BACK - PNT AFT CARGO ALL SIDE WALL PANELS PNT PEELED OFF</t>
  </si>
  <si>
    <t xml:space="preserve">1458</t>
  </si>
  <si>
    <t xml:space="preserve">33111530</t>
  </si>
  <si>
    <t xml:space="preserve">AP------SAFETY VALVES---------RII DURING OP`S CHK FOUND BOTH SAFETY VALVES FIN# 6HL+7HL FAILED</t>
  </si>
  <si>
    <t xml:space="preserve">1461</t>
  </si>
  <si>
    <t xml:space="preserve">95001841</t>
  </si>
  <si>
    <t xml:space="preserve">ENG#1 T/REV ENG#1 T/REV HCU DE-ACTIVATION PIN INSTALLATION ACCOMPLISHED. AS PER AMM 78-30-00-481-041-B  REV.69 DATE.01 MAY 2026  ** PLEASE REMOVE BEFORE FLIGHT **</t>
  </si>
  <si>
    <t xml:space="preserve">78-00</t>
  </si>
  <si>
    <t xml:space="preserve">1462</t>
  </si>
  <si>
    <t xml:space="preserve">95001842</t>
  </si>
  <si>
    <t xml:space="preserve">ENG# 2 T/REV ENG#2 T/REV HCU DE-ACTIVATION PIN INSTALLATION ACCOMPLISHED. AS PER AMM 78-30-00-481-041-B  REV.69 DATE.01 MAY 2026  ** PLEASE REMOVE BEFORE FLIGHT **</t>
  </si>
  <si>
    <t xml:space="preserve">1463</t>
  </si>
  <si>
    <t xml:space="preserve">95001844</t>
  </si>
  <si>
    <t xml:space="preserve">PITOT AND STATIC COVERS INSTALLED AND CB OPEN AS PER AMM 10-11-00-555-013-A  REV 69  DTD 01 MAY 2026</t>
  </si>
  <si>
    <t xml:space="preserve">10-11</t>
  </si>
  <si>
    <t xml:space="preserve">1464</t>
  </si>
  <si>
    <t xml:space="preserve">95001848</t>
  </si>
  <si>
    <t xml:space="preserve">ROB .. REF TO T/Q.848794 ENG NO.1 CORE NOZZLE ASSY P/N.642-4001-501 S/N.7891001 ROBBED TO SVC HZ-AS52. AS PER A320 AMM 78-11-11-000-041-A  REV.70 DATE.01 AUG 2026</t>
  </si>
  <si>
    <t xml:space="preserve">1465</t>
  </si>
  <si>
    <t xml:space="preserve">95001849</t>
  </si>
  <si>
    <t xml:space="preserve">ROB .. REF TO T/Q.848794 ENG NO.1 CENTER BODY P/N.238-0451-523 S/N10359001 ROBBED TO SVC HZ-AS52 AS PER A320 AMM 78-11-12-000-041-A  REV.70 DATE.01 AUG 2026</t>
  </si>
  <si>
    <t xml:space="preserve">1466</t>
  </si>
  <si>
    <t xml:space="preserve">33113049</t>
  </si>
  <si>
    <t xml:space="preserve">B/FARING - PNT - NO CALL BACK BODY FAIRING NUMBERING DECALS MISSING</t>
  </si>
  <si>
    <t xml:space="preserve">1468</t>
  </si>
  <si>
    <t xml:space="preserve">33111996</t>
  </si>
  <si>
    <t xml:space="preserve">S78-R10597/HZ-ASD; ENG.2 L/H T/REV THERMAL BLANKET WELD PATCH REPAIR</t>
  </si>
  <si>
    <t xml:space="preserve">1470</t>
  </si>
  <si>
    <t xml:space="preserve">33113900</t>
  </si>
  <si>
    <t xml:space="preserve">S53-R10827/HZ-ASD RH MLG PNL 148FB AFT UPR CORNER - CHAFING AND MISSING MATERIAL</t>
  </si>
  <si>
    <t xml:space="preserve">1482</t>
  </si>
  <si>
    <t xml:space="preserve">33084455</t>
  </si>
  <si>
    <t xml:space="preserve">S44-R10270/CELL MODEM TEST - CAPTURE DEBUG</t>
  </si>
  <si>
    <t xml:space="preserve">1489</t>
  </si>
  <si>
    <t xml:space="preserve">95001850</t>
  </si>
  <si>
    <t xml:space="preserve">.. SAFA FINDINGS .. ENG NO.1 SEVERAL FAN OUTLET GUIDE VANES FOUND WITH DAMAGED METAL LEADING EDGE AT 01, 04, 05, 08, 10, 12. OCLOCK POSITION.</t>
  </si>
  <si>
    <t xml:space="preserve">1490</t>
  </si>
  <si>
    <t xml:space="preserve">1492</t>
  </si>
  <si>
    <t xml:space="preserve">1494</t>
  </si>
  <si>
    <t xml:space="preserve">1495</t>
  </si>
  <si>
    <t xml:space="preserve">1496</t>
  </si>
  <si>
    <t xml:space="preserve">1498</t>
  </si>
  <si>
    <t xml:space="preserve">200151-01-1</t>
  </si>
  <si>
    <t xml:space="preserve">200151-01-1 (01) / AFT CARGO COMPARTMENT EWIS CLEANING</t>
  </si>
  <si>
    <t xml:space="preserve">JOB-SETUP, CLEAN-UP, TC/P, TC/P, TC/P, JOB-CLOSEUP, JOB-CLOSEUP</t>
  </si>
  <si>
    <t xml:space="preserve">1502</t>
  </si>
  <si>
    <t xml:space="preserve">33155724</t>
  </si>
  <si>
    <t xml:space="preserve">ENGINE 2 STARTER SERVICING -- AP REFER TO TC 801110-C3-1-002 STEP 1 (7)</t>
  </si>
  <si>
    <t xml:space="preserve">1506</t>
  </si>
  <si>
    <t xml:space="preserve">33157449</t>
  </si>
  <si>
    <t xml:space="preserve">INSPECTOR FINDING - RH WING - 631AT - CALLBACK RH WING ACCESS PANEL 631AT FWD EDGE SEAL IS WORN OUT. REQUIRES REPLACEMENT.</t>
  </si>
  <si>
    <t xml:space="preserve">1507</t>
  </si>
  <si>
    <t xml:space="preserve">33157472</t>
  </si>
  <si>
    <t xml:space="preserve">SM - RH WING - 631AT - CALLBACK RH WING ACCESS PANEL 631AT FWD EDGE LH &amp; RH SEAL IS WORN OUT. REQUIRES REPLACEMENT.</t>
  </si>
  <si>
    <t xml:space="preserve">1508</t>
  </si>
  <si>
    <t xml:space="preserve">33157478</t>
  </si>
  <si>
    <t xml:space="preserve">SM - RH WING - 632AT - CALLBACK RH WING ACCESS PANEL 632AT FWD EDGE LH &amp; RH SEALS ARE WORN OUT. REQUIRES REPLACEMENT.</t>
  </si>
  <si>
    <t xml:space="preserve">1509</t>
  </si>
  <si>
    <t xml:space="preserve">33157484</t>
  </si>
  <si>
    <t xml:space="preserve">AP - RH WING - TRAILING EDGE - CALLBACK RH WING TRAILING EDGE ACCESS PANEL 673AB SEAL IS WORN OUT AND REQUIRES REPLACEMENT.</t>
  </si>
  <si>
    <t xml:space="preserve">1510</t>
  </si>
  <si>
    <t xml:space="preserve">2</t>
  </si>
  <si>
    <t xml:space="preserve">200001-02-1</t>
  </si>
  <si>
    <t xml:space="preserve">200001-02-1 (3) / HIRF/LIGHTNING PROTECTION-WING CHK</t>
  </si>
  <si>
    <t xml:space="preserve">3</t>
  </si>
  <si>
    <t xml:space="preserve">200003-01-1</t>
  </si>
  <si>
    <t xml:space="preserve">200003-01-1 (2) / ELEM FITT ON HARN 4202VB AND 4204VB</t>
  </si>
  <si>
    <t xml:space="preserve">INSPECTION</t>
  </si>
  <si>
    <t xml:space="preserve">4</t>
  </si>
  <si>
    <t xml:space="preserve">200003-02-1</t>
  </si>
  <si>
    <t xml:space="preserve">200003-02-1 (3) / HIRF/LIGHTNING PROTECTION-VRT FIN</t>
  </si>
  <si>
    <t xml:space="preserve">5</t>
  </si>
  <si>
    <t xml:space="preserve">200003-03-1</t>
  </si>
  <si>
    <t xml:space="preserve">200003-03-1 (2) / ELEM FIT ON HARNES 4202VB &amp; 4204VB</t>
  </si>
  <si>
    <t xml:space="preserve">6</t>
  </si>
  <si>
    <t xml:space="preserve">200121-01-1</t>
  </si>
  <si>
    <t xml:space="preserve">200121-01-1 (3) / FWD AVIONIC COMP. ELECTRICAL WIRING</t>
  </si>
  <si>
    <t xml:space="preserve">7</t>
  </si>
  <si>
    <t xml:space="preserve">200121-03-1</t>
  </si>
  <si>
    <t xml:space="preserve">200121-03-1 (2) / FORWARD AVIONIC COMPARTMENT INSP</t>
  </si>
  <si>
    <t xml:space="preserve">8</t>
  </si>
  <si>
    <t xml:space="preserve">200121-04-1</t>
  </si>
  <si>
    <t xml:space="preserve">200121-04-1 (03) / FWD AVIONICS COMPT WIRING DET INSP</t>
  </si>
  <si>
    <t xml:space="preserve">9</t>
  </si>
  <si>
    <t xml:space="preserve">200125-01-1</t>
  </si>
  <si>
    <t xml:space="preserve">200125-01-1 (2) / LATERAL AVIONIC COMPARTMENT CLEANING</t>
  </si>
  <si>
    <t xml:space="preserve">10</t>
  </si>
  <si>
    <t xml:space="preserve">200125-05-1</t>
  </si>
  <si>
    <t xml:space="preserve">200125-05-1 (2) / LATERAL AVIONIC COMPARTMENT INSP</t>
  </si>
  <si>
    <t xml:space="preserve">12</t>
  </si>
  <si>
    <t xml:space="preserve">200127-02-1</t>
  </si>
  <si>
    <t xml:space="preserve">200127-02-1 (2) / REAR AVIONICS COMPT CLEANING</t>
  </si>
  <si>
    <t xml:space="preserve">13</t>
  </si>
  <si>
    <t xml:space="preserve">200127-05-1</t>
  </si>
  <si>
    <t xml:space="preserve">200127-05-1 (2) / REAR AVIONICS COMPT INSPECTION</t>
  </si>
  <si>
    <t xml:space="preserve">14</t>
  </si>
  <si>
    <t xml:space="preserve">200127-07-1</t>
  </si>
  <si>
    <t xml:space="preserve">200127-07-1 (2) / REAR AVIONIC COMPARTMENT INSPECTION</t>
  </si>
  <si>
    <t xml:space="preserve">17</t>
  </si>
  <si>
    <t xml:space="preserve">200137-01-1</t>
  </si>
  <si>
    <t xml:space="preserve">200137-01-1 (3) / BAY BEHIND FWD CGO COMPT CLEANING</t>
  </si>
  <si>
    <t xml:space="preserve">JOB-SETUP, CLEAN-UP, JOB-CLOSEUP</t>
  </si>
  <si>
    <t xml:space="preserve">21</t>
  </si>
  <si>
    <t xml:space="preserve">200161-01-1</t>
  </si>
  <si>
    <t xml:space="preserve">200161-01-1 (01) / BULK CARGO COMPARTMENT CLEANING</t>
  </si>
  <si>
    <t xml:space="preserve">22</t>
  </si>
  <si>
    <t xml:space="preserve">200191-01-1</t>
  </si>
  <si>
    <t xml:space="preserve">200191-01-1 (02) / AIR COND COMP AND FAIRING CLEANING</t>
  </si>
  <si>
    <t xml:space="preserve">PWR-OFF</t>
  </si>
  <si>
    <t xml:space="preserve">23</t>
  </si>
  <si>
    <t xml:space="preserve">200211-02-1</t>
  </si>
  <si>
    <t xml:space="preserve">200211-02-1 (01) / COCKPIT WIRING CLEANING</t>
  </si>
  <si>
    <t xml:space="preserve">27</t>
  </si>
  <si>
    <t xml:space="preserve">200315-01-1</t>
  </si>
  <si>
    <t xml:space="preserve">200315-01-1 (3) / TAIL CONE&amp;APU ACCESSORY ROUTES INSP</t>
  </si>
  <si>
    <t xml:space="preserve">28</t>
  </si>
  <si>
    <t xml:space="preserve">200413-03-1-001</t>
  </si>
  <si>
    <t xml:space="preserve">200413-03-1-001 (02) / NO.1 ENG PYLON UPR FWD (EWIS) INSP</t>
  </si>
  <si>
    <t xml:space="preserve">29</t>
  </si>
  <si>
    <t xml:space="preserve">200413-03-1-002</t>
  </si>
  <si>
    <t xml:space="preserve">200413-03-1-002 (02) / NO.2 ENG PYLON UPR FWD (EWIS) INSP</t>
  </si>
  <si>
    <t xml:space="preserve">30</t>
  </si>
  <si>
    <t xml:space="preserve">212100-03-1</t>
  </si>
  <si>
    <t xml:space="preserve">212100-03-1 (0) / AIR DISTRIBUTION AND RECIRCULATION</t>
  </si>
  <si>
    <t xml:space="preserve">--, INSPECTION, --</t>
  </si>
  <si>
    <t xml:space="preserve">212600-09-1</t>
  </si>
  <si>
    <t xml:space="preserve">212600-09-1 (3) / AVIO EQUIP VENTILATION GRID CLEANING</t>
  </si>
  <si>
    <t xml:space="preserve">TC/P, TC/P, TC/P, TC/P, TC/P</t>
  </si>
  <si>
    <t xml:space="preserve">39</t>
  </si>
  <si>
    <t xml:space="preserve">272100-13-1</t>
  </si>
  <si>
    <t xml:space="preserve">272100-13-1 (0) / RUDDER MECHANICAL CONTROL</t>
  </si>
  <si>
    <t xml:space="preserve">40</t>
  </si>
  <si>
    <t xml:space="preserve">281800-02-1</t>
  </si>
  <si>
    <t xml:space="preserve">281800-02-1 (2) / CENTER TANK VAPOR SEAL INSPECTION</t>
  </si>
  <si>
    <t xml:space="preserve">41</t>
  </si>
  <si>
    <t xml:space="preserve">281800-05-1</t>
  </si>
  <si>
    <t xml:space="preserve">281800-05-1 (3) / CNTR TANK FWD BKHD INSULATION INSP</t>
  </si>
  <si>
    <t xml:space="preserve">341300-13-1</t>
  </si>
  <si>
    <t xml:space="preserve">341300-13-1 (6) / ADM ACCURACY FUNCTIONAL TEST</t>
  </si>
  <si>
    <t xml:space="preserve">34-13</t>
  </si>
  <si>
    <t xml:space="preserve">47</t>
  </si>
  <si>
    <t xml:space="preserve">351351-01-1</t>
  </si>
  <si>
    <t xml:space="preserve">351351-01-1 (2) / CREW OXYGEN DISTRIBUTION FNC</t>
  </si>
  <si>
    <t xml:space="preserve">48</t>
  </si>
  <si>
    <t xml:space="preserve">361200-01-1</t>
  </si>
  <si>
    <t xml:space="preserve">361200-01-1 (2) / CROSSBLEED VALVE MANUAL MODE OPS CHK</t>
  </si>
  <si>
    <t xml:space="preserve">49</t>
  </si>
  <si>
    <t xml:space="preserve">524100-01-1</t>
  </si>
  <si>
    <t xml:space="preserve">524100-01-1 (4) / AVIONICS COMP. DOORS SEALS INSP</t>
  </si>
  <si>
    <t xml:space="preserve">52-41</t>
  </si>
  <si>
    <t xml:space="preserve">50</t>
  </si>
  <si>
    <t xml:space="preserve">530000-01-1</t>
  </si>
  <si>
    <t xml:space="preserve">530000-01-1 (4) / FUSELAGE DRAIN VALVE INSP</t>
  </si>
  <si>
    <t xml:space="preserve">53-00</t>
  </si>
  <si>
    <t xml:space="preserve">CLEAN-UP, INSPECTION, INSPECTION</t>
  </si>
  <si>
    <t xml:space="preserve">58</t>
  </si>
  <si>
    <t xml:space="preserve">532137-03-1</t>
  </si>
  <si>
    <t xml:space="preserve">532137-03-1 (1) / FWD CARGO DOOR CUTOUT PANELS DETAILED INSPECTION</t>
  </si>
  <si>
    <t xml:space="preserve">JOB-SETUP, INSPECTION, CLOSE-UP</t>
  </si>
  <si>
    <t xml:space="preserve">JOB-SETUP, INSPECTION, INSPECTION, INSPECTION, JOB-CLOSEUP</t>
  </si>
  <si>
    <t xml:space="preserve">63</t>
  </si>
  <si>
    <t xml:space="preserve">534148-01-1</t>
  </si>
  <si>
    <t xml:space="preserve">534148-01-1 (2) / FUSELAGE UNDER BELLY FAIRING INSP</t>
  </si>
  <si>
    <t xml:space="preserve">64</t>
  </si>
  <si>
    <t xml:space="preserve">534159-02-1</t>
  </si>
  <si>
    <t xml:space="preserve">534159-02-1 (1) / DETAILED INSPECTION OF AFT CARGO DOOR CUTOUT UPPER AND LOWER CORNERS, EXTERNAL SURFACE.</t>
  </si>
  <si>
    <t xml:space="preserve">65</t>
  </si>
  <si>
    <t xml:space="preserve">534171-02-1</t>
  </si>
  <si>
    <t xml:space="preserve">534171-02-1 (1) / DETAILED INSPECTION OF FUSELAGE SKIN OF BULK CARGO DOOR CUTOUT AT UPPER CORNERS</t>
  </si>
  <si>
    <t xml:space="preserve">67</t>
  </si>
  <si>
    <t xml:space="preserve">534301-01-1</t>
  </si>
  <si>
    <t xml:space="preserve">534301-01-1 (0) / REAR FUSELAGE</t>
  </si>
  <si>
    <t xml:space="preserve">69</t>
  </si>
  <si>
    <t xml:space="preserve">551020-01-1</t>
  </si>
  <si>
    <t xml:space="preserve">551020-01-1 (3) / ELEVATOR HNG SUPPORTS AND FTNGS INSP</t>
  </si>
  <si>
    <t xml:space="preserve">55-16</t>
  </si>
  <si>
    <t xml:space="preserve">70</t>
  </si>
  <si>
    <t xml:space="preserve">552002-01-1</t>
  </si>
  <si>
    <t xml:space="preserve">552002-01-1 (2) / ELEVATOR HNG SUPPORT &amp; ACT FTG INSP</t>
  </si>
  <si>
    <t xml:space="preserve">55-20</t>
  </si>
  <si>
    <t xml:space="preserve">72</t>
  </si>
  <si>
    <t xml:space="preserve">553005-01-1</t>
  </si>
  <si>
    <t xml:space="preserve">553005-01-1 (2) / RUDDER HINGE ARMS AND ACTUATOR INSP</t>
  </si>
  <si>
    <t xml:space="preserve">55-30</t>
  </si>
  <si>
    <t xml:space="preserve">73</t>
  </si>
  <si>
    <t xml:space="preserve">553006-01-2</t>
  </si>
  <si>
    <t xml:space="preserve">553006-01-2 (2) / RUDDER HINGE ARM 6 AND 7 INSPECTION</t>
  </si>
  <si>
    <t xml:space="preserve">74</t>
  </si>
  <si>
    <t xml:space="preserve">554003-01-1</t>
  </si>
  <si>
    <t xml:space="preserve">554003-01-1 (03) / RUDDER SIDE PANELS INSPECTION</t>
  </si>
  <si>
    <t xml:space="preserve">55-40</t>
  </si>
  <si>
    <t xml:space="preserve">JOB-SETUP, CLEAN-UP, X-RAY / NDT, X-RAY / NDT, JOB-CLOSEUP</t>
  </si>
  <si>
    <t xml:space="preserve">75</t>
  </si>
  <si>
    <t xml:space="preserve">554005-01-1</t>
  </si>
  <si>
    <t xml:space="preserve">554005-01-1 (2) / RUDDER FTNG, ACT. ATTACH FTNG INSP</t>
  </si>
  <si>
    <t xml:space="preserve">76</t>
  </si>
  <si>
    <t xml:space="preserve">554006-01-1</t>
  </si>
  <si>
    <t xml:space="preserve">554006-01-1 (2) / RUDDER ATTACH FITTING 6 AND 7 INSP</t>
  </si>
  <si>
    <t xml:space="preserve">77</t>
  </si>
  <si>
    <t xml:space="preserve">554008-01-1</t>
  </si>
  <si>
    <t xml:space="preserve">554008-01-1 (3) / RUDDER L/H AND R/H SIDE PANELS INSP</t>
  </si>
  <si>
    <t xml:space="preserve">JOB-SETUP, JOB-SETUP, X-RAY / NDT, X-RAY / NDT, JOB-CLOSEUP</t>
  </si>
  <si>
    <t xml:space="preserve">78</t>
  </si>
  <si>
    <t xml:space="preserve">554009-01-1</t>
  </si>
  <si>
    <t xml:space="preserve">554009-01-1 (3) / RUDDER SIDE PNL (ELCH TEST) NDT INSP</t>
  </si>
  <si>
    <t xml:space="preserve">82</t>
  </si>
  <si>
    <t xml:space="preserve">572049-01-3-001</t>
  </si>
  <si>
    <t xml:space="preserve">572049-01-3-001 (02) / L/H O/WNG BOTOM SKN DRAIN HOLES INSP</t>
  </si>
  <si>
    <t xml:space="preserve">57-41</t>
  </si>
  <si>
    <t xml:space="preserve">83</t>
  </si>
  <si>
    <t xml:space="preserve">572049-01-3-002</t>
  </si>
  <si>
    <t xml:space="preserve">572049-01-3-002 (02) / R/H O/WNG BOTOM SKN DRAIN HOLES INSP</t>
  </si>
  <si>
    <t xml:space="preserve">86</t>
  </si>
  <si>
    <t xml:space="preserve">572153-01-1-001</t>
  </si>
  <si>
    <t xml:space="preserve">572153-01-1-001 (02) / L/H WING BOTTOM SKIN DRAIN HOLES INSP</t>
  </si>
  <si>
    <t xml:space="preserve">87</t>
  </si>
  <si>
    <t xml:space="preserve">572153-01-1-002</t>
  </si>
  <si>
    <t xml:space="preserve">572153-01-1-002 (02) / RH WING BOTTOM SKIN DRAIN HOLES INSP</t>
  </si>
  <si>
    <t xml:space="preserve">88</t>
  </si>
  <si>
    <t xml:space="preserve">572161-01-11-001</t>
  </si>
  <si>
    <t xml:space="preserve">572161-01-11-001 (04) / LH O/WING BTTM ACCSS (RIB13-27) INSP</t>
  </si>
  <si>
    <t xml:space="preserve">89</t>
  </si>
  <si>
    <t xml:space="preserve">572161-01-11-002</t>
  </si>
  <si>
    <t xml:space="preserve">572161-01-11-002 (04) / RH O/WING BTTM ACCSS (RIB13-27) INSP</t>
  </si>
  <si>
    <t xml:space="preserve">90</t>
  </si>
  <si>
    <t xml:space="preserve">572651-01-2-001</t>
  </si>
  <si>
    <t xml:space="preserve">572651-01-2-001 (02) / L/H OTR WING REAR SPAR JAK FTNG INSP</t>
  </si>
  <si>
    <t xml:space="preserve">57-26</t>
  </si>
  <si>
    <t xml:space="preserve">91</t>
  </si>
  <si>
    <t xml:space="preserve">572651-01-2-002</t>
  </si>
  <si>
    <t xml:space="preserve">572651-01-2-002 (02) / R/H OUTR WING REAR SPAR JACK FITTING</t>
  </si>
  <si>
    <t xml:space="preserve">92</t>
  </si>
  <si>
    <t xml:space="preserve">574206-01-1</t>
  </si>
  <si>
    <t xml:space="preserve">574206-01-1 (1) / DETAILED INSPECTION OF SLAT 1, PINION AND RACK TEETH, LH/RH.</t>
  </si>
  <si>
    <t xml:space="preserve">93</t>
  </si>
  <si>
    <t xml:space="preserve">574306-01-1-001</t>
  </si>
  <si>
    <t xml:space="preserve">574306-01-1-001 (01) / DETAILED INSPECTION OF L/H SLAT 2, PINION AND RACK TEETH.</t>
  </si>
  <si>
    <t xml:space="preserve">94</t>
  </si>
  <si>
    <t xml:space="preserve">574306-01-1-002</t>
  </si>
  <si>
    <t xml:space="preserve">574306-01-1-002 (01) / DETAILED INSPECTION OF R/H SLAT 2, PINION AND RACK TEETH</t>
  </si>
  <si>
    <t xml:space="preserve">95</t>
  </si>
  <si>
    <t xml:space="preserve">574406-01-1</t>
  </si>
  <si>
    <t xml:space="preserve">574406-01-1 (1) / DETAILED INSPECTION OF SLAT 3, PINION AND RACK TEETH, LH/RH.</t>
  </si>
  <si>
    <t xml:space="preserve">96</t>
  </si>
  <si>
    <t xml:space="preserve">574506-01-1-001</t>
  </si>
  <si>
    <t xml:space="preserve">574506-01-1-001 (01) / DETAILED INSPECTION OF L/H SLAT 4, PINION AND RACK TEETH.</t>
  </si>
  <si>
    <t xml:space="preserve">97</t>
  </si>
  <si>
    <t xml:space="preserve">574506-01-1-002</t>
  </si>
  <si>
    <t xml:space="preserve">574506-01-1-002 (01) / DETAILED INSPECTION OF R/H SLAT 4, PINION AND RACK TEETH</t>
  </si>
  <si>
    <t xml:space="preserve">98</t>
  </si>
  <si>
    <t xml:space="preserve">574606-01-1</t>
  </si>
  <si>
    <t xml:space="preserve">574606-01-1 (1) / DETAILED INSPECTION OF SLAT 5, PINION AND RACK TEETH, LH/RH.</t>
  </si>
  <si>
    <t xml:space="preserve">100</t>
  </si>
  <si>
    <t xml:space="preserve">575167-01-1-001</t>
  </si>
  <si>
    <t xml:space="preserve">575167-01-1-001 (02) / L/H OUTER WING BTOM SKN PNL NO3 INSP</t>
  </si>
  <si>
    <t xml:space="preserve">101</t>
  </si>
  <si>
    <t xml:space="preserve">575167-01-1-002</t>
  </si>
  <si>
    <t xml:space="preserve">575167-01-1-002 (02) / R/H OUTER WING BTTM SKIN NO.3 INSP</t>
  </si>
  <si>
    <t xml:space="preserve">102</t>
  </si>
  <si>
    <t xml:space="preserve">783210-01-1</t>
  </si>
  <si>
    <t xml:space="preserve">783210-01-1 (0) / THRUST REVERSER STRUCTURE</t>
  </si>
  <si>
    <t xml:space="preserve">103</t>
  </si>
  <si>
    <t xml:space="preserve">ZL-110-01-1</t>
  </si>
  <si>
    <t xml:space="preserve">ZL-110-01-1 (3) / RADOME ZONAL INSPECTION</t>
  </si>
  <si>
    <t xml:space="preserve">104</t>
  </si>
  <si>
    <t xml:space="preserve">ZL-121-02-1</t>
  </si>
  <si>
    <t xml:space="preserve">ZL-121-02-1 (3) / AVIONIC COMPARTMENT ZONAL INSP</t>
  </si>
  <si>
    <t xml:space="preserve">106</t>
  </si>
  <si>
    <t xml:space="preserve">ZL-127-02-2</t>
  </si>
  <si>
    <t xml:space="preserve">ZL-127-02-2 (3) / REAR AVIONIC COMPARTMENT ZONAL INSP</t>
  </si>
  <si>
    <t xml:space="preserve">107</t>
  </si>
  <si>
    <t xml:space="preserve">ZL-131-02-1</t>
  </si>
  <si>
    <t xml:space="preserve">ZL-131-02-1 (2) / FORWARD CARGO COMPARTMENT INSPECTION</t>
  </si>
  <si>
    <t xml:space="preserve">JOB-SETUP, INSPECTION, INSPECTION, JOB-CLOSEUP, INSPECTION, JOB-CLOSEUP</t>
  </si>
  <si>
    <t xml:space="preserve">110</t>
  </si>
  <si>
    <t xml:space="preserve">ZL-147-03-1</t>
  </si>
  <si>
    <t xml:space="preserve">ZL-147-03-1 (3) / MLG-WELL AND HYD COMPARTMENT INSP</t>
  </si>
  <si>
    <t xml:space="preserve">113</t>
  </si>
  <si>
    <t xml:space="preserve">ZL-161-02-3</t>
  </si>
  <si>
    <t xml:space="preserve">ZL-161-02-3 (0) / BULK CARGO COMPARTMENT</t>
  </si>
  <si>
    <t xml:space="preserve">116</t>
  </si>
  <si>
    <t xml:space="preserve">ZL-191-02-1</t>
  </si>
  <si>
    <t xml:space="preserve">ZL-191-02-1 (02) / AIR CONDITIONING COMPART &amp; FRNG INSP</t>
  </si>
  <si>
    <t xml:space="preserve">118</t>
  </si>
  <si>
    <t xml:space="preserve">ZL-195-01-1</t>
  </si>
  <si>
    <t xml:space="preserve">ZL-195-01-1 (4) / HYDRAULIC COMP &amp; FAIRINGS ZONAL INSP</t>
  </si>
  <si>
    <t xml:space="preserve">119</t>
  </si>
  <si>
    <t xml:space="preserve">ZL-197-01-1</t>
  </si>
  <si>
    <t xml:space="preserve">ZL-197-01-1 (01) / REAR FAIRING ZONAL INSPECTION</t>
  </si>
  <si>
    <t xml:space="preserve">120</t>
  </si>
  <si>
    <t xml:space="preserve">ZL-200-02-1</t>
  </si>
  <si>
    <t xml:space="preserve">ZL-200-02-1 (04) / UPPER HALF OF FUSELAGE ZON GVI</t>
  </si>
  <si>
    <t xml:space="preserve">121</t>
  </si>
  <si>
    <t xml:space="preserve">ZL-200-04-1</t>
  </si>
  <si>
    <t xml:space="preserve">ZL-200-04-1 (0) / UPPER HALF OF FUSELAGE</t>
  </si>
  <si>
    <t xml:space="preserve">123</t>
  </si>
  <si>
    <t xml:space="preserve">ZL-311-01-1</t>
  </si>
  <si>
    <t xml:space="preserve">ZL-311-01-1 (04) / AFT FUSELAGE TAIL SECTION ZONAL INSP</t>
  </si>
  <si>
    <t xml:space="preserve">05-23</t>
  </si>
  <si>
    <t xml:space="preserve">124</t>
  </si>
  <si>
    <t xml:space="preserve">ZL-313-01-1</t>
  </si>
  <si>
    <t xml:space="preserve">ZL-313-01-1 (4) / TAIL CONE APU AIR INTAKE AREA INSP</t>
  </si>
  <si>
    <t xml:space="preserve">125</t>
  </si>
  <si>
    <t xml:space="preserve">ZL-317-01-1</t>
  </si>
  <si>
    <t xml:space="preserve">ZL-317-01-1 (3) / TAIL CONE/APU EXHAUST AREA INSP</t>
  </si>
  <si>
    <t xml:space="preserve">126</t>
  </si>
  <si>
    <t xml:space="preserve">ZL-325-01-1</t>
  </si>
  <si>
    <t xml:space="preserve">ZL-325-01-1 (4) / VERT STAB TRAILING EDGE ZONAL INSP</t>
  </si>
  <si>
    <t xml:space="preserve">127</t>
  </si>
  <si>
    <t xml:space="preserve">ZL-334-02-1</t>
  </si>
  <si>
    <t xml:space="preserve">ZL-334-02-1 (2) / THS TRAILING EDGE ZONAL INSPECTION</t>
  </si>
  <si>
    <t xml:space="preserve">128</t>
  </si>
  <si>
    <t xml:space="preserve">ZL-415-01-1-001</t>
  </si>
  <si>
    <t xml:space="preserve">ZL-415-01-1-001 (03) / L/H ENGINE LOWER PYLON ZONAL INSP</t>
  </si>
  <si>
    <t xml:space="preserve">129</t>
  </si>
  <si>
    <t xml:space="preserve">ZL-415-01-1-002</t>
  </si>
  <si>
    <t xml:space="preserve">ZL-415-01-1-002 (03) / R/H ENGINE LOWER PYLON ZONAL INSP</t>
  </si>
  <si>
    <t xml:space="preserve">130</t>
  </si>
  <si>
    <t xml:space="preserve">ZL-433-01-1-001</t>
  </si>
  <si>
    <t xml:space="preserve">ZL-433-01-1-001 (02) / NO. 1 ENGINE AIR INTAKE LIP INSP</t>
  </si>
  <si>
    <t xml:space="preserve">131</t>
  </si>
  <si>
    <t xml:space="preserve">ZL-433-01-1-002</t>
  </si>
  <si>
    <t xml:space="preserve">ZL-433-01-1-002 (02) / NO. 2 ENGINE AIR INTAKE LIP INSP</t>
  </si>
  <si>
    <t xml:space="preserve">132</t>
  </si>
  <si>
    <t xml:space="preserve">ZL-500-03-1-001</t>
  </si>
  <si>
    <t xml:space="preserve">ZL-500-03-1-001 (03) / L/H WING UPPER SURFACE ZONAL INSP</t>
  </si>
  <si>
    <t xml:space="preserve">133</t>
  </si>
  <si>
    <t xml:space="preserve">ZL-500-03-1-002</t>
  </si>
  <si>
    <t xml:space="preserve">ZL-500-03-1-002 (03) / R/H WING UPPER SURFACE ZONAL INSP</t>
  </si>
  <si>
    <t xml:space="preserve">134</t>
  </si>
  <si>
    <t xml:space="preserve">ZL-521-01-1-001</t>
  </si>
  <si>
    <t xml:space="preserve">ZL-521-01-1-001 (03) / L/H INBOARD FIXED L/E STRUCTURE INSP</t>
  </si>
  <si>
    <t xml:space="preserve">135</t>
  </si>
  <si>
    <t xml:space="preserve">ZL-521-01-1-002</t>
  </si>
  <si>
    <t xml:space="preserve">ZL-521-01-1-002 (03) / R/H INBOARD FIXED L/E STRUCTURE INSP</t>
  </si>
  <si>
    <t xml:space="preserve">136</t>
  </si>
  <si>
    <t xml:space="preserve">ZL-522-01-1-001</t>
  </si>
  <si>
    <t xml:space="preserve">ZL-522-01-1-001 (03) / L/H WING O/B FIXED LEADING EDGE INSP</t>
  </si>
  <si>
    <t xml:space="preserve">137</t>
  </si>
  <si>
    <t xml:space="preserve">ZL-522-01-1-002</t>
  </si>
  <si>
    <t xml:space="preserve">ZL-522-01-1-002 (03) / R WING O/B FIXED LEADING EDGE INSP</t>
  </si>
  <si>
    <t xml:space="preserve">138</t>
  </si>
  <si>
    <t xml:space="preserve">ZL-531-02-1-001</t>
  </si>
  <si>
    <t xml:space="preserve">ZL-531-02-1-001 (02) / L/H FLAP TRACK NO 2 AND FAIRING INSP</t>
  </si>
  <si>
    <t xml:space="preserve">139</t>
  </si>
  <si>
    <t xml:space="preserve">ZL-531-02-1-002</t>
  </si>
  <si>
    <t xml:space="preserve">ZL-531-02-1-002 (02) / R/H FLAP TRACK NO 2 AND FAIRING</t>
  </si>
  <si>
    <t xml:space="preserve">140</t>
  </si>
  <si>
    <t xml:space="preserve">ZL-532-01-1-001</t>
  </si>
  <si>
    <t xml:space="preserve">ZL-532-01-1-001 (04) / L/H FLAP TRACK NO 3 AND FAIRING INSP</t>
  </si>
  <si>
    <t xml:space="preserve">141</t>
  </si>
  <si>
    <t xml:space="preserve">ZL-532-01-1-002</t>
  </si>
  <si>
    <t xml:space="preserve">ZL-532-01-1-002 (04) / R/H FLAP TRACK NO 3 AND FAIRING INSP</t>
  </si>
  <si>
    <t xml:space="preserve">142</t>
  </si>
  <si>
    <t xml:space="preserve">ZL-532-02-1-001</t>
  </si>
  <si>
    <t xml:space="preserve">ZL-532-02-1-001 (01) / L/H FLAP TRACK NO 3 AND FAIRING</t>
  </si>
  <si>
    <t xml:space="preserve">143</t>
  </si>
  <si>
    <t xml:space="preserve">ZL-532-02-1-002</t>
  </si>
  <si>
    <t xml:space="preserve">ZL-532-02-1-002 (01) / R/H FLAP TRACK NO 3 AND FAIRING</t>
  </si>
  <si>
    <t xml:space="preserve">144</t>
  </si>
  <si>
    <t xml:space="preserve">ZL-533-01-1-001</t>
  </si>
  <si>
    <t xml:space="preserve">ZL-533-01-1-001 (04) / L/H FLAP TRACK NO 4 AND FAIRING INSP</t>
  </si>
  <si>
    <t xml:space="preserve">145</t>
  </si>
  <si>
    <t xml:space="preserve">ZL-533-01-1-002</t>
  </si>
  <si>
    <t xml:space="preserve">ZL-533-01-1-002 (04) / R/H FLAP TRACK NO 4 AND FAIRING INSP</t>
  </si>
  <si>
    <t xml:space="preserve">146</t>
  </si>
  <si>
    <t xml:space="preserve">ZL-571-02-1-001</t>
  </si>
  <si>
    <t xml:space="preserve">ZL-571-02-1-001 (03) / LEFT MLG BAY ZONAL INSP</t>
  </si>
  <si>
    <t xml:space="preserve">147</t>
  </si>
  <si>
    <t xml:space="preserve">ZL-571-02-1-002</t>
  </si>
  <si>
    <t xml:space="preserve">ZL-571-02-1-002 (03) / RIGHT MLG BAY ZONAL INSP</t>
  </si>
  <si>
    <t xml:space="preserve">148</t>
  </si>
  <si>
    <t xml:space="preserve">ZL-573-01-1-001</t>
  </si>
  <si>
    <t xml:space="preserve">ZL-573-01-1-001 (04) / L/H INBOARD FIXED T/E STRUCTURE INSP</t>
  </si>
  <si>
    <t xml:space="preserve">149</t>
  </si>
  <si>
    <t xml:space="preserve">ZL-573-01-1-002</t>
  </si>
  <si>
    <t xml:space="preserve">ZL-573-01-1-002 (04) / R/H INBOARD FIXED T/E STRUCTURE INSP</t>
  </si>
  <si>
    <t xml:space="preserve">150</t>
  </si>
  <si>
    <t xml:space="preserve">ZL-574-01-1-001</t>
  </si>
  <si>
    <t xml:space="preserve">ZL-574-01-1-001 (04) / L/H WING FALSE SPAR BOX ZONAL INSP</t>
  </si>
  <si>
    <t xml:space="preserve">--, PRE INSP</t>
  </si>
  <si>
    <t xml:space="preserve">151</t>
  </si>
  <si>
    <t xml:space="preserve">ZL-574-01-1-002</t>
  </si>
  <si>
    <t xml:space="preserve">ZL-574-01-1-002 (04) / R/H WING FALSE SPAR BOX ZONAL INSP</t>
  </si>
  <si>
    <t xml:space="preserve">152</t>
  </si>
  <si>
    <t xml:space="preserve">ZL-590-01-1-001</t>
  </si>
  <si>
    <t xml:space="preserve">ZL-590-01-1-001 (03) / L/H WING AILERON INSPECTION</t>
  </si>
  <si>
    <t xml:space="preserve">153</t>
  </si>
  <si>
    <t xml:space="preserve">ZL-590-01-1-002</t>
  </si>
  <si>
    <t xml:space="preserve">ZL-590-01-1-002 (03) / R/H WING AILERON INSPECTION</t>
  </si>
  <si>
    <t xml:space="preserve">154</t>
  </si>
  <si>
    <t xml:space="preserve">ZL-811-01-1</t>
  </si>
  <si>
    <t xml:space="preserve">ZL-811-01-1 (03) / FWD AVIONICS COMP. DOOR ZONAL INSP</t>
  </si>
  <si>
    <t xml:space="preserve">155</t>
  </si>
  <si>
    <t xml:space="preserve">ZL-812-01-1</t>
  </si>
  <si>
    <t xml:space="preserve">ZL-812-01-1 (03) / LATERAL AVIONICS COMP. DOORS INSP</t>
  </si>
  <si>
    <t xml:space="preserve">156</t>
  </si>
  <si>
    <t xml:space="preserve">ZL-824-01-1</t>
  </si>
  <si>
    <t xml:space="preserve">ZL-824-01-1 (03) / REAR AVIONICS COMPARTMENT DOOR INSP</t>
  </si>
  <si>
    <t xml:space="preserve">PRE INSP, PRE INSP, PRE INSP, PRE INSP</t>
  </si>
  <si>
    <t xml:space="preserve">161</t>
  </si>
  <si>
    <t xml:space="preserve">21-SVA-01</t>
  </si>
  <si>
    <t xml:space="preserve">21-SVA-01 (00) / AC-COMPRESSOR DISCHARGE TEMP. SENSOR (CDS) CLN</t>
  </si>
  <si>
    <t xml:space="preserve">21-61</t>
  </si>
  <si>
    <t xml:space="preserve">164</t>
  </si>
  <si>
    <t xml:space="preserve">242000-01-1</t>
  </si>
  <si>
    <t xml:space="preserve">242000-01-1 (3) / GAPCU OPERATIONAL TEST</t>
  </si>
  <si>
    <t xml:space="preserve">24-41</t>
  </si>
  <si>
    <t xml:space="preserve">166</t>
  </si>
  <si>
    <t xml:space="preserve">242800-01-2</t>
  </si>
  <si>
    <t xml:space="preserve">242800-01-2 (4) / STATIC INVERTER OPERATIONAL CHECK</t>
  </si>
  <si>
    <t xml:space="preserve">24-28</t>
  </si>
  <si>
    <t xml:space="preserve">167</t>
  </si>
  <si>
    <t xml:space="preserve">243800-01-1</t>
  </si>
  <si>
    <t xml:space="preserve">243800-01-1 (3) / BATT CHARGE LIMITER OPS CHECK</t>
  </si>
  <si>
    <t xml:space="preserve">24-38</t>
  </si>
  <si>
    <t xml:space="preserve">184</t>
  </si>
  <si>
    <t xml:space="preserve">255000-16-1-001</t>
  </si>
  <si>
    <t xml:space="preserve">255000-16-1-001 (03) / FWD CARGO COMP DIVIDER NETS INSP</t>
  </si>
  <si>
    <t xml:space="preserve">185</t>
  </si>
  <si>
    <t xml:space="preserve">255000-16-1-002</t>
  </si>
  <si>
    <t xml:space="preserve">255000-16-1-002 (03) / AFT AND BULK CARGO COMP NETS INSP</t>
  </si>
  <si>
    <t xml:space="preserve">CLEAN-UP, CLEAN-UP, OPS/LK, OPS/LK</t>
  </si>
  <si>
    <t xml:space="preserve">187</t>
  </si>
  <si>
    <t xml:space="preserve">261200-01-1</t>
  </si>
  <si>
    <t xml:space="preserve">261200-01-1 (4) / ENG FIRE &amp; OVERHEAT DETECTION TEST</t>
  </si>
  <si>
    <t xml:space="preserve">26-12</t>
  </si>
  <si>
    <t xml:space="preserve">188</t>
  </si>
  <si>
    <t xml:space="preserve">261600-06-1</t>
  </si>
  <si>
    <t xml:space="preserve">261600-06-1 (0) / CARGO COMPARTMENT SMOKE DETECTION</t>
  </si>
  <si>
    <t xml:space="preserve">191</t>
  </si>
  <si>
    <t xml:space="preserve">274000-02-1</t>
  </si>
  <si>
    <t xml:space="preserve">274000-02-1 (4) / THS ACT OPS CHK (CMR)</t>
  </si>
  <si>
    <t xml:space="preserve">192</t>
  </si>
  <si>
    <t xml:space="preserve">274451-01-1</t>
  </si>
  <si>
    <t xml:space="preserve">274451-01-1 (2) / THS BALL SCREW NUT LUBRICATION</t>
  </si>
  <si>
    <t xml:space="preserve">193</t>
  </si>
  <si>
    <t xml:space="preserve">274451-10-1</t>
  </si>
  <si>
    <t xml:space="preserve">274451-10-1 (5) / THSA LOWER ATTACHM FOR SECOND LOAD</t>
  </si>
  <si>
    <t xml:space="preserve">JOB-SETUP, TC/P, INSPECTION, INSPECTION, INSPECTION, JOB-CLOSEUP</t>
  </si>
  <si>
    <t xml:space="preserve">194</t>
  </si>
  <si>
    <t xml:space="preserve">274451-11-1</t>
  </si>
  <si>
    <t xml:space="preserve">274451-11-1 (5) / THS UPER ATTACH FOR SECOND LOAD INSP</t>
  </si>
  <si>
    <t xml:space="preserve">JOB-SETUP, INSPECTION, INSPECTION, INSPECTION, INSPECTION, JOB-CLOSEUP</t>
  </si>
  <si>
    <t xml:space="preserve">195</t>
  </si>
  <si>
    <t xml:space="preserve">275446-01-1-001</t>
  </si>
  <si>
    <t xml:space="preserve">275446-01-1-001 (03) / L/H FLAP TRACKS LUBRICATION</t>
  </si>
  <si>
    <t xml:space="preserve">196</t>
  </si>
  <si>
    <t xml:space="preserve">275446-01-1-002</t>
  </si>
  <si>
    <t xml:space="preserve">275446-01-1-002 (03) / R/H FLAP TRACKS LUBRICATION</t>
  </si>
  <si>
    <t xml:space="preserve">197</t>
  </si>
  <si>
    <t xml:space="preserve">278468-01-1-002</t>
  </si>
  <si>
    <t xml:space="preserve">278468-01-1-002 (02) / R/H WING SLAT TRACK LUBRICATION</t>
  </si>
  <si>
    <t xml:space="preserve">198</t>
  </si>
  <si>
    <t xml:space="preserve">281100-02-1</t>
  </si>
  <si>
    <t xml:space="preserve">281100-02-1 (3) / TANKS WATER DRAIN</t>
  </si>
  <si>
    <t xml:space="preserve">203</t>
  </si>
  <si>
    <t xml:space="preserve">282800-09-1</t>
  </si>
  <si>
    <t xml:space="preserve">282800-09-1 (03) / ADDITIONAL CENTER TANK TRANSFER SYSTEM (GVI)</t>
  </si>
  <si>
    <t xml:space="preserve">204</t>
  </si>
  <si>
    <t xml:space="preserve">291000-01-1</t>
  </si>
  <si>
    <t xml:space="preserve">291000-01-1 (3) / HYD RESERVOIRS FLUID LEVEL CHECK</t>
  </si>
  <si>
    <t xml:space="preserve">205</t>
  </si>
  <si>
    <t xml:space="preserve">291000-18-1</t>
  </si>
  <si>
    <t xml:space="preserve">291000-18-1 (2) / HYDRAULIC RECOVERY TANK DRAINAGE</t>
  </si>
  <si>
    <t xml:space="preserve">29-27</t>
  </si>
  <si>
    <t xml:space="preserve">206</t>
  </si>
  <si>
    <t xml:space="preserve">292251-02-1</t>
  </si>
  <si>
    <t xml:space="preserve">292251-02-1 (2) / RAT ASSEMBLY AND DOOR INSP</t>
  </si>
  <si>
    <t xml:space="preserve">29-22</t>
  </si>
  <si>
    <t xml:space="preserve">208</t>
  </si>
  <si>
    <t xml:space="preserve">313000-01-1</t>
  </si>
  <si>
    <t xml:space="preserve">313000-01-1 (5) / CLASS 3 FAULTS READING CHECK</t>
  </si>
  <si>
    <t xml:space="preserve">31-30</t>
  </si>
  <si>
    <t xml:space="preserve">209</t>
  </si>
  <si>
    <t xml:space="preserve">313300-08-1</t>
  </si>
  <si>
    <t xml:space="preserve">313300-08-1 (3) / DFDR SYSTEM INTERCONNECTION</t>
  </si>
  <si>
    <t xml:space="preserve">31-33</t>
  </si>
  <si>
    <t xml:space="preserve">210</t>
  </si>
  <si>
    <t xml:space="preserve">323000-01-1-001</t>
  </si>
  <si>
    <t xml:space="preserve">323000-01-1-001 (4) / (NLG) DOWNLOCK SPRING &amp; ATTACHMENT</t>
  </si>
  <si>
    <t xml:space="preserve">211</t>
  </si>
  <si>
    <t xml:space="preserve">323000-01-1-002</t>
  </si>
  <si>
    <t xml:space="preserve">323000-01-1-002 (4) / LH(MLG)DOWINLOCK SPRING &amp; ATTACHMENT</t>
  </si>
  <si>
    <t xml:space="preserve">212</t>
  </si>
  <si>
    <t xml:space="preserve">323000-01-1-003</t>
  </si>
  <si>
    <t xml:space="preserve">323000-01-1-003 (4) / RH(MLG)DOWINLOCK SPRING &amp; ATTACHMENT</t>
  </si>
  <si>
    <t xml:space="preserve">213</t>
  </si>
  <si>
    <t xml:space="preserve">324411-01-2</t>
  </si>
  <si>
    <t xml:space="preserve">324411-01-2 (3) / BRAKE ACCUMULATOR</t>
  </si>
  <si>
    <t xml:space="preserve">32-44</t>
  </si>
  <si>
    <t xml:space="preserve">214</t>
  </si>
  <si>
    <t xml:space="preserve">344200-03-1</t>
  </si>
  <si>
    <t xml:space="preserve">344200-03-1 (5) / RADIO ALTIMETER &amp; ANTENNA CLEANING</t>
  </si>
  <si>
    <t xml:space="preserve">PRE INSP, PRE INSP, PRE INSP</t>
  </si>
  <si>
    <t xml:space="preserve">217</t>
  </si>
  <si>
    <t xml:space="preserve">361100-08-2-001-SVA</t>
  </si>
  <si>
    <t xml:space="preserve">361100-08-2-001-SVA (07) / NO. 1 ENGINE HIGH PRESSURE DUCT INSPECTION</t>
  </si>
  <si>
    <t xml:space="preserve">JOB-SETUP, INSPECTION, --, --, --, INSPECTION, JOB-CLOSEUP</t>
  </si>
  <si>
    <t xml:space="preserve">218</t>
  </si>
  <si>
    <t xml:space="preserve">361100-08-2-002-SVA</t>
  </si>
  <si>
    <t xml:space="preserve">361100-08-2-002-SVA (07) / NO. 2 ENGINE HIGH PRESSURE DUCT INSPECTION</t>
  </si>
  <si>
    <t xml:space="preserve">220</t>
  </si>
  <si>
    <t xml:space="preserve">49-90-00-01-1-SVA</t>
  </si>
  <si>
    <t xml:space="preserve">49-90-00-01-1-SVA (00) / APU OIL COOLER CLEANING</t>
  </si>
  <si>
    <t xml:space="preserve">221</t>
  </si>
  <si>
    <t xml:space="preserve">52-31-00-01-0-SVA</t>
  </si>
  <si>
    <t xml:space="preserve">52-31-00-01-0-SVA (02) / FWD CARGO COMPARTMENT DOOR PROXIMITY (28WV &amp; 30WV) SWITCH AND TARGET CLEANING</t>
  </si>
  <si>
    <t xml:space="preserve">JOB-SETUP, --, --, --</t>
  </si>
  <si>
    <t xml:space="preserve">PRE HGR, INSPECTION, INSPECTION, JOB-CLOSEUP</t>
  </si>
  <si>
    <t xml:space="preserve">230</t>
  </si>
  <si>
    <t xml:space="preserve">801110-C3-1-001</t>
  </si>
  <si>
    <t xml:space="preserve">801110-C3-1-001 (01) / NO.1 ENGINE STARTER REPLENISHMENT</t>
  </si>
  <si>
    <t xml:space="preserve">232</t>
  </si>
  <si>
    <t xml:space="preserve">FRSEO722061</t>
  </si>
  <si>
    <t xml:space="preserve">FRSEO722061 (02) / ACFT FAN FRAME ASSY-ON WING INSP</t>
  </si>
  <si>
    <t xml:space="preserve">236</t>
  </si>
  <si>
    <t xml:space="preserve">200002-01-1</t>
  </si>
  <si>
    <t xml:space="preserve">200002-01-1 (2) / THS ELECTRICAL BONDING LEADS INSP</t>
  </si>
  <si>
    <t xml:space="preserve">237</t>
  </si>
  <si>
    <t xml:space="preserve">200435-01-1-001</t>
  </si>
  <si>
    <t xml:space="preserve">200435-01-1-001 (03) / NO.1 ENG FAN&amp;ACCESORY G/B WIRNG INSP</t>
  </si>
  <si>
    <t xml:space="preserve">238</t>
  </si>
  <si>
    <t xml:space="preserve">200435-01-1-002</t>
  </si>
  <si>
    <t xml:space="preserve">200435-01-1-002 (03) / NO.2 ENG FAN &amp; ACCE G/B (EWIS) INSP</t>
  </si>
  <si>
    <t xml:space="preserve">239</t>
  </si>
  <si>
    <t xml:space="preserve">200453-01-1-001</t>
  </si>
  <si>
    <t xml:space="preserve">200453-01-1-001 (05) / NO. 1 ENG HOT SECTION WIRING INSP</t>
  </si>
  <si>
    <t xml:space="preserve">240</t>
  </si>
  <si>
    <t xml:space="preserve">200453-01-1-002</t>
  </si>
  <si>
    <t xml:space="preserve">200453-01-1-002 (05) / NO. 2 ENG HOT SECTION WIRING INSP</t>
  </si>
  <si>
    <t xml:space="preserve">242</t>
  </si>
  <si>
    <t xml:space="preserve">212600-03-1</t>
  </si>
  <si>
    <t xml:space="preserve">212600-03-1 (3) / SMOKE CONFIGURATION CTL CIRCUIT OPC</t>
  </si>
  <si>
    <t xml:space="preserve">243</t>
  </si>
  <si>
    <t xml:space="preserve">212600-04-1</t>
  </si>
  <si>
    <t xml:space="preserve">212600-04-1 (3) / DITCHING CONFIGURATION CONTROL OPC</t>
  </si>
  <si>
    <t xml:space="preserve">244</t>
  </si>
  <si>
    <t xml:space="preserve">212600-08-1</t>
  </si>
  <si>
    <t xml:space="preserve">212600-08-1 (3) / AIR INLET CHECK VLV OPERATIONAL CHK</t>
  </si>
  <si>
    <t xml:space="preserve">245</t>
  </si>
  <si>
    <t xml:space="preserve">213100-01-1</t>
  </si>
  <si>
    <t xml:space="preserve">213100-01-1 (3) / PRESSURE CONTROL AND MONITORING OPC</t>
  </si>
  <si>
    <t xml:space="preserve">247</t>
  </si>
  <si>
    <t xml:space="preserve">213100-03-1</t>
  </si>
  <si>
    <t xml:space="preserve">213100-03-1 (3) / PRESSURE CONTROL AND MONITORING OPC</t>
  </si>
  <si>
    <t xml:space="preserve">249</t>
  </si>
  <si>
    <t xml:space="preserve">215000-03-2</t>
  </si>
  <si>
    <t xml:space="preserve">215000-03-2 (3) / PACK RAM AIR INLET INSPECTION</t>
  </si>
  <si>
    <t xml:space="preserve">250</t>
  </si>
  <si>
    <t xml:space="preserve">215000-08-1</t>
  </si>
  <si>
    <t xml:space="preserve">215000-08-1 (0) / AIR COOLING AND TEMPERATURE CONTROL</t>
  </si>
  <si>
    <t xml:space="preserve">251</t>
  </si>
  <si>
    <t xml:space="preserve">215000-09-1</t>
  </si>
  <si>
    <t xml:space="preserve">215000-09-1 (0) / AIR COOLING AND TEMPERATURE CONTROL</t>
  </si>
  <si>
    <t xml:space="preserve">252</t>
  </si>
  <si>
    <t xml:space="preserve">215222-01-1</t>
  </si>
  <si>
    <t xml:space="preserve">215222-01-1 (3) / AIR CYCLE MACHINE PLENUM INSP</t>
  </si>
  <si>
    <t xml:space="preserve">253</t>
  </si>
  <si>
    <t xml:space="preserve">215500-01-1</t>
  </si>
  <si>
    <t xml:space="preserve">215500-01-1 (3) / EMERGENCY RAM AIR INLET SYSTEM OPC</t>
  </si>
  <si>
    <t xml:space="preserve">21-55</t>
  </si>
  <si>
    <t xml:space="preserve">254</t>
  </si>
  <si>
    <t xml:space="preserve">215500-02-1</t>
  </si>
  <si>
    <t xml:space="preserve">215500-02-1 (4) / EMERGENCY RAM AIR INLET AND FLOW OPC</t>
  </si>
  <si>
    <t xml:space="preserve">255</t>
  </si>
  <si>
    <t xml:space="preserve">216242-01-1</t>
  </si>
  <si>
    <t xml:space="preserve">216242-01-1 (5) / TRIM AIR CHECK VALVES FLAPPERS INSP</t>
  </si>
  <si>
    <t xml:space="preserve">21-63</t>
  </si>
  <si>
    <t xml:space="preserve">JOB-SETUP, TC/P, TC/P, TC/P, OPS/LK</t>
  </si>
  <si>
    <t xml:space="preserve">256</t>
  </si>
  <si>
    <t xml:space="preserve">221000-01-1</t>
  </si>
  <si>
    <t xml:space="preserve">221000-01-1 (4) / AUTOPILOT (AP) DISENGAGEMENT OPC</t>
  </si>
  <si>
    <t xml:space="preserve">22-10</t>
  </si>
  <si>
    <t xml:space="preserve">260</t>
  </si>
  <si>
    <t xml:space="preserve">237100-02-1</t>
  </si>
  <si>
    <t xml:space="preserve">237100-02-1 (02) / COCKPIT VOICE RECORDER (CVR) OPC</t>
  </si>
  <si>
    <t xml:space="preserve">23-71</t>
  </si>
  <si>
    <t xml:space="preserve">261</t>
  </si>
  <si>
    <t xml:space="preserve">237135-02-1</t>
  </si>
  <si>
    <t xml:space="preserve">237135-02-1 (05) / UNDERWATER LOCATOR BEACON OPC</t>
  </si>
  <si>
    <t xml:space="preserve">262</t>
  </si>
  <si>
    <t xml:space="preserve">242200-01-1</t>
  </si>
  <si>
    <t xml:space="preserve">242200-01-1 (4) / ELECTRICAL TRANS INHIBITION OPC</t>
  </si>
  <si>
    <t xml:space="preserve">24-22</t>
  </si>
  <si>
    <t xml:space="preserve">263</t>
  </si>
  <si>
    <t xml:space="preserve">242400-02-1</t>
  </si>
  <si>
    <t xml:space="preserve">242400-02-1 (3) / EMERGENCY GENERATOR CONTROL UNIT OPC</t>
  </si>
  <si>
    <t xml:space="preserve">24-24</t>
  </si>
  <si>
    <t xml:space="preserve">264</t>
  </si>
  <si>
    <t xml:space="preserve">242500-01-1</t>
  </si>
  <si>
    <t xml:space="preserve">242500-01-1 (7) / AC ESSENTIAL GENRATION SWITCHING OPC</t>
  </si>
  <si>
    <t xml:space="preserve">24-25</t>
  </si>
  <si>
    <t xml:space="preserve">265</t>
  </si>
  <si>
    <t xml:space="preserve">242600-02-1</t>
  </si>
  <si>
    <t xml:space="preserve">242600-02-1 (3) / MANUAL/AUTO GALLEY &amp; BUS SHEDING OPC</t>
  </si>
  <si>
    <t xml:space="preserve">24-26</t>
  </si>
  <si>
    <t xml:space="preserve">266</t>
  </si>
  <si>
    <t xml:space="preserve">243000-13-1</t>
  </si>
  <si>
    <t xml:space="preserve">243000-13-1 (01) / DC GENERATION</t>
  </si>
  <si>
    <t xml:space="preserve">267</t>
  </si>
  <si>
    <t xml:space="preserve">243000-14-1</t>
  </si>
  <si>
    <t xml:space="preserve">243000-14-1 (01) / DC GENERATION</t>
  </si>
  <si>
    <t xml:space="preserve">24-30</t>
  </si>
  <si>
    <t xml:space="preserve">268</t>
  </si>
  <si>
    <t xml:space="preserve">243200-01-1</t>
  </si>
  <si>
    <t xml:space="preserve">243200-01-1 (6) / DC GENERATION SWITCHING OPC</t>
  </si>
  <si>
    <t xml:space="preserve">24-32</t>
  </si>
  <si>
    <t xml:space="preserve">269</t>
  </si>
  <si>
    <t xml:space="preserve">243400-01-1</t>
  </si>
  <si>
    <t xml:space="preserve">243400-01-1 (4) / DC EMERGY CONFIGURATION CAUTION OPC</t>
  </si>
  <si>
    <t xml:space="preserve">24-34</t>
  </si>
  <si>
    <t xml:space="preserve">270</t>
  </si>
  <si>
    <t xml:space="preserve">245100-01-1</t>
  </si>
  <si>
    <t xml:space="preserve">245100-01-1 (3) / GENERATOR LINE CONTACTOR OPENING OPC</t>
  </si>
  <si>
    <t xml:space="preserve">24-51</t>
  </si>
  <si>
    <t xml:space="preserve">271</t>
  </si>
  <si>
    <t xml:space="preserve">245100-02-1</t>
  </si>
  <si>
    <t xml:space="preserve">245100-02-1 (3) / COMMERCIAL ELEC LOAD SHEDDING OPC</t>
  </si>
  <si>
    <t xml:space="preserve">295</t>
  </si>
  <si>
    <t xml:space="preserve">255000-08-1</t>
  </si>
  <si>
    <t xml:space="preserve">255000-08-1 (02) / AFT CGO XZ &amp; YZ ENDSTOPS INSP</t>
  </si>
  <si>
    <t xml:space="preserve">298</t>
  </si>
  <si>
    <t xml:space="preserve">256535-04-1</t>
  </si>
  <si>
    <t xml:space="preserve">256535-04-1 (00) / EXTERNAL FIX ELT ANTENNA INSPECTION</t>
  </si>
  <si>
    <t xml:space="preserve">300</t>
  </si>
  <si>
    <t xml:space="preserve">261500-03-1</t>
  </si>
  <si>
    <t xml:space="preserve">261500-03-1 (3) / AVIONICS COMPARTMENT SMOKE DETECTION CLEAN TUBES</t>
  </si>
  <si>
    <t xml:space="preserve">26-15</t>
  </si>
  <si>
    <t xml:space="preserve">JOB-SETUP, CLEAN-UP, TC/P, OPS/LK, JOB-CLOSEUP</t>
  </si>
  <si>
    <t xml:space="preserve">301</t>
  </si>
  <si>
    <t xml:space="preserve">262100-02-1-001</t>
  </si>
  <si>
    <t xml:space="preserve">262100-02-1-001 (04) / NO. 1 ENG FIRE EXT BOTTLE LOW PRESS INDICATING CIRCUIT OPS CHK</t>
  </si>
  <si>
    <t xml:space="preserve">302</t>
  </si>
  <si>
    <t xml:space="preserve">262100-02-1-002</t>
  </si>
  <si>
    <t xml:space="preserve">262100-02-1-002 (04) / NO. 2 ENG FIRE EXT BOTTLE LOW PRESS INDICATING CIRCUIT OPS CHK</t>
  </si>
  <si>
    <t xml:space="preserve">303</t>
  </si>
  <si>
    <t xml:space="preserve">262100-03-1-001</t>
  </si>
  <si>
    <t xml:space="preserve">262100-03-1-001 (04) / NO.1 ENG FIRE EXTIG CONTINUTY CHK</t>
  </si>
  <si>
    <t xml:space="preserve">TC/P, TC/P, TC/P</t>
  </si>
  <si>
    <t xml:space="preserve">304</t>
  </si>
  <si>
    <t xml:space="preserve">262100-03-1-002</t>
  </si>
  <si>
    <t xml:space="preserve">262100-03-1-002 (04) / NO.2 ENG FIRE EXTIG CONTINUTY CHK</t>
  </si>
  <si>
    <t xml:space="preserve">306</t>
  </si>
  <si>
    <t xml:space="preserve">262200-03-1</t>
  </si>
  <si>
    <t xml:space="preserve">262200-03-1 (4) / APU FIRE EXTINGUISHING FIRING CHK</t>
  </si>
  <si>
    <t xml:space="preserve">307</t>
  </si>
  <si>
    <t xml:space="preserve">262200-04-1</t>
  </si>
  <si>
    <t xml:space="preserve">262200-04-1 (4) / APU FIRE EXTINGUISHING DISTRIBUTION PIPING INSP &amp; DISCHARGE NOZZLE</t>
  </si>
  <si>
    <t xml:space="preserve">308</t>
  </si>
  <si>
    <t xml:space="preserve">262200-05-1</t>
  </si>
  <si>
    <t xml:space="preserve">262200-05-1 (3) / APU FIRE EXTINGUISHING LOW PRESS OPC</t>
  </si>
  <si>
    <t xml:space="preserve">309</t>
  </si>
  <si>
    <t xml:space="preserve">262200-06-1</t>
  </si>
  <si>
    <t xml:space="preserve">262200-06-1 (5) / APU FIRE PUSH BUTTON &amp; LP FUEL VLV</t>
  </si>
  <si>
    <t xml:space="preserve">310</t>
  </si>
  <si>
    <t xml:space="preserve">262300-02-1</t>
  </si>
  <si>
    <t xml:space="preserve">262300-02-1 (05) / CARGO COMP FIRNG CIRCT CONTU CHK</t>
  </si>
  <si>
    <t xml:space="preserve">26-23</t>
  </si>
  <si>
    <t xml:space="preserve">311</t>
  </si>
  <si>
    <t xml:space="preserve">262300-03-1</t>
  </si>
  <si>
    <t xml:space="preserve">262300-03-1 (05) / FIRE EXTINGUISHING LINES LEAKAGE CHK</t>
  </si>
  <si>
    <t xml:space="preserve">313</t>
  </si>
  <si>
    <t xml:space="preserve">271400-01-1</t>
  </si>
  <si>
    <t xml:space="preserve">271400-01-1 (3) / AILERON DAMPING MEASUREMENT OPS TEST</t>
  </si>
  <si>
    <t xml:space="preserve">314</t>
  </si>
  <si>
    <t xml:space="preserve">271400-02-2-001</t>
  </si>
  <si>
    <t xml:space="preserve">271400-02-2-001 (04) / L/H AILERON SERVO EXCESSIVE PLAY CHK</t>
  </si>
  <si>
    <t xml:space="preserve">PRE HGR, PRE HGR, PRE HGR, PRE HGR</t>
  </si>
  <si>
    <t xml:space="preserve">315</t>
  </si>
  <si>
    <t xml:space="preserve">271400-02-2-002</t>
  </si>
  <si>
    <t xml:space="preserve">271400-02-2-002 (04) / RH AIL SERVO EXCESSIVE PLAY CHK</t>
  </si>
  <si>
    <t xml:space="preserve">320</t>
  </si>
  <si>
    <t xml:space="preserve">272100-05-1</t>
  </si>
  <si>
    <t xml:space="preserve">272100-05-1 (02) / RUDDER CENTERING SPRING-ROD</t>
  </si>
  <si>
    <t xml:space="preserve">321</t>
  </si>
  <si>
    <t xml:space="preserve">272100-07-1</t>
  </si>
  <si>
    <t xml:space="preserve">272100-07-1 (02) / RUDDER MECHANICAL CONTROL LINKAGE</t>
  </si>
  <si>
    <t xml:space="preserve">322</t>
  </si>
  <si>
    <t xml:space="preserve">272100-12-1</t>
  </si>
  <si>
    <t xml:space="preserve">272100-12-1 (00) / LUBRICATION OF RUDDER CONTROL CABLES IN REAR PART (ZONE 310).</t>
  </si>
  <si>
    <t xml:space="preserve">JOB-SETUP, --, --</t>
  </si>
  <si>
    <t xml:space="preserve">323</t>
  </si>
  <si>
    <t xml:space="preserve">272145-01-1</t>
  </si>
  <si>
    <t xml:space="preserve">272145-01-1 (02) / RUDDER CABLE TENTION REGULATOR CHECK</t>
  </si>
  <si>
    <t xml:space="preserve">324</t>
  </si>
  <si>
    <t xml:space="preserve">272400-02-1</t>
  </si>
  <si>
    <t xml:space="preserve">272400-02-1 (04) / FUNCTIONAL CHK OF RUDDER HYDRAULIC ACTUATION</t>
  </si>
  <si>
    <t xml:space="preserve">27-24</t>
  </si>
  <si>
    <t xml:space="preserve">PRE HGR, PRE HGR, PRE HGR, PRE HGR, PRE HGR, PRE HGR, PRE HGR, PRE HGR</t>
  </si>
  <si>
    <t xml:space="preserve">325</t>
  </si>
  <si>
    <t xml:space="preserve">273400-02-1</t>
  </si>
  <si>
    <t xml:space="preserve">273400-02-1 (04) / FUNCTIONAL CHECK OF ELEV SERVO CONT &amp; HINGE BEARING PLAY</t>
  </si>
  <si>
    <t xml:space="preserve">27-34</t>
  </si>
  <si>
    <t xml:space="preserve">326</t>
  </si>
  <si>
    <t xml:space="preserve">273400-03-1</t>
  </si>
  <si>
    <t xml:space="preserve">273400-03-1 (3) / ELEVATOR SERVO CONTROL FLUID-RESERVE</t>
  </si>
  <si>
    <t xml:space="preserve">327</t>
  </si>
  <si>
    <t xml:space="preserve">274000-04-1</t>
  </si>
  <si>
    <t xml:space="preserve">274000-04-1 (3) / THS ACTUATOR WITH ELECTRIC MOTOR OPC</t>
  </si>
  <si>
    <t xml:space="preserve">27-96</t>
  </si>
  <si>
    <t xml:space="preserve">328</t>
  </si>
  <si>
    <t xml:space="preserve">274000-24-1</t>
  </si>
  <si>
    <t xml:space="preserve">274000-24-1 (1) / OPERATIONAL CHECK OF THS ACTUATOR OVERRIDE MECHANISM.</t>
  </si>
  <si>
    <t xml:space="preserve">329</t>
  </si>
  <si>
    <t xml:space="preserve">274142-01-1</t>
  </si>
  <si>
    <t xml:space="preserve">274142-01-1 (3) / THS TRIM CTL TENSION REG CABLE CHK</t>
  </si>
  <si>
    <t xml:space="preserve">27-41</t>
  </si>
  <si>
    <t xml:space="preserve">331</t>
  </si>
  <si>
    <t xml:space="preserve">274451-04-1</t>
  </si>
  <si>
    <t xml:space="preserve">274451-04-1 (3) / THS ACT NUT, SCREW &amp; CLAW STOPS</t>
  </si>
  <si>
    <t xml:space="preserve">332</t>
  </si>
  <si>
    <t xml:space="preserve">274451-05-1</t>
  </si>
  <si>
    <t xml:space="preserve">274451-05-1 (4) / THSA UPPER &amp; LOWER ATTACHMENTS INSP</t>
  </si>
  <si>
    <t xml:space="preserve">333</t>
  </si>
  <si>
    <t xml:space="preserve">274451-06-1</t>
  </si>
  <si>
    <t xml:space="preserve">274451-06-1 (3) / THS ACT THREADED NUT INSPECTION</t>
  </si>
  <si>
    <t xml:space="preserve">334</t>
  </si>
  <si>
    <t xml:space="preserve">274451-08-1</t>
  </si>
  <si>
    <t xml:space="preserve">274451-08-1 (3) / THS BALL SCREW SHAFT INTEGRITY FNC</t>
  </si>
  <si>
    <t xml:space="preserve">335</t>
  </si>
  <si>
    <t xml:space="preserve">274451-09-1</t>
  </si>
  <si>
    <t xml:space="preserve">274451-09-1 (4) / THS ACTUATOR GEARBOX SERVICING</t>
  </si>
  <si>
    <t xml:space="preserve">336</t>
  </si>
  <si>
    <t xml:space="preserve">274451-14-1</t>
  </si>
  <si>
    <t xml:space="preserve">274451-14-1 (4) / THS ACTUATOR ELECTRICAL LOAD OPC</t>
  </si>
  <si>
    <t xml:space="preserve">337</t>
  </si>
  <si>
    <t xml:space="preserve">275100-01-2</t>
  </si>
  <si>
    <t xml:space="preserve">275100-01-2 (4) / FLAP SYSTEM WING TIP BRAKE OPC</t>
  </si>
  <si>
    <t xml:space="preserve">338</t>
  </si>
  <si>
    <t xml:space="preserve">275100-02-1-001</t>
  </si>
  <si>
    <t xml:space="preserve">275100-02-1-001 (03) / L/H WING FLAP INTERCONNECTING STRUT</t>
  </si>
  <si>
    <t xml:space="preserve">339</t>
  </si>
  <si>
    <t xml:space="preserve">275100-02-1-002</t>
  </si>
  <si>
    <t xml:space="preserve">275100-02-1-002 (03) / R/H WING FLAP INTERCONNECTING STRUT</t>
  </si>
  <si>
    <t xml:space="preserve">340</t>
  </si>
  <si>
    <t xml:space="preserve">275100-03-1-001</t>
  </si>
  <si>
    <t xml:space="preserve">275100-03-1-001 (05) / L/H WING FLAP TRANSMISSION SYS CHK</t>
  </si>
  <si>
    <t xml:space="preserve">27-54</t>
  </si>
  <si>
    <t xml:space="preserve">341</t>
  </si>
  <si>
    <t xml:space="preserve">275100-03-1-002</t>
  </si>
  <si>
    <t xml:space="preserve">275100-03-1-002 (05) / R/H WING FLAP TRANSMISSION SYS CHK</t>
  </si>
  <si>
    <t xml:space="preserve">342</t>
  </si>
  <si>
    <t xml:space="preserve">275144-01-1-001</t>
  </si>
  <si>
    <t xml:space="preserve">275144-01-1-001 (03) / L/H WING FLAP INTERCONNECTING STRUT</t>
  </si>
  <si>
    <t xml:space="preserve">JOB-SETUP, INSPECTION, OPS/LK, JOB-CLOSEUP</t>
  </si>
  <si>
    <t xml:space="preserve">343</t>
  </si>
  <si>
    <t xml:space="preserve">275144-01-1-002</t>
  </si>
  <si>
    <t xml:space="preserve">275144-01-1-002 (03) / R/H WING FLAP INTERCONNECTING STRUT</t>
  </si>
  <si>
    <t xml:space="preserve">344</t>
  </si>
  <si>
    <t xml:space="preserve">275400-01-1-001</t>
  </si>
  <si>
    <t xml:space="preserve">275400-01-1-001 (02) / L/H FLAP TRANSMISSION ASSEMBLY INSP</t>
  </si>
  <si>
    <t xml:space="preserve">345</t>
  </si>
  <si>
    <t xml:space="preserve">275400-01-1-002</t>
  </si>
  <si>
    <t xml:space="preserve">275400-01-1-002 (02) / R/H FLAP TRANSMISSION ASSEMBLY INSP</t>
  </si>
  <si>
    <t xml:space="preserve">346</t>
  </si>
  <si>
    <t xml:space="preserve">275446-02-1-001</t>
  </si>
  <si>
    <t xml:space="preserve">275446-02-1-001 (03) / L/H FLAP TRACKS, ROLLERS BERNG INSP</t>
  </si>
  <si>
    <t xml:space="preserve">347</t>
  </si>
  <si>
    <t xml:space="preserve">275446-02-1-002</t>
  </si>
  <si>
    <t xml:space="preserve">275446-02-1-002 (03) / R/H FLAP TRACKS, ROLLERS BERNG INSP</t>
  </si>
  <si>
    <t xml:space="preserve">351</t>
  </si>
  <si>
    <t xml:space="preserve">276400-02-1-001</t>
  </si>
  <si>
    <t xml:space="preserve">276400-02-1-001 (05) / L/H SPOILER AND HYDRAULIC ACTUATION</t>
  </si>
  <si>
    <t xml:space="preserve">27-64</t>
  </si>
  <si>
    <t xml:space="preserve">352</t>
  </si>
  <si>
    <t xml:space="preserve">276400-02-1-002</t>
  </si>
  <si>
    <t xml:space="preserve">276400-02-1-002 (05) / RH SPOILER AND HYDRAULIC ACTUATION</t>
  </si>
  <si>
    <t xml:space="preserve">354</t>
  </si>
  <si>
    <t xml:space="preserve">278100-04-1-001</t>
  </si>
  <si>
    <t xml:space="preserve">278100-04-1-001 (03) / L/H SLAT XMISION INSPECTION</t>
  </si>
  <si>
    <t xml:space="preserve">355</t>
  </si>
  <si>
    <t xml:space="preserve">278100-04-1-002</t>
  </si>
  <si>
    <t xml:space="preserve">278100-04-1-002 (03) / R/H SLAT XMISION INSPECTION</t>
  </si>
  <si>
    <t xml:space="preserve">359</t>
  </si>
  <si>
    <t xml:space="preserve">278468-02-1-001</t>
  </si>
  <si>
    <t xml:space="preserve">278468-02-1-001 (05) / L/H SLAT TRACKS INSPECTION</t>
  </si>
  <si>
    <t xml:space="preserve">360</t>
  </si>
  <si>
    <t xml:space="preserve">278468-02-1-002</t>
  </si>
  <si>
    <t xml:space="preserve">278468-02-1-002 (04) / R/H SLAT TRACKS INSPECTION</t>
  </si>
  <si>
    <t xml:space="preserve">361</t>
  </si>
  <si>
    <t xml:space="preserve">281247-01-1-001</t>
  </si>
  <si>
    <t xml:space="preserve">281247-01-1-001 (02) / L/H NACA INTAKE FOR SIGN OF BLOCLAGE</t>
  </si>
  <si>
    <t xml:space="preserve">28-12</t>
  </si>
  <si>
    <t xml:space="preserve">362</t>
  </si>
  <si>
    <t xml:space="preserve">281247-01-1-002</t>
  </si>
  <si>
    <t xml:space="preserve">281247-01-1-002 (02) / R/H NACA INTAKE FOR SIGN OF BLOCKAGE</t>
  </si>
  <si>
    <t xml:space="preserve">367</t>
  </si>
  <si>
    <t xml:space="preserve">282100-05-1-001</t>
  </si>
  <si>
    <t xml:space="preserve">282100-05-1-001 (03) / NO. 1 ENGINE PIPES, COUPLINGS INSP</t>
  </si>
  <si>
    <t xml:space="preserve">368</t>
  </si>
  <si>
    <t xml:space="preserve">282100-05-1-002</t>
  </si>
  <si>
    <t xml:space="preserve">282100-05-1-002 (03) / NO. 2 ENGINE PIPES, COUPLINGS INSP</t>
  </si>
  <si>
    <t xml:space="preserve">369</t>
  </si>
  <si>
    <t xml:space="preserve">282300-01-2</t>
  </si>
  <si>
    <t xml:space="preserve">282300-01-2 (04) / FUEL CROSSFEED VALVE OPERATIONAL</t>
  </si>
  <si>
    <t xml:space="preserve">28-23</t>
  </si>
  <si>
    <t xml:space="preserve">370</t>
  </si>
  <si>
    <t xml:space="preserve">282541-01-1-001</t>
  </si>
  <si>
    <t xml:space="preserve">282541-01-1-001 (04) / L/H REFUEL DEFUEL COUPLING DET INSP</t>
  </si>
  <si>
    <t xml:space="preserve">371</t>
  </si>
  <si>
    <t xml:space="preserve">282541-01-1-002</t>
  </si>
  <si>
    <t xml:space="preserve">282541-01-1-002 (04) / R/H REFUEL DEFUEL COUPLING DET INSP</t>
  </si>
  <si>
    <t xml:space="preserve">373</t>
  </si>
  <si>
    <t xml:space="preserve">282800-05-2</t>
  </si>
  <si>
    <t xml:space="preserve">282800-05-2 (3) / ADD CTR TANK MANL TRX OPC</t>
  </si>
  <si>
    <t xml:space="preserve">374</t>
  </si>
  <si>
    <t xml:space="preserve">282800-06-1</t>
  </si>
  <si>
    <t xml:space="preserve">282800-06-1 (02) / (ACT) AIR INLET FILTER REPLACEMENT</t>
  </si>
  <si>
    <t xml:space="preserve">JOB-SETUP, TC/P, INSPECTION, JOB-CLOSEUP</t>
  </si>
  <si>
    <t xml:space="preserve">376</t>
  </si>
  <si>
    <t xml:space="preserve">291000-04-1</t>
  </si>
  <si>
    <t xml:space="preserve">291000-04-1 (3) / MAIN HYDRAULIC POWER FUNCTIONAL CHK</t>
  </si>
  <si>
    <t xml:space="preserve">29-23</t>
  </si>
  <si>
    <t xml:space="preserve">377</t>
  </si>
  <si>
    <t xml:space="preserve">291000-06-1</t>
  </si>
  <si>
    <t xml:space="preserve">291000-06-1 (3) / PTU YELLOW TO GREEN FUNCTIONAL CHECK</t>
  </si>
  <si>
    <t xml:space="preserve">378</t>
  </si>
  <si>
    <t xml:space="preserve">291000-09-1</t>
  </si>
  <si>
    <t xml:space="preserve">291000-09-1 (4) / HYDRAULIC FIRE SHUT OFF VALVES OPC</t>
  </si>
  <si>
    <t xml:space="preserve">380</t>
  </si>
  <si>
    <t xml:space="preserve">291000-19-1</t>
  </si>
  <si>
    <t xml:space="preserve">291000-19-1 (4) / PTU INHIBITION LOGIC OPERATION CHECK</t>
  </si>
  <si>
    <t xml:space="preserve">382</t>
  </si>
  <si>
    <t xml:space="preserve">291000-25-1</t>
  </si>
  <si>
    <t xml:space="preserve">291000-25-1 (1) / MAIN AND AUXILIARY HYDRAULIC POWER</t>
  </si>
  <si>
    <t xml:space="preserve">383</t>
  </si>
  <si>
    <t xml:space="preserve">291000-26-1</t>
  </si>
  <si>
    <t xml:space="preserve">291000-26-1 (01) / MAIN AND AUXILIARY HYDRAULIC POWER</t>
  </si>
  <si>
    <t xml:space="preserve">384</t>
  </si>
  <si>
    <t xml:space="preserve">291900-02-1</t>
  </si>
  <si>
    <t xml:space="preserve">291900-02-1 (3) / INTERNAL LEAK RATE BLUE HYD FUN CHK</t>
  </si>
  <si>
    <t xml:space="preserve">385</t>
  </si>
  <si>
    <t xml:space="preserve">293400-01-1</t>
  </si>
  <si>
    <t xml:space="preserve">293400-01-1 (2) / RESERVOIR PRESSURIZATION INDICATING</t>
  </si>
  <si>
    <t xml:space="preserve">29-34</t>
  </si>
  <si>
    <t xml:space="preserve">386</t>
  </si>
  <si>
    <t xml:space="preserve">302149-C1-1-001</t>
  </si>
  <si>
    <t xml:space="preserve">302149-C1-1-001 (02) / NO.1 ENG INTAKE ANTI-ICE DUCT INSP</t>
  </si>
  <si>
    <t xml:space="preserve">30-21</t>
  </si>
  <si>
    <t xml:space="preserve">387</t>
  </si>
  <si>
    <t xml:space="preserve">302149-C1-1-002</t>
  </si>
  <si>
    <t xml:space="preserve">302149-C1-1-002 (02) / NO.2 ENG INTAKE ANTI-ICE DUCT INSP</t>
  </si>
  <si>
    <t xml:space="preserve">388</t>
  </si>
  <si>
    <t xml:space="preserve">303100-01-1</t>
  </si>
  <si>
    <t xml:space="preserve">303100-01-1 (3) / PITOT PROBE HETR INSULATION RES FNC</t>
  </si>
  <si>
    <t xml:space="preserve">30-31</t>
  </si>
  <si>
    <t xml:space="preserve">389</t>
  </si>
  <si>
    <t xml:space="preserve">313300-03-1</t>
  </si>
  <si>
    <t xml:space="preserve">313300-03-1 (05) / DFDR SYSTEM INTERCONNECTION OPC</t>
  </si>
  <si>
    <t xml:space="preserve">390</t>
  </si>
  <si>
    <t xml:space="preserve">313300-07-1</t>
  </si>
  <si>
    <t xml:space="preserve">313300-07-1 (02) / DFDR SYSTEM INTERCONNECTION</t>
  </si>
  <si>
    <t xml:space="preserve">391</t>
  </si>
  <si>
    <t xml:space="preserve">315000-01-1</t>
  </si>
  <si>
    <t xml:space="preserve">315000-01-1 (3) / PFD-ND AND ECAM-ND MANUAL TRANS OPC</t>
  </si>
  <si>
    <t xml:space="preserve">31-50</t>
  </si>
  <si>
    <t xml:space="preserve">392</t>
  </si>
  <si>
    <t xml:space="preserve">315000-02-1</t>
  </si>
  <si>
    <t xml:space="preserve">315000-02-1 (4) / EFIS &amp; ECAM DMC OPS CHK</t>
  </si>
  <si>
    <t xml:space="preserve">31-60</t>
  </si>
  <si>
    <t xml:space="preserve">393</t>
  </si>
  <si>
    <t xml:space="preserve">315000-04-1</t>
  </si>
  <si>
    <t xml:space="preserve">315000-04-1 (4) / DMC3 POWER SUPPLY TRASF OPS CHK</t>
  </si>
  <si>
    <t xml:space="preserve">394</t>
  </si>
  <si>
    <t xml:space="preserve">321113-03-1-001</t>
  </si>
  <si>
    <t xml:space="preserve">321113-03-1-001 (03) / LH MLG SHOCK ABSORBER FLUID LEVL CHK</t>
  </si>
  <si>
    <t xml:space="preserve">12-12</t>
  </si>
  <si>
    <t xml:space="preserve">395</t>
  </si>
  <si>
    <t xml:space="preserve">321113-03-1-002</t>
  </si>
  <si>
    <t xml:space="preserve">321113-03-1-002 (03) / RH MLG SHOCK ABSORBER FLUID LEVL CHK</t>
  </si>
  <si>
    <t xml:space="preserve">396</t>
  </si>
  <si>
    <t xml:space="preserve">321113-04-1-001</t>
  </si>
  <si>
    <t xml:space="preserve">321113-04-1-001 (03) / L/H MLG SHOCK ABSORBER PRESS CHK</t>
  </si>
  <si>
    <t xml:space="preserve">12-14</t>
  </si>
  <si>
    <t xml:space="preserve">397</t>
  </si>
  <si>
    <t xml:space="preserve">321113-04-1-002</t>
  </si>
  <si>
    <t xml:space="preserve">321113-04-1-002 (03) / R/H MLG SHOCK ABSORBER PRESS CHK</t>
  </si>
  <si>
    <t xml:space="preserve">398</t>
  </si>
  <si>
    <t xml:space="preserve">321127-01-1-001</t>
  </si>
  <si>
    <t xml:space="preserve">321127-01-1-001 (04) / LH MLG TORQUE LINK EXCESIVE PLAY CHK</t>
  </si>
  <si>
    <t xml:space="preserve">32-11</t>
  </si>
  <si>
    <t xml:space="preserve">JOB-SETUP, TC/P, TC/P, TC/P, INSPECTION, JOB-CLOSEUP, JOB-CLOSEUP</t>
  </si>
  <si>
    <t xml:space="preserve">399</t>
  </si>
  <si>
    <t xml:space="preserve">321127-01-1-002</t>
  </si>
  <si>
    <t xml:space="preserve">321127-01-1-002 (04) / RH MLG TORQUE LINK EXCESIVE PLAY CHK</t>
  </si>
  <si>
    <t xml:space="preserve">400</t>
  </si>
  <si>
    <t xml:space="preserve">322113-01-1</t>
  </si>
  <si>
    <t xml:space="preserve">322113-01-1 (4) / NLG SHOCK ABSORBR CHARGE PRSS CHK</t>
  </si>
  <si>
    <t xml:space="preserve">401</t>
  </si>
  <si>
    <t xml:space="preserve">323000-17-1</t>
  </si>
  <si>
    <t xml:space="preserve">323000-17-1 (5) / LGCIU POWER SUPPLY RELAYS FUNC CHK</t>
  </si>
  <si>
    <t xml:space="preserve">403</t>
  </si>
  <si>
    <t xml:space="preserve">323100-05-1</t>
  </si>
  <si>
    <t xml:space="preserve">323100-05-1 (2) / NLG DOOR OPERATING MECHANISM INSP</t>
  </si>
  <si>
    <t xml:space="preserve">404</t>
  </si>
  <si>
    <t xml:space="preserve">323100-06-1</t>
  </si>
  <si>
    <t xml:space="preserve">323100-06-1 (3) / GEAR NOT DOWN WARNINGS BITE CHK</t>
  </si>
  <si>
    <t xml:space="preserve">32-61</t>
  </si>
  <si>
    <t xml:space="preserve">405</t>
  </si>
  <si>
    <t xml:space="preserve">323105-04-1</t>
  </si>
  <si>
    <t xml:space="preserve">323105-04-1 (4) / NORMAL EXTENSION AND RETRACTION</t>
  </si>
  <si>
    <t xml:space="preserve">406</t>
  </si>
  <si>
    <t xml:space="preserve">323105-05-1</t>
  </si>
  <si>
    <t xml:space="preserve">323105-05-1 (3) / NORMAL EXTENSION AND RETRACTION</t>
  </si>
  <si>
    <t xml:space="preserve">407</t>
  </si>
  <si>
    <t xml:space="preserve">323173-00-SVA</t>
  </si>
  <si>
    <t xml:space="preserve">323173-00-SVA (01) / MLG &amp; NLG PROXIMITY SENS. CLN &amp; NLG CLEARANCE CHK</t>
  </si>
  <si>
    <t xml:space="preserve">JOB-SETUP, TC/P, TC/P, CLOSE-UP</t>
  </si>
  <si>
    <t xml:space="preserve">408</t>
  </si>
  <si>
    <t xml:space="preserve">324000-14-1</t>
  </si>
  <si>
    <t xml:space="preserve">324000-14-1 (2) / NORML BRAKE MODE AUTO REACT FUN CHK</t>
  </si>
  <si>
    <t xml:space="preserve">32-42</t>
  </si>
  <si>
    <t xml:space="preserve">409</t>
  </si>
  <si>
    <t xml:space="preserve">324000-17-1</t>
  </si>
  <si>
    <t xml:space="preserve">324000-17-1 (5) / BRAKE ACCOMULATOR SYSTEM FUN CHK</t>
  </si>
  <si>
    <t xml:space="preserve">32-41</t>
  </si>
  <si>
    <t xml:space="preserve">410</t>
  </si>
  <si>
    <t xml:space="preserve">324300-01-3</t>
  </si>
  <si>
    <t xml:space="preserve">324300-01-3 (3) / ALTERNATE BRAKING SYS OPS CHK</t>
  </si>
  <si>
    <t xml:space="preserve">32-43</t>
  </si>
  <si>
    <t xml:space="preserve">411</t>
  </si>
  <si>
    <t xml:space="preserve">324300-02-1</t>
  </si>
  <si>
    <t xml:space="preserve">324300-02-1 (5) / OPERATIONAL CHECK OF ANTISKID INHIBITION</t>
  </si>
  <si>
    <t xml:space="preserve">412</t>
  </si>
  <si>
    <t xml:space="preserve">324500-01-2</t>
  </si>
  <si>
    <t xml:space="preserve">324500-01-2 (4) / PARKING BRAKE SYSTEM OPS CHK</t>
  </si>
  <si>
    <t xml:space="preserve">32-45</t>
  </si>
  <si>
    <t xml:space="preserve">414</t>
  </si>
  <si>
    <t xml:space="preserve">34-55-00-03-A</t>
  </si>
  <si>
    <t xml:space="preserve">34-55-00-03-A (04) / VOR SYSTEM TEST</t>
  </si>
  <si>
    <t xml:space="preserve">34-55</t>
  </si>
  <si>
    <t xml:space="preserve">415</t>
  </si>
  <si>
    <t xml:space="preserve">341300-01-1</t>
  </si>
  <si>
    <t xml:space="preserve">341300-01-1 (3) / VMO/MMO OVERSPEED WARNING OPC</t>
  </si>
  <si>
    <t xml:space="preserve">416</t>
  </si>
  <si>
    <t xml:space="preserve">341300-02-1</t>
  </si>
  <si>
    <t xml:space="preserve">341300-02-1 (3) / AIR DATA SWITCHING FUNCTION OPC</t>
  </si>
  <si>
    <t xml:space="preserve">417</t>
  </si>
  <si>
    <t xml:space="preserve">341300-03-1</t>
  </si>
  <si>
    <t xml:space="preserve">341300-03-1 (3) / OVERSPEED WARNINGS (VFE/VLE) OPC</t>
  </si>
  <si>
    <t xml:space="preserve">418</t>
  </si>
  <si>
    <t xml:space="preserve">341300-05-1</t>
  </si>
  <si>
    <t xml:space="preserve">341300-05-1 (4) / ADIRU 5-MINUTE TIME DELAY OPC</t>
  </si>
  <si>
    <t xml:space="preserve">419</t>
  </si>
  <si>
    <t xml:space="preserve">341300-09-1</t>
  </si>
  <si>
    <t xml:space="preserve">341300-09-1 (3) / BACK-UP SPEED &amp; ALTTITUDE SCALES OPC</t>
  </si>
  <si>
    <t xml:space="preserve">420</t>
  </si>
  <si>
    <t xml:space="preserve">342000-03-1</t>
  </si>
  <si>
    <t xml:space="preserve">342000-03-1 (3) / (ISIS) DC HOT BUS SUPPLY OPS CHK</t>
  </si>
  <si>
    <t xml:space="preserve">34-20</t>
  </si>
  <si>
    <t xml:space="preserve">421</t>
  </si>
  <si>
    <t xml:space="preserve">342200-01-1</t>
  </si>
  <si>
    <t xml:space="preserve">342200-01-1 (5) / STANDBY COMPASS OPS CHK &amp; GVI</t>
  </si>
  <si>
    <t xml:space="preserve">34-22</t>
  </si>
  <si>
    <t xml:space="preserve">422</t>
  </si>
  <si>
    <t xml:space="preserve">342200-05-1</t>
  </si>
  <si>
    <t xml:space="preserve">342200-05-1 (3) / STBY PNEM CIRCUT LOW RANG LEAK TEST</t>
  </si>
  <si>
    <t xml:space="preserve">423</t>
  </si>
  <si>
    <t xml:space="preserve">344800-03-1</t>
  </si>
  <si>
    <t xml:space="preserve">344800-03-1 (04) / TERRAIN AWARENESS WARNING SYSTEM RA OPC</t>
  </si>
  <si>
    <t xml:space="preserve">34-48</t>
  </si>
  <si>
    <t xml:space="preserve">424</t>
  </si>
  <si>
    <t xml:space="preserve">345200-02-1</t>
  </si>
  <si>
    <t xml:space="preserve">345200-02-1 (3) / ATC ANTENNAS FUNCTIONAL CHECK</t>
  </si>
  <si>
    <t xml:space="preserve">34-52</t>
  </si>
  <si>
    <t xml:space="preserve">431</t>
  </si>
  <si>
    <t xml:space="preserve">361100-01-1-001</t>
  </si>
  <si>
    <t xml:space="preserve">361100-01-1-001 (02) / NO. 1 ENGINE OVERPRESS VALVE FUNCTIONAL TEST</t>
  </si>
  <si>
    <t xml:space="preserve">432</t>
  </si>
  <si>
    <t xml:space="preserve">361100-01-1-002</t>
  </si>
  <si>
    <t xml:space="preserve">361100-01-1-002 (02) / NO. 2 ENGINE OVERPRESS VALVE FUNCTIONAL TEST</t>
  </si>
  <si>
    <t xml:space="preserve">434</t>
  </si>
  <si>
    <t xml:space="preserve">361148-01-1-001</t>
  </si>
  <si>
    <t xml:space="preserve">361148-01-1-001 (04) / L/H WING APU BLEED AIR DUCT LEAK CHK</t>
  </si>
  <si>
    <t xml:space="preserve">435</t>
  </si>
  <si>
    <t xml:space="preserve">361148-01-1-002</t>
  </si>
  <si>
    <t xml:space="preserve">361148-01-1-002 (04) / R/H WING APU BLEED AIR DUCT LEAK CHK</t>
  </si>
  <si>
    <t xml:space="preserve">436</t>
  </si>
  <si>
    <t xml:space="preserve">361200-02-1</t>
  </si>
  <si>
    <t xml:space="preserve">361200-02-1 (3) / APU BLEED AIR SUPPLY &amp; CROSSBLEED</t>
  </si>
  <si>
    <t xml:space="preserve">437</t>
  </si>
  <si>
    <t xml:space="preserve">361200-03-1</t>
  </si>
  <si>
    <t xml:space="preserve">361200-03-1 (3) / APU BLEED AIR SUPPLY &amp; CROSSBLEED LEAK CHECK</t>
  </si>
  <si>
    <t xml:space="preserve">441</t>
  </si>
  <si>
    <t xml:space="preserve">384241-01-1</t>
  </si>
  <si>
    <t xml:space="preserve">384241-01-1 (4) / AIR SUPPLY COMPSSOR INLET FLTER INSP</t>
  </si>
  <si>
    <t xml:space="preserve">TC/P, OPS/LK</t>
  </si>
  <si>
    <t xml:space="preserve">443</t>
  </si>
  <si>
    <t xml:space="preserve">491300-B1-1</t>
  </si>
  <si>
    <t xml:space="preserve">491300-B1-1 (02) / GENERAL VISUAL INSPECTION OF ALL APU COMPARTMENT FIRE WALLS AND SEALS.</t>
  </si>
  <si>
    <t xml:space="preserve">49-13</t>
  </si>
  <si>
    <t xml:space="preserve">444</t>
  </si>
  <si>
    <t xml:space="preserve">491600-B1-1</t>
  </si>
  <si>
    <t xml:space="preserve">491600-B1-1 (02) / DETAILED INSPECTION OF APU AIR INTAKE, DIFFUSER ELBOW, SEALS AND FELT METAL</t>
  </si>
  <si>
    <t xml:space="preserve">49-16</t>
  </si>
  <si>
    <t xml:space="preserve">445</t>
  </si>
  <si>
    <t xml:space="preserve">498000-B1-1</t>
  </si>
  <si>
    <t xml:space="preserve">498000-B1-1 (02) / GENERAL VISUAL INSPECTION OF APU COMPARTMENT EXHAUST MUFFLER INSULATION COVERS AND BELLOWS</t>
  </si>
  <si>
    <t xml:space="preserve">49-81</t>
  </si>
  <si>
    <t xml:space="preserve">OPS/LK, OPS/LK, OPS/LK, OPS/LK</t>
  </si>
  <si>
    <t xml:space="preserve">OPS/LK, JOB-CLOSEUP, JOB-CLOSEUP, JOB-CLOSEUP, OPS/LK, OPS/LK</t>
  </si>
  <si>
    <t xml:space="preserve">472</t>
  </si>
  <si>
    <t xml:space="preserve">524100-02-1</t>
  </si>
  <si>
    <t xml:space="preserve">524100-02-1 (2) / AVNICS COMPT DOORS HNDLE LUBRICATION</t>
  </si>
  <si>
    <t xml:space="preserve">485</t>
  </si>
  <si>
    <t xml:space="preserve">531900-03-1</t>
  </si>
  <si>
    <t xml:space="preserve">531900-03-1 (2) / FUSLGE SHEL PSTN TYP DRAIN VLV OPC</t>
  </si>
  <si>
    <t xml:space="preserve">53-19</t>
  </si>
  <si>
    <t xml:space="preserve">486</t>
  </si>
  <si>
    <t xml:space="preserve">531900-10-1</t>
  </si>
  <si>
    <t xml:space="preserve">531900-10-1 (1) / FUSELAGE DRAINAGE</t>
  </si>
  <si>
    <t xml:space="preserve">487</t>
  </si>
  <si>
    <t xml:space="preserve">532137-01-1</t>
  </si>
  <si>
    <t xml:space="preserve">532137-01-1 (03) / FWD CARGO DOOR CUTOUT PANEL INSP</t>
  </si>
  <si>
    <t xml:space="preserve">PRE INSP, PRE INSP</t>
  </si>
  <si>
    <t xml:space="preserve">488</t>
  </si>
  <si>
    <t xml:space="preserve">532176-01-1</t>
  </si>
  <si>
    <t xml:space="preserve">532176-01-1 (0) / FORWARD FUSELAGE</t>
  </si>
  <si>
    <t xml:space="preserve">489</t>
  </si>
  <si>
    <t xml:space="preserve">532181-02-1</t>
  </si>
  <si>
    <t xml:space="preserve">532181-02-1 (0) / FORWARD FUSELAGE</t>
  </si>
  <si>
    <t xml:space="preserve">490</t>
  </si>
  <si>
    <t xml:space="preserve">533900-01-1</t>
  </si>
  <si>
    <t xml:space="preserve">533900-01-1 (2) / RUBBER FLAP DRAIN VLV OPC</t>
  </si>
  <si>
    <t xml:space="preserve">53-39</t>
  </si>
  <si>
    <t xml:space="preserve">491</t>
  </si>
  <si>
    <t xml:space="preserve">534134-02-1</t>
  </si>
  <si>
    <t xml:space="preserve">534134-02-1 (1) / DETAILED INSP. OF DOOR STOP FITTINGS PROTRUDING PART NOT COVERED BY THE LINING ON FRAME 66 AND 68, LH/RH.</t>
  </si>
  <si>
    <t xml:space="preserve">492</t>
  </si>
  <si>
    <t xml:space="preserve">534144-01-1</t>
  </si>
  <si>
    <t xml:space="preserve">534144-01-1 (02) / FUSELAG INTERNAL STRUCT FR65-70 INSP</t>
  </si>
  <si>
    <t xml:space="preserve">493</t>
  </si>
  <si>
    <t xml:space="preserve">534307-03-1</t>
  </si>
  <si>
    <t xml:space="preserve">534307-03-1 (0) / REAR FUSELAGE</t>
  </si>
  <si>
    <t xml:space="preserve">494</t>
  </si>
  <si>
    <t xml:space="preserve">534308-02-1</t>
  </si>
  <si>
    <t xml:space="preserve">534308-02-1 (0) / REAR FUSELAGE</t>
  </si>
  <si>
    <t xml:space="preserve">495</t>
  </si>
  <si>
    <t xml:space="preserve">535900-01-1</t>
  </si>
  <si>
    <t xml:space="preserve">535900-01-1 (3) / FUSELAGE DRAINAGE</t>
  </si>
  <si>
    <t xml:space="preserve">53-59</t>
  </si>
  <si>
    <t xml:space="preserve">496</t>
  </si>
  <si>
    <t xml:space="preserve">535900-02-1</t>
  </si>
  <si>
    <t xml:space="preserve">535900-02-1 (2) / BULK CARGO COMPARTMENT DOOR RUBBER FLAP DRAIN VALVE OPC</t>
  </si>
  <si>
    <t xml:space="preserve">497</t>
  </si>
  <si>
    <t xml:space="preserve">545000-01-1-001</t>
  </si>
  <si>
    <t xml:space="preserve">545000-01-1-001 (02) / NO. 1 ENGINE PYLON DRAIN SYS INSP</t>
  </si>
  <si>
    <t xml:space="preserve">54-50</t>
  </si>
  <si>
    <t xml:space="preserve">498</t>
  </si>
  <si>
    <t xml:space="preserve">545000-01-1-002</t>
  </si>
  <si>
    <t xml:space="preserve">545000-01-1-002 (02) / NO. 2 ENGINE PYLON DRAIN SYSTEM INSP</t>
  </si>
  <si>
    <t xml:space="preserve">499</t>
  </si>
  <si>
    <t xml:space="preserve">545000-04-1-001</t>
  </si>
  <si>
    <t xml:space="preserve">545000-04-1-001 (02) / NO.1 ENG PYLN COMPT DRAIN SYS INSP</t>
  </si>
  <si>
    <t xml:space="preserve">500</t>
  </si>
  <si>
    <t xml:space="preserve">545000-04-1-002</t>
  </si>
  <si>
    <t xml:space="preserve">545000-04-1-002 (02) / NO.2 ENG PYLN COMPT DRAIN SYS INSP</t>
  </si>
  <si>
    <t xml:space="preserve">503</t>
  </si>
  <si>
    <t xml:space="preserve">545000-06-1-001</t>
  </si>
  <si>
    <t xml:space="preserve">545000-06-1-001 (01) / L/H PYLONS CAF 4 SEALANT INSP</t>
  </si>
  <si>
    <t xml:space="preserve">504</t>
  </si>
  <si>
    <t xml:space="preserve">545000-06-1-002</t>
  </si>
  <si>
    <t xml:space="preserve">545000-06-1-002 (01) / R/H PYLONS CAF 4 SEALANT INSP</t>
  </si>
  <si>
    <t xml:space="preserve">505</t>
  </si>
  <si>
    <t xml:space="preserve">545103-01-2-001</t>
  </si>
  <si>
    <t xml:space="preserve">545103-01-2-001 (03) / NO. 1 ENG PYLON FWD MOUNT FTTNG INSP</t>
  </si>
  <si>
    <t xml:space="preserve">506</t>
  </si>
  <si>
    <t xml:space="preserve">545103-01-2-002</t>
  </si>
  <si>
    <t xml:space="preserve">545103-01-2-002 (03) / NO. 2 ENG PYLON FWD MOUNT FTTNG INSP</t>
  </si>
  <si>
    <t xml:space="preserve">507</t>
  </si>
  <si>
    <t xml:space="preserve">552600-01-1</t>
  </si>
  <si>
    <t xml:space="preserve">552600-01-1 (1) / FUNCTIONAL CHECK OF ELEVATOR HINGE LINE BEARINGS AND ATTACHMENTS FOR EXCESSIVE FREE PLAY AND CONDITION.</t>
  </si>
  <si>
    <t xml:space="preserve">514</t>
  </si>
  <si>
    <t xml:space="preserve">711000-C1-1-001</t>
  </si>
  <si>
    <t xml:space="preserve">711000-C1-1-001 (03) / #1 ENG INTAKE COWL AFT BULKHEAD INSP</t>
  </si>
  <si>
    <t xml:space="preserve">71-10</t>
  </si>
  <si>
    <t xml:space="preserve">515</t>
  </si>
  <si>
    <t xml:space="preserve">711000-C1-1-002</t>
  </si>
  <si>
    <t xml:space="preserve">711000-C1-1-002 (03) / #2 ENG INTAKE COWL AFT BULKHEAD INSP</t>
  </si>
  <si>
    <t xml:space="preserve">516</t>
  </si>
  <si>
    <t xml:space="preserve">711000-C4-2-001</t>
  </si>
  <si>
    <t xml:space="preserve">711000-C4-2-001 (03) / GENERAL VISUAL INSPECTION OF FAN COWL DOORS</t>
  </si>
  <si>
    <t xml:space="preserve">OPEN-UP, INSPECTION, CLOSE-UP</t>
  </si>
  <si>
    <t xml:space="preserve">517</t>
  </si>
  <si>
    <t xml:space="preserve">711000-C4-2-002</t>
  </si>
  <si>
    <t xml:space="preserve">711000-C4-2-002 (03) / GENERAL VISUAL INSPECTION OF FAN COWL DOORS</t>
  </si>
  <si>
    <t xml:space="preserve">518</t>
  </si>
  <si>
    <t xml:space="preserve">711000-C5-1-001</t>
  </si>
  <si>
    <t xml:space="preserve">711000-C5-1-001 (02) / NO. 1 ENG PRESSURE RELIEF DOOR FUC</t>
  </si>
  <si>
    <t xml:space="preserve">73-13</t>
  </si>
  <si>
    <t xml:space="preserve">519</t>
  </si>
  <si>
    <t xml:space="preserve">711000-C5-1-002</t>
  </si>
  <si>
    <t xml:space="preserve">711000-C5-1-002 (02) / NO. 2 ENG PRESSURE RELIEF DOOR FUC</t>
  </si>
  <si>
    <t xml:space="preserve">520</t>
  </si>
  <si>
    <t xml:space="preserve">711000-C6-1-001</t>
  </si>
  <si>
    <t xml:space="preserve">711000-C6-1-001 (03) / NO.1 ENG FAN COW LATCH &amp; AJCNT INSP</t>
  </si>
  <si>
    <t xml:space="preserve">521</t>
  </si>
  <si>
    <t xml:space="preserve">711000-C6-1-002</t>
  </si>
  <si>
    <t xml:space="preserve">711000-C6-1-002 (02) / NO.2 ENG FAN COW LATCH &amp; AJCNT INSP</t>
  </si>
  <si>
    <t xml:space="preserve">522</t>
  </si>
  <si>
    <t xml:space="preserve">711000-C7-1-001</t>
  </si>
  <si>
    <t xml:space="preserve">711000-C7-1-001 (02) / NO.1 ENG FAN COWL DOOR FIRESEAL INSP</t>
  </si>
  <si>
    <t xml:space="preserve">523</t>
  </si>
  <si>
    <t xml:space="preserve">711000-C7-1-002</t>
  </si>
  <si>
    <t xml:space="preserve">711000-C7-1-002 (02) / NO.2 ENG FAN COWL DOOR FIRESEAL INSP</t>
  </si>
  <si>
    <t xml:space="preserve">524</t>
  </si>
  <si>
    <t xml:space="preserve">711300-01-2</t>
  </si>
  <si>
    <t xml:space="preserve">711300-01-2 (00) / GENERAL VISUAL INSPECTION OF FAN COWL DOOR HINGE FITTINGS AND SURROUNDING STRUCTURE.</t>
  </si>
  <si>
    <t xml:space="preserve">527</t>
  </si>
  <si>
    <t xml:space="preserve">712111-05-4-001</t>
  </si>
  <si>
    <t xml:space="preserve">712111-05-4-001 (03) / NO. 1 ENGINE FWD MOUNT PYLON BOLTS INSP</t>
  </si>
  <si>
    <t xml:space="preserve">71-21</t>
  </si>
  <si>
    <t xml:space="preserve">528</t>
  </si>
  <si>
    <t xml:space="preserve">712111-05-4-002</t>
  </si>
  <si>
    <t xml:space="preserve">712111-05-4-002 (03) / NO.2 ENGINE FWD MOUNT PYLON BOLTS INSP</t>
  </si>
  <si>
    <t xml:space="preserve">529</t>
  </si>
  <si>
    <t xml:space="preserve">712112-01-1-001</t>
  </si>
  <si>
    <t xml:space="preserve">712112-01-1-001 (03) / NO. 1 ENGINE FWD MOUNT LINK LUGS INSP</t>
  </si>
  <si>
    <t xml:space="preserve">530</t>
  </si>
  <si>
    <t xml:space="preserve">712112-01-1-002</t>
  </si>
  <si>
    <t xml:space="preserve">712112-01-1-002 (03) / NO. 2 ENGINE FWD MOUNT LINK LUGS INSP</t>
  </si>
  <si>
    <t xml:space="preserve">531</t>
  </si>
  <si>
    <t xml:space="preserve">712211-03-1-001</t>
  </si>
  <si>
    <t xml:space="preserve">712211-03-1-001 (03) / NO.1 AFT ENG MOUNT INSTALLATION INSP EXPOSED SURFACES</t>
  </si>
  <si>
    <t xml:space="preserve">532</t>
  </si>
  <si>
    <t xml:space="preserve">712211-03-1-002</t>
  </si>
  <si>
    <t xml:space="preserve">712211-03-1-002 (03) / NO.2 AFT ENG MOUNT INSTALLATION INSP EXPOSED SURFACES</t>
  </si>
  <si>
    <t xml:space="preserve">533</t>
  </si>
  <si>
    <t xml:space="preserve">712211-05-1-001</t>
  </si>
  <si>
    <t xml:space="preserve">712211-05-1-001 (02) / NO. 1 ENG AFT MOUNT PYLON BOLTS INSP</t>
  </si>
  <si>
    <t xml:space="preserve">534</t>
  </si>
  <si>
    <t xml:space="preserve">712211-05-1-002</t>
  </si>
  <si>
    <t xml:space="preserve">712211-05-1-002 (02) / NO. 2 ENG AFT MOUNT PYLON BOLTS INSP</t>
  </si>
  <si>
    <t xml:space="preserve">535</t>
  </si>
  <si>
    <t xml:space="preserve">712212-01-1-001</t>
  </si>
  <si>
    <t xml:space="preserve">712212-01-1-001 (02) / NO. 1 ENG AFT MOUNT LINK LUGS INSP</t>
  </si>
  <si>
    <t xml:space="preserve">536</t>
  </si>
  <si>
    <t xml:space="preserve">712212-01-1-002</t>
  </si>
  <si>
    <t xml:space="preserve">712212-01-1-002 (02) / NO. 2 ENG AFT MOUNT LINK LUGS INSP</t>
  </si>
  <si>
    <t xml:space="preserve">539</t>
  </si>
  <si>
    <t xml:space="preserve">72-00-00-25-0-SVA-001</t>
  </si>
  <si>
    <t xml:space="preserve">72-00-00-25-0-SVA-001 (01) / PRE C-CHK PRESERVATION ON ENG#1 OIL</t>
  </si>
  <si>
    <t xml:space="preserve">540</t>
  </si>
  <si>
    <t xml:space="preserve">72-00-00-25-0-SVA-002</t>
  </si>
  <si>
    <t xml:space="preserve">72-00-00-25-0-SVA-002 (01) / PRE C-CHK PRESERVATION ON ENG#2 OIL</t>
  </si>
  <si>
    <t xml:space="preserve">543</t>
  </si>
  <si>
    <t xml:space="preserve">783000-C2-1-001</t>
  </si>
  <si>
    <t xml:space="preserve">783000-C2-1-001 (02) / NO.1 ENGINE BLOCKER DOOR SEALS INSP</t>
  </si>
  <si>
    <t xml:space="preserve">544</t>
  </si>
  <si>
    <t xml:space="preserve">783000-C2-1-002</t>
  </si>
  <si>
    <t xml:space="preserve">783000-C2-1-002 (02) / NO.2 ENGINE BLOCKER DOOR SEALS INSP</t>
  </si>
  <si>
    <t xml:space="preserve">545</t>
  </si>
  <si>
    <t xml:space="preserve">783000-C4-1-001</t>
  </si>
  <si>
    <t xml:space="preserve">783000-C4-1-001 (02) / NO.1 ENG T/R TENSION HOK&amp;AJCNT INSP</t>
  </si>
  <si>
    <t xml:space="preserve">78-36</t>
  </si>
  <si>
    <t xml:space="preserve">546</t>
  </si>
  <si>
    <t xml:space="preserve">783000-C4-1-002</t>
  </si>
  <si>
    <t xml:space="preserve">783000-C4-1-002 (02) / NO.2 ENG T/R TENSSION HOK AJCNT INSP</t>
  </si>
  <si>
    <t xml:space="preserve">547</t>
  </si>
  <si>
    <t xml:space="preserve">783100-C6-1-001</t>
  </si>
  <si>
    <t xml:space="preserve">783100-C6-1-001 (02) / NO.1 ENGINE ACTU SECONDARY LOCK INSP</t>
  </si>
  <si>
    <t xml:space="preserve">78-31</t>
  </si>
  <si>
    <t xml:space="preserve">548</t>
  </si>
  <si>
    <t xml:space="preserve">783100-C6-1-002</t>
  </si>
  <si>
    <t xml:space="preserve">783100-C6-1-002 (02) / NO.2 ENGINE ACTU SECONDARY LOCK INSP</t>
  </si>
  <si>
    <t xml:space="preserve">549</t>
  </si>
  <si>
    <t xml:space="preserve">783100-C7-1-001</t>
  </si>
  <si>
    <t xml:space="preserve">783100-C7-1-001 (03) / NO.1 ENG PRIMARY LATCH MECHNISM INSP</t>
  </si>
  <si>
    <t xml:space="preserve">550</t>
  </si>
  <si>
    <t xml:space="preserve">783100-C7-1-002</t>
  </si>
  <si>
    <t xml:space="preserve">783100-C7-1-002 (03) / NO.2 ENG PRIMARY LATCH MECHNISM INSP</t>
  </si>
  <si>
    <t xml:space="preserve">552</t>
  </si>
  <si>
    <t xml:space="preserve">783200-01-1-002</t>
  </si>
  <si>
    <t xml:space="preserve">783200-01-1-002 (04) / NO. 2 ENG “C” DUCT HINGE FITTINGS INSP</t>
  </si>
  <si>
    <t xml:space="preserve">554</t>
  </si>
  <si>
    <t xml:space="preserve">ZL-100-02-1</t>
  </si>
  <si>
    <t xml:space="preserve">ZL-100-02-1 (04) / LOWER HALF OF FUSELAGE ZONAL INSP</t>
  </si>
  <si>
    <t xml:space="preserve">555</t>
  </si>
  <si>
    <t xml:space="preserve">ZL-123-02-1</t>
  </si>
  <si>
    <t xml:space="preserve">ZL-123-02-1 (4) / NOSE LANDING GEAR WELL ZONAL INSP</t>
  </si>
  <si>
    <t xml:space="preserve">556</t>
  </si>
  <si>
    <t xml:space="preserve">ZL-131-01-1</t>
  </si>
  <si>
    <t xml:space="preserve">ZL-131-01-1 (05) / FWD CARGO COMPARTMENT ZONAL INSP</t>
  </si>
  <si>
    <t xml:space="preserve">557</t>
  </si>
  <si>
    <t xml:space="preserve">ZL-151-01-1</t>
  </si>
  <si>
    <t xml:space="preserve">ZL-151-01-1 (3) / AFT CARGO COMPARTMENT ZONAL INSP</t>
  </si>
  <si>
    <t xml:space="preserve">558</t>
  </si>
  <si>
    <t xml:space="preserve">ZL-161-01-1</t>
  </si>
  <si>
    <t xml:space="preserve">ZL-161-01-1 (3) / BULK CARGO COMPARTMENT ZONAL INSP</t>
  </si>
  <si>
    <t xml:space="preserve">559</t>
  </si>
  <si>
    <t xml:space="preserve">ZL-161-02-1</t>
  </si>
  <si>
    <t xml:space="preserve">ZL-161-02-1 (02) / BULK CARGO COMPARTMENT ZONAL INSP</t>
  </si>
  <si>
    <t xml:space="preserve">560</t>
  </si>
  <si>
    <t xml:space="preserve">ZL-171-01-2</t>
  </si>
  <si>
    <t xml:space="preserve">ZL-171-01-2 (04) / AFT CAB UNDERFLOOR COMP. ZONAL INSP</t>
  </si>
  <si>
    <t xml:space="preserve">561</t>
  </si>
  <si>
    <t xml:space="preserve">ZL-300-02-1</t>
  </si>
  <si>
    <t xml:space="preserve">ZL-300-02-1 (05) / STABILIZERS&amp;CONE/REAR FUSELAGE INSP</t>
  </si>
  <si>
    <t xml:space="preserve">562</t>
  </si>
  <si>
    <t xml:space="preserve">ZL-315-01-1</t>
  </si>
  <si>
    <t xml:space="preserve">ZL-315-01-1 (02) / GENERAL VISUAL INSPECTION OF TAIL CONE APU AND ACCESSORY COMPARTMENT (EWIS)</t>
  </si>
  <si>
    <t xml:space="preserve">563</t>
  </si>
  <si>
    <t xml:space="preserve">ZL-334-01-1</t>
  </si>
  <si>
    <t xml:space="preserve">ZL-334-01-1 (4) / THS TRAILING EDGE ZONAL INSPECTION</t>
  </si>
  <si>
    <t xml:space="preserve">564</t>
  </si>
  <si>
    <t xml:space="preserve">ZL-411-01-3-001</t>
  </si>
  <si>
    <t xml:space="preserve">ZL-411-01-3-001 (05) / NO. 1 ENGINE UPPER FORWARD PYLON</t>
  </si>
  <si>
    <t xml:space="preserve">565</t>
  </si>
  <si>
    <t xml:space="preserve">ZL-411-01-3-002</t>
  </si>
  <si>
    <t xml:space="preserve">ZL-411-01-3-002 (05) / NO. 2 ENGINE UPPER FORWARD PYLON</t>
  </si>
  <si>
    <t xml:space="preserve">566</t>
  </si>
  <si>
    <t xml:space="preserve">ZL-437-01-1-001</t>
  </si>
  <si>
    <t xml:space="preserve">ZL-437-01-1-001 (05) / GENERAL VISUAL INSPECTION OF FAN COWL NO.1 ENGINE</t>
  </si>
  <si>
    <t xml:space="preserve">567</t>
  </si>
  <si>
    <t xml:space="preserve">ZL-437-01-1-002</t>
  </si>
  <si>
    <t xml:space="preserve">ZL-437-01-1-002 (05) / GENERAL VISUAL INSPECTION OF FAN COWL NO.2 ENGINE</t>
  </si>
  <si>
    <t xml:space="preserve">568</t>
  </si>
  <si>
    <t xml:space="preserve">ZL-451-01-1-001</t>
  </si>
  <si>
    <t xml:space="preserve">ZL-451-01-1-001 (04) / NO. 1 ENGINE THRUST REVERSER COWLING</t>
  </si>
  <si>
    <t xml:space="preserve">569</t>
  </si>
  <si>
    <t xml:space="preserve">ZL-451-01-1-002</t>
  </si>
  <si>
    <t xml:space="preserve">ZL-451-01-1-002 (04) / NO. 2 ENGINE THRUST REVERSER COWLING</t>
  </si>
  <si>
    <t xml:space="preserve">570</t>
  </si>
  <si>
    <t xml:space="preserve">ZL-453-01-1-001</t>
  </si>
  <si>
    <t xml:space="preserve">ZL-453-01-1-001 (05) / NO.1 ENGINE HOT SECTION ZONAL INSP</t>
  </si>
  <si>
    <t xml:space="preserve">571</t>
  </si>
  <si>
    <t xml:space="preserve">ZL-453-01-1-002</t>
  </si>
  <si>
    <t xml:space="preserve">ZL-453-01-1-002 (05) / NO.2 ENGINE HOT SECTION ZONAL INSP</t>
  </si>
  <si>
    <t xml:space="preserve">572</t>
  </si>
  <si>
    <t xml:space="preserve">ZL-471-01-4-001</t>
  </si>
  <si>
    <t xml:space="preserve">ZL-471-01-4-001 (04) / NO.1 ENG PYLON L/E AND LOWER FAIRING</t>
  </si>
  <si>
    <t xml:space="preserve">573</t>
  </si>
  <si>
    <t xml:space="preserve">ZL-471-01-4-002</t>
  </si>
  <si>
    <t xml:space="preserve">ZL-471-01-4-002 (04) / NO.2 ENG PYLON L/E AND LOWER FAIRING</t>
  </si>
  <si>
    <t xml:space="preserve">574</t>
  </si>
  <si>
    <t xml:space="preserve">ZL-500-02-1-001</t>
  </si>
  <si>
    <t xml:space="preserve">ZL-500-02-1-001 (05) / L/H WING LOWER SURFACE ZONAL INSP</t>
  </si>
  <si>
    <t xml:space="preserve">575</t>
  </si>
  <si>
    <t xml:space="preserve">ZL-500-02-1-002</t>
  </si>
  <si>
    <t xml:space="preserve">ZL-500-02-1-002 (05) / R/H WING LOWER SURFACE ZONAL INSP</t>
  </si>
  <si>
    <t xml:space="preserve">576</t>
  </si>
  <si>
    <t xml:space="preserve">ZL-575-01-1-001</t>
  </si>
  <si>
    <t xml:space="preserve">ZL-575-01-1-001 (04) / L/H OUTB FIXED TRAILING EDGE INSP</t>
  </si>
  <si>
    <t xml:space="preserve">577</t>
  </si>
  <si>
    <t xml:space="preserve">ZL-575-01-1-002</t>
  </si>
  <si>
    <t xml:space="preserve">ZL-575-01-1-002 (04) / R/H OUTB FIXED TRAILING EDGE INSP</t>
  </si>
  <si>
    <t xml:space="preserve">578</t>
  </si>
  <si>
    <t xml:space="preserve">ZL-734-01-1</t>
  </si>
  <si>
    <t xml:space="preserve">ZL-734-01-1 (3) / MLG MAIN DOOR ZONAL INSPECTION</t>
  </si>
  <si>
    <t xml:space="preserve">05-27</t>
  </si>
  <si>
    <t xml:space="preserve">579</t>
  </si>
  <si>
    <t xml:space="preserve">ZL-825-01-1</t>
  </si>
  <si>
    <t xml:space="preserve">ZL-825-01-1 (04) / FORWARD CARGO COMP. DOOR ZONAL INSP</t>
  </si>
  <si>
    <t xml:space="preserve">580</t>
  </si>
  <si>
    <t xml:space="preserve">ZL-826-01-1</t>
  </si>
  <si>
    <t xml:space="preserve">ZL-826-01-1 (04) / AFT CARGO COMP. DOOR ZONAL INSP</t>
  </si>
  <si>
    <t xml:space="preserve">581</t>
  </si>
  <si>
    <t xml:space="preserve">ZL-827-01-1</t>
  </si>
  <si>
    <t xml:space="preserve">ZL-827-01-1 (06) / BULK CARGO COMP. DOOR ZONAL INSP</t>
  </si>
  <si>
    <t xml:space="preserve">582</t>
  </si>
  <si>
    <t xml:space="preserve">272100-08-1</t>
  </si>
  <si>
    <t xml:space="preserve">272100-08-1 (02) / RUDDER MECHANICAL CNTROL LUBRICATION</t>
  </si>
  <si>
    <t xml:space="preserve">583</t>
  </si>
  <si>
    <t xml:space="preserve">274100-03-1</t>
  </si>
  <si>
    <t xml:space="preserve">274100-03-1 (3) / THS MECHANICAL CONTROL LUBRICATION</t>
  </si>
  <si>
    <t xml:space="preserve">589</t>
  </si>
  <si>
    <t xml:space="preserve">344200-02-2</t>
  </si>
  <si>
    <t xml:space="preserve">344200-02-2 (01) / RADIO ALTIMETER</t>
  </si>
  <si>
    <t xml:space="preserve">JOB-SETUP, TC/P, JOB-CLOSEUP, JOB-CLOSEUP</t>
  </si>
  <si>
    <t xml:space="preserve">593</t>
  </si>
  <si>
    <t xml:space="preserve">494000-B2-1</t>
  </si>
  <si>
    <t xml:space="preserve">494000-B2-1 (02) / DETAILED INSPECTION OF IGNITER PLUG</t>
  </si>
  <si>
    <t xml:space="preserve">49-41</t>
  </si>
  <si>
    <t xml:space="preserve">596</t>
  </si>
  <si>
    <t xml:space="preserve">532178-01-1</t>
  </si>
  <si>
    <t xml:space="preserve">532178-01-1 (0) / FUSELAGE EXTERNAL SKIN COVERED BY LA</t>
  </si>
  <si>
    <t xml:space="preserve">597</t>
  </si>
  <si>
    <t xml:space="preserve">533130-01-1</t>
  </si>
  <si>
    <t xml:space="preserve">533130-01-1 (04) / ANTI COLLISION LIGHT SKN CUTOUT INSP</t>
  </si>
  <si>
    <t xml:space="preserve">598</t>
  </si>
  <si>
    <t xml:space="preserve">533131-01-1</t>
  </si>
  <si>
    <t xml:space="preserve">533131-01-1 (05) / SKIN AROUND ADF1 ANTENNA CUTOUT INSP</t>
  </si>
  <si>
    <t xml:space="preserve">JOB-SETUP, CLEAN-UP, INSPECTION, INSPECTION, JOB-CLOSEUP, JOB-CLOSEUP, JOB-CLOSEUP</t>
  </si>
  <si>
    <t xml:space="preserve">599</t>
  </si>
  <si>
    <t xml:space="preserve">534112-01-1</t>
  </si>
  <si>
    <t xml:space="preserve">534112-01-1 (03) / VHF3 ANTENNA SKIN CUTOUT INSPECTION</t>
  </si>
  <si>
    <t xml:space="preserve">600</t>
  </si>
  <si>
    <t xml:space="preserve">572610-02-2</t>
  </si>
  <si>
    <t xml:space="preserve">572610-02-2 (0) / OUTER WING</t>
  </si>
  <si>
    <t xml:space="preserve">601</t>
  </si>
  <si>
    <t xml:space="preserve">ZL-191-01-2</t>
  </si>
  <si>
    <t xml:space="preserve">ZL-191-01-2 (9) / AIR CONDITION COMPARTMENT ZONAL INSP</t>
  </si>
  <si>
    <t xml:space="preserve">605</t>
  </si>
  <si>
    <t xml:space="preserve">12-21-11-03-0-SVA</t>
  </si>
  <si>
    <t xml:space="preserve">12-21-11-03-0-SVA (03) / AIRCRAFT HEAVY WASH</t>
  </si>
  <si>
    <t xml:space="preserve">WASH, WASH, WASH, WASH, WASH, WASH, WASH, WASH, WASH, WASH, WASH, WASH, WASH, WASH, WASH, WASH, WASH, WASH, WASH, WASH, WASH, WASH, WASH, WASH, WASH</t>
  </si>
  <si>
    <t xml:space="preserve">606</t>
  </si>
  <si>
    <t xml:space="preserve">32-10-00-01-0-SVA</t>
  </si>
  <si>
    <t xml:space="preserve">32-10-00-01-0-SVA (02) / MLG DR ACTUATOR EYE END BEARING LUB</t>
  </si>
  <si>
    <t xml:space="preserve">32-12</t>
  </si>
  <si>
    <t xml:space="preserve">JOB-SETUP, TC/P, TC/P</t>
  </si>
  <si>
    <t xml:space="preserve">607</t>
  </si>
  <si>
    <t xml:space="preserve">321000-01-1</t>
  </si>
  <si>
    <t xml:space="preserve">321000-01-1 (5) / MLG AND DOORS LUBRICATION</t>
  </si>
  <si>
    <t xml:space="preserve">608</t>
  </si>
  <si>
    <t xml:space="preserve">322100-07-1</t>
  </si>
  <si>
    <t xml:space="preserve">322100-07-1 (4) / NLG AIRFRAME ATTACHMENT FITTING INSP</t>
  </si>
  <si>
    <t xml:space="preserve">TC/P, TC/P, TC/P, TC/P, INSPECTION, INSPECTION, INSPECTION, INSPECTION, INSPECTION, INSPECTION</t>
  </si>
  <si>
    <t xml:space="preserve">616</t>
  </si>
  <si>
    <t xml:space="preserve">523119-01-2</t>
  </si>
  <si>
    <t xml:space="preserve">523119-01-2 (03) / AFT CARGO DOOR LOCKING HOOKS INSP</t>
  </si>
  <si>
    <t xml:space="preserve">622</t>
  </si>
  <si>
    <t xml:space="preserve">532170-01-1</t>
  </si>
  <si>
    <t xml:space="preserve">532170-01-1 (5) / FWD CARGO DOOR LOCK FITTINGS INSP</t>
  </si>
  <si>
    <t xml:space="preserve">624</t>
  </si>
  <si>
    <t xml:space="preserve">532180-04-2</t>
  </si>
  <si>
    <t xml:space="preserve">532180-04-2 (0) / FORWARD FUSELAGE</t>
  </si>
  <si>
    <t xml:space="preserve">625</t>
  </si>
  <si>
    <t xml:space="preserve">533111-01-1</t>
  </si>
  <si>
    <t xml:space="preserve">533111-01-1 (03) / PRESS DEK MEMBRANES LWR SURFACE INSP</t>
  </si>
  <si>
    <t xml:space="preserve">CLEAN-UP, INSPECTION</t>
  </si>
  <si>
    <t xml:space="preserve">627</t>
  </si>
  <si>
    <t xml:space="preserve">533139-02-1</t>
  </si>
  <si>
    <t xml:space="preserve">533139-02-1 (01) / INSPECTION OF LONGITUDINAL BEAM FLANGE</t>
  </si>
  <si>
    <t xml:space="preserve">JOB-SETUP, INSPECTION, --</t>
  </si>
  <si>
    <t xml:space="preserve">628</t>
  </si>
  <si>
    <t xml:space="preserve">533152-01-7</t>
  </si>
  <si>
    <t xml:space="preserve">533152-01-7 (02) / PRESS BULKHEAD AT FR35 FWD FACE INSP</t>
  </si>
  <si>
    <t xml:space="preserve">JOB-SETUP, CLEAN-UP, INSPECTION, INSPECTION, INSPECTION, JOB-CLOSEUP, JOB-CLOSEUP, JOB-CLOSEUP, JOB-CLOSEUP</t>
  </si>
  <si>
    <t xml:space="preserve">629</t>
  </si>
  <si>
    <t xml:space="preserve">534107-03-1</t>
  </si>
  <si>
    <t xml:space="preserve">534107-03-1 (0) / REAR FUSELAGE</t>
  </si>
  <si>
    <t xml:space="preserve">637</t>
  </si>
  <si>
    <t xml:space="preserve">545107-01-1-001</t>
  </si>
  <si>
    <t xml:space="preserve">545107-01-1-001 (04) / NO. 1 ENGINE AFT ATTACH BEAM INSP</t>
  </si>
  <si>
    <t xml:space="preserve">638</t>
  </si>
  <si>
    <t xml:space="preserve">545107-01-1-002</t>
  </si>
  <si>
    <t xml:space="preserve">545107-01-1-002 (04) / NO. 2 ENGINE AFT ATTACH BEAM INSP</t>
  </si>
  <si>
    <t xml:space="preserve">651</t>
  </si>
  <si>
    <t xml:space="preserve">572044-01-2-001</t>
  </si>
  <si>
    <t xml:space="preserve">572044-01-2-001 (01) / L/H WING BOTTOM SKN LWR SURFACE INSP</t>
  </si>
  <si>
    <t xml:space="preserve">652</t>
  </si>
  <si>
    <t xml:space="preserve">572044-01-2-002</t>
  </si>
  <si>
    <t xml:space="preserve">572044-01-2-002 (02) / R/H WING BOTTOM SKN LWR SURFACE INSP</t>
  </si>
  <si>
    <t xml:space="preserve">JOB-SETUP, CLEAN-UP, INSPECTION, JOB-SETUP</t>
  </si>
  <si>
    <t xml:space="preserve">653</t>
  </si>
  <si>
    <t xml:space="preserve">572062-01-1-001</t>
  </si>
  <si>
    <t xml:space="preserve">572062-01-1-001 (03) / L OUTER WING FIXED TRAING EDGE INSP</t>
  </si>
  <si>
    <t xml:space="preserve">654</t>
  </si>
  <si>
    <t xml:space="preserve">572062-01-1-002</t>
  </si>
  <si>
    <t xml:space="preserve">572062-01-1-002 (03) / R OUTER WING FIXED TRAIING EDGE INSP</t>
  </si>
  <si>
    <t xml:space="preserve">655</t>
  </si>
  <si>
    <t xml:space="preserve">572063-01-1-001</t>
  </si>
  <si>
    <t xml:space="preserve">572063-01-1-001 (02) / L/H O/WNG BTOM SKN LWR SURFACE INSP</t>
  </si>
  <si>
    <t xml:space="preserve">659</t>
  </si>
  <si>
    <t xml:space="preserve">572111-01-1-001</t>
  </si>
  <si>
    <t xml:space="preserve">572111-01-1-001 (03) / LH WING REAR SPAR AFT FACE INSP</t>
  </si>
  <si>
    <t xml:space="preserve">660</t>
  </si>
  <si>
    <t xml:space="preserve">572111-01-1-002</t>
  </si>
  <si>
    <t xml:space="preserve">572111-01-1-002 (03) / RH WING REAR SPAR AFT FACE INSP</t>
  </si>
  <si>
    <t xml:space="preserve">661</t>
  </si>
  <si>
    <t xml:space="preserve">572111-02-1</t>
  </si>
  <si>
    <t xml:space="preserve">572111-02-1 (0) / OUTER WING REAR SPAR AFT FACE RIB 8-</t>
  </si>
  <si>
    <t xml:space="preserve">662</t>
  </si>
  <si>
    <t xml:space="preserve">572112-01-1-001</t>
  </si>
  <si>
    <t xml:space="preserve">572112-01-1-001 (01) / L/H OUTER WING REAR SPAR AFT FACE INSP</t>
  </si>
  <si>
    <t xml:space="preserve">663</t>
  </si>
  <si>
    <t xml:space="preserve">572112-01-1-002</t>
  </si>
  <si>
    <t xml:space="preserve">572112-01-1-002 (01) / R/H OUTER WING REAR SPAR AFT FACE INSP</t>
  </si>
  <si>
    <t xml:space="preserve">668</t>
  </si>
  <si>
    <t xml:space="preserve">572607-01-1-001</t>
  </si>
  <si>
    <t xml:space="preserve">572607-01-1-001 (2) / L/FLAP TRACK BEAMS FWD SPIGOT ATTACH</t>
  </si>
  <si>
    <t xml:space="preserve">669</t>
  </si>
  <si>
    <t xml:space="preserve">572607-01-1-002</t>
  </si>
  <si>
    <t xml:space="preserve">572607-01-1-002 (2) / R/FLAP TRACK BEAMS FWD SPIGOT ATTACH</t>
  </si>
  <si>
    <t xml:space="preserve">670</t>
  </si>
  <si>
    <t xml:space="preserve">572610-02-1-001</t>
  </si>
  <si>
    <t xml:space="preserve">572610-02-1-001 (03) / LH FLAP TRACK BEAMS INSP</t>
  </si>
  <si>
    <t xml:space="preserve">671</t>
  </si>
  <si>
    <t xml:space="preserve">572610-02-1-002</t>
  </si>
  <si>
    <t xml:space="preserve">572610-02-1-002 (03) / RH FLAP TRACK BEAMS INSP</t>
  </si>
  <si>
    <t xml:space="preserve">672</t>
  </si>
  <si>
    <t xml:space="preserve">574101-01-3-001</t>
  </si>
  <si>
    <t xml:space="preserve">574101-01-3-001 (03) / L/H FIXED LE ROLLER PIN HOLES INSP</t>
  </si>
  <si>
    <t xml:space="preserve">673</t>
  </si>
  <si>
    <t xml:space="preserve">574101-01-3-002</t>
  </si>
  <si>
    <t xml:space="preserve">574101-01-3-002 (03) / R/H FIXED LE ROLLER PIN HOLES INSP</t>
  </si>
  <si>
    <t xml:space="preserve">674</t>
  </si>
  <si>
    <t xml:space="preserve">574202-01-2-001</t>
  </si>
  <si>
    <t xml:space="preserve">574202-01-2-001 (02) / L/H SLAT 1 TRACKS 1-4 ATACHMNTS INSP</t>
  </si>
  <si>
    <t xml:space="preserve">675</t>
  </si>
  <si>
    <t xml:space="preserve">574202-01-2-002</t>
  </si>
  <si>
    <t xml:space="preserve">574202-01-2-002 (02) / R/H SLAT 1 TRACKS 1-4 ATACHMNTS INSP</t>
  </si>
  <si>
    <t xml:space="preserve">676</t>
  </si>
  <si>
    <t xml:space="preserve">574205-01-1-001</t>
  </si>
  <si>
    <t xml:space="preserve">574205-01-1-001 (02) / L/H SLAT 1 TRAILING EDGE INSP</t>
  </si>
  <si>
    <t xml:space="preserve">677</t>
  </si>
  <si>
    <t xml:space="preserve">574205-01-1-002</t>
  </si>
  <si>
    <t xml:space="preserve">574205-01-1-002 (02) / R/H SLAT 1 TRAILING EDGE INSP</t>
  </si>
  <si>
    <t xml:space="preserve">678</t>
  </si>
  <si>
    <t xml:space="preserve">574302-01-2-001</t>
  </si>
  <si>
    <t xml:space="preserve">574302-01-2-001 (02) / L/H SLAT 2 TRACK 5-6 ATTACHMNTS INSP</t>
  </si>
  <si>
    <t xml:space="preserve">679</t>
  </si>
  <si>
    <t xml:space="preserve">574302-01-2-002</t>
  </si>
  <si>
    <t xml:space="preserve">574302-01-2-002 (02) / R/H SLAT 2 TRACK 5-6 ATTACHMNTS INSP</t>
  </si>
  <si>
    <t xml:space="preserve">680</t>
  </si>
  <si>
    <t xml:space="preserve">574305-01-1-001</t>
  </si>
  <si>
    <t xml:space="preserve">574305-01-1-001 (02) / L/H SLAT 2 TRAILING EDGE INSP</t>
  </si>
  <si>
    <t xml:space="preserve">JOB-SETUP, --, INSPECTION, JOB-CLOSEUP</t>
  </si>
  <si>
    <t xml:space="preserve">681</t>
  </si>
  <si>
    <t xml:space="preserve">574305-01-1-002</t>
  </si>
  <si>
    <t xml:space="preserve">574305-01-1-002 (02) / R/H SLAT 2 TRAILING EDGE INSP</t>
  </si>
  <si>
    <t xml:space="preserve">682</t>
  </si>
  <si>
    <t xml:space="preserve">574402-01-2-001</t>
  </si>
  <si>
    <t xml:space="preserve">574402-01-2-001 (02) / L/H SLAT 3 TRACK 7-8 ATTACHMENTS INSP</t>
  </si>
  <si>
    <t xml:space="preserve">683</t>
  </si>
  <si>
    <t xml:space="preserve">574402-01-2-002</t>
  </si>
  <si>
    <t xml:space="preserve">574402-01-2-002 (02) / R/H SLAT 3 TRACK 7-8 ATTACHMENTS INSP</t>
  </si>
  <si>
    <t xml:space="preserve">684</t>
  </si>
  <si>
    <t xml:space="preserve">574405-01-1-001</t>
  </si>
  <si>
    <t xml:space="preserve">574405-01-1-001 (02) / L/H SLAT 3 TRAILING EDGE INSPECTION</t>
  </si>
  <si>
    <t xml:space="preserve">685</t>
  </si>
  <si>
    <t xml:space="preserve">574405-01-1-002</t>
  </si>
  <si>
    <t xml:space="preserve">574405-01-1-002 (02) / R/H SLAT 3 TRAILING EDGE INSPECTION</t>
  </si>
  <si>
    <t xml:space="preserve">686</t>
  </si>
  <si>
    <t xml:space="preserve">574502-01-2-001</t>
  </si>
  <si>
    <t xml:space="preserve">574502-01-2-001 (02) / L/H SLAT 4 TRACK 9-10 ATTACHMENTS INSP</t>
  </si>
  <si>
    <t xml:space="preserve">687</t>
  </si>
  <si>
    <t xml:space="preserve">574502-01-2-002</t>
  </si>
  <si>
    <t xml:space="preserve">574502-01-2-002 (02) / R/H SLAT 4 TRACK 9-10 ATTACHMENTS INSP</t>
  </si>
  <si>
    <t xml:space="preserve">688</t>
  </si>
  <si>
    <t xml:space="preserve">574505-01-1-001</t>
  </si>
  <si>
    <t xml:space="preserve">574505-01-1-001 (02) / L/H SLAT 4 TRAILING EDGE INSPECTION</t>
  </si>
  <si>
    <t xml:space="preserve">689</t>
  </si>
  <si>
    <t xml:space="preserve">574505-01-1-002</t>
  </si>
  <si>
    <t xml:space="preserve">574505-01-1-002 (02) / R/H SLAT 4 TRAILING EDGE INSPECTION</t>
  </si>
  <si>
    <t xml:space="preserve">690</t>
  </si>
  <si>
    <t xml:space="preserve">574602-01-2-001</t>
  </si>
  <si>
    <t xml:space="preserve">574602-01-2-001 (02) / L/H SLAT 5 TRACK 11-12 ATTACHMENTS INSP</t>
  </si>
  <si>
    <t xml:space="preserve">691</t>
  </si>
  <si>
    <t xml:space="preserve">574602-01-2-002</t>
  </si>
  <si>
    <t xml:space="preserve">574602-01-2-002 (02) / R/H SLAT 5 TRACK 11-12 ATTACHMENTS INSP</t>
  </si>
  <si>
    <t xml:space="preserve">692</t>
  </si>
  <si>
    <t xml:space="preserve">574605-01-1-001</t>
  </si>
  <si>
    <t xml:space="preserve">574605-01-1-001 (02) / L/H SLAT 5 TRAILING EDGE INSPECTION</t>
  </si>
  <si>
    <t xml:space="preserve">693</t>
  </si>
  <si>
    <t xml:space="preserve">574605-01-1-002</t>
  </si>
  <si>
    <t xml:space="preserve">574605-01-1-002 (02) / R/H SLAT 5 TRAILING EDGE INSPECTION</t>
  </si>
  <si>
    <t xml:space="preserve">694</t>
  </si>
  <si>
    <t xml:space="preserve">575107-01-1-001</t>
  </si>
  <si>
    <t xml:space="preserve">575107-01-1-001 (02) / L/H TRALNG EDGE SPOILER 2-5 FITINGS INSP</t>
  </si>
  <si>
    <t xml:space="preserve">695</t>
  </si>
  <si>
    <t xml:space="preserve">575107-01-1-002</t>
  </si>
  <si>
    <t xml:space="preserve">575107-01-1-002 (02) / R/H TRALNG EDGE SPOILER 2-5 FITINGS INSP</t>
  </si>
  <si>
    <t xml:space="preserve">696</t>
  </si>
  <si>
    <t xml:space="preserve">575120-03-1-001</t>
  </si>
  <si>
    <t xml:space="preserve">575120-03-1-001 (02) / TRALING EDGE AILERON HINGE PINS INSP</t>
  </si>
  <si>
    <t xml:space="preserve">697</t>
  </si>
  <si>
    <t xml:space="preserve">575120-03-1-002</t>
  </si>
  <si>
    <t xml:space="preserve">575120-03-1-002 (02) / TRALING EDGE AILERON HINGE PINS INSP</t>
  </si>
  <si>
    <t xml:space="preserve">698</t>
  </si>
  <si>
    <t xml:space="preserve">575150-01-2-001</t>
  </si>
  <si>
    <t xml:space="preserve">575150-01-2-001 (03) / L/H OUTER WING MLG SUPPORT RIBS INSP</t>
  </si>
  <si>
    <t xml:space="preserve">699</t>
  </si>
  <si>
    <t xml:space="preserve">575150-01-2-002</t>
  </si>
  <si>
    <t xml:space="preserve">575150-01-2-002 (03) / R/H OUTER WING MLG SUPPORT RIBS INSP</t>
  </si>
  <si>
    <t xml:space="preserve">700</t>
  </si>
  <si>
    <t xml:space="preserve">575158-01-5-001</t>
  </si>
  <si>
    <t xml:space="preserve">575158-01-5-001 (02) / L/H WNG BOTTOM SKN LWR SURFACE INSP</t>
  </si>
  <si>
    <t xml:space="preserve">701</t>
  </si>
  <si>
    <t xml:space="preserve">575158-01-5-002</t>
  </si>
  <si>
    <t xml:space="preserve">575158-01-5-002 (02) / R/H WNG BOTTOM SKN LWR SURFACE INSP</t>
  </si>
  <si>
    <t xml:space="preserve">702</t>
  </si>
  <si>
    <t xml:space="preserve">783000-C9-1</t>
  </si>
  <si>
    <t xml:space="preserve">783000-C9-1 (01) / DETAILED INSPECTION OF TRU STRUTS.</t>
  </si>
  <si>
    <t xml:space="preserve">78-30</t>
  </si>
  <si>
    <t xml:space="preserve">703</t>
  </si>
  <si>
    <t xml:space="preserve">22586962</t>
  </si>
  <si>
    <t xml:space="preserve">92339 (0) / TOILET SERVICES PANEL REINFORCEMENTS DOUBLER WITH CORROSION</t>
  </si>
  <si>
    <t xml:space="preserve">704</t>
  </si>
  <si>
    <t xml:space="preserve">23464908</t>
  </si>
  <si>
    <t xml:space="preserve">92341 (0) / TOILET SERVICES PANEL REINFORCEMENTS DOUBLER WITH CORROSION2</t>
  </si>
  <si>
    <t xml:space="preserve">705</t>
  </si>
  <si>
    <t xml:space="preserve">31905379</t>
  </si>
  <si>
    <t xml:space="preserve">TPIS DEACTIVATION (0) / TPIS DEACTIVATION</t>
  </si>
  <si>
    <t xml:space="preserve">RI</t>
  </si>
  <si>
    <t xml:space="preserve">708</t>
  </si>
  <si>
    <t xml:space="preserve">29749798</t>
  </si>
  <si>
    <t xml:space="preserve">EOD-320-23-00013-R00/COMMUNICATIONS- COCKPIT VOICE RECORDER-ACTIVATION OF DATALINK RECORDI</t>
  </si>
  <si>
    <t xml:space="preserve">AD</t>
  </si>
  <si>
    <t xml:space="preserve">714</t>
  </si>
  <si>
    <t xml:space="preserve">31889267</t>
  </si>
  <si>
    <t xml:space="preserve">EOD-320-27-00026-R00/AD- A320 - FLIGHT CONTROLS- HIGH TIME THSA INSPECTION.</t>
  </si>
  <si>
    <t xml:space="preserve">717</t>
  </si>
  <si>
    <t xml:space="preserve">30482091</t>
  </si>
  <si>
    <t xml:space="preserve">EOD-320-31-00006-R00/ACTIVATE HIGHSPEED UPLOADING (ARINC 615A) - EIS2</t>
  </si>
  <si>
    <t xml:space="preserve">718</t>
  </si>
  <si>
    <t xml:space="preserve">30481965</t>
  </si>
  <si>
    <t xml:space="preserve">EOD-320-31-00007-R00/A320 –ELECTRONIC INSTRUMENT SYSTEM (EIS) - INTRODUCE EIS2 STANDARD S16</t>
  </si>
  <si>
    <t xml:space="preserve">719</t>
  </si>
  <si>
    <t xml:space="preserve">29155526</t>
  </si>
  <si>
    <t xml:space="preserve">EOD-320-31-00009-R00/INTRODUCE FDIMU H/W 2234320-02-02 FROM VENDOR TELEDYNE</t>
  </si>
  <si>
    <t xml:space="preserve">724</t>
  </si>
  <si>
    <t xml:space="preserve">23745496</t>
  </si>
  <si>
    <t xml:space="preserve">749</t>
  </si>
  <si>
    <t xml:space="preserve">32362499</t>
  </si>
  <si>
    <t xml:space="preserve">S21-R10347/A320FAM - CEHCK THE TORQUE VALUES OF ACM &lt;-&gt; MHX DUCT CONNECTION</t>
  </si>
  <si>
    <t xml:space="preserve">--, --, --, CLOSE-UP</t>
  </si>
  <si>
    <t xml:space="preserve">752</t>
  </si>
  <si>
    <t xml:space="preserve">30358131</t>
  </si>
  <si>
    <t xml:space="preserve">S36-R10080/A32S - PNUMATIC - MEASUREMENT OF THE CWR OF THE OHDS LOOPS</t>
  </si>
  <si>
    <t xml:space="preserve">764</t>
  </si>
  <si>
    <t xml:space="preserve">26290429</t>
  </si>
  <si>
    <t xml:space="preserve">34100005-1/50325D1 WC(WEIGHT CHECK) / WEIGHT CHECK</t>
  </si>
  <si>
    <t xml:space="preserve">765</t>
  </si>
  <si>
    <t xml:space="preserve">28781470</t>
  </si>
  <si>
    <t xml:space="preserve">34100005-1/67427D1 WC(WEIGHT CHECK) / WEIGHT CHECK</t>
  </si>
  <si>
    <t xml:space="preserve">766</t>
  </si>
  <si>
    <t xml:space="preserve">28781472</t>
  </si>
  <si>
    <t xml:space="preserve">34100005-1/67765D1 WC(WEIGHT CHECK) / WEIGHT CHECK</t>
  </si>
  <si>
    <t xml:space="preserve">767</t>
  </si>
  <si>
    <t xml:space="preserve">22574878</t>
  </si>
  <si>
    <t xml:space="preserve">34100005-1/E1800D1 WC(WEIGHT CHECK) / WEIGHT CHECK</t>
  </si>
  <si>
    <t xml:space="preserve">768</t>
  </si>
  <si>
    <t xml:space="preserve">23772081</t>
  </si>
  <si>
    <t xml:space="preserve">9024-15704-03/10115418 FC(FUNCTIONAL CHECK) / VALVE-SAFETY FUNCTIONAL CHECK</t>
  </si>
  <si>
    <t xml:space="preserve">769</t>
  </si>
  <si>
    <t xml:space="preserve">23772080</t>
  </si>
  <si>
    <t xml:space="preserve">9024-15704-03/10115442 FC(FUNCTIONAL CHECK) / VALVE-SAFETY FUNCTIONAL CHECK</t>
  </si>
  <si>
    <t xml:space="preserve">771</t>
  </si>
  <si>
    <t xml:space="preserve">30304386</t>
  </si>
  <si>
    <t xml:space="preserve">CFM56-5B3/3/645205 IN(INSPECTION) / ENG FAN SECTION INSP &amp; LUB</t>
  </si>
  <si>
    <t xml:space="preserve">JOB-SETUP, JOB-SETUP, CLEAN-UP, INSPECTION, INSPECTION, JOB-SETUP, JOB-CLOSEUP</t>
  </si>
  <si>
    <t xml:space="preserve">780</t>
  </si>
  <si>
    <t xml:space="preserve">94740818</t>
  </si>
  <si>
    <t xml:space="preserve">BLANKING CAP L2 DOOR HOIST POINT EA 01 BLANKING CAP FOUND TORN</t>
  </si>
  <si>
    <t xml:space="preserve">PRE INSP, PRE INSP, PRE INSP, PRE INSP, PRE INSP, PRE INSP, PRE INSP, PRE INSP, PRE INSP</t>
  </si>
  <si>
    <t xml:space="preserve">PRE HGR, PRE HGR, PRE HGR, PRE HGR, PRE HGR, PRE HGR, PRE HGR, PRE HGR, PRE HGR, PRE HGR, PRE HGR, PRE HGR, PRE HGR, PRE HGR, PRE HGR, PRE HGR, PRE HGR, PRE HGR, PRE HGR, PRE HGR</t>
  </si>
  <si>
    <t xml:space="preserve">802</t>
  </si>
  <si>
    <t xml:space="preserve">242400-01-2</t>
  </si>
  <si>
    <t xml:space="preserve">242400-01-2 (2) / AC EMERGENCY GENERATION OPC</t>
  </si>
  <si>
    <t xml:space="preserve">813</t>
  </si>
  <si>
    <t xml:space="preserve">32977683</t>
  </si>
  <si>
    <t xml:space="preserve">LOWER FUSELAGE---PNT---NO CALLBACK DURING INSP, FOUND THE FF DECALS TORN   1. APU FUEL-DRAIN VENT 2. FUEL LEAK MONITOR 3. LH/RH CAUTION INLET SWINGS INWARDS DECAL 4. YELLOW HYD BAY DECAL 5. AFT CARGO SELECTOR DECAL</t>
  </si>
  <si>
    <t xml:space="preserve">814</t>
  </si>
  <si>
    <t xml:space="preserve">32977684</t>
  </si>
  <si>
    <t xml:space="preserve">LOWER FUSELAGE---PNT---NO CALLBACK DURING INSP, FOUND THE FF DECALS FADED  1. GROUND SUPPLY AIR CONDITIONG DECAL 2. GROUND HYD CONN BLUE</t>
  </si>
  <si>
    <t xml:space="preserve">815</t>
  </si>
  <si>
    <t xml:space="preserve">32977685</t>
  </si>
  <si>
    <t xml:space="preserve">LOWER FUSELAGE---AVN---NO CALLBACK DURING INSP, FOUND TORN EROSION TAPE ON VHF 2 ANTENNA</t>
  </si>
  <si>
    <t xml:space="preserve">817</t>
  </si>
  <si>
    <t xml:space="preserve">32977871</t>
  </si>
  <si>
    <t xml:space="preserve">PRE---UPPER FUSELAGE---NOCALLBACK---AVN UPPER FUSELAGE VHF (1)  ANTENNA, LEADING EDGE INSULATION PROTECTION FOUND TORN AND WORNOUT.</t>
  </si>
  <si>
    <t xml:space="preserve">818</t>
  </si>
  <si>
    <t xml:space="preserve">32977873</t>
  </si>
  <si>
    <t xml:space="preserve">PRE---UPPER FUSELAGE---NOCALLBACK---AVN UPPER FUSELAGE FWD SATCOM ANTENNA AFT AREA AROUND EDGE SEALANT FOUND WORNOUT AND MISSING.</t>
  </si>
  <si>
    <t xml:space="preserve">819</t>
  </si>
  <si>
    <t xml:space="preserve">32977874</t>
  </si>
  <si>
    <t xml:space="preserve">PRE---UPPER FUSELAGE---NOCALLBACK---AVN UPPER FUSELAGE TCAS 1 ANTENNA, CAP SEALANT AROUND FASTENERS AND EDGES FOUND WORNOUT AND TORN.</t>
  </si>
  <si>
    <t xml:space="preserve">820</t>
  </si>
  <si>
    <t xml:space="preserve">32977881</t>
  </si>
  <si>
    <t xml:space="preserve">PRE---UPPER FUSELAGE---NOCALLBACK---PNT PASSENGER ENTRY DOORS EXTERNAL SURFACE HOIST POINT COVERS FOUND TORN AND PEELED OFF.</t>
  </si>
  <si>
    <t xml:space="preserve">821</t>
  </si>
  <si>
    <t xml:space="preserve">32977882</t>
  </si>
  <si>
    <t xml:space="preserve">PRE---UPPER FUSELAGE---NOCALLBACK---AVN AFT FUSELAGE UPPER SURFACE SATCOM ANTENNA L/E EXCESSIVE PAINT WORNOUT.</t>
  </si>
  <si>
    <t xml:space="preserve">822</t>
  </si>
  <si>
    <t xml:space="preserve">32977883</t>
  </si>
  <si>
    <t xml:space="preserve">PRE---UPPER FUSELAGE---RII---SM R2 PASSENGER ENTRY DOOR, FLOOR SCUFF PALTE EDGE FOUND WITH MULTIPLE MINOR DENTS. MAX DIAMENTER= 0.2 INCH MAX DEPTH= 0.013 INCH</t>
  </si>
  <si>
    <t xml:space="preserve">823</t>
  </si>
  <si>
    <t xml:space="preserve">32977884</t>
  </si>
  <si>
    <t xml:space="preserve">PRE---UPPER FUSELAGE---RII---SM L2 PASSENGER ENTRY DOOR, FLOOR SCUFF PALTE EDGE FOUND WITH 01 EA DENTS.  L= 0.4 INCH W= 0.5 INCH D= 0.050 INCH</t>
  </si>
  <si>
    <t xml:space="preserve">824</t>
  </si>
  <si>
    <t xml:space="preserve">32977904</t>
  </si>
  <si>
    <t xml:space="preserve">PRE---L/H AND R/H WING---NOCALLBACK---PNT L/H AND R/H WING ALL SLATS EXTERNAL SURFACE HOIST POINT COVERS FOUND MISSING, TORN AND WORNOUT.</t>
  </si>
  <si>
    <t xml:space="preserve">825</t>
  </si>
  <si>
    <t xml:space="preserve">32977905</t>
  </si>
  <si>
    <t xml:space="preserve">PRE---L/H WING---NOCALLBACK---AP L/H WING ADJACENT TO SLAT NO#01 I/B SIDE FIXED LEADING EDGE, SEAL FOUND TORN AND WORNOUT.</t>
  </si>
  <si>
    <t xml:space="preserve">827</t>
  </si>
  <si>
    <t xml:space="preserve">32977907</t>
  </si>
  <si>
    <t xml:space="preserve">PRE---R/H WING---RII---SM R/H WING UPPER SURFACE FWD OF SPOILER NO# 02 I/B SIDE, FWD AREA 01 EA RIVET HEAD FOUND SHEARED.</t>
  </si>
  <si>
    <t xml:space="preserve">828</t>
  </si>
  <si>
    <t xml:space="preserve">32977908</t>
  </si>
  <si>
    <t xml:space="preserve">PRE---UPPER FUSELAGE---NOCALLBACK---AVN UPPER FUSELAGE VHF (3)  ANTENNA, LEADING EDGE PAINT FOUND WORNOUT.</t>
  </si>
  <si>
    <t xml:space="preserve">829</t>
  </si>
  <si>
    <t xml:space="preserve">32977909</t>
  </si>
  <si>
    <t xml:space="preserve">PRE---L/H AND R/H WING---NOCALLBACK---PNT L/H AND R/H WING UPPER OUTER SURFACE "GROUND HERE " DECAL FOUDN TORN WITH CRACKS.</t>
  </si>
  <si>
    <t xml:space="preserve">830</t>
  </si>
  <si>
    <t xml:space="preserve">32977910</t>
  </si>
  <si>
    <t xml:space="preserve">PRE---UPPER FUSELAGE---NOCALLBACK---PNT UPPER FWD FUSELAGE AROUND COCKPIT WINDOW RETAINERS AND SCREW HEADS FOUND WITH PAINT CHIPPED OFF.</t>
  </si>
  <si>
    <t xml:space="preserve">831</t>
  </si>
  <si>
    <t xml:space="preserve">32977911</t>
  </si>
  <si>
    <t xml:space="preserve">PRE---L/H AND R/H WING---NOCALLBACK---PNT L/H AND R/H WING UPPER SURFACE MULTIPLE SCREW HEADS FOUND WITH PAINT CHIPPED OFF.</t>
  </si>
  <si>
    <t xml:space="preserve">832</t>
  </si>
  <si>
    <t xml:space="preserve">32978070</t>
  </si>
  <si>
    <t xml:space="preserve">FINDING (NRC) TASKCARD 282100-05-1-001  AP RII DURING GVI FUEL PIPE AT PYLON #1 FOUND 2 EA MINER DENT ON LH SIDE   MAIN FUEL FEED  PIPE UNDER PYLON PNL413  CL 1- DENT L = 0.02 IN     D= 0.009 IN 2- DENT L= 0.03 IN     D= 0.0010 IN</t>
  </si>
  <si>
    <t xml:space="preserve">833</t>
  </si>
  <si>
    <t xml:space="preserve">32978236</t>
  </si>
  <si>
    <t xml:space="preserve">NLG DOOR---PNT---NO CALL BACK---- NLG LH AND RH AFT DOOR MOUNT HINGES WITH PNT CHIP-OFF.</t>
  </si>
  <si>
    <t xml:space="preserve">834</t>
  </si>
  <si>
    <t xml:space="preserve">32978238</t>
  </si>
  <si>
    <t xml:space="preserve">NLG DOOR---AP--NO CALL BACK---- NLG LH AND RG AFT DOOR DATA PLATE DECAL TORN.</t>
  </si>
  <si>
    <t xml:space="preserve">835</t>
  </si>
  <si>
    <t xml:space="preserve">32978240</t>
  </si>
  <si>
    <t xml:space="preserve">NLG DOOR---AP---NO CALL BACK---- NLG RH AFT DOOR AFT UPPER CORNER RUBBER SEAL WRINKLED.</t>
  </si>
  <si>
    <t xml:space="preserve">836</t>
  </si>
  <si>
    <t xml:space="preserve">32978243</t>
  </si>
  <si>
    <t xml:space="preserve">NLG----PNT---- NO CALL BACK---- NLG LEG LWR DECAL SEVERAL TORN</t>
  </si>
  <si>
    <t xml:space="preserve">837</t>
  </si>
  <si>
    <t xml:space="preserve">32978247</t>
  </si>
  <si>
    <t xml:space="preserve">NLG WHEEL----AP---NO CALL BACK--- BOTH NLG WHEEL TIRE TPIS MISSING.</t>
  </si>
  <si>
    <t xml:space="preserve">838</t>
  </si>
  <si>
    <t xml:space="preserve">32978249</t>
  </si>
  <si>
    <t xml:space="preserve">NLG----PNT---NO CALL BACK---- NLG HCU SURFACE WITH PNT CHIP-OFF.</t>
  </si>
  <si>
    <t xml:space="preserve">839</t>
  </si>
  <si>
    <t xml:space="preserve">32978253</t>
  </si>
  <si>
    <t xml:space="preserve">LH MLG---PNT---NO CALL BACK---- LH MLG LEG  2EA DECALS FADED.</t>
  </si>
  <si>
    <t xml:space="preserve">841</t>
  </si>
  <si>
    <t xml:space="preserve">32978259</t>
  </si>
  <si>
    <t xml:space="preserve">LH MLG---AP  NO CALL BACK--- LH MLG FIXED FAIRING DATA PLATE DECAL MISSING.</t>
  </si>
  <si>
    <t xml:space="preserve">842</t>
  </si>
  <si>
    <t xml:space="preserve">32978265</t>
  </si>
  <si>
    <t xml:space="preserve">LH MLG BAY----AP---NO CALL BACK--- LH MLG BAY FWD SIDE FUSELAGE LWR SEAL TORN AND WRINGKLED AND UPPER SIDE CORNER WITH CUT.</t>
  </si>
  <si>
    <t xml:space="preserve">843</t>
  </si>
  <si>
    <t xml:space="preserve">32978273</t>
  </si>
  <si>
    <t xml:space="preserve">MLG----FS---NO CALL BACK----- INSIDE MLG DOOR ON KELL BEAM AREA DIRTY AND FULL OF WATER.</t>
  </si>
  <si>
    <t xml:space="preserve">844</t>
  </si>
  <si>
    <t xml:space="preserve">32978279</t>
  </si>
  <si>
    <t xml:space="preserve">RH MLG---PNT---NO CALL BACK---- RH MLG LEG TIRE PRESSURE DECAL TORN.</t>
  </si>
  <si>
    <t xml:space="preserve">845</t>
  </si>
  <si>
    <t xml:space="preserve">32978280</t>
  </si>
  <si>
    <t xml:space="preserve">MLG----AP NO CALL BACK--- ALL MLG WHEEL TIRE MISSING TPIS.</t>
  </si>
  <si>
    <t xml:space="preserve">846</t>
  </si>
  <si>
    <t xml:space="preserve">32978281</t>
  </si>
  <si>
    <t xml:space="preserve">RH MLG---AP---NO CALL BACK--- RH MLG BAY FWD FUSELAGE LWR RUBBER SEAL WRINGKLED AND TORN, AND UPPER CORNET WITH CUT.</t>
  </si>
  <si>
    <t xml:space="preserve">848</t>
  </si>
  <si>
    <t xml:space="preserve">32978291</t>
  </si>
  <si>
    <t xml:space="preserve">RH MLG DOOR---PNT---NO CALL BACK--- RH MLG DOOR ACTUATOR SURFACE WITH PNT CHIP-OFF.</t>
  </si>
  <si>
    <t xml:space="preserve">849</t>
  </si>
  <si>
    <t xml:space="preserve">32978481</t>
  </si>
  <si>
    <t xml:space="preserve">RH MLG---AP---CALL BACK---- RH MLG DOWN LOCK SPRING RUSTY.</t>
  </si>
  <si>
    <t xml:space="preserve">853</t>
  </si>
  <si>
    <t xml:space="preserve">32978510</t>
  </si>
  <si>
    <t xml:space="preserve">FWD CARGO COMP---SM---CALL BACK---- PNL 131CW LH DECOMPRESSION PNL COVER WITH  SKIN SEPARATION WITH MISSING PIECE OF HONEY COMB  AND RH WITH SKIN SEPARATION WITH CUT.</t>
  </si>
  <si>
    <t xml:space="preserve">854</t>
  </si>
  <si>
    <t xml:space="preserve">32978546</t>
  </si>
  <si>
    <t xml:space="preserve">FWD CARGO COMP---SM---CALL BACK---- FWD CARGO COMP PNL 131DW LH AND RH DECOMPRESSION COVER PNL WITH SKIN SEPARATION.</t>
  </si>
  <si>
    <t xml:space="preserve">855</t>
  </si>
  <si>
    <t xml:space="preserve">32978563</t>
  </si>
  <si>
    <t xml:space="preserve">FWD CARGO COMP---SM----CALL BACK---- PNL 131KFWITH PUNCTURED ON MID SIDE AND FWD LOW SIDE CORNER SKIN SEPARATION.</t>
  </si>
  <si>
    <t xml:space="preserve">856</t>
  </si>
  <si>
    <t xml:space="preserve">32978565</t>
  </si>
  <si>
    <t xml:space="preserve">FWD CARGO COMP---SM---CALL BACK---- PNL 132GF FWD SIDE PUNCTURED</t>
  </si>
  <si>
    <t xml:space="preserve">857</t>
  </si>
  <si>
    <t xml:space="preserve">32978566</t>
  </si>
  <si>
    <t xml:space="preserve">FWD CARGO COMP---SM---CALL BACK--- PNL 131EF WITH SEVERAL PUNCTURED.</t>
  </si>
  <si>
    <t xml:space="preserve">858</t>
  </si>
  <si>
    <t xml:space="preserve">32978568</t>
  </si>
  <si>
    <t xml:space="preserve">FWD CARGO COMP---PNT---NO CALL BACK---- PNL 132PW ACCES DECAL TORN.</t>
  </si>
  <si>
    <t xml:space="preserve">859</t>
  </si>
  <si>
    <t xml:space="preserve">32978570</t>
  </si>
  <si>
    <t xml:space="preserve">FWD CARGO DOOR---AP---CALL BACK---- FWD CARGO DOOR BOTH ACTUATOR SURFACE RUSTY</t>
  </si>
  <si>
    <t xml:space="preserve">860</t>
  </si>
  <si>
    <t xml:space="preserve">32978583</t>
  </si>
  <si>
    <t xml:space="preserve">FWD CARGO DOOR----FS---NO CALL BACK--- FWD CARGO DOOR LINING DIRTY.</t>
  </si>
  <si>
    <t xml:space="preserve">861</t>
  </si>
  <si>
    <t xml:space="preserve">32978585</t>
  </si>
  <si>
    <t xml:space="preserve">FWD CARGO DOOR---AP---CALL BACK---- FWD CARGO DOOR BOTH ACTUATOR SIGN OF HYD LEAK.</t>
  </si>
  <si>
    <t xml:space="preserve">862</t>
  </si>
  <si>
    <t xml:space="preserve">32978590</t>
  </si>
  <si>
    <t xml:space="preserve">FWD CARGO DOOR---FS---NO CALL BACK---- FWD CARGO DOOR ALL LWR ATTACHEMENT ROLLER DIRTY.</t>
  </si>
  <si>
    <t xml:space="preserve">865</t>
  </si>
  <si>
    <t xml:space="preserve">32978600</t>
  </si>
  <si>
    <t xml:space="preserve">FWD CARGO DOOR---SM---CALL BACK--- FWD CARGO DOOR LINING CRACK ON LWR  FWD SIDE.</t>
  </si>
  <si>
    <t xml:space="preserve">866</t>
  </si>
  <si>
    <t xml:space="preserve">32978626</t>
  </si>
  <si>
    <t xml:space="preserve">FWD CARGO DOOR---PNT---NO ALL BACK--- FWD CARGO DOOR LINING SEVERAL PNT CRACK.</t>
  </si>
  <si>
    <t xml:space="preserve">870</t>
  </si>
  <si>
    <t xml:space="preserve">32978648</t>
  </si>
  <si>
    <t xml:space="preserve">BULK CARGO DOOR---FS---NO CALL BACK--- BULK CARGO DOOR AREA AND LINING DIRTY.</t>
  </si>
  <si>
    <t xml:space="preserve">871</t>
  </si>
  <si>
    <t xml:space="preserve">32978649</t>
  </si>
  <si>
    <t xml:space="preserve">AFT CARGO DOOR---FS---NO CALL BACK--- AFT CARGO DOOR ALL ATTACHMENT FITTING ROLLER DIRTY.</t>
  </si>
  <si>
    <t xml:space="preserve">872</t>
  </si>
  <si>
    <t xml:space="preserve">32978650</t>
  </si>
  <si>
    <t xml:space="preserve">AFT CARGO DOOR---FS---NO CALL BACK--- AFT CARGO DOOR LINING DIRTY</t>
  </si>
  <si>
    <t xml:space="preserve">873</t>
  </si>
  <si>
    <t xml:space="preserve">32978651</t>
  </si>
  <si>
    <t xml:space="preserve">AFT CARGO DOOR---AP---NO CALL BACK---- AFT CARGO DOOR DATA PLATE TORN.</t>
  </si>
  <si>
    <t xml:space="preserve">874</t>
  </si>
  <si>
    <t xml:space="preserve">32978848</t>
  </si>
  <si>
    <t xml:space="preserve">875</t>
  </si>
  <si>
    <t xml:space="preserve">32978869</t>
  </si>
  <si>
    <t xml:space="preserve">877</t>
  </si>
  <si>
    <t xml:space="preserve">32978900</t>
  </si>
  <si>
    <t xml:space="preserve">878</t>
  </si>
  <si>
    <t xml:space="preserve">32978919</t>
  </si>
  <si>
    <t xml:space="preserve">879</t>
  </si>
  <si>
    <t xml:space="preserve">32978925</t>
  </si>
  <si>
    <t xml:space="preserve">880</t>
  </si>
  <si>
    <t xml:space="preserve">32978965</t>
  </si>
  <si>
    <t xml:space="preserve">881</t>
  </si>
  <si>
    <t xml:space="preserve">32979121</t>
  </si>
  <si>
    <t xml:space="preserve">882</t>
  </si>
  <si>
    <t xml:space="preserve">32979157</t>
  </si>
  <si>
    <t xml:space="preserve">883</t>
  </si>
  <si>
    <t xml:space="preserve">32979156</t>
  </si>
  <si>
    <t xml:space="preserve">FINDING (NRC) TASKCARD ZL-500-02-1-002 (05) RH WING  PNT--NO CALLBACK RH WING AROUND LANDING LIGHT BLACK PAINT MISSING.</t>
  </si>
  <si>
    <t xml:space="preserve">884</t>
  </si>
  <si>
    <t xml:space="preserve">32979222</t>
  </si>
  <si>
    <t xml:space="preserve">FINDING (NRC) TASKCARD ZL-500-02-1-002 (05) RH WING  PNT-- NO CALLBACK RH  WING LWR SURFACE IN/B  UPPER MLG FIX DOOR WITH PAINT CRACKS</t>
  </si>
  <si>
    <t xml:space="preserve">885</t>
  </si>
  <si>
    <t xml:space="preserve">32979231</t>
  </si>
  <si>
    <t xml:space="preserve">889</t>
  </si>
  <si>
    <t xml:space="preserve">32979322</t>
  </si>
  <si>
    <t xml:space="preserve">FINDING (NRC) TASKCARD ZL-500-02-1-002 (05) RH WING  SM--RII RH WING SLAT NO#2  MID SIDE WITH SCRACH DIM. L=1 IN W=0.12 IN D=0.003 IN</t>
  </si>
  <si>
    <t xml:space="preserve">890</t>
  </si>
  <si>
    <t xml:space="preserve">32979401</t>
  </si>
  <si>
    <t xml:space="preserve">FINDING (NRC) TASKCARD ZL-433-01-1-002 (02) ENG#2  SM--RII ENG#2 AIR INTAKE LIP WITH SURFACE CORROSION ALL AROUND.</t>
  </si>
  <si>
    <t xml:space="preserve">891</t>
  </si>
  <si>
    <t xml:space="preserve">32979406</t>
  </si>
  <si>
    <t xml:space="preserve">FINDING (NRC) TASKCARD ZL-433-01-1-001 (02) / ENG#1  SM--RII ENG#1 AIR INTAKE LIP WITH SURFACE CORROSION ALL AROUND.</t>
  </si>
  <si>
    <t xml:space="preserve">894</t>
  </si>
  <si>
    <t xml:space="preserve">32979661</t>
  </si>
  <si>
    <t xml:space="preserve">895</t>
  </si>
  <si>
    <t xml:space="preserve">32979731</t>
  </si>
  <si>
    <t xml:space="preserve">FWD AVIO COMP DOOR---AVIO---CALLBACK REQ CLEANING OF THE FWD AVIONIC COMPT AND DOOR (811) TO FACILITATE INSPECTION.</t>
  </si>
  <si>
    <t xml:space="preserve">896</t>
  </si>
  <si>
    <t xml:space="preserve">32979723</t>
  </si>
  <si>
    <t xml:space="preserve">APU BLEED DUCT CONNECTION--AP--CALLBACK LEAK FOUND ON MISALIGNED FWD CLAMP OF VALVE ASSY-PRESSURE REGULATION</t>
  </si>
  <si>
    <t xml:space="preserve">897</t>
  </si>
  <si>
    <t xml:space="preserve">32979981</t>
  </si>
  <si>
    <t xml:space="preserve">898</t>
  </si>
  <si>
    <t xml:space="preserve">32980018</t>
  </si>
  <si>
    <t xml:space="preserve">899</t>
  </si>
  <si>
    <t xml:space="preserve">32980020</t>
  </si>
  <si>
    <t xml:space="preserve">900</t>
  </si>
  <si>
    <t xml:space="preserve">32980022</t>
  </si>
  <si>
    <t xml:space="preserve">901</t>
  </si>
  <si>
    <t xml:space="preserve">32391506</t>
  </si>
  <si>
    <t xml:space="preserve">114122014/CH1016136 LB(LUBRICATION) / LUB OF MLG AND DOORS</t>
  </si>
  <si>
    <t xml:space="preserve">902</t>
  </si>
  <si>
    <t xml:space="preserve">32439904</t>
  </si>
  <si>
    <t xml:space="preserve">114122015/CH1009957 LB(LUBRICATION) / LUB OF MLG AND DOORS</t>
  </si>
  <si>
    <t xml:space="preserve">911</t>
  </si>
  <si>
    <t xml:space="preserve">94844836</t>
  </si>
  <si>
    <t xml:space="preserve">RADIO ALTIMETER AFT BELLY RADIO ALTIMETER MARKINGS FOUND FADED</t>
  </si>
  <si>
    <t xml:space="preserve">913</t>
  </si>
  <si>
    <t xml:space="preserve">32345876</t>
  </si>
  <si>
    <t xml:space="preserve">EOD-320-11-00001-R00/ADD MARKING ON AVIONICS DOORS 811 AND 824</t>
  </si>
  <si>
    <t xml:space="preserve">914</t>
  </si>
  <si>
    <t xml:space="preserve">32850432</t>
  </si>
  <si>
    <t xml:space="preserve">EOD-320-21-00005-R00/A320 - AIR CONDITIONING - INTRODUCE NEW CONTACTOR FOR BLOWER AND EXTRA</t>
  </si>
  <si>
    <t xml:space="preserve">920</t>
  </si>
  <si>
    <t xml:space="preserve">32822529</t>
  </si>
  <si>
    <t xml:space="preserve">S31-D10211/(REPETITIVE) A320/321: ACARS OUTPUT RULE SETTING CHANGE.</t>
  </si>
  <si>
    <t xml:space="preserve">921</t>
  </si>
  <si>
    <t xml:space="preserve">30205720</t>
  </si>
  <si>
    <t xml:space="preserve">S32-R10322/A320 - LANDING GEAR - NLG MAIN AND AFT DOOR INSPECTION</t>
  </si>
  <si>
    <t xml:space="preserve">924</t>
  </si>
  <si>
    <t xml:space="preserve">32872501</t>
  </si>
  <si>
    <t xml:space="preserve">S36-R10216/A32S - LEAK CHECK IN PACK BAY AREA COMPONENTS</t>
  </si>
  <si>
    <t xml:space="preserve">925</t>
  </si>
  <si>
    <t xml:space="preserve">32930830</t>
  </si>
  <si>
    <t xml:space="preserve">927</t>
  </si>
  <si>
    <t xml:space="preserve">32980031</t>
  </si>
  <si>
    <t xml:space="preserve">931</t>
  </si>
  <si>
    <t xml:space="preserve">32980071</t>
  </si>
  <si>
    <t xml:space="preserve">LATERAL AVIO COMPT---AP---NO CALLBACK VALVE-BUTTERFLY,AIR (P/N:V2T152D) UPPER ATTACHMENT DETACHED (ACCESS FROM AVN DOOR 812)</t>
  </si>
  <si>
    <t xml:space="preserve">932</t>
  </si>
  <si>
    <t xml:space="preserve">32980080</t>
  </si>
  <si>
    <t xml:space="preserve">LATERAL AVIO COMPT---AP---NO CALLBACK 1EA BROKEN UPPER CLAMP ON TOILET PIPE ASSY (ACCESS FROM AVN DOOR 812)</t>
  </si>
  <si>
    <t xml:space="preserve">933</t>
  </si>
  <si>
    <t xml:space="preserve">32980070</t>
  </si>
  <si>
    <t xml:space="preserve">934</t>
  </si>
  <si>
    <t xml:space="preserve">32980077</t>
  </si>
  <si>
    <t xml:space="preserve">FINDING (NRC) TASKCARD ZL-500-02-1-001 (05) LH WING  AV--CALLBACK LH WING NAVIGATION TIP LIGHT WITH MISSING SEAL.</t>
  </si>
  <si>
    <t xml:space="preserve">935</t>
  </si>
  <si>
    <t xml:space="preserve">523300-01-1</t>
  </si>
  <si>
    <t xml:space="preserve">523300-01-1 (4) / BULK CARGO DOOR HANDLE AND HINGE LUB</t>
  </si>
  <si>
    <t xml:space="preserve">936</t>
  </si>
  <si>
    <t xml:space="preserve">32980091</t>
  </si>
  <si>
    <t xml:space="preserve">FINDING (NRC) TASKCARD ZL-500-02-1-001 (05) LH WING-- AP--CALLBACK LH WING AROUND NAVIGATION TIP LIGHT WITH MISSING SEALANT.</t>
  </si>
  <si>
    <t xml:space="preserve">938</t>
  </si>
  <si>
    <t xml:space="preserve">32980083</t>
  </si>
  <si>
    <t xml:space="preserve">LATERAL AVIO COMPT---AVN---NO CALLBACK MISSING LOCKWIRE  BETWEEN THE KNURLED NUT AND THE ELECTRICAL CONNECTOR ON BAT2</t>
  </si>
  <si>
    <t xml:space="preserve">940</t>
  </si>
  <si>
    <t xml:space="preserve">32980087</t>
  </si>
  <si>
    <t xml:space="preserve">942</t>
  </si>
  <si>
    <t xml:space="preserve">32980133</t>
  </si>
  <si>
    <t xml:space="preserve">946</t>
  </si>
  <si>
    <t xml:space="preserve">32980135</t>
  </si>
  <si>
    <t xml:space="preserve">949</t>
  </si>
  <si>
    <t xml:space="preserve">32980140</t>
  </si>
  <si>
    <t xml:space="preserve">FINDING (NRC) TASKCARD ZL-500-02-1-001 (05)  LH WING   AP--NO CALLBACK LH WING SLAT NO.#3 IN/B SIGN OF OIL LEAKAGE.</t>
  </si>
  <si>
    <t xml:space="preserve">950</t>
  </si>
  <si>
    <t xml:space="preserve">32980164</t>
  </si>
  <si>
    <t xml:space="preserve">FINDING (NRC) TASKCARD ZL-500-02-1-001 (05) / LH WING AP--NO CALLBACK LH WING FLAP TRACK NO.#3 SIGN OF OIL LEAKAGE.</t>
  </si>
  <si>
    <t xml:space="preserve">952</t>
  </si>
  <si>
    <t xml:space="preserve">32980177</t>
  </si>
  <si>
    <t xml:space="preserve">FINDING (NRC) TASKCARD ZL-500-02-1-001 (05) LH WING   PNT--NO CALLBACK LH WING IN/B FLAP AFT MID WITH PAINT PEELED OFF.</t>
  </si>
  <si>
    <t xml:space="preserve">954</t>
  </si>
  <si>
    <t xml:space="preserve">32980176</t>
  </si>
  <si>
    <t xml:space="preserve">REAR AVIONIC COMPARTMENT DOOR---AP---NO CALLBACK OLD CORROSION INHIBITING COMP (CIC) FLAKING ON REAR AVIONIC COMPARTMENT DOOR  (AFT DOOR 824)</t>
  </si>
  <si>
    <t xml:space="preserve">955</t>
  </si>
  <si>
    <t xml:space="preserve">32980920</t>
  </si>
  <si>
    <t xml:space="preserve">FINDING S71-D10554 (INLET COWL LIP)---STR---RII DURING INSP, FOUND BOTH ENGINES INLET COWL LIP SKIN WITH ALL AROUND SURFARCE DISCOLORATION.</t>
  </si>
  <si>
    <t xml:space="preserve">958</t>
  </si>
  <si>
    <t xml:space="preserve">32981716</t>
  </si>
  <si>
    <t xml:space="preserve">959</t>
  </si>
  <si>
    <t xml:space="preserve">32981721</t>
  </si>
  <si>
    <t xml:space="preserve">960</t>
  </si>
  <si>
    <t xml:space="preserve">32981726</t>
  </si>
  <si>
    <t xml:space="preserve">961</t>
  </si>
  <si>
    <t xml:space="preserve">32981754</t>
  </si>
  <si>
    <t xml:space="preserve">962</t>
  </si>
  <si>
    <t xml:space="preserve">32981772</t>
  </si>
  <si>
    <t xml:space="preserve">963</t>
  </si>
  <si>
    <t xml:space="preserve">32981774</t>
  </si>
  <si>
    <t xml:space="preserve">964</t>
  </si>
  <si>
    <t xml:space="preserve">32981816</t>
  </si>
  <si>
    <t xml:space="preserve">967</t>
  </si>
  <si>
    <t xml:space="preserve">32982191</t>
  </si>
  <si>
    <t xml:space="preserve">975</t>
  </si>
  <si>
    <t xml:space="preserve">32982253</t>
  </si>
  <si>
    <t xml:space="preserve">L/H WING MULTABLE PANELS FROZEN SCREWS ----SM-----NO CALL LEFT HAND WING PANELS     -(522KB, 522QB AND 522UB)     -(575LB AND 575KB)     -(522AT UPPER SURFACE)  HAVE MULTIPLE FROZEN AND ROUNDED SCREWS (MARKED WITH TAPE) REQ S/M ACTION</t>
  </si>
  <si>
    <t xml:space="preserve">976</t>
  </si>
  <si>
    <t xml:space="preserve">32982260</t>
  </si>
  <si>
    <t xml:space="preserve">R/H WING MULTABLE PANELS FROZEN SCREWS ----SM-----NO CALL RIGHT HAND WING PANELS     -(621AB)      -(622CB, 622HB AND 622JB)  HAVE MULTIPLE FROZEN SCREWS (MARKED WITH TAPE) REQ S/M ACTION</t>
  </si>
  <si>
    <t xml:space="preserve">977</t>
  </si>
  <si>
    <t xml:space="preserve">32982263</t>
  </si>
  <si>
    <t xml:space="preserve">BELLY FAIRING PANELS FROZEN SCREWS ----SM-----NO CALLBACK BELLY FAIRING PANELS     -(192AB 1EA SCREW)     -(192LB 1 EA SCREW)     -( FWD PANEL STRIP 1 EA SCREW)  HAVE MULTIPLE FROZEN SCREWS (MARKED WITH TAPE) REQ S/M ACTION</t>
  </si>
  <si>
    <t xml:space="preserve">978</t>
  </si>
  <si>
    <t xml:space="preserve">32983857</t>
  </si>
  <si>
    <t xml:space="preserve">PRE---ENG NO#02---RII---SM ENG NO#02 R/H FAN COWL FWD SIDE NEAR IDG OIL LEVEL ACCESS DOOR, EDGE PROTECTOR FOUND DETACHED WITH SHEARED RIVETS.</t>
  </si>
  <si>
    <t xml:space="preserve">979</t>
  </si>
  <si>
    <t xml:space="preserve">32983861</t>
  </si>
  <si>
    <t xml:space="preserve">PRE---R/H AIR COND---NOCALLBACK---AP R/H AIR CONDITION PACK COMPT AFT AREA EXHAUST ASSY, INSIDE COMPT, I/B UPPER  ATTACHMENT NUT FOUND MISSING.</t>
  </si>
  <si>
    <t xml:space="preserve">980</t>
  </si>
  <si>
    <t xml:space="preserve">32983866</t>
  </si>
  <si>
    <t xml:space="preserve">PRE--MLG W/W---NOCALLBACK---FS MLG WHEELWELL KEEL BEAM AREA FOUND EXCESSIVE DIRTY WITH ACCUMULATED WATER.</t>
  </si>
  <si>
    <t xml:space="preserve">981</t>
  </si>
  <si>
    <t xml:space="preserve">32983876</t>
  </si>
  <si>
    <t xml:space="preserve">PRE--MLG W/W---NOCALLBACK---FS L/H AND R/H MLG WHEEL WELL FWD CUTOUT EDGE SEAL FOUND WORNOUT, TORN WITH CUTS.</t>
  </si>
  <si>
    <t xml:space="preserve">982</t>
  </si>
  <si>
    <t xml:space="preserve">32983882</t>
  </si>
  <si>
    <t xml:space="preserve">PRE--MLG W/W---NOCALLBACK---PNT L/H AND R/H WHEEL WELL MULTIPLE RIVET HEADS FOUND WITH MISSING PAINT APPLICATION.</t>
  </si>
  <si>
    <t xml:space="preserve">983</t>
  </si>
  <si>
    <t xml:space="preserve">32983893</t>
  </si>
  <si>
    <t xml:space="preserve">PRE---HYD COMPT---NOCALLBACK---PNT R/H HYD COMPT PANEL 196 BB OUTER AND INNER AREA DECALS FOUND MISSIN, TORN AND WORNOUT.</t>
  </si>
  <si>
    <t xml:space="preserve">985</t>
  </si>
  <si>
    <t xml:space="preserve">32983897</t>
  </si>
  <si>
    <t xml:space="preserve">PRE---HYD COMPT---NOCALLBACK---AP L/H AND R/H HYD COMPT PANELS 195 BB AND 196 BB INNER AREA EDGE SEAL FOUND MISSING AND DETACHED WITH CUTS.</t>
  </si>
  <si>
    <t xml:space="preserve">986</t>
  </si>
  <si>
    <t xml:space="preserve">32983910</t>
  </si>
  <si>
    <t xml:space="preserve">PRE---HYD COMPT---NOCALLBACK---AVN L/H AND R/H HYD COMPT ACCESS THROUGH PANELS 195 BB AND 196 BB INNER AREA, 02 EA CEILING LIGHT LAMPS FOUND BUSTED.</t>
  </si>
  <si>
    <t xml:space="preserve">987</t>
  </si>
  <si>
    <t xml:space="preserve">32983929</t>
  </si>
  <si>
    <t xml:space="preserve">PRE---HYD COMPT---NOCALLBACK---AP LOWER FUSELAGE R/H HYD COMPT ACCESS THROUG PANEL 196 BB, YELLOW ELECTRIC PUMP LOWER AREA FOUND WITH SIGN OF HYD LEAK.</t>
  </si>
  <si>
    <t xml:space="preserve">990</t>
  </si>
  <si>
    <t xml:space="preserve">32983950</t>
  </si>
  <si>
    <t xml:space="preserve">PRE---HYD COMPT---NOCALLBACK---PNT LOWER FUSELAGE ACCESS THROUGH L/H AND R/H HYD COMPT PANELS 195 BB AND 196 BB INNER AREA EDGE AND CORNER FITTING FOUND WITH MISSING PAINT APPLICATION.</t>
  </si>
  <si>
    <t xml:space="preserve">991</t>
  </si>
  <si>
    <t xml:space="preserve">32983948</t>
  </si>
  <si>
    <t xml:space="preserve">OUTBOARD FIXED TRAILING EDGE STR---PNT---NO CALLBACK CHIPPED  PAINT ON THE LOWER SURFACE OF ALL SPOILERS</t>
  </si>
  <si>
    <t xml:space="preserve">993</t>
  </si>
  <si>
    <t xml:space="preserve">32984016</t>
  </si>
  <si>
    <t xml:space="preserve">OUTBOARD FIXED TRAILING EDGE STR---AP---NO CALLBACK 1EA BROKEN BONDING STRAP ON SPOILER 4 (INBOARD SIDE)</t>
  </si>
  <si>
    <t xml:space="preserve">994</t>
  </si>
  <si>
    <t xml:space="preserve">32984140</t>
  </si>
  <si>
    <t xml:space="preserve">AP---CALLBACK---RH ENG RH ENG I/B FAN COWL FWD LATCH CENTERING PIN CHAFFED</t>
  </si>
  <si>
    <t xml:space="preserve">995</t>
  </si>
  <si>
    <t xml:space="preserve">32984158</t>
  </si>
  <si>
    <t xml:space="preserve">PAINT---CALLBACK---LH ENG LH ENG FAN COWL RED LATCHES PAINT PEELED</t>
  </si>
  <si>
    <t xml:space="preserve">996</t>
  </si>
  <si>
    <t xml:space="preserve">32984174</t>
  </si>
  <si>
    <t xml:space="preserve">PRE---L/H WHEEL WELL---NOCALLBACK---AVN L/H MLG WHEEL WELL CEILING LIGHT 01 EA LAMP FOUND BUSTED.</t>
  </si>
  <si>
    <t xml:space="preserve">997</t>
  </si>
  <si>
    <t xml:space="preserve">32984360</t>
  </si>
  <si>
    <t xml:space="preserve">FLAP TRACK NO. 4 AND FAIRINGS---AP---NO CALLBACK 2EA AFT BONDING STRAP BROKEN ON FLAP TRACK NO. 4</t>
  </si>
  <si>
    <t xml:space="preserve">998</t>
  </si>
  <si>
    <t xml:space="preserve">32984375</t>
  </si>
  <si>
    <t xml:space="preserve">FLAP TRACK AND FAIRINGS---PNT---NO CALLBACK CHIPPED PAINT ON 533 AB, 532 AB PANEL</t>
  </si>
  <si>
    <t xml:space="preserve">1000</t>
  </si>
  <si>
    <t xml:space="preserve">32984479</t>
  </si>
  <si>
    <t xml:space="preserve">INBOARD/OUTBOARD FIXED TRAILING EDGE STR---FS---CALLBACK REQ CLEANING OF INBOARD/OUTBOARD FIXED TRAILING EDGE STRUCTURE TO FACILITATE INSPECTION</t>
  </si>
  <si>
    <t xml:space="preserve">1001</t>
  </si>
  <si>
    <t xml:space="preserve">32984513</t>
  </si>
  <si>
    <t xml:space="preserve">R/H INBOARD/OUTBOARD FIXED L/E STRUCTURE---FS---CALLBACK REQ CLEANING OF R/H INBOARD/OUTBOARD FIXED L/E STRUCTURE TO FACILITATE INSPECTION</t>
  </si>
  <si>
    <t xml:space="preserve">1002</t>
  </si>
  <si>
    <t xml:space="preserve">32984550</t>
  </si>
  <si>
    <t xml:space="preserve">R/H INBOARD/OUTBOARD FIXED T/E STRUCTURE---FS---CALLBACK REQ CLEANING OF R/H INBOARD/OUTBOARD FIXED T/E STRUCTURE TO FACILITATE INSPECTION</t>
  </si>
  <si>
    <t xml:space="preserve">1007</t>
  </si>
  <si>
    <t xml:space="preserve">32984781</t>
  </si>
  <si>
    <t xml:space="preserve">1008</t>
  </si>
  <si>
    <t xml:space="preserve">32984766</t>
  </si>
  <si>
    <t xml:space="preserve">1010</t>
  </si>
  <si>
    <t xml:space="preserve">32984820</t>
  </si>
  <si>
    <t xml:space="preserve">1011</t>
  </si>
  <si>
    <t xml:space="preserve">32984829</t>
  </si>
  <si>
    <t xml:space="preserve">1013</t>
  </si>
  <si>
    <t xml:space="preserve">32984883</t>
  </si>
  <si>
    <t xml:space="preserve">1015</t>
  </si>
  <si>
    <t xml:space="preserve">32984905</t>
  </si>
  <si>
    <t xml:space="preserve">1016</t>
  </si>
  <si>
    <t xml:space="preserve">32984942</t>
  </si>
  <si>
    <t xml:space="preserve">FLAP TRACK NO. 3 AND FAIRING---FS---NO CALLBACK DURING INSP, FOUND FLAP TRACK NO. 3 FAIRINGS UPPER SURFACE DIRTY</t>
  </si>
  <si>
    <t xml:space="preserve">1017</t>
  </si>
  <si>
    <t xml:space="preserve">32984945</t>
  </si>
  <si>
    <t xml:space="preserve">1018</t>
  </si>
  <si>
    <t xml:space="preserve">32984975</t>
  </si>
  <si>
    <t xml:space="preserve">PRE---APU COMPT---NOCALLBACK---AP APU COMPT, EXHAUST BELLOW AFT CLAMP FOUND LOOSE.</t>
  </si>
  <si>
    <t xml:space="preserve">1019</t>
  </si>
  <si>
    <t xml:space="preserve">32984986</t>
  </si>
  <si>
    <t xml:space="preserve">AP---CALLBACK---ENG. 1 EGT THERMOCOUPLE CHAFFED AT ENG. 1 AT 12 O`CLOCK</t>
  </si>
  <si>
    <t xml:space="preserve">1020</t>
  </si>
  <si>
    <t xml:space="preserve">32984983</t>
  </si>
  <si>
    <t xml:space="preserve">PRE---APU COMPT---RII---AP APU COMPT, AFT WALL LOWER AREA, 02 EA POINTS FIRE SEAL FOUND WITH CUT AND PUNCTURE.</t>
  </si>
  <si>
    <t xml:space="preserve">1022</t>
  </si>
  <si>
    <t xml:space="preserve">32985009</t>
  </si>
  <si>
    <t xml:space="preserve">PRE---APU COMPT---NOCALLBACK---AVN APU COMPT, FWD WALL ILLUMINATION LIGHT, 02 EA LAMPS FOUND BUSTED.</t>
  </si>
  <si>
    <t xml:space="preserve">1023</t>
  </si>
  <si>
    <t xml:space="preserve">32984981</t>
  </si>
  <si>
    <t xml:space="preserve">DBC/DOCUMENT S51-R10008- RH WING --RII--SM REF TO WO#22`044`538  DURING DBC REVIEW FOUND THE FOLLOWING  RH WING INBOARD T/EDGE FLAP ASSY T/EDGE WEDGE LOWER EXTERIOR SURFACE ZONE 2 WITH 5 EACH SMALL DENTS LOCATED BETWEEN FLAP RIB STATION 3 TO 6. DE...</t>
  </si>
  <si>
    <t xml:space="preserve">1024</t>
  </si>
  <si>
    <t xml:space="preserve">32985016</t>
  </si>
  <si>
    <t xml:space="preserve">PRE---APU COMPT---RII---AP APU COMPT, FWD L/H AND R/H APU MOUNT ISOLATER BOLT HEADS FOUND RUSTY.</t>
  </si>
  <si>
    <t xml:space="preserve">1025</t>
  </si>
  <si>
    <t xml:space="preserve">32985033</t>
  </si>
  <si>
    <t xml:space="preserve">PRE---APU COMPT---NOCALLBACK---AP APU COMPT, R/H DOOR FWD INNER EDGE SEALANT FOUND DETACHED.</t>
  </si>
  <si>
    <t xml:space="preserve">1026</t>
  </si>
  <si>
    <t xml:space="preserve">32985022</t>
  </si>
  <si>
    <t xml:space="preserve">--SM--NO CALL BACK FROZEN SCREWS REQUIRE REMOVAL FOUND ON PANELS, 192LB,191JB,191GB AND 192AB</t>
  </si>
  <si>
    <t xml:space="preserve">53-79</t>
  </si>
  <si>
    <t xml:space="preserve">1027</t>
  </si>
  <si>
    <t xml:space="preserve">32985067</t>
  </si>
  <si>
    <t xml:space="preserve">1028</t>
  </si>
  <si>
    <t xml:space="preserve">32985066</t>
  </si>
  <si>
    <t xml:space="preserve">PRE---TAIL SECTION---NOCALLBACK---AVN AFT FUSELAGE TAIL SECTION, STROBE LIGHT LENSE FOUND FOGGY AND DIRTY.</t>
  </si>
  <si>
    <t xml:space="preserve">1029</t>
  </si>
  <si>
    <t xml:space="preserve">32985072</t>
  </si>
  <si>
    <t xml:space="preserve">PRE---TAIL SECTION---NOCALLBACK---PNT AFT FUSELAGE TAIL SECTION, TAIL CONE IDENTIFICATION DECAL FOUND FADED AND WORNOUT.</t>
  </si>
  <si>
    <t xml:space="preserve">1032</t>
  </si>
  <si>
    <t xml:space="preserve">32985081</t>
  </si>
  <si>
    <t xml:space="preserve">PRE---TAIL SECTION---NOCALLBACK---PNT AFT FUSELAGE TAIL SECTION, TAIL CONE HOIST POINT COVERS FOUND MISSING AND WORNOUT.</t>
  </si>
  <si>
    <t xml:space="preserve">1033</t>
  </si>
  <si>
    <t xml:space="preserve">32985124</t>
  </si>
  <si>
    <t xml:space="preserve">PRE---TAIL SECTION---RII---AP APU FIRE BOTTLE DISCHARGE DISK FOUND FADED AND WORNOUT.</t>
  </si>
  <si>
    <t xml:space="preserve">1034</t>
  </si>
  <si>
    <t xml:space="preserve">32985127</t>
  </si>
  <si>
    <t xml:space="preserve">1035</t>
  </si>
  <si>
    <t xml:space="preserve">32985290</t>
  </si>
  <si>
    <t xml:space="preserve">1037</t>
  </si>
  <si>
    <t xml:space="preserve">32985321</t>
  </si>
  <si>
    <t xml:space="preserve">1039</t>
  </si>
  <si>
    <t xml:space="preserve">32985334</t>
  </si>
  <si>
    <t xml:space="preserve">1040</t>
  </si>
  <si>
    <t xml:space="preserve">32985336</t>
  </si>
  <si>
    <t xml:space="preserve">1041</t>
  </si>
  <si>
    <t xml:space="preserve">32985337</t>
  </si>
  <si>
    <t xml:space="preserve">1042</t>
  </si>
  <si>
    <t xml:space="preserve">32985338</t>
  </si>
  <si>
    <t xml:space="preserve">1043</t>
  </si>
  <si>
    <t xml:space="preserve">32985341</t>
  </si>
  <si>
    <t xml:space="preserve">1044</t>
  </si>
  <si>
    <t xml:space="preserve">32985342</t>
  </si>
  <si>
    <t xml:space="preserve">1046</t>
  </si>
  <si>
    <t xml:space="preserve">32985344</t>
  </si>
  <si>
    <t xml:space="preserve">1047</t>
  </si>
  <si>
    <t xml:space="preserve">32985347</t>
  </si>
  <si>
    <t xml:space="preserve">1048</t>
  </si>
  <si>
    <t xml:space="preserve">32985349</t>
  </si>
  <si>
    <t xml:space="preserve">1050</t>
  </si>
  <si>
    <t xml:space="preserve">32985351</t>
  </si>
  <si>
    <t xml:space="preserve">1051</t>
  </si>
  <si>
    <t xml:space="preserve">32985352</t>
  </si>
  <si>
    <t xml:space="preserve">1052</t>
  </si>
  <si>
    <t xml:space="preserve">32985353</t>
  </si>
  <si>
    <t xml:space="preserve">1054</t>
  </si>
  <si>
    <t xml:space="preserve">32985355</t>
  </si>
  <si>
    <t xml:space="preserve">1055</t>
  </si>
  <si>
    <t xml:space="preserve">32985357</t>
  </si>
  <si>
    <t xml:space="preserve">1056</t>
  </si>
  <si>
    <t xml:space="preserve">32985503</t>
  </si>
  <si>
    <t xml:space="preserve">VERTICAL STABILIZER======FS=====CALL BACK REF TO TASK CARD 272100-07-1, ZL-325-01-1, VERTICAL STABILIZER TRAILING EDGE EXCESSIVE DIRTY REQUIRE CLEANING TO FASCILITATE INSP</t>
  </si>
  <si>
    <t xml:space="preserve">1057</t>
  </si>
  <si>
    <t xml:space="preserve">32985575</t>
  </si>
  <si>
    <t xml:space="preserve">RH HORIZONTAL STABILIZER--SM-- RH HORIZONTAL STABILIZER PNL 344GB WITH 1 EA WORN HEAD SCREW</t>
  </si>
  <si>
    <t xml:space="preserve">1058</t>
  </si>
  <si>
    <t xml:space="preserve">32985619</t>
  </si>
  <si>
    <t xml:space="preserve">ENG.1 AND ENG.2  PYLON PANELS FROZEN SCREWS ----SM-----NO CALLBACK ENG.1 AND ENG.2  PYLON PANELS FROZEN    (413DT AND 423DT)  HAVE MULTIPLE FROZEN AND ROUNDED SCREWS (MARKED WITH GREEN TAPE) REQ S/M ACTION</t>
  </si>
  <si>
    <t xml:space="preserve">OPEN-UP</t>
  </si>
  <si>
    <t xml:space="preserve">1059</t>
  </si>
  <si>
    <t xml:space="preserve">32985582</t>
  </si>
  <si>
    <t xml:space="preserve">L/H WING MULTABLE PANELS FROZEN SCREWS ----SM-----NO CALLBACK LEFT HAND WING PANELS    (522CB, 522NB AND 522AB) HAVE MULTIPLE FROZEN AND ROUNDED SCREWS (MARKED WITH GREEN TAPE) REQ S/M ACTION</t>
  </si>
  <si>
    <t xml:space="preserve">1060</t>
  </si>
  <si>
    <t xml:space="preserve">32985655</t>
  </si>
  <si>
    <t xml:space="preserve">BELLY FAIRING MULTABLE PANELS FROZEN SCREWS ----SM-----NO CALLBACK BELLY FAIRING  PANELS     (192LB AND 192MB)  HAVE MULTIPLE FROZEN AND ROUNDED SCREWS (MARKED WITH GREEN TAPE) REQ S/M ACTION</t>
  </si>
  <si>
    <t xml:space="preserve">1063</t>
  </si>
  <si>
    <t xml:space="preserve">32985836</t>
  </si>
  <si>
    <t xml:space="preserve">RH THS TRAILING EDGE---AP---NO CALL BACK R/H THS TRAILING EDGE  HING FITTINGS/ ACTUATOR ATTACHMENT 06EA BOINGING JUMPER BROKEN/FRAYED</t>
  </si>
  <si>
    <t xml:space="preserve">1064</t>
  </si>
  <si>
    <t xml:space="preserve">32985860</t>
  </si>
  <si>
    <t xml:space="preserve">L/H THS TRAILING EDGE---AP---NO CALL BACK L/H THS TRAILING EDGE  HING FITTINGS/ ACT ATTACHMENT 05EA BONDING JUMPER BROKEN/FRAYED</t>
  </si>
  <si>
    <t xml:space="preserve">1065</t>
  </si>
  <si>
    <t xml:space="preserve">32985861</t>
  </si>
  <si>
    <t xml:space="preserve">THS COMPT======FS====CALL BACK FINAL REF TO TASK CARD ZL-313-01-1 THS COMPT ACCESS THR PNL 314AR FLOOR AREA AROUND APU INTAKE DIRTY REQ CLEANING TO FASCILITATE THE INSP</t>
  </si>
  <si>
    <t xml:space="preserve">1066</t>
  </si>
  <si>
    <t xml:space="preserve">32985871</t>
  </si>
  <si>
    <t xml:space="preserve">APU EXHAUST AREA======FS=====CALL BACK REF TO TASK CARD ZL-317-01-1 TAIL CONE APU EXHAUST AREA ACCES THRU 317AL LWR SIDE DIRTY REQUIRE CLEANING TO FASCILITATE THE INSP</t>
  </si>
  <si>
    <t xml:space="preserve">1067</t>
  </si>
  <si>
    <t xml:space="preserve">32985872</t>
  </si>
  <si>
    <t xml:space="preserve">THS TRAILING EDGE=======FS=====NO CALL BACK LH AND RH THS TRAILING EDGE 04EA SERVO CONTROL AND ADJACENT AREA DIRTY</t>
  </si>
  <si>
    <t xml:space="preserve">1068</t>
  </si>
  <si>
    <t xml:space="preserve">32985870</t>
  </si>
  <si>
    <t xml:space="preserve">L/H THS ---SM--RII LH THS TRAILING EDGE HINGE FITTING NO 6, INBOARD SIDE WITH CHAFING MARKS  DIMENSION  L= 0.5 INCH W=0.3 INCH D= 0.1 INCH</t>
  </si>
  <si>
    <t xml:space="preserve">1069</t>
  </si>
  <si>
    <t xml:space="preserve">32985875</t>
  </si>
  <si>
    <t xml:space="preserve">ENG #1 PRE COOLER SEAL --AP--RII ENG#1 ,UPPER FWD PYLON PER COOLER UPPER  SIDE SEAL TORN OFF.</t>
  </si>
  <si>
    <t xml:space="preserve">1070</t>
  </si>
  <si>
    <t xml:space="preserve">32985877</t>
  </si>
  <si>
    <t xml:space="preserve">ENG #2 PRE COOLER SEAL --AP--RII ENG#2 ,UPPER FWD PYLON PER COOLER UPPER SIDE SEAL TORN OFF.</t>
  </si>
  <si>
    <t xml:space="preserve">1071</t>
  </si>
  <si>
    <t xml:space="preserve">32985880</t>
  </si>
  <si>
    <t xml:space="preserve">R/H BELLY FAIRING MULTABLE PANELS FROZEN SCREWS ----SM-----NO CALLBACK R/H BELLY FAIRING  PANEL      (192BT)  HAVE MULTIPLE FROZEN AND ROUNDED SCREWS (MARKED WITH GREEN TAPE) REQ S/M ACTION</t>
  </si>
  <si>
    <t xml:space="preserve">1072</t>
  </si>
  <si>
    <t xml:space="preserve">32986985</t>
  </si>
  <si>
    <t xml:space="preserve">PRE---REAR AVIONICS COMPT---CALLBACK---AVN REAR AVIONICS COMPT 63VU, 80VU, 187 VU AND 188 VU ELECTRICAL CONNECTIONS AND LOWER ATTACHMETS REQ CLEANING TO FACILITATE THE INSPECTION.</t>
  </si>
  <si>
    <t xml:space="preserve">1073</t>
  </si>
  <si>
    <t xml:space="preserve">32987001</t>
  </si>
  <si>
    <t xml:space="preserve">DBC/DOCUMENT S51-R10008- LH WING --RII--SM REF TO WO#26`191`406 DURING DBC REVIEW FOUND THE FOLLOWING  DURING COMPLIANCE OF LH WING DBC SCANNING FOUND LH WING INBOARD FLAPS LOWER SKIN SURFACE AT THE TRAILING EDGE AT FLAP RIB STATION 4 WITH MULTIPL...</t>
  </si>
  <si>
    <t xml:space="preserve">1074</t>
  </si>
  <si>
    <t xml:space="preserve">32987040</t>
  </si>
  <si>
    <t xml:space="preserve">DBC/DOCUMENT S51-R10008- LH WING --RII--SM REF TO WO# 26191411  DURING DBC REVIEW FOUND THE FOLLOWING   DURING COMPLIANCE OF LH WING DBC SCANNING FOUND LH WING INBOARD FLAPS UPPER SKIN SURFACE 9 INCHES FROM THE TRAILING EDGE OF THE INBOARD FLAP AT...</t>
  </si>
  <si>
    <t xml:space="preserve">1076</t>
  </si>
  <si>
    <t xml:space="preserve">32987146</t>
  </si>
  <si>
    <t xml:space="preserve">AP---RII---LH ELEV LH ELEVATOR HINGE NO. 6 FITTING WEARED WITH CHAFFING MARKS</t>
  </si>
  <si>
    <t xml:space="preserve">1078</t>
  </si>
  <si>
    <t xml:space="preserve">32987238</t>
  </si>
  <si>
    <t xml:space="preserve">LOWER FUSELAGE PANELS - FS -NO CALLBACK LOWER FUSELAGE PANEL # 197BB, 198BB,198GB, 197GB, 192KB, 191KB, 191BB, 197AB, 191GB, 192FB, 192EB, 191HB AND 191AB REQUIRES CLEANING.</t>
  </si>
  <si>
    <t xml:space="preserve">1079</t>
  </si>
  <si>
    <t xml:space="preserve">32987295</t>
  </si>
  <si>
    <t xml:space="preserve">PRE---F/O FIXED WINDOW---RII---AP R/H SIDE F/O FIXED WINDOW WEATHER SEAL UPPER AREA FOUND WITH MISSING MATERIAL/WORNOUT AND AFT LOWER AREA FOUND WITH OLD IMPROPER REPAIR.</t>
  </si>
  <si>
    <t xml:space="preserve">1080</t>
  </si>
  <si>
    <t xml:space="preserve">32987301</t>
  </si>
  <si>
    <t xml:space="preserve">DBC---F/O FIXED WINDOW---RII---AP R/H SIDE F/O FIXED WINDOW AFT LOWER CORNER FOUND WITH MULTIPLE BUBBLES. L= 03 INCH W= 1 INCH FROM INNER EDGE.</t>
  </si>
  <si>
    <t xml:space="preserve">1081</t>
  </si>
  <si>
    <t xml:space="preserve">32987455</t>
  </si>
  <si>
    <t xml:space="preserve">PRE---F/O SLIDING WINDOW---RII---AP R/H SIDE F/O SLIDING WINDOW OUTER SURFACE AFT UPPER AND LOWER WEATHER SEAL FOUND DAMAGE.</t>
  </si>
  <si>
    <t xml:space="preserve">1082</t>
  </si>
  <si>
    <t xml:space="preserve">1083</t>
  </si>
  <si>
    <t xml:space="preserve">32968390</t>
  </si>
  <si>
    <t xml:space="preserve">S25-D10305/A320 - PORTABLE (ELT) UNIT AND PROGRAMMING DONGLE (AIM)</t>
  </si>
  <si>
    <t xml:space="preserve">1088</t>
  </si>
  <si>
    <t xml:space="preserve">32987715</t>
  </si>
  <si>
    <t xml:space="preserve">PRE---F/O WIND SHIELD---RII---AP R/H SIDE F/O WINDSHIELD OUTER SURFACE UPPER SURFACE WEATHER SEAL FOUND WITH IMPROPER REPAIR APPLICATION AND R/H SIDE WEATHER SEAL FOUND WITH ROUGH REPAIR.</t>
  </si>
  <si>
    <t xml:space="preserve">1089</t>
  </si>
  <si>
    <t xml:space="preserve">32987725</t>
  </si>
  <si>
    <t xml:space="preserve">PRE---F/O WIND SHIELD---RII---AP R/H SIDE F/O WINDSHIELD FOUND WITH BUBBLES AROUND EDGES AS :  UPPER EDGE L= 15 INCH W= 02 INCHES FROM INNER EDGE  LOWER EDGE L= 13 INCH W= 0.5 INCHES FROM INNER EDGE  L/H SIDE EDGE L= 11 INCH W= 1.8 INCHES FROM INN...</t>
  </si>
  <si>
    <t xml:space="preserve">1090</t>
  </si>
  <si>
    <t xml:space="preserve">32987776</t>
  </si>
  <si>
    <t xml:space="preserve">--SM--NO CALLBACK PANEL (191AT) HAS FROZEN SCREWS REQUIRE REMOVAL.</t>
  </si>
  <si>
    <t xml:space="preserve">11-21</t>
  </si>
  <si>
    <t xml:space="preserve">1091</t>
  </si>
  <si>
    <t xml:space="preserve">32987890</t>
  </si>
  <si>
    <t xml:space="preserve">DBC/DOCUMENT S51-R10008- LH HORIZONTAL STABILIZER LE --RII--SM REF TO WO#26`191`424 DURING DBC REVIEW FOUND THE FOLLOWING  DURING COMPLIANCE OF EMPENNAGE DBC SCANNING FOUND LH HORIZONTAL STABILIZER LEADING EDGE LOWER SKIN SURFACE SECTION BETWEEN T...</t>
  </si>
  <si>
    <t xml:space="preserve">1092</t>
  </si>
  <si>
    <t xml:space="preserve">32987935</t>
  </si>
  <si>
    <t xml:space="preserve">DBC/DOCUMENT S51-R10008- LH HORIZONTAL STABILIZER LE --RII--SM REF TO WO#26`191`432 DURING DBC REVIEW FOUND THE FOLLOWING  DURING COMPLIANCE OF EMPENNAGE DBC SCANNING FOUND LH HORIZONTAL STABILIZER LEADING EDGE LOWER SKIN SURFACE SECTION BETWEEN T...</t>
  </si>
  <si>
    <t xml:space="preserve">1093</t>
  </si>
  <si>
    <t xml:space="preserve">32987952</t>
  </si>
  <si>
    <t xml:space="preserve">1094</t>
  </si>
  <si>
    <t xml:space="preserve">32987951</t>
  </si>
  <si>
    <t xml:space="preserve">PRE---CPT SLIDING WINDOW---RII---AP L/H SIDE CPT SLIDING WINDOW OUTER SURFACE AFT AND LOWER SIDE WEATHER SEAL FOUND WITH ROUGH REPAIR APPLICATION.</t>
  </si>
  <si>
    <t xml:space="preserve">1095</t>
  </si>
  <si>
    <t xml:space="preserve">32987959</t>
  </si>
  <si>
    <t xml:space="preserve">PRE---CAPT FIXED WINDOW---RII---AP L/H SIDE CAPT FIXED WINDOW WEATHER SEAL AFT LOWER CORNER AREA FOUND  DAMAGE.</t>
  </si>
  <si>
    <t xml:space="preserve">1096</t>
  </si>
  <si>
    <t xml:space="preserve">32987947</t>
  </si>
  <si>
    <t xml:space="preserve">DBC/DOCUMENT S51-R10008- LH WING--RII--SM REF TO WO#26191340  DURING COMPLIANCE OF LH WING DBC SCANNING FOUND LH WING INBOARD FLAPS LOWER SKIN SURFACE AT THE TRAILING EDGE BETWEEN FLAP RIB STATION 6 TO 7 WITH MULTIPLE SMALL DENTS  LARGEST DIMENSIO...</t>
  </si>
  <si>
    <t xml:space="preserve">1097</t>
  </si>
  <si>
    <t xml:space="preserve">32987964</t>
  </si>
  <si>
    <t xml:space="preserve">DBC---CAPT FIXED WINDOW---RII---AP L/H SIDE CAPT FIXED WINDOW AFT LOWER CORNER FOUND WITH MULTIPLE BUBBLES.  L= 03 INCH  W= 2 INCH FROM INNER EDGE.</t>
  </si>
  <si>
    <t xml:space="preserve">1098</t>
  </si>
  <si>
    <t xml:space="preserve">32987966</t>
  </si>
  <si>
    <t xml:space="preserve">1099</t>
  </si>
  <si>
    <t xml:space="preserve">32987973</t>
  </si>
  <si>
    <t xml:space="preserve">DBC/DOCUMENT S51-R10008- RH WING--RII--SM REF TO WO#26`191`414  DURING COMPLIANCE OF RH WING DBC SCANNING FOUND RH WING INBOARD FLAPS LOWER SKIN SURFACE AT THE TRAILING EDGE SECTION BETWEEN FLAP RIB STATION 4 TO 5 WITH MULTIPLE SMALL DENTS  LARGES...</t>
  </si>
  <si>
    <t xml:space="preserve">1102</t>
  </si>
  <si>
    <t xml:space="preserve">32987979</t>
  </si>
  <si>
    <t xml:space="preserve">DBC/DOCUMENT S51-R10008-RH HORIZONTAL STABILIZER LE- RII--SM REF TO WO#26`191`479  DURING COMPLIANCE OF EMPENNAGE DBC SCANNING FOUND RH HORIZONTAL STABILIZER LEADING EDGE LOWER SKIN SURFACE SECTION BETWEEN THS RIB STATION 9 WITH MULTIPLE SMALL DEN...</t>
  </si>
  <si>
    <t xml:space="preserve">1103</t>
  </si>
  <si>
    <t xml:space="preserve">32988009</t>
  </si>
  <si>
    <t xml:space="preserve">PRE---L/H WING FIXED L/E---NOCALLBACK---AP L/H WING FIXED LEADING EDGE (FROM ROOT TO TIP) INNER STRUCTURE,  SURFACE PROTECTION FOUND CHIPPED AND MISSING.</t>
  </si>
  <si>
    <t xml:space="preserve">1104</t>
  </si>
  <si>
    <t xml:space="preserve">32988013</t>
  </si>
  <si>
    <t xml:space="preserve">PRE---R/H WING FIXED L/E---NOCALLBACK---AP R/H WING FIXED LEADING EDGE (FROM ROOT TO TIP) INNER STRUCTURE,  SURFACE PROTECTION FOUND CHIPPED AND MISSING.</t>
  </si>
  <si>
    <t xml:space="preserve">1105</t>
  </si>
  <si>
    <t xml:space="preserve">32988015</t>
  </si>
  <si>
    <t xml:space="preserve">PRE---L/H WING FIXED L/E---RII---AP L/H WING I/B FIXED L/E ACCESS THROUGH PANEL 521 BB, LOWER FIRE LOOP PASS THROUGH TEFLON CONNECTOR FOUND DISPLACED AND DETACHED</t>
  </si>
  <si>
    <t xml:space="preserve">1106</t>
  </si>
  <si>
    <t xml:space="preserve">32988202</t>
  </si>
  <si>
    <t xml:space="preserve">RUDDER ACTUATOR-AP-RII DURING RUDDER SERVO CONTROL FUNCTIONAL CHECK FOUND YELLOW RUDDER SERVO ACTUATOR OUT OF LIMITS</t>
  </si>
  <si>
    <t xml:space="preserve">1109</t>
  </si>
  <si>
    <t xml:space="preserve">32988470</t>
  </si>
  <si>
    <t xml:space="preserve">1110</t>
  </si>
  <si>
    <t xml:space="preserve">32988479</t>
  </si>
  <si>
    <t xml:space="preserve">1111</t>
  </si>
  <si>
    <t xml:space="preserve">32988506</t>
  </si>
  <si>
    <t xml:space="preserve">1117</t>
  </si>
  <si>
    <t xml:space="preserve">32988794</t>
  </si>
  <si>
    <t xml:space="preserve">1118</t>
  </si>
  <si>
    <t xml:space="preserve">32988998</t>
  </si>
  <si>
    <t xml:space="preserve">PRE---FWD CARGO---NOCALLBACK---AP FWD CARGO COMPT CNTR TANK FWD BKHD INSULATION BLANKET FOUND DUSTY AND DIRTY.</t>
  </si>
  <si>
    <t xml:space="preserve">1119</t>
  </si>
  <si>
    <t xml:space="preserve">32989018</t>
  </si>
  <si>
    <t xml:space="preserve">PRE---AFT LOWER FUSELAGE---NOCALLBACK---FS AFT LOWER FUSELAGE REAR FAIRING ATTACHMENTS FOUND DIRTY.</t>
  </si>
  <si>
    <t xml:space="preserve">1120</t>
  </si>
  <si>
    <t xml:space="preserve">32989039</t>
  </si>
  <si>
    <t xml:space="preserve">PRE---VERTICAL STAB---NOCALLBACK---FS VERTICAL STAB TIP AREA ELEMENT FIT ON HARNES 4202VB AND 4204VB SURROUNDING AREA FOUND DUSTY AND DIRTY.</t>
  </si>
  <si>
    <t xml:space="preserve">1122</t>
  </si>
  <si>
    <t xml:space="preserve">32989105</t>
  </si>
  <si>
    <t xml:space="preserve">PRE---L/H THS---NOCALLBACK---AP L/H HORIZONTAL STAB TRAILING EDGE ACCESS THROUGH PANELS  ( 334 FB,  01 EA ), ( 334 DB,  02 EA ) AND  ( 334 BB,  01 EA ) BONDING WIRES FOUND BROKEN.</t>
  </si>
  <si>
    <t xml:space="preserve">1123</t>
  </si>
  <si>
    <t xml:space="preserve">32989125</t>
  </si>
  <si>
    <t xml:space="preserve">PRE---R/H THS---NOCALLBACK---AP R/H HORIZONTAL STAB TRAILING EDGE ACCESS THROUGH PANELS ( 334 BB,334 CB AND 334 DB ) 05 EA BONDING WIRES FOUND BROKEN.</t>
  </si>
  <si>
    <t xml:space="preserve">1125</t>
  </si>
  <si>
    <t xml:space="preserve">32989174</t>
  </si>
  <si>
    <t xml:space="preserve">BOTH WINGS.....FS....NO CALLBACK L/H AND R/H WINGS ALL MOVABLE FAIRING DIRTY</t>
  </si>
  <si>
    <t xml:space="preserve">57-56</t>
  </si>
  <si>
    <t xml:space="preserve">1130</t>
  </si>
  <si>
    <t xml:space="preserve">32989476</t>
  </si>
  <si>
    <t xml:space="preserve">1134</t>
  </si>
  <si>
    <t xml:space="preserve">32989497</t>
  </si>
  <si>
    <t xml:space="preserve">1136</t>
  </si>
  <si>
    <t xml:space="preserve">32989545</t>
  </si>
  <si>
    <t xml:space="preserve">L/H WING--FS--CALL BACK REF TO TASK CARD NO :ZL-531-02-1-001, L/H FLAP TRACK NO2 AND FAIRINGS REQ CLEANING TO FACILITATE THE INSP.</t>
  </si>
  <si>
    <t xml:space="preserve">1137</t>
  </si>
  <si>
    <t xml:space="preserve">32989556</t>
  </si>
  <si>
    <t xml:space="preserve">R/H WING--FS--CALL BACK REF TO TASK CARD NO :ZL-531-02-1-002, ZL-532-01-1-002, , ZL-532-02-1-002 AND , ZL-533-01-1-002  R/H FLAP TRACK AND FAIRINGS NO 2,  R/H FLAP TRACK AND FAIRINGS NO 3   R/H FLAP TRACK AND FAIRINGS NO 4  REQ CLEANING TO FACILIT...</t>
  </si>
  <si>
    <t xml:space="preserve">1138</t>
  </si>
  <si>
    <t xml:space="preserve">32989575</t>
  </si>
  <si>
    <t xml:space="preserve">1139</t>
  </si>
  <si>
    <t xml:space="preserve">32989577</t>
  </si>
  <si>
    <t xml:space="preserve">BULK CARGO UNDER FLOOR ----FS--- CALL BACK----- REQ CLEANING OF THE UNDER FLOOR  IN THE BULK CARGO  FRAME 59 TO 70 FOR INSPECTION</t>
  </si>
  <si>
    <t xml:space="preserve">50-11-33</t>
  </si>
  <si>
    <t xml:space="preserve">1140</t>
  </si>
  <si>
    <t xml:space="preserve">32989579</t>
  </si>
  <si>
    <t xml:space="preserve">AFT CAB UNDERFLOOR COMP--FS--CALL BACK REF TO TASK CARD NO: ZL-171-01-2 AFT CAB UNDER FLOOR COMPT REQ CLEANING TO FACILITATE THE INSPECTION.</t>
  </si>
  <si>
    <t xml:space="preserve">1142</t>
  </si>
  <si>
    <t xml:space="preserve">32989743</t>
  </si>
  <si>
    <t xml:space="preserve">1143</t>
  </si>
  <si>
    <t xml:space="preserve">32989796</t>
  </si>
  <si>
    <t xml:space="preserve">1145</t>
  </si>
  <si>
    <t xml:space="preserve">32989800</t>
  </si>
  <si>
    <t xml:space="preserve">1148</t>
  </si>
  <si>
    <t xml:space="preserve">32989854</t>
  </si>
  <si>
    <t xml:space="preserve">1150</t>
  </si>
  <si>
    <t xml:space="preserve">32989874</t>
  </si>
  <si>
    <t xml:space="preserve">1151</t>
  </si>
  <si>
    <t xml:space="preserve">32989888</t>
  </si>
  <si>
    <t xml:space="preserve">1152</t>
  </si>
  <si>
    <t xml:space="preserve">32989938</t>
  </si>
  <si>
    <t xml:space="preserve">1153</t>
  </si>
  <si>
    <t xml:space="preserve">32989942</t>
  </si>
  <si>
    <t xml:space="preserve">#2 ENG - L/H AND R/H FAN COWLS - BULB SEAL - AP - RII #2 ENG L/H AND R/H FAN COWLS FOUND DRAIN MAST BULB SEAL DETERIORATED .</t>
  </si>
  <si>
    <t xml:space="preserve">1155</t>
  </si>
  <si>
    <t xml:space="preserve">32989944</t>
  </si>
  <si>
    <t xml:space="preserve">#2 ENG - L/H FAN COWL - GUIDE PIN - AP - NO CALL BACK #2 ENG L/H FAN COWL FOUND FWD GUIDE PIN (AFT OF #1 LATCH) WITH DEEP CHAFFING . DISTANCE TO NEAREST EDGE :- 0 INCH.  DIM:-    L=0.46 INCH.                ,W=0.25 INCH.                  ,D= 0.03...</t>
  </si>
  <si>
    <t xml:space="preserve">1157</t>
  </si>
  <si>
    <t xml:space="preserve">32989954</t>
  </si>
  <si>
    <t xml:space="preserve">#2 ENG - R/H FAN COWL - CLEVIS DECAL - PNT - NO CALL BACK #2 ENG - R/H FAN COWL INNER SIDE FOUND " NEVER TURN CLEVIS" DECAL FADED AND EDGES PEELED-OFF .</t>
  </si>
  <si>
    <t xml:space="preserve">1158</t>
  </si>
  <si>
    <t xml:space="preserve">32989962</t>
  </si>
  <si>
    <t xml:space="preserve">#2 ENG - R/H FAN COWL - AFT EDGE PROTEC - SM - RII #2 ENG R/H FAN COWL FOUND AFT EDGE PROTECTOR AND LWER AFT EDGE PROTECTOR WITH PITTING CORROSION AT LOWER SIDE .   AFT EDGE PROTECTOR CORROSION DISTANCE TO NEAREST EDGE :- 0 INCH . (CORROSION REACH...</t>
  </si>
  <si>
    <t xml:space="preserve">1159</t>
  </si>
  <si>
    <t xml:space="preserve">32989953</t>
  </si>
  <si>
    <t xml:space="preserve">FWD CARGO UNDER FLOOR ----FS---  NO CALL BACK----- REQ CLEANING OF THE UNDER FLOOR BAY  IN THE  FORWARD CARGO  COMPARTMENT  FRAME 24 TO FRAME  34 FOR INSPECTION</t>
  </si>
  <si>
    <t xml:space="preserve">11-35</t>
  </si>
  <si>
    <t xml:space="preserve">1160</t>
  </si>
  <si>
    <t xml:space="preserve">32989963</t>
  </si>
  <si>
    <t xml:space="preserve">#2 ENG - L/H AND R/H FAN COWL - HAZARD DECAL - PNT - NO CALL BACK #2 ENG L/H AND R/H FAN COWLS EXTIROIR SURFACE FOUND ALL "STAY CLEAR OF HAZARD AREA DURING ENGINE RUNNING" DECALS FADED AND EDGES PEELED-OFF.</t>
  </si>
  <si>
    <t xml:space="preserve">1161</t>
  </si>
  <si>
    <t xml:space="preserve">32989964</t>
  </si>
  <si>
    <t xml:space="preserve">#2 ENG - L/H AND R/H FAN COWLS - PRIMER - PNT - NO CALL BACK #2 ENG L/H AND R/H FAN COWLS INNER SURFACE FOUND WITH PRIMER CHIPPED-OFF AND WITH MISMATCHED PRIMER SPOTS ALL OVER FAN COWLS INNER SURFACES .</t>
  </si>
  <si>
    <t xml:space="preserve">1162</t>
  </si>
  <si>
    <t xml:space="preserve">32989965</t>
  </si>
  <si>
    <t xml:space="preserve">#2 ENG - FWD ANTI ICE DUCT - MUSCLE LINE - AP - NO CALL BACK #2 ENG FAN FRAME ASSEMBLY AT 04:00 O`CLOCK POSTION FOUND FWD ANTI-ICE DUCT MUSCLE LINE JAM NUT INSTALLED WRONG POSITION (JAM NUT SECURED AT HOSE END NOT ON BRACKET).</t>
  </si>
  <si>
    <t xml:space="preserve">1164</t>
  </si>
  <si>
    <t xml:space="preserve">32989967</t>
  </si>
  <si>
    <t xml:space="preserve">#2 ENG - IDG FEEDER CABLES CONNECTOR - AVN - NO CALL BACK #2 ENG AT ELECTRICAL CONNECTION JUNCTION BOX FOUND IDG FEEDER CABLE CONNECTOR WITH MISSING SAFTEY WIRE.</t>
  </si>
  <si>
    <t xml:space="preserve">1167</t>
  </si>
  <si>
    <t xml:space="preserve">32989975</t>
  </si>
  <si>
    <t xml:space="preserve">#2 ENG - L/H AND R/H T/REV - COOLING HOSE - AP - NO CALL BACK #2 ENG L/H AND R/H THRUST REVERSERS INNER SIDE FOUND THRUST REVERSER OPENING ACTUATORS COOLING HOSES DETERIORATED .</t>
  </si>
  <si>
    <t xml:space="preserve">1168</t>
  </si>
  <si>
    <t xml:space="preserve">32989976</t>
  </si>
  <si>
    <t xml:space="preserve">#2 ENG - R/H T/REV - OPENING ACT - AP - NO CALL BACK #2 ENG R/H THRUST REVERSER FOUND  THRUST REVERSER OPENING ACTUATOR WITH HEAVY LEAK .</t>
  </si>
  <si>
    <t xml:space="preserve">1169</t>
  </si>
  <si>
    <t xml:space="preserve">32989982</t>
  </si>
  <si>
    <t xml:space="preserve">#2 ENG - R/H T/REV - HEAT SHIELD - SM - RII #2 ENG R/H THRUST REVERSER AT INNER  FWD SIDE FOUND HEAT SHILED WITH 8 CHAFFING MARKS (T/REV CHAFFING AGAINST ANI-ICE MUSCLE LINE AND ITS BRACKETS).   #1 CHAFFING DISTANCE TO NEAREST EDGE :- 4 INCH.  DIM...</t>
  </si>
  <si>
    <t xml:space="preserve">1172</t>
  </si>
  <si>
    <t xml:space="preserve">32989994</t>
  </si>
  <si>
    <t xml:space="preserve">#2 ENG - L/H T/REV - HEAT SHIELD - SM - RII #2 ENG L/H THRUST REVERSER INNER FWD SIDE FOUND HEAT SHIELD WITH 5 CHAFFING MARKS ( T/REV CHAFFING AGAINST DRIAN LINE AND CONNECTOR JUNCTION BOX).   #1 CHAFFING DISTANCE TO NEAREST EDGE :- 0 INCH. (CHAFF...</t>
  </si>
  <si>
    <t xml:space="preserve">1173</t>
  </si>
  <si>
    <t xml:space="preserve">32990006</t>
  </si>
  <si>
    <t xml:space="preserve">1175</t>
  </si>
  <si>
    <t xml:space="preserve">32990007</t>
  </si>
  <si>
    <t xml:space="preserve">1176</t>
  </si>
  <si>
    <t xml:space="preserve">32990011</t>
  </si>
  <si>
    <t xml:space="preserve">1177</t>
  </si>
  <si>
    <t xml:space="preserve">32990012</t>
  </si>
  <si>
    <t xml:space="preserve">1178</t>
  </si>
  <si>
    <t xml:space="preserve">32990013</t>
  </si>
  <si>
    <t xml:space="preserve">1179</t>
  </si>
  <si>
    <t xml:space="preserve">32990020</t>
  </si>
  <si>
    <t xml:space="preserve">1180</t>
  </si>
  <si>
    <t xml:space="preserve">32990021</t>
  </si>
  <si>
    <t xml:space="preserve">1181</t>
  </si>
  <si>
    <t xml:space="preserve">32990026</t>
  </si>
  <si>
    <t xml:space="preserve">1182</t>
  </si>
  <si>
    <t xml:space="preserve">32990029</t>
  </si>
  <si>
    <t xml:space="preserve">1183</t>
  </si>
  <si>
    <t xml:space="preserve">32990034</t>
  </si>
  <si>
    <t xml:space="preserve">1184</t>
  </si>
  <si>
    <t xml:space="preserve">32990037</t>
  </si>
  <si>
    <t xml:space="preserve">1185</t>
  </si>
  <si>
    <t xml:space="preserve">32990036</t>
  </si>
  <si>
    <t xml:space="preserve">#1 ENG - L/H AND R/H FAN COWLS - BULB SEAL - AP - RII #1 ENG L/H AND R/H FAN COWLS FOUND DRAIN MAST BULB SEAL DETERIORATED .</t>
  </si>
  <si>
    <t xml:space="preserve">1186</t>
  </si>
  <si>
    <t xml:space="preserve">32990048</t>
  </si>
  <si>
    <t xml:space="preserve">#1 ENG - L/H FAN COWL - SM - RII #1 ENG L/H FAN COWL INNER SURFACE FOUND WITH GOUGE BETWEEN #2 LATCH AND #3 LATCH (ZONE D1) DISTANCE TO NEAREST EDGE :- 3.97 INCH.  DIM:-      L=0.5 INCH.                            ,W=0.12 INCH....</t>
  </si>
  <si>
    <t xml:space="preserve">1187</t>
  </si>
  <si>
    <t xml:space="preserve">32990053</t>
  </si>
  <si>
    <t xml:space="preserve">#1 ENG - L/H FAN COWLS - DENT - SM - RII #1 ENG L/H FAN COWL INNER SURFACE FOUND WITH DENT AT THE  MIDDLE  (ZONE D3) DISTANCE TO NEAREST EDGE :- 5.75 INCH.  DIM:-      L=0.61 INCH.                            ,W=0.5  INCH.                       D=0...</t>
  </si>
  <si>
    <t xml:space="preserve">1188</t>
  </si>
  <si>
    <t xml:space="preserve">32990054</t>
  </si>
  <si>
    <t xml:space="preserve">#1 ENG - L/H FAN COWL - AFT EDGE PROTEC - SM - RII #1 ENG L/H FAN COWL FOUND AFT EDGE PROTECTOR  WITH PITTING CORROSION AT LOWER SIDE DISTANCE TO NEARST EDGE :- 0 INCH . (CORROSION REACHED EDGE)  AFT EDGE PROTECTOR CORROSION DISTANCE TO NEAREST ED...</t>
  </si>
  <si>
    <t xml:space="preserve">1189</t>
  </si>
  <si>
    <t xml:space="preserve">32990067</t>
  </si>
  <si>
    <t xml:space="preserve">#1 ENG - R/H FAN COWL - AFT EDGE PROTEC - SM - RII #1 ENG R/H FAN COWL FOUND AFT EDGE PROTECTOR AND LWER AFT EDGE PROTECTOR WITH PITTING CORROSION AT LOWER SIDE .   AFT EDGE PROTECTOR CORROSION DISTANCE TO NEAREST EDGE :- 0 INCH . (CORROSION REACH...</t>
  </si>
  <si>
    <t xml:space="preserve">1190</t>
  </si>
  <si>
    <t xml:space="preserve">32990167</t>
  </si>
  <si>
    <t xml:space="preserve">#1 ENG - R/H FAN COWL - CLEVIS DECAL - PNT - NO CALL BACK #1 ENG - R/H FAN COWL INNER SIDE FOUND " NEVER TURN CLEVIS" DECAL FADED AND EDGES PEELED-OFF .</t>
  </si>
  <si>
    <t xml:space="preserve">1191</t>
  </si>
  <si>
    <t xml:space="preserve">32990169</t>
  </si>
  <si>
    <t xml:space="preserve">#1 ENG - R/H FAN COWL - HAZARD DECAL - PNT - NO CALL BACK #1 ENG R/H FAN COWLS EXTIROIR SURFACE FOUND ALL "STAY CLEAR OF HAZARD AREA DURING ENGINE RUNNING" DECALS FADED AND EDGES PEALED-OFF.</t>
  </si>
  <si>
    <t xml:space="preserve">1193</t>
  </si>
  <si>
    <t xml:space="preserve">32990171</t>
  </si>
  <si>
    <t xml:space="preserve">#1 ENG - L/H FAN COWL - METAL STRIP - SM - RII #1 ENG L/H FAN COWL UPPER SIDE FOUND METAL STRIP (BEHIND FAN COWL HINGES) WITH GOUGE AT FWD SIDE DISTANCE TO NEAREST EDGE :- 0.12 INCH.  DIM:-  L= 5.5 INCH.                         ,W=0.25 INCH....</t>
  </si>
  <si>
    <t xml:space="preserve">1194</t>
  </si>
  <si>
    <t xml:space="preserve">32990173</t>
  </si>
  <si>
    <t xml:space="preserve">#1 ENG - FAN FR - ASSY - IDG QAD - AP - NO CALL BACK #1 ENG FAN FRAME ASSEMBLY AT 05:30 O`CLOCK POSITION FOUND IDG QUICK ATTACH/DETACH (QAD) BOLT WITH WRONG DIRECTION SAFETY WIRE.</t>
  </si>
  <si>
    <t xml:space="preserve">1197</t>
  </si>
  <si>
    <t xml:space="preserve">32990203</t>
  </si>
  <si>
    <t xml:space="preserve">#1 ENG - L/H AND R/H T/REV - COOLING HOSE - AP - NO CALL BACK #1 ENG L/H AND R/H THRUST REVERSERS INNER SIDE FOUND THRUST REVERSER OPENING ACTUATORS COOLING HOSES DETERIORATED .</t>
  </si>
  <si>
    <t xml:space="preserve">1198</t>
  </si>
  <si>
    <t xml:space="preserve">32990219</t>
  </si>
  <si>
    <t xml:space="preserve">#1 ENG - R/H T/REV - HEAT SHIELD - SM - RII #1 ENG R/H THRUST REVERSER AT INNER  FWD SIDE FOUND HEAT SHILED WITH 4 CHAFFING MARKS (T/REV CHAFFING AGAINST ANI-ICE MUSCLE LINE AND ITS BRACKETS AND CONNECTION JUNCTION BOX).  #1 CHAFFING DISTANCE TO N...</t>
  </si>
  <si>
    <t xml:space="preserve">1203</t>
  </si>
  <si>
    <t xml:space="preserve">32991517</t>
  </si>
  <si>
    <t xml:space="preserve">1208</t>
  </si>
  <si>
    <t xml:space="preserve">32991585</t>
  </si>
  <si>
    <t xml:space="preserve">1211</t>
  </si>
  <si>
    <t xml:space="preserve">32991646</t>
  </si>
  <si>
    <t xml:space="preserve">1212</t>
  </si>
  <si>
    <t xml:space="preserve">32991651</t>
  </si>
  <si>
    <t xml:space="preserve">1218</t>
  </si>
  <si>
    <t xml:space="preserve">32992461</t>
  </si>
  <si>
    <t xml:space="preserve">1226</t>
  </si>
  <si>
    <t xml:space="preserve">32992522</t>
  </si>
  <si>
    <t xml:space="preserve">RH THS UPPER TRAILING EDGE PANEL -SM - NO CALLBACK RH THS UPPER TRAILING EDGE PANEL WITH FROZEN SCREW ON PANEL 344AT, 344 BT AND 344 CT</t>
  </si>
  <si>
    <t xml:space="preserve">55-10-00</t>
  </si>
  <si>
    <t xml:space="preserve">1227</t>
  </si>
  <si>
    <t xml:space="preserve">32992699</t>
  </si>
  <si>
    <t xml:space="preserve">1228</t>
  </si>
  <si>
    <t xml:space="preserve">32992702</t>
  </si>
  <si>
    <t xml:space="preserve">1229</t>
  </si>
  <si>
    <t xml:space="preserve">32992708</t>
  </si>
  <si>
    <t xml:space="preserve">1236</t>
  </si>
  <si>
    <t xml:space="preserve">32993162</t>
  </si>
  <si>
    <t xml:space="preserve">UPPER AFT FUSELAGE SKIN=====SM====RII ACCESS THRU VERTICAL STABILIZER LEADING EDGE PNL 321AL FUSELAGE SKIN AREA AROUND 02EA HARNESS CONNECTION (4202VB, 4204VB) FOUND WITH PITTING CORROSION  AROUND THE WHOLE CIRCUMFERENCE MAXIMUM LENGTH = 0.9"</t>
  </si>
  <si>
    <t xml:space="preserve">1237</t>
  </si>
  <si>
    <t xml:space="preserve">32993180</t>
  </si>
  <si>
    <t xml:space="preserve">FUEL TANK ACCESS PANELS WITH FROZEN SCREW--NO CALL BACK LH WING FUEL TANK ACCESS PANELS 540HB (5EA) , 540JB (2EA) , 540KB (3EA) AND 540QB (1EA) WITH FROZEN SCREW.</t>
  </si>
  <si>
    <t xml:space="preserve">1238</t>
  </si>
  <si>
    <t xml:space="preserve">32993201</t>
  </si>
  <si>
    <t xml:space="preserve">L/H AND R/H WINGS KIDNEY PANELS DIRTY ---FS---  NO CALL BACK PANELS NUMBER: 574AB AND 574BB FOR LEFT WING, AND 674AB, 674BB FOR RIGHT WING, AREA INSIDE FOUND DIRTY REQ FS ACTION</t>
  </si>
  <si>
    <t xml:space="preserve">1239</t>
  </si>
  <si>
    <t xml:space="preserve">32993252</t>
  </si>
  <si>
    <t xml:space="preserve">ENGINE#2  PYLON DRAIN--AP--NO CALL BACK ENGINE #2 PYLON ALL 03EA DRAIN LINE GRIL ENTRY POINT AND ADJACENT AREA DIRTY WITH ACCUMULATED DIRT</t>
  </si>
  <si>
    <t xml:space="preserve">1240</t>
  </si>
  <si>
    <t xml:space="preserve">32993255</t>
  </si>
  <si>
    <t xml:space="preserve">R/H WING TRAILING EDGE---AP---- NO CALL BACK R/H WING TRAILING EDGE, SPOILER #5 OUT BOARD HINGE BONDING JUMPER BROKEN.</t>
  </si>
  <si>
    <t xml:space="preserve">1241</t>
  </si>
  <si>
    <t xml:space="preserve">32993268</t>
  </si>
  <si>
    <t xml:space="preserve">R/H WING TRAILING EDGE---AP---- NO CALL BACK R/H WING TRAILING EDGE, SPOILER #4  IN BOARD HINGE BONDING JUMPER BROKEN.</t>
  </si>
  <si>
    <t xml:space="preserve">1242</t>
  </si>
  <si>
    <t xml:space="preserve">32993275</t>
  </si>
  <si>
    <t xml:space="preserve">R/H WING TRAILING EDGE---SM---- NO CALL BACK R/H WING TRAILING EDGE UPPER SKIN/TOP SKIN, SPOILER #3  NEAR CENTER ATTACHMENT 03EA RIVET LOOSE/SHEARD.</t>
  </si>
  <si>
    <t xml:space="preserve">1243</t>
  </si>
  <si>
    <t xml:space="preserve">32993277</t>
  </si>
  <si>
    <t xml:space="preserve">R/H WING TRAILING EDGE---SM---- NO CALL BACK R/H WING TRAILING EDGE, SPOILER #2  NEAR CENTER HING TOP SKIN 1EA RIVET LOOSE AND 1EA IS MISSING.</t>
  </si>
  <si>
    <t xml:space="preserve">1244</t>
  </si>
  <si>
    <t xml:space="preserve">32993284</t>
  </si>
  <si>
    <t xml:space="preserve">R/H WING TRAILING EDGE---SM---- NO CALL BACK R/H WING TRAILING EDGE, SPOILER #2  IN BOARD HINGE TOP SKIN 1EA RIVET LOOSE.</t>
  </si>
  <si>
    <t xml:space="preserve">1245</t>
  </si>
  <si>
    <t xml:space="preserve">32993287</t>
  </si>
  <si>
    <t xml:space="preserve">R/H WING TRAILING EDGE---AP---- NO CALL BACK R/H WING TRAILING EDGE, FROM RIB 08 TO RIB 27 HYD TUBE LINE MULTIPLE AREA TIE WRAP BROKEN</t>
  </si>
  <si>
    <t xml:space="preserve">1246</t>
  </si>
  <si>
    <t xml:space="preserve">32993288</t>
  </si>
  <si>
    <t xml:space="preserve">R/H WING TRAILING EDGE---AP---- NO CALL BACK R/H WING TRAILING EDGE, NEAR SPOILER #4,  2EA HYD TUBE LINE TIE WRAP BROKEN.</t>
  </si>
  <si>
    <t xml:space="preserve">1247</t>
  </si>
  <si>
    <t xml:space="preserve">32994020</t>
  </si>
  <si>
    <t xml:space="preserve">1248</t>
  </si>
  <si>
    <t xml:space="preserve">32994039</t>
  </si>
  <si>
    <t xml:space="preserve">1249</t>
  </si>
  <si>
    <t xml:space="preserve">32994166</t>
  </si>
  <si>
    <t xml:space="preserve">FINDING (NRC) TASKCARD 712212-01-1-001 (02) / ENG#2   AP---CALL BACK ENG#2 FWD MOUNT LINK LUGS REQ CLEANING TO FACILITATE THE INSPECTION</t>
  </si>
  <si>
    <t xml:space="preserve">1251</t>
  </si>
  <si>
    <t xml:space="preserve">32994173</t>
  </si>
  <si>
    <t xml:space="preserve">FINDING (NRC) TASKCARD 712112-01-1-002 (03) ENG#2  AP-- CALLBACK ENG#2 AFT MOUNT LINK LUGS REQ CLEANING TO FACILITATE THE INSPECTION</t>
  </si>
  <si>
    <t xml:space="preserve">1252</t>
  </si>
  <si>
    <t xml:space="preserve">32994187</t>
  </si>
  <si>
    <t xml:space="preserve">FINDING (NRC) TASKCARD 712112-01-1-001 (03) ENG#1   AP---CALLBACK ENG#1 FWD MOUNT LINK LUGS REQ CLEANING TO FACILITATE THE INSPECTION</t>
  </si>
  <si>
    <t xml:space="preserve">1253</t>
  </si>
  <si>
    <t xml:space="preserve">32994193</t>
  </si>
  <si>
    <t xml:space="preserve">FINDING (NRC) TASKCARD 712212-01-1-002 (02) ENG#1   AP--CALLBACK ENG#1 AFT MOUNT LINK LUGS REQ CLEANING TO FACILITATE THE INSPECTION</t>
  </si>
  <si>
    <t xml:space="preserve">1254</t>
  </si>
  <si>
    <t xml:space="preserve">32994746</t>
  </si>
  <si>
    <t xml:space="preserve">1255</t>
  </si>
  <si>
    <t xml:space="preserve">32994800</t>
  </si>
  <si>
    <t xml:space="preserve">AFT OF BLK CGO-----F/S---------NO CALL BACK BLK CGO AFT OF AFT PARTTION AREA DIRTY</t>
  </si>
  <si>
    <t xml:space="preserve">1256</t>
  </si>
  <si>
    <t xml:space="preserve">32995398</t>
  </si>
  <si>
    <t xml:space="preserve">NO CALL BACK FUSELAGE (FS) FWD AVIONIC COPMARTMENT ZONAL INSP FROM ZONES 121 TO 122 REQ CLEAINING</t>
  </si>
  <si>
    <t xml:space="preserve">1257</t>
  </si>
  <si>
    <t xml:space="preserve">32995496</t>
  </si>
  <si>
    <t xml:space="preserve">L/H VERTICAL STAP-----SM-------NO CALL BACK L/H UPPER VERTICAL STAB PNLS (334AT,334CT,334DT) WITH ROUNDED SCREWS</t>
  </si>
  <si>
    <t xml:space="preserve">55-33</t>
  </si>
  <si>
    <t xml:space="preserve">1259</t>
  </si>
  <si>
    <t xml:space="preserve">32995625</t>
  </si>
  <si>
    <t xml:space="preserve">RH WING FUEL ACCESS PNLS #640KB WITH 1 FROZEN SCREW ,640LB WITH 2 FROZEN SCREW AND 640HB WITH 1 FROZEN SCREW ,REQ TO REMOVE</t>
  </si>
  <si>
    <t xml:space="preserve">1260</t>
  </si>
  <si>
    <t xml:space="preserve">32995946</t>
  </si>
  <si>
    <t xml:space="preserve">FINDING (NRC) TASKCARD 25-21-00-00-SVA (01) / ITEM ONE B/C SEAT# 1AC  CUSHION ASSY-LEGREST TORN.</t>
  </si>
  <si>
    <t xml:space="preserve">1263</t>
  </si>
  <si>
    <t xml:space="preserve">32996598</t>
  </si>
  <si>
    <t xml:space="preserve">FINDING (NRC) TASKCARD ZL-171-02-1 (2) / ITEM-1 SM--RII FUSELAGE SKIN INNER SURFACE WITH SURFACE CORROSION LOCATED BETWEEN FR 65-66 AND STRG 43-42L (VISIBLE THROUGH BULK CARGO AFT PARTITION PANELS)</t>
  </si>
  <si>
    <t xml:space="preserve">1264</t>
  </si>
  <si>
    <t xml:space="preserve">32996610</t>
  </si>
  <si>
    <t xml:space="preserve">1265</t>
  </si>
  <si>
    <t xml:space="preserve">32996715</t>
  </si>
  <si>
    <t xml:space="preserve">FWD CGO COMPT====AP===NO CALL BACK FWD CARGO COMPT AFT SIDE PACK AIR RECIRCULATION FILTER ELEMENTS BOTH ACCUMULATED WITH DIRT.</t>
  </si>
  <si>
    <t xml:space="preserve">1268</t>
  </si>
  <si>
    <t xml:space="preserve">32996857</t>
  </si>
  <si>
    <t xml:space="preserve">CAPT FIXED WINDOW======AP=====RII CAPT SIDE FIXED WINDOW AFT LWR CORNER WITH BUBBLES DIMENSIONS AS FOLLOWS  LENGTH =3" WIDTH= 1.1"</t>
  </si>
  <si>
    <t xml:space="preserve">1270</t>
  </si>
  <si>
    <t xml:space="preserve">32998086</t>
  </si>
  <si>
    <t xml:space="preserve">RUDDER-----------NO CALLBACK-------------AF RUDDER ATTACH FITTING NO. 6 FOUND BONDING LEAD BROKEN.</t>
  </si>
  <si>
    <t xml:space="preserve">1271</t>
  </si>
  <si>
    <t xml:space="preserve">32998113</t>
  </si>
  <si>
    <t xml:space="preserve">1272</t>
  </si>
  <si>
    <t xml:space="preserve">32998140</t>
  </si>
  <si>
    <t xml:space="preserve">ENG 02 PYLON - PAINT - NO CALL BACK ENG 02 PYLON PANEL 423AR AND 423CR PAINT PEELED OFF.</t>
  </si>
  <si>
    <t xml:space="preserve">51-75</t>
  </si>
  <si>
    <t xml:space="preserve">1275</t>
  </si>
  <si>
    <t xml:space="preserve">32998246</t>
  </si>
  <si>
    <t xml:space="preserve">FWD CGO DOOR.....FS....NO CALLBACK FWD CGO DOOR LATCHING MECHANISM INTERNAL STRUCTURE DIRTY</t>
  </si>
  <si>
    <t xml:space="preserve">52-30-00</t>
  </si>
  <si>
    <t xml:space="preserve">1276</t>
  </si>
  <si>
    <t xml:space="preserve">32998252</t>
  </si>
  <si>
    <t xml:space="preserve">AFT CGO DOOR....FS....NO CALLBACK AFT CGO DOOR LATCHING MECHANISM INTERNAL STRUCTURE DIRTY</t>
  </si>
  <si>
    <t xml:space="preserve">1277</t>
  </si>
  <si>
    <t xml:space="preserve">32998934</t>
  </si>
  <si>
    <t xml:space="preserve">FINDING (NRC) TASKCARD ZL-127-02-2 (3) / ITEM-1 FS--CALLBACK REF TO SEQ 106 REAR AVIONICS COMPARTMENT ACCESSIBLE THROUGH DOOR 824 AFT AVIONICS COMPARTMENT DOOR AREA AROUND DOOR CUTOUT AND BELOW COMPARTMENT FLOOR PANELS WITH DIRT REQ CLEANING FOR I...</t>
  </si>
  <si>
    <t xml:space="preserve">1278</t>
  </si>
  <si>
    <t xml:space="preserve">33000741</t>
  </si>
  <si>
    <t xml:space="preserve">FINDING WING - PNT-NO CALL BACK L/H AND R/H WING INBD LOWER SURFACE WATER DRAIN VALVE DECALS MISSING .</t>
  </si>
  <si>
    <t xml:space="preserve">1279</t>
  </si>
  <si>
    <t xml:space="preserve">33000793</t>
  </si>
  <si>
    <t xml:space="preserve">AP---RII---APU DOOR APU RIGHT ACCESS DOOR FWD AND MID WALL FIRE SEAL DETACHED</t>
  </si>
  <si>
    <t xml:space="preserve">1281</t>
  </si>
  <si>
    <t xml:space="preserve">33001011</t>
  </si>
  <si>
    <t xml:space="preserve">L/H WING PNT - NO CALLBACK LH MLG (FWD OF MLG ) LWR SURFACE SKIN REINFOREING PLATE PNT CHIPPED OFF</t>
  </si>
  <si>
    <t xml:space="preserve">1282</t>
  </si>
  <si>
    <t xml:space="preserve">33001198</t>
  </si>
  <si>
    <t xml:space="preserve">AP---NO CALLBACK---RUDDER RUDDER BR6 BONDING JUMBER CUT</t>
  </si>
  <si>
    <t xml:space="preserve">1283</t>
  </si>
  <si>
    <t xml:space="preserve">33001199</t>
  </si>
  <si>
    <t xml:space="preserve">AP---NO CALLBACK---RUDDER ALL RUDDER AFT HOLES COVER ARE TORN</t>
  </si>
  <si>
    <t xml:space="preserve">1284</t>
  </si>
  <si>
    <t xml:space="preserve">33001270</t>
  </si>
  <si>
    <t xml:space="preserve">FS---CALLBACK---AVN COMP AVIONICS COMP. STRUCTURE AFTER INSULATION BLANKET REMOVAL NEED DEEP CLEANING</t>
  </si>
  <si>
    <t xml:space="preserve">1285</t>
  </si>
  <si>
    <t xml:space="preserve">33001460</t>
  </si>
  <si>
    <t xml:space="preserve">LH OVER WING PNL ---SM--NO CALLBACK--- WING ROOT PNL 191ET WITH 3 EA WRON HEAD SCREWS</t>
  </si>
  <si>
    <t xml:space="preserve">1288</t>
  </si>
  <si>
    <t xml:space="preserve">33002750</t>
  </si>
  <si>
    <t xml:space="preserve">PNT---NO CALLBACK---RH WING SLAT RH WING SLAT 1, 2, 3, 4 &amp; 5 TRAILING EDGES WITH PAINT CHIPPED OFF</t>
  </si>
  <si>
    <t xml:space="preserve">1290</t>
  </si>
  <si>
    <t xml:space="preserve">33002861</t>
  </si>
  <si>
    <t xml:space="preserve">AP---CALLBACK---RH WING SLAT 5 RH WING SLAT 5 OUTBOARD EDGE SEAL CUT OFF</t>
  </si>
  <si>
    <t xml:space="preserve">1300</t>
  </si>
  <si>
    <t xml:space="preserve">33007172</t>
  </si>
  <si>
    <t xml:space="preserve">EOD-320-31-00012-R00/FDIMU - INSTALL NEW ADC DMU SW FOR FOMAX</t>
  </si>
  <si>
    <t xml:space="preserve">1302</t>
  </si>
  <si>
    <t xml:space="preserve">33011258</t>
  </si>
  <si>
    <t xml:space="preserve">1303</t>
  </si>
  <si>
    <t xml:space="preserve">33011331</t>
  </si>
  <si>
    <t xml:space="preserve">FINDING (NRC) TASKCARD 572065-01-1-001 (03) / ITEM ONE PNT--NOCALLBACK LH WING TRAILING  EDGE AREA AT WING LOWER SURFACE BETWEEN RIB 1-5 WITH PAINT CRACKING / CHIPPED OFF</t>
  </si>
  <si>
    <t xml:space="preserve">1304</t>
  </si>
  <si>
    <t xml:space="preserve">33012238</t>
  </si>
  <si>
    <t xml:space="preserve">UPPER FUSELAGE=====SM====RII UPPER FUSELAGE UNDERNEATH LARGE SATCOM ANTENNA 04EA RIVETS HEAD WITH PITTING CORROSION    LOCATION BETWEEN FRAME 29-32  ALONG STRINGER 01RH AND 01LH    DIMENSION AS FOLLOWS    ALONG STR 01LH    LENGTH = 01CM  WIDTH = 0...</t>
  </si>
  <si>
    <t xml:space="preserve">1305</t>
  </si>
  <si>
    <t xml:space="preserve">33012374</t>
  </si>
  <si>
    <t xml:space="preserve">L/H WING --- A/P ---CALL BACK L/H WING T/EDGE BETWEEN RIB 5 TO RIB 8 WITH TPS MISSING</t>
  </si>
  <si>
    <t xml:space="preserve">1306</t>
  </si>
  <si>
    <t xml:space="preserve">33012961</t>
  </si>
  <si>
    <t xml:space="preserve">L/H WING ---AP--- RII L/H WING I/B SIDE BETWEEN RIB 5 TO RIB 8 TORQUE SHAFT SEVERAL BOLTS WITH RUSTY</t>
  </si>
  <si>
    <t xml:space="preserve">1307</t>
  </si>
  <si>
    <t xml:space="preserve">33013426</t>
  </si>
  <si>
    <t xml:space="preserve">L/H WING ---AP--- NO CALL BACK L/H WING TRAILING EDGE TORQUE SHAFT FROM  RIB 5 TO RIB 27 VERY DIRTY</t>
  </si>
  <si>
    <t xml:space="preserve">1308</t>
  </si>
  <si>
    <t xml:space="preserve">33013430</t>
  </si>
  <si>
    <t xml:space="preserve">L/H WING  ---SM--- RII L/H WING TRAILING EDGE NEAR SPOILER NO 3 ON TOP SKIN 3EA RIVET LOOSE /BROKEN</t>
  </si>
  <si>
    <t xml:space="preserve">1309</t>
  </si>
  <si>
    <t xml:space="preserve">33013444</t>
  </si>
  <si>
    <t xml:space="preserve">L/H WING--- AP-- NO CALL BACK L/H WING TRAILING EDGE SPOILER NO.4 I/B HINGE BONDING WIRE WITH BROKEN.</t>
  </si>
  <si>
    <t xml:space="preserve">1310</t>
  </si>
  <si>
    <t xml:space="preserve">33013470</t>
  </si>
  <si>
    <t xml:space="preserve">L/H WING --- AP--- NO CALL BACK L/H WING FLAP TRACK MOV FAIRING NO 2 AND 3 BONDING WIRE WITH BROKEN.</t>
  </si>
  <si>
    <t xml:space="preserve">1311</t>
  </si>
  <si>
    <t xml:space="preserve">33013486</t>
  </si>
  <si>
    <t xml:space="preserve">L/H WING--- S/M ---- RII L/H WING O/B ACCESS THROUGHT PANEL # 575LB STRIP METAL DETACHED</t>
  </si>
  <si>
    <t xml:space="preserve">1312</t>
  </si>
  <si>
    <t xml:space="preserve">33013510</t>
  </si>
  <si>
    <t xml:space="preserve">AVIONICS COMPT=======AV======NO CALL BACK REAR AVIONICS COMPT 63, 80, 187VU AND 188VU WIRING INSTALLED DIRTY WITH ACCUMULATED DUST</t>
  </si>
  <si>
    <t xml:space="preserve">1313</t>
  </si>
  <si>
    <t xml:space="preserve">33013536</t>
  </si>
  <si>
    <t xml:space="preserve">VERTICAL STABILIZER ATTACH FITTING=====FS======CALL BACK REFER TO TASK CARD 553004-01-1 VERTICAL STABILIZER ATTACH FITTINGS INCLUDING THE LOAD INTRODUCTION AREA AT THE SKIN PANELS REQ CLEANING TO FASCILITATE INSPECTION</t>
  </si>
  <si>
    <t xml:space="preserve">1315</t>
  </si>
  <si>
    <t xml:space="preserve">33014957</t>
  </si>
  <si>
    <t xml:space="preserve">RADIO ALTIMETER - CALLBACK REF TO TC 344200-02-2 SEQ 589 - DISCARD OF RA ANTENNAS AND COAX CABLES</t>
  </si>
  <si>
    <t xml:space="preserve">1319</t>
  </si>
  <si>
    <t xml:space="preserve">33017650</t>
  </si>
  <si>
    <t xml:space="preserve">FINDING TASKCARD 532181-02-1 (0) /FWD FUSELAGE---STR---RII FIXED PARTITION STRUCTURE, FR34, (Y-765, Y765) LOWER ATTACHMENT DETACHED</t>
  </si>
  <si>
    <t xml:space="preserve">1326</t>
  </si>
  <si>
    <t xml:space="preserve">33019665</t>
  </si>
  <si>
    <t xml:space="preserve">FINDING TASKCARD 531164-01-1 / FUSELAGE FR15-21-FS--CALLBACK REQ CLEANING OF FUSELAGE FR20-21; STR28LH-STR28LH TO FACILITATE INSPECTION</t>
  </si>
  <si>
    <t xml:space="preserve">1328</t>
  </si>
  <si>
    <t xml:space="preserve">33014940</t>
  </si>
  <si>
    <t xml:space="preserve">S71-R10397/HZ-ASD ENG.2 REPLACEMENT OF RH FAN COWL FWD AND AFT EDGE PROTECTORS</t>
  </si>
  <si>
    <t xml:space="preserve">1329</t>
  </si>
  <si>
    <t xml:space="preserve">33014947</t>
  </si>
  <si>
    <t xml:space="preserve">S71-R10398/HZ-ASD ENG.1 REPLACEMENT OF LH FAN COWL AFT EDGE PROTECTORS</t>
  </si>
  <si>
    <t xml:space="preserve">1330</t>
  </si>
  <si>
    <t xml:space="preserve">33019887</t>
  </si>
  <si>
    <t xml:space="preserve">AFT CARGO - UNDERFLOOR - FS -CALLBACK AFT CARGO UNDERFLOOR REQ ZONAL CLEANING FROM FRAME 46 TO 51</t>
  </si>
  <si>
    <t xml:space="preserve">1331</t>
  </si>
  <si>
    <t xml:space="preserve">95001843</t>
  </si>
  <si>
    <t xml:space="preserve">ROB .. REF TO TQ. 832572 AEVC P/N.87292325V07 S/N.VL2062006144  ROBBED TO SVC HZ-ASP. AS PER A320 AMM 21-26-34-000-001-A  REV.69 DATE.01 MAY 2026</t>
  </si>
  <si>
    <t xml:space="preserve">21-00</t>
  </si>
  <si>
    <t xml:space="preserve">1340</t>
  </si>
  <si>
    <t xml:space="preserve">33021799</t>
  </si>
  <si>
    <t xml:space="preserve">53-00-00</t>
  </si>
  <si>
    <t xml:space="preserve">1341</t>
  </si>
  <si>
    <t xml:space="preserve">33021843</t>
  </si>
  <si>
    <t xml:space="preserve">1344</t>
  </si>
  <si>
    <t xml:space="preserve">33022853</t>
  </si>
  <si>
    <t xml:space="preserve">1345</t>
  </si>
  <si>
    <t xml:space="preserve">33022868</t>
  </si>
  <si>
    <t xml:space="preserve">1346</t>
  </si>
  <si>
    <t xml:space="preserve">33022924</t>
  </si>
  <si>
    <t xml:space="preserve">RH WING FUEL ACCESS PNL#640KB WITH 4EA FROZEN SCREW</t>
  </si>
  <si>
    <t xml:space="preserve">1347</t>
  </si>
  <si>
    <t xml:space="preserve">33022953</t>
  </si>
  <si>
    <t xml:space="preserve">1348</t>
  </si>
  <si>
    <t xml:space="preserve">33022966</t>
  </si>
  <si>
    <t xml:space="preserve">1349</t>
  </si>
  <si>
    <t xml:space="preserve">33022983</t>
  </si>
  <si>
    <t xml:space="preserve">1350</t>
  </si>
  <si>
    <t xml:space="preserve">33023367</t>
  </si>
  <si>
    <t xml:space="preserve">AP---NO CALLBACK---UNDER BELLY FAIRING AFT CARGO COMPARTMENT-HEATING PRESSURE-REGULATING VALVE FWD CLAMP NOT SECURED WITH BENDED SECURING BOLT UNDER PANEL 197BB</t>
  </si>
  <si>
    <t xml:space="preserve">1351</t>
  </si>
  <si>
    <t xml:space="preserve">33023576</t>
  </si>
  <si>
    <t xml:space="preserve">AP---NO CALLBACK---UNDER PNL BELLY FAIRING PNUEMATIC DUCT UNDER THE OVERWING SLIDE LH SIDE ONE TIE CLAMP NOT SECURED</t>
  </si>
  <si>
    <t xml:space="preserve">1352</t>
  </si>
  <si>
    <t xml:space="preserve">33023575</t>
  </si>
  <si>
    <t xml:space="preserve">1354</t>
  </si>
  <si>
    <t xml:space="preserve">33023735</t>
  </si>
  <si>
    <t xml:space="preserve">1355</t>
  </si>
  <si>
    <t xml:space="preserve">33023745</t>
  </si>
  <si>
    <t xml:space="preserve">1356</t>
  </si>
  <si>
    <t xml:space="preserve">33023803</t>
  </si>
  <si>
    <t xml:space="preserve">1357</t>
  </si>
  <si>
    <t xml:space="preserve">33023820</t>
  </si>
  <si>
    <t xml:space="preserve">1359</t>
  </si>
  <si>
    <t xml:space="preserve">33024557</t>
  </si>
  <si>
    <t xml:space="preserve">VERTICAL STABLIZER HINGE FITTING (EOD-320-55-00001-R00) AS PER (EOD-320-55-00001-R00) ALL HINGE FITTINGS REQUIRE NDT AFTER REMOVAL  .</t>
  </si>
  <si>
    <t xml:space="preserve">1361</t>
  </si>
  <si>
    <t xml:space="preserve">33025672</t>
  </si>
  <si>
    <t xml:space="preserve">ENG #1 AND #2 AFT MOUNT PINS RETAINING PINS RUSTY---NO CALLBACK--AP ENG 1 AND 2 AFT MOUNT PINS RETAINING PINS FOUND RUSTY NEEDS REPLACEMENT 10 TOTAL IN BOTH ENGINES  IPC REF: 71-22-11 FIG. 71-22-11-03 ITEM 10</t>
  </si>
  <si>
    <t xml:space="preserve">1362</t>
  </si>
  <si>
    <t xml:space="preserve">33025883</t>
  </si>
  <si>
    <t xml:space="preserve">RH WING FUEL TANK======PNT=====RII RH WING OUT BOARD FUEL TANK FROM RIB 13 TO 27 ACCESS PNL INNER SIDE PRIMER AND PNT CHIPPED OFF (EXCEPT PNL 640KB)</t>
  </si>
  <si>
    <t xml:space="preserve">1363</t>
  </si>
  <si>
    <t xml:space="preserve">33025887</t>
  </si>
  <si>
    <t xml:space="preserve">RH WING FUEL TANK======PNT=====RII RH WING FUEL TANK FROM RIB 13 TO 27 FUEL TANK ACCESS PNL CUT-OUT PRIMER AND PNT CHIPPED OFF/ DETERIORATED (EXCEPT AREA UNDER ACCESS PNL 640KB)</t>
  </si>
  <si>
    <t xml:space="preserve">1364</t>
  </si>
  <si>
    <t xml:space="preserve">33025881</t>
  </si>
  <si>
    <t xml:space="preserve">ENG #2 FWD MOUNT (RH FWD) RETEINER DENTED --CALLBACK--AP ENG #2 FORWARD MOUNT, RH FORWARD BOLT RETAINER FOUND DENTED, NEEDS REPLACEMENT.   REF IPC:   71-21-11 FIG. 71-21-11-04 PYLON ATTACH HARDWARE, ITEM (90)   DESC: RETAINER-RH SIDE   PART NO. 23...</t>
  </si>
  <si>
    <t xml:space="preserve">1365</t>
  </si>
  <si>
    <t xml:space="preserve">33025894</t>
  </si>
  <si>
    <t xml:space="preserve">LH WING FUEL TANK=======FT=====RII LH WING OUTBOARD FUEL TANK INNER SIDE ALONG RIB 12 AND RIB 13 02EA BONDING JUMPER BROKEN</t>
  </si>
  <si>
    <t xml:space="preserve">1366</t>
  </si>
  <si>
    <t xml:space="preserve">33025896</t>
  </si>
  <si>
    <t xml:space="preserve">LH WING FUEL TANK======PNT======RII LH WING FUEL TANK INNER SIDE FROM RIB 8-11 01EA FUEL PIPE PRIMER PNT CHIPPED OFF/ PEELING OFF</t>
  </si>
  <si>
    <t xml:space="preserve">1367</t>
  </si>
  <si>
    <t xml:space="preserve">33025897</t>
  </si>
  <si>
    <t xml:space="preserve">LH WING FUEL TANK======PNT======RII LH WING FUEL TANK ACCESS PNL CUT-OUT FROM RIB 13-27 PRIMER AND PNT CHIPPED OFF</t>
  </si>
  <si>
    <t xml:space="preserve">1368</t>
  </si>
  <si>
    <t xml:space="preserve">33027334</t>
  </si>
  <si>
    <t xml:space="preserve">FT---RII---LH WING LH WING INSIDE FUEL TANK BETWEEN RIB 1 &amp; 2 THERE IS 5 BONDING JUMBERS CUT</t>
  </si>
  <si>
    <t xml:space="preserve">1369</t>
  </si>
  <si>
    <t xml:space="preserve">33027336</t>
  </si>
  <si>
    <t xml:space="preserve">FT---RII---LH WING LH WING INSIDE FUEL TANK BETWEEN RIB 8 &amp; 9 THERE IS ONE BONDING JUMBERS CUT AT RIB 9 AND TWO BONDING JUMBERS BETWEEN RIB 7 AND 8</t>
  </si>
  <si>
    <t xml:space="preserve">1370</t>
  </si>
  <si>
    <t xml:space="preserve">33027335</t>
  </si>
  <si>
    <t xml:space="preserve">OSS - NO CALLBACK - WINDOWS ALL WINDOWS EXTERNAL SIDE REQUIRE CLEANING.</t>
  </si>
  <si>
    <t xml:space="preserve">1371</t>
  </si>
  <si>
    <t xml:space="preserve">33027363</t>
  </si>
  <si>
    <t xml:space="preserve">FT---NO CALLBACK---RH WING RH WING ACCESS DOOR 640AB PAINT CHIPPED OFF</t>
  </si>
  <si>
    <t xml:space="preserve">1381</t>
  </si>
  <si>
    <t xml:space="preserve">33028590</t>
  </si>
  <si>
    <t xml:space="preserve">FINDING (NRC) TASKCARD 575158-01-5-002 (02) / ITEM-1 PNT--NOCALLBACK RH WING LOWER SURFACE BOTTOM SKIN BETWEEN RIB 1 AND RIB 9 WITH  PAINT CHIPPED OFF</t>
  </si>
  <si>
    <t xml:space="preserve">1382</t>
  </si>
  <si>
    <t xml:space="preserve">33028952</t>
  </si>
  <si>
    <t xml:space="preserve">NO.1 ENGINE ACOUSTICAL PANEL MISSING SCREW--CALL BACK--AP NO.1 ENGINE ACOUSTICAL PANEL FOUND WITH MISSING SCREW MARKED WITH GREEN TAPE</t>
  </si>
  <si>
    <t xml:space="preserve">1383</t>
  </si>
  <si>
    <t xml:space="preserve">33029195</t>
  </si>
  <si>
    <t xml:space="preserve">ENG NO#01=====AP=====CALL BACK REFER TO TASK CARD 712213-01-1-001 ENGINE AFT MOUNT PINS INNER SIDE DIRTY WITH ANTI SEIZE COMPOUND DIRTY REQ CLEANING TO FASCILITATE THE INSP</t>
  </si>
  <si>
    <t xml:space="preserve">1384</t>
  </si>
  <si>
    <t xml:space="preserve">33029199</t>
  </si>
  <si>
    <t xml:space="preserve">ENG NO#02======AP=====CALL BACK REFER TO TASK CARD 712213-01-1-002 ENGINE AFT MOUNT PINS INNER SIDE DIRTY WITH ANTI SEIZE COMPOUND DIRTY REQ CLEANING TO FASCILITATE THE INSP</t>
  </si>
  <si>
    <t xml:space="preserve">1386</t>
  </si>
  <si>
    <t xml:space="preserve">33029270</t>
  </si>
  <si>
    <t xml:space="preserve">RH WING MLG SUPPORT RIBS=====AP==== CALL BACK RH WING MLG SUPPORT RIBS AND ADJACENT AREA MISSING CIC</t>
  </si>
  <si>
    <t xml:space="preserve">1387</t>
  </si>
  <si>
    <t xml:space="preserve">33030770</t>
  </si>
  <si>
    <t xml:space="preserve">SM---RII---RH WING SLAT 1 RH WING SLAT 1 TRACK NO.3 SLAT FITTING WITH CHAFING MARK L= 2 IN, W= 1 IN &amp; DEPTH= 0.15 MM FITTING CHAFED WITH WING LE FITTING GROOVE</t>
  </si>
  <si>
    <t xml:space="preserve">1391</t>
  </si>
  <si>
    <t xml:space="preserve">33032681</t>
  </si>
  <si>
    <t xml:space="preserve">FINDING (NRC) DOCUMENT S51-R10008 SM--RII LH WING SLAT # 3 WITH DENT AT LE EDGE TOP SKIN BETWEEN TRACK RIB #7 AND TRACK RIB #8 WITH THE FOLLOWING DIMENSION L=55 MM W= 20 MM D= 0.2 MM DISTANCE TO NEAREST FASTENER = 65 MM</t>
  </si>
  <si>
    <t xml:space="preserve">1392</t>
  </si>
  <si>
    <t xml:space="preserve">1396</t>
  </si>
  <si>
    <t xml:space="preserve">33037808</t>
  </si>
  <si>
    <t xml:space="preserve">LH WING FLAP  UPEER  MID  NO CALL BACK  PNT LH WING FLAP  UPEER  MID WITH BLACK MARK</t>
  </si>
  <si>
    <t xml:space="preserve">1397</t>
  </si>
  <si>
    <t xml:space="preserve">33037811</t>
  </si>
  <si>
    <t xml:space="preserve">RH  WING FLAP  UPEER  MID  NO CALL BACK  PNT RH  WING FLAP  UPEER  MID WITH BLACK MARK</t>
  </si>
  <si>
    <t xml:space="preserve">1401</t>
  </si>
  <si>
    <t xml:space="preserve">33040155</t>
  </si>
  <si>
    <t xml:space="preserve">S71-R10396/HZ-ASD ENG.1 REPLACEMENT OF RH FAN COWL FWD AND AFT EDGE PROTECTORS</t>
  </si>
  <si>
    <t xml:space="preserve">1402</t>
  </si>
  <si>
    <t xml:space="preserve">33040973</t>
  </si>
  <si>
    <t xml:space="preserve">FINDING (NRC) TASKCARD 534150-01-1 (02) / AFT CARGO --- NO CALLBACK - AFT CARGO COMPARTMENT 152EF LOOSE BRACKET ON THE AFT END, BETWEEN FR52 AND FR53.</t>
  </si>
  <si>
    <t xml:space="preserve">1406</t>
  </si>
  <si>
    <t xml:space="preserve">571192-09-1</t>
  </si>
  <si>
    <t xml:space="preserve">571192-09-1 (0) / CENTER WING BOX</t>
  </si>
  <si>
    <t xml:space="preserve">1407</t>
  </si>
  <si>
    <t xml:space="preserve">571192-19-1</t>
  </si>
  <si>
    <t xml:space="preserve">571192-19-1 (0) / CENTER WING BOX</t>
  </si>
  <si>
    <t xml:space="preserve">1411</t>
  </si>
  <si>
    <t xml:space="preserve">33047936</t>
  </si>
  <si>
    <t xml:space="preserve">NO CALL BACK LH WING UPPER PANEL 575 AT PAINT PEELED OFF</t>
  </si>
  <si>
    <t xml:space="preserve">1412</t>
  </si>
  <si>
    <t xml:space="preserve">33047948</t>
  </si>
  <si>
    <t xml:space="preserve">NO CALL BACK LH WING LOWER  PANEL 575 MB PAINT PEELED OFF</t>
  </si>
  <si>
    <t xml:space="preserve">1413</t>
  </si>
  <si>
    <t xml:space="preserve">1414</t>
  </si>
  <si>
    <t xml:space="preserve">1415</t>
  </si>
  <si>
    <t xml:space="preserve">1418</t>
  </si>
  <si>
    <t xml:space="preserve">33058303</t>
  </si>
  <si>
    <t xml:space="preserve">1420</t>
  </si>
  <si>
    <t xml:space="preserve">33060679</t>
  </si>
  <si>
    <t xml:space="preserve">1421</t>
  </si>
  <si>
    <t xml:space="preserve">33060680</t>
  </si>
  <si>
    <t xml:space="preserve">1422</t>
  </si>
  <si>
    <t xml:space="preserve">33060681</t>
  </si>
  <si>
    <t xml:space="preserve">1424</t>
  </si>
  <si>
    <t xml:space="preserve">33062121</t>
  </si>
  <si>
    <t xml:space="preserve">1425</t>
  </si>
  <si>
    <t xml:space="preserve">33062156</t>
  </si>
  <si>
    <t xml:space="preserve">1426</t>
  </si>
  <si>
    <t xml:space="preserve">33062169</t>
  </si>
  <si>
    <t xml:space="preserve">1428</t>
  </si>
  <si>
    <t xml:space="preserve">33067651</t>
  </si>
  <si>
    <t xml:space="preserve">LOWER FUSELAGE ----- SM ----- NO CALL BACK LOWER FUSELAGE ACCESS PANELS NO. 191LB, 191EB. WITH ANCHOR NUTS BROKEN.</t>
  </si>
  <si>
    <t xml:space="preserve">1429</t>
  </si>
  <si>
    <t xml:space="preserve">95001847</t>
  </si>
  <si>
    <t xml:space="preserve">ROB REF TO TQ #: 846595 ENGINE FAN COWL ROD PN: A3410-2 S/N:18806 ROB TO SVC AS75</t>
  </si>
  <si>
    <t xml:space="preserve">1430</t>
  </si>
  <si>
    <t xml:space="preserve">33069516</t>
  </si>
  <si>
    <t xml:space="preserve">1433</t>
  </si>
  <si>
    <t xml:space="preserve">33073939</t>
  </si>
  <si>
    <t xml:space="preserve">1434</t>
  </si>
  <si>
    <t xml:space="preserve">33074086</t>
  </si>
  <si>
    <t xml:space="preserve">SM-----CALLBACK NOSE LANDING GEAR LEG LOCK STAY ASSY LOWER ATTACHMENT FOUND WITH CHAFFING MARKS</t>
  </si>
  <si>
    <t xml:space="preserve">1435</t>
  </si>
  <si>
    <t xml:space="preserve">33075708</t>
  </si>
  <si>
    <t xml:space="preserve">MAIN BATT REQUIRED R/R BOTH MAIN BATT #1 AND #2 DUE TO BATTERY VOLTAGE FOUND LOW</t>
  </si>
  <si>
    <t xml:space="preserve">24-00</t>
  </si>
  <si>
    <t xml:space="preserve">1440</t>
  </si>
  <si>
    <t xml:space="preserve">1441</t>
  </si>
  <si>
    <t xml:space="preserve">33080727</t>
  </si>
  <si>
    <t xml:space="preserve">HORIZ - PNT - NO CALL BACK LH AND RH HORIZONTAL UPPER SURFACE CAUTION DECAL PEELED OFF</t>
  </si>
  <si>
    <t xml:space="preserve">51-21</t>
  </si>
  <si>
    <t xml:space="preserve">1443</t>
  </si>
  <si>
    <t xml:space="preserve">33081333</t>
  </si>
  <si>
    <t xml:space="preserve">HYDRAULIC FLUID ANALYSIS ---- NO CALL BACK REF TO TASK CARD NO.291000-26-1 ANALYZE HYDRAULIC FLUID FOR CHLORINE, DENSITY, VISCOSITY AND CONDUCTIVITY CONTAMINATION.</t>
  </si>
  <si>
    <t xml:space="preserve">29-00</t>
  </si>
  <si>
    <t xml:space="preserve">1444</t>
  </si>
  <si>
    <t xml:space="preserve">1445</t>
  </si>
  <si>
    <t xml:space="preserve">1446</t>
  </si>
  <si>
    <t xml:space="preserve">1447</t>
  </si>
  <si>
    <t xml:space="preserve">1448</t>
  </si>
  <si>
    <t xml:space="preserve">1449</t>
  </si>
  <si>
    <t xml:space="preserve">1450</t>
  </si>
  <si>
    <t xml:space="preserve">1452</t>
  </si>
  <si>
    <t xml:space="preserve">1453</t>
  </si>
  <si>
    <t xml:space="preserve">1454</t>
  </si>
  <si>
    <t xml:space="preserve">33110305</t>
  </si>
  <si>
    <t xml:space="preserve">NLG DECAL -NO CALL BACK - NLG R/H TYRE PRESSURE AND INFLATE TYRES DECAL MISSING</t>
  </si>
  <si>
    <t xml:space="preserve">1456</t>
  </si>
  <si>
    <t xml:space="preserve">33110972</t>
  </si>
  <si>
    <t xml:space="preserve">NLG-CALL-BACK. NLG ACTUATOR CYLINDER REQUIRE SEALANT.</t>
  </si>
  <si>
    <t xml:space="preserve">1457</t>
  </si>
  <si>
    <t xml:space="preserve">33111013</t>
  </si>
  <si>
    <t xml:space="preserve">NLG--CALL-BACK. NLG REQUIRE SEALANT.</t>
  </si>
  <si>
    <t xml:space="preserve">1459</t>
  </si>
  <si>
    <t xml:space="preserve">33112008</t>
  </si>
  <si>
    <t xml:space="preserve">LH WING MOVABLE FAIRING NO.3 --AV---NO CALLBACK LH WING MOVABLE FAIRING #3 (532CB) FOUND WITH DAMAGED STATIC DISCHARGE.</t>
  </si>
  <si>
    <t xml:space="preserve">1460</t>
  </si>
  <si>
    <t xml:space="preserve">1467</t>
  </si>
  <si>
    <t xml:space="preserve">1469</t>
  </si>
  <si>
    <t xml:space="preserve">1471</t>
  </si>
  <si>
    <t xml:space="preserve">52-13-15</t>
  </si>
  <si>
    <t xml:space="preserve">1472</t>
  </si>
  <si>
    <t xml:space="preserve">33118102</t>
  </si>
  <si>
    <t xml:space="preserve">ENG NO.1 RH FAN COWL. PNT NO CALL BACK ENG NO.1 RH FAN COWL INBD SIDE REQUIRE PRIMER.</t>
  </si>
  <si>
    <t xml:space="preserve">1473</t>
  </si>
  <si>
    <t xml:space="preserve">1474</t>
  </si>
  <si>
    <t xml:space="preserve">1475</t>
  </si>
  <si>
    <t xml:space="preserve">33119289</t>
  </si>
  <si>
    <t xml:space="preserve">FINDING (NRC) TASKCARD 215222-01-1 (3) / ITEM-1 AP--NOCALLBACK LEFT HAND PACK CONNECTION BETWEEN AIR CYCLE MACHINE AND PRIMARY HEAT EXCHANGER AND ACM TURBINE LINE WITH LEAK</t>
  </si>
  <si>
    <t xml:space="preserve">1476</t>
  </si>
  <si>
    <t xml:space="preserve">33119810</t>
  </si>
  <si>
    <t xml:space="preserve">191BT PEELED OFF PAINT - PNT - NO CALLBACK WING TO FUSELAGE PANEL # 191BT FOUND WITH PEELED OFF PAINT, REQUIRE PAINT.</t>
  </si>
  <si>
    <t xml:space="preserve">53-09</t>
  </si>
  <si>
    <t xml:space="preserve">1477</t>
  </si>
  <si>
    <t xml:space="preserve">33122442</t>
  </si>
  <si>
    <t xml:space="preserve">FADED IDENTIFICATION DECAL - PNT - NO CALL BACK FADED IDENTIFICATION DECAL ON LH/RH WING L/E PNL 522NB AND 621AB</t>
  </si>
  <si>
    <t xml:space="preserve">1478</t>
  </si>
  <si>
    <t xml:space="preserve">33122455</t>
  </si>
  <si>
    <t xml:space="preserve">CHIPPED OFF PAINT ON WING L/E PNLS - PNT- NO CALL BACK CHIPPED OFF PAINT ON WING L/E PNLS 522AB, 522UB, AND 622LB</t>
  </si>
  <si>
    <t xml:space="preserve">1479</t>
  </si>
  <si>
    <t xml:space="preserve">33126431</t>
  </si>
  <si>
    <t xml:space="preserve">MAIN BATT# 2 REQUIRED R/R  MAIN BATT #2 DUE TO BATTERY VOLTAGE FOUND LOW</t>
  </si>
  <si>
    <t xml:space="preserve">1480</t>
  </si>
  <si>
    <t xml:space="preserve">1481</t>
  </si>
  <si>
    <t xml:space="preserve">33126962</t>
  </si>
  <si>
    <t xml:space="preserve">LH WING TRAILING EDGE PANELS PAINT CHIPPED -- PNT -- NO CALL BACK LH WING TRAILING EDGE PANELS # 573BB AND 573AB FOUND WITH CHIPPED PAINT.</t>
  </si>
  <si>
    <t xml:space="preserve">57-32</t>
  </si>
  <si>
    <t xml:space="preserve">1483</t>
  </si>
  <si>
    <t xml:space="preserve">33127887</t>
  </si>
  <si>
    <t xml:space="preserve">S29-R10066/HYDRAULIC SYS FLUID SAMPLE ANALYSIS.</t>
  </si>
  <si>
    <t xml:space="preserve">1484</t>
  </si>
  <si>
    <t xml:space="preserve">33129454</t>
  </si>
  <si>
    <t xml:space="preserve">PANEL 344AT DETERIORATED DECAL---PNT---NO CALLBACK---- ELEVATOR PANEL NO (344AT) UPPER SURFACE HAS DETERIORATED DECAL REQ PNT ACTION</t>
  </si>
  <si>
    <t xml:space="preserve">1485</t>
  </si>
  <si>
    <t xml:space="preserve">1486</t>
  </si>
  <si>
    <t xml:space="preserve">1487</t>
  </si>
  <si>
    <t xml:space="preserve">33129977</t>
  </si>
  <si>
    <t xml:space="preserve">ELEVATOR PANELS UPPER SIDE WITH BROKEN SCREWS -SM--NO CALLBACK-- ELEVATOR UPPER/AFT SIDE PANELS  R/H SIDE ( 344AT, 344CT)   L/H SIDE ( 334AT, 334BT, 334CT, 334DT)   SCREWS HEAD BEEN CUT OFF , REMAINING SCREW SHANKS WITHIN CLIP NUTS.   REQ S/M ACTI...</t>
  </si>
  <si>
    <t xml:space="preserve">1488</t>
  </si>
  <si>
    <t xml:space="preserve">1491</t>
  </si>
  <si>
    <t xml:space="preserve">1493</t>
  </si>
  <si>
    <t xml:space="preserve">1497</t>
  </si>
  <si>
    <t xml:space="preserve">33151610</t>
  </si>
  <si>
    <t xml:space="preserve">ENGINE 1 STARTER SERVICING -- AP REFER TO TASKCARD: 801110-C3-1-001 STEP 1(7)</t>
  </si>
  <si>
    <t xml:space="preserve">1499</t>
  </si>
  <si>
    <t xml:space="preserve">1500</t>
  </si>
  <si>
    <t xml:space="preserve">1501</t>
  </si>
  <si>
    <t xml:space="preserve">33152727</t>
  </si>
  <si>
    <t xml:space="preserve">WING ROOT PANEL 192DT HAS BROKEN ANCHOR NUTS--SM--NO CALLBACK-- R/H WING ROOT PANEL 192DT HAS 2 BROKEN ANCHOR NUTS,  REQ S/M ACTION.</t>
  </si>
  <si>
    <t xml:space="preserve">1503</t>
  </si>
  <si>
    <t xml:space="preserve">33157310</t>
  </si>
  <si>
    <t xml:space="preserve">FINDING (NRC) TASKCARD DCC-32S (13) / ITEM ONE DURING DCC FOUND LAV D DOOR BOTH SIDE TEDLAR DAMAGED</t>
  </si>
  <si>
    <t xml:space="preserve">1504</t>
  </si>
  <si>
    <t xml:space="preserve">33157316</t>
  </si>
  <si>
    <t xml:space="preserve">FINDING (NRC) TASKCARD DCC-32S (13) / ITEM ONE DURING DCC FOUND CLOSET C201, C202, C203 TEDLAR DAMAGED</t>
  </si>
  <si>
    <t xml:space="preserve">1505</t>
  </si>
  <si>
    <t xml:space="preserve">33157427</t>
  </si>
  <si>
    <t xml:space="preserve">PNT - RH WING - 631AB - NO CALLBACK RH WING 631AB ACCESS PANEL FWD EDGE REQUIRES PAINT TOUCH UP AS PER INSP FINDING.</t>
  </si>
</sst>
</file>

<file path=xl/styles.xml><?xml version="1.0" encoding="utf-8"?>
<styleSheet xmlns="http://schemas.openxmlformats.org/spreadsheetml/2006/main">
  <numFmts count="13">
    <numFmt numFmtId="164" formatCode="General"/>
    <numFmt numFmtId="165" formatCode="dd\-mmm"/>
    <numFmt numFmtId="166" formatCode="yyyy\-mm\-dd\ h:mm:ss"/>
    <numFmt numFmtId="167" formatCode="0.0"/>
    <numFmt numFmtId="168" formatCode="dd\-mmm\-yyyy"/>
    <numFmt numFmtId="169" formatCode="General"/>
    <numFmt numFmtId="170" formatCode="0%"/>
    <numFmt numFmtId="171" formatCode=";;;"/>
    <numFmt numFmtId="172" formatCode="ddd&quot;  &quot;dd\-mmm"/>
    <numFmt numFmtId="173" formatCode="#,##0"/>
    <numFmt numFmtId="174" formatCode="0"/>
    <numFmt numFmtId="175" formatCode="d\-mmm"/>
    <numFmt numFmtId="176" formatCode="m/d/yyyy"/>
  </numFmts>
  <fonts count="108">
    <font>
      <sz val="11"/>
      <color theme="1"/>
      <name val="Calibri"/>
      <family val="2"/>
      <charset val="1"/>
    </font>
    <font>
      <sz val="10"/>
      <name val="Arial"/>
      <family val="0"/>
    </font>
    <font>
      <sz val="10"/>
      <name val="Arial"/>
      <family val="0"/>
    </font>
    <font>
      <sz val="10"/>
      <name val="Arial"/>
      <family val="0"/>
    </font>
    <font>
      <b val="true"/>
      <sz val="13"/>
      <color rgb="FFFFFFFF"/>
      <name val="Arial"/>
      <family val="2"/>
      <charset val="1"/>
    </font>
    <font>
      <b val="true"/>
      <i val="true"/>
      <sz val="28"/>
      <color rgb="FFFF0000"/>
      <name val="Calibri"/>
      <family val="2"/>
      <charset val="1"/>
    </font>
    <font>
      <b val="true"/>
      <sz val="16"/>
      <color rgb="FFFFFFFF"/>
      <name val="Calibri"/>
      <family val="0"/>
      <charset val="1"/>
    </font>
    <font>
      <b val="true"/>
      <sz val="12"/>
      <color rgb="FFFF0000"/>
      <name val="Calibri"/>
      <family val="0"/>
      <charset val="1"/>
    </font>
    <font>
      <b val="true"/>
      <sz val="11"/>
      <color rgb="FFB71C1C"/>
      <name val="Calibri"/>
      <family val="0"/>
      <charset val="1"/>
    </font>
    <font>
      <b val="true"/>
      <sz val="12"/>
      <color rgb="FFFFFFFF"/>
      <name val="Arial"/>
      <family val="2"/>
      <charset val="1"/>
    </font>
    <font>
      <b val="true"/>
      <sz val="9"/>
      <color rgb="FFFFFFFF"/>
      <name val="Arial"/>
      <family val="2"/>
      <charset val="1"/>
    </font>
    <font>
      <sz val="12"/>
      <color theme="1"/>
      <name val="Calibri"/>
      <family val="2"/>
      <charset val="1"/>
    </font>
    <font>
      <b val="true"/>
      <sz val="12"/>
      <color rgb="FF1A237E"/>
      <name val="Arial"/>
      <family val="2"/>
      <charset val="1"/>
    </font>
    <font>
      <sz val="12"/>
      <name val="Arial"/>
      <family val="2"/>
      <charset val="1"/>
    </font>
    <font>
      <b val="true"/>
      <sz val="10"/>
      <name val="Arial"/>
      <family val="2"/>
      <charset val="1"/>
    </font>
    <font>
      <b val="true"/>
      <sz val="12"/>
      <name val="Arial"/>
      <family val="2"/>
      <charset val="1"/>
    </font>
    <font>
      <b val="true"/>
      <sz val="9"/>
      <name val="Arial"/>
      <family val="2"/>
      <charset val="1"/>
    </font>
    <font>
      <b val="true"/>
      <sz val="12"/>
      <color rgb="FF1B5E20"/>
      <name val="Arial"/>
      <family val="0"/>
      <charset val="1"/>
    </font>
    <font>
      <sz val="10"/>
      <color rgb="FF607D8B"/>
      <name val="Arial"/>
      <family val="0"/>
      <charset val="1"/>
    </font>
    <font>
      <b val="true"/>
      <sz val="10"/>
      <color rgb="FF000000"/>
      <name val="Arial"/>
      <family val="0"/>
      <charset val="1"/>
    </font>
    <font>
      <b val="true"/>
      <sz val="12"/>
      <color rgb="FFFFFFFF"/>
      <name val="Arial"/>
      <family val="0"/>
      <charset val="1"/>
    </font>
    <font>
      <b val="true"/>
      <sz val="13"/>
      <color rgb="FFFFE9A8"/>
      <name val="Arial"/>
      <family val="0"/>
      <charset val="1"/>
    </font>
    <font>
      <b val="true"/>
      <sz val="9"/>
      <color rgb="FF777777"/>
      <name val="Arial"/>
      <family val="0"/>
      <charset val="1"/>
    </font>
    <font>
      <b val="true"/>
      <sz val="10"/>
      <name val="Arial"/>
      <family val="0"/>
      <charset val="1"/>
    </font>
    <font>
      <b val="true"/>
      <sz val="10"/>
      <color rgb="FF333333"/>
      <name val="Arial"/>
      <family val="0"/>
      <charset val="1"/>
    </font>
    <font>
      <b val="true"/>
      <sz val="8"/>
      <color rgb="FF666666"/>
      <name val="Arial"/>
      <family val="0"/>
      <charset val="1"/>
    </font>
    <font>
      <b val="true"/>
      <sz val="8"/>
      <color rgb="FF8C1D18"/>
      <name val="Calibri"/>
      <family val="0"/>
      <charset val="1"/>
    </font>
    <font>
      <b val="true"/>
      <sz val="8"/>
      <color rgb="FF7A5200"/>
      <name val="Calibri"/>
      <family val="0"/>
      <charset val="1"/>
    </font>
    <font>
      <b val="true"/>
      <sz val="8"/>
      <color rgb="FFFFFFFF"/>
      <name val="Arial"/>
      <family val="0"/>
      <charset val="1"/>
    </font>
    <font>
      <b val="true"/>
      <sz val="20"/>
      <color rgb="FF1A237E"/>
      <name val="Arial"/>
      <family val="0"/>
      <charset val="1"/>
    </font>
    <font>
      <b val="true"/>
      <sz val="20"/>
      <color rgb="FF1B5E20"/>
      <name val="Arial"/>
      <family val="0"/>
      <charset val="1"/>
    </font>
    <font>
      <b val="true"/>
      <sz val="20"/>
      <color rgb="FFB45309"/>
      <name val="Arial"/>
      <family val="0"/>
      <charset val="1"/>
    </font>
    <font>
      <b val="true"/>
      <sz val="20"/>
      <color rgb="FF00695C"/>
      <name val="Arial"/>
      <family val="0"/>
      <charset val="1"/>
    </font>
    <font>
      <b val="true"/>
      <sz val="20"/>
      <color rgb="FFB3261E"/>
      <name val="Calibri"/>
      <family val="0"/>
      <charset val="1"/>
    </font>
    <font>
      <b val="true"/>
      <sz val="20"/>
      <color rgb="FF9A6700"/>
      <name val="Calibri"/>
      <family val="0"/>
      <charset val="1"/>
    </font>
    <font>
      <b val="true"/>
      <sz val="22"/>
      <color rgb="FFFFFFFF"/>
      <name val="Arial"/>
      <family val="0"/>
      <charset val="1"/>
    </font>
    <font>
      <b val="true"/>
      <sz val="20"/>
      <color rgb="FFB71C1C"/>
      <name val="Arial"/>
      <family val="0"/>
      <charset val="1"/>
    </font>
    <font>
      <b val="true"/>
      <sz val="9"/>
      <color rgb="FFFFFFFF"/>
      <name val="Arial"/>
      <family val="0"/>
      <charset val="1"/>
    </font>
    <font>
      <b val="true"/>
      <sz val="11.5"/>
      <color rgb="FFFFE9A8"/>
      <name val="Arial"/>
      <family val="0"/>
      <charset val="1"/>
    </font>
    <font>
      <b val="true"/>
      <sz val="9.5"/>
      <color rgb="FF3730A3"/>
      <name val="Arial"/>
      <family val="0"/>
      <charset val="1"/>
    </font>
    <font>
      <b val="true"/>
      <sz val="9.5"/>
      <color rgb="FF8A6D00"/>
      <name val="Arial"/>
      <family val="0"/>
      <charset val="1"/>
    </font>
    <font>
      <b val="true"/>
      <sz val="9.5"/>
      <color rgb="FF0C4A6E"/>
      <name val="Arial"/>
      <family val="0"/>
      <charset val="1"/>
    </font>
    <font>
      <b val="true"/>
      <sz val="9.5"/>
      <color rgb="FF880E4F"/>
      <name val="Arial"/>
      <family val="0"/>
      <charset val="1"/>
    </font>
    <font>
      <b val="true"/>
      <sz val="8"/>
      <color rgb="FF999999"/>
      <name val="Arial"/>
      <family val="0"/>
      <charset val="1"/>
    </font>
    <font>
      <b val="true"/>
      <sz val="9.5"/>
      <color rgb="FF1A237E"/>
      <name val="Arial"/>
      <family val="0"/>
      <charset val="1"/>
    </font>
    <font>
      <sz val="9.5"/>
      <name val="Arial"/>
      <family val="0"/>
      <charset val="1"/>
    </font>
    <font>
      <sz val="9.5"/>
      <color rgb="FF777777"/>
      <name val="Arial"/>
      <family val="0"/>
      <charset val="1"/>
    </font>
    <font>
      <b val="true"/>
      <sz val="9.5"/>
      <color rgb="FF6D28D9"/>
      <name val="Arial"/>
      <family val="0"/>
      <charset val="1"/>
    </font>
    <font>
      <b val="true"/>
      <sz val="9.5"/>
      <color rgb="FFB45309"/>
      <name val="Arial"/>
      <family val="0"/>
      <charset val="1"/>
    </font>
    <font>
      <b val="true"/>
      <sz val="9.5"/>
      <color rgb="FF1B5E20"/>
      <name val="Arial"/>
      <family val="0"/>
      <charset val="1"/>
    </font>
    <font>
      <b val="true"/>
      <sz val="9.5"/>
      <color rgb="FFE65100"/>
      <name val="Arial"/>
      <family val="0"/>
      <charset val="1"/>
    </font>
    <font>
      <b val="true"/>
      <sz val="9.5"/>
      <color rgb="FF1565C0"/>
      <name val="Arial"/>
      <family val="0"/>
      <charset val="1"/>
    </font>
    <font>
      <b val="true"/>
      <sz val="9.5"/>
      <color rgb="FF5E35B1"/>
      <name val="Arial"/>
      <family val="0"/>
      <charset val="1"/>
    </font>
    <font>
      <b val="true"/>
      <sz val="9.5"/>
      <color rgb="FFC2185B"/>
      <name val="Arial"/>
      <family val="0"/>
      <charset val="1"/>
    </font>
    <font>
      <b val="true"/>
      <sz val="9.5"/>
      <color rgb="FFA16207"/>
      <name val="Arial"/>
      <family val="0"/>
      <charset val="1"/>
    </font>
    <font>
      <b val="true"/>
      <sz val="9.5"/>
      <color rgb="FF558B2F"/>
      <name val="Arial"/>
      <family val="0"/>
      <charset val="1"/>
    </font>
    <font>
      <b val="true"/>
      <sz val="9.5"/>
      <color rgb="FF0E7490"/>
      <name val="Arial"/>
      <family val="0"/>
      <charset val="1"/>
    </font>
    <font>
      <b val="true"/>
      <sz val="9.5"/>
      <color rgb="FF455A64"/>
      <name val="Arial"/>
      <family val="0"/>
      <charset val="1"/>
    </font>
    <font>
      <b val="true"/>
      <sz val="9.5"/>
      <color rgb="FFC62828"/>
      <name val="Arial"/>
      <family val="0"/>
      <charset val="1"/>
    </font>
    <font>
      <b val="true"/>
      <sz val="9.5"/>
      <color rgb="FF7C3AED"/>
      <name val="Arial"/>
      <family val="0"/>
      <charset val="1"/>
    </font>
    <font>
      <b val="true"/>
      <sz val="9.5"/>
      <color rgb="FF334155"/>
      <name val="Arial"/>
      <family val="0"/>
      <charset val="1"/>
    </font>
    <font>
      <b val="true"/>
      <sz val="8"/>
      <color rgb="FFD9EDE1"/>
      <name val="Arial"/>
      <family val="0"/>
      <charset val="1"/>
    </font>
    <font>
      <b val="true"/>
      <sz val="8.5"/>
      <color rgb="FFFFE9A8"/>
      <name val="Arial"/>
      <family val="0"/>
      <charset val="1"/>
    </font>
    <font>
      <sz val="9"/>
      <color rgb="FF666666"/>
      <name val="Arial"/>
      <family val="0"/>
      <charset val="1"/>
    </font>
    <font>
      <b val="true"/>
      <sz val="9"/>
      <name val="Arial"/>
      <family val="0"/>
      <charset val="1"/>
    </font>
    <font>
      <b val="true"/>
      <sz val="9.5"/>
      <color rgb="FF444444"/>
      <name val="Arial"/>
      <family val="0"/>
      <charset val="1"/>
    </font>
    <font>
      <b val="true"/>
      <sz val="9.5"/>
      <color rgb="FF004D40"/>
      <name val="Arial"/>
      <family val="0"/>
      <charset val="1"/>
    </font>
    <font>
      <b val="true"/>
      <sz val="9.5"/>
      <color rgb="FF1A3C6E"/>
      <name val="Arial"/>
      <family val="0"/>
      <charset val="1"/>
    </font>
    <font>
      <b val="true"/>
      <sz val="8"/>
      <color rgb="FFDDE7E1"/>
      <name val="Arial"/>
      <family val="0"/>
      <charset val="1"/>
    </font>
    <font>
      <b val="true"/>
      <sz val="9.5"/>
      <color rgb="FF37474F"/>
      <name val="Arial"/>
      <family val="0"/>
      <charset val="1"/>
    </font>
    <font>
      <b val="true"/>
      <sz val="8"/>
      <color rgb="FF64748B"/>
      <name val="Arial"/>
      <family val="0"/>
      <charset val="1"/>
    </font>
    <font>
      <b val="true"/>
      <sz val="15"/>
      <color rgb="FF1A3C6E"/>
      <name val="Arial"/>
      <family val="0"/>
      <charset val="1"/>
    </font>
    <font>
      <b val="true"/>
      <sz val="8"/>
      <color rgb="FF8899A6"/>
      <name val="Arial"/>
      <family val="0"/>
      <charset val="1"/>
    </font>
    <font>
      <b val="true"/>
      <sz val="9"/>
      <color rgb="FF2C3E50"/>
      <name val="Arial"/>
      <family val="0"/>
      <charset val="1"/>
    </font>
    <font>
      <sz val="9"/>
      <color rgb="FF2C3E50"/>
      <name val="Arial"/>
      <family val="0"/>
      <charset val="1"/>
    </font>
    <font>
      <b val="true"/>
      <sz val="8.5"/>
      <color rgb="FF7A1F1F"/>
      <name val="Arial"/>
      <family val="0"/>
      <charset val="1"/>
    </font>
    <font>
      <sz val="8.5"/>
      <color rgb="FF444444"/>
      <name val="Arial"/>
      <family val="0"/>
      <charset val="1"/>
    </font>
    <font>
      <b val="true"/>
      <sz val="13"/>
      <color rgb="FFFFFFFF"/>
      <name val="Calibri"/>
      <family val="0"/>
      <charset val="1"/>
    </font>
    <font>
      <b val="true"/>
      <sz val="10.5"/>
      <color rgb="FF8C1D18"/>
      <name val="Calibri"/>
      <family val="0"/>
      <charset val="1"/>
    </font>
    <font>
      <b val="true"/>
      <sz val="9.5"/>
      <color rgb="FFFFFFFF"/>
      <name val="Calibri"/>
      <family val="0"/>
      <charset val="1"/>
    </font>
    <font>
      <sz val="9.5"/>
      <name val="Calibri"/>
      <family val="0"/>
      <charset val="1"/>
    </font>
    <font>
      <b val="true"/>
      <sz val="14"/>
      <color rgb="FF026938"/>
      <name val="Arial"/>
      <family val="0"/>
      <charset val="1"/>
    </font>
    <font>
      <b val="true"/>
      <sz val="14"/>
      <color rgb="FFFFFFFF"/>
      <name val="Arial"/>
      <family val="2"/>
      <charset val="1"/>
    </font>
    <font>
      <b val="true"/>
      <sz val="10"/>
      <color rgb="FFFFFFFF"/>
      <name val="Arial"/>
      <family val="0"/>
      <charset val="1"/>
    </font>
    <font>
      <b val="true"/>
      <sz val="7"/>
      <color rgb="FFFFFFFF"/>
      <name val="Arial"/>
      <family val="0"/>
      <charset val="1"/>
    </font>
    <font>
      <b val="true"/>
      <sz val="7"/>
      <color rgb="FF1B5E20"/>
      <name val="Arial"/>
      <family val="0"/>
      <charset val="1"/>
    </font>
    <font>
      <b val="true"/>
      <sz val="6.5"/>
      <color rgb="FF1B5E20"/>
      <name val="Arial"/>
      <family val="0"/>
      <charset val="1"/>
    </font>
    <font>
      <b val="true"/>
      <sz val="6.5"/>
      <color rgb="FF6B7280"/>
      <name val="Arial"/>
      <family val="0"/>
      <charset val="1"/>
    </font>
    <font>
      <b val="true"/>
      <sz val="6.5"/>
      <color rgb="FF3730A3"/>
      <name val="Arial"/>
      <family val="0"/>
      <charset val="1"/>
    </font>
    <font>
      <b val="true"/>
      <sz val="6.5"/>
      <color rgb="FFFFFFFF"/>
      <name val="Arial"/>
      <family val="0"/>
      <charset val="1"/>
    </font>
    <font>
      <sz val="9"/>
      <color rgb="FF333333"/>
      <name val="Arial"/>
      <family val="0"/>
      <charset val="1"/>
    </font>
    <font>
      <b val="true"/>
      <sz val="9"/>
      <color rgb="FFB71C1C"/>
      <name val="Arial"/>
      <family val="0"/>
      <charset val="1"/>
    </font>
    <font>
      <b val="true"/>
      <sz val="9"/>
      <color rgb="FFFFFFFF"/>
      <name val="Calibri"/>
      <family val="0"/>
      <charset val="1"/>
    </font>
    <font>
      <sz val="9"/>
      <color rgb="FF444444"/>
      <name val="Arial"/>
      <family val="0"/>
      <charset val="1"/>
    </font>
    <font>
      <b val="true"/>
      <sz val="9"/>
      <color rgb="FF026938"/>
      <name val="Arial"/>
      <family val="0"/>
      <charset val="1"/>
    </font>
    <font>
      <sz val="1"/>
      <color rgb="FFFFFFFF"/>
      <name val="Arial"/>
      <family val="0"/>
      <charset val="1"/>
    </font>
    <font>
      <i val="true"/>
      <sz val="9"/>
      <color rgb="FFC62828"/>
      <name val="Arial"/>
      <family val="2"/>
      <charset val="1"/>
    </font>
    <font>
      <sz val="9"/>
      <color rgb="FFAAAAAA"/>
      <name val="Arial"/>
      <family val="2"/>
      <charset val="1"/>
    </font>
    <font>
      <sz val="10"/>
      <name val="Arial"/>
      <family val="2"/>
      <charset val="1"/>
    </font>
    <font>
      <u val="single"/>
      <sz val="9"/>
      <color rgb="FF0563C1"/>
      <name val="Arial"/>
      <family val="0"/>
      <charset val="1"/>
    </font>
    <font>
      <b val="true"/>
      <sz val="10"/>
      <color rgb="FFC62828"/>
      <name val="Arial"/>
      <family val="2"/>
      <charset val="1"/>
    </font>
    <font>
      <sz val="12"/>
      <color rgb="FF000000"/>
      <name val="Calibri"/>
      <family val="0"/>
      <charset val="1"/>
    </font>
    <font>
      <b val="true"/>
      <sz val="13"/>
      <color rgb="FFFFFFFF"/>
      <name val="Arial"/>
      <family val="0"/>
      <charset val="1"/>
    </font>
    <font>
      <b val="true"/>
      <sz val="16"/>
      <color rgb="FFFFFFFF"/>
      <name val="Arial"/>
      <family val="0"/>
      <charset val="1"/>
    </font>
    <font>
      <b val="true"/>
      <sz val="11"/>
      <color rgb="FF555555"/>
      <name val="Arial"/>
      <family val="0"/>
      <charset val="1"/>
    </font>
    <font>
      <b val="true"/>
      <sz val="12"/>
      <color rgb="FF1A237E"/>
      <name val="Arial"/>
      <family val="0"/>
      <charset val="1"/>
    </font>
    <font>
      <sz val="12"/>
      <name val="Arial"/>
      <family val="0"/>
      <charset val="1"/>
    </font>
    <font>
      <sz val="9"/>
      <name val="Arial"/>
      <family val="0"/>
      <charset val="1"/>
    </font>
  </fonts>
  <fills count="43">
    <fill>
      <patternFill patternType="none"/>
    </fill>
    <fill>
      <patternFill patternType="gray125"/>
    </fill>
    <fill>
      <patternFill patternType="solid">
        <fgColor rgb="FF006937"/>
        <bgColor rgb="FF026938"/>
      </patternFill>
    </fill>
    <fill>
      <patternFill patternType="solid">
        <fgColor rgb="FFFFFF00"/>
        <bgColor rgb="FFFFE6AE"/>
      </patternFill>
    </fill>
    <fill>
      <patternFill patternType="solid">
        <fgColor rgb="FF1D7D3D"/>
        <bgColor rgb="FF026938"/>
      </patternFill>
    </fill>
    <fill>
      <patternFill patternType="solid">
        <fgColor rgb="FFFFCDD0"/>
        <bgColor rgb="FFE4D1D1"/>
      </patternFill>
    </fill>
    <fill>
      <patternFill patternType="solid">
        <fgColor rgb="FF026938"/>
        <bgColor rgb="FF006937"/>
      </patternFill>
    </fill>
    <fill>
      <patternFill patternType="darkGray">
        <fgColor rgb="FF08582F"/>
        <bgColor rgb="FF1C5F20"/>
      </patternFill>
    </fill>
    <fill>
      <patternFill patternType="solid">
        <fgColor rgb="FFFFFDEA"/>
        <bgColor rgb="FFFFF9F2"/>
      </patternFill>
    </fill>
    <fill>
      <patternFill patternType="solid">
        <fgColor rgb="FFEDEAF9"/>
        <bgColor rgb="FFF3E8FF"/>
      </patternFill>
    </fill>
    <fill>
      <patternFill patternType="solid">
        <fgColor rgb="FFE8F5ED"/>
        <bgColor rgb="FFE0F2F1"/>
      </patternFill>
    </fill>
    <fill>
      <patternFill patternType="solid">
        <fgColor rgb="FFFFF3E0"/>
        <bgColor rgb="FFFFF8E6"/>
      </patternFill>
    </fill>
    <fill>
      <patternFill patternType="solid">
        <fgColor rgb="FFE0F2F1"/>
        <bgColor rgb="FFE3F3FD"/>
      </patternFill>
    </fill>
    <fill>
      <patternFill patternType="solid">
        <fgColor rgb="FFFDECEA"/>
        <bgColor rgb="FFFFEBEE"/>
      </patternFill>
    </fill>
    <fill>
      <patternFill patternType="solid">
        <fgColor rgb="FFFFF8E6"/>
        <bgColor rgb="FFFFFDEA"/>
      </patternFill>
    </fill>
    <fill>
      <patternFill patternType="solid">
        <fgColor rgb="FFDFE9FF"/>
        <bgColor rgb="FFEDEAF9"/>
      </patternFill>
    </fill>
    <fill>
      <patternFill patternType="solid">
        <fgColor rgb="FFE3F3FD"/>
        <bgColor rgb="FFE4F5FE"/>
      </patternFill>
    </fill>
    <fill>
      <patternFill patternType="solid">
        <fgColor rgb="FFFCE4EC"/>
        <bgColor rgb="FFFDE9E8"/>
      </patternFill>
    </fill>
    <fill>
      <patternFill patternType="solid">
        <fgColor rgb="FFDFE9FF"/>
        <bgColor rgb="FFE0F2F1"/>
      </patternFill>
    </fill>
    <fill>
      <patternFill patternType="solid">
        <fgColor rgb="FFF3E8FF"/>
        <bgColor rgb="FFEDEAF9"/>
      </patternFill>
    </fill>
    <fill>
      <patternFill patternType="solid">
        <fgColor rgb="FFFFF3CB"/>
        <bgColor rgb="FFFFF3E0"/>
      </patternFill>
    </fill>
    <fill>
      <patternFill patternType="darkGray">
        <fgColor rgb="FFE4F5FE"/>
        <bgColor rgb="FFE3F3FD"/>
      </patternFill>
    </fill>
    <fill>
      <patternFill patternType="darkGray">
        <fgColor rgb="FFEDEAF9"/>
        <bgColor rgb="FFF3E8FF"/>
      </patternFill>
    </fill>
    <fill>
      <patternFill patternType="solid">
        <fgColor rgb="FFF1F7F2"/>
        <bgColor rgb="FFF5F7F5"/>
      </patternFill>
    </fill>
    <fill>
      <patternFill patternType="solid">
        <fgColor rgb="FFD1FAF8"/>
        <bgColor rgb="FFE0F2F1"/>
      </patternFill>
    </fill>
    <fill>
      <patternFill patternType="solid">
        <fgColor rgb="FFEFEFF1"/>
        <bgColor rgb="FFEDEAF9"/>
      </patternFill>
    </fill>
    <fill>
      <patternFill patternType="solid">
        <fgColor rgb="FFFFEBEE"/>
        <bgColor rgb="FFFDECEA"/>
      </patternFill>
    </fill>
    <fill>
      <patternFill patternType="solid">
        <fgColor rgb="FFF3F8FA"/>
        <bgColor rgb="FFF4F7F8"/>
      </patternFill>
    </fill>
    <fill>
      <patternFill patternType="darkGray">
        <fgColor rgb="FFF6FBF8"/>
        <bgColor rgb="FFF3F8FA"/>
      </patternFill>
    </fill>
    <fill>
      <patternFill patternType="darkGray">
        <fgColor rgb="FF0F3D7A"/>
        <bgColor rgb="FF21268F"/>
      </patternFill>
    </fill>
    <fill>
      <patternFill patternType="lightGray">
        <fgColor rgb="FFF3F8FA"/>
        <bgColor rgb="FFF4F7F8"/>
      </patternFill>
    </fill>
    <fill>
      <patternFill patternType="solid">
        <fgColor rgb="FFF9F9FE"/>
        <bgColor rgb="FFFAFBFA"/>
      </patternFill>
    </fill>
    <fill>
      <patternFill patternType="darkGray">
        <fgColor rgb="FFF3F8FA"/>
        <bgColor rgb="FFF4F7F8"/>
      </patternFill>
    </fill>
    <fill>
      <patternFill patternType="darkGray">
        <fgColor rgb="FF34393D"/>
        <bgColor rgb="FF0F3D7A"/>
      </patternFill>
    </fill>
    <fill>
      <patternFill patternType="solid">
        <fgColor rgb="FF8B121D"/>
        <bgColor rgb="FFB3261E"/>
      </patternFill>
    </fill>
    <fill>
      <patternFill patternType="darkGray">
        <fgColor rgb="FF8B121D"/>
        <bgColor rgb="FFB3261E"/>
      </patternFill>
    </fill>
    <fill>
      <patternFill patternType="solid">
        <fgColor rgb="FFB3261E"/>
        <bgColor rgb="FFC52A12"/>
      </patternFill>
    </fill>
    <fill>
      <patternFill patternType="darkGray">
        <fgColor rgb="FFF6FBF8"/>
        <bgColor rgb="FFF3F8FA"/>
      </patternFill>
    </fill>
    <fill>
      <patternFill patternType="solid">
        <fgColor rgb="FFF4F7F8"/>
        <bgColor rgb="FFF5F7F5"/>
      </patternFill>
    </fill>
    <fill>
      <patternFill patternType="darkGray">
        <fgColor rgb="FFF5F7F5"/>
        <bgColor rgb="FFF4F7F8"/>
      </patternFill>
    </fill>
    <fill>
      <patternFill patternType="solid">
        <fgColor rgb="FFFFFFFF"/>
        <bgColor rgb="FFFAFBFA"/>
      </patternFill>
    </fill>
    <fill>
      <patternFill patternType="solid">
        <fgColor rgb="FFC52A12"/>
        <bgColor rgb="FFB3261E"/>
      </patternFill>
    </fill>
    <fill>
      <patternFill patternType="solid">
        <fgColor rgb="FF617179"/>
        <bgColor rgb="FF1D7D3D"/>
      </patternFill>
    </fill>
  </fills>
  <borders count="27">
    <border diagonalUp="false" diagonalDown="false">
      <left/>
      <right/>
      <top/>
      <bottom/>
      <diagonal/>
    </border>
    <border diagonalUp="false" diagonalDown="false">
      <left/>
      <right/>
      <top/>
      <bottom style="thin">
        <color rgb="FFDDDDDD"/>
      </bottom>
      <diagonal/>
    </border>
    <border diagonalUp="false" diagonalDown="false">
      <left/>
      <right/>
      <top/>
      <bottom style="thin">
        <color rgb="FF969C9E"/>
      </bottom>
      <diagonal/>
    </border>
    <border diagonalUp="false" diagonalDown="false">
      <left style="thin">
        <color rgb="FFDDDDDD"/>
      </left>
      <right/>
      <top style="thin">
        <color rgb="FFDDDDDD"/>
      </top>
      <bottom style="thin">
        <color rgb="FF969C9E"/>
      </bottom>
      <diagonal/>
    </border>
    <border diagonalUp="false" diagonalDown="false">
      <left style="thin">
        <color rgb="FFE4D1D1"/>
      </left>
      <right/>
      <top/>
      <bottom style="thin">
        <color rgb="FF969C9E"/>
      </bottom>
      <diagonal/>
    </border>
    <border diagonalUp="false" diagonalDown="false">
      <left style="thin">
        <color rgb="FF969C9E"/>
      </left>
      <right style="thin">
        <color rgb="FF969C9E"/>
      </right>
      <top style="thin">
        <color rgb="FF969C9E"/>
      </top>
      <bottom style="medium">
        <color rgb="FF006937"/>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color rgb="FFDDDDDD"/>
      </left>
      <right/>
      <top/>
      <bottom/>
      <diagonal/>
    </border>
    <border diagonalUp="false" diagonalDown="false">
      <left style="thin">
        <color rgb="FF969C9E"/>
      </left>
      <right style="thin">
        <color rgb="FF969C9E"/>
      </right>
      <top style="thin">
        <color rgb="FF969C9E"/>
      </top>
      <bottom style="thin">
        <color rgb="FF969C9E"/>
      </bottom>
      <diagonal/>
    </border>
    <border diagonalUp="false" diagonalDown="false">
      <left style="thin">
        <color rgb="FFDDE3DF"/>
      </left>
      <right style="thin">
        <color rgb="FFDDE3DF"/>
      </right>
      <top style="thin">
        <color rgb="FFDDE3DF"/>
      </top>
      <bottom style="thin">
        <color rgb="FFDDE3DF"/>
      </bottom>
      <diagonal/>
    </border>
    <border diagonalUp="false" diagonalDown="false">
      <left style="thin">
        <color rgb="FFC5DFF4"/>
      </left>
      <right style="thin">
        <color rgb="FFC5DFF4"/>
      </right>
      <top style="thin">
        <color rgb="FFC5DFF4"/>
      </top>
      <bottom style="thin">
        <color rgb="FFC5DFF4"/>
      </bottom>
      <diagonal/>
    </border>
    <border diagonalUp="false" diagonalDown="false">
      <left style="thin">
        <color rgb="FFE4D1D1"/>
      </left>
      <right style="thin">
        <color rgb="FFE4D1D1"/>
      </right>
      <top style="thin">
        <color rgb="FFE4D1D1"/>
      </top>
      <bottom style="thin">
        <color rgb="FFE4D1D1"/>
      </bottom>
      <diagonal/>
    </border>
    <border diagonalUp="false" diagonalDown="false">
      <left/>
      <right/>
      <top/>
      <bottom style="thin">
        <color rgb="FFE4D1D1"/>
      </bottom>
      <diagonal/>
    </border>
    <border diagonalUp="false" diagonalDown="false">
      <left style="thin">
        <color rgb="FFBABCBB"/>
      </left>
      <right/>
      <top/>
      <bottom/>
      <diagonal/>
    </border>
    <border diagonalUp="false" diagonalDown="false">
      <left/>
      <right/>
      <top style="thin">
        <color rgb="FF969C9E"/>
      </top>
      <bottom style="thin">
        <color rgb="FF969C9E"/>
      </bottom>
      <diagonal/>
    </border>
    <border diagonalUp="false" diagonalDown="false">
      <left/>
      <right style="thin">
        <color rgb="FF969C9E"/>
      </right>
      <top style="thin">
        <color rgb="FF969C9E"/>
      </top>
      <bottom style="thin">
        <color rgb="FF969C9E"/>
      </bottom>
      <diagonal/>
    </border>
    <border diagonalUp="false" diagonalDown="false">
      <left style="thin">
        <color rgb="FF969C9E"/>
      </left>
      <right/>
      <top style="thin">
        <color rgb="FF969C9E"/>
      </top>
      <bottom style="thin">
        <color rgb="FF969C9E"/>
      </bottom>
      <diagonal/>
    </border>
    <border diagonalUp="false" diagonalDown="false">
      <left style="thin">
        <color rgb="FFBABCBB"/>
      </left>
      <right style="thin">
        <color rgb="FFBABCBB"/>
      </right>
      <top style="thin">
        <color rgb="FFBABCBB"/>
      </top>
      <bottom style="thin">
        <color rgb="FFBABCBB"/>
      </bottom>
      <diagonal/>
    </border>
    <border diagonalUp="false" diagonalDown="false">
      <left/>
      <right style="dashed">
        <color rgb="FF34393D"/>
      </right>
      <top/>
      <bottom/>
      <diagonal/>
    </border>
    <border diagonalUp="false" diagonalDown="false">
      <left style="dashed">
        <color rgb="FF34393D"/>
      </left>
      <right/>
      <top/>
      <bottom/>
      <diagonal/>
    </border>
    <border diagonalUp="false" diagonalDown="false">
      <left style="thin">
        <color rgb="FFBABCBB"/>
      </left>
      <right style="thin">
        <color rgb="FFBABCBB"/>
      </right>
      <top style="thin">
        <color rgb="FFBABCBB"/>
      </top>
      <bottom style="medium">
        <color rgb="FF1D7D3D"/>
      </bottom>
      <diagonal/>
    </border>
    <border diagonalUp="false" diagonalDown="false">
      <left/>
      <right/>
      <top/>
      <bottom style="medium">
        <color rgb="FF1D7D3D"/>
      </bottom>
      <diagonal/>
    </border>
    <border diagonalUp="false" diagonalDown="false">
      <left/>
      <right style="dashed">
        <color rgb="FF34393D"/>
      </right>
      <top/>
      <bottom style="medium">
        <color rgb="FF1D7D3D"/>
      </bottom>
      <diagonal/>
    </border>
    <border diagonalUp="false" diagonalDown="false">
      <left style="medium">
        <color rgb="FF969C9E"/>
      </left>
      <right style="medium">
        <color rgb="FF969C9E"/>
      </right>
      <top style="medium">
        <color rgb="FF969C9E"/>
      </top>
      <bottom style="medium">
        <color rgb="FF969C9E"/>
      </bottom>
      <diagonal/>
    </border>
    <border diagonalUp="false" diagonalDown="false">
      <left/>
      <right style="thin">
        <color rgb="FFDDDDDD"/>
      </right>
      <top style="thin">
        <color rgb="FFDDDDDD"/>
      </top>
      <bottom style="thin">
        <color rgb="FFDDDDDD"/>
      </bottom>
      <diagonal/>
    </border>
    <border diagonalUp="false" diagonalDown="false">
      <left style="thin">
        <color rgb="FFDDDDDD"/>
      </left>
      <right style="thin">
        <color rgb="FFDDDDDD"/>
      </right>
      <top/>
      <bottom style="thin">
        <color rgb="FFDDDDDD"/>
      </bottom>
      <diagonal/>
    </border>
    <border diagonalUp="false" diagonalDown="false">
      <left/>
      <right style="thin">
        <color rgb="FFDDDDDD"/>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0" borderId="3" xfId="0" applyFont="true" applyBorder="true" applyAlignment="true" applyProtection="false">
      <alignment horizontal="left" vertical="center" textRotation="0" wrapText="false" indent="0" shrinkToFit="false"/>
      <protection locked="true" hidden="false"/>
    </xf>
    <xf numFmtId="164" fontId="8" fillId="5" borderId="4" xfId="0" applyFont="true" applyBorder="true" applyAlignment="true" applyProtection="false">
      <alignment horizontal="center" vertical="center" textRotation="0" wrapText="false" indent="0" shrinkToFit="false"/>
      <protection locked="true" hidden="false"/>
    </xf>
    <xf numFmtId="164" fontId="9" fillId="4" borderId="5" xfId="0" applyFont="true" applyBorder="true" applyAlignment="true" applyProtection="false">
      <alignment horizontal="center" vertical="center" textRotation="0" wrapText="true" indent="0" shrinkToFit="false"/>
      <protection locked="true" hidden="false"/>
    </xf>
    <xf numFmtId="164" fontId="10" fillId="4" borderId="5"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6" xfId="0" applyFont="true" applyBorder="true" applyAlignment="true" applyProtection="false">
      <alignment horizontal="left" vertical="center" textRotation="0" wrapText="false" indent="0" shrinkToFit="false"/>
      <protection locked="true" hidden="false"/>
    </xf>
    <xf numFmtId="164" fontId="13" fillId="0" borderId="6" xfId="0" applyFont="true" applyBorder="true" applyAlignment="true" applyProtection="false">
      <alignment horizontal="left" vertical="center" textRotation="0" wrapText="true" indent="0" shrinkToFit="false"/>
      <protection locked="true" hidden="false"/>
    </xf>
    <xf numFmtId="164" fontId="13" fillId="0" borderId="6" xfId="0" applyFont="true" applyBorder="true" applyAlignment="true" applyProtection="false">
      <alignment horizontal="left" vertical="center" textRotation="0" wrapText="false" indent="0" shrinkToFit="false"/>
      <protection locked="true" hidden="false"/>
    </xf>
    <xf numFmtId="164" fontId="14" fillId="0" borderId="6" xfId="0" applyFont="true" applyBorder="true" applyAlignment="true" applyProtection="false">
      <alignment horizontal="center" vertical="center" textRotation="0" wrapText="false" indent="0" shrinkToFit="false"/>
      <protection locked="true" hidden="false"/>
    </xf>
    <xf numFmtId="164" fontId="15" fillId="0" borderId="6" xfId="0" applyFont="true" applyBorder="true" applyAlignment="true" applyProtection="false">
      <alignment horizontal="center" vertical="center" textRotation="0" wrapText="false" indent="0" shrinkToFit="false"/>
      <protection locked="true" hidden="false"/>
    </xf>
    <xf numFmtId="164" fontId="16" fillId="0" borderId="6" xfId="0" applyFont="true" applyBorder="true" applyAlignment="true" applyProtection="false">
      <alignment horizontal="center" vertical="center" textRotation="0" wrapText="false" indent="0" shrinkToFit="false"/>
      <protection locked="true" hidden="false"/>
    </xf>
    <xf numFmtId="164" fontId="15" fillId="0" borderId="6" xfId="0" applyFont="true" applyBorder="true" applyAlignment="true" applyProtection="false">
      <alignment horizontal="center" vertical="center" textRotation="0" wrapText="true" indent="0" shrinkToFit="false"/>
      <protection locked="true" hidden="false"/>
    </xf>
    <xf numFmtId="165" fontId="15" fillId="0" borderId="6" xfId="0" applyFont="true" applyBorder="true" applyAlignment="true" applyProtection="false">
      <alignment horizontal="center" vertical="center" textRotation="0" wrapText="false" indent="0" shrinkToFit="false"/>
      <protection locked="true" hidden="false"/>
    </xf>
    <xf numFmtId="166" fontId="17" fillId="0" borderId="6" xfId="0" applyFont="true" applyBorder="true" applyAlignment="true" applyProtection="false">
      <alignment horizontal="center" vertical="center" textRotation="0" wrapText="false" indent="0" shrinkToFit="false"/>
      <protection locked="true" hidden="false"/>
    </xf>
    <xf numFmtId="167" fontId="18" fillId="0" borderId="6" xfId="0" applyFont="true" applyBorder="true" applyAlignment="true" applyProtection="false">
      <alignment horizontal="center" vertical="center" textRotation="0" wrapText="false" indent="0" shrinkToFit="false"/>
      <protection locked="true" hidden="false"/>
    </xf>
    <xf numFmtId="164" fontId="18" fillId="0" borderId="6" xfId="0" applyFont="true" applyBorder="true" applyAlignment="true" applyProtection="false">
      <alignment horizontal="center" vertical="center" textRotation="0" wrapText="false" indent="0" shrinkToFit="false"/>
      <protection locked="true" hidden="false"/>
    </xf>
    <xf numFmtId="164" fontId="17" fillId="0" borderId="6" xfId="0" applyFont="true" applyBorder="true" applyAlignment="true" applyProtection="false">
      <alignment horizontal="center" vertical="center" textRotation="0" wrapText="false" indent="0" shrinkToFit="false"/>
      <protection locked="true" hidden="false"/>
    </xf>
    <xf numFmtId="165" fontId="17" fillId="0" borderId="6" xfId="0" applyFont="true" applyBorder="true" applyAlignment="true" applyProtection="false">
      <alignment horizontal="center" vertical="center" textRotation="0" wrapText="false" indent="0" shrinkToFit="false"/>
      <protection locked="true" hidden="false"/>
    </xf>
    <xf numFmtId="165" fontId="18" fillId="0" borderId="6" xfId="0" applyFont="true" applyBorder="true" applyAlignment="true" applyProtection="false">
      <alignment horizontal="center" vertical="center" textRotation="0" wrapText="false" indent="0" shrinkToFit="false"/>
      <protection locked="true" hidden="false"/>
    </xf>
    <xf numFmtId="165" fontId="16" fillId="0" borderId="6" xfId="0" applyFont="true" applyBorder="true" applyAlignment="true" applyProtection="false">
      <alignment horizontal="center" vertical="center" textRotation="0" wrapText="false" indent="0" shrinkToFit="false"/>
      <protection locked="true" hidden="false"/>
    </xf>
    <xf numFmtId="165" fontId="14" fillId="0" borderId="6" xfId="0" applyFont="true" applyBorder="true" applyAlignment="true" applyProtection="false">
      <alignment horizontal="center" vertical="center" textRotation="0" wrapText="false" indent="0" shrinkToFit="false"/>
      <protection locked="true" hidden="false"/>
    </xf>
    <xf numFmtId="165" fontId="19" fillId="0" borderId="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0" fillId="0" borderId="7" xfId="0" applyFont="false" applyBorder="true" applyAlignment="true" applyProtection="false">
      <alignment horizontal="general" vertical="bottom" textRotation="0" wrapText="false" indent="0" shrinkToFit="false"/>
      <protection locked="true" hidden="false"/>
    </xf>
    <xf numFmtId="164" fontId="20" fillId="6" borderId="0" xfId="0" applyFont="true" applyBorder="true" applyAlignment="true" applyProtection="false">
      <alignment horizontal="center" vertical="center" textRotation="0" wrapText="false" indent="0" shrinkToFit="false"/>
      <protection locked="true" hidden="false"/>
    </xf>
    <xf numFmtId="164" fontId="21" fillId="7" borderId="0"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right" vertical="center" textRotation="0" wrapText="false" indent="0" shrinkToFit="false"/>
      <protection locked="true" hidden="false"/>
    </xf>
    <xf numFmtId="168" fontId="23" fillId="8" borderId="8" xfId="0" applyFont="true" applyBorder="true" applyAlignment="true" applyProtection="true">
      <alignment horizontal="center" vertical="center" textRotation="0" wrapText="false" indent="0" shrinkToFit="false"/>
      <protection locked="false" hidden="false"/>
    </xf>
    <xf numFmtId="164" fontId="24" fillId="0" borderId="0" xfId="0" applyFont="true" applyBorder="true" applyAlignment="true" applyProtection="false">
      <alignment horizontal="center" vertical="center" textRotation="0" wrapText="false" indent="0" shrinkToFit="false"/>
      <protection locked="true" hidden="false"/>
    </xf>
    <xf numFmtId="164" fontId="25" fillId="9" borderId="0" xfId="0" applyFont="true" applyBorder="false" applyAlignment="true" applyProtection="false">
      <alignment horizontal="center" vertical="center" textRotation="0" wrapText="true" indent="0" shrinkToFit="false"/>
      <protection locked="true" hidden="false"/>
    </xf>
    <xf numFmtId="164" fontId="25" fillId="10" borderId="0" xfId="0" applyFont="true" applyBorder="false" applyAlignment="true" applyProtection="false">
      <alignment horizontal="center" vertical="center" textRotation="0" wrapText="true" indent="0" shrinkToFit="false"/>
      <protection locked="true" hidden="false"/>
    </xf>
    <xf numFmtId="164" fontId="25" fillId="11" borderId="0" xfId="0" applyFont="true" applyBorder="false" applyAlignment="true" applyProtection="false">
      <alignment horizontal="center" vertical="center" textRotation="0" wrapText="true" indent="0" shrinkToFit="false"/>
      <protection locked="true" hidden="false"/>
    </xf>
    <xf numFmtId="164" fontId="25" fillId="12" borderId="0" xfId="0" applyFont="true" applyBorder="false" applyAlignment="true" applyProtection="false">
      <alignment horizontal="center" vertical="center" textRotation="0" wrapText="true" indent="0" shrinkToFit="false"/>
      <protection locked="true" hidden="false"/>
    </xf>
    <xf numFmtId="164" fontId="26" fillId="13" borderId="0" xfId="0" applyFont="true" applyBorder="false" applyAlignment="true" applyProtection="false">
      <alignment horizontal="center" vertical="center" textRotation="0" wrapText="true" indent="0" shrinkToFit="false"/>
      <protection locked="true" hidden="false"/>
    </xf>
    <xf numFmtId="164" fontId="27" fillId="11" borderId="0" xfId="0" applyFont="true" applyBorder="false" applyAlignment="true" applyProtection="false">
      <alignment horizontal="center" vertical="center" textRotation="0" wrapText="true" indent="0" shrinkToFit="false"/>
      <protection locked="true" hidden="false"/>
    </xf>
    <xf numFmtId="164" fontId="28" fillId="6" borderId="0" xfId="0" applyFont="true" applyBorder="fals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9" fontId="29" fillId="9" borderId="0" xfId="0" applyFont="true" applyBorder="false" applyAlignment="true" applyProtection="false">
      <alignment horizontal="center" vertical="center" textRotation="0" wrapText="false" indent="0" shrinkToFit="false"/>
      <protection locked="true" hidden="false"/>
    </xf>
    <xf numFmtId="169" fontId="30" fillId="10" borderId="0" xfId="0" applyFont="true" applyBorder="false" applyAlignment="true" applyProtection="false">
      <alignment horizontal="center" vertical="center" textRotation="0" wrapText="false" indent="0" shrinkToFit="false"/>
      <protection locked="true" hidden="false"/>
    </xf>
    <xf numFmtId="169" fontId="31" fillId="11" borderId="0" xfId="0" applyFont="true" applyBorder="false" applyAlignment="true" applyProtection="false">
      <alignment horizontal="center" vertical="center" textRotation="0" wrapText="false" indent="0" shrinkToFit="false"/>
      <protection locked="true" hidden="false"/>
    </xf>
    <xf numFmtId="169" fontId="32" fillId="12" borderId="0" xfId="0" applyFont="true" applyBorder="false" applyAlignment="true" applyProtection="false">
      <alignment horizontal="center" vertical="center" textRotation="0" wrapText="false" indent="0" shrinkToFit="false"/>
      <protection locked="true" hidden="false"/>
    </xf>
    <xf numFmtId="169" fontId="33" fillId="13" borderId="0" xfId="0" applyFont="true" applyBorder="false" applyAlignment="true" applyProtection="false">
      <alignment horizontal="center" vertical="center" textRotation="0" wrapText="false" indent="0" shrinkToFit="false"/>
      <protection locked="true" hidden="false"/>
    </xf>
    <xf numFmtId="169" fontId="34" fillId="14" borderId="0" xfId="0" applyFont="true" applyBorder="false" applyAlignment="true" applyProtection="false">
      <alignment horizontal="center" vertical="center" textRotation="0" wrapText="false" indent="0" shrinkToFit="false"/>
      <protection locked="true" hidden="false"/>
    </xf>
    <xf numFmtId="170" fontId="35" fillId="6" borderId="0" xfId="0" applyFont="true" applyBorder="false" applyAlignment="true" applyProtection="false">
      <alignment horizontal="center" vertical="center" textRotation="0" wrapText="false" indent="0" shrinkToFit="false"/>
      <protection locked="true" hidden="false"/>
    </xf>
    <xf numFmtId="164" fontId="36" fillId="0" borderId="0" xfId="0" applyFont="true" applyBorder="false" applyAlignment="true" applyProtection="false">
      <alignment horizontal="center" vertical="center" textRotation="0" wrapText="false" indent="0" shrinkToFit="false"/>
      <protection locked="true" hidden="false"/>
    </xf>
    <xf numFmtId="164" fontId="37" fillId="4" borderId="0" xfId="0" applyFont="true" applyBorder="true" applyAlignment="true" applyProtection="false">
      <alignment horizontal="left" vertical="center" textRotation="0" wrapText="false" indent="0" shrinkToFit="false"/>
      <protection locked="true" hidden="false"/>
    </xf>
    <xf numFmtId="164" fontId="38" fillId="6" borderId="0" xfId="0" applyFont="true" applyBorder="true" applyAlignment="true" applyProtection="false">
      <alignment horizontal="center" vertical="center" textRotation="0" wrapText="false" indent="0" shrinkToFit="false"/>
      <protection locked="true" hidden="false"/>
    </xf>
    <xf numFmtId="164" fontId="39" fillId="15" borderId="0" xfId="0" applyFont="true" applyBorder="true" applyAlignment="true" applyProtection="false">
      <alignment horizontal="left" vertical="center" textRotation="0" wrapText="false" indent="1" shrinkToFit="false"/>
      <protection locked="true" hidden="false"/>
    </xf>
    <xf numFmtId="164" fontId="40" fillId="14" borderId="0" xfId="0" applyFont="true" applyBorder="true" applyAlignment="true" applyProtection="false">
      <alignment horizontal="left" vertical="center" textRotation="0" wrapText="false" indent="1" shrinkToFit="false"/>
      <protection locked="true" hidden="false"/>
    </xf>
    <xf numFmtId="164" fontId="41" fillId="16" borderId="0" xfId="0" applyFont="true" applyBorder="true" applyAlignment="true" applyProtection="false">
      <alignment horizontal="left" vertical="center" textRotation="0" wrapText="false" indent="1" shrinkToFit="false"/>
      <protection locked="true" hidden="false"/>
    </xf>
    <xf numFmtId="164" fontId="42" fillId="17" borderId="0" xfId="0" applyFont="true" applyBorder="true" applyAlignment="true" applyProtection="false">
      <alignment horizontal="left" vertical="center" textRotation="0" wrapText="false" indent="1" shrinkToFit="false"/>
      <protection locked="true" hidden="false"/>
    </xf>
    <xf numFmtId="164" fontId="43" fillId="0" borderId="0" xfId="0" applyFont="true" applyBorder="false" applyAlignment="true" applyProtection="false">
      <alignment horizontal="center" vertical="bottom" textRotation="0" wrapText="false" indent="0" shrinkToFit="false"/>
      <protection locked="true" hidden="false"/>
    </xf>
    <xf numFmtId="164" fontId="44" fillId="18" borderId="9" xfId="0" applyFont="true" applyBorder="true" applyAlignment="true" applyProtection="false">
      <alignment horizontal="left" vertical="center" textRotation="0" wrapText="false" indent="1" shrinkToFit="false"/>
      <protection locked="true" hidden="false"/>
    </xf>
    <xf numFmtId="169" fontId="45" fillId="0" borderId="9" xfId="0" applyFont="true" applyBorder="true" applyAlignment="true" applyProtection="false">
      <alignment horizontal="center" vertical="bottom" textRotation="0" wrapText="false" indent="0" shrinkToFit="false"/>
      <protection locked="true" hidden="false"/>
    </xf>
    <xf numFmtId="170" fontId="45" fillId="0" borderId="9" xfId="0" applyFont="true" applyBorder="true" applyAlignment="true" applyProtection="false">
      <alignment horizontal="center" vertical="bottom" textRotation="0" wrapText="false" indent="0" shrinkToFit="false"/>
      <protection locked="true" hidden="false"/>
    </xf>
    <xf numFmtId="169" fontId="46" fillId="0" borderId="9" xfId="0" applyFont="true" applyBorder="true" applyAlignment="true" applyProtection="false">
      <alignment horizontal="center" vertical="bottom" textRotation="0" wrapText="false" indent="0" shrinkToFit="false"/>
      <protection locked="true" hidden="false"/>
    </xf>
    <xf numFmtId="171" fontId="0" fillId="0" borderId="9" xfId="0" applyFont="false" applyBorder="true" applyAlignment="true" applyProtection="false">
      <alignment horizontal="general" vertical="bottom" textRotation="0" wrapText="false" indent="0" shrinkToFit="false"/>
      <protection locked="true" hidden="false"/>
    </xf>
    <xf numFmtId="164" fontId="47" fillId="19" borderId="9" xfId="0" applyFont="true" applyBorder="true" applyAlignment="true" applyProtection="false">
      <alignment horizontal="left" vertical="center" textRotation="0" wrapText="false" indent="1" shrinkToFit="false"/>
      <protection locked="true" hidden="false"/>
    </xf>
    <xf numFmtId="164" fontId="48" fillId="20" borderId="9" xfId="0" applyFont="true" applyBorder="true" applyAlignment="true" applyProtection="false">
      <alignment horizontal="left" vertical="center" textRotation="0" wrapText="false" indent="1" shrinkToFit="false"/>
      <protection locked="true" hidden="false"/>
    </xf>
    <xf numFmtId="164" fontId="49" fillId="10" borderId="9" xfId="0" applyFont="true" applyBorder="true" applyAlignment="true" applyProtection="false">
      <alignment horizontal="left" vertical="center" textRotation="0" wrapText="false" indent="1" shrinkToFit="false"/>
      <protection locked="true" hidden="false"/>
    </xf>
    <xf numFmtId="164" fontId="50" fillId="11" borderId="9" xfId="0" applyFont="true" applyBorder="true" applyAlignment="true" applyProtection="false">
      <alignment horizontal="left" vertical="center" textRotation="0" wrapText="false" indent="1" shrinkToFit="false"/>
      <protection locked="true" hidden="false"/>
    </xf>
    <xf numFmtId="164" fontId="51" fillId="21" borderId="9" xfId="0" applyFont="true" applyBorder="true" applyAlignment="true" applyProtection="false">
      <alignment horizontal="left" vertical="center" textRotation="0" wrapText="false" indent="1" shrinkToFit="false"/>
      <protection locked="true" hidden="false"/>
    </xf>
    <xf numFmtId="164" fontId="52" fillId="22" borderId="9" xfId="0" applyFont="true" applyBorder="true" applyAlignment="true" applyProtection="false">
      <alignment horizontal="left" vertical="center" textRotation="0" wrapText="false" indent="1" shrinkToFit="false"/>
      <protection locked="true" hidden="false"/>
    </xf>
    <xf numFmtId="164" fontId="53" fillId="17" borderId="9" xfId="0" applyFont="true" applyBorder="true" applyAlignment="true" applyProtection="false">
      <alignment horizontal="left" vertical="center" textRotation="0" wrapText="false" indent="1" shrinkToFit="false"/>
      <protection locked="true" hidden="false"/>
    </xf>
    <xf numFmtId="164" fontId="54" fillId="14" borderId="9" xfId="0" applyFont="true" applyBorder="true" applyAlignment="true" applyProtection="false">
      <alignment horizontal="left" vertical="center" textRotation="0" wrapText="false" indent="1" shrinkToFit="false"/>
      <protection locked="true" hidden="false"/>
    </xf>
    <xf numFmtId="164" fontId="39" fillId="15" borderId="9" xfId="0" applyFont="true" applyBorder="true" applyAlignment="true" applyProtection="false">
      <alignment horizontal="left" vertical="center" textRotation="0" wrapText="false" indent="1" shrinkToFit="false"/>
      <protection locked="true" hidden="false"/>
    </xf>
    <xf numFmtId="164" fontId="55" fillId="23" borderId="9" xfId="0" applyFont="true" applyBorder="true" applyAlignment="true" applyProtection="false">
      <alignment horizontal="left" vertical="center" textRotation="0" wrapText="false" indent="1" shrinkToFit="false"/>
      <protection locked="true" hidden="false"/>
    </xf>
    <xf numFmtId="164" fontId="56" fillId="24" borderId="9" xfId="0" applyFont="true" applyBorder="true" applyAlignment="true" applyProtection="false">
      <alignment horizontal="left" vertical="center" textRotation="0" wrapText="false" indent="1" shrinkToFit="false"/>
      <protection locked="true" hidden="false"/>
    </xf>
    <xf numFmtId="164" fontId="57" fillId="25" borderId="9" xfId="0" applyFont="true" applyBorder="true" applyAlignment="true" applyProtection="false">
      <alignment horizontal="left" vertical="center" textRotation="0" wrapText="false" indent="1" shrinkToFit="false"/>
      <protection locked="true" hidden="false"/>
    </xf>
    <xf numFmtId="164" fontId="41" fillId="16" borderId="9" xfId="0" applyFont="true" applyBorder="true" applyAlignment="true" applyProtection="false">
      <alignment horizontal="left" vertical="center" textRotation="0" wrapText="false" indent="1" shrinkToFit="false"/>
      <protection locked="true" hidden="false"/>
    </xf>
    <xf numFmtId="164" fontId="58" fillId="26" borderId="9" xfId="0" applyFont="true" applyBorder="true" applyAlignment="true" applyProtection="false">
      <alignment horizontal="left" vertical="center" textRotation="0" wrapText="false" indent="1" shrinkToFit="false"/>
      <protection locked="true" hidden="false"/>
    </xf>
    <xf numFmtId="164" fontId="59" fillId="19" borderId="9" xfId="0" applyFont="true" applyBorder="true" applyAlignment="true" applyProtection="false">
      <alignment horizontal="left" vertical="center" textRotation="0" wrapText="false" indent="1" shrinkToFit="false"/>
      <protection locked="true" hidden="false"/>
    </xf>
    <xf numFmtId="164" fontId="60" fillId="27" borderId="9" xfId="0" applyFont="true" applyBorder="true" applyAlignment="true" applyProtection="false">
      <alignment horizontal="left" vertical="center" textRotation="0" wrapText="false" indent="1" shrinkToFit="false"/>
      <protection locked="true" hidden="false"/>
    </xf>
    <xf numFmtId="164" fontId="61" fillId="4" borderId="0" xfId="0" applyFont="true" applyBorder="false" applyAlignment="true" applyProtection="false">
      <alignment horizontal="center" vertical="center" textRotation="0" wrapText="false" indent="0" shrinkToFit="false"/>
      <protection locked="true" hidden="false"/>
    </xf>
    <xf numFmtId="164" fontId="62" fillId="7" borderId="0" xfId="0" applyFont="true" applyBorder="true" applyAlignment="true" applyProtection="false">
      <alignment horizontal="center" vertical="center" textRotation="0" wrapText="false" indent="0" shrinkToFit="false"/>
      <protection locked="true" hidden="false"/>
    </xf>
    <xf numFmtId="172" fontId="63" fillId="0" borderId="9" xfId="0" applyFont="true" applyBorder="true" applyAlignment="true" applyProtection="false">
      <alignment horizontal="left" vertical="center" textRotation="0" wrapText="false" indent="1" shrinkToFit="false"/>
      <protection locked="true" hidden="false"/>
    </xf>
    <xf numFmtId="169" fontId="64" fillId="0" borderId="9" xfId="0" applyFont="true" applyBorder="true" applyAlignment="true" applyProtection="false">
      <alignment horizontal="center" vertical="bottom" textRotation="0" wrapText="false" indent="0" shrinkToFit="false"/>
      <protection locked="true" hidden="false"/>
    </xf>
    <xf numFmtId="170" fontId="46" fillId="0" borderId="9" xfId="0" applyFont="true" applyBorder="true" applyAlignment="true" applyProtection="false">
      <alignment horizontal="center" vertical="bottom" textRotation="0" wrapText="false" indent="0" shrinkToFit="false"/>
      <protection locked="true" hidden="false"/>
    </xf>
    <xf numFmtId="170" fontId="43" fillId="0" borderId="0" xfId="0" applyFont="true" applyBorder="false" applyAlignment="true" applyProtection="false">
      <alignment horizontal="center" vertical="bottom" textRotation="0" wrapText="false" indent="0" shrinkToFit="false"/>
      <protection locked="true" hidden="false"/>
    </xf>
    <xf numFmtId="170" fontId="45" fillId="0" borderId="0" xfId="0" applyFont="true" applyBorder="false" applyAlignment="true" applyProtection="false">
      <alignment horizontal="center" vertical="bottom" textRotation="0" wrapText="false" indent="0" shrinkToFit="false"/>
      <protection locked="true" hidden="false"/>
    </xf>
    <xf numFmtId="164" fontId="54" fillId="0" borderId="0" xfId="0" applyFont="true" applyBorder="false" applyAlignment="true" applyProtection="false">
      <alignment horizontal="left" vertical="center" textRotation="0" wrapText="false" indent="1" shrinkToFit="false"/>
      <protection locked="true" hidden="false"/>
    </xf>
    <xf numFmtId="164" fontId="45" fillId="0" borderId="0" xfId="0" applyFont="tru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left" vertical="center" textRotation="0" wrapText="false" indent="1" shrinkToFit="false"/>
      <protection locked="true" hidden="false"/>
    </xf>
    <xf numFmtId="164" fontId="65" fillId="28" borderId="0" xfId="0" applyFont="true" applyBorder="true" applyAlignment="true" applyProtection="false">
      <alignment horizontal="left" vertical="center" textRotation="0" wrapText="false" indent="0" shrinkToFit="false"/>
      <protection locked="true" hidden="false"/>
    </xf>
    <xf numFmtId="164" fontId="66" fillId="12" borderId="0" xfId="0" applyFont="true" applyBorder="true" applyAlignment="true" applyProtection="false">
      <alignment horizontal="left" vertical="center" textRotation="0" wrapText="false" indent="0" shrinkToFit="false"/>
      <protection locked="true" hidden="false"/>
    </xf>
    <xf numFmtId="164" fontId="67" fillId="21" borderId="0" xfId="0" applyFont="true" applyBorder="true" applyAlignment="true" applyProtection="false">
      <alignment horizontal="left" vertical="center" textRotation="0" wrapText="false" indent="1" shrinkToFit="false"/>
      <protection locked="true" hidden="false"/>
    </xf>
    <xf numFmtId="164" fontId="68" fillId="4" borderId="0" xfId="0" applyFont="true" applyBorder="false" applyAlignment="true" applyProtection="false">
      <alignment horizontal="center" vertical="center" textRotation="0" wrapText="tru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73" fontId="45" fillId="0" borderId="9" xfId="0" applyFont="true" applyBorder="true" applyAlignment="true" applyProtection="false">
      <alignment horizontal="center" vertical="bottom" textRotation="0" wrapText="false" indent="0" shrinkToFit="false"/>
      <protection locked="true" hidden="false"/>
    </xf>
    <xf numFmtId="164" fontId="69" fillId="25" borderId="0" xfId="0" applyFont="true" applyBorder="true" applyAlignment="true" applyProtection="false">
      <alignment horizontal="left" vertical="center" textRotation="0" wrapText="false" indent="1" shrinkToFit="false"/>
      <protection locked="true" hidden="false"/>
    </xf>
    <xf numFmtId="164" fontId="37" fillId="29" borderId="0" xfId="0" applyFont="true" applyBorder="true" applyAlignment="true" applyProtection="false">
      <alignment horizontal="left" vertical="center" textRotation="0" wrapText="false" indent="0" shrinkToFit="false"/>
      <protection locked="true" hidden="false"/>
    </xf>
    <xf numFmtId="164" fontId="70" fillId="30" borderId="0" xfId="0" applyFont="true" applyBorder="false" applyAlignment="true" applyProtection="false">
      <alignment horizontal="center" vertical="center" textRotation="0" wrapText="false" indent="0" shrinkToFit="false"/>
      <protection locked="true" hidden="false"/>
    </xf>
    <xf numFmtId="169" fontId="71" fillId="31" borderId="0" xfId="0" applyFont="true" applyBorder="false" applyAlignment="true" applyProtection="false">
      <alignment horizontal="center" vertical="center" textRotation="0" wrapText="false" indent="0" shrinkToFit="false"/>
      <protection locked="true" hidden="false"/>
    </xf>
    <xf numFmtId="170" fontId="71" fillId="31" borderId="0" xfId="0" applyFont="true" applyBorder="false" applyAlignment="true" applyProtection="false">
      <alignment horizontal="center" vertical="center" textRotation="0" wrapText="false" indent="0" shrinkToFit="false"/>
      <protection locked="true" hidden="false"/>
    </xf>
    <xf numFmtId="173" fontId="71" fillId="31" borderId="0" xfId="0" applyFont="true" applyBorder="false" applyAlignment="true" applyProtection="false">
      <alignment horizontal="center" vertical="center" textRotation="0" wrapText="false" indent="0" shrinkToFit="false"/>
      <protection locked="true" hidden="false"/>
    </xf>
    <xf numFmtId="164" fontId="67" fillId="32" borderId="0" xfId="0" applyFont="true" applyBorder="true" applyAlignment="true" applyProtection="false">
      <alignment horizontal="left" vertical="center" textRotation="0" wrapText="false" indent="0" shrinkToFit="false"/>
      <protection locked="true" hidden="false"/>
    </xf>
    <xf numFmtId="164" fontId="37" fillId="33" borderId="0" xfId="0" applyFont="true" applyBorder="true" applyAlignment="true" applyProtection="false">
      <alignment horizontal="left" vertical="center" textRotation="0" wrapText="false" indent="0" shrinkToFit="false"/>
      <protection locked="true" hidden="false"/>
    </xf>
    <xf numFmtId="164" fontId="72" fillId="0" borderId="0" xfId="0" applyFont="true" applyBorder="false" applyAlignment="true" applyProtection="false">
      <alignment horizontal="center" vertical="bottom" textRotation="0" wrapText="false" indent="0" shrinkToFit="false"/>
      <protection locked="true" hidden="false"/>
    </xf>
    <xf numFmtId="164" fontId="73" fillId="0" borderId="10" xfId="0" applyFont="true" applyBorder="true" applyAlignment="true" applyProtection="false">
      <alignment horizontal="center" vertical="center" textRotation="0" wrapText="false" indent="0" shrinkToFit="false"/>
      <protection locked="true" hidden="false"/>
    </xf>
    <xf numFmtId="169" fontId="74" fillId="0" borderId="10" xfId="0" applyFont="true" applyBorder="true" applyAlignment="true" applyProtection="false">
      <alignment horizontal="center" vertical="center" textRotation="0" wrapText="false" indent="0" shrinkToFit="false"/>
      <protection locked="true" hidden="false"/>
    </xf>
    <xf numFmtId="170" fontId="73" fillId="0" borderId="10" xfId="0" applyFont="true" applyBorder="true" applyAlignment="true" applyProtection="false">
      <alignment horizontal="center" vertical="center" textRotation="0" wrapText="false" indent="0" shrinkToFit="false"/>
      <protection locked="true" hidden="false"/>
    </xf>
    <xf numFmtId="173" fontId="74" fillId="0" borderId="10" xfId="0" applyFont="true" applyBorder="true" applyAlignment="true" applyProtection="false">
      <alignment horizontal="center" vertical="center" textRotation="0" wrapText="false" indent="0" shrinkToFit="false"/>
      <protection locked="true" hidden="false"/>
    </xf>
    <xf numFmtId="174" fontId="75" fillId="0" borderId="0" xfId="0" applyFont="true" applyBorder="false" applyAlignment="true" applyProtection="false">
      <alignment horizontal="center" vertical="center" textRotation="0" wrapText="false" indent="0" shrinkToFit="false"/>
      <protection locked="true" hidden="false"/>
    </xf>
    <xf numFmtId="164" fontId="37" fillId="34" borderId="0" xfId="0" applyFont="true" applyBorder="true" applyAlignment="true" applyProtection="false">
      <alignment horizontal="left" vertical="center" textRotation="0" wrapText="false" indent="0" shrinkToFit="false"/>
      <protection locked="true" hidden="false"/>
    </xf>
    <xf numFmtId="174" fontId="43" fillId="0" borderId="0" xfId="0" applyFont="true" applyBorder="false" applyAlignment="true" applyProtection="false">
      <alignment horizontal="center" vertical="bottom" textRotation="0" wrapText="false" indent="0" shrinkToFit="false"/>
      <protection locked="true" hidden="false"/>
    </xf>
    <xf numFmtId="164" fontId="76" fillId="0" borderId="11" xfId="0" applyFont="true" applyBorder="true" applyAlignment="true" applyProtection="false">
      <alignment horizontal="center" vertical="center" textRotation="0" wrapText="false" indent="0" shrinkToFit="false"/>
      <protection locked="true" hidden="false"/>
    </xf>
    <xf numFmtId="164" fontId="76" fillId="0" borderId="11" xfId="0" applyFont="true" applyBorder="true" applyAlignment="true" applyProtection="false">
      <alignment horizontal="left" vertical="center" textRotation="0" wrapText="false" indent="0" shrinkToFit="false"/>
      <protection locked="true" hidden="false"/>
    </xf>
    <xf numFmtId="174" fontId="76" fillId="0" borderId="11" xfId="0" applyFont="true" applyBorder="true" applyAlignment="true" applyProtection="false">
      <alignment horizontal="center" vertical="center" textRotation="0" wrapText="false" indent="0" shrinkToFit="false"/>
      <protection locked="true" hidden="false"/>
    </xf>
    <xf numFmtId="174" fontId="75" fillId="0" borderId="11" xfId="0" applyFont="true" applyBorder="true" applyAlignment="true" applyProtection="false">
      <alignment horizontal="center" vertical="center" textRotation="0" wrapText="false" indent="0" shrinkToFit="false"/>
      <protection locked="true" hidden="false"/>
    </xf>
    <xf numFmtId="164" fontId="75" fillId="0" borderId="11" xfId="0" applyFont="true" applyBorder="true" applyAlignment="true" applyProtection="false">
      <alignment horizontal="center" vertical="center" textRotation="0" wrapText="false" indent="0" shrinkToFit="false"/>
      <protection locked="true" hidden="false"/>
    </xf>
    <xf numFmtId="173" fontId="76" fillId="0" borderId="11" xfId="0" applyFont="true" applyBorder="true" applyAlignment="true" applyProtection="false">
      <alignment horizontal="center" vertical="center" textRotation="0" wrapText="false" indent="0" shrinkToFit="false"/>
      <protection locked="true" hidden="false"/>
    </xf>
    <xf numFmtId="173" fontId="75" fillId="0" borderId="11" xfId="0" applyFont="true" applyBorder="true" applyAlignment="true" applyProtection="false">
      <alignment horizontal="center" vertical="center" textRotation="0" wrapText="false" indent="0" shrinkToFit="false"/>
      <protection locked="true" hidden="false"/>
    </xf>
    <xf numFmtId="164" fontId="73" fillId="0" borderId="0" xfId="0" applyFont="true" applyBorder="false" applyAlignment="true" applyProtection="false">
      <alignment horizontal="center" vertical="center" textRotation="0" wrapText="false" indent="0" shrinkToFit="false"/>
      <protection locked="true" hidden="false"/>
    </xf>
    <xf numFmtId="164" fontId="74" fillId="0" borderId="0" xfId="0" applyFont="true" applyBorder="false" applyAlignment="true" applyProtection="false">
      <alignment horizontal="center" vertical="center" textRotation="0" wrapText="false" indent="0" shrinkToFit="false"/>
      <protection locked="true" hidden="false"/>
    </xf>
    <xf numFmtId="170" fontId="73" fillId="0" borderId="0" xfId="0" applyFont="true" applyBorder="false" applyAlignment="true" applyProtection="false">
      <alignment horizontal="center" vertical="center" textRotation="0" wrapText="false" indent="0" shrinkToFit="false"/>
      <protection locked="true" hidden="false"/>
    </xf>
    <xf numFmtId="173" fontId="74" fillId="0" borderId="0" xfId="0" applyFont="true" applyBorder="false" applyAlignment="true" applyProtection="false">
      <alignment horizontal="center" vertical="center" textRotation="0" wrapText="false" indent="0" shrinkToFit="false"/>
      <protection locked="true" hidden="false"/>
    </xf>
    <xf numFmtId="164" fontId="77" fillId="35" borderId="0" xfId="0" applyFont="true" applyBorder="true" applyAlignment="true" applyProtection="false">
      <alignment horizontal="center" vertical="center" textRotation="0" wrapText="false" indent="0" shrinkToFit="false"/>
      <protection locked="true" hidden="false"/>
    </xf>
    <xf numFmtId="164" fontId="78" fillId="13" borderId="0" xfId="0" applyFont="true" applyBorder="true" applyAlignment="true" applyProtection="false">
      <alignment horizontal="center" vertical="center" textRotation="0" wrapText="false" indent="0" shrinkToFit="false"/>
      <protection locked="true" hidden="false"/>
    </xf>
    <xf numFmtId="164" fontId="79" fillId="36" borderId="0" xfId="0" applyFont="true" applyBorder="false" applyAlignment="true" applyProtection="false">
      <alignment horizontal="center" vertical="center" textRotation="0" wrapText="true" indent="0" shrinkToFit="false"/>
      <protection locked="true" hidden="false"/>
    </xf>
    <xf numFmtId="169" fontId="80" fillId="0" borderId="12" xfId="0" applyFont="true" applyBorder="true" applyAlignment="true" applyProtection="false">
      <alignment horizontal="center" vertical="center" textRotation="0" wrapText="false" indent="0" shrinkToFit="false"/>
      <protection locked="true" hidden="false"/>
    </xf>
    <xf numFmtId="164" fontId="80" fillId="0" borderId="12" xfId="0" applyFont="true" applyBorder="true" applyAlignment="true" applyProtection="false">
      <alignment horizontal="left" vertical="center" textRotation="0" wrapText="false" indent="0" shrinkToFit="false"/>
      <protection locked="true" hidden="false"/>
    </xf>
    <xf numFmtId="164" fontId="80" fillId="0" borderId="12" xfId="0" applyFont="true" applyBorder="true" applyAlignment="true" applyProtection="false">
      <alignment horizontal="left" vertical="center" textRotation="0" wrapText="true" indent="0" shrinkToFit="false"/>
      <protection locked="true" hidden="false"/>
    </xf>
    <xf numFmtId="164" fontId="80" fillId="0" borderId="12" xfId="0" applyFont="true" applyBorder="true" applyAlignment="true" applyProtection="false">
      <alignment horizontal="center" vertical="center" textRotation="0" wrapText="false" indent="0" shrinkToFit="false"/>
      <protection locked="true" hidden="false"/>
    </xf>
    <xf numFmtId="164" fontId="0" fillId="37" borderId="0" xfId="0" applyFont="false" applyBorder="true" applyAlignment="true" applyProtection="false">
      <alignment horizontal="center" vertical="bottom" textRotation="0" wrapText="false" indent="0" shrinkToFit="false"/>
      <protection locked="true" hidden="false"/>
    </xf>
    <xf numFmtId="164" fontId="81" fillId="37" borderId="0" xfId="0" applyFont="true" applyBorder="true" applyAlignment="true" applyProtection="false">
      <alignment horizontal="center" vertical="center" textRotation="0" wrapText="false" indent="0" shrinkToFit="false"/>
      <protection locked="true" hidden="false"/>
    </xf>
    <xf numFmtId="164" fontId="82" fillId="6" borderId="0" xfId="0" applyFont="true" applyBorder="true" applyAlignment="true" applyProtection="false">
      <alignment horizontal="center" vertical="center" textRotation="0" wrapText="false" indent="0" shrinkToFit="false"/>
      <protection locked="true" hidden="false"/>
    </xf>
    <xf numFmtId="164" fontId="83" fillId="4" borderId="0" xfId="0" applyFont="true" applyBorder="true" applyAlignment="true" applyProtection="false">
      <alignment horizontal="center" vertical="center" textRotation="0" wrapText="false" indent="0" shrinkToFit="false"/>
      <protection locked="true" hidden="false"/>
    </xf>
    <xf numFmtId="164" fontId="83" fillId="4" borderId="13" xfId="0" applyFont="true" applyBorder="true" applyAlignment="true" applyProtection="false">
      <alignment horizontal="center" vertical="center" textRotation="0" wrapText="false" indent="0" shrinkToFit="false"/>
      <protection locked="true" hidden="false"/>
    </xf>
    <xf numFmtId="164" fontId="84" fillId="4" borderId="0" xfId="0" applyFont="true" applyBorder="true" applyAlignment="true" applyProtection="false">
      <alignment horizontal="center" vertical="center" textRotation="0" wrapText="false" indent="0" shrinkToFit="false"/>
      <protection locked="true" hidden="false"/>
    </xf>
    <xf numFmtId="165" fontId="85" fillId="0" borderId="0" xfId="0" applyFont="true" applyBorder="true" applyAlignment="true" applyProtection="false">
      <alignment horizontal="center" vertical="center" textRotation="0" wrapText="false" indent="0" shrinkToFit="false"/>
      <protection locked="true" hidden="false"/>
    </xf>
    <xf numFmtId="164" fontId="86" fillId="38" borderId="14" xfId="0" applyFont="true" applyBorder="true" applyAlignment="true" applyProtection="false">
      <alignment horizontal="center" vertical="center" textRotation="0" wrapText="false" indent="0" shrinkToFit="false"/>
      <protection locked="true" hidden="false"/>
    </xf>
    <xf numFmtId="164" fontId="87" fillId="38" borderId="14" xfId="0" applyFont="true" applyBorder="true" applyAlignment="true" applyProtection="false">
      <alignment horizontal="center" vertical="center" textRotation="0" wrapText="false" indent="0" shrinkToFit="false"/>
      <protection locked="true" hidden="false"/>
    </xf>
    <xf numFmtId="164" fontId="88" fillId="38" borderId="15" xfId="0" applyFont="true" applyBorder="true" applyAlignment="true" applyProtection="false">
      <alignment horizontal="center" vertical="center" textRotation="0" wrapText="false" indent="0" shrinkToFit="false"/>
      <protection locked="true" hidden="false"/>
    </xf>
    <xf numFmtId="164" fontId="86" fillId="38" borderId="16" xfId="0" applyFont="true" applyBorder="true" applyAlignment="true" applyProtection="false">
      <alignment horizontal="center" vertical="center" textRotation="0" wrapText="false" indent="0" shrinkToFit="false"/>
      <protection locked="true" hidden="false"/>
    </xf>
    <xf numFmtId="164" fontId="37" fillId="6" borderId="17" xfId="0" applyFont="true" applyBorder="true" applyAlignment="true" applyProtection="false">
      <alignment horizontal="left" vertical="center" textRotation="0" wrapText="false" indent="0" shrinkToFit="false"/>
      <protection locked="true" hidden="false"/>
    </xf>
    <xf numFmtId="164" fontId="89" fillId="0" borderId="0" xfId="0" applyFont="true" applyBorder="false" applyAlignment="true" applyProtection="false">
      <alignment horizontal="left" vertical="center" textRotation="0" wrapText="false" indent="0" shrinkToFit="false"/>
      <protection locked="true" hidden="false"/>
    </xf>
    <xf numFmtId="164" fontId="89" fillId="0" borderId="18" xfId="0" applyFont="true" applyBorder="true" applyAlignment="true" applyProtection="false">
      <alignment horizontal="left" vertical="center" textRotation="0" wrapText="false" indent="0" shrinkToFit="false"/>
      <protection locked="true" hidden="false"/>
    </xf>
    <xf numFmtId="164" fontId="90" fillId="0" borderId="17" xfId="0" applyFont="true" applyBorder="true" applyAlignment="true" applyProtection="false">
      <alignment horizontal="left" vertical="center" textRotation="0" wrapText="false" indent="0" shrinkToFit="false"/>
      <protection locked="true" hidden="false"/>
    </xf>
    <xf numFmtId="165" fontId="90" fillId="8" borderId="17" xfId="0" applyFont="true" applyBorder="true" applyAlignment="true" applyProtection="false">
      <alignment horizontal="center" vertical="center" textRotation="0" wrapText="false" indent="0" shrinkToFit="false"/>
      <protection locked="true" hidden="false"/>
    </xf>
    <xf numFmtId="175" fontId="89" fillId="0" borderId="19" xfId="0" applyFont="true" applyBorder="true" applyAlignment="true" applyProtection="false">
      <alignment horizontal="center" vertical="center" textRotation="0" wrapText="false" indent="0" shrinkToFit="false"/>
      <protection locked="true" hidden="false"/>
    </xf>
    <xf numFmtId="176" fontId="89" fillId="0" borderId="19" xfId="0" applyFont="true" applyBorder="true" applyAlignment="true" applyProtection="false">
      <alignment horizontal="center" vertical="center" textRotation="0" wrapText="false" indent="0" shrinkToFit="false"/>
      <protection locked="true" hidden="false"/>
    </xf>
    <xf numFmtId="164" fontId="91" fillId="26" borderId="17" xfId="0" applyFont="true" applyBorder="true" applyAlignment="true" applyProtection="false">
      <alignment horizontal="left" vertical="center" textRotation="0" wrapText="false" indent="0" shrinkToFit="false"/>
      <protection locked="true" hidden="false"/>
    </xf>
    <xf numFmtId="165" fontId="91" fillId="8" borderId="17" xfId="0" applyFont="true" applyBorder="true" applyAlignment="true" applyProtection="false">
      <alignment horizontal="center" vertical="center" textRotation="0" wrapText="false" indent="0" shrinkToFit="false"/>
      <protection locked="true" hidden="false"/>
    </xf>
    <xf numFmtId="164" fontId="92" fillId="0" borderId="0" xfId="0" applyFont="true" applyBorder="false" applyAlignment="true" applyProtection="false">
      <alignment horizontal="left" vertical="center" textRotation="0" wrapText="false" indent="0" shrinkToFit="false"/>
      <protection locked="true" hidden="false"/>
    </xf>
    <xf numFmtId="164" fontId="90" fillId="0" borderId="20" xfId="0" applyFont="true" applyBorder="true" applyAlignment="true" applyProtection="false">
      <alignment horizontal="left" vertical="center" textRotation="0" wrapText="false" indent="0" shrinkToFit="false"/>
      <protection locked="true" hidden="false"/>
    </xf>
    <xf numFmtId="165" fontId="90" fillId="8" borderId="20" xfId="0" applyFont="true" applyBorder="true" applyAlignment="true" applyProtection="false">
      <alignment horizontal="center" vertical="center" textRotation="0" wrapText="false" indent="0" shrinkToFit="false"/>
      <protection locked="true" hidden="false"/>
    </xf>
    <xf numFmtId="164" fontId="89" fillId="0" borderId="21" xfId="0" applyFont="true" applyBorder="true" applyAlignment="true" applyProtection="false">
      <alignment horizontal="left" vertical="center" textRotation="0" wrapText="false" indent="0" shrinkToFit="false"/>
      <protection locked="true" hidden="false"/>
    </xf>
    <xf numFmtId="164" fontId="89" fillId="0" borderId="22" xfId="0" applyFont="true" applyBorder="true" applyAlignment="true" applyProtection="false">
      <alignment horizontal="left" vertical="center" textRotation="0" wrapText="false" indent="0" shrinkToFit="false"/>
      <protection locked="true" hidden="false"/>
    </xf>
    <xf numFmtId="164" fontId="93" fillId="39" borderId="9" xfId="0" applyFont="true" applyBorder="true" applyAlignment="true" applyProtection="false">
      <alignment horizontal="left" vertical="center" textRotation="0" wrapText="false" indent="1" shrinkToFit="false"/>
      <protection locked="true" hidden="false"/>
    </xf>
    <xf numFmtId="165" fontId="94" fillId="39" borderId="9" xfId="0" applyFont="true" applyBorder="true" applyAlignment="true" applyProtection="false">
      <alignment horizontal="center" vertical="center" textRotation="0" wrapText="false" indent="0" shrinkToFit="false"/>
      <protection locked="true" hidden="false"/>
    </xf>
    <xf numFmtId="169" fontId="95" fillId="0" borderId="0" xfId="0" applyFont="true" applyBorder="false" applyAlignment="true" applyProtection="false">
      <alignment horizontal="general" vertical="bottom" textRotation="0" wrapText="false" indent="0" shrinkToFit="false"/>
      <protection locked="true" hidden="false"/>
    </xf>
    <xf numFmtId="164" fontId="93" fillId="40" borderId="9" xfId="0" applyFont="true" applyBorder="true" applyAlignment="true" applyProtection="false">
      <alignment horizontal="left" vertical="center" textRotation="0" wrapText="false" indent="1" shrinkToFit="false"/>
      <protection locked="true" hidden="false"/>
    </xf>
    <xf numFmtId="165" fontId="94" fillId="40" borderId="9" xfId="0" applyFont="true" applyBorder="true" applyAlignment="true" applyProtection="false">
      <alignment horizontal="center" vertical="center" textRotation="0" wrapText="false" indent="0" shrinkToFit="false"/>
      <protection locked="true" hidden="false"/>
    </xf>
    <xf numFmtId="164" fontId="4" fillId="41" borderId="0" xfId="0" applyFont="true" applyBorder="true" applyAlignment="true" applyProtection="false">
      <alignment horizontal="center" vertical="center" textRotation="0" wrapText="false" indent="0" shrinkToFit="false"/>
      <protection locked="true" hidden="false"/>
    </xf>
    <xf numFmtId="164" fontId="96" fillId="26" borderId="0" xfId="0" applyFont="true" applyBorder="true" applyAlignment="true" applyProtection="false">
      <alignment horizontal="left" vertical="center" textRotation="0" wrapText="false" indent="1" shrinkToFit="false"/>
      <protection locked="true" hidden="false"/>
    </xf>
    <xf numFmtId="164" fontId="10" fillId="36" borderId="23" xfId="0" applyFont="true" applyBorder="true" applyAlignment="true" applyProtection="false">
      <alignment horizontal="center" vertical="center" textRotation="0" wrapText="true" indent="0" shrinkToFit="false"/>
      <protection locked="true" hidden="false"/>
    </xf>
    <xf numFmtId="169" fontId="97" fillId="0" borderId="6" xfId="0" applyFont="true" applyBorder="true" applyAlignment="true" applyProtection="false">
      <alignment horizontal="center" vertical="top" textRotation="0" wrapText="true" indent="0" shrinkToFit="false"/>
      <protection locked="true" hidden="false"/>
    </xf>
    <xf numFmtId="164" fontId="98" fillId="0" borderId="6" xfId="0" applyFont="true" applyBorder="true" applyAlignment="true" applyProtection="false">
      <alignment horizontal="general" vertical="top" textRotation="0" wrapText="true" indent="0" shrinkToFit="false"/>
      <protection locked="true" hidden="false"/>
    </xf>
    <xf numFmtId="164" fontId="14" fillId="0" borderId="24" xfId="0" applyFont="true" applyBorder="true" applyAlignment="true" applyProtection="false">
      <alignment horizontal="general" vertical="top" textRotation="0" wrapText="true" indent="0" shrinkToFit="false"/>
      <protection locked="true" hidden="false"/>
    </xf>
    <xf numFmtId="164" fontId="98" fillId="0" borderId="24" xfId="0" applyFont="true" applyBorder="true" applyAlignment="true" applyProtection="false">
      <alignment horizontal="general" vertical="top" textRotation="0" wrapText="true" indent="0" shrinkToFit="false"/>
      <protection locked="true" hidden="false"/>
    </xf>
    <xf numFmtId="164" fontId="13" fillId="0" borderId="24" xfId="0" applyFont="true" applyBorder="true" applyAlignment="true" applyProtection="false">
      <alignment horizontal="general" vertical="top" textRotation="0" wrapText="true" indent="0" shrinkToFit="false"/>
      <protection locked="true" hidden="false"/>
    </xf>
    <xf numFmtId="164" fontId="99" fillId="0" borderId="0" xfId="0" applyFont="true" applyBorder="false" applyAlignment="true" applyProtection="false">
      <alignment horizontal="general" vertical="top" textRotation="0" wrapText="true" indent="0" shrinkToFit="false"/>
      <protection locked="true" hidden="false"/>
    </xf>
    <xf numFmtId="164" fontId="100" fillId="26" borderId="6" xfId="0" applyFont="true" applyBorder="true" applyAlignment="true" applyProtection="false">
      <alignment horizontal="center" vertical="top" textRotation="0" wrapText="true" indent="0" shrinkToFit="false"/>
      <protection locked="true" hidden="false"/>
    </xf>
    <xf numFmtId="164" fontId="98" fillId="0" borderId="6" xfId="0" applyFont="true" applyBorder="true" applyAlignment="true" applyProtection="false">
      <alignment horizontal="center" vertical="center" textRotation="0" wrapText="false" indent="0" shrinkToFit="false"/>
      <protection locked="true" hidden="false"/>
    </xf>
    <xf numFmtId="164" fontId="98" fillId="0" borderId="25" xfId="0" applyFont="true" applyBorder="true" applyAlignment="true" applyProtection="false">
      <alignment horizontal="general" vertical="top" textRotation="0" wrapText="true" indent="0" shrinkToFit="false"/>
      <protection locked="true" hidden="false"/>
    </xf>
    <xf numFmtId="164" fontId="14" fillId="0" borderId="26" xfId="0" applyFont="true" applyBorder="true" applyAlignment="true" applyProtection="false">
      <alignment horizontal="general" vertical="top" textRotation="0" wrapText="true" indent="0" shrinkToFit="false"/>
      <protection locked="true" hidden="false"/>
    </xf>
    <xf numFmtId="164" fontId="98" fillId="0" borderId="26" xfId="0" applyFont="true" applyBorder="true" applyAlignment="true" applyProtection="false">
      <alignment horizontal="general" vertical="top" textRotation="0" wrapText="true" indent="0" shrinkToFit="false"/>
      <protection locked="true" hidden="false"/>
    </xf>
    <xf numFmtId="164" fontId="13" fillId="0" borderId="26" xfId="0" applyFont="true" applyBorder="true" applyAlignment="true" applyProtection="false">
      <alignment horizontal="general" vertical="top" textRotation="0" wrapText="true" indent="0" shrinkToFit="false"/>
      <protection locked="true" hidden="false"/>
    </xf>
    <xf numFmtId="164" fontId="101" fillId="0" borderId="0" xfId="0" applyFont="true" applyBorder="false" applyAlignment="true" applyProtection="false">
      <alignment horizontal="general" vertical="top" textRotation="0" wrapText="true" indent="0" shrinkToFit="false"/>
      <protection locked="true" hidden="false"/>
    </xf>
    <xf numFmtId="164" fontId="98" fillId="0" borderId="6" xfId="0" applyFont="true" applyBorder="true" applyAlignment="true" applyProtection="false">
      <alignment horizontal="left" vertical="center" textRotation="0" wrapText="false" indent="0" shrinkToFit="false"/>
      <protection locked="true" hidden="false"/>
    </xf>
    <xf numFmtId="164" fontId="98" fillId="0" borderId="6" xfId="0" applyFont="true" applyBorder="true" applyAlignment="true" applyProtection="false">
      <alignment horizontal="general" vertical="center" textRotation="0" wrapText="false" indent="0" shrinkToFit="false"/>
      <protection locked="true" hidden="false"/>
    </xf>
    <xf numFmtId="164" fontId="13" fillId="0" borderId="6" xfId="0" applyFont="true" applyBorder="true" applyAlignment="true" applyProtection="false">
      <alignment horizontal="general" vertical="center" textRotation="0" wrapText="false" indent="0" shrinkToFit="false"/>
      <protection locked="true" hidden="false"/>
    </xf>
    <xf numFmtId="164" fontId="102" fillId="2" borderId="0" xfId="0" applyFont="true" applyBorder="true" applyAlignment="true" applyProtection="false">
      <alignment horizontal="center" vertical="center" textRotation="0" wrapText="false" indent="0" shrinkToFit="false"/>
      <protection locked="true" hidden="false"/>
    </xf>
    <xf numFmtId="164" fontId="103" fillId="4" borderId="0" xfId="0" applyFont="true" applyBorder="true" applyAlignment="true" applyProtection="false">
      <alignment horizontal="center" vertical="center" textRotation="0" wrapText="false" indent="0" shrinkToFit="false"/>
      <protection locked="true" hidden="false"/>
    </xf>
    <xf numFmtId="164" fontId="104" fillId="0" borderId="0" xfId="0" applyFont="true" applyBorder="true" applyAlignment="true" applyProtection="false">
      <alignment horizontal="left" vertical="center" textRotation="0" wrapText="false" indent="0" shrinkToFit="false"/>
      <protection locked="true" hidden="false"/>
    </xf>
    <xf numFmtId="164" fontId="20" fillId="4" borderId="0" xfId="0" applyFont="true" applyBorder="true" applyAlignment="true" applyProtection="false">
      <alignment horizontal="center" vertical="center" textRotation="0" wrapText="false" indent="0" shrinkToFit="false"/>
      <protection locked="true" hidden="false"/>
    </xf>
    <xf numFmtId="164" fontId="20" fillId="4" borderId="8" xfId="0" applyFont="true" applyBorder="true" applyAlignment="true" applyProtection="false">
      <alignment horizontal="center" vertical="center" textRotation="0" wrapText="true" indent="0" shrinkToFit="false"/>
      <protection locked="true" hidden="false"/>
    </xf>
    <xf numFmtId="164" fontId="105" fillId="0" borderId="6" xfId="0" applyFont="true" applyBorder="true" applyAlignment="true" applyProtection="false">
      <alignment horizontal="center" vertical="center" textRotation="0" wrapText="false" indent="0" shrinkToFit="false"/>
      <protection locked="true" hidden="false"/>
    </xf>
    <xf numFmtId="164" fontId="106" fillId="0" borderId="6" xfId="0" applyFont="true" applyBorder="true" applyAlignment="true" applyProtection="false">
      <alignment horizontal="left" vertical="center" textRotation="0" wrapText="true" indent="0" shrinkToFit="false"/>
      <protection locked="true" hidden="false"/>
    </xf>
    <xf numFmtId="164" fontId="106" fillId="0" borderId="6" xfId="0" applyFont="true" applyBorder="true" applyAlignment="true" applyProtection="false">
      <alignment horizontal="center" vertical="center" textRotation="0" wrapText="false" indent="0" shrinkToFit="false"/>
      <protection locked="true" hidden="false"/>
    </xf>
    <xf numFmtId="165" fontId="106" fillId="0" borderId="6" xfId="0" applyFont="true" applyBorder="true" applyAlignment="true" applyProtection="false">
      <alignment horizontal="center" vertical="center" textRotation="0" wrapText="false" indent="0" shrinkToFit="false"/>
      <protection locked="true" hidden="false"/>
    </xf>
    <xf numFmtId="164" fontId="37" fillId="4" borderId="0" xfId="0" applyFont="true" applyBorder="false" applyAlignment="true" applyProtection="false">
      <alignment horizontal="center" vertical="center" textRotation="0" wrapText="false" indent="0" shrinkToFit="false"/>
      <protection locked="true" hidden="false"/>
    </xf>
    <xf numFmtId="164" fontId="37" fillId="42" borderId="0" xfId="0" applyFont="true" applyBorder="false" applyAlignment="true" applyProtection="false">
      <alignment horizontal="general" vertical="bottom" textRotation="0" wrapText="false" indent="0" shrinkToFit="false"/>
      <protection locked="true" hidden="false"/>
    </xf>
    <xf numFmtId="164" fontId="10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9">
    <dxf>
      <fill>
        <patternFill patternType="solid">
          <fgColor rgb="FF1C7C40"/>
          <bgColor rgb="FF000000"/>
        </patternFill>
      </fill>
    </dxf>
    <dxf>
      <fill>
        <patternFill patternType="solid">
          <fgColor rgb="FFE8EAF6"/>
          <bgColor rgb="FF000000"/>
        </patternFill>
      </fill>
    </dxf>
    <dxf>
      <fill>
        <patternFill patternType="solid">
          <fgColor rgb="FFF1F5F2"/>
          <bgColor rgb="FF000000"/>
        </patternFill>
      </fill>
    </dxf>
    <dxf>
      <fill>
        <patternFill patternType="solid">
          <fgColor rgb="FFFAF5FF"/>
          <bgColor rgb="FF000000"/>
        </patternFill>
      </fill>
    </dxf>
    <dxf>
      <fill>
        <patternFill patternType="solid">
          <fgColor rgb="FFFAFBFA"/>
          <bgColor rgb="FF000000"/>
        </patternFill>
      </fill>
    </dxf>
    <dxf>
      <fill>
        <patternFill patternType="solid">
          <fgColor rgb="FFFDECEA"/>
          <bgColor rgb="FF000000"/>
        </patternFill>
      </fill>
    </dxf>
    <dxf>
      <fill>
        <patternFill patternType="solid">
          <fgColor rgb="FFFFCDD2"/>
          <bgColor rgb="FF000000"/>
        </patternFill>
      </fill>
    </dxf>
    <dxf>
      <fill>
        <patternFill patternType="solid">
          <fgColor rgb="FFFFF9EC"/>
          <bgColor rgb="FF000000"/>
        </patternFill>
      </fill>
    </dxf>
    <dxf>
      <fill>
        <patternFill patternType="solid">
          <fgColor rgb="FFFFFBEB"/>
          <bgColor rgb="FF000000"/>
        </patternFill>
      </fill>
    </dxf>
    <dxf>
      <fill>
        <patternFill patternType="solid">
          <bgColor rgb="FF000000"/>
        </patternFill>
      </fill>
    </dxf>
    <dxf>
      <fill>
        <patternFill patternType="solid">
          <fgColor rgb="FF000000"/>
          <bgColor rgb="FF000000"/>
        </patternFill>
      </fill>
    </dxf>
    <dxf>
      <fill>
        <patternFill patternType="solid">
          <fgColor rgb="FF1A237E"/>
          <bgColor rgb="FF000000"/>
        </patternFill>
      </fill>
    </dxf>
    <dxf>
      <fill>
        <patternFill patternType="solid">
          <fgColor rgb="FF55705F"/>
          <bgColor rgb="FF000000"/>
        </patternFill>
      </fill>
    </dxf>
    <dxf>
      <fill>
        <patternFill patternType="solid">
          <fgColor rgb="FF7C3AED"/>
          <bgColor rgb="FF000000"/>
        </patternFill>
      </fill>
    </dxf>
    <dxf>
      <fill>
        <patternFill patternType="solid">
          <fgColor rgb="FFA16207"/>
          <bgColor rgb="FF000000"/>
        </patternFill>
      </fill>
    </dxf>
    <dxf>
      <fill>
        <patternFill patternType="solid">
          <fgColor rgb="FFB71C1C"/>
          <bgColor rgb="FF000000"/>
        </patternFill>
      </fill>
    </dxf>
    <dxf>
      <fill>
        <patternFill patternType="solid">
          <fgColor rgb="FFFFFFFF"/>
          <bgColor rgb="FF000000"/>
        </patternFill>
      </fill>
    </dxf>
    <dxf>
      <fill>
        <patternFill patternType="solid">
          <fgColor rgb="FF9A6700"/>
          <bgColor rgb="FF000000"/>
        </patternFill>
      </fill>
    </dxf>
    <dxf>
      <fill>
        <patternFill patternType="solid">
          <fgColor rgb="FFB3261E"/>
          <bgColor rgb="FF000000"/>
        </patternFill>
      </fill>
    </dxf>
    <dxf>
      <fill>
        <patternFill patternType="solid">
          <fgColor rgb="FF283593"/>
          <bgColor rgb="FF000000"/>
        </patternFill>
      </fill>
    </dxf>
    <dxf>
      <fill>
        <patternFill patternType="solid">
          <fgColor rgb="FF607D8B"/>
          <bgColor rgb="FF000000"/>
        </patternFill>
      </fill>
    </dxf>
    <dxf>
      <fill>
        <patternFill patternType="solid">
          <fgColor rgb="FF7B1FA2"/>
          <bgColor rgb="FF000000"/>
        </patternFill>
      </fill>
    </dxf>
    <dxf>
      <fill>
        <patternFill patternType="solid">
          <fgColor rgb="FFBBDEFB"/>
          <bgColor rgb="FF000000"/>
        </patternFill>
      </fill>
    </dxf>
    <dxf>
      <fill>
        <patternFill patternType="solid">
          <fgColor rgb="FFC8E6C9"/>
          <bgColor rgb="FF000000"/>
        </patternFill>
      </fill>
    </dxf>
    <dxf>
      <fill>
        <patternFill patternType="solid">
          <fgColor rgb="FFE3F2FD"/>
          <bgColor rgb="FF000000"/>
        </patternFill>
      </fill>
    </dxf>
    <dxf>
      <fill>
        <patternFill patternType="solid">
          <fgColor rgb="FFF9FBE7"/>
          <bgColor rgb="FF000000"/>
        </patternFill>
      </fill>
    </dxf>
    <dxf>
      <fill>
        <patternFill patternType="solid">
          <fgColor rgb="FFFFCCBC"/>
          <bgColor rgb="FF000000"/>
        </patternFill>
      </fill>
    </dxf>
    <dxf>
      <fill>
        <patternFill patternType="solid">
          <fgColor rgb="FF0D47A1"/>
          <bgColor rgb="FF000000"/>
        </patternFill>
      </fill>
    </dxf>
    <dxf>
      <fill>
        <patternFill patternType="solid">
          <fgColor rgb="FF1B5E20"/>
          <bgColor rgb="FF000000"/>
        </patternFill>
      </fill>
    </dxf>
    <dxf>
      <fill>
        <patternFill patternType="solid">
          <fgColor rgb="FF33691E"/>
          <bgColor rgb="FF000000"/>
        </patternFill>
      </fill>
    </dxf>
    <dxf>
      <fill>
        <patternFill patternType="solid">
          <fgColor rgb="FF4E342E"/>
          <bgColor rgb="FF000000"/>
        </patternFill>
      </fill>
    </dxf>
    <dxf>
      <fill>
        <patternFill patternType="solid">
          <fgColor rgb="FFFFEBEE"/>
          <bgColor rgb="FF000000"/>
        </patternFill>
      </fill>
    </dxf>
    <dxf>
      <fill>
        <patternFill patternType="solid">
          <fgColor rgb="FFFFF3E0"/>
          <bgColor rgb="FF000000"/>
        </patternFill>
      </fill>
    </dxf>
    <dxf>
      <fill>
        <patternFill patternType="solid">
          <fgColor rgb="FFC62828"/>
          <bgColor rgb="FF000000"/>
        </patternFill>
      </fill>
    </dxf>
    <dxf>
      <fill>
        <patternFill patternType="solid">
          <fgColor rgb="FFE65100"/>
          <bgColor rgb="FF000000"/>
        </patternFill>
      </fill>
    </dxf>
    <dxf>
      <fill>
        <patternFill patternType="solid">
          <fgColor rgb="FFB2DFDB"/>
          <bgColor rgb="FF000000"/>
        </patternFill>
      </fill>
    </dxf>
    <dxf>
      <fill>
        <patternFill patternType="solid">
          <fgColor rgb="FFF4FAF5"/>
          <bgColor rgb="FF000000"/>
        </patternFill>
      </fill>
    </dxf>
    <dxf>
      <fill>
        <patternFill patternType="solid">
          <fgColor rgb="FFFFE0B2"/>
          <bgColor rgb="FF000000"/>
        </patternFill>
      </fill>
    </dxf>
    <dxf>
      <fill>
        <patternFill patternType="solid">
          <fgColor rgb="FF7A5200"/>
          <bgColor rgb="FF000000"/>
        </patternFill>
      </fill>
    </dxf>
    <dxf>
      <fill>
        <patternFill patternType="solid">
          <fgColor rgb="FF7A8F80"/>
          <bgColor rgb="FF000000"/>
        </patternFill>
      </fill>
    </dxf>
    <dxf>
      <fill>
        <patternFill patternType="solid">
          <fgColor rgb="FF8C1D18"/>
          <bgColor rgb="FF000000"/>
        </patternFill>
      </fill>
    </dxf>
    <dxf>
      <fill>
        <patternFill patternType="solid">
          <fgColor rgb="FFE0F2FE"/>
          <bgColor rgb="FF000000"/>
        </patternFill>
      </fill>
    </dxf>
    <dxf>
      <fill>
        <patternFill patternType="solid">
          <fgColor rgb="FF0C4A6E"/>
          <bgColor rgb="FF000000"/>
        </patternFill>
      </fill>
    </dxf>
    <dxf>
      <fill>
        <patternFill patternType="solid">
          <fgColor rgb="FF2E7D32"/>
          <bgColor rgb="FF000000"/>
        </patternFill>
      </fill>
    </dxf>
    <dxf>
      <fill>
        <patternFill patternType="solid">
          <fgColor rgb="FF334155"/>
          <bgColor rgb="FF000000"/>
        </patternFill>
      </fill>
    </dxf>
    <dxf>
      <fill>
        <patternFill patternType="solid">
          <fgColor rgb="FF37474F"/>
          <bgColor rgb="FF000000"/>
        </patternFill>
      </fill>
    </dxf>
    <dxf>
      <fill>
        <patternFill patternType="solid">
          <fgColor rgb="FF6A1B9A"/>
          <bgColor rgb="FF000000"/>
        </patternFill>
      </fill>
    </dxf>
    <dxf>
      <fill>
        <patternFill patternType="solid">
          <fgColor rgb="FF880E4F"/>
          <bgColor rgb="FF000000"/>
        </patternFill>
      </fill>
    </dxf>
    <dxf>
      <fill>
        <patternFill patternType="solid">
          <fgColor rgb="FFBF360C"/>
          <bgColor rgb="FF000000"/>
        </patternFill>
      </fill>
    </dxf>
    <dxf>
      <fill>
        <patternFill patternType="solid">
          <fgColor rgb="FF1565C0"/>
          <bgColor rgb="FF000000"/>
        </patternFill>
      </fill>
    </dxf>
    <dxf>
      <fill>
        <patternFill patternType="solid">
          <fgColor rgb="FF17B8C8"/>
          <bgColor rgb="FF000000"/>
        </patternFill>
      </fill>
    </dxf>
    <dxf>
      <fill>
        <patternFill patternType="solid">
          <fgColor rgb="FFBBBBBB"/>
          <bgColor rgb="FF000000"/>
        </patternFill>
      </fill>
    </dxf>
    <dxf>
      <fill>
        <patternFill patternType="solid">
          <fgColor rgb="FFDBEAFE"/>
          <bgColor rgb="FF000000"/>
        </patternFill>
      </fill>
    </dxf>
    <dxf>
      <fill>
        <patternFill patternType="solid">
          <fgColor rgb="FFF3E8FF"/>
          <bgColor rgb="FF000000"/>
        </patternFill>
      </fill>
    </dxf>
    <dxf>
      <fill>
        <patternFill patternType="solid">
          <fgColor rgb="FFFEF3C7"/>
          <bgColor rgb="FF000000"/>
        </patternFill>
      </fill>
    </dxf>
    <dxf>
      <fill>
        <patternFill patternType="solid">
          <fgColor rgb="FF1D4ED8"/>
          <bgColor rgb="FF000000"/>
        </patternFill>
      </fill>
    </dxf>
    <dxf>
      <fill>
        <patternFill patternType="solid">
          <fgColor rgb="FFB45309"/>
          <bgColor rgb="FF000000"/>
        </patternFill>
      </fill>
    </dxf>
    <dxf>
      <fill>
        <patternFill>
          <bgColor rgb="FFFDECEA"/>
        </patternFill>
      </fill>
      <border diagonalUp="false" diagonalDown="false">
        <left/>
        <right/>
        <top/>
        <bottom style="medium">
          <color rgb="FF969C9E"/>
        </bottom>
        <diagonal/>
      </border>
    </dxf>
    <dxf>
      <fill>
        <patternFill>
          <bgColor rgb="FFFFF9EC"/>
        </patternFill>
      </fill>
      <border diagonalUp="false" diagonalDown="false">
        <left/>
        <right/>
        <top/>
        <bottom style="medium">
          <color rgb="FF969C9E"/>
        </bottom>
        <diagonal/>
      </border>
    </dxf>
    <dxf>
      <font>
        <b val="1"/>
        <color rgb="FFB3261E"/>
      </font>
      <border diagonalUp="false" diagonalDown="false">
        <left style="thick">
          <color rgb="FFB3261E"/>
        </left>
        <right/>
        <top/>
        <bottom style="medium">
          <color rgb="FF969C9E"/>
        </bottom>
        <diagonal/>
      </border>
    </dxf>
    <dxf>
      <font>
        <b val="1"/>
        <color rgb="FF9A6700"/>
      </font>
      <border diagonalUp="false" diagonalDown="false">
        <left style="thick">
          <color rgb="FF8F6201"/>
        </left>
        <right/>
        <top/>
        <bottom style="medium">
          <color rgb="FF969C9E"/>
        </bottom>
        <diagonal/>
      </border>
    </dxf>
    <dxf>
      <fill>
        <patternFill>
          <bgColor rgb="FFFAFBFA"/>
        </patternFill>
      </fill>
    </dxf>
    <dxf>
      <fill>
        <patternFill>
          <bgColor rgb="FFE8EAF6"/>
        </patternFill>
      </fill>
    </dxf>
    <dxf>
      <font>
        <b val="1"/>
        <color rgb="FF8C1D18"/>
      </font>
      <fill>
        <patternFill>
          <bgColor rgb="FFFFCDD2"/>
        </patternFill>
      </fill>
    </dxf>
    <dxf>
      <font>
        <b val="1"/>
        <color rgb="FF7A5200"/>
      </font>
      <fill>
        <patternFill>
          <bgColor rgb="FFFFE0B2"/>
        </patternFill>
      </fill>
    </dxf>
    <dxf>
      <font>
        <name val="Arial"/>
        <charset val="1"/>
        <family val="0"/>
        <b val="1"/>
        <color rgb="FFFFFFFF"/>
        <sz val="10"/>
      </font>
      <fill>
        <patternFill>
          <bgColor rgb="FF607D8B"/>
        </patternFill>
      </fill>
    </dxf>
    <dxf>
      <font>
        <name val="Arial"/>
        <charset val="1"/>
        <family val="0"/>
        <b val="1"/>
        <color rgb="FF4E342E"/>
        <sz val="10"/>
      </font>
      <fill>
        <patternFill>
          <bgColor rgb="FFFFCCBC"/>
        </patternFill>
      </fill>
    </dxf>
    <dxf>
      <font>
        <name val="Arial"/>
        <charset val="1"/>
        <family val="0"/>
        <b val="1"/>
        <color rgb="FF0D47A1"/>
        <sz val="10"/>
      </font>
      <fill>
        <patternFill>
          <bgColor rgb="FFBBDEFB"/>
        </patternFill>
      </fill>
    </dxf>
    <dxf>
      <font>
        <name val="Arial"/>
        <charset val="1"/>
        <family val="0"/>
        <b val="1"/>
        <color rgb="FFFFFFFF"/>
        <sz val="10"/>
      </font>
      <fill>
        <patternFill>
          <bgColor rgb="FF7B1FA2"/>
        </patternFill>
      </fill>
    </dxf>
    <dxf>
      <font>
        <name val="Arial"/>
        <charset val="1"/>
        <family val="0"/>
        <b val="1"/>
        <color rgb="FF1B5E20"/>
        <sz val="10"/>
      </font>
      <fill>
        <patternFill>
          <bgColor rgb="FFC8E6C9"/>
        </patternFill>
      </fill>
    </dxf>
    <dxf>
      <font>
        <name val="Arial"/>
        <charset val="1"/>
        <family val="0"/>
        <b val="1"/>
        <color rgb="FF1A237E"/>
        <sz val="10"/>
      </font>
      <fill>
        <patternFill>
          <bgColor rgb="FFE3F2FD"/>
        </patternFill>
      </fill>
    </dxf>
    <dxf>
      <font>
        <name val="Arial"/>
        <charset val="1"/>
        <family val="0"/>
        <b val="1"/>
        <color rgb="FFFFFFFF"/>
        <sz val="10"/>
      </font>
      <fill>
        <patternFill>
          <bgColor rgb="FF283593"/>
        </patternFill>
      </fill>
    </dxf>
    <dxf>
      <font>
        <name val="Arial"/>
        <charset val="1"/>
        <family val="0"/>
        <b val="1"/>
        <color rgb="FF3E2723"/>
        <sz val="10"/>
      </font>
      <fill>
        <patternFill>
          <bgColor rgb="FFFFE0B2"/>
        </patternFill>
      </fill>
    </dxf>
    <dxf>
      <font>
        <name val="Arial"/>
        <charset val="1"/>
        <family val="0"/>
        <b val="1"/>
        <color rgb="FF33691E"/>
        <sz val="10"/>
      </font>
      <fill>
        <patternFill>
          <bgColor rgb="FFF9FBE7"/>
        </patternFill>
      </fill>
    </dxf>
    <dxf>
      <font>
        <name val="Arial"/>
        <charset val="1"/>
        <family val="0"/>
        <b val="1"/>
        <color rgb="FFFFFFFF"/>
        <sz val="10"/>
      </font>
      <fill>
        <patternFill>
          <bgColor rgb="FF546E7A"/>
        </patternFill>
      </fill>
    </dxf>
    <dxf>
      <font>
        <name val="Arial"/>
        <charset val="1"/>
        <family val="0"/>
        <b val="1"/>
        <color rgb="FFFFFFFF"/>
        <sz val="10"/>
      </font>
      <fill>
        <patternFill>
          <bgColor rgb="FFB71C1C"/>
        </patternFill>
      </fill>
    </dxf>
    <dxf>
      <font>
        <b val="1"/>
        <color rgb="FF0E7490"/>
      </font>
      <fill>
        <patternFill>
          <bgColor rgb="FFCFFAFE"/>
        </patternFill>
      </fill>
    </dxf>
    <dxf>
      <font>
        <color rgb="FF9E9E9E"/>
      </font>
    </dxf>
    <dxf>
      <font>
        <b val="1"/>
        <color rgb="FF1565C0"/>
      </font>
    </dxf>
    <dxf>
      <font>
        <b val="1"/>
        <color rgb="FF37474F"/>
      </font>
    </dxf>
    <dxf>
      <font>
        <b val="1"/>
        <color rgb="FF4527A0"/>
      </font>
    </dxf>
    <dxf>
      <font>
        <b val="1"/>
        <color rgb="FFBF360C"/>
      </font>
      <fill>
        <patternFill>
          <bgColor rgb="FFFBE9E7"/>
        </patternFill>
      </fill>
    </dxf>
    <dxf>
      <font>
        <color rgb="FFBDBDBD"/>
      </font>
    </dxf>
    <dxf>
      <font>
        <b val="1"/>
        <color rgb="FF0C4A6E"/>
      </font>
      <fill>
        <patternFill>
          <bgColor rgb="FFE0F2FE"/>
        </patternFill>
      </fill>
    </dxf>
    <dxf>
      <font>
        <b val="1"/>
        <color rgb="FF6A1B9A"/>
      </font>
    </dxf>
    <dxf>
      <font>
        <b val="1"/>
        <color rgb="FF2E7D32"/>
      </font>
    </dxf>
    <dxf>
      <font>
        <b val="1"/>
        <color rgb="FF4E342E"/>
      </font>
    </dxf>
    <dxf>
      <font>
        <b val="1"/>
        <color rgb="FFE65100"/>
      </font>
    </dxf>
    <dxf>
      <font>
        <b val="1"/>
        <color rgb="FFBF360C"/>
      </font>
    </dxf>
    <dxf>
      <font>
        <b val="1"/>
        <color rgb="FF880E4F"/>
      </font>
    </dxf>
    <dxf>
      <font>
        <b val="1"/>
        <color rgb="FF334155"/>
      </font>
    </dxf>
    <dxf>
      <font>
        <color rgb="FF047857"/>
      </font>
      <fill>
        <patternFill>
          <bgColor rgb="FFD1FAE5"/>
        </patternFill>
      </fill>
    </dxf>
    <dxf>
      <font>
        <color rgb="FF1D4ED8"/>
        <sz val="9"/>
      </font>
      <fill>
        <patternFill>
          <bgColor rgb="FFDBEAFE"/>
        </patternFill>
      </fill>
    </dxf>
    <dxf>
      <font>
        <color rgb="FFB45309"/>
        <sz val="9"/>
      </font>
      <fill>
        <patternFill>
          <bgColor rgb="FFFEF3C7"/>
        </patternFill>
      </fill>
    </dxf>
    <dxf>
      <font>
        <color rgb="FF7C3AED"/>
        <sz val="9"/>
      </font>
      <fill>
        <patternFill>
          <bgColor rgb="FFF3E8FF"/>
        </patternFill>
      </fill>
    </dxf>
    <dxf>
      <font>
        <b val="1"/>
        <color rgb="FFFFFFFF"/>
      </font>
      <fill>
        <patternFill>
          <bgColor rgb="FFC00000"/>
        </patternFill>
      </fill>
    </dxf>
    <dxf>
      <font>
        <color rgb="FF7A8F80"/>
      </font>
      <fill>
        <patternFill>
          <bgColor rgb="FFF4FAF5"/>
        </patternFill>
      </fill>
    </dxf>
    <dxf>
      <fill>
        <patternFill>
          <bgColor rgb="FFB2DFDB"/>
        </patternFill>
      </fill>
    </dxf>
    <dxf>
      <font>
        <color rgb="FFC62828"/>
      </font>
      <fill>
        <patternFill>
          <bgColor rgb="FFFFEBEE"/>
        </patternFill>
      </fill>
    </dxf>
    <dxf>
      <font>
        <color rgb="FFE65100"/>
      </font>
      <fill>
        <patternFill>
          <bgColor rgb="FFFFF3E0"/>
        </patternFill>
      </fill>
    </dxf>
    <dxf>
      <font>
        <color rgb="FF757575"/>
      </font>
      <fill>
        <patternFill>
          <bgColor rgb="FFF5F5F5"/>
        </patternFill>
      </fill>
    </dxf>
    <dxf>
      <font>
        <b val="1"/>
        <color rgb="FF00695C"/>
      </font>
      <fill>
        <patternFill>
          <bgColor rgb="FFE0F2F1"/>
        </patternFill>
      </fill>
    </dxf>
    <dxf>
      <font>
        <color rgb="FF01579B"/>
      </font>
      <fill>
        <patternFill>
          <bgColor rgb="FFE1F5FE"/>
        </patternFill>
      </fill>
    </dxf>
    <dxf>
      <font>
        <b val="1"/>
        <color rgb="FFFFFFFF"/>
      </font>
      <fill>
        <patternFill>
          <bgColor rgb="FF17B8C8"/>
        </patternFill>
      </fill>
    </dxf>
    <dxf>
      <font>
        <color rgb="FFBBBBBB"/>
      </font>
    </dxf>
    <dxf>
      <fill>
        <patternFill>
          <bgColor rgb="FFFDE8E8"/>
        </patternFill>
      </fill>
    </dxf>
    <dxf>
      <font>
        <name val="Arial"/>
        <charset val="1"/>
        <family val="0"/>
        <b val="1"/>
        <color rgb="FFB71C1C"/>
        <sz val="12"/>
      </font>
      <fill>
        <patternFill>
          <bgColor rgb="FFFFCDD2"/>
        </patternFill>
      </fill>
    </dxf>
    <dxf>
      <font>
        <name val="Arial"/>
        <charset val="1"/>
        <family val="0"/>
        <b val="1"/>
        <color rgb="FF0369A1"/>
        <sz val="12"/>
      </font>
      <fill>
        <patternFill>
          <bgColor rgb="FFE0F2FE"/>
        </patternFill>
      </fill>
    </dxf>
    <dxf>
      <font>
        <name val="Arial"/>
        <charset val="1"/>
        <family val="0"/>
        <b val="1"/>
        <color rgb="FF7C3AED"/>
        <sz val="12"/>
      </font>
      <fill>
        <patternFill>
          <bgColor rgb="FFFAF5FF"/>
        </patternFill>
      </fill>
    </dxf>
    <dxf>
      <font>
        <name val="Arial"/>
        <charset val="1"/>
        <family val="0"/>
        <b val="1"/>
        <color rgb="FFA16207"/>
        <sz val="12"/>
      </font>
      <fill>
        <patternFill>
          <bgColor rgb="FFFFFBEB"/>
        </patternFill>
      </fill>
    </dxf>
    <dxf>
      <font>
        <name val="Arial"/>
        <charset val="1"/>
        <family val="0"/>
        <b val="1"/>
        <color rgb="FF55705F"/>
        <sz val="12"/>
      </font>
      <fill>
        <patternFill>
          <bgColor rgb="FFF1F5F2"/>
        </patternFill>
      </fill>
    </dxf>
    <dxf>
      <font>
        <name val="Arial"/>
        <charset val="1"/>
        <family val="0"/>
        <b val="1"/>
        <color rgb="FF8A6D00"/>
        <sz val="10"/>
      </font>
      <fill>
        <patternFill>
          <bgColor rgb="FFFFF3CD"/>
        </patternFill>
      </fill>
    </dxf>
    <dxf>
      <font>
        <name val="Arial"/>
        <charset val="1"/>
        <family val="0"/>
        <b val="1"/>
        <color rgb="FFB71C1C"/>
        <sz val="10"/>
      </font>
      <fill>
        <patternFill>
          <bgColor rgb="FFFFCDD2"/>
        </patternFill>
      </fill>
    </dxf>
    <dxf>
      <font>
        <name val="Arial"/>
        <charset val="1"/>
        <family val="0"/>
        <b val="1"/>
        <color rgb="FF1B5E20"/>
        <sz val="9"/>
      </font>
      <fill>
        <patternFill>
          <bgColor rgb="FFC8E6C9"/>
        </patternFill>
      </fill>
    </dxf>
    <dxf>
      <font>
        <name val="Arial"/>
        <charset val="1"/>
        <family val="0"/>
        <b val="1"/>
        <color rgb="FF2E7D32"/>
        <sz val="9"/>
      </font>
    </dxf>
    <dxf>
      <fill>
        <patternFill>
          <bgColor rgb="FFFFF3CD"/>
        </patternFill>
      </fill>
    </dxf>
    <dxf>
      <fill>
        <patternFill patternType="solid">
          <fgColor rgb="FFFFF1E0"/>
          <bgColor rgb="FF000000"/>
        </patternFill>
      </fill>
    </dxf>
    <dxf>
      <fill>
        <patternFill>
          <bgColor rgb="FFFDECEA"/>
        </patternFill>
      </fill>
    </dxf>
    <dxf>
      <fill>
        <patternFill>
          <bgColor rgb="FFE8F4EE"/>
        </patternFill>
      </fill>
    </dxf>
    <dxf>
      <fill>
        <patternFill>
          <bgColor rgb="FFFFF1E0"/>
        </patternFill>
      </fill>
    </dxf>
    <dxf>
      <fill>
        <patternFill>
          <bgColor rgb="FFFFF8E1"/>
        </patternFill>
      </fill>
    </dxf>
    <dxf>
      <fill>
        <patternFill>
          <bgColor rgb="FFEFEFEF"/>
        </patternFill>
      </fill>
    </dxf>
    <dxf>
      <font>
        <b val="1"/>
        <color rgb="FFB3261E"/>
      </font>
    </dxf>
    <dxf>
      <fill>
        <patternFill patternType="solid">
          <fgColor rgb="FFAAAAAA"/>
          <bgColor rgb="FF000000"/>
        </patternFill>
      </fill>
    </dxf>
    <dxf>
      <fill>
        <patternFill patternType="solid">
          <fgColor rgb="FF0563C1"/>
          <bgColor rgb="FF000000"/>
        </patternFill>
      </fill>
    </dxf>
    <dxf>
      <fill>
        <patternFill patternType="solid">
          <fgColor rgb="FF9CA3AF"/>
          <bgColor rgb="FF000000"/>
        </patternFill>
      </fill>
    </dxf>
    <dxf>
      <font>
        <b val="1"/>
        <color rgb="FF1B5E20"/>
      </font>
      <fill>
        <patternFill>
          <bgColor rgb="FFE8F5E9"/>
        </patternFill>
      </fill>
    </dxf>
    <dxf>
      <font>
        <color rgb="FF9CA3AF"/>
      </font>
    </dxf>
    <dxf>
      <fill>
        <patternFill patternType="solid">
          <fgColor rgb="FFFAFAFA"/>
          <bgColor rgb="FF000000"/>
        </patternFill>
      </fill>
    </dxf>
    <dxf>
      <fill>
        <patternFill>
          <bgColor rgb="FFFFF5F5"/>
        </patternFill>
      </fill>
    </dxf>
    <dxf>
      <fill>
        <patternFill>
          <bgColor rgb="FFF4FBF5"/>
        </patternFill>
      </fill>
    </dxf>
    <dxf>
      <fill>
        <patternFill>
          <bgColor rgb="FFFAFAFA"/>
        </patternFill>
      </fill>
    </dxf>
    <dxf>
      <font>
        <b val="1"/>
        <color rgb="FFC81E1E"/>
      </font>
      <fill>
        <patternFill>
          <bgColor rgb="FFFDE8E8"/>
        </patternFill>
      </fill>
    </dxf>
    <dxf>
      <font>
        <b val="1"/>
        <color rgb="FFB45309"/>
      </font>
      <fill>
        <patternFill>
          <bgColor rgb="FFFEF3C7"/>
        </patternFill>
      </fill>
    </dxf>
    <dxf>
      <font>
        <color rgb="FF1D4ED8"/>
      </font>
      <fill>
        <patternFill>
          <bgColor rgb="FFDBEAFE"/>
        </patternFill>
      </fill>
    </dxf>
    <dxf>
      <font>
        <color rgb="FFB45309"/>
      </font>
      <fill>
        <patternFill>
          <bgColor rgb="FFFEF3C7"/>
        </patternFill>
      </fill>
    </dxf>
    <dxf>
      <font>
        <color rgb="FF7C3AED"/>
      </font>
      <fill>
        <patternFill>
          <bgColor rgb="FFF3E8FF"/>
        </patternFill>
      </fill>
    </dxf>
    <dxf>
      <font>
        <color rgb="FF3730A3"/>
      </font>
      <fill>
        <patternFill>
          <bgColor rgb="FFE0E7FF"/>
        </patternFill>
      </fill>
    </dxf>
    <dxf>
      <fill>
        <patternFill>
          <bgColor rgb="FFFFF7E6"/>
        </patternFill>
      </fill>
    </dxf>
  </dxfs>
  <colors>
    <indexedColors>
      <rgbColor rgb="FF000000"/>
      <rgbColor rgb="FFFFFFFF"/>
      <rgbColor rgb="FFFF0000"/>
      <rgbColor rgb="FFF1F7F2"/>
      <rgbColor rgb="FFF6FBF8"/>
      <rgbColor rgb="FFFFFF00"/>
      <rgbColor rgb="FFF4F7F8"/>
      <rgbColor rgb="FFE3F3FD"/>
      <rgbColor rgb="FF8B121D"/>
      <rgbColor rgb="FF006937"/>
      <rgbColor rgb="FFFFF9F2"/>
      <rgbColor rgb="FF8F6201"/>
      <rgbColor rgb="FF7526DE"/>
      <rgbColor rgb="FF048491"/>
      <rgbColor rgb="FFBABCBB"/>
      <rgbColor rgb="FFEDEAF9"/>
      <rgbColor rgb="FFDDE3DF"/>
      <rgbColor rgb="FFC52A12"/>
      <rgbColor rgb="FFFFF3CB"/>
      <rgbColor rgb="FFD1FAF8"/>
      <rgbColor rgb="FFF9F9FE"/>
      <rgbColor rgb="FFFCE4EC"/>
      <rgbColor rgb="FF055CC6"/>
      <rgbColor rgb="FFC5DFF4"/>
      <rgbColor rgb="FFFFFDEA"/>
      <rgbColor rgb="FFF3F8FA"/>
      <rgbColor rgb="FFFFF3E0"/>
      <rgbColor rgb="FFEFEFF1"/>
      <rgbColor rgb="FFFFF8E6"/>
      <rgbColor rgb="FFBE0B0C"/>
      <rgbColor rgb="FF1D7D3D"/>
      <rgbColor rgb="FFFAFBFA"/>
      <rgbColor rgb="FFF3E8FF"/>
      <rgbColor rgb="FFE4F5FE"/>
      <rgbColor rgb="FFE0F2F1"/>
      <rgbColor rgb="FFFFE6AE"/>
      <rgbColor rgb="FFC8E6C9"/>
      <rgbColor rgb="FFE4D1D1"/>
      <rgbColor rgb="FFDDDDDD"/>
      <rgbColor rgb="FFFFCDD0"/>
      <rgbColor rgb="FFFFEBEE"/>
      <rgbColor rgb="FFDFE9FF"/>
      <rgbColor rgb="FFE8F5ED"/>
      <rgbColor rgb="FFFDE9E8"/>
      <rgbColor rgb="FFFDECEA"/>
      <rgbColor rgb="FFD45203"/>
      <rgbColor rgb="FF617179"/>
      <rgbColor rgb="FF969C9E"/>
      <rgbColor rgb="FF0F3D7A"/>
      <rgbColor rgb="FF026938"/>
      <rgbColor rgb="FF08582F"/>
      <rgbColor rgb="FF1C5F20"/>
      <rgbColor rgb="FFB3261E"/>
      <rgbColor rgb="FFF5F7F5"/>
      <rgbColor rgb="FF21268F"/>
      <rgbColor rgb="FF3439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1162080</xdr:colOff>
      <xdr:row>0</xdr:row>
      <xdr:rowOff>57240</xdr:rowOff>
    </xdr:from>
    <xdr:to>
      <xdr:col>1</xdr:col>
      <xdr:colOff>31320</xdr:colOff>
      <xdr:row>1</xdr:row>
      <xdr:rowOff>198720</xdr:rowOff>
    </xdr:to>
    <xdr:pic>
      <xdr:nvPicPr>
        <xdr:cNvPr id="0" name="Image 1" descr="Picture"/>
        <xdr:cNvPicPr/>
      </xdr:nvPicPr>
      <xdr:blipFill>
        <a:blip r:embed="rId1"/>
        <a:stretch/>
      </xdr:blipFill>
      <xdr:spPr>
        <a:xfrm>
          <a:off x="1162080" y="57240"/>
          <a:ext cx="1265760" cy="4654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FindingsDraftTable6" displayName="FindingsDraftTable6" ref="A3:K503" headerRowCount="1" totalsRowCount="0" totalsRowShown="0">
  <autoFilter ref="A3:K503"/>
  <tableColumns count="11">
    <tableColumn id="1" name="#"/>
    <tableColumn id="2" name=" By"/>
    <tableColumn id="3" name="Category"/>
    <tableColumn id="4" name="Sub-Category"/>
    <tableColumn id="5" name="Finding Description"/>
    <tableColumn id="6" name="Remarks"/>
    <tableColumn id="7" name="Photo URL"/>
    <tableColumn id="8" name="AMOS Status"/>
    <tableColumn id="9" name="WO No."/>
    <tableColumn id="10" name="P/N Required"/>
    <tableColumn id="11" name="Qty"/>
  </tableColumns>
</table>
</file>

<file path=xl/tables/table2.xml><?xml version="1.0" encoding="utf-8"?>
<table xmlns="http://schemas.openxmlformats.org/spreadsheetml/2006/main" id="2" name="TrackerTable13" displayName="TrackerTable13" ref="A3:Q993" headerRowCount="1" totalsRowCount="0" totalsRowShown="0">
  <autoFilter ref="A3:Q993">
    <filterColumn colId="4">
      <filters blank="1">
        <filter val="I/W"/>
        <filter val="Open"/>
      </filters>
    </filterColumn>
  </autoFilter>
  <tableColumns count="17">
    <tableColumn id="1" name="WO / Event&#10;Number"/>
    <tableColumn id="2" name="Task Description"/>
    <tableColumn id="3" name="Seq.&#10;No."/>
    <tableColumn id="4" name="Category"/>
    <tableColumn id="5" name="Status"/>
    <tableColumn id="6" name="Priority"/>
    <tableColumn id="7" name="Specialty"/>
    <tableColumn id="8" name="PARTS&#10;REQ."/>
    <tableColumn id="9" name="Remarks"/>
    <tableColumn id="10" name="Time EVAL?"/>
    <tableColumn id="11" name="AREA"/>
    <tableColumn id="12" name="Updated"/>
    <tableColumn id="13" name="Closed&#10;Date"/>
    <tableColumn id="14" name="Est&#10;MH"/>
    <tableColumn id="15" name="ATA"/>
    <tableColumn id="16" name="Booked&#10;MH"/>
    <tableColumn id="17" name="Actual&#10;Dur (h)"/>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i.ibb.co/V0S6MWKf/2c0f499aba84.jpg" TargetMode="External"/><Relationship Id="rId2" Type="http://schemas.openxmlformats.org/officeDocument/2006/relationships/hyperlink" Target="https://i.ibb.co/7JSQz40y/121e4cb35567.jpg" TargetMode="External"/><Relationship Id="rId3" Type="http://schemas.openxmlformats.org/officeDocument/2006/relationships/hyperlink" Target="https://i.ibb.co/cKvnQbLQ/d8d90d2d32a4.jpg" TargetMode="External"/><Relationship Id="rId4" Type="http://schemas.openxmlformats.org/officeDocument/2006/relationships/hyperlink" Target="https://i.ibb.co/LDKNs53R/60a738aab7c7.jpg" TargetMode="External"/><Relationship Id="rId5" Type="http://schemas.openxmlformats.org/officeDocument/2006/relationships/hyperlink" Target="https://i.ibb.co/sdM1bx04/333df573f526.jpg" TargetMode="External"/><Relationship Id="rId6" Type="http://schemas.openxmlformats.org/officeDocument/2006/relationships/hyperlink" Target="https://i.ibb.co/TdKwHcy/1ffabf0fe14f.jpg" TargetMode="External"/><Relationship Id="rId7" Type="http://schemas.openxmlformats.org/officeDocument/2006/relationships/hyperlink" Target="https://i.ibb.co/cc3kMLpK/53b04780be07.jpg" TargetMode="External"/><Relationship Id="rId8" Type="http://schemas.openxmlformats.org/officeDocument/2006/relationships/hyperlink" Target="https://i.ibb.co/5WPqGk9Z/ff9771b3f85c.jpg" TargetMode="External"/><Relationship Id="rId9" Type="http://schemas.openxmlformats.org/officeDocument/2006/relationships/hyperlink" Target="https://i.ibb.co/LDLC8ZqF/8cf77b6f5530.jpg" TargetMode="External"/><Relationship Id="rId10" Type="http://schemas.openxmlformats.org/officeDocument/2006/relationships/hyperlink" Target="https://i.ibb.co/1J82sxYH/922b22e2b347.jpg" TargetMode="External"/><Relationship Id="rId11" Type="http://schemas.openxmlformats.org/officeDocument/2006/relationships/hyperlink" Target="https://i.ibb.co/Psk4g0Px/1cb054ea4f6a.jpg" TargetMode="External"/><Relationship Id="rId12" Type="http://schemas.openxmlformats.org/officeDocument/2006/relationships/hyperlink" Target="https://i.ibb.co/WW3Ww89K/4b2a0d6496e6.jpg" TargetMode="External"/><Relationship Id="rId13" Type="http://schemas.openxmlformats.org/officeDocument/2006/relationships/hyperlink" Target="https://i.ibb.co/jptRYwZ/4b75071905d7.jpg" TargetMode="External"/><Relationship Id="rId14" Type="http://schemas.openxmlformats.org/officeDocument/2006/relationships/hyperlink" Target="https://i.ibb.co/fdQJtVPD/6c5898afedb4.jpg" TargetMode="External"/><Relationship Id="rId15" Type="http://schemas.openxmlformats.org/officeDocument/2006/relationships/hyperlink" Target="https://i.ibb.co/Q7RmqyDf/fb4466e57942.jpg" TargetMode="External"/><Relationship Id="rId16" Type="http://schemas.openxmlformats.org/officeDocument/2006/relationships/hyperlink" Target="https://i.ibb.co/QvjZWqKG/59d01c63a2f6.jpg" TargetMode="External"/><Relationship Id="rId17" Type="http://schemas.openxmlformats.org/officeDocument/2006/relationships/hyperlink" Target="https://i.ibb.co/m19rqHf/b2e4ad62c53d.jpg" TargetMode="External"/><Relationship Id="rId18" Type="http://schemas.openxmlformats.org/officeDocument/2006/relationships/hyperlink" Target="https://i.ibb.co/yn0yQ4x1/279f1f147658.jpg" TargetMode="External"/><Relationship Id="rId19" Type="http://schemas.openxmlformats.org/officeDocument/2006/relationships/hyperlink" Target="https://i.ibb.co/2YCfrKVB/556a869cc13b.jpg" TargetMode="External"/><Relationship Id="rId20" Type="http://schemas.openxmlformats.org/officeDocument/2006/relationships/hyperlink" Target="https://i.ibb.co/cS5D6Psm/243ecd294b1f.jpg" TargetMode="External"/><Relationship Id="rId21" Type="http://schemas.openxmlformats.org/officeDocument/2006/relationships/hyperlink" Target="https://i.ibb.co/MxQpY4gN/12a5ddc7c3f2.jpg" TargetMode="External"/><Relationship Id="rId22" Type="http://schemas.openxmlformats.org/officeDocument/2006/relationships/hyperlink" Target="https://i.ibb.co/mVT1jb3q/cc4177051ecc.jpg" TargetMode="External"/><Relationship Id="rId23" Type="http://schemas.openxmlformats.org/officeDocument/2006/relationships/hyperlink" Target="https://i.ibb.co/CKNQ4z9d/e8e9d04a488b.jpg" TargetMode="External"/><Relationship Id="rId24" Type="http://schemas.openxmlformats.org/officeDocument/2006/relationships/hyperlink" Target="https://i.ibb.co/Vc777w3c/b0b48c74575e.jpg" TargetMode="External"/><Relationship Id="rId25" Type="http://schemas.openxmlformats.org/officeDocument/2006/relationships/hyperlink" Target="https://i.ibb.co/bq5YNVk/85adca2d030c.jpg" TargetMode="External"/><Relationship Id="rId26" Type="http://schemas.openxmlformats.org/officeDocument/2006/relationships/hyperlink" Target="https://i.ibb.co/2zzR477/08f76236c977.jpg" TargetMode="External"/><Relationship Id="rId27" Type="http://schemas.openxmlformats.org/officeDocument/2006/relationships/hyperlink" Target="https://i.ibb.co/whnh6pLr/6ba11748fd70.jpg" TargetMode="External"/><Relationship Id="rId28" Type="http://schemas.openxmlformats.org/officeDocument/2006/relationships/hyperlink" Target="https://i.ibb.co/0RrZqhPv/83cabfa26e93.jpg" TargetMode="External"/><Relationship Id="rId29" Type="http://schemas.openxmlformats.org/officeDocument/2006/relationships/hyperlink" Target="https://i.ibb.co/twwK46n6/a17d41102121.jpg" TargetMode="External"/><Relationship Id="rId30" Type="http://schemas.openxmlformats.org/officeDocument/2006/relationships/hyperlink" Target="https://i.ibb.co/BVDVySKF/2531c0f00e11.jpg" TargetMode="External"/><Relationship Id="rId31" Type="http://schemas.openxmlformats.org/officeDocument/2006/relationships/hyperlink" Target="https://i.ibb.co/Lzt9XjGn/c5910b5f05df.jpg" TargetMode="External"/><Relationship Id="rId32" Type="http://schemas.openxmlformats.org/officeDocument/2006/relationships/hyperlink" Target="https://i.ibb.co/QvBqsVrB/62c63eda3c80.jpg" TargetMode="External"/><Relationship Id="rId33" Type="http://schemas.openxmlformats.org/officeDocument/2006/relationships/hyperlink" Target="https://i.ibb.co/MkzHWMCN/b7b646fa0e2f.jpg" TargetMode="External"/><Relationship Id="rId34" Type="http://schemas.openxmlformats.org/officeDocument/2006/relationships/hyperlink" Target="https://i.ibb.co/ch6mpQxv/cfc4cb910db7.jpg" TargetMode="External"/><Relationship Id="rId35" Type="http://schemas.openxmlformats.org/officeDocument/2006/relationships/hyperlink" Target="https://i.ibb.co/99k4Dq5L/d46c0d84098c.jpg" TargetMode="External"/><Relationship Id="rId36" Type="http://schemas.openxmlformats.org/officeDocument/2006/relationships/hyperlink" Target="https://i.ibb.co/bgfH9kgk/77a72493a2a9.jpg" TargetMode="External"/><Relationship Id="rId37" Type="http://schemas.openxmlformats.org/officeDocument/2006/relationships/hyperlink" Target="https://i.ibb.co/yBxP5Z23/e2a71d7eb3ba.jpg" TargetMode="External"/><Relationship Id="rId38" Type="http://schemas.openxmlformats.org/officeDocument/2006/relationships/hyperlink" Target="https://i.ibb.co/ynphm1Nj/2387e98568d7.jpg" TargetMode="External"/><Relationship Id="rId39" Type="http://schemas.openxmlformats.org/officeDocument/2006/relationships/hyperlink" Target="https://i.ibb.co/DHn8F1T6/b6651423efea.jpg" TargetMode="External"/><Relationship Id="rId40" Type="http://schemas.openxmlformats.org/officeDocument/2006/relationships/hyperlink" Target="https://i.ibb.co/2727DJB1/3ae7e496ad10.jpg" TargetMode="External"/><Relationship Id="rId41" Type="http://schemas.openxmlformats.org/officeDocument/2006/relationships/hyperlink" Target="https://i.ibb.co/FL85fX9x/31b1b21ce9e1.jpg" TargetMode="External"/><Relationship Id="rId42" Type="http://schemas.openxmlformats.org/officeDocument/2006/relationships/hyperlink" Target="https://i.ibb.co/j97YnJMw/b05e6fe61233.jpg" TargetMode="External"/><Relationship Id="rId43" Type="http://schemas.openxmlformats.org/officeDocument/2006/relationships/hyperlink" Target="https://i.ibb.co/NgbxRL2N/27e5367d796d.jpg" TargetMode="External"/><Relationship Id="rId44" Type="http://schemas.openxmlformats.org/officeDocument/2006/relationships/hyperlink" Target="https://i.ibb.co/fGZNDCPk/92ca183952a3.jpg" TargetMode="External"/><Relationship Id="rId45" Type="http://schemas.openxmlformats.org/officeDocument/2006/relationships/hyperlink" Target="https://i.ibb.co/7HnFvQr/e70e3dd50d94.jpg" TargetMode="External"/><Relationship Id="rId46" Type="http://schemas.openxmlformats.org/officeDocument/2006/relationships/hyperlink" Target="https://i.ibb.co/0pv4pkLZ/76b22a74ae65.jpg" TargetMode="External"/><Relationship Id="rId47" Type="http://schemas.openxmlformats.org/officeDocument/2006/relationships/hyperlink" Target="https://i.ibb.co/84bDjHc0/d316030718c1.jpg" TargetMode="External"/><Relationship Id="rId48" Type="http://schemas.openxmlformats.org/officeDocument/2006/relationships/hyperlink" Target="https://i.ibb.co/Dgt4DpFw/4b7c6bdd70a4.jpg" TargetMode="External"/><Relationship Id="rId49" Type="http://schemas.openxmlformats.org/officeDocument/2006/relationships/hyperlink" Target="https://i.ibb.co/7NZ7NNxR/2857df8c6fa3.jpg" TargetMode="External"/><Relationship Id="rId50" Type="http://schemas.openxmlformats.org/officeDocument/2006/relationships/hyperlink" Target="https://i.ibb.co/5gk4tDhh/13efe7f780ea.jpg" TargetMode="External"/><Relationship Id="rId51" Type="http://schemas.openxmlformats.org/officeDocument/2006/relationships/hyperlink" Target="https://i.ibb.co/gHscmRs/fd9581d7dfe7.jpg" TargetMode="External"/><Relationship Id="rId52" Type="http://schemas.openxmlformats.org/officeDocument/2006/relationships/hyperlink" Target="https://i.ibb.co/60GT35SB/a38a518fb250.jpg" TargetMode="External"/><Relationship Id="rId53" Type="http://schemas.openxmlformats.org/officeDocument/2006/relationships/hyperlink" Target="https://i.ibb.co/WWd398s8/861ceceec6a6.jpg" TargetMode="External"/><Relationship Id="rId54" Type="http://schemas.openxmlformats.org/officeDocument/2006/relationships/hyperlink" Target="https://i.ibb.co/TMKCr6Qj/75c05868109a.jpg" TargetMode="External"/><Relationship Id="rId55" Type="http://schemas.openxmlformats.org/officeDocument/2006/relationships/hyperlink" Target="https://i.ibb.co/KxFSKVX8/9bd40414853c.jpg" TargetMode="External"/><Relationship Id="rId56" Type="http://schemas.openxmlformats.org/officeDocument/2006/relationships/hyperlink" Target="https://i.ibb.co/vxGt43t7/1459f5f65542.jpg" TargetMode="External"/><Relationship Id="rId57" Type="http://schemas.openxmlformats.org/officeDocument/2006/relationships/hyperlink" Target="https://i.ibb.co/pr9cnSM0/52e81f995e35.jpg" TargetMode="External"/><Relationship Id="rId58" Type="http://schemas.openxmlformats.org/officeDocument/2006/relationships/hyperlink" Target="https://i.ibb.co/s47XvNd/6cd9ef796bc1.jpg" TargetMode="External"/><Relationship Id="rId59" Type="http://schemas.openxmlformats.org/officeDocument/2006/relationships/hyperlink" Target="https://i.ibb.co/JFxHNzQs/89805b217683.jpg" TargetMode="External"/><Relationship Id="rId60" Type="http://schemas.openxmlformats.org/officeDocument/2006/relationships/hyperlink" Target="https://i.ibb.co/DfPjwzRN/496dbf06e75b.jpg" TargetMode="External"/><Relationship Id="rId61" Type="http://schemas.openxmlformats.org/officeDocument/2006/relationships/hyperlink" Target="https://i.ibb.co/d4Fj3bGz/8e7891537bc9.jpg" TargetMode="External"/><Relationship Id="rId62" Type="http://schemas.openxmlformats.org/officeDocument/2006/relationships/hyperlink" Target="https://i.ibb.co/Z6vK4Dbz/66cda2b68d8b.jpg" TargetMode="External"/><Relationship Id="rId63" Type="http://schemas.openxmlformats.org/officeDocument/2006/relationships/hyperlink" Target="https://i.ibb.co/G4bnFGC2/5206906f3b42.jpg" TargetMode="External"/><Relationship Id="rId64" Type="http://schemas.openxmlformats.org/officeDocument/2006/relationships/hyperlink" Target="https://i.ibb.co/b5w020G9/b4f5572b1ed9.jpg" TargetMode="External"/><Relationship Id="rId65" Type="http://schemas.openxmlformats.org/officeDocument/2006/relationships/hyperlink" Target="https://i.ibb.co/JFx8N73m/87766c057487.jpg" TargetMode="External"/><Relationship Id="rId66" Type="http://schemas.openxmlformats.org/officeDocument/2006/relationships/hyperlink" Target="https://i.ibb.co/XxrgzxPy/1a8cdc94caf7.jpg" TargetMode="External"/><Relationship Id="rId67" Type="http://schemas.openxmlformats.org/officeDocument/2006/relationships/hyperlink" Target="https://i.ibb.co/1YfKKW0z/f03ad0c350db.jpg" TargetMode="External"/><Relationship Id="rId68" Type="http://schemas.openxmlformats.org/officeDocument/2006/relationships/hyperlink" Target="https://i.ibb.co/MkR0wtkV/d5324666531f.jpg" TargetMode="External"/><Relationship Id="rId69" Type="http://schemas.openxmlformats.org/officeDocument/2006/relationships/hyperlink" Target="https://i.ibb.co/LXHbBNCX/ffb1ff765db9.jpg" TargetMode="External"/><Relationship Id="rId70" Type="http://schemas.openxmlformats.org/officeDocument/2006/relationships/hyperlink" Target="https://i.ibb.co/k2SrBPM5/11211fd0389f.jpg" TargetMode="External"/><Relationship Id="rId71" Type="http://schemas.openxmlformats.org/officeDocument/2006/relationships/hyperlink" Target="https://i.ibb.co/zVBk1qwZ/60c33b536f0c.jpg" TargetMode="External"/><Relationship Id="rId72" Type="http://schemas.openxmlformats.org/officeDocument/2006/relationships/hyperlink" Target="https://i.ibb.co/B5mscqGS/7e1bf118ed62.jpg" TargetMode="External"/><Relationship Id="rId73" Type="http://schemas.openxmlformats.org/officeDocument/2006/relationships/hyperlink" Target="https://i.ibb.co/1f9BYpkC/2e6bef2110c3.jpg" TargetMode="External"/><Relationship Id="rId74" Type="http://schemas.openxmlformats.org/officeDocument/2006/relationships/hyperlink" Target="https://i.ibb.co/jvyz6t53/fb9fb5fa0ec6.jpg" TargetMode="External"/><Relationship Id="rId75" Type="http://schemas.openxmlformats.org/officeDocument/2006/relationships/hyperlink" Target="https://i.ibb.co/Mxd7vgYg/9d7c8aab30d2.jpg" TargetMode="External"/><Relationship Id="rId76" Type="http://schemas.openxmlformats.org/officeDocument/2006/relationships/hyperlink" Target="https://i.ibb.co/6cpzYdWQ/f762fb52f07b.jpg" TargetMode="External"/><Relationship Id="rId77" Type="http://schemas.openxmlformats.org/officeDocument/2006/relationships/hyperlink" Target="https://i.ibb.co/DHQ7syLg/73bf486c6e76.jpg" TargetMode="External"/><Relationship Id="rId78" Type="http://schemas.openxmlformats.org/officeDocument/2006/relationships/hyperlink" Target="https://i.ibb.co/zVHJnzrS/fad54d3429b0.jpg" TargetMode="External"/><Relationship Id="rId79" Type="http://schemas.openxmlformats.org/officeDocument/2006/relationships/hyperlink" Target="https://i.ibb.co/gMsyXPqk/34fb9778d954.jpg" TargetMode="External"/><Relationship Id="rId80" Type="http://schemas.openxmlformats.org/officeDocument/2006/relationships/hyperlink" Target="https://i.ibb.co/s9kX5qNn/17ebc1d5f32c.jpg" TargetMode="External"/><Relationship Id="rId81" Type="http://schemas.openxmlformats.org/officeDocument/2006/relationships/hyperlink" Target="https://i.ibb.co/MysFvdJK/7cc994a38d21.jpg" TargetMode="External"/><Relationship Id="rId82" Type="http://schemas.openxmlformats.org/officeDocument/2006/relationships/hyperlink" Target="https://i.ibb.co/Tx6nqyqM/d58074246362.jpg" TargetMode="External"/><Relationship Id="rId83" Type="http://schemas.openxmlformats.org/officeDocument/2006/relationships/hyperlink" Target="https://i.ibb.co/Z6n5bDy4/4f4da9bc0de9.jpg" TargetMode="External"/><Relationship Id="rId84" Type="http://schemas.openxmlformats.org/officeDocument/2006/relationships/hyperlink" Target="https://i.ibb.co/99rtDHqr/38ed67902991.jpg" TargetMode="External"/><Relationship Id="rId85" Type="http://schemas.openxmlformats.org/officeDocument/2006/relationships/hyperlink" Target="https://i.ibb.co/6cbTrRvm/54a21f4c79cc.jpg" TargetMode="External"/><Relationship Id="rId86" Type="http://schemas.openxmlformats.org/officeDocument/2006/relationships/hyperlink" Target="https://i.ibb.co/CsQ3bMwb/b65c494a5b4a.jpg" TargetMode="External"/><Relationship Id="rId87" Type="http://schemas.openxmlformats.org/officeDocument/2006/relationships/hyperlink" Target="https://i.ibb.co/7tGh4dNy/4929a6514712.jpg" TargetMode="External"/><Relationship Id="rId88" Type="http://schemas.openxmlformats.org/officeDocument/2006/relationships/hyperlink" Target="https://i.ibb.co/MyBC3Y11/aab966f5177d.jpg" TargetMode="External"/><Relationship Id="rId89" Type="http://schemas.openxmlformats.org/officeDocument/2006/relationships/hyperlink" Target="https://i.ibb.co/whMYr764/9d52359ec6c4.jpg" TargetMode="External"/><Relationship Id="rId90" Type="http://schemas.openxmlformats.org/officeDocument/2006/relationships/hyperlink" Target="https://i.ibb.co/N6shNgZC/1e25ef869dc1.jpg" TargetMode="External"/><Relationship Id="rId91" Type="http://schemas.openxmlformats.org/officeDocument/2006/relationships/hyperlink" Target="https://i.ibb.co/DH3JhYzK/8f57d09b687c.jpg" TargetMode="External"/><Relationship Id="rId92" Type="http://schemas.openxmlformats.org/officeDocument/2006/relationships/hyperlink" Target="https://i.ibb.co/XfCX7R4G/6d09137f212b.jpg" TargetMode="External"/><Relationship Id="rId93" Type="http://schemas.openxmlformats.org/officeDocument/2006/relationships/hyperlink" Target="https://i.ibb.co/HpVx8KTH/f4db823cd1b0.jpg" TargetMode="External"/><Relationship Id="rId94" Type="http://schemas.openxmlformats.org/officeDocument/2006/relationships/hyperlink" Target="https://i.ibb.co/h1h3HCjZ/36bcd77b32c6.jpg" TargetMode="External"/><Relationship Id="rId95" Type="http://schemas.openxmlformats.org/officeDocument/2006/relationships/hyperlink" Target="https://i.ibb.co/23QKr9Nb/a1508e34cfb2.jpg" TargetMode="External"/><Relationship Id="rId96" Type="http://schemas.openxmlformats.org/officeDocument/2006/relationships/hyperlink" Target="https://i.ibb.co/Mk1Hp0w5/b982e9d22a76.jpg" TargetMode="External"/><Relationship Id="rId97" Type="http://schemas.openxmlformats.org/officeDocument/2006/relationships/hyperlink" Target="https://i.ibb.co/MyJ6PzQP/729b451d0af7.jpg" TargetMode="External"/><Relationship Id="rId98" Type="http://schemas.openxmlformats.org/officeDocument/2006/relationships/hyperlink" Target="https://i.ibb.co/21WbMzdG/2467fd140f9c.jpg" TargetMode="External"/><Relationship Id="rId99" Type="http://schemas.openxmlformats.org/officeDocument/2006/relationships/hyperlink" Target="https://i.ibb.co/VWN1MJ2T/2c7c4aaa5233.jpg" TargetMode="External"/><Relationship Id="rId100" Type="http://schemas.openxmlformats.org/officeDocument/2006/relationships/hyperlink" Target="https://i.ibb.co/8LR8MfdZ/eedf5881277d.jpg" TargetMode="External"/><Relationship Id="rId101" Type="http://schemas.openxmlformats.org/officeDocument/2006/relationships/hyperlink" Target="https://i.ibb.co/2YkBJbkk/d692b05da1ae.jpg" TargetMode="External"/><Relationship Id="rId102" Type="http://schemas.openxmlformats.org/officeDocument/2006/relationships/hyperlink" Target="https://i.ibb.co/4R3DG9V4/d02d02819b94.jpg" TargetMode="External"/><Relationship Id="rId103" Type="http://schemas.openxmlformats.org/officeDocument/2006/relationships/hyperlink" Target="https://i.ibb.co/fzxDQgq6/cebeb219bdfb.jpg" TargetMode="External"/><Relationship Id="rId104" Type="http://schemas.openxmlformats.org/officeDocument/2006/relationships/hyperlink" Target="https://i.ibb.co/YF7xJhxS/39481d412fba.jpg" TargetMode="External"/><Relationship Id="rId105" Type="http://schemas.openxmlformats.org/officeDocument/2006/relationships/hyperlink" Target="https://i.ibb.co/sJ5k78Ps/e4e20e5ece6a.jpg" TargetMode="External"/><Relationship Id="rId106" Type="http://schemas.openxmlformats.org/officeDocument/2006/relationships/hyperlink" Target="https://i.ibb.co/zVVsHN6Y/57687a50cb99.jpg" TargetMode="External"/><Relationship Id="rId107" Type="http://schemas.openxmlformats.org/officeDocument/2006/relationships/hyperlink" Target="https://i.ibb.co/xS0SyrLw/ae70d27393fb.jpg" TargetMode="External"/><Relationship Id="rId108" Type="http://schemas.openxmlformats.org/officeDocument/2006/relationships/hyperlink" Target="https://i.ibb.co/jkG28k8W/21d6184cf99f.jpg" TargetMode="External"/><Relationship Id="rId109" Type="http://schemas.openxmlformats.org/officeDocument/2006/relationships/hyperlink" Target="https://i.ibb.co/n8D75xvm/095e05b24d33.jpg" TargetMode="External"/><Relationship Id="rId110" Type="http://schemas.openxmlformats.org/officeDocument/2006/relationships/hyperlink" Target="https://i.ibb.co/8nNvFF5P/639a7fff4c28.jpg" TargetMode="External"/><Relationship Id="rId111" Type="http://schemas.openxmlformats.org/officeDocument/2006/relationships/hyperlink" Target="https://i.ibb.co/CpqWvd47/af4e7cff70f5.jpg" TargetMode="External"/><Relationship Id="rId112" Type="http://schemas.openxmlformats.org/officeDocument/2006/relationships/hyperlink" Target="https://i.ibb.co/wFVKWxcS/cbf00f8f6445.jpg" TargetMode="External"/><Relationship Id="rId113" Type="http://schemas.openxmlformats.org/officeDocument/2006/relationships/hyperlink" Target="https://i.ibb.co/60sfPVRr/60186075a704.jpg" TargetMode="External"/><Relationship Id="rId114" Type="http://schemas.openxmlformats.org/officeDocument/2006/relationships/hyperlink" Target="https://i.ibb.co/MyJ6PzQP/729b451d0af7.jpg" TargetMode="External"/><Relationship Id="rId115" Type="http://schemas.openxmlformats.org/officeDocument/2006/relationships/hyperlink" Target="https://i.ibb.co/21WbMzdG/2467fd140f9c.jpg" TargetMode="External"/><Relationship Id="rId116" Type="http://schemas.openxmlformats.org/officeDocument/2006/relationships/hyperlink" Target="https://i.ibb.co/VWN1MJ2T/2c7c4aaa5233.jpg" TargetMode="External"/><Relationship Id="rId117" Type="http://schemas.openxmlformats.org/officeDocument/2006/relationships/hyperlink" Target="https://i.ibb.co/8LR8MfdZ/eedf5881277d.jpg" TargetMode="External"/><Relationship Id="rId118" Type="http://schemas.openxmlformats.org/officeDocument/2006/relationships/hyperlink" Target="https://i.ibb.co/2YkBJbkk/d692b05da1ae.jpg" TargetMode="External"/><Relationship Id="rId119" Type="http://schemas.openxmlformats.org/officeDocument/2006/relationships/hyperlink" Target="https://i.ibb.co/4R3DG9V4/d02d02819b94.jpg" TargetMode="External"/><Relationship Id="rId120" Type="http://schemas.openxmlformats.org/officeDocument/2006/relationships/hyperlink" Target="https://i.ibb.co/fzxDQgq6/cebeb219bdfb.jpg" TargetMode="External"/><Relationship Id="rId121" Type="http://schemas.openxmlformats.org/officeDocument/2006/relationships/hyperlink" Target="https://i.ibb.co/B5wGqg8b/05c759851e6a.jpg" TargetMode="External"/><Relationship Id="rId122" Type="http://schemas.openxmlformats.org/officeDocument/2006/relationships/hyperlink" Target="https://i.ibb.co/wNcdVsC4/eaf4fc008274.jpg" TargetMode="External"/><Relationship Id="rId123" Type="http://schemas.openxmlformats.org/officeDocument/2006/relationships/hyperlink" Target="https://i.ibb.co/4Lm1wtv/867c68c34f18.jpg" TargetMode="External"/><Relationship Id="rId124" Type="http://schemas.openxmlformats.org/officeDocument/2006/relationships/hyperlink" Target="https://i.ibb.co/zT3vH0p4/e6d9f4d4ac11.jpg" TargetMode="External"/><Relationship Id="rId125" Type="http://schemas.openxmlformats.org/officeDocument/2006/relationships/hyperlink" Target="https://i.ibb.co/nNJdmRCv/96dd1fa2af26.jpg" TargetMode="External"/><Relationship Id="rId126" Type="http://schemas.openxmlformats.org/officeDocument/2006/relationships/hyperlink" Target="https://i.ibb.co/fz71QBd6/ef70e2b30651.jpg" TargetMode="External"/><Relationship Id="rId127" Type="http://schemas.openxmlformats.org/officeDocument/2006/relationships/hyperlink" Target="https://i.ibb.co/tMx7gggm/abf525f29670.jpg" TargetMode="External"/><Relationship Id="rId128" Type="http://schemas.openxmlformats.org/officeDocument/2006/relationships/hyperlink" Target="https://i.ibb.co/v4xSmXy3/6399dadb5905.jpg" TargetMode="External"/><Relationship Id="rId129" Type="http://schemas.openxmlformats.org/officeDocument/2006/relationships/hyperlink" Target="https://i.ibb.co/YF2bZzqj/4edade705ac0.jpg" TargetMode="External"/><Relationship Id="rId130" Type="http://schemas.openxmlformats.org/officeDocument/2006/relationships/hyperlink" Target="https://i.ibb.co/r2KgdVC9/a159e8a627e7.jpg" TargetMode="External"/><Relationship Id="rId131" Type="http://schemas.openxmlformats.org/officeDocument/2006/relationships/hyperlink" Target="https://i.ibb.co/sxBDvN6/f0394f506858.jpg" TargetMode="External"/><Relationship Id="rId132" Type="http://schemas.openxmlformats.org/officeDocument/2006/relationships/hyperlink" Target="https://i.ibb.co/hJH4xjGC/61795342a129.jpg" TargetMode="External"/><Relationship Id="rId133" Type="http://schemas.openxmlformats.org/officeDocument/2006/relationships/hyperlink" Target="https://i.ibb.co/Ng1Cj1Ry/a8df7cd5de9f.jpg" TargetMode="External"/><Relationship Id="rId134" Type="http://schemas.openxmlformats.org/officeDocument/2006/relationships/hyperlink" Target="https://i.ibb.co/DDrzbrxn/e9383d640838.jpg" TargetMode="External"/><Relationship Id="rId135" Type="http://schemas.openxmlformats.org/officeDocument/2006/relationships/hyperlink" Target="https://i.ibb.co/9kWd0Ygd/414280c92f37.jpg" TargetMode="External"/><Relationship Id="rId136" Type="http://schemas.openxmlformats.org/officeDocument/2006/relationships/hyperlink" Target="https://i.ibb.co/0ptc6SZs/17f4fd4318c8.jpg" TargetMode="External"/><Relationship Id="rId137" Type="http://schemas.openxmlformats.org/officeDocument/2006/relationships/hyperlink" Target="https://i.ibb.co/0RbHPHY1/7582b3829c13.jpg" TargetMode="External"/><Relationship Id="rId138" Type="http://schemas.openxmlformats.org/officeDocument/2006/relationships/hyperlink" Target="https://i.ibb.co/VYCmtf9Z/6abe906e4af3.jpg" TargetMode="External"/><Relationship Id="rId139" Type="http://schemas.openxmlformats.org/officeDocument/2006/relationships/hyperlink" Target="https://i.ibb.co/KjzGJ0Xy/9b1b750da460.jpg" TargetMode="External"/><Relationship Id="rId140" Type="http://schemas.openxmlformats.org/officeDocument/2006/relationships/hyperlink" Target="https://i.ibb.co/dw8GwPc9/df5693e0c7c3.jpg" TargetMode="External"/><Relationship Id="rId141" Type="http://schemas.openxmlformats.org/officeDocument/2006/relationships/hyperlink" Target="https://i.ibb.co/gbxGx10j/436326e8ca26.jpg" TargetMode="External"/><Relationship Id="rId142" Type="http://schemas.openxmlformats.org/officeDocument/2006/relationships/hyperlink" Target="https://i.ibb.co/gLQ6nDSd/b769ff1bfd36.jpg" TargetMode="External"/><Relationship Id="rId143" Type="http://schemas.openxmlformats.org/officeDocument/2006/relationships/hyperlink" Target="https://i.ibb.co/Lzm3TnJR/92658f6e75d4.jpg" TargetMode="External"/><Relationship Id="rId144" Type="http://schemas.openxmlformats.org/officeDocument/2006/relationships/hyperlink" Target="https://i.ibb.co/cXZtVCQp/2c0239d571ea.jpg" TargetMode="External"/><Relationship Id="rId145" Type="http://schemas.openxmlformats.org/officeDocument/2006/relationships/hyperlink" Target="https://i.ibb.co/1f9hxr1D/6ca7a14531f6.jpg" TargetMode="External"/><Relationship Id="rId146" Type="http://schemas.openxmlformats.org/officeDocument/2006/relationships/hyperlink" Target="https://i.ibb.co/1tZJf3W4/53e5a708a2d4.jpg" TargetMode="External"/><Relationship Id="rId147" Type="http://schemas.openxmlformats.org/officeDocument/2006/relationships/hyperlink" Target="https://i.ibb.co/4n4qYJGz/efd0e9731af2.jpg" TargetMode="External"/><Relationship Id="rId148" Type="http://schemas.openxmlformats.org/officeDocument/2006/relationships/hyperlink" Target="https://i.ibb.co/mVLQTZT0/92cb65565712.jpg" TargetMode="External"/><Relationship Id="rId149" Type="http://schemas.openxmlformats.org/officeDocument/2006/relationships/hyperlink" Target="https://i.ibb.co/nMfNwcdf/32b9036c5d18.jpg" TargetMode="External"/><Relationship Id="rId150" Type="http://schemas.openxmlformats.org/officeDocument/2006/relationships/hyperlink" Target="https://i.ibb.co/JRtKQfZd/9f91d5bfd497.jpg" TargetMode="External"/><Relationship Id="rId151" Type="http://schemas.openxmlformats.org/officeDocument/2006/relationships/hyperlink" Target="https://i.ibb.co/mrs7zTmp/c52f31d1f3b8.jpg" TargetMode="External"/><Relationship Id="rId152" Type="http://schemas.openxmlformats.org/officeDocument/2006/relationships/hyperlink" Target="https://i.ibb.co/679pj7JW/032df7288717.jpg" TargetMode="External"/><Relationship Id="rId153" Type="http://schemas.openxmlformats.org/officeDocument/2006/relationships/hyperlink" Target="https://i.ibb.co/Ngv0bRVP/7b3a9bfc0229.jpg" TargetMode="External"/><Relationship Id="rId154" Type="http://schemas.openxmlformats.org/officeDocument/2006/relationships/hyperlink" Target="https://i.ibb.co/VpQmpzcB/b17035e70c99.jpg" TargetMode="External"/><Relationship Id="rId155" Type="http://schemas.openxmlformats.org/officeDocument/2006/relationships/hyperlink" Target="https://i.ibb.co/cXtMZ3RX/bf13822f1c96.jpg" TargetMode="External"/><Relationship Id="rId156" Type="http://schemas.openxmlformats.org/officeDocument/2006/relationships/hyperlink" Target="https://i.ibb.co/sdXx9HRK/d46f55f62cdf.jpg" TargetMode="External"/><Relationship Id="rId157" Type="http://schemas.openxmlformats.org/officeDocument/2006/relationships/hyperlink" Target="https://i.ibb.co/QFtCs22P/85fa1d71ba6c.jpg" TargetMode="External"/><Relationship Id="rId158" Type="http://schemas.openxmlformats.org/officeDocument/2006/relationships/hyperlink" Target="https://i.ibb.co/MyW3tbfZ/39e6f301685c.jpg" TargetMode="External"/><Relationship Id="rId159" Type="http://schemas.openxmlformats.org/officeDocument/2006/relationships/hyperlink" Target="https://i.ibb.co/DPvbPskJ/a5eec72114b7.jpg" TargetMode="External"/><Relationship Id="rId160" Type="http://schemas.openxmlformats.org/officeDocument/2006/relationships/hyperlink" Target="https://i.ibb.co/QsTz3dx/b985995513df.jpg" TargetMode="External"/><Relationship Id="rId161" Type="http://schemas.openxmlformats.org/officeDocument/2006/relationships/hyperlink" Target="https://i.ibb.co/LzbTn4hV/ed28575c2735.jpg" TargetMode="External"/><Relationship Id="rId162" Type="http://schemas.openxmlformats.org/officeDocument/2006/relationships/hyperlink" Target="https://i.ibb.co/LDf8wRbn/a7f8059b557a.jpg" TargetMode="External"/><Relationship Id="rId163" Type="http://schemas.openxmlformats.org/officeDocument/2006/relationships/hyperlink" Target="https://i.ibb.co/7BNyFqw/36d1b037fee1.jpg" TargetMode="External"/><Relationship Id="rId164" Type="http://schemas.openxmlformats.org/officeDocument/2006/relationships/hyperlink" Target="https://i.ibb.co/MyJ6LXjg/4dfe707300d1.jpg" TargetMode="External"/><Relationship Id="rId165" Type="http://schemas.openxmlformats.org/officeDocument/2006/relationships/hyperlink" Target="https://i.ibb.co/JW2R228C/eba7ce9f76a5.jpg" TargetMode="External"/><Relationship Id="rId166" Type="http://schemas.openxmlformats.org/officeDocument/2006/relationships/hyperlink" Target="https://i.ibb.co/8LwVd5wz/f68bc27804d8.jpg" TargetMode="External"/><Relationship Id="rId167" Type="http://schemas.openxmlformats.org/officeDocument/2006/relationships/hyperlink" Target="https://i.ibb.co/C3MLn3P8/cff405cd4423.jpg" TargetMode="External"/><Relationship Id="rId168" Type="http://schemas.openxmlformats.org/officeDocument/2006/relationships/hyperlink" Target="https://i.ibb.co/tPD4wSSp/9f83d948f23d.jpg" TargetMode="External"/><Relationship Id="rId169" Type="http://schemas.openxmlformats.org/officeDocument/2006/relationships/hyperlink" Target="https://i.ibb.co/M5knjvNc/9510cb84f122.jpg" TargetMode="External"/><Relationship Id="rId170" Type="http://schemas.openxmlformats.org/officeDocument/2006/relationships/hyperlink" Target="https://i.ibb.co/60Gz6k29/3328e69c9444.jpg" TargetMode="External"/><Relationship Id="rId171" Type="http://schemas.openxmlformats.org/officeDocument/2006/relationships/hyperlink" Target="https://i.ibb.co/dsws3TMg/38f1714bbc08.jpg" TargetMode="External"/><Relationship Id="rId172" Type="http://schemas.openxmlformats.org/officeDocument/2006/relationships/hyperlink" Target="https://i.ibb.co/ksmJKrn8/20c46daad85f.jpg" TargetMode="External"/><Relationship Id="rId173" Type="http://schemas.openxmlformats.org/officeDocument/2006/relationships/hyperlink" Target="https://i.ibb.co/YHq4VzG/3293f90e6d4d.jpg" TargetMode="External"/><Relationship Id="rId174" Type="http://schemas.openxmlformats.org/officeDocument/2006/relationships/hyperlink" Target="https://i.ibb.co/kVWQcjfb/d5f59f11d7bc.jpg" TargetMode="External"/><Relationship Id="rId175" Type="http://schemas.openxmlformats.org/officeDocument/2006/relationships/hyperlink" Target="https://i.ibb.co/QvDBjJcn/175cf909d418.jpg" TargetMode="External"/><Relationship Id="rId176" Type="http://schemas.openxmlformats.org/officeDocument/2006/relationships/hyperlink" Target="https://i.ibb.co/m59zvPN7/5e2f6f0140ed.jpg" TargetMode="External"/><Relationship Id="rId177" Type="http://schemas.openxmlformats.org/officeDocument/2006/relationships/hyperlink" Target="https://i.ibb.co/fVwK5hpV/e62262d1273d.jpg" TargetMode="External"/><Relationship Id="rId178" Type="http://schemas.openxmlformats.org/officeDocument/2006/relationships/hyperlink" Target="https://i.ibb.co/wZmDGvfR/24aebb6aa2a1.jpg" TargetMode="External"/><Relationship Id="rId179" Type="http://schemas.openxmlformats.org/officeDocument/2006/relationships/hyperlink" Target="https://i.ibb.co/tpN2pRKR/b3f0ac5ce5ce.jpg" TargetMode="External"/><Relationship Id="rId180" Type="http://schemas.openxmlformats.org/officeDocument/2006/relationships/hyperlink" Target="https://i.ibb.co/twP6KBCh/e364faa0a05f.jpg" TargetMode="External"/><Relationship Id="rId181" Type="http://schemas.openxmlformats.org/officeDocument/2006/relationships/hyperlink" Target="https://i.ibb.co/TDnbYnNX/55f63537cf11.jpg" TargetMode="External"/><Relationship Id="rId182" Type="http://schemas.openxmlformats.org/officeDocument/2006/relationships/hyperlink" Target="https://i.ibb.co/c7Nny7d/db493548a3d4.jpg" TargetMode="External"/><Relationship Id="rId183" Type="http://schemas.openxmlformats.org/officeDocument/2006/relationships/hyperlink" Target="https://i.ibb.co/d4L4K5zx/e8f6ff132221.jpg" TargetMode="External"/><Relationship Id="rId184" Type="http://schemas.openxmlformats.org/officeDocument/2006/relationships/hyperlink" Target="https://i.ibb.co/fGqg14yW/067d1d7809c1.jpg" TargetMode="External"/><Relationship Id="rId185" Type="http://schemas.openxmlformats.org/officeDocument/2006/relationships/hyperlink" Target="https://i.ibb.co/HDDtdwV9/68a3f9245b5e.jpg" TargetMode="External"/><Relationship Id="rId186" Type="http://schemas.openxmlformats.org/officeDocument/2006/relationships/hyperlink" Target="https://i.ibb.co/SLQWPjy/a14a98c66c53.jpg" TargetMode="External"/><Relationship Id="rId187" Type="http://schemas.openxmlformats.org/officeDocument/2006/relationships/hyperlink" Target="https://i.ibb.co/0V6GVQm8/066e0d014357.jpg" TargetMode="External"/><Relationship Id="rId188" Type="http://schemas.openxmlformats.org/officeDocument/2006/relationships/hyperlink" Target="https://i.ibb.co/Kc9Fd35s/356548df3adc.jpg" TargetMode="External"/><Relationship Id="rId189" Type="http://schemas.openxmlformats.org/officeDocument/2006/relationships/hyperlink" Target="https://i.ibb.co/DDqBgTvg/7b6ecc2d3bbf.jpg" TargetMode="External"/><Relationship Id="rId190" Type="http://schemas.openxmlformats.org/officeDocument/2006/relationships/hyperlink" Target="https://i.ibb.co/mCTwHnj3/54624dc96a6d.jpg" TargetMode="External"/><Relationship Id="rId191" Type="http://schemas.openxmlformats.org/officeDocument/2006/relationships/hyperlink" Target="https://i.ibb.co/dsVD2ZZq/88efe0eccd42.jpg" TargetMode="External"/><Relationship Id="rId192" Type="http://schemas.openxmlformats.org/officeDocument/2006/relationships/hyperlink" Target="https://i.ibb.co/k7G8DTb/c9d665999c4c.jpg" TargetMode="External"/><Relationship Id="rId193" Type="http://schemas.openxmlformats.org/officeDocument/2006/relationships/hyperlink" Target="https://i.ibb.co/5xSg2Szm/6e6f30d0df12.jpg" TargetMode="External"/><Relationship Id="rId194" Type="http://schemas.openxmlformats.org/officeDocument/2006/relationships/hyperlink" Target="https://i.ibb.co/XfWwM0Mv/e2ba680f0a0e.jpg" TargetMode="External"/><Relationship Id="rId195" Type="http://schemas.openxmlformats.org/officeDocument/2006/relationships/hyperlink" Target="https://i.ibb.co/SD7njffh/e529b0472fff.jpg" TargetMode="External"/><Relationship Id="rId196" Type="http://schemas.openxmlformats.org/officeDocument/2006/relationships/hyperlink" Target="https://i.ibb.co/Fk5cH7L1/4b758f3867dc.jpg" TargetMode="External"/><Relationship Id="rId197" Type="http://schemas.openxmlformats.org/officeDocument/2006/relationships/hyperlink" Target="https://i.ibb.co/N6F8DCXC/d799e52cc3e6.jpg" TargetMode="External"/><Relationship Id="rId198" Type="http://schemas.openxmlformats.org/officeDocument/2006/relationships/hyperlink" Target="https://i.ibb.co/PvKn3Ttp/de8fc32528dd.jpg" TargetMode="External"/><Relationship Id="rId199" Type="http://schemas.openxmlformats.org/officeDocument/2006/relationships/hyperlink" Target="https://i.ibb.co/0psLW56P/107710d6bcb3.jpg" TargetMode="External"/><Relationship Id="rId200"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993"/>
  <sheetViews>
    <sheetView showFormulas="false" showGridLines="false" showRowColHeaders="true" showZeros="true" rightToLeft="false" tabSelected="true" showOutlineSymbols="true" defaultGridColor="true" view="normal" topLeftCell="A1" colorId="64" zoomScale="80" zoomScaleNormal="80" zoomScalePageLayoutView="100" workbookViewId="0">
      <pane xSplit="0" ySplit="3" topLeftCell="A435" activePane="bottomLeft" state="frozen"/>
      <selection pane="topLeft" activeCell="A1" activeCellId="0" sqref="A1"/>
      <selection pane="bottomLeft" activeCell="A992" activeCellId="0" sqref="A992"/>
    </sheetView>
  </sheetViews>
  <sheetFormatPr defaultColWidth="8.71484375" defaultRowHeight="14.25" zeroHeight="false" outlineLevelRow="0" outlineLevelCol="0"/>
  <cols>
    <col collapsed="false" customWidth="true" hidden="false" outlineLevel="0" max="1" min="1" style="1" width="13"/>
    <col collapsed="false" customWidth="true" hidden="false" outlineLevel="0" max="2" min="2" style="1" width="90"/>
    <col collapsed="false" customWidth="true" hidden="false" outlineLevel="0" max="3" min="3" style="1" width="7.29"/>
    <col collapsed="false" customWidth="true" hidden="false" outlineLevel="0" max="4" min="4" style="2" width="21.71"/>
    <col collapsed="false" customWidth="true" hidden="false" outlineLevel="0" max="5" min="5" style="1" width="11.43"/>
    <col collapsed="false" customWidth="true" hidden="false" outlineLevel="0" max="6" min="6" style="1" width="11.71"/>
    <col collapsed="false" customWidth="true" hidden="false" outlineLevel="0" max="7" min="7" style="1" width="10"/>
    <col collapsed="false" customWidth="true" hidden="false" outlineLevel="0" max="8" min="8" style="1" width="18.57"/>
    <col collapsed="false" customWidth="true" hidden="false" outlineLevel="0" max="9" min="9" style="1" width="38"/>
    <col collapsed="false" customWidth="true" hidden="true" outlineLevel="0" max="10" min="10" style="1" width="10"/>
    <col collapsed="false" customWidth="true" hidden="false" outlineLevel="0" max="11" min="11" style="1" width="9"/>
    <col collapsed="false" customWidth="true" hidden="false" outlineLevel="0" max="12" min="12" style="1" width="10.42"/>
    <col collapsed="false" customWidth="true" hidden="true" outlineLevel="0" max="13" min="13" style="1" width="10.42"/>
    <col collapsed="false" customWidth="true" hidden="true" outlineLevel="0" max="17" min="14" style="1" width="8"/>
  </cols>
  <sheetData>
    <row r="1" customFormat="false" ht="33.75" hidden="false" customHeight="true" outlineLevel="0" collapsed="false">
      <c r="A1" s="3" t="s">
        <v>0</v>
      </c>
      <c r="B1" s="3"/>
      <c r="C1" s="3"/>
      <c r="D1" s="3"/>
      <c r="E1" s="4" t="str">
        <f aca="true">IF(OR(NOT(ISNUMBER(DASHBOARD!$M$1)),NOT(ISNUMBER(DASHBOARD!$M$2))),"PENDING",IF(TODAY()&gt;DASHBOARD!$M$2,"DAY "&amp;(TODAY()-DASHBOARD!$M$1+1)&amp;"/"&amp;(DASHBOARD!$M$2-DASHBOARD!$M$1+1)&amp;" ⛔ OVERRUN +"&amp;(TODAY()-DASHBOARD!$M$2)&amp;" DAYS","DAY "&amp;MAX(MIN(TODAY()-DASHBOARD!$M$1+1,DASHBOARD!$M$2-DASHBOARD!$M$1+1),0)&amp;"/"&amp;(DASHBOARD!$M$2-DASHBOARD!$M$1+1)))</f>
        <v>DAY 39/38 ⛔ OVERRUN +1 DAYS</v>
      </c>
      <c r="F1" s="4"/>
      <c r="G1" s="4"/>
      <c r="H1" s="5" t="str">
        <f aca="false">"✅ "&amp;COUNTIFS(A4:A994,"&lt;&gt;",E4:E994,"Closed")&amp;" / "&amp;COUNTIF(A4:A994,"&lt;&gt;")&amp;" Closed ("&amp;TEXT(IFERROR(COUNTIFS(A4:A994,"&lt;&gt;",E4:E994,"Closed")/COUNTIF(A4:A994,"&lt;&gt;"),0),"0%")&amp;")"</f>
        <v>✅ 311 / 464 Closed (67%)</v>
      </c>
      <c r="I1" s="5"/>
      <c r="J1" s="5"/>
      <c r="K1" s="5"/>
      <c r="L1" s="5"/>
      <c r="M1" s="5"/>
      <c r="N1" s="5"/>
      <c r="O1" s="5"/>
      <c r="P1" s="5"/>
      <c r="Q1" s="5"/>
    </row>
    <row r="2" customFormat="false" ht="19.5" hidden="false" customHeight="true" outlineLevel="0" collapsed="false">
      <c r="A2" s="6" t="str">
        <f aca="false">IF(COUNT($L$4:$L$994)=0,"No dated updates yet — type todays date (e.g. 19/7) in column L when you edit a row","LAST UPDATE: "&amp;TEXT(MAX($L$4:$L$994),"DD-MMM")&amp;"  ·  "&amp;COUNTIF($L$4:$L$994,MAX($L$4:$L$994))&amp;" row(s) updated  —  filter column L for details")</f>
        <v>LAST UPDATE: 25-Aug  ·  68 row(s) updated  —  filter column L for details</v>
      </c>
      <c r="B2" s="6"/>
      <c r="C2" s="6"/>
      <c r="D2" s="6"/>
      <c r="E2" s="4"/>
      <c r="F2" s="4"/>
      <c r="G2" s="4"/>
      <c r="H2" s="7" t="str">
        <f aca="false">"🔴 AOG WO: "&amp;COUNTIFS(A4:A994,"&lt;&gt;",F4:F994,"AOG",E4:E994,"&lt;&gt;Closed")&amp;"     ⚠️ Critical WO: "&amp;COUNTIFS(A4:A994,"&lt;&gt;",F4:F994,"Critical",E4:E994,"&lt;&gt;Closed")&amp;"     🔓 Access WO: "&amp;COUNTIFS(A4:A994,"&lt;&gt;",F4:F994,"ACCESS",E4:E994,"&lt;&gt;Closed")</f>
        <v>🔴 AOG WO: 7     ⚠️ Critical WO: 13     🔓 Access WO: 28</v>
      </c>
      <c r="I2" s="7"/>
      <c r="J2" s="7"/>
      <c r="K2" s="7"/>
      <c r="L2" s="7"/>
      <c r="M2" s="7"/>
      <c r="N2" s="7"/>
      <c r="O2" s="7"/>
      <c r="P2" s="7"/>
      <c r="Q2" s="7"/>
    </row>
    <row r="3" s="10" customFormat="true" ht="31.5" hidden="false" customHeight="true" outlineLevel="0" collapsed="false">
      <c r="A3" s="8" t="s">
        <v>1</v>
      </c>
      <c r="B3" s="8" t="s">
        <v>2</v>
      </c>
      <c r="C3" s="8" t="s">
        <v>3</v>
      </c>
      <c r="D3" s="8" t="s">
        <v>4</v>
      </c>
      <c r="E3" s="8" t="s">
        <v>5</v>
      </c>
      <c r="F3" s="8" t="s">
        <v>6</v>
      </c>
      <c r="G3" s="9" t="s">
        <v>7</v>
      </c>
      <c r="H3" s="9" t="s">
        <v>8</v>
      </c>
      <c r="I3" s="8" t="s">
        <v>9</v>
      </c>
      <c r="J3" s="9" t="s">
        <v>10</v>
      </c>
      <c r="K3" s="9" t="s">
        <v>11</v>
      </c>
      <c r="L3" s="9" t="s">
        <v>12</v>
      </c>
      <c r="M3" s="9" t="s">
        <v>13</v>
      </c>
      <c r="N3" s="9" t="s">
        <v>14</v>
      </c>
      <c r="O3" s="9" t="s">
        <v>15</v>
      </c>
      <c r="P3" s="9" t="s">
        <v>16</v>
      </c>
      <c r="Q3" s="9" t="s">
        <v>17</v>
      </c>
    </row>
    <row r="4" customFormat="false" ht="15.75" hidden="false" customHeight="true" outlineLevel="0" collapsed="false">
      <c r="A4" s="11" t="s">
        <v>18</v>
      </c>
      <c r="B4" s="12" t="s">
        <v>19</v>
      </c>
      <c r="C4" s="13" t="s">
        <v>20</v>
      </c>
      <c r="D4" s="14" t="s">
        <v>21</v>
      </c>
      <c r="E4" s="15" t="s">
        <v>22</v>
      </c>
      <c r="F4" s="15" t="s">
        <v>23</v>
      </c>
      <c r="G4" s="14" t="s">
        <v>24</v>
      </c>
      <c r="H4" s="16"/>
      <c r="I4" s="17"/>
      <c r="J4" s="15"/>
      <c r="K4" s="15" t="s">
        <v>25</v>
      </c>
      <c r="L4" s="18" t="n">
        <v>46259</v>
      </c>
      <c r="M4" s="19" t="n">
        <v>46257</v>
      </c>
      <c r="N4" s="20" t="n">
        <v>0</v>
      </c>
      <c r="O4" s="21"/>
      <c r="P4" s="20" t="n">
        <v>22.5</v>
      </c>
      <c r="Q4" s="20" t="n">
        <v>488.8</v>
      </c>
    </row>
    <row r="5" customFormat="false" ht="15.75" hidden="true" customHeight="true" outlineLevel="0" collapsed="false">
      <c r="A5" s="11" t="s">
        <v>26</v>
      </c>
      <c r="B5" s="12" t="s">
        <v>27</v>
      </c>
      <c r="C5" s="13" t="n">
        <v>18</v>
      </c>
      <c r="D5" s="14" t="s">
        <v>21</v>
      </c>
      <c r="E5" s="15" t="s">
        <v>28</v>
      </c>
      <c r="F5" s="15" t="s">
        <v>23</v>
      </c>
      <c r="G5" s="14" t="s">
        <v>24</v>
      </c>
      <c r="H5" s="16"/>
      <c r="I5" s="17" t="s">
        <v>29</v>
      </c>
      <c r="J5" s="15"/>
      <c r="K5" s="15" t="s">
        <v>30</v>
      </c>
      <c r="L5" s="18"/>
      <c r="M5" s="22"/>
      <c r="N5" s="20" t="n">
        <v>4.9</v>
      </c>
      <c r="O5" s="21"/>
      <c r="P5" s="20" t="n">
        <v>14</v>
      </c>
      <c r="Q5" s="20" t="n">
        <v>481.1</v>
      </c>
    </row>
    <row r="6" customFormat="false" ht="15.75" hidden="true" customHeight="true" outlineLevel="0" collapsed="false">
      <c r="A6" s="11" t="s">
        <v>31</v>
      </c>
      <c r="B6" s="12" t="s">
        <v>32</v>
      </c>
      <c r="C6" s="13" t="s">
        <v>33</v>
      </c>
      <c r="D6" s="14" t="s">
        <v>34</v>
      </c>
      <c r="E6" s="15" t="s">
        <v>22</v>
      </c>
      <c r="F6" s="15" t="s">
        <v>35</v>
      </c>
      <c r="G6" s="14" t="s">
        <v>24</v>
      </c>
      <c r="H6" s="16"/>
      <c r="I6" s="17" t="s">
        <v>36</v>
      </c>
      <c r="J6" s="15" t="s">
        <v>37</v>
      </c>
      <c r="K6" s="15" t="s">
        <v>25</v>
      </c>
      <c r="L6" s="18" t="n">
        <v>46225</v>
      </c>
      <c r="M6" s="23" t="n">
        <v>46225</v>
      </c>
      <c r="N6" s="20" t="n">
        <v>7.15</v>
      </c>
      <c r="O6" s="24" t="s">
        <v>38</v>
      </c>
      <c r="P6" s="20" t="n">
        <v>13.5</v>
      </c>
      <c r="Q6" s="20" t="n">
        <v>22.17</v>
      </c>
    </row>
    <row r="7" customFormat="false" ht="31.5" hidden="true" customHeight="true" outlineLevel="0" collapsed="false">
      <c r="A7" s="11" t="s">
        <v>39</v>
      </c>
      <c r="B7" s="12" t="s">
        <v>40</v>
      </c>
      <c r="C7" s="13" t="s">
        <v>41</v>
      </c>
      <c r="D7" s="14" t="s">
        <v>34</v>
      </c>
      <c r="E7" s="15" t="s">
        <v>22</v>
      </c>
      <c r="F7" s="15" t="s">
        <v>35</v>
      </c>
      <c r="G7" s="14" t="s">
        <v>24</v>
      </c>
      <c r="H7" s="16"/>
      <c r="I7" s="17" t="s">
        <v>42</v>
      </c>
      <c r="J7" s="15" t="s">
        <v>37</v>
      </c>
      <c r="K7" s="15" t="s">
        <v>30</v>
      </c>
      <c r="L7" s="18" t="n">
        <v>46259</v>
      </c>
      <c r="M7" s="23" t="n">
        <v>46257</v>
      </c>
      <c r="N7" s="20" t="n">
        <v>3</v>
      </c>
      <c r="O7" s="24" t="s">
        <v>38</v>
      </c>
      <c r="P7" s="20" t="n">
        <v>11</v>
      </c>
      <c r="Q7" s="20" t="n">
        <v>769</v>
      </c>
    </row>
    <row r="8" customFormat="false" ht="31.5" hidden="true" customHeight="true" outlineLevel="0" collapsed="false">
      <c r="A8" s="11" t="s">
        <v>43</v>
      </c>
      <c r="B8" s="12" t="s">
        <v>44</v>
      </c>
      <c r="C8" s="13" t="s">
        <v>45</v>
      </c>
      <c r="D8" s="14" t="s">
        <v>34</v>
      </c>
      <c r="E8" s="15" t="s">
        <v>22</v>
      </c>
      <c r="F8" s="15" t="s">
        <v>35</v>
      </c>
      <c r="G8" s="14" t="s">
        <v>24</v>
      </c>
      <c r="H8" s="16"/>
      <c r="I8" s="17" t="s">
        <v>42</v>
      </c>
      <c r="J8" s="15" t="s">
        <v>37</v>
      </c>
      <c r="K8" s="15" t="s">
        <v>30</v>
      </c>
      <c r="L8" s="18" t="n">
        <v>46259</v>
      </c>
      <c r="M8" s="23" t="n">
        <v>46258</v>
      </c>
      <c r="N8" s="20" t="n">
        <v>2.15</v>
      </c>
      <c r="O8" s="24" t="s">
        <v>38</v>
      </c>
      <c r="P8" s="20" t="n">
        <v>9.5</v>
      </c>
      <c r="Q8" s="20" t="n">
        <v>768.4</v>
      </c>
    </row>
    <row r="9" customFormat="false" ht="15.75" hidden="false" customHeight="true" outlineLevel="0" collapsed="false">
      <c r="A9" s="11" t="s">
        <v>46</v>
      </c>
      <c r="B9" s="12" t="s">
        <v>47</v>
      </c>
      <c r="C9" s="13" t="s">
        <v>48</v>
      </c>
      <c r="D9" s="14" t="s">
        <v>49</v>
      </c>
      <c r="E9" s="15" t="s">
        <v>22</v>
      </c>
      <c r="F9" s="15" t="s">
        <v>35</v>
      </c>
      <c r="G9" s="14" t="s">
        <v>50</v>
      </c>
      <c r="H9" s="16" t="s">
        <v>51</v>
      </c>
      <c r="I9" s="17" t="s">
        <v>52</v>
      </c>
      <c r="J9" s="15" t="s">
        <v>37</v>
      </c>
      <c r="K9" s="15" t="s">
        <v>25</v>
      </c>
      <c r="L9" s="18" t="n">
        <v>46259</v>
      </c>
      <c r="M9" s="23" t="n">
        <v>46257</v>
      </c>
      <c r="N9" s="20" t="n">
        <v>0</v>
      </c>
      <c r="O9" s="24" t="s">
        <v>53</v>
      </c>
      <c r="P9" s="20" t="n">
        <v>6.5</v>
      </c>
      <c r="Q9" s="20" t="n">
        <v>576.2</v>
      </c>
    </row>
    <row r="10" customFormat="false" ht="15.75" hidden="true" customHeight="true" outlineLevel="0" collapsed="false">
      <c r="A10" s="11" t="s">
        <v>54</v>
      </c>
      <c r="B10" s="12" t="s">
        <v>55</v>
      </c>
      <c r="C10" s="13" t="s">
        <v>56</v>
      </c>
      <c r="D10" s="14" t="s">
        <v>49</v>
      </c>
      <c r="E10" s="15" t="s">
        <v>22</v>
      </c>
      <c r="F10" s="15" t="s">
        <v>35</v>
      </c>
      <c r="G10" s="14" t="s">
        <v>50</v>
      </c>
      <c r="H10" s="16" t="s">
        <v>51</v>
      </c>
      <c r="I10" s="17" t="s">
        <v>57</v>
      </c>
      <c r="J10" s="15" t="s">
        <v>37</v>
      </c>
      <c r="K10" s="15" t="s">
        <v>25</v>
      </c>
      <c r="L10" s="18" t="n">
        <v>46252</v>
      </c>
      <c r="M10" s="23" t="n">
        <v>46246</v>
      </c>
      <c r="N10" s="20" t="n">
        <v>2</v>
      </c>
      <c r="O10" s="24" t="s">
        <v>53</v>
      </c>
      <c r="P10" s="20" t="n">
        <v>2</v>
      </c>
      <c r="Q10" s="20" t="n">
        <v>2</v>
      </c>
    </row>
    <row r="11" customFormat="false" ht="15.75" hidden="false" customHeight="true" outlineLevel="0" collapsed="false">
      <c r="A11" s="11" t="s">
        <v>58</v>
      </c>
      <c r="B11" s="12" t="s">
        <v>59</v>
      </c>
      <c r="C11" s="13" t="s">
        <v>60</v>
      </c>
      <c r="D11" s="14" t="s">
        <v>61</v>
      </c>
      <c r="E11" s="15" t="s">
        <v>22</v>
      </c>
      <c r="F11" s="15" t="s">
        <v>35</v>
      </c>
      <c r="G11" s="14" t="s">
        <v>50</v>
      </c>
      <c r="H11" s="16" t="s">
        <v>51</v>
      </c>
      <c r="I11" s="17" t="s">
        <v>62</v>
      </c>
      <c r="J11" s="15" t="s">
        <v>37</v>
      </c>
      <c r="K11" s="15" t="s">
        <v>24</v>
      </c>
      <c r="L11" s="18" t="n">
        <v>46259</v>
      </c>
      <c r="M11" s="23" t="n">
        <v>46258</v>
      </c>
      <c r="N11" s="20" t="n">
        <v>4</v>
      </c>
      <c r="O11" s="24" t="s">
        <v>63</v>
      </c>
      <c r="P11" s="20"/>
      <c r="Q11" s="20" t="n">
        <v>0</v>
      </c>
    </row>
    <row r="12" customFormat="false" ht="31.5" hidden="false" customHeight="true" outlineLevel="0" collapsed="false">
      <c r="A12" s="11" t="s">
        <v>64</v>
      </c>
      <c r="B12" s="12" t="s">
        <v>65</v>
      </c>
      <c r="C12" s="13" t="s">
        <v>66</v>
      </c>
      <c r="D12" s="14" t="s">
        <v>67</v>
      </c>
      <c r="E12" s="15" t="s">
        <v>28</v>
      </c>
      <c r="F12" s="15" t="s">
        <v>35</v>
      </c>
      <c r="G12" s="14" t="s">
        <v>24</v>
      </c>
      <c r="H12" s="16"/>
      <c r="I12" s="17" t="s">
        <v>42</v>
      </c>
      <c r="J12" s="15" t="s">
        <v>37</v>
      </c>
      <c r="K12" s="15" t="s">
        <v>24</v>
      </c>
      <c r="L12" s="18"/>
      <c r="M12" s="23"/>
      <c r="N12" s="20" t="n">
        <v>0.48</v>
      </c>
      <c r="O12" s="24" t="s">
        <v>68</v>
      </c>
      <c r="P12" s="20" t="n">
        <v>44</v>
      </c>
      <c r="Q12" s="20" t="n">
        <v>824.6</v>
      </c>
    </row>
    <row r="13" customFormat="false" ht="31.5" hidden="false" customHeight="true" outlineLevel="0" collapsed="false">
      <c r="A13" s="11" t="s">
        <v>69</v>
      </c>
      <c r="B13" s="12" t="s">
        <v>70</v>
      </c>
      <c r="C13" s="13" t="s">
        <v>71</v>
      </c>
      <c r="D13" s="14" t="s">
        <v>72</v>
      </c>
      <c r="E13" s="15" t="s">
        <v>22</v>
      </c>
      <c r="F13" s="15" t="s">
        <v>35</v>
      </c>
      <c r="G13" s="14" t="s">
        <v>24</v>
      </c>
      <c r="H13" s="16"/>
      <c r="I13" s="17" t="s">
        <v>73</v>
      </c>
      <c r="J13" s="15" t="s">
        <v>37</v>
      </c>
      <c r="K13" s="15" t="s">
        <v>24</v>
      </c>
      <c r="L13" s="18" t="n">
        <v>46259</v>
      </c>
      <c r="M13" s="23" t="n">
        <v>46257</v>
      </c>
      <c r="N13" s="20" t="n">
        <v>0.22</v>
      </c>
      <c r="O13" s="24" t="s">
        <v>74</v>
      </c>
      <c r="P13" s="20" t="n">
        <v>15</v>
      </c>
      <c r="Q13" s="20" t="n">
        <v>812</v>
      </c>
    </row>
    <row r="14" customFormat="false" ht="15.75" hidden="true" customHeight="true" outlineLevel="0" collapsed="false">
      <c r="A14" s="11" t="s">
        <v>75</v>
      </c>
      <c r="B14" s="12" t="s">
        <v>76</v>
      </c>
      <c r="C14" s="13" t="s">
        <v>77</v>
      </c>
      <c r="D14" s="14" t="s">
        <v>49</v>
      </c>
      <c r="E14" s="15" t="s">
        <v>22</v>
      </c>
      <c r="F14" s="15" t="s">
        <v>35</v>
      </c>
      <c r="G14" s="14" t="s">
        <v>24</v>
      </c>
      <c r="H14" s="16"/>
      <c r="I14" s="17" t="s">
        <v>78</v>
      </c>
      <c r="J14" s="15" t="s">
        <v>37</v>
      </c>
      <c r="K14" s="15" t="s">
        <v>25</v>
      </c>
      <c r="L14" s="18" t="n">
        <v>46223</v>
      </c>
      <c r="M14" s="23" t="n">
        <v>46223</v>
      </c>
      <c r="N14" s="20" t="n">
        <v>0.43</v>
      </c>
      <c r="O14" s="24" t="s">
        <v>79</v>
      </c>
      <c r="P14" s="20" t="n">
        <v>12</v>
      </c>
      <c r="Q14" s="20" t="n">
        <v>2.78</v>
      </c>
    </row>
    <row r="15" customFormat="false" ht="15.75" hidden="true" customHeight="true" outlineLevel="0" collapsed="false">
      <c r="A15" s="11" t="s">
        <v>80</v>
      </c>
      <c r="B15" s="12" t="s">
        <v>81</v>
      </c>
      <c r="C15" s="13" t="s">
        <v>82</v>
      </c>
      <c r="D15" s="14" t="s">
        <v>72</v>
      </c>
      <c r="E15" s="15" t="s">
        <v>22</v>
      </c>
      <c r="F15" s="15" t="s">
        <v>35</v>
      </c>
      <c r="G15" s="14" t="s">
        <v>83</v>
      </c>
      <c r="H15" s="16"/>
      <c r="I15" s="17" t="s">
        <v>78</v>
      </c>
      <c r="J15" s="15" t="s">
        <v>37</v>
      </c>
      <c r="K15" s="15" t="s">
        <v>24</v>
      </c>
      <c r="L15" s="18" t="n">
        <v>46223</v>
      </c>
      <c r="M15" s="23" t="n">
        <v>46223</v>
      </c>
      <c r="N15" s="20" t="n">
        <v>0.22</v>
      </c>
      <c r="O15" s="24" t="s">
        <v>84</v>
      </c>
      <c r="P15" s="20" t="n">
        <v>0.75</v>
      </c>
      <c r="Q15" s="20" t="n">
        <v>0.75</v>
      </c>
    </row>
    <row r="16" customFormat="false" ht="15.75" hidden="false" customHeight="true" outlineLevel="0" collapsed="false">
      <c r="A16" s="11" t="s">
        <v>85</v>
      </c>
      <c r="B16" s="12" t="s">
        <v>86</v>
      </c>
      <c r="C16" s="13" t="s">
        <v>87</v>
      </c>
      <c r="D16" s="14" t="s">
        <v>21</v>
      </c>
      <c r="E16" s="15" t="s">
        <v>28</v>
      </c>
      <c r="F16" s="15" t="s">
        <v>35</v>
      </c>
      <c r="G16" s="14" t="s">
        <v>83</v>
      </c>
      <c r="H16" s="16" t="s">
        <v>51</v>
      </c>
      <c r="I16" s="17" t="s">
        <v>88</v>
      </c>
      <c r="J16" s="15" t="s">
        <v>37</v>
      </c>
      <c r="K16" s="15" t="s">
        <v>25</v>
      </c>
      <c r="L16" s="18"/>
      <c r="M16" s="23"/>
      <c r="N16" s="20" t="n">
        <v>0.33</v>
      </c>
      <c r="O16" s="24" t="s">
        <v>89</v>
      </c>
      <c r="P16" s="20"/>
      <c r="Q16" s="20" t="n">
        <v>297.6</v>
      </c>
    </row>
    <row r="17" customFormat="false" ht="15.75" hidden="false" customHeight="true" outlineLevel="0" collapsed="false">
      <c r="A17" s="11" t="s">
        <v>90</v>
      </c>
      <c r="B17" s="12" t="s">
        <v>91</v>
      </c>
      <c r="C17" s="13" t="s">
        <v>92</v>
      </c>
      <c r="D17" s="14" t="s">
        <v>21</v>
      </c>
      <c r="E17" s="15" t="s">
        <v>28</v>
      </c>
      <c r="F17" s="15" t="s">
        <v>35</v>
      </c>
      <c r="G17" s="14" t="s">
        <v>83</v>
      </c>
      <c r="H17" s="16"/>
      <c r="I17" s="17" t="s">
        <v>88</v>
      </c>
      <c r="J17" s="15" t="s">
        <v>37</v>
      </c>
      <c r="K17" s="15" t="s">
        <v>25</v>
      </c>
      <c r="L17" s="18"/>
      <c r="M17" s="23"/>
      <c r="N17" s="20" t="n">
        <v>0.15</v>
      </c>
      <c r="O17" s="24" t="s">
        <v>89</v>
      </c>
      <c r="P17" s="20" t="n">
        <v>2</v>
      </c>
      <c r="Q17" s="20" t="n">
        <v>751</v>
      </c>
    </row>
    <row r="18" customFormat="false" ht="15.75" hidden="true" customHeight="true" outlineLevel="0" collapsed="false">
      <c r="A18" s="11" t="s">
        <v>93</v>
      </c>
      <c r="B18" s="12" t="s">
        <v>94</v>
      </c>
      <c r="C18" s="13" t="s">
        <v>95</v>
      </c>
      <c r="D18" s="14" t="s">
        <v>96</v>
      </c>
      <c r="E18" s="15" t="s">
        <v>22</v>
      </c>
      <c r="F18" s="15" t="s">
        <v>35</v>
      </c>
      <c r="G18" s="14" t="s">
        <v>83</v>
      </c>
      <c r="H18" s="16"/>
      <c r="I18" s="17" t="s">
        <v>36</v>
      </c>
      <c r="J18" s="15" t="s">
        <v>37</v>
      </c>
      <c r="K18" s="15" t="s">
        <v>25</v>
      </c>
      <c r="L18" s="18" t="n">
        <v>46232</v>
      </c>
      <c r="M18" s="23" t="n">
        <v>46232</v>
      </c>
      <c r="N18" s="20" t="n">
        <v>0.65</v>
      </c>
      <c r="O18" s="24" t="s">
        <v>97</v>
      </c>
      <c r="P18" s="20" t="n">
        <v>2.52</v>
      </c>
      <c r="Q18" s="20" t="n">
        <v>74.5</v>
      </c>
    </row>
    <row r="19" customFormat="false" ht="15.75" hidden="false" customHeight="true" outlineLevel="0" collapsed="false">
      <c r="A19" s="11" t="s">
        <v>98</v>
      </c>
      <c r="B19" s="12" t="s">
        <v>99</v>
      </c>
      <c r="C19" s="13" t="s">
        <v>100</v>
      </c>
      <c r="D19" s="14" t="s">
        <v>21</v>
      </c>
      <c r="E19" s="15" t="s">
        <v>28</v>
      </c>
      <c r="F19" s="15" t="s">
        <v>35</v>
      </c>
      <c r="G19" s="14" t="s">
        <v>83</v>
      </c>
      <c r="H19" s="16" t="s">
        <v>51</v>
      </c>
      <c r="I19" s="17" t="s">
        <v>101</v>
      </c>
      <c r="J19" s="15" t="s">
        <v>37</v>
      </c>
      <c r="K19" s="15" t="s">
        <v>25</v>
      </c>
      <c r="L19" s="18"/>
      <c r="M19" s="23"/>
      <c r="N19" s="20" t="n">
        <v>1.5</v>
      </c>
      <c r="O19" s="24" t="s">
        <v>97</v>
      </c>
      <c r="P19" s="20" t="n">
        <v>3.2</v>
      </c>
      <c r="Q19" s="20" t="n">
        <v>677.1</v>
      </c>
    </row>
    <row r="20" customFormat="false" ht="31.5" hidden="false" customHeight="true" outlineLevel="0" collapsed="false">
      <c r="A20" s="11" t="s">
        <v>102</v>
      </c>
      <c r="B20" s="12" t="s">
        <v>103</v>
      </c>
      <c r="C20" s="13" t="s">
        <v>104</v>
      </c>
      <c r="D20" s="14" t="s">
        <v>21</v>
      </c>
      <c r="E20" s="15" t="s">
        <v>28</v>
      </c>
      <c r="F20" s="15" t="s">
        <v>23</v>
      </c>
      <c r="G20" s="14" t="s">
        <v>83</v>
      </c>
      <c r="H20" s="16" t="s">
        <v>51</v>
      </c>
      <c r="I20" s="17" t="s">
        <v>105</v>
      </c>
      <c r="J20" s="15" t="s">
        <v>37</v>
      </c>
      <c r="K20" s="15" t="s">
        <v>25</v>
      </c>
      <c r="L20" s="18"/>
      <c r="M20" s="23"/>
      <c r="N20" s="20" t="n">
        <v>1.3</v>
      </c>
      <c r="O20" s="24" t="s">
        <v>97</v>
      </c>
      <c r="P20" s="20" t="n">
        <v>23.5</v>
      </c>
      <c r="Q20" s="20" t="n">
        <v>488.8</v>
      </c>
    </row>
    <row r="21" customFormat="false" ht="47.25" hidden="false" customHeight="true" outlineLevel="0" collapsed="false">
      <c r="A21" s="11" t="s">
        <v>106</v>
      </c>
      <c r="B21" s="12" t="s">
        <v>107</v>
      </c>
      <c r="C21" s="13" t="s">
        <v>108</v>
      </c>
      <c r="D21" s="14" t="s">
        <v>21</v>
      </c>
      <c r="E21" s="15" t="s">
        <v>28</v>
      </c>
      <c r="F21" s="15" t="s">
        <v>23</v>
      </c>
      <c r="G21" s="14" t="s">
        <v>83</v>
      </c>
      <c r="H21" s="16" t="s">
        <v>51</v>
      </c>
      <c r="I21" s="17" t="s">
        <v>109</v>
      </c>
      <c r="J21" s="15" t="s">
        <v>37</v>
      </c>
      <c r="K21" s="15" t="s">
        <v>25</v>
      </c>
      <c r="L21" s="18" t="n">
        <v>46222</v>
      </c>
      <c r="M21" s="23"/>
      <c r="N21" s="20" t="n">
        <v>1.75</v>
      </c>
      <c r="O21" s="24" t="s">
        <v>97</v>
      </c>
      <c r="P21" s="20" t="n">
        <v>22</v>
      </c>
      <c r="Q21" s="20" t="n">
        <v>961.5</v>
      </c>
    </row>
    <row r="22" customFormat="false" ht="47.25" hidden="false" customHeight="true" outlineLevel="0" collapsed="false">
      <c r="A22" s="11" t="s">
        <v>110</v>
      </c>
      <c r="B22" s="12" t="s">
        <v>111</v>
      </c>
      <c r="C22" s="13" t="s">
        <v>112</v>
      </c>
      <c r="D22" s="14" t="s">
        <v>21</v>
      </c>
      <c r="E22" s="15" t="s">
        <v>28</v>
      </c>
      <c r="F22" s="15" t="s">
        <v>23</v>
      </c>
      <c r="G22" s="14" t="s">
        <v>50</v>
      </c>
      <c r="H22" s="16" t="s">
        <v>51</v>
      </c>
      <c r="I22" s="17" t="s">
        <v>113</v>
      </c>
      <c r="J22" s="15" t="s">
        <v>37</v>
      </c>
      <c r="K22" s="15" t="s">
        <v>25</v>
      </c>
      <c r="L22" s="18" t="n">
        <v>46222</v>
      </c>
      <c r="M22" s="23"/>
      <c r="N22" s="20" t="n">
        <v>3.67</v>
      </c>
      <c r="O22" s="24" t="s">
        <v>97</v>
      </c>
      <c r="P22" s="20" t="n">
        <v>127.5</v>
      </c>
      <c r="Q22" s="20" t="n">
        <v>631.9</v>
      </c>
    </row>
    <row r="23" customFormat="false" ht="31.5" hidden="false" customHeight="true" outlineLevel="0" collapsed="false">
      <c r="A23" s="11" t="s">
        <v>114</v>
      </c>
      <c r="B23" s="12" t="s">
        <v>115</v>
      </c>
      <c r="C23" s="13" t="s">
        <v>116</v>
      </c>
      <c r="D23" s="14" t="s">
        <v>21</v>
      </c>
      <c r="E23" s="15" t="s">
        <v>28</v>
      </c>
      <c r="F23" s="15" t="s">
        <v>23</v>
      </c>
      <c r="G23" s="14" t="s">
        <v>83</v>
      </c>
      <c r="H23" s="16" t="s">
        <v>51</v>
      </c>
      <c r="I23" s="17" t="s">
        <v>117</v>
      </c>
      <c r="J23" s="15" t="s">
        <v>37</v>
      </c>
      <c r="K23" s="15" t="s">
        <v>25</v>
      </c>
      <c r="L23" s="18" t="n">
        <v>46222</v>
      </c>
      <c r="M23" s="23"/>
      <c r="N23" s="20" t="n">
        <v>1</v>
      </c>
      <c r="O23" s="24" t="s">
        <v>97</v>
      </c>
      <c r="P23" s="20" t="n">
        <v>49.5</v>
      </c>
      <c r="Q23" s="20" t="n">
        <v>726.1</v>
      </c>
    </row>
    <row r="24" customFormat="false" ht="30" hidden="true" customHeight="true" outlineLevel="0" collapsed="false">
      <c r="A24" s="11" t="s">
        <v>118</v>
      </c>
      <c r="B24" s="12" t="s">
        <v>119</v>
      </c>
      <c r="C24" s="13" t="s">
        <v>120</v>
      </c>
      <c r="D24" s="14" t="s">
        <v>96</v>
      </c>
      <c r="E24" s="15" t="s">
        <v>22</v>
      </c>
      <c r="F24" s="15" t="s">
        <v>35</v>
      </c>
      <c r="G24" s="14" t="s">
        <v>24</v>
      </c>
      <c r="H24" s="16" t="s">
        <v>51</v>
      </c>
      <c r="I24" s="17" t="s">
        <v>36</v>
      </c>
      <c r="J24" s="15" t="s">
        <v>37</v>
      </c>
      <c r="K24" s="15" t="s">
        <v>30</v>
      </c>
      <c r="L24" s="18" t="n">
        <v>46233</v>
      </c>
      <c r="M24" s="23" t="n">
        <v>46233</v>
      </c>
      <c r="N24" s="20" t="n">
        <v>0.75</v>
      </c>
      <c r="O24" s="24" t="s">
        <v>121</v>
      </c>
      <c r="P24" s="20" t="n">
        <v>2.25</v>
      </c>
      <c r="Q24" s="20" t="n">
        <v>72.3</v>
      </c>
    </row>
    <row r="25" customFormat="false" ht="31.5" hidden="true" customHeight="true" outlineLevel="0" collapsed="false">
      <c r="A25" s="11" t="s">
        <v>122</v>
      </c>
      <c r="B25" s="12" t="s">
        <v>123</v>
      </c>
      <c r="C25" s="13" t="s">
        <v>124</v>
      </c>
      <c r="D25" s="14" t="s">
        <v>96</v>
      </c>
      <c r="E25" s="15" t="s">
        <v>22</v>
      </c>
      <c r="F25" s="15" t="s">
        <v>35</v>
      </c>
      <c r="G25" s="14" t="s">
        <v>24</v>
      </c>
      <c r="H25" s="16" t="s">
        <v>51</v>
      </c>
      <c r="I25" s="17" t="s">
        <v>42</v>
      </c>
      <c r="J25" s="15" t="s">
        <v>37</v>
      </c>
      <c r="K25" s="15" t="s">
        <v>30</v>
      </c>
      <c r="L25" s="18" t="n">
        <v>46256</v>
      </c>
      <c r="M25" s="23" t="n">
        <v>46254</v>
      </c>
      <c r="N25" s="20" t="n">
        <v>5.72</v>
      </c>
      <c r="O25" s="24" t="s">
        <v>121</v>
      </c>
      <c r="P25" s="20" t="n">
        <v>40.5</v>
      </c>
      <c r="Q25" s="20" t="n">
        <v>508.5</v>
      </c>
    </row>
    <row r="26" customFormat="false" ht="47.25" hidden="false" customHeight="true" outlineLevel="0" collapsed="false">
      <c r="A26" s="11" t="s">
        <v>125</v>
      </c>
      <c r="B26" s="12" t="s">
        <v>126</v>
      </c>
      <c r="C26" s="13" t="s">
        <v>127</v>
      </c>
      <c r="D26" s="14" t="s">
        <v>21</v>
      </c>
      <c r="E26" s="15" t="s">
        <v>28</v>
      </c>
      <c r="F26" s="15" t="s">
        <v>23</v>
      </c>
      <c r="G26" s="14" t="s">
        <v>50</v>
      </c>
      <c r="H26" s="16" t="s">
        <v>51</v>
      </c>
      <c r="I26" s="17" t="s">
        <v>128</v>
      </c>
      <c r="J26" s="15" t="s">
        <v>37</v>
      </c>
      <c r="K26" s="15" t="s">
        <v>24</v>
      </c>
      <c r="L26" s="18"/>
      <c r="M26" s="23"/>
      <c r="N26" s="20" t="n">
        <v>37</v>
      </c>
      <c r="O26" s="24" t="s">
        <v>121</v>
      </c>
      <c r="P26" s="20" t="n">
        <v>128</v>
      </c>
      <c r="Q26" s="20" t="n">
        <v>752.1</v>
      </c>
    </row>
    <row r="27" customFormat="false" ht="15.75" hidden="true" customHeight="true" outlineLevel="0" collapsed="false">
      <c r="A27" s="11" t="s">
        <v>129</v>
      </c>
      <c r="B27" s="12" t="s">
        <v>130</v>
      </c>
      <c r="C27" s="13" t="s">
        <v>131</v>
      </c>
      <c r="D27" s="14" t="s">
        <v>21</v>
      </c>
      <c r="E27" s="15" t="s">
        <v>28</v>
      </c>
      <c r="F27" s="15" t="s">
        <v>23</v>
      </c>
      <c r="G27" s="14" t="s">
        <v>50</v>
      </c>
      <c r="H27" s="16" t="s">
        <v>51</v>
      </c>
      <c r="I27" s="17" t="s">
        <v>132</v>
      </c>
      <c r="J27" s="15" t="s">
        <v>37</v>
      </c>
      <c r="K27" s="15" t="s">
        <v>30</v>
      </c>
      <c r="L27" s="18"/>
      <c r="M27" s="23"/>
      <c r="N27" s="20" t="n">
        <v>2</v>
      </c>
      <c r="O27" s="24" t="s">
        <v>121</v>
      </c>
      <c r="P27" s="20" t="n">
        <v>22</v>
      </c>
      <c r="Q27" s="20" t="n">
        <v>623.8</v>
      </c>
    </row>
    <row r="28" customFormat="false" ht="31.5" hidden="false" customHeight="true" outlineLevel="0" collapsed="false">
      <c r="A28" s="11" t="s">
        <v>133</v>
      </c>
      <c r="B28" s="12" t="s">
        <v>134</v>
      </c>
      <c r="C28" s="13" t="s">
        <v>135</v>
      </c>
      <c r="D28" s="14" t="s">
        <v>34</v>
      </c>
      <c r="E28" s="15" t="s">
        <v>22</v>
      </c>
      <c r="F28" s="15" t="s">
        <v>35</v>
      </c>
      <c r="G28" s="14" t="s">
        <v>24</v>
      </c>
      <c r="H28" s="16" t="s">
        <v>51</v>
      </c>
      <c r="I28" s="17" t="s">
        <v>136</v>
      </c>
      <c r="J28" s="15" t="s">
        <v>37</v>
      </c>
      <c r="K28" s="15" t="s">
        <v>24</v>
      </c>
      <c r="L28" s="18" t="n">
        <v>46259</v>
      </c>
      <c r="M28" s="23" t="n">
        <v>46257</v>
      </c>
      <c r="N28" s="20" t="n">
        <v>2.7</v>
      </c>
      <c r="O28" s="24" t="s">
        <v>137</v>
      </c>
      <c r="P28" s="20" t="n">
        <v>82</v>
      </c>
      <c r="Q28" s="20" t="n">
        <v>656.6</v>
      </c>
    </row>
    <row r="29" customFormat="false" ht="15.75" hidden="true" customHeight="true" outlineLevel="0" collapsed="false">
      <c r="A29" s="11" t="s">
        <v>138</v>
      </c>
      <c r="B29" s="12" t="s">
        <v>139</v>
      </c>
      <c r="C29" s="13" t="s">
        <v>140</v>
      </c>
      <c r="D29" s="14"/>
      <c r="E29" s="15" t="s">
        <v>22</v>
      </c>
      <c r="F29" s="15" t="s">
        <v>141</v>
      </c>
      <c r="G29" s="14"/>
      <c r="H29" s="16" t="s">
        <v>51</v>
      </c>
      <c r="I29" s="17"/>
      <c r="J29" s="15"/>
      <c r="K29" s="15"/>
      <c r="L29" s="18" t="n">
        <v>46259</v>
      </c>
      <c r="M29" s="23" t="n">
        <v>46257</v>
      </c>
      <c r="N29" s="20" t="n">
        <v>2</v>
      </c>
      <c r="O29" s="24"/>
      <c r="P29" s="20" t="n">
        <v>9</v>
      </c>
      <c r="Q29" s="20" t="n">
        <v>455.2</v>
      </c>
    </row>
    <row r="30" customFormat="false" ht="31.5" hidden="true" customHeight="true" outlineLevel="0" collapsed="false">
      <c r="A30" s="11" t="s">
        <v>142</v>
      </c>
      <c r="B30" s="12" t="s">
        <v>143</v>
      </c>
      <c r="C30" s="13" t="s">
        <v>144</v>
      </c>
      <c r="D30" s="14" t="s">
        <v>21</v>
      </c>
      <c r="E30" s="15" t="s">
        <v>22</v>
      </c>
      <c r="F30" s="15" t="s">
        <v>23</v>
      </c>
      <c r="G30" s="14" t="s">
        <v>50</v>
      </c>
      <c r="H30" s="16" t="s">
        <v>51</v>
      </c>
      <c r="I30" s="17" t="s">
        <v>145</v>
      </c>
      <c r="J30" s="15" t="s">
        <v>37</v>
      </c>
      <c r="K30" s="15" t="s">
        <v>24</v>
      </c>
      <c r="L30" s="18" t="n">
        <v>46252</v>
      </c>
      <c r="M30" s="23" t="n">
        <v>46251</v>
      </c>
      <c r="N30" s="20" t="n">
        <v>11.5</v>
      </c>
      <c r="O30" s="24" t="s">
        <v>146</v>
      </c>
      <c r="P30" s="20" t="n">
        <v>389.8</v>
      </c>
      <c r="Q30" s="20" t="n">
        <v>517.5</v>
      </c>
    </row>
    <row r="31" customFormat="false" ht="15.75" hidden="true" customHeight="true" outlineLevel="0" collapsed="false">
      <c r="A31" s="11" t="s">
        <v>147</v>
      </c>
      <c r="B31" s="12" t="s">
        <v>148</v>
      </c>
      <c r="C31" s="13" t="s">
        <v>149</v>
      </c>
      <c r="D31" s="14" t="s">
        <v>21</v>
      </c>
      <c r="E31" s="15" t="s">
        <v>22</v>
      </c>
      <c r="F31" s="15" t="s">
        <v>35</v>
      </c>
      <c r="G31" s="14" t="s">
        <v>83</v>
      </c>
      <c r="H31" s="16"/>
      <c r="I31" s="17" t="s">
        <v>78</v>
      </c>
      <c r="J31" s="15" t="s">
        <v>37</v>
      </c>
      <c r="K31" s="15" t="s">
        <v>30</v>
      </c>
      <c r="L31" s="18" t="n">
        <v>46226</v>
      </c>
      <c r="M31" s="23" t="n">
        <v>46226</v>
      </c>
      <c r="N31" s="20" t="n">
        <v>77</v>
      </c>
      <c r="O31" s="24" t="s">
        <v>146</v>
      </c>
      <c r="P31" s="20" t="n">
        <v>2.5</v>
      </c>
      <c r="Q31" s="20" t="n">
        <v>47.7</v>
      </c>
    </row>
    <row r="32" customFormat="false" ht="15.75" hidden="true" customHeight="true" outlineLevel="0" collapsed="false">
      <c r="A32" s="11" t="s">
        <v>150</v>
      </c>
      <c r="B32" s="12" t="s">
        <v>151</v>
      </c>
      <c r="C32" s="13" t="s">
        <v>152</v>
      </c>
      <c r="D32" s="14" t="s">
        <v>49</v>
      </c>
      <c r="E32" s="15" t="s">
        <v>22</v>
      </c>
      <c r="F32" s="15" t="s">
        <v>35</v>
      </c>
      <c r="G32" s="14" t="s">
        <v>83</v>
      </c>
      <c r="H32" s="16"/>
      <c r="I32" s="17" t="s">
        <v>78</v>
      </c>
      <c r="J32" s="15" t="s">
        <v>37</v>
      </c>
      <c r="K32" s="15" t="s">
        <v>25</v>
      </c>
      <c r="L32" s="18" t="n">
        <v>46226</v>
      </c>
      <c r="M32" s="23" t="n">
        <v>46226</v>
      </c>
      <c r="N32" s="20" t="n">
        <v>0.43</v>
      </c>
      <c r="O32" s="24" t="s">
        <v>153</v>
      </c>
      <c r="P32" s="20" t="n">
        <v>21</v>
      </c>
      <c r="Q32" s="20" t="n">
        <v>30.4</v>
      </c>
    </row>
    <row r="33" customFormat="false" ht="15.75" hidden="true" customHeight="true" outlineLevel="0" collapsed="false">
      <c r="A33" s="11" t="s">
        <v>154</v>
      </c>
      <c r="B33" s="12" t="s">
        <v>155</v>
      </c>
      <c r="C33" s="13" t="s">
        <v>156</v>
      </c>
      <c r="D33" s="14" t="s">
        <v>96</v>
      </c>
      <c r="E33" s="15" t="s">
        <v>22</v>
      </c>
      <c r="F33" s="15" t="s">
        <v>35</v>
      </c>
      <c r="G33" s="14" t="s">
        <v>157</v>
      </c>
      <c r="H33" s="16"/>
      <c r="I33" s="17" t="s">
        <v>157</v>
      </c>
      <c r="J33" s="15" t="s">
        <v>37</v>
      </c>
      <c r="K33" s="15" t="s">
        <v>24</v>
      </c>
      <c r="L33" s="18" t="n">
        <v>46252</v>
      </c>
      <c r="M33" s="23" t="n">
        <v>46239</v>
      </c>
      <c r="N33" s="20" t="n">
        <v>1.97</v>
      </c>
      <c r="O33" s="24" t="s">
        <v>158</v>
      </c>
      <c r="P33" s="20" t="n">
        <v>6.83</v>
      </c>
      <c r="Q33" s="20" t="n">
        <v>323.4</v>
      </c>
    </row>
    <row r="34" customFormat="false" ht="47.25" hidden="false" customHeight="true" outlineLevel="0" collapsed="false">
      <c r="A34" s="11" t="s">
        <v>159</v>
      </c>
      <c r="B34" s="12" t="s">
        <v>160</v>
      </c>
      <c r="C34" s="13" t="s">
        <v>161</v>
      </c>
      <c r="D34" s="14" t="s">
        <v>34</v>
      </c>
      <c r="E34" s="15" t="s">
        <v>22</v>
      </c>
      <c r="F34" s="15" t="s">
        <v>35</v>
      </c>
      <c r="G34" s="14" t="s">
        <v>50</v>
      </c>
      <c r="H34" s="16"/>
      <c r="I34" s="17" t="s">
        <v>162</v>
      </c>
      <c r="J34" s="15" t="s">
        <v>37</v>
      </c>
      <c r="K34" s="15" t="s">
        <v>24</v>
      </c>
      <c r="L34" s="18" t="n">
        <v>46259</v>
      </c>
      <c r="M34" s="23" t="n">
        <v>46257</v>
      </c>
      <c r="N34" s="20" t="n">
        <v>2.17</v>
      </c>
      <c r="O34" s="24" t="s">
        <v>163</v>
      </c>
      <c r="P34" s="20" t="n">
        <v>8</v>
      </c>
      <c r="Q34" s="20" t="n">
        <v>792.1</v>
      </c>
    </row>
    <row r="35" customFormat="false" ht="15.75" hidden="false" customHeight="true" outlineLevel="0" collapsed="false">
      <c r="A35" s="11" t="s">
        <v>164</v>
      </c>
      <c r="B35" s="12" t="s">
        <v>165</v>
      </c>
      <c r="C35" s="13" t="s">
        <v>166</v>
      </c>
      <c r="D35" s="14" t="s">
        <v>34</v>
      </c>
      <c r="E35" s="15" t="s">
        <v>28</v>
      </c>
      <c r="F35" s="15" t="s">
        <v>35</v>
      </c>
      <c r="G35" s="14" t="s">
        <v>167</v>
      </c>
      <c r="H35" s="16"/>
      <c r="I35" s="17" t="s">
        <v>167</v>
      </c>
      <c r="J35" s="15" t="s">
        <v>37</v>
      </c>
      <c r="K35" s="15" t="s">
        <v>24</v>
      </c>
      <c r="L35" s="18"/>
      <c r="M35" s="23"/>
      <c r="N35" s="20" t="n">
        <v>1</v>
      </c>
      <c r="O35" s="24" t="s">
        <v>168</v>
      </c>
      <c r="P35" s="20"/>
      <c r="Q35" s="20" t="n">
        <v>0</v>
      </c>
    </row>
    <row r="36" customFormat="false" ht="15.75" hidden="true" customHeight="true" outlineLevel="0" collapsed="false">
      <c r="A36" s="11" t="s">
        <v>169</v>
      </c>
      <c r="B36" s="12" t="s">
        <v>170</v>
      </c>
      <c r="C36" s="13" t="s">
        <v>171</v>
      </c>
      <c r="D36" s="14" t="s">
        <v>72</v>
      </c>
      <c r="E36" s="15" t="s">
        <v>22</v>
      </c>
      <c r="F36" s="15" t="s">
        <v>35</v>
      </c>
      <c r="G36" s="14" t="s">
        <v>50</v>
      </c>
      <c r="H36" s="16" t="s">
        <v>51</v>
      </c>
      <c r="I36" s="17" t="s">
        <v>78</v>
      </c>
      <c r="J36" s="15" t="s">
        <v>37</v>
      </c>
      <c r="K36" s="15" t="s">
        <v>24</v>
      </c>
      <c r="L36" s="18" t="n">
        <v>46223</v>
      </c>
      <c r="M36" s="23" t="n">
        <v>46223</v>
      </c>
      <c r="N36" s="20" t="n">
        <v>0.43</v>
      </c>
      <c r="O36" s="24" t="s">
        <v>172</v>
      </c>
      <c r="P36" s="20" t="n">
        <v>2</v>
      </c>
      <c r="Q36" s="20" t="n">
        <v>1</v>
      </c>
    </row>
    <row r="37" customFormat="false" ht="15.75" hidden="false" customHeight="true" outlineLevel="0" collapsed="false">
      <c r="A37" s="11" t="s">
        <v>173</v>
      </c>
      <c r="B37" s="12" t="s">
        <v>174</v>
      </c>
      <c r="C37" s="13" t="s">
        <v>175</v>
      </c>
      <c r="D37" s="14" t="s">
        <v>49</v>
      </c>
      <c r="E37" s="15" t="s">
        <v>22</v>
      </c>
      <c r="F37" s="15" t="s">
        <v>35</v>
      </c>
      <c r="G37" s="14" t="s">
        <v>50</v>
      </c>
      <c r="H37" s="16"/>
      <c r="I37" s="17" t="s">
        <v>176</v>
      </c>
      <c r="J37" s="15" t="s">
        <v>37</v>
      </c>
      <c r="K37" s="15" t="s">
        <v>25</v>
      </c>
      <c r="L37" s="18" t="n">
        <v>46259</v>
      </c>
      <c r="M37" s="23" t="n">
        <v>46257</v>
      </c>
      <c r="N37" s="20" t="n">
        <v>4.33</v>
      </c>
      <c r="O37" s="24" t="s">
        <v>177</v>
      </c>
      <c r="P37" s="20" t="n">
        <v>38</v>
      </c>
      <c r="Q37" s="20" t="n">
        <v>777.1</v>
      </c>
    </row>
    <row r="38" customFormat="false" ht="15.75" hidden="false" customHeight="true" outlineLevel="0" collapsed="false">
      <c r="A38" s="11" t="s">
        <v>178</v>
      </c>
      <c r="B38" s="12" t="s">
        <v>179</v>
      </c>
      <c r="C38" s="13" t="s">
        <v>180</v>
      </c>
      <c r="D38" s="14" t="s">
        <v>34</v>
      </c>
      <c r="E38" s="15" t="s">
        <v>28</v>
      </c>
      <c r="F38" s="15" t="s">
        <v>35</v>
      </c>
      <c r="G38" s="14" t="s">
        <v>24</v>
      </c>
      <c r="H38" s="16" t="s">
        <v>51</v>
      </c>
      <c r="I38" s="17" t="s">
        <v>181</v>
      </c>
      <c r="J38" s="15" t="s">
        <v>37</v>
      </c>
      <c r="K38" s="15" t="s">
        <v>24</v>
      </c>
      <c r="L38" s="18"/>
      <c r="M38" s="23"/>
      <c r="N38" s="20" t="n">
        <v>5.83</v>
      </c>
      <c r="O38" s="24" t="s">
        <v>177</v>
      </c>
      <c r="P38" s="20" t="n">
        <v>26.5</v>
      </c>
      <c r="Q38" s="20" t="n">
        <v>796.4</v>
      </c>
    </row>
    <row r="39" customFormat="false" ht="15.75" hidden="false" customHeight="true" outlineLevel="0" collapsed="false">
      <c r="A39" s="11" t="s">
        <v>182</v>
      </c>
      <c r="B39" s="12" t="s">
        <v>183</v>
      </c>
      <c r="C39" s="13" t="s">
        <v>184</v>
      </c>
      <c r="D39" s="14" t="s">
        <v>185</v>
      </c>
      <c r="E39" s="15" t="s">
        <v>28</v>
      </c>
      <c r="F39" s="15" t="s">
        <v>35</v>
      </c>
      <c r="G39" s="14" t="s">
        <v>186</v>
      </c>
      <c r="H39" s="16"/>
      <c r="I39" s="17" t="s">
        <v>187</v>
      </c>
      <c r="J39" s="15" t="s">
        <v>37</v>
      </c>
      <c r="K39" s="15" t="s">
        <v>24</v>
      </c>
      <c r="L39" s="18"/>
      <c r="M39" s="23"/>
      <c r="N39" s="20" t="n">
        <v>2.33</v>
      </c>
      <c r="O39" s="24" t="s">
        <v>177</v>
      </c>
      <c r="P39" s="20" t="n">
        <v>7.5</v>
      </c>
      <c r="Q39" s="20" t="n">
        <v>773.2</v>
      </c>
    </row>
    <row r="40" customFormat="false" ht="47.25" hidden="false" customHeight="true" outlineLevel="0" collapsed="false">
      <c r="A40" s="11" t="s">
        <v>188</v>
      </c>
      <c r="B40" s="12" t="s">
        <v>189</v>
      </c>
      <c r="C40" s="13" t="s">
        <v>190</v>
      </c>
      <c r="D40" s="14" t="s">
        <v>185</v>
      </c>
      <c r="E40" s="15" t="s">
        <v>28</v>
      </c>
      <c r="F40" s="15" t="s">
        <v>35</v>
      </c>
      <c r="G40" s="14" t="s">
        <v>186</v>
      </c>
      <c r="H40" s="16"/>
      <c r="I40" s="17" t="s">
        <v>191</v>
      </c>
      <c r="J40" s="15" t="s">
        <v>37</v>
      </c>
      <c r="K40" s="15" t="s">
        <v>24</v>
      </c>
      <c r="L40" s="18"/>
      <c r="M40" s="23"/>
      <c r="N40" s="20" t="n">
        <v>1.5</v>
      </c>
      <c r="O40" s="24" t="s">
        <v>177</v>
      </c>
      <c r="P40" s="20" t="n">
        <v>6</v>
      </c>
      <c r="Q40" s="20" t="n">
        <v>773.4</v>
      </c>
    </row>
    <row r="41" customFormat="false" ht="15.75" hidden="false" customHeight="true" outlineLevel="0" collapsed="false">
      <c r="A41" s="11" t="s">
        <v>192</v>
      </c>
      <c r="B41" s="12" t="s">
        <v>193</v>
      </c>
      <c r="C41" s="13" t="s">
        <v>194</v>
      </c>
      <c r="D41" s="14" t="s">
        <v>61</v>
      </c>
      <c r="E41" s="15" t="s">
        <v>22</v>
      </c>
      <c r="F41" s="15" t="s">
        <v>35</v>
      </c>
      <c r="G41" s="14" t="s">
        <v>50</v>
      </c>
      <c r="H41" s="16"/>
      <c r="I41" s="17" t="s">
        <v>36</v>
      </c>
      <c r="J41" s="15" t="s">
        <v>37</v>
      </c>
      <c r="K41" s="15" t="s">
        <v>24</v>
      </c>
      <c r="L41" s="18" t="n">
        <v>46259</v>
      </c>
      <c r="M41" s="23" t="n">
        <v>46257</v>
      </c>
      <c r="N41" s="20" t="n">
        <v>0</v>
      </c>
      <c r="O41" s="24" t="s">
        <v>177</v>
      </c>
      <c r="P41" s="20" t="n">
        <v>18</v>
      </c>
      <c r="Q41" s="20" t="n">
        <v>789.2</v>
      </c>
    </row>
    <row r="42" customFormat="false" ht="15.75" hidden="false" customHeight="true" outlineLevel="0" collapsed="false">
      <c r="A42" s="11" t="s">
        <v>195</v>
      </c>
      <c r="B42" s="12" t="s">
        <v>196</v>
      </c>
      <c r="C42" s="13" t="s">
        <v>197</v>
      </c>
      <c r="D42" s="14" t="s">
        <v>34</v>
      </c>
      <c r="E42" s="15" t="s">
        <v>28</v>
      </c>
      <c r="F42" s="15" t="s">
        <v>35</v>
      </c>
      <c r="G42" s="14" t="s">
        <v>50</v>
      </c>
      <c r="H42" s="16" t="s">
        <v>51</v>
      </c>
      <c r="I42" s="17" t="s">
        <v>198</v>
      </c>
      <c r="J42" s="15" t="s">
        <v>37</v>
      </c>
      <c r="K42" s="15" t="s">
        <v>24</v>
      </c>
      <c r="L42" s="18" t="n">
        <v>46222</v>
      </c>
      <c r="M42" s="23"/>
      <c r="N42" s="20" t="n">
        <v>4</v>
      </c>
      <c r="O42" s="24" t="s">
        <v>199</v>
      </c>
      <c r="P42" s="20"/>
      <c r="Q42" s="20" t="n">
        <v>0</v>
      </c>
    </row>
    <row r="43" customFormat="false" ht="15.75" hidden="false" customHeight="true" outlineLevel="0" collapsed="false">
      <c r="A43" s="11" t="s">
        <v>200</v>
      </c>
      <c r="B43" s="12" t="s">
        <v>201</v>
      </c>
      <c r="C43" s="13" t="s">
        <v>202</v>
      </c>
      <c r="D43" s="14" t="s">
        <v>34</v>
      </c>
      <c r="E43" s="15" t="s">
        <v>28</v>
      </c>
      <c r="F43" s="15" t="s">
        <v>35</v>
      </c>
      <c r="G43" s="14" t="s">
        <v>50</v>
      </c>
      <c r="H43" s="16" t="s">
        <v>51</v>
      </c>
      <c r="I43" s="17" t="s">
        <v>203</v>
      </c>
      <c r="J43" s="15" t="s">
        <v>37</v>
      </c>
      <c r="K43" s="15" t="s">
        <v>24</v>
      </c>
      <c r="L43" s="18" t="n">
        <v>46222</v>
      </c>
      <c r="M43" s="23"/>
      <c r="N43" s="20" t="n">
        <v>4</v>
      </c>
      <c r="O43" s="24" t="s">
        <v>204</v>
      </c>
      <c r="P43" s="20"/>
      <c r="Q43" s="20" t="n">
        <v>0</v>
      </c>
    </row>
    <row r="44" customFormat="false" ht="15.75" hidden="false" customHeight="true" outlineLevel="0" collapsed="false">
      <c r="A44" s="11" t="s">
        <v>205</v>
      </c>
      <c r="B44" s="12" t="s">
        <v>206</v>
      </c>
      <c r="C44" s="13" t="s">
        <v>207</v>
      </c>
      <c r="D44" s="14" t="s">
        <v>67</v>
      </c>
      <c r="E44" s="15" t="s">
        <v>28</v>
      </c>
      <c r="F44" s="15" t="s">
        <v>35</v>
      </c>
      <c r="G44" s="14" t="s">
        <v>208</v>
      </c>
      <c r="H44" s="16"/>
      <c r="I44" s="17" t="s">
        <v>208</v>
      </c>
      <c r="J44" s="15" t="s">
        <v>37</v>
      </c>
      <c r="K44" s="15" t="s">
        <v>24</v>
      </c>
      <c r="L44" s="18"/>
      <c r="M44" s="23"/>
      <c r="N44" s="20" t="n">
        <v>2</v>
      </c>
      <c r="O44" s="24" t="s">
        <v>68</v>
      </c>
      <c r="P44" s="20"/>
      <c r="Q44" s="20" t="n">
        <v>0</v>
      </c>
    </row>
    <row r="45" customFormat="false" ht="15.75" hidden="false" customHeight="true" outlineLevel="0" collapsed="false">
      <c r="A45" s="11" t="s">
        <v>209</v>
      </c>
      <c r="B45" s="12" t="s">
        <v>210</v>
      </c>
      <c r="C45" s="13" t="s">
        <v>211</v>
      </c>
      <c r="D45" s="14" t="s">
        <v>67</v>
      </c>
      <c r="E45" s="15" t="s">
        <v>28</v>
      </c>
      <c r="F45" s="15" t="s">
        <v>35</v>
      </c>
      <c r="G45" s="14" t="s">
        <v>50</v>
      </c>
      <c r="H45" s="16"/>
      <c r="I45" s="17" t="s">
        <v>212</v>
      </c>
      <c r="J45" s="15" t="s">
        <v>37</v>
      </c>
      <c r="K45" s="15" t="s">
        <v>24</v>
      </c>
      <c r="L45" s="18"/>
      <c r="M45" s="23"/>
      <c r="N45" s="20" t="n">
        <v>0.5</v>
      </c>
      <c r="O45" s="24" t="s">
        <v>68</v>
      </c>
      <c r="P45" s="20"/>
      <c r="Q45" s="20" t="n">
        <v>0</v>
      </c>
    </row>
    <row r="46" customFormat="false" ht="15.75" hidden="false" customHeight="true" outlineLevel="0" collapsed="false">
      <c r="A46" s="11" t="s">
        <v>213</v>
      </c>
      <c r="B46" s="12" t="s">
        <v>214</v>
      </c>
      <c r="C46" s="13" t="s">
        <v>215</v>
      </c>
      <c r="D46" s="14" t="s">
        <v>67</v>
      </c>
      <c r="E46" s="15" t="s">
        <v>28</v>
      </c>
      <c r="F46" s="15" t="s">
        <v>35</v>
      </c>
      <c r="G46" s="14" t="s">
        <v>50</v>
      </c>
      <c r="H46" s="16"/>
      <c r="I46" s="17" t="s">
        <v>176</v>
      </c>
      <c r="J46" s="15" t="s">
        <v>37</v>
      </c>
      <c r="K46" s="15" t="s">
        <v>24</v>
      </c>
      <c r="L46" s="18"/>
      <c r="M46" s="23"/>
      <c r="N46" s="20" t="n">
        <v>6.92</v>
      </c>
      <c r="O46" s="24" t="s">
        <v>177</v>
      </c>
      <c r="P46" s="20" t="n">
        <v>28.5</v>
      </c>
      <c r="Q46" s="20" t="n">
        <v>825.1</v>
      </c>
    </row>
    <row r="47" customFormat="false" ht="15.75" hidden="false" customHeight="true" outlineLevel="0" collapsed="false">
      <c r="A47" s="11" t="s">
        <v>216</v>
      </c>
      <c r="B47" s="12" t="s">
        <v>217</v>
      </c>
      <c r="C47" s="13" t="s">
        <v>218</v>
      </c>
      <c r="D47" s="14" t="s">
        <v>72</v>
      </c>
      <c r="E47" s="15" t="s">
        <v>22</v>
      </c>
      <c r="F47" s="15" t="s">
        <v>35</v>
      </c>
      <c r="G47" s="14" t="s">
        <v>50</v>
      </c>
      <c r="H47" s="16"/>
      <c r="I47" s="17" t="s">
        <v>176</v>
      </c>
      <c r="J47" s="15" t="s">
        <v>37</v>
      </c>
      <c r="K47" s="15" t="s">
        <v>24</v>
      </c>
      <c r="L47" s="18" t="n">
        <v>46259</v>
      </c>
      <c r="M47" s="23" t="n">
        <v>46258</v>
      </c>
      <c r="N47" s="20" t="n">
        <v>7.42</v>
      </c>
      <c r="O47" s="24" t="s">
        <v>177</v>
      </c>
      <c r="P47" s="20" t="n">
        <v>3.5</v>
      </c>
      <c r="Q47" s="20" t="n">
        <v>765.9</v>
      </c>
    </row>
    <row r="48" customFormat="false" ht="30" hidden="true" customHeight="true" outlineLevel="0" collapsed="false">
      <c r="A48" s="11" t="s">
        <v>219</v>
      </c>
      <c r="B48" s="12" t="s">
        <v>220</v>
      </c>
      <c r="C48" s="13" t="s">
        <v>221</v>
      </c>
      <c r="D48" s="14" t="s">
        <v>61</v>
      </c>
      <c r="E48" s="15" t="s">
        <v>22</v>
      </c>
      <c r="F48" s="15" t="s">
        <v>35</v>
      </c>
      <c r="G48" s="14" t="s">
        <v>83</v>
      </c>
      <c r="H48" s="16"/>
      <c r="I48" s="17" t="s">
        <v>78</v>
      </c>
      <c r="J48" s="15" t="s">
        <v>37</v>
      </c>
      <c r="K48" s="15" t="s">
        <v>24</v>
      </c>
      <c r="L48" s="18" t="n">
        <v>46223</v>
      </c>
      <c r="M48" s="23" t="n">
        <v>46223</v>
      </c>
      <c r="N48" s="20" t="n">
        <v>2</v>
      </c>
      <c r="O48" s="24" t="s">
        <v>222</v>
      </c>
      <c r="P48" s="20" t="n">
        <v>1</v>
      </c>
      <c r="Q48" s="20" t="n">
        <v>1</v>
      </c>
    </row>
    <row r="49" customFormat="false" ht="15.75" hidden="true" customHeight="true" outlineLevel="0" collapsed="false">
      <c r="A49" s="11" t="s">
        <v>223</v>
      </c>
      <c r="B49" s="12" t="s">
        <v>224</v>
      </c>
      <c r="C49" s="13" t="s">
        <v>225</v>
      </c>
      <c r="D49" s="14" t="s">
        <v>34</v>
      </c>
      <c r="E49" s="15" t="s">
        <v>22</v>
      </c>
      <c r="F49" s="15" t="s">
        <v>35</v>
      </c>
      <c r="G49" s="14" t="s">
        <v>83</v>
      </c>
      <c r="H49" s="16"/>
      <c r="I49" s="17" t="s">
        <v>78</v>
      </c>
      <c r="J49" s="15" t="s">
        <v>37</v>
      </c>
      <c r="K49" s="15" t="s">
        <v>24</v>
      </c>
      <c r="L49" s="18" t="n">
        <v>46224</v>
      </c>
      <c r="M49" s="23" t="n">
        <v>46224</v>
      </c>
      <c r="N49" s="20" t="n">
        <v>2</v>
      </c>
      <c r="O49" s="24" t="s">
        <v>226</v>
      </c>
      <c r="P49" s="20" t="n">
        <v>1</v>
      </c>
      <c r="Q49" s="20" t="n">
        <v>1</v>
      </c>
    </row>
    <row r="50" customFormat="false" ht="15.75" hidden="true" customHeight="true" outlineLevel="0" collapsed="false">
      <c r="A50" s="11" t="s">
        <v>227</v>
      </c>
      <c r="B50" s="12" t="s">
        <v>228</v>
      </c>
      <c r="C50" s="13" t="s">
        <v>229</v>
      </c>
      <c r="D50" s="14" t="s">
        <v>34</v>
      </c>
      <c r="E50" s="15" t="s">
        <v>22</v>
      </c>
      <c r="F50" s="15" t="s">
        <v>35</v>
      </c>
      <c r="G50" s="14" t="s">
        <v>83</v>
      </c>
      <c r="H50" s="16"/>
      <c r="I50" s="17" t="s">
        <v>78</v>
      </c>
      <c r="J50" s="15" t="s">
        <v>37</v>
      </c>
      <c r="K50" s="15" t="s">
        <v>24</v>
      </c>
      <c r="L50" s="18" t="n">
        <v>46224</v>
      </c>
      <c r="M50" s="23" t="n">
        <v>46224</v>
      </c>
      <c r="N50" s="20" t="n">
        <v>1</v>
      </c>
      <c r="O50" s="24" t="s">
        <v>226</v>
      </c>
      <c r="P50" s="20" t="n">
        <v>1</v>
      </c>
      <c r="Q50" s="20" t="n">
        <v>1</v>
      </c>
    </row>
    <row r="51" customFormat="false" ht="15.75" hidden="true" customHeight="true" outlineLevel="0" collapsed="false">
      <c r="A51" s="11" t="s">
        <v>230</v>
      </c>
      <c r="B51" s="12" t="s">
        <v>231</v>
      </c>
      <c r="C51" s="13" t="s">
        <v>232</v>
      </c>
      <c r="D51" s="14" t="s">
        <v>67</v>
      </c>
      <c r="E51" s="15" t="s">
        <v>22</v>
      </c>
      <c r="F51" s="15" t="s">
        <v>35</v>
      </c>
      <c r="G51" s="14" t="s">
        <v>50</v>
      </c>
      <c r="H51" s="16" t="s">
        <v>51</v>
      </c>
      <c r="I51" s="17" t="s">
        <v>233</v>
      </c>
      <c r="J51" s="15" t="s">
        <v>37</v>
      </c>
      <c r="K51" s="15" t="s">
        <v>24</v>
      </c>
      <c r="L51" s="25" t="n">
        <v>46252</v>
      </c>
      <c r="M51" s="23" t="n">
        <v>46243</v>
      </c>
      <c r="N51" s="20" t="n">
        <v>0.33</v>
      </c>
      <c r="O51" s="24" t="s">
        <v>234</v>
      </c>
      <c r="P51" s="20" t="n">
        <v>21</v>
      </c>
      <c r="Q51" s="20" t="n">
        <v>61.5</v>
      </c>
    </row>
    <row r="52" customFormat="false" ht="15.75" hidden="false" customHeight="true" outlineLevel="0" collapsed="false">
      <c r="A52" s="11" t="s">
        <v>235</v>
      </c>
      <c r="B52" s="12" t="s">
        <v>236</v>
      </c>
      <c r="C52" s="13" t="s">
        <v>237</v>
      </c>
      <c r="D52" s="14" t="s">
        <v>67</v>
      </c>
      <c r="E52" s="15" t="s">
        <v>22</v>
      </c>
      <c r="F52" s="15" t="s">
        <v>35</v>
      </c>
      <c r="G52" s="14" t="s">
        <v>50</v>
      </c>
      <c r="H52" s="16" t="s">
        <v>51</v>
      </c>
      <c r="I52" s="17" t="s">
        <v>233</v>
      </c>
      <c r="J52" s="15" t="s">
        <v>37</v>
      </c>
      <c r="K52" s="15" t="s">
        <v>24</v>
      </c>
      <c r="L52" s="25" t="n">
        <v>46259</v>
      </c>
      <c r="M52" s="23" t="n">
        <v>46257</v>
      </c>
      <c r="N52" s="20" t="n">
        <v>0.05</v>
      </c>
      <c r="O52" s="24" t="s">
        <v>238</v>
      </c>
      <c r="P52" s="20"/>
      <c r="Q52" s="20" t="n">
        <v>437.6</v>
      </c>
    </row>
    <row r="53" customFormat="false" ht="15.75" hidden="true" customHeight="true" outlineLevel="0" collapsed="false">
      <c r="A53" s="11" t="s">
        <v>239</v>
      </c>
      <c r="B53" s="12" t="s">
        <v>240</v>
      </c>
      <c r="C53" s="13" t="s">
        <v>241</v>
      </c>
      <c r="D53" s="14" t="s">
        <v>96</v>
      </c>
      <c r="E53" s="15" t="s">
        <v>22</v>
      </c>
      <c r="F53" s="15" t="s">
        <v>35</v>
      </c>
      <c r="G53" s="14" t="s">
        <v>50</v>
      </c>
      <c r="H53" s="16"/>
      <c r="I53" s="17" t="s">
        <v>78</v>
      </c>
      <c r="J53" s="15" t="s">
        <v>37</v>
      </c>
      <c r="K53" s="15" t="s">
        <v>24</v>
      </c>
      <c r="L53" s="18" t="n">
        <v>46229</v>
      </c>
      <c r="M53" s="23" t="n">
        <v>46229</v>
      </c>
      <c r="N53" s="20" t="n">
        <v>0.87</v>
      </c>
      <c r="O53" s="24" t="s">
        <v>242</v>
      </c>
      <c r="P53" s="20" t="n">
        <v>10</v>
      </c>
      <c r="Q53" s="20" t="n">
        <v>5.33</v>
      </c>
    </row>
    <row r="54" customFormat="false" ht="15.75" hidden="true" customHeight="true" outlineLevel="0" collapsed="false">
      <c r="A54" s="11" t="s">
        <v>243</v>
      </c>
      <c r="B54" s="12" t="s">
        <v>244</v>
      </c>
      <c r="C54" s="13" t="s">
        <v>245</v>
      </c>
      <c r="D54" s="14" t="s">
        <v>72</v>
      </c>
      <c r="E54" s="15" t="s">
        <v>22</v>
      </c>
      <c r="F54" s="15" t="s">
        <v>35</v>
      </c>
      <c r="G54" s="14" t="s">
        <v>208</v>
      </c>
      <c r="H54" s="16"/>
      <c r="I54" s="17" t="s">
        <v>208</v>
      </c>
      <c r="J54" s="15" t="s">
        <v>37</v>
      </c>
      <c r="K54" s="15" t="s">
        <v>24</v>
      </c>
      <c r="L54" s="18" t="n">
        <v>46231</v>
      </c>
      <c r="M54" s="23" t="n">
        <v>46231</v>
      </c>
      <c r="N54" s="20" t="n">
        <v>0.5</v>
      </c>
      <c r="O54" s="24" t="s">
        <v>33</v>
      </c>
      <c r="P54" s="20" t="n">
        <v>6</v>
      </c>
      <c r="Q54" s="20" t="n">
        <v>1.03</v>
      </c>
    </row>
    <row r="55" customFormat="false" ht="30" hidden="true" customHeight="true" outlineLevel="0" collapsed="false">
      <c r="A55" s="11" t="s">
        <v>246</v>
      </c>
      <c r="B55" s="12" t="s">
        <v>247</v>
      </c>
      <c r="C55" s="13" t="s">
        <v>248</v>
      </c>
      <c r="D55" s="14" t="s">
        <v>49</v>
      </c>
      <c r="E55" s="15" t="s">
        <v>22</v>
      </c>
      <c r="F55" s="15" t="s">
        <v>35</v>
      </c>
      <c r="G55" s="14" t="s">
        <v>208</v>
      </c>
      <c r="H55" s="16" t="s">
        <v>51</v>
      </c>
      <c r="I55" s="17" t="s">
        <v>208</v>
      </c>
      <c r="J55" s="15" t="s">
        <v>37</v>
      </c>
      <c r="K55" s="15" t="s">
        <v>25</v>
      </c>
      <c r="L55" s="18" t="n">
        <v>46252</v>
      </c>
      <c r="M55" s="23" t="n">
        <v>46238</v>
      </c>
      <c r="N55" s="20" t="n">
        <v>2</v>
      </c>
      <c r="O55" s="24" t="s">
        <v>249</v>
      </c>
      <c r="P55" s="20" t="n">
        <v>21</v>
      </c>
      <c r="Q55" s="20" t="n">
        <v>6.1</v>
      </c>
    </row>
    <row r="56" customFormat="false" ht="15.75" hidden="true" customHeight="true" outlineLevel="0" collapsed="false">
      <c r="A56" s="11" t="s">
        <v>250</v>
      </c>
      <c r="B56" s="12" t="s">
        <v>251</v>
      </c>
      <c r="C56" s="13" t="s">
        <v>252</v>
      </c>
      <c r="D56" s="14" t="s">
        <v>34</v>
      </c>
      <c r="E56" s="15" t="s">
        <v>22</v>
      </c>
      <c r="F56" s="15" t="s">
        <v>35</v>
      </c>
      <c r="G56" s="14" t="s">
        <v>24</v>
      </c>
      <c r="H56" s="16"/>
      <c r="I56" s="17" t="s">
        <v>36</v>
      </c>
      <c r="J56" s="15" t="s">
        <v>37</v>
      </c>
      <c r="K56" s="15" t="s">
        <v>24</v>
      </c>
      <c r="L56" s="18" t="n">
        <v>46224</v>
      </c>
      <c r="M56" s="23" t="n">
        <v>46224</v>
      </c>
      <c r="N56" s="20" t="n">
        <v>0.37</v>
      </c>
      <c r="O56" s="24" t="s">
        <v>253</v>
      </c>
      <c r="P56" s="20" t="n">
        <v>6.5</v>
      </c>
      <c r="Q56" s="20" t="n">
        <v>5.17</v>
      </c>
    </row>
    <row r="57" customFormat="false" ht="15.75" hidden="true" customHeight="true" outlineLevel="0" collapsed="false">
      <c r="A57" s="11" t="s">
        <v>254</v>
      </c>
      <c r="B57" s="12" t="s">
        <v>255</v>
      </c>
      <c r="C57" s="13" t="s">
        <v>256</v>
      </c>
      <c r="D57" s="14" t="s">
        <v>34</v>
      </c>
      <c r="E57" s="15" t="s">
        <v>22</v>
      </c>
      <c r="F57" s="15" t="s">
        <v>35</v>
      </c>
      <c r="G57" s="14" t="s">
        <v>24</v>
      </c>
      <c r="H57" s="16"/>
      <c r="I57" s="17" t="s">
        <v>78</v>
      </c>
      <c r="J57" s="15" t="s">
        <v>37</v>
      </c>
      <c r="K57" s="15" t="s">
        <v>24</v>
      </c>
      <c r="L57" s="18" t="n">
        <v>46222</v>
      </c>
      <c r="M57" s="23" t="n">
        <v>46222</v>
      </c>
      <c r="N57" s="20" t="n">
        <v>0.43</v>
      </c>
      <c r="O57" s="24" t="s">
        <v>257</v>
      </c>
      <c r="P57" s="20" t="n">
        <v>2.75</v>
      </c>
      <c r="Q57" s="20" t="n">
        <v>3.78</v>
      </c>
    </row>
    <row r="58" customFormat="false" ht="15.75" hidden="false" customHeight="true" outlineLevel="0" collapsed="false">
      <c r="A58" s="11" t="s">
        <v>258</v>
      </c>
      <c r="B58" s="12" t="s">
        <v>259</v>
      </c>
      <c r="C58" s="13" t="s">
        <v>260</v>
      </c>
      <c r="D58" s="14" t="s">
        <v>72</v>
      </c>
      <c r="E58" s="15" t="s">
        <v>22</v>
      </c>
      <c r="F58" s="15" t="s">
        <v>35</v>
      </c>
      <c r="G58" s="14" t="s">
        <v>50</v>
      </c>
      <c r="H58" s="16" t="s">
        <v>51</v>
      </c>
      <c r="I58" s="17" t="s">
        <v>50</v>
      </c>
      <c r="J58" s="15" t="s">
        <v>37</v>
      </c>
      <c r="K58" s="15" t="s">
        <v>24</v>
      </c>
      <c r="L58" s="18" t="n">
        <v>46259</v>
      </c>
      <c r="M58" s="23" t="n">
        <v>46257</v>
      </c>
      <c r="N58" s="20" t="n">
        <v>0</v>
      </c>
      <c r="O58" s="24" t="s">
        <v>261</v>
      </c>
      <c r="P58" s="20"/>
      <c r="Q58" s="20" t="n">
        <v>58.1</v>
      </c>
    </row>
    <row r="59" customFormat="false" ht="45" hidden="true" customHeight="true" outlineLevel="0" collapsed="false">
      <c r="A59" s="11" t="s">
        <v>262</v>
      </c>
      <c r="B59" s="12" t="s">
        <v>263</v>
      </c>
      <c r="C59" s="13" t="s">
        <v>264</v>
      </c>
      <c r="D59" s="14" t="s">
        <v>49</v>
      </c>
      <c r="E59" s="15" t="s">
        <v>22</v>
      </c>
      <c r="F59" s="15" t="s">
        <v>35</v>
      </c>
      <c r="G59" s="14" t="s">
        <v>24</v>
      </c>
      <c r="H59" s="16"/>
      <c r="I59" s="17" t="s">
        <v>78</v>
      </c>
      <c r="J59" s="15" t="s">
        <v>37</v>
      </c>
      <c r="K59" s="15" t="s">
        <v>25</v>
      </c>
      <c r="L59" s="18" t="n">
        <v>46252</v>
      </c>
      <c r="M59" s="23" t="n">
        <v>46240</v>
      </c>
      <c r="N59" s="20" t="n">
        <v>0.92</v>
      </c>
      <c r="O59" s="24" t="s">
        <v>265</v>
      </c>
      <c r="P59" s="20" t="n">
        <v>7.75</v>
      </c>
      <c r="Q59" s="20" t="n">
        <v>27</v>
      </c>
    </row>
    <row r="60" customFormat="false" ht="15.75" hidden="true" customHeight="true" outlineLevel="0" collapsed="false">
      <c r="A60" s="11" t="s">
        <v>266</v>
      </c>
      <c r="B60" s="12" t="s">
        <v>267</v>
      </c>
      <c r="C60" s="13" t="s">
        <v>268</v>
      </c>
      <c r="D60" s="14" t="s">
        <v>96</v>
      </c>
      <c r="E60" s="15" t="s">
        <v>22</v>
      </c>
      <c r="F60" s="15" t="s">
        <v>35</v>
      </c>
      <c r="G60" s="14" t="s">
        <v>50</v>
      </c>
      <c r="H60" s="16" t="s">
        <v>51</v>
      </c>
      <c r="I60" s="17" t="s">
        <v>50</v>
      </c>
      <c r="J60" s="15" t="s">
        <v>37</v>
      </c>
      <c r="K60" s="15" t="s">
        <v>24</v>
      </c>
      <c r="L60" s="18" t="n">
        <v>46252</v>
      </c>
      <c r="M60" s="23" t="n">
        <v>46245</v>
      </c>
      <c r="N60" s="20" t="n">
        <v>0.43</v>
      </c>
      <c r="O60" s="24" t="s">
        <v>269</v>
      </c>
      <c r="P60" s="20" t="n">
        <v>6</v>
      </c>
      <c r="Q60" s="20" t="n">
        <v>299.1</v>
      </c>
    </row>
    <row r="61" customFormat="false" ht="15.75" hidden="true" customHeight="true" outlineLevel="0" collapsed="false">
      <c r="A61" s="11" t="s">
        <v>270</v>
      </c>
      <c r="B61" s="12" t="s">
        <v>271</v>
      </c>
      <c r="C61" s="13" t="s">
        <v>272</v>
      </c>
      <c r="D61" s="14" t="s">
        <v>49</v>
      </c>
      <c r="E61" s="15" t="s">
        <v>22</v>
      </c>
      <c r="F61" s="15" t="s">
        <v>35</v>
      </c>
      <c r="G61" s="14" t="s">
        <v>157</v>
      </c>
      <c r="H61" s="16"/>
      <c r="I61" s="17" t="s">
        <v>273</v>
      </c>
      <c r="J61" s="15" t="s">
        <v>37</v>
      </c>
      <c r="K61" s="15" t="s">
        <v>25</v>
      </c>
      <c r="L61" s="18" t="n">
        <v>46229</v>
      </c>
      <c r="M61" s="23" t="n">
        <v>46229</v>
      </c>
      <c r="N61" s="20" t="n">
        <v>3.5</v>
      </c>
      <c r="O61" s="24" t="s">
        <v>274</v>
      </c>
      <c r="P61" s="20" t="n">
        <v>15</v>
      </c>
      <c r="Q61" s="20" t="n">
        <v>134.1</v>
      </c>
    </row>
    <row r="62" customFormat="false" ht="15.75" hidden="false" customHeight="true" outlineLevel="0" collapsed="false">
      <c r="A62" s="11" t="s">
        <v>275</v>
      </c>
      <c r="B62" s="12" t="s">
        <v>276</v>
      </c>
      <c r="C62" s="13" t="s">
        <v>277</v>
      </c>
      <c r="D62" s="14" t="s">
        <v>21</v>
      </c>
      <c r="E62" s="15" t="s">
        <v>28</v>
      </c>
      <c r="F62" s="15" t="s">
        <v>35</v>
      </c>
      <c r="G62" s="14" t="s">
        <v>83</v>
      </c>
      <c r="H62" s="16"/>
      <c r="I62" s="17" t="s">
        <v>278</v>
      </c>
      <c r="J62" s="15" t="s">
        <v>37</v>
      </c>
      <c r="K62" s="15" t="s">
        <v>24</v>
      </c>
      <c r="L62" s="18"/>
      <c r="M62" s="23"/>
      <c r="N62" s="20" t="n">
        <v>1</v>
      </c>
      <c r="O62" s="24" t="s">
        <v>279</v>
      </c>
      <c r="P62" s="20"/>
      <c r="Q62" s="20" t="n">
        <v>0</v>
      </c>
    </row>
    <row r="63" customFormat="false" ht="15.75" hidden="false" customHeight="true" outlineLevel="0" collapsed="false">
      <c r="A63" s="11" t="s">
        <v>280</v>
      </c>
      <c r="B63" s="12" t="s">
        <v>281</v>
      </c>
      <c r="C63" s="13" t="s">
        <v>282</v>
      </c>
      <c r="D63" s="14" t="s">
        <v>21</v>
      </c>
      <c r="E63" s="15" t="s">
        <v>28</v>
      </c>
      <c r="F63" s="15" t="s">
        <v>35</v>
      </c>
      <c r="G63" s="14" t="s">
        <v>157</v>
      </c>
      <c r="H63" s="16"/>
      <c r="I63" s="17"/>
      <c r="J63" s="15" t="s">
        <v>37</v>
      </c>
      <c r="K63" s="15" t="s">
        <v>24</v>
      </c>
      <c r="L63" s="18"/>
      <c r="M63" s="23"/>
      <c r="N63" s="20" t="n">
        <v>65</v>
      </c>
      <c r="O63" s="24" t="s">
        <v>283</v>
      </c>
      <c r="P63" s="20"/>
      <c r="Q63" s="20" t="n">
        <v>0</v>
      </c>
    </row>
    <row r="64" customFormat="false" ht="15.75" hidden="true" customHeight="true" outlineLevel="0" collapsed="false">
      <c r="A64" s="11" t="s">
        <v>284</v>
      </c>
      <c r="B64" s="12" t="s">
        <v>285</v>
      </c>
      <c r="C64" s="13" t="s">
        <v>286</v>
      </c>
      <c r="D64" s="14" t="s">
        <v>49</v>
      </c>
      <c r="E64" s="15" t="s">
        <v>22</v>
      </c>
      <c r="F64" s="15" t="s">
        <v>35</v>
      </c>
      <c r="G64" s="14" t="s">
        <v>157</v>
      </c>
      <c r="H64" s="16"/>
      <c r="I64" s="17" t="s">
        <v>78</v>
      </c>
      <c r="J64" s="15" t="s">
        <v>37</v>
      </c>
      <c r="K64" s="15" t="s">
        <v>25</v>
      </c>
      <c r="L64" s="18" t="n">
        <v>46229</v>
      </c>
      <c r="M64" s="23" t="n">
        <v>46229</v>
      </c>
      <c r="N64" s="20" t="n">
        <v>0.43</v>
      </c>
      <c r="O64" s="24" t="s">
        <v>287</v>
      </c>
      <c r="P64" s="20" t="n">
        <v>1.5</v>
      </c>
      <c r="Q64" s="20" t="n">
        <v>5.72</v>
      </c>
    </row>
    <row r="65" customFormat="false" ht="15.75" hidden="true" customHeight="true" outlineLevel="0" collapsed="false">
      <c r="A65" s="11" t="s">
        <v>288</v>
      </c>
      <c r="B65" s="12" t="s">
        <v>289</v>
      </c>
      <c r="C65" s="13" t="s">
        <v>290</v>
      </c>
      <c r="D65" s="14" t="s">
        <v>34</v>
      </c>
      <c r="E65" s="15" t="s">
        <v>22</v>
      </c>
      <c r="F65" s="15" t="s">
        <v>35</v>
      </c>
      <c r="G65" s="14" t="s">
        <v>208</v>
      </c>
      <c r="H65" s="16"/>
      <c r="I65" s="17" t="s">
        <v>208</v>
      </c>
      <c r="J65" s="15" t="s">
        <v>37</v>
      </c>
      <c r="K65" s="15" t="s">
        <v>24</v>
      </c>
      <c r="L65" s="18" t="n">
        <v>46225</v>
      </c>
      <c r="M65" s="23" t="n">
        <v>46225</v>
      </c>
      <c r="N65" s="20" t="n">
        <v>8</v>
      </c>
      <c r="O65" s="24" t="s">
        <v>291</v>
      </c>
      <c r="P65" s="20" t="n">
        <v>4</v>
      </c>
      <c r="Q65" s="20" t="n">
        <v>2</v>
      </c>
    </row>
    <row r="66" customFormat="false" ht="15.75" hidden="true" customHeight="true" outlineLevel="0" collapsed="false">
      <c r="A66" s="11" t="s">
        <v>292</v>
      </c>
      <c r="B66" s="12" t="s">
        <v>293</v>
      </c>
      <c r="C66" s="13" t="s">
        <v>294</v>
      </c>
      <c r="D66" s="14" t="s">
        <v>34</v>
      </c>
      <c r="E66" s="15" t="s">
        <v>22</v>
      </c>
      <c r="F66" s="15" t="s">
        <v>35</v>
      </c>
      <c r="G66" s="14" t="s">
        <v>208</v>
      </c>
      <c r="H66" s="16"/>
      <c r="I66" s="17" t="s">
        <v>208</v>
      </c>
      <c r="J66" s="15" t="s">
        <v>37</v>
      </c>
      <c r="K66" s="15" t="s">
        <v>24</v>
      </c>
      <c r="L66" s="18" t="n">
        <v>46225</v>
      </c>
      <c r="M66" s="23" t="n">
        <v>46225</v>
      </c>
      <c r="N66" s="20" t="n">
        <v>0.87</v>
      </c>
      <c r="O66" s="24" t="s">
        <v>295</v>
      </c>
      <c r="P66" s="20" t="n">
        <v>6</v>
      </c>
      <c r="Q66" s="20" t="n">
        <v>2.07</v>
      </c>
    </row>
    <row r="67" customFormat="false" ht="15.75" hidden="true" customHeight="true" outlineLevel="0" collapsed="false">
      <c r="A67" s="11" t="s">
        <v>296</v>
      </c>
      <c r="B67" s="12" t="s">
        <v>297</v>
      </c>
      <c r="C67" s="13" t="s">
        <v>298</v>
      </c>
      <c r="D67" s="14" t="s">
        <v>49</v>
      </c>
      <c r="E67" s="15" t="s">
        <v>22</v>
      </c>
      <c r="F67" s="15" t="s">
        <v>35</v>
      </c>
      <c r="G67" s="14" t="s">
        <v>208</v>
      </c>
      <c r="H67" s="16"/>
      <c r="I67" s="17" t="s">
        <v>208</v>
      </c>
      <c r="J67" s="15" t="s">
        <v>37</v>
      </c>
      <c r="K67" s="15" t="s">
        <v>25</v>
      </c>
      <c r="L67" s="18" t="n">
        <v>46226</v>
      </c>
      <c r="M67" s="23" t="n">
        <v>46226</v>
      </c>
      <c r="N67" s="20" t="n">
        <v>0.22</v>
      </c>
      <c r="O67" s="24" t="s">
        <v>299</v>
      </c>
      <c r="P67" s="20" t="n">
        <v>4</v>
      </c>
      <c r="Q67" s="20" t="n">
        <v>1.02</v>
      </c>
    </row>
    <row r="68" customFormat="false" ht="31.5" hidden="true" customHeight="true" outlineLevel="0" collapsed="false">
      <c r="A68" s="11" t="s">
        <v>300</v>
      </c>
      <c r="B68" s="12" t="s">
        <v>301</v>
      </c>
      <c r="C68" s="13" t="s">
        <v>302</v>
      </c>
      <c r="D68" s="14" t="s">
        <v>49</v>
      </c>
      <c r="E68" s="15" t="s">
        <v>22</v>
      </c>
      <c r="F68" s="15" t="s">
        <v>35</v>
      </c>
      <c r="G68" s="14" t="s">
        <v>50</v>
      </c>
      <c r="H68" s="16" t="s">
        <v>51</v>
      </c>
      <c r="I68" s="17" t="s">
        <v>303</v>
      </c>
      <c r="J68" s="15" t="s">
        <v>37</v>
      </c>
      <c r="K68" s="15" t="s">
        <v>25</v>
      </c>
      <c r="L68" s="18" t="n">
        <v>46252</v>
      </c>
      <c r="M68" s="23" t="n">
        <v>46246</v>
      </c>
      <c r="N68" s="20" t="n">
        <v>0.5</v>
      </c>
      <c r="O68" s="24" t="s">
        <v>53</v>
      </c>
      <c r="P68" s="20" t="n">
        <v>1</v>
      </c>
      <c r="Q68" s="20" t="n">
        <v>1</v>
      </c>
    </row>
    <row r="69" customFormat="false" ht="15.75" hidden="false" customHeight="true" outlineLevel="0" collapsed="false">
      <c r="A69" s="11" t="s">
        <v>304</v>
      </c>
      <c r="B69" s="12" t="s">
        <v>305</v>
      </c>
      <c r="C69" s="13" t="s">
        <v>306</v>
      </c>
      <c r="D69" s="14" t="s">
        <v>49</v>
      </c>
      <c r="E69" s="15" t="s">
        <v>22</v>
      </c>
      <c r="F69" s="15" t="s">
        <v>35</v>
      </c>
      <c r="G69" s="14" t="s">
        <v>50</v>
      </c>
      <c r="H69" s="16" t="s">
        <v>51</v>
      </c>
      <c r="I69" s="17" t="s">
        <v>307</v>
      </c>
      <c r="J69" s="15" t="s">
        <v>37</v>
      </c>
      <c r="K69" s="15" t="s">
        <v>25</v>
      </c>
      <c r="L69" s="18" t="n">
        <v>46259</v>
      </c>
      <c r="M69" s="23" t="n">
        <v>46257</v>
      </c>
      <c r="N69" s="20" t="n">
        <v>1</v>
      </c>
      <c r="O69" s="24" t="s">
        <v>53</v>
      </c>
      <c r="P69" s="20"/>
      <c r="Q69" s="20" t="n">
        <v>0</v>
      </c>
    </row>
    <row r="70" customFormat="false" ht="15.75" hidden="false" customHeight="true" outlineLevel="0" collapsed="false">
      <c r="A70" s="11" t="s">
        <v>308</v>
      </c>
      <c r="B70" s="12" t="s">
        <v>309</v>
      </c>
      <c r="C70" s="13" t="s">
        <v>310</v>
      </c>
      <c r="D70" s="14" t="s">
        <v>49</v>
      </c>
      <c r="E70" s="15" t="s">
        <v>22</v>
      </c>
      <c r="F70" s="15" t="s">
        <v>35</v>
      </c>
      <c r="G70" s="14" t="s">
        <v>50</v>
      </c>
      <c r="H70" s="16" t="s">
        <v>51</v>
      </c>
      <c r="I70" s="17" t="s">
        <v>311</v>
      </c>
      <c r="J70" s="15" t="s">
        <v>37</v>
      </c>
      <c r="K70" s="15" t="s">
        <v>25</v>
      </c>
      <c r="L70" s="18" t="n">
        <v>46259</v>
      </c>
      <c r="M70" s="23" t="n">
        <v>46257</v>
      </c>
      <c r="N70" s="20" t="n">
        <v>0</v>
      </c>
      <c r="O70" s="24" t="s">
        <v>53</v>
      </c>
      <c r="P70" s="20"/>
      <c r="Q70" s="20" t="n">
        <v>51.8</v>
      </c>
    </row>
    <row r="71" customFormat="false" ht="30" hidden="false" customHeight="true" outlineLevel="0" collapsed="false">
      <c r="A71" s="11" t="s">
        <v>312</v>
      </c>
      <c r="B71" s="12" t="s">
        <v>313</v>
      </c>
      <c r="C71" s="13" t="s">
        <v>314</v>
      </c>
      <c r="D71" s="14" t="s">
        <v>49</v>
      </c>
      <c r="E71" s="15" t="s">
        <v>22</v>
      </c>
      <c r="F71" s="15" t="s">
        <v>35</v>
      </c>
      <c r="G71" s="14" t="s">
        <v>50</v>
      </c>
      <c r="H71" s="16" t="s">
        <v>51</v>
      </c>
      <c r="I71" s="17" t="s">
        <v>36</v>
      </c>
      <c r="J71" s="15" t="s">
        <v>37</v>
      </c>
      <c r="K71" s="15" t="s">
        <v>25</v>
      </c>
      <c r="L71" s="18" t="n">
        <v>46259</v>
      </c>
      <c r="M71" s="23" t="n">
        <v>46257</v>
      </c>
      <c r="N71" s="20" t="n">
        <v>0.5</v>
      </c>
      <c r="O71" s="24" t="s">
        <v>53</v>
      </c>
      <c r="P71" s="20"/>
      <c r="Q71" s="20" t="n">
        <v>0</v>
      </c>
    </row>
    <row r="72" customFormat="false" ht="15.75" hidden="false" customHeight="true" outlineLevel="0" collapsed="false">
      <c r="A72" s="11" t="s">
        <v>315</v>
      </c>
      <c r="B72" s="12" t="s">
        <v>316</v>
      </c>
      <c r="C72" s="13" t="s">
        <v>317</v>
      </c>
      <c r="D72" s="14" t="s">
        <v>34</v>
      </c>
      <c r="E72" s="15" t="s">
        <v>28</v>
      </c>
      <c r="F72" s="15" t="s">
        <v>35</v>
      </c>
      <c r="G72" s="14" t="s">
        <v>50</v>
      </c>
      <c r="H72" s="16" t="s">
        <v>51</v>
      </c>
      <c r="I72" s="17" t="s">
        <v>318</v>
      </c>
      <c r="J72" s="15" t="s">
        <v>37</v>
      </c>
      <c r="K72" s="15" t="s">
        <v>24</v>
      </c>
      <c r="L72" s="18" t="n">
        <v>46222</v>
      </c>
      <c r="M72" s="23"/>
      <c r="N72" s="20" t="n">
        <v>48</v>
      </c>
      <c r="O72" s="24" t="s">
        <v>204</v>
      </c>
      <c r="P72" s="20"/>
      <c r="Q72" s="20" t="n">
        <v>394.1</v>
      </c>
    </row>
    <row r="73" customFormat="false" ht="15.75" hidden="true" customHeight="true" outlineLevel="0" collapsed="false">
      <c r="A73" s="11" t="s">
        <v>319</v>
      </c>
      <c r="B73" s="12" t="s">
        <v>320</v>
      </c>
      <c r="C73" s="13" t="s">
        <v>321</v>
      </c>
      <c r="D73" s="14" t="s">
        <v>49</v>
      </c>
      <c r="E73" s="15" t="s">
        <v>22</v>
      </c>
      <c r="F73" s="15" t="s">
        <v>35</v>
      </c>
      <c r="G73" s="14" t="s">
        <v>50</v>
      </c>
      <c r="H73" s="16" t="s">
        <v>51</v>
      </c>
      <c r="I73" s="17" t="s">
        <v>322</v>
      </c>
      <c r="J73" s="15" t="s">
        <v>37</v>
      </c>
      <c r="K73" s="15" t="s">
        <v>25</v>
      </c>
      <c r="L73" s="18" t="n">
        <v>46256</v>
      </c>
      <c r="M73" s="23" t="n">
        <v>46254</v>
      </c>
      <c r="N73" s="20" t="n">
        <v>6</v>
      </c>
      <c r="O73" s="24" t="s">
        <v>204</v>
      </c>
      <c r="P73" s="20" t="n">
        <v>15</v>
      </c>
      <c r="Q73" s="20" t="n">
        <v>6.5</v>
      </c>
    </row>
    <row r="74" customFormat="false" ht="15.75" hidden="false" customHeight="true" outlineLevel="0" collapsed="false">
      <c r="A74" s="11" t="s">
        <v>323</v>
      </c>
      <c r="B74" s="12" t="s">
        <v>324</v>
      </c>
      <c r="C74" s="13" t="s">
        <v>325</v>
      </c>
      <c r="D74" s="14" t="s">
        <v>49</v>
      </c>
      <c r="E74" s="15" t="s">
        <v>28</v>
      </c>
      <c r="F74" s="15" t="s">
        <v>35</v>
      </c>
      <c r="G74" s="14" t="s">
        <v>24</v>
      </c>
      <c r="H74" s="16"/>
      <c r="I74" s="17" t="s">
        <v>326</v>
      </c>
      <c r="J74" s="15" t="s">
        <v>37</v>
      </c>
      <c r="K74" s="15" t="s">
        <v>25</v>
      </c>
      <c r="L74" s="18"/>
      <c r="M74" s="23"/>
      <c r="N74" s="20" t="n">
        <v>3.33</v>
      </c>
      <c r="O74" s="24" t="s">
        <v>41</v>
      </c>
      <c r="P74" s="20" t="n">
        <v>2</v>
      </c>
      <c r="Q74" s="20" t="n">
        <v>796.3</v>
      </c>
    </row>
    <row r="75" customFormat="false" ht="15.75" hidden="false" customHeight="true" outlineLevel="0" collapsed="false">
      <c r="A75" s="11" t="s">
        <v>327</v>
      </c>
      <c r="B75" s="12" t="s">
        <v>328</v>
      </c>
      <c r="C75" s="13" t="s">
        <v>329</v>
      </c>
      <c r="D75" s="14" t="s">
        <v>34</v>
      </c>
      <c r="E75" s="15" t="s">
        <v>22</v>
      </c>
      <c r="F75" s="15" t="s">
        <v>35</v>
      </c>
      <c r="G75" s="14" t="s">
        <v>24</v>
      </c>
      <c r="H75" s="16"/>
      <c r="I75" s="17" t="s">
        <v>326</v>
      </c>
      <c r="J75" s="15" t="s">
        <v>37</v>
      </c>
      <c r="K75" s="15" t="s">
        <v>24</v>
      </c>
      <c r="L75" s="18" t="n">
        <v>46259</v>
      </c>
      <c r="M75" s="23" t="n">
        <v>46257</v>
      </c>
      <c r="N75" s="20" t="n">
        <v>11.67</v>
      </c>
      <c r="O75" s="24" t="s">
        <v>41</v>
      </c>
      <c r="P75" s="20" t="n">
        <v>3</v>
      </c>
      <c r="Q75" s="20" t="n">
        <v>796.7</v>
      </c>
    </row>
    <row r="76" customFormat="false" ht="15.75" hidden="false" customHeight="true" outlineLevel="0" collapsed="false">
      <c r="A76" s="11" t="s">
        <v>330</v>
      </c>
      <c r="B76" s="12" t="s">
        <v>331</v>
      </c>
      <c r="C76" s="13" t="s">
        <v>332</v>
      </c>
      <c r="D76" s="14" t="s">
        <v>185</v>
      </c>
      <c r="E76" s="15" t="s">
        <v>28</v>
      </c>
      <c r="F76" s="15" t="s">
        <v>35</v>
      </c>
      <c r="G76" s="14" t="s">
        <v>186</v>
      </c>
      <c r="H76" s="16"/>
      <c r="I76" s="17" t="s">
        <v>187</v>
      </c>
      <c r="J76" s="15" t="s">
        <v>37</v>
      </c>
      <c r="K76" s="15" t="s">
        <v>24</v>
      </c>
      <c r="L76" s="18"/>
      <c r="M76" s="23"/>
      <c r="N76" s="20" t="n">
        <v>5.17</v>
      </c>
      <c r="O76" s="24" t="s">
        <v>41</v>
      </c>
      <c r="P76" s="20" t="n">
        <v>7</v>
      </c>
      <c r="Q76" s="20" t="n">
        <v>765.8</v>
      </c>
    </row>
    <row r="77" customFormat="false" ht="15.75" hidden="false" customHeight="true" outlineLevel="0" collapsed="false">
      <c r="A77" s="11" t="s">
        <v>333</v>
      </c>
      <c r="B77" s="12" t="s">
        <v>334</v>
      </c>
      <c r="C77" s="13" t="s">
        <v>335</v>
      </c>
      <c r="D77" s="14" t="s">
        <v>185</v>
      </c>
      <c r="E77" s="15" t="s">
        <v>28</v>
      </c>
      <c r="F77" s="15" t="s">
        <v>35</v>
      </c>
      <c r="G77" s="14" t="s">
        <v>186</v>
      </c>
      <c r="H77" s="16"/>
      <c r="I77" s="17" t="s">
        <v>187</v>
      </c>
      <c r="J77" s="15" t="s">
        <v>37</v>
      </c>
      <c r="K77" s="15" t="s">
        <v>24</v>
      </c>
      <c r="L77" s="18"/>
      <c r="M77" s="23"/>
      <c r="N77" s="20" t="n">
        <v>3</v>
      </c>
      <c r="O77" s="24" t="s">
        <v>41</v>
      </c>
      <c r="P77" s="20" t="n">
        <v>9</v>
      </c>
      <c r="Q77" s="20" t="n">
        <v>741.7</v>
      </c>
    </row>
    <row r="78" customFormat="false" ht="15.75" hidden="false" customHeight="true" outlineLevel="0" collapsed="false">
      <c r="A78" s="11" t="s">
        <v>336</v>
      </c>
      <c r="B78" s="12" t="s">
        <v>337</v>
      </c>
      <c r="C78" s="13" t="s">
        <v>338</v>
      </c>
      <c r="D78" s="14" t="s">
        <v>185</v>
      </c>
      <c r="E78" s="15" t="s">
        <v>28</v>
      </c>
      <c r="F78" s="15" t="s">
        <v>35</v>
      </c>
      <c r="G78" s="14" t="s">
        <v>186</v>
      </c>
      <c r="H78" s="16"/>
      <c r="I78" s="17" t="s">
        <v>339</v>
      </c>
      <c r="J78" s="15" t="s">
        <v>37</v>
      </c>
      <c r="K78" s="15" t="s">
        <v>24</v>
      </c>
      <c r="L78" s="18"/>
      <c r="M78" s="23"/>
      <c r="N78" s="20" t="n">
        <v>1.83</v>
      </c>
      <c r="O78" s="24" t="s">
        <v>41</v>
      </c>
      <c r="P78" s="20" t="n">
        <v>14.5</v>
      </c>
      <c r="Q78" s="20" t="n">
        <v>779.8</v>
      </c>
    </row>
    <row r="79" customFormat="false" ht="15.75" hidden="false" customHeight="true" outlineLevel="0" collapsed="false">
      <c r="A79" s="11" t="s">
        <v>340</v>
      </c>
      <c r="B79" s="12" t="s">
        <v>341</v>
      </c>
      <c r="C79" s="13" t="s">
        <v>342</v>
      </c>
      <c r="D79" s="14" t="s">
        <v>67</v>
      </c>
      <c r="E79" s="15" t="s">
        <v>22</v>
      </c>
      <c r="F79" s="15" t="s">
        <v>35</v>
      </c>
      <c r="G79" s="14" t="s">
        <v>50</v>
      </c>
      <c r="H79" s="16"/>
      <c r="I79" s="17" t="s">
        <v>176</v>
      </c>
      <c r="J79" s="15" t="s">
        <v>37</v>
      </c>
      <c r="K79" s="15" t="s">
        <v>24</v>
      </c>
      <c r="L79" s="18" t="n">
        <v>46259</v>
      </c>
      <c r="M79" s="23" t="n">
        <v>46257</v>
      </c>
      <c r="N79" s="20" t="n">
        <v>2</v>
      </c>
      <c r="O79" s="24" t="s">
        <v>41</v>
      </c>
      <c r="P79" s="20" t="n">
        <v>11.5</v>
      </c>
      <c r="Q79" s="20" t="n">
        <v>768.7</v>
      </c>
    </row>
    <row r="80" customFormat="false" ht="15.75" hidden="false" customHeight="true" outlineLevel="0" collapsed="false">
      <c r="A80" s="11" t="s">
        <v>343</v>
      </c>
      <c r="B80" s="12" t="s">
        <v>344</v>
      </c>
      <c r="C80" s="13" t="s">
        <v>345</v>
      </c>
      <c r="D80" s="14" t="s">
        <v>72</v>
      </c>
      <c r="E80" s="15" t="s">
        <v>22</v>
      </c>
      <c r="F80" s="15" t="s">
        <v>35</v>
      </c>
      <c r="G80" s="14" t="s">
        <v>50</v>
      </c>
      <c r="H80" s="16"/>
      <c r="I80" s="17" t="s">
        <v>176</v>
      </c>
      <c r="J80" s="15" t="s">
        <v>37</v>
      </c>
      <c r="K80" s="15" t="s">
        <v>24</v>
      </c>
      <c r="L80" s="18" t="n">
        <v>46259</v>
      </c>
      <c r="M80" s="23" t="n">
        <v>46257</v>
      </c>
      <c r="N80" s="20" t="n">
        <v>2</v>
      </c>
      <c r="O80" s="24" t="s">
        <v>41</v>
      </c>
      <c r="P80" s="20" t="n">
        <v>4.5</v>
      </c>
      <c r="Q80" s="20" t="n">
        <v>765.9</v>
      </c>
    </row>
    <row r="81" customFormat="false" ht="15.75" hidden="false" customHeight="true" outlineLevel="0" collapsed="false">
      <c r="A81" s="11" t="s">
        <v>346</v>
      </c>
      <c r="B81" s="12" t="s">
        <v>347</v>
      </c>
      <c r="C81" s="13" t="s">
        <v>348</v>
      </c>
      <c r="D81" s="14" t="s">
        <v>61</v>
      </c>
      <c r="E81" s="15" t="s">
        <v>22</v>
      </c>
      <c r="F81" s="15" t="s">
        <v>35</v>
      </c>
      <c r="G81" s="14" t="s">
        <v>50</v>
      </c>
      <c r="H81" s="16"/>
      <c r="I81" s="17" t="s">
        <v>176</v>
      </c>
      <c r="J81" s="15" t="s">
        <v>37</v>
      </c>
      <c r="K81" s="15" t="s">
        <v>24</v>
      </c>
      <c r="L81" s="18" t="n">
        <v>46259</v>
      </c>
      <c r="M81" s="23" t="n">
        <v>46257</v>
      </c>
      <c r="N81" s="20" t="n">
        <v>3</v>
      </c>
      <c r="O81" s="24" t="s">
        <v>41</v>
      </c>
      <c r="P81" s="20"/>
      <c r="Q81" s="20" t="n">
        <v>0</v>
      </c>
    </row>
    <row r="82" customFormat="false" ht="15.75" hidden="false" customHeight="true" outlineLevel="0" collapsed="false">
      <c r="A82" s="11" t="s">
        <v>349</v>
      </c>
      <c r="B82" s="12" t="s">
        <v>350</v>
      </c>
      <c r="C82" s="13" t="s">
        <v>351</v>
      </c>
      <c r="D82" s="14" t="s">
        <v>185</v>
      </c>
      <c r="E82" s="15" t="s">
        <v>28</v>
      </c>
      <c r="F82" s="15" t="s">
        <v>35</v>
      </c>
      <c r="G82" s="14" t="s">
        <v>186</v>
      </c>
      <c r="H82" s="16" t="s">
        <v>51</v>
      </c>
      <c r="I82" s="17" t="s">
        <v>187</v>
      </c>
      <c r="J82" s="15" t="s">
        <v>37</v>
      </c>
      <c r="K82" s="15" t="s">
        <v>24</v>
      </c>
      <c r="L82" s="18"/>
      <c r="M82" s="23"/>
      <c r="N82" s="20" t="n">
        <v>0.5</v>
      </c>
      <c r="O82" s="24" t="s">
        <v>41</v>
      </c>
      <c r="P82" s="20"/>
      <c r="Q82" s="20"/>
    </row>
    <row r="83" customFormat="false" ht="15.75" hidden="false" customHeight="true" outlineLevel="0" collapsed="false">
      <c r="A83" s="11" t="s">
        <v>352</v>
      </c>
      <c r="B83" s="12" t="s">
        <v>353</v>
      </c>
      <c r="C83" s="13" t="s">
        <v>354</v>
      </c>
      <c r="D83" s="14" t="s">
        <v>185</v>
      </c>
      <c r="E83" s="15" t="s">
        <v>28</v>
      </c>
      <c r="F83" s="15" t="s">
        <v>35</v>
      </c>
      <c r="G83" s="14" t="s">
        <v>186</v>
      </c>
      <c r="H83" s="16"/>
      <c r="I83" s="17" t="s">
        <v>187</v>
      </c>
      <c r="J83" s="15" t="s">
        <v>37</v>
      </c>
      <c r="K83" s="15" t="s">
        <v>24</v>
      </c>
      <c r="L83" s="18"/>
      <c r="M83" s="23"/>
      <c r="N83" s="20" t="n">
        <v>0.5</v>
      </c>
      <c r="O83" s="24" t="s">
        <v>41</v>
      </c>
      <c r="P83" s="20" t="n">
        <v>157.5</v>
      </c>
      <c r="Q83" s="20" t="n">
        <v>634.6</v>
      </c>
    </row>
    <row r="84" customFormat="false" ht="30" hidden="false" customHeight="true" outlineLevel="0" collapsed="false">
      <c r="A84" s="11" t="s">
        <v>355</v>
      </c>
      <c r="B84" s="12" t="s">
        <v>356</v>
      </c>
      <c r="C84" s="13" t="s">
        <v>357</v>
      </c>
      <c r="D84" s="14" t="s">
        <v>185</v>
      </c>
      <c r="E84" s="15" t="s">
        <v>28</v>
      </c>
      <c r="F84" s="15" t="s">
        <v>35</v>
      </c>
      <c r="G84" s="14" t="s">
        <v>186</v>
      </c>
      <c r="H84" s="16"/>
      <c r="I84" s="17" t="s">
        <v>187</v>
      </c>
      <c r="J84" s="15" t="s">
        <v>37</v>
      </c>
      <c r="K84" s="15" t="s">
        <v>24</v>
      </c>
      <c r="L84" s="18"/>
      <c r="M84" s="23"/>
      <c r="N84" s="20" t="n">
        <v>38</v>
      </c>
      <c r="O84" s="24" t="s">
        <v>358</v>
      </c>
      <c r="P84" s="20" t="n">
        <v>254</v>
      </c>
      <c r="Q84" s="20" t="n">
        <v>801.1</v>
      </c>
    </row>
    <row r="85" customFormat="false" ht="15.75" hidden="false" customHeight="true" outlineLevel="0" collapsed="false">
      <c r="A85" s="11" t="s">
        <v>359</v>
      </c>
      <c r="B85" s="12" t="s">
        <v>360</v>
      </c>
      <c r="C85" s="13" t="s">
        <v>361</v>
      </c>
      <c r="D85" s="14" t="s">
        <v>185</v>
      </c>
      <c r="E85" s="15" t="s">
        <v>28</v>
      </c>
      <c r="F85" s="15" t="s">
        <v>35</v>
      </c>
      <c r="G85" s="14" t="s">
        <v>50</v>
      </c>
      <c r="H85" s="16"/>
      <c r="I85" s="17" t="s">
        <v>362</v>
      </c>
      <c r="J85" s="15" t="s">
        <v>37</v>
      </c>
      <c r="K85" s="15" t="s">
        <v>24</v>
      </c>
      <c r="L85" s="18"/>
      <c r="M85" s="23"/>
      <c r="N85" s="20" t="n">
        <v>2</v>
      </c>
      <c r="O85" s="24" t="s">
        <v>358</v>
      </c>
      <c r="P85" s="20" t="n">
        <v>19.5</v>
      </c>
      <c r="Q85" s="20" t="n">
        <v>769.5</v>
      </c>
    </row>
    <row r="86" customFormat="false" ht="15.75" hidden="false" customHeight="true" outlineLevel="0" collapsed="false">
      <c r="A86" s="11" t="s">
        <v>363</v>
      </c>
      <c r="B86" s="12" t="s">
        <v>364</v>
      </c>
      <c r="C86" s="13" t="s">
        <v>365</v>
      </c>
      <c r="D86" s="14" t="s">
        <v>185</v>
      </c>
      <c r="E86" s="15" t="s">
        <v>28</v>
      </c>
      <c r="F86" s="15" t="s">
        <v>35</v>
      </c>
      <c r="G86" s="14" t="s">
        <v>186</v>
      </c>
      <c r="H86" s="16"/>
      <c r="I86" s="17" t="s">
        <v>187</v>
      </c>
      <c r="J86" s="15" t="s">
        <v>37</v>
      </c>
      <c r="K86" s="15" t="s">
        <v>24</v>
      </c>
      <c r="L86" s="18"/>
      <c r="M86" s="23"/>
      <c r="N86" s="20" t="n">
        <v>3</v>
      </c>
      <c r="O86" s="24" t="s">
        <v>358</v>
      </c>
      <c r="P86" s="20" t="n">
        <v>2</v>
      </c>
      <c r="Q86" s="20" t="n">
        <v>775</v>
      </c>
    </row>
    <row r="87" customFormat="false" ht="15.75" hidden="false" customHeight="true" outlineLevel="0" collapsed="false">
      <c r="A87" s="11" t="s">
        <v>366</v>
      </c>
      <c r="B87" s="12" t="s">
        <v>367</v>
      </c>
      <c r="C87" s="13" t="s">
        <v>368</v>
      </c>
      <c r="D87" s="14" t="s">
        <v>185</v>
      </c>
      <c r="E87" s="15" t="s">
        <v>22</v>
      </c>
      <c r="F87" s="15" t="s">
        <v>35</v>
      </c>
      <c r="G87" s="14" t="s">
        <v>186</v>
      </c>
      <c r="H87" s="16" t="s">
        <v>51</v>
      </c>
      <c r="I87" s="17" t="s">
        <v>187</v>
      </c>
      <c r="J87" s="15" t="s">
        <v>37</v>
      </c>
      <c r="K87" s="15" t="s">
        <v>24</v>
      </c>
      <c r="L87" s="18" t="n">
        <v>46259</v>
      </c>
      <c r="M87" s="23" t="n">
        <v>46257</v>
      </c>
      <c r="N87" s="20" t="n">
        <v>7</v>
      </c>
      <c r="O87" s="24" t="s">
        <v>358</v>
      </c>
      <c r="P87" s="20" t="n">
        <v>6</v>
      </c>
      <c r="Q87" s="20" t="n">
        <v>776</v>
      </c>
    </row>
    <row r="88" customFormat="false" ht="31.5" hidden="false" customHeight="true" outlineLevel="0" collapsed="false">
      <c r="A88" s="11" t="s">
        <v>369</v>
      </c>
      <c r="B88" s="12" t="s">
        <v>370</v>
      </c>
      <c r="C88" s="13" t="s">
        <v>371</v>
      </c>
      <c r="D88" s="14" t="s">
        <v>61</v>
      </c>
      <c r="E88" s="15" t="s">
        <v>28</v>
      </c>
      <c r="F88" s="15" t="s">
        <v>35</v>
      </c>
      <c r="G88" s="14" t="s">
        <v>24</v>
      </c>
      <c r="H88" s="16"/>
      <c r="I88" s="17" t="s">
        <v>372</v>
      </c>
      <c r="J88" s="15" t="s">
        <v>37</v>
      </c>
      <c r="K88" s="15" t="s">
        <v>24</v>
      </c>
      <c r="L88" s="18"/>
      <c r="M88" s="23"/>
      <c r="N88" s="20" t="n">
        <v>0.25</v>
      </c>
      <c r="O88" s="24" t="s">
        <v>63</v>
      </c>
      <c r="P88" s="20"/>
      <c r="Q88" s="20" t="n">
        <v>103</v>
      </c>
    </row>
    <row r="89" customFormat="false" ht="15.75" hidden="true" customHeight="true" outlineLevel="0" collapsed="false">
      <c r="A89" s="11" t="s">
        <v>373</v>
      </c>
      <c r="B89" s="12" t="s">
        <v>374</v>
      </c>
      <c r="C89" s="13" t="s">
        <v>375</v>
      </c>
      <c r="D89" s="14" t="s">
        <v>61</v>
      </c>
      <c r="E89" s="15" t="s">
        <v>22</v>
      </c>
      <c r="F89" s="15" t="s">
        <v>35</v>
      </c>
      <c r="G89" s="14" t="s">
        <v>83</v>
      </c>
      <c r="H89" s="16"/>
      <c r="I89" s="17" t="s">
        <v>36</v>
      </c>
      <c r="J89" s="15" t="s">
        <v>37</v>
      </c>
      <c r="K89" s="15" t="s">
        <v>24</v>
      </c>
      <c r="L89" s="18" t="n">
        <v>46223</v>
      </c>
      <c r="M89" s="23" t="n">
        <v>46223</v>
      </c>
      <c r="N89" s="20" t="n">
        <v>0.02</v>
      </c>
      <c r="O89" s="24" t="s">
        <v>63</v>
      </c>
      <c r="P89" s="20" t="n">
        <v>0.75</v>
      </c>
      <c r="Q89" s="20" t="n">
        <v>0.75</v>
      </c>
    </row>
    <row r="90" customFormat="false" ht="15.75" hidden="true" customHeight="true" outlineLevel="0" collapsed="false">
      <c r="A90" s="11" t="s">
        <v>376</v>
      </c>
      <c r="B90" s="12" t="s">
        <v>377</v>
      </c>
      <c r="C90" s="13" t="s">
        <v>378</v>
      </c>
      <c r="D90" s="14" t="s">
        <v>72</v>
      </c>
      <c r="E90" s="15" t="s">
        <v>22</v>
      </c>
      <c r="F90" s="15" t="s">
        <v>35</v>
      </c>
      <c r="G90" s="14" t="s">
        <v>83</v>
      </c>
      <c r="H90" s="16"/>
      <c r="I90" s="17" t="s">
        <v>36</v>
      </c>
      <c r="J90" s="15" t="s">
        <v>37</v>
      </c>
      <c r="K90" s="15" t="s">
        <v>24</v>
      </c>
      <c r="L90" s="18" t="n">
        <v>46223</v>
      </c>
      <c r="M90" s="23" t="n">
        <v>46223</v>
      </c>
      <c r="N90" s="20" t="n">
        <v>3.3</v>
      </c>
      <c r="O90" s="24" t="s">
        <v>74</v>
      </c>
      <c r="P90" s="20" t="n">
        <v>0.75</v>
      </c>
      <c r="Q90" s="20" t="n">
        <v>0.75</v>
      </c>
    </row>
    <row r="91" customFormat="false" ht="15.75" hidden="true" customHeight="true" outlineLevel="0" collapsed="false">
      <c r="A91" s="11" t="s">
        <v>379</v>
      </c>
      <c r="B91" s="12" t="s">
        <v>380</v>
      </c>
      <c r="C91" s="13" t="s">
        <v>381</v>
      </c>
      <c r="D91" s="14" t="s">
        <v>34</v>
      </c>
      <c r="E91" s="15" t="s">
        <v>22</v>
      </c>
      <c r="F91" s="15" t="s">
        <v>35</v>
      </c>
      <c r="G91" s="14" t="s">
        <v>208</v>
      </c>
      <c r="H91" s="16"/>
      <c r="I91" s="17" t="s">
        <v>36</v>
      </c>
      <c r="J91" s="15" t="s">
        <v>37</v>
      </c>
      <c r="K91" s="15" t="s">
        <v>24</v>
      </c>
      <c r="L91" s="18" t="n">
        <v>46225</v>
      </c>
      <c r="M91" s="23" t="n">
        <v>46225</v>
      </c>
      <c r="N91" s="20" t="n">
        <v>0.22</v>
      </c>
      <c r="O91" s="24" t="s">
        <v>226</v>
      </c>
      <c r="P91" s="20" t="n">
        <v>2</v>
      </c>
      <c r="Q91" s="20" t="n">
        <v>1</v>
      </c>
    </row>
    <row r="92" customFormat="false" ht="30" hidden="false" customHeight="true" outlineLevel="0" collapsed="false">
      <c r="A92" s="11" t="s">
        <v>382</v>
      </c>
      <c r="B92" s="12" t="s">
        <v>383</v>
      </c>
      <c r="C92" s="13" t="s">
        <v>384</v>
      </c>
      <c r="D92" s="14" t="s">
        <v>34</v>
      </c>
      <c r="E92" s="15" t="s">
        <v>22</v>
      </c>
      <c r="F92" s="15" t="s">
        <v>35</v>
      </c>
      <c r="G92" s="14" t="s">
        <v>24</v>
      </c>
      <c r="H92" s="16"/>
      <c r="I92" s="17" t="s">
        <v>385</v>
      </c>
      <c r="J92" s="15" t="s">
        <v>37</v>
      </c>
      <c r="K92" s="15" t="s">
        <v>24</v>
      </c>
      <c r="L92" s="18" t="n">
        <v>46259</v>
      </c>
      <c r="M92" s="23" t="n">
        <v>46258</v>
      </c>
      <c r="N92" s="20" t="n">
        <v>0.5</v>
      </c>
      <c r="O92" s="24" t="s">
        <v>53</v>
      </c>
      <c r="P92" s="20" t="n">
        <v>46.5</v>
      </c>
      <c r="Q92" s="20" t="n">
        <v>824.6</v>
      </c>
    </row>
    <row r="93" customFormat="false" ht="15.75" hidden="true" customHeight="true" outlineLevel="0" collapsed="false">
      <c r="A93" s="11" t="s">
        <v>386</v>
      </c>
      <c r="B93" s="12" t="s">
        <v>387</v>
      </c>
      <c r="C93" s="13" t="s">
        <v>388</v>
      </c>
      <c r="D93" s="14" t="s">
        <v>72</v>
      </c>
      <c r="E93" s="15" t="s">
        <v>22</v>
      </c>
      <c r="F93" s="15" t="s">
        <v>35</v>
      </c>
      <c r="G93" s="14" t="s">
        <v>83</v>
      </c>
      <c r="H93" s="16"/>
      <c r="I93" s="17" t="s">
        <v>83</v>
      </c>
      <c r="J93" s="15" t="s">
        <v>37</v>
      </c>
      <c r="K93" s="15" t="s">
        <v>24</v>
      </c>
      <c r="L93" s="18" t="n">
        <v>46223</v>
      </c>
      <c r="M93" s="23" t="n">
        <v>46223</v>
      </c>
      <c r="N93" s="20" t="n">
        <v>0.22</v>
      </c>
      <c r="O93" s="24" t="s">
        <v>84</v>
      </c>
      <c r="P93" s="20" t="n">
        <v>0.75</v>
      </c>
      <c r="Q93" s="20" t="n">
        <v>0.75</v>
      </c>
    </row>
    <row r="94" customFormat="false" ht="15.75" hidden="false" customHeight="true" outlineLevel="0" collapsed="false">
      <c r="A94" s="11" t="s">
        <v>389</v>
      </c>
      <c r="B94" s="12" t="s">
        <v>390</v>
      </c>
      <c r="C94" s="13" t="s">
        <v>391</v>
      </c>
      <c r="D94" s="14" t="s">
        <v>21</v>
      </c>
      <c r="E94" s="15" t="s">
        <v>28</v>
      </c>
      <c r="F94" s="15" t="s">
        <v>141</v>
      </c>
      <c r="G94" s="14" t="s">
        <v>24</v>
      </c>
      <c r="H94" s="16"/>
      <c r="I94" s="17"/>
      <c r="J94" s="15"/>
      <c r="K94" s="15" t="s">
        <v>24</v>
      </c>
      <c r="L94" s="18"/>
      <c r="M94" s="23"/>
      <c r="N94" s="20" t="n">
        <v>38</v>
      </c>
      <c r="O94" s="24"/>
      <c r="P94" s="20" t="n">
        <v>22.5</v>
      </c>
      <c r="Q94" s="20" t="n">
        <v>464.7</v>
      </c>
    </row>
    <row r="95" customFormat="false" ht="15.75" hidden="true" customHeight="true" outlineLevel="0" collapsed="false">
      <c r="A95" s="11" t="s">
        <v>392</v>
      </c>
      <c r="B95" s="12" t="s">
        <v>393</v>
      </c>
      <c r="C95" s="13" t="s">
        <v>394</v>
      </c>
      <c r="D95" s="14" t="s">
        <v>34</v>
      </c>
      <c r="E95" s="15" t="s">
        <v>22</v>
      </c>
      <c r="F95" s="15" t="s">
        <v>35</v>
      </c>
      <c r="G95" s="14" t="s">
        <v>208</v>
      </c>
      <c r="H95" s="16"/>
      <c r="I95" s="17" t="s">
        <v>208</v>
      </c>
      <c r="J95" s="15" t="s">
        <v>37</v>
      </c>
      <c r="K95" s="15" t="s">
        <v>24</v>
      </c>
      <c r="L95" s="18" t="n">
        <v>46225</v>
      </c>
      <c r="M95" s="23" t="n">
        <v>46225</v>
      </c>
      <c r="N95" s="20" t="n">
        <v>0.22</v>
      </c>
      <c r="O95" s="24" t="s">
        <v>395</v>
      </c>
      <c r="P95" s="20" t="n">
        <v>9</v>
      </c>
      <c r="Q95" s="20" t="n">
        <v>3.08</v>
      </c>
    </row>
    <row r="96" customFormat="false" ht="15.75" hidden="true" customHeight="true" outlineLevel="0" collapsed="false">
      <c r="A96" s="11" t="s">
        <v>396</v>
      </c>
      <c r="B96" s="12" t="s">
        <v>397</v>
      </c>
      <c r="C96" s="13" t="s">
        <v>398</v>
      </c>
      <c r="D96" s="14" t="s">
        <v>49</v>
      </c>
      <c r="E96" s="15" t="s">
        <v>22</v>
      </c>
      <c r="F96" s="15" t="s">
        <v>35</v>
      </c>
      <c r="G96" s="14" t="s">
        <v>50</v>
      </c>
      <c r="H96" s="16"/>
      <c r="I96" s="17"/>
      <c r="J96" s="15" t="s">
        <v>37</v>
      </c>
      <c r="K96" s="15" t="s">
        <v>25</v>
      </c>
      <c r="L96" s="18" t="n">
        <v>46252</v>
      </c>
      <c r="M96" s="23" t="n">
        <v>46243</v>
      </c>
      <c r="N96" s="20" t="n">
        <v>0.22</v>
      </c>
      <c r="O96" s="24" t="s">
        <v>399</v>
      </c>
      <c r="P96" s="20" t="n">
        <v>1</v>
      </c>
      <c r="Q96" s="20" t="n">
        <v>1</v>
      </c>
    </row>
    <row r="97" customFormat="false" ht="15.75" hidden="true" customHeight="true" outlineLevel="0" collapsed="false">
      <c r="A97" s="11" t="s">
        <v>400</v>
      </c>
      <c r="B97" s="12" t="s">
        <v>401</v>
      </c>
      <c r="C97" s="13" t="s">
        <v>402</v>
      </c>
      <c r="D97" s="14" t="s">
        <v>49</v>
      </c>
      <c r="E97" s="15" t="s">
        <v>22</v>
      </c>
      <c r="F97" s="15" t="s">
        <v>35</v>
      </c>
      <c r="G97" s="14" t="s">
        <v>24</v>
      </c>
      <c r="H97" s="16"/>
      <c r="I97" s="17"/>
      <c r="J97" s="15" t="s">
        <v>37</v>
      </c>
      <c r="K97" s="15" t="s">
        <v>25</v>
      </c>
      <c r="L97" s="18" t="n">
        <v>46223</v>
      </c>
      <c r="M97" s="23" t="n">
        <v>46223</v>
      </c>
      <c r="N97" s="20" t="n">
        <v>0.55</v>
      </c>
      <c r="O97" s="24" t="s">
        <v>399</v>
      </c>
      <c r="P97" s="20" t="n">
        <v>10</v>
      </c>
      <c r="Q97" s="20" t="n">
        <v>4.37</v>
      </c>
    </row>
    <row r="98" customFormat="false" ht="15.75" hidden="false" customHeight="true" outlineLevel="0" collapsed="false">
      <c r="A98" s="11" t="s">
        <v>403</v>
      </c>
      <c r="B98" s="12" t="s">
        <v>404</v>
      </c>
      <c r="C98" s="13" t="s">
        <v>405</v>
      </c>
      <c r="D98" s="14" t="s">
        <v>34</v>
      </c>
      <c r="E98" s="15" t="s">
        <v>28</v>
      </c>
      <c r="F98" s="15" t="s">
        <v>35</v>
      </c>
      <c r="G98" s="14" t="s">
        <v>24</v>
      </c>
      <c r="H98" s="16"/>
      <c r="I98" s="17" t="s">
        <v>326</v>
      </c>
      <c r="J98" s="15" t="s">
        <v>37</v>
      </c>
      <c r="K98" s="15" t="s">
        <v>24</v>
      </c>
      <c r="L98" s="18"/>
      <c r="M98" s="23"/>
      <c r="N98" s="20" t="n">
        <v>1.98</v>
      </c>
      <c r="O98" s="24" t="s">
        <v>406</v>
      </c>
      <c r="P98" s="20" t="n">
        <v>45</v>
      </c>
      <c r="Q98" s="20" t="n">
        <v>797.7</v>
      </c>
    </row>
    <row r="99" customFormat="false" ht="15.75" hidden="false" customHeight="true" outlineLevel="0" collapsed="false">
      <c r="A99" s="11" t="s">
        <v>407</v>
      </c>
      <c r="B99" s="12" t="s">
        <v>408</v>
      </c>
      <c r="C99" s="13" t="s">
        <v>409</v>
      </c>
      <c r="D99" s="14" t="s">
        <v>34</v>
      </c>
      <c r="E99" s="15" t="s">
        <v>28</v>
      </c>
      <c r="F99" s="15" t="s">
        <v>35</v>
      </c>
      <c r="G99" s="14" t="s">
        <v>24</v>
      </c>
      <c r="H99" s="16"/>
      <c r="I99" s="17" t="s">
        <v>326</v>
      </c>
      <c r="J99" s="15" t="s">
        <v>37</v>
      </c>
      <c r="K99" s="15" t="s">
        <v>24</v>
      </c>
      <c r="L99" s="18"/>
      <c r="M99" s="23"/>
      <c r="N99" s="20" t="n">
        <v>2.42</v>
      </c>
      <c r="O99" s="24" t="s">
        <v>410</v>
      </c>
      <c r="P99" s="20" t="n">
        <v>48.5</v>
      </c>
      <c r="Q99" s="20" t="n">
        <v>801.1</v>
      </c>
    </row>
    <row r="100" customFormat="false" ht="15.75" hidden="true" customHeight="true" outlineLevel="0" collapsed="false">
      <c r="A100" s="11" t="s">
        <v>411</v>
      </c>
      <c r="B100" s="12" t="s">
        <v>412</v>
      </c>
      <c r="C100" s="13" t="s">
        <v>413</v>
      </c>
      <c r="D100" s="14" t="s">
        <v>49</v>
      </c>
      <c r="E100" s="15" t="s">
        <v>22</v>
      </c>
      <c r="F100" s="15" t="s">
        <v>35</v>
      </c>
      <c r="G100" s="14" t="s">
        <v>24</v>
      </c>
      <c r="H100" s="16"/>
      <c r="I100" s="17" t="s">
        <v>36</v>
      </c>
      <c r="J100" s="15" t="s">
        <v>37</v>
      </c>
      <c r="K100" s="15" t="s">
        <v>25</v>
      </c>
      <c r="L100" s="18" t="n">
        <v>46223</v>
      </c>
      <c r="M100" s="23" t="n">
        <v>46223</v>
      </c>
      <c r="N100" s="20" t="n">
        <v>2.25</v>
      </c>
      <c r="O100" s="24" t="s">
        <v>414</v>
      </c>
      <c r="P100" s="20" t="n">
        <v>3.5</v>
      </c>
      <c r="Q100" s="20" t="n">
        <v>1.65</v>
      </c>
    </row>
    <row r="101" customFormat="false" ht="15.75" hidden="true" customHeight="true" outlineLevel="0" collapsed="false">
      <c r="A101" s="11" t="s">
        <v>415</v>
      </c>
      <c r="B101" s="12" t="s">
        <v>416</v>
      </c>
      <c r="C101" s="13" t="s">
        <v>417</v>
      </c>
      <c r="D101" s="14" t="s">
        <v>34</v>
      </c>
      <c r="E101" s="15" t="s">
        <v>22</v>
      </c>
      <c r="F101" s="15" t="s">
        <v>35</v>
      </c>
      <c r="G101" s="14" t="s">
        <v>24</v>
      </c>
      <c r="H101" s="16"/>
      <c r="I101" s="17" t="s">
        <v>36</v>
      </c>
      <c r="J101" s="15" t="s">
        <v>37</v>
      </c>
      <c r="K101" s="15" t="s">
        <v>24</v>
      </c>
      <c r="L101" s="18" t="n">
        <v>46222</v>
      </c>
      <c r="M101" s="23" t="n">
        <v>46222</v>
      </c>
      <c r="N101" s="20" t="n">
        <v>0.43</v>
      </c>
      <c r="O101" s="24" t="s">
        <v>257</v>
      </c>
      <c r="P101" s="20" t="n">
        <v>3.5</v>
      </c>
      <c r="Q101" s="20" t="n">
        <v>3.27</v>
      </c>
    </row>
    <row r="102" customFormat="false" ht="15.75" hidden="false" customHeight="true" outlineLevel="0" collapsed="false">
      <c r="A102" s="11" t="s">
        <v>418</v>
      </c>
      <c r="B102" s="12" t="s">
        <v>419</v>
      </c>
      <c r="C102" s="13" t="s">
        <v>420</v>
      </c>
      <c r="D102" s="14" t="s">
        <v>72</v>
      </c>
      <c r="E102" s="15" t="s">
        <v>22</v>
      </c>
      <c r="F102" s="15" t="s">
        <v>35</v>
      </c>
      <c r="G102" s="14" t="s">
        <v>157</v>
      </c>
      <c r="H102" s="16" t="s">
        <v>51</v>
      </c>
      <c r="I102" s="17" t="s">
        <v>421</v>
      </c>
      <c r="J102" s="15" t="s">
        <v>37</v>
      </c>
      <c r="K102" s="15" t="s">
        <v>24</v>
      </c>
      <c r="L102" s="18" t="n">
        <v>46259</v>
      </c>
      <c r="M102" s="23" t="n">
        <v>46258</v>
      </c>
      <c r="N102" s="20" t="n">
        <v>10</v>
      </c>
      <c r="O102" s="24" t="s">
        <v>422</v>
      </c>
      <c r="P102" s="20"/>
      <c r="Q102" s="20" t="n">
        <v>0</v>
      </c>
    </row>
    <row r="103" customFormat="false" ht="15.75" hidden="true" customHeight="true" outlineLevel="0" collapsed="false">
      <c r="A103" s="11" t="s">
        <v>423</v>
      </c>
      <c r="B103" s="12" t="s">
        <v>424</v>
      </c>
      <c r="C103" s="13" t="s">
        <v>425</v>
      </c>
      <c r="D103" s="14" t="s">
        <v>21</v>
      </c>
      <c r="E103" s="15" t="s">
        <v>22</v>
      </c>
      <c r="F103" s="15" t="s">
        <v>35</v>
      </c>
      <c r="G103" s="14" t="s">
        <v>157</v>
      </c>
      <c r="H103" s="16" t="s">
        <v>51</v>
      </c>
      <c r="I103" s="17" t="s">
        <v>157</v>
      </c>
      <c r="J103" s="15" t="s">
        <v>37</v>
      </c>
      <c r="K103" s="15" t="s">
        <v>24</v>
      </c>
      <c r="L103" s="18" t="n">
        <v>46252</v>
      </c>
      <c r="M103" s="23" t="n">
        <v>46250</v>
      </c>
      <c r="N103" s="20" t="n">
        <v>0.65</v>
      </c>
      <c r="O103" s="24" t="s">
        <v>426</v>
      </c>
      <c r="P103" s="20" t="n">
        <v>4.5</v>
      </c>
      <c r="Q103" s="20" t="n">
        <v>4</v>
      </c>
    </row>
    <row r="104" customFormat="false" ht="30" hidden="true" customHeight="true" outlineLevel="0" collapsed="false">
      <c r="A104" s="11" t="s">
        <v>427</v>
      </c>
      <c r="B104" s="12" t="s">
        <v>428</v>
      </c>
      <c r="C104" s="13" t="s">
        <v>429</v>
      </c>
      <c r="D104" s="14" t="s">
        <v>96</v>
      </c>
      <c r="E104" s="15" t="s">
        <v>22</v>
      </c>
      <c r="F104" s="15" t="s">
        <v>35</v>
      </c>
      <c r="G104" s="14" t="s">
        <v>50</v>
      </c>
      <c r="H104" s="16" t="s">
        <v>51</v>
      </c>
      <c r="I104" s="17" t="s">
        <v>326</v>
      </c>
      <c r="J104" s="15" t="s">
        <v>37</v>
      </c>
      <c r="K104" s="15" t="s">
        <v>25</v>
      </c>
      <c r="L104" s="18" t="n">
        <v>46252</v>
      </c>
      <c r="M104" s="23" t="n">
        <v>46245</v>
      </c>
      <c r="N104" s="20" t="n">
        <v>5</v>
      </c>
      <c r="O104" s="24" t="s">
        <v>430</v>
      </c>
      <c r="P104" s="20" t="n">
        <v>54</v>
      </c>
      <c r="Q104" s="20" t="n">
        <v>220.4</v>
      </c>
    </row>
    <row r="105" customFormat="false" ht="15.75" hidden="false" customHeight="true" outlineLevel="0" collapsed="false">
      <c r="A105" s="11" t="s">
        <v>431</v>
      </c>
      <c r="B105" s="12" t="s">
        <v>432</v>
      </c>
      <c r="C105" s="13" t="s">
        <v>433</v>
      </c>
      <c r="D105" s="14" t="s">
        <v>96</v>
      </c>
      <c r="E105" s="15" t="s">
        <v>28</v>
      </c>
      <c r="F105" s="15" t="s">
        <v>35</v>
      </c>
      <c r="G105" s="14" t="s">
        <v>50</v>
      </c>
      <c r="H105" s="16"/>
      <c r="I105" s="17" t="s">
        <v>326</v>
      </c>
      <c r="J105" s="15" t="s">
        <v>37</v>
      </c>
      <c r="K105" s="15" t="s">
        <v>24</v>
      </c>
      <c r="L105" s="18"/>
      <c r="M105" s="23"/>
      <c r="N105" s="20" t="n">
        <v>0</v>
      </c>
      <c r="O105" s="24" t="s">
        <v>430</v>
      </c>
      <c r="P105" s="20" t="n">
        <v>9</v>
      </c>
      <c r="Q105" s="20" t="n">
        <v>605.1</v>
      </c>
    </row>
    <row r="106" customFormat="false" ht="30" hidden="true" customHeight="true" outlineLevel="0" collapsed="false">
      <c r="A106" s="11" t="s">
        <v>434</v>
      </c>
      <c r="B106" s="12" t="s">
        <v>435</v>
      </c>
      <c r="C106" s="13" t="s">
        <v>436</v>
      </c>
      <c r="D106" s="14" t="s">
        <v>96</v>
      </c>
      <c r="E106" s="15" t="s">
        <v>22</v>
      </c>
      <c r="F106" s="15" t="s">
        <v>35</v>
      </c>
      <c r="G106" s="14" t="s">
        <v>50</v>
      </c>
      <c r="H106" s="16" t="s">
        <v>51</v>
      </c>
      <c r="I106" s="17" t="s">
        <v>326</v>
      </c>
      <c r="J106" s="15" t="s">
        <v>37</v>
      </c>
      <c r="K106" s="15" t="s">
        <v>25</v>
      </c>
      <c r="L106" s="18" t="n">
        <v>46252</v>
      </c>
      <c r="M106" s="23" t="n">
        <v>46245</v>
      </c>
      <c r="N106" s="20" t="n">
        <v>5</v>
      </c>
      <c r="O106" s="24" t="s">
        <v>430</v>
      </c>
      <c r="P106" s="20" t="n">
        <v>58.5</v>
      </c>
      <c r="Q106" s="20" t="n">
        <v>220.8</v>
      </c>
    </row>
    <row r="107" customFormat="false" ht="30" hidden="true" customHeight="true" outlineLevel="0" collapsed="false">
      <c r="A107" s="11" t="s">
        <v>437</v>
      </c>
      <c r="B107" s="12" t="s">
        <v>438</v>
      </c>
      <c r="C107" s="13" t="s">
        <v>439</v>
      </c>
      <c r="D107" s="14" t="s">
        <v>96</v>
      </c>
      <c r="E107" s="15" t="s">
        <v>22</v>
      </c>
      <c r="F107" s="15" t="s">
        <v>35</v>
      </c>
      <c r="G107" s="14" t="s">
        <v>50</v>
      </c>
      <c r="H107" s="16" t="s">
        <v>51</v>
      </c>
      <c r="I107" s="17" t="s">
        <v>326</v>
      </c>
      <c r="J107" s="15" t="s">
        <v>37</v>
      </c>
      <c r="K107" s="15" t="s">
        <v>30</v>
      </c>
      <c r="L107" s="18" t="n">
        <v>46252</v>
      </c>
      <c r="M107" s="23" t="n">
        <v>46245</v>
      </c>
      <c r="N107" s="20" t="n">
        <v>5</v>
      </c>
      <c r="O107" s="24" t="s">
        <v>430</v>
      </c>
      <c r="P107" s="20" t="n">
        <v>68.3</v>
      </c>
      <c r="Q107" s="20" t="n">
        <v>87.3</v>
      </c>
    </row>
    <row r="108" customFormat="false" ht="15.75" hidden="false" customHeight="true" outlineLevel="0" collapsed="false">
      <c r="A108" s="11" t="s">
        <v>440</v>
      </c>
      <c r="B108" s="12" t="s">
        <v>441</v>
      </c>
      <c r="C108" s="13" t="s">
        <v>442</v>
      </c>
      <c r="D108" s="14" t="s">
        <v>96</v>
      </c>
      <c r="E108" s="15" t="s">
        <v>28</v>
      </c>
      <c r="F108" s="15" t="s">
        <v>35</v>
      </c>
      <c r="G108" s="14" t="s">
        <v>50</v>
      </c>
      <c r="H108" s="16" t="s">
        <v>51</v>
      </c>
      <c r="I108" s="17" t="s">
        <v>326</v>
      </c>
      <c r="J108" s="15" t="s">
        <v>37</v>
      </c>
      <c r="K108" s="15" t="s">
        <v>25</v>
      </c>
      <c r="L108" s="18"/>
      <c r="M108" s="23"/>
      <c r="N108" s="20" t="n">
        <v>0.7</v>
      </c>
      <c r="O108" s="24" t="s">
        <v>430</v>
      </c>
      <c r="P108" s="20" t="n">
        <v>9.5</v>
      </c>
      <c r="Q108" s="20" t="n">
        <v>579.6</v>
      </c>
    </row>
    <row r="109" customFormat="false" ht="15.75" hidden="false" customHeight="true" outlineLevel="0" collapsed="false">
      <c r="A109" s="11" t="s">
        <v>443</v>
      </c>
      <c r="B109" s="12" t="s">
        <v>444</v>
      </c>
      <c r="C109" s="13" t="s">
        <v>445</v>
      </c>
      <c r="D109" s="14" t="s">
        <v>96</v>
      </c>
      <c r="E109" s="15" t="s">
        <v>28</v>
      </c>
      <c r="F109" s="15" t="s">
        <v>35</v>
      </c>
      <c r="G109" s="14" t="s">
        <v>50</v>
      </c>
      <c r="H109" s="16" t="s">
        <v>51</v>
      </c>
      <c r="I109" s="17" t="s">
        <v>326</v>
      </c>
      <c r="J109" s="15" t="s">
        <v>37</v>
      </c>
      <c r="K109" s="15" t="s">
        <v>25</v>
      </c>
      <c r="L109" s="18"/>
      <c r="M109" s="23"/>
      <c r="N109" s="20" t="n">
        <v>0.7</v>
      </c>
      <c r="O109" s="24" t="s">
        <v>430</v>
      </c>
      <c r="P109" s="20" t="n">
        <v>5.5</v>
      </c>
      <c r="Q109" s="20" t="n">
        <v>572.1</v>
      </c>
    </row>
    <row r="110" customFormat="false" ht="15.75" hidden="true" customHeight="true" outlineLevel="0" collapsed="false">
      <c r="A110" s="11" t="s">
        <v>446</v>
      </c>
      <c r="B110" s="12" t="s">
        <v>447</v>
      </c>
      <c r="C110" s="13" t="s">
        <v>448</v>
      </c>
      <c r="D110" s="14" t="s">
        <v>96</v>
      </c>
      <c r="E110" s="15" t="s">
        <v>22</v>
      </c>
      <c r="F110" s="15" t="s">
        <v>35</v>
      </c>
      <c r="G110" s="14" t="s">
        <v>50</v>
      </c>
      <c r="H110" s="16" t="s">
        <v>51</v>
      </c>
      <c r="I110" s="17" t="s">
        <v>326</v>
      </c>
      <c r="J110" s="15" t="s">
        <v>37</v>
      </c>
      <c r="K110" s="15" t="s">
        <v>30</v>
      </c>
      <c r="L110" s="18" t="n">
        <v>46259</v>
      </c>
      <c r="M110" s="23" t="n">
        <v>46258</v>
      </c>
      <c r="N110" s="20" t="n">
        <v>0</v>
      </c>
      <c r="O110" s="24" t="s">
        <v>430</v>
      </c>
      <c r="P110" s="20" t="n">
        <v>6.5</v>
      </c>
      <c r="Q110" s="20" t="n">
        <v>579.6</v>
      </c>
    </row>
    <row r="111" customFormat="false" ht="15.75" hidden="true" customHeight="true" outlineLevel="0" collapsed="false">
      <c r="A111" s="11" t="s">
        <v>449</v>
      </c>
      <c r="B111" s="12" t="s">
        <v>450</v>
      </c>
      <c r="C111" s="13" t="s">
        <v>451</v>
      </c>
      <c r="D111" s="14" t="s">
        <v>96</v>
      </c>
      <c r="E111" s="15" t="s">
        <v>22</v>
      </c>
      <c r="F111" s="15" t="s">
        <v>35</v>
      </c>
      <c r="G111" s="14" t="s">
        <v>50</v>
      </c>
      <c r="H111" s="16" t="s">
        <v>51</v>
      </c>
      <c r="I111" s="17" t="s">
        <v>326</v>
      </c>
      <c r="J111" s="15" t="s">
        <v>37</v>
      </c>
      <c r="K111" s="15" t="s">
        <v>30</v>
      </c>
      <c r="L111" s="18" t="n">
        <v>46256</v>
      </c>
      <c r="M111" s="23" t="n">
        <v>46254</v>
      </c>
      <c r="N111" s="20" t="n">
        <v>1.53</v>
      </c>
      <c r="O111" s="24" t="s">
        <v>430</v>
      </c>
      <c r="P111" s="20" t="n">
        <v>33.5</v>
      </c>
      <c r="Q111" s="20" t="n">
        <v>534.8</v>
      </c>
    </row>
    <row r="112" customFormat="false" ht="30" hidden="true" customHeight="true" outlineLevel="0" collapsed="false">
      <c r="A112" s="11" t="s">
        <v>452</v>
      </c>
      <c r="B112" s="12" t="s">
        <v>453</v>
      </c>
      <c r="C112" s="13" t="s">
        <v>454</v>
      </c>
      <c r="D112" s="14" t="s">
        <v>96</v>
      </c>
      <c r="E112" s="15" t="s">
        <v>22</v>
      </c>
      <c r="F112" s="15" t="s">
        <v>35</v>
      </c>
      <c r="G112" s="14" t="s">
        <v>50</v>
      </c>
      <c r="H112" s="16" t="s">
        <v>51</v>
      </c>
      <c r="I112" s="17" t="s">
        <v>326</v>
      </c>
      <c r="J112" s="15" t="s">
        <v>37</v>
      </c>
      <c r="K112" s="15" t="s">
        <v>30</v>
      </c>
      <c r="L112" s="18" t="n">
        <v>46252</v>
      </c>
      <c r="M112" s="23" t="n">
        <v>46251</v>
      </c>
      <c r="N112" s="20" t="n">
        <v>5</v>
      </c>
      <c r="O112" s="24" t="s">
        <v>430</v>
      </c>
      <c r="P112" s="20" t="n">
        <v>23.75</v>
      </c>
      <c r="Q112" s="20" t="n">
        <v>157.7</v>
      </c>
    </row>
    <row r="113" customFormat="false" ht="15.75" hidden="true" customHeight="true" outlineLevel="0" collapsed="false">
      <c r="A113" s="11" t="s">
        <v>455</v>
      </c>
      <c r="B113" s="12" t="s">
        <v>456</v>
      </c>
      <c r="C113" s="13" t="s">
        <v>457</v>
      </c>
      <c r="D113" s="14" t="s">
        <v>96</v>
      </c>
      <c r="E113" s="15" t="s">
        <v>22</v>
      </c>
      <c r="F113" s="15" t="s">
        <v>35</v>
      </c>
      <c r="G113" s="14" t="s">
        <v>50</v>
      </c>
      <c r="H113" s="16"/>
      <c r="I113" s="17" t="s">
        <v>326</v>
      </c>
      <c r="J113" s="15" t="s">
        <v>37</v>
      </c>
      <c r="K113" s="15" t="s">
        <v>24</v>
      </c>
      <c r="L113" s="18" t="n">
        <v>46229</v>
      </c>
      <c r="M113" s="23" t="n">
        <v>46229</v>
      </c>
      <c r="N113" s="20" t="n">
        <v>0.87</v>
      </c>
      <c r="O113" s="24" t="s">
        <v>430</v>
      </c>
      <c r="P113" s="20" t="n">
        <v>7.5</v>
      </c>
      <c r="Q113" s="20" t="n">
        <v>2.5</v>
      </c>
    </row>
    <row r="114" customFormat="false" ht="15.75" hidden="true" customHeight="true" outlineLevel="0" collapsed="false">
      <c r="A114" s="11" t="s">
        <v>458</v>
      </c>
      <c r="B114" s="12" t="s">
        <v>459</v>
      </c>
      <c r="C114" s="13" t="s">
        <v>460</v>
      </c>
      <c r="D114" s="14" t="s">
        <v>96</v>
      </c>
      <c r="E114" s="15" t="s">
        <v>22</v>
      </c>
      <c r="F114" s="15" t="s">
        <v>35</v>
      </c>
      <c r="G114" s="14" t="s">
        <v>50</v>
      </c>
      <c r="H114" s="16"/>
      <c r="I114" s="17" t="s">
        <v>326</v>
      </c>
      <c r="J114" s="15" t="s">
        <v>37</v>
      </c>
      <c r="K114" s="15" t="s">
        <v>24</v>
      </c>
      <c r="L114" s="18" t="n">
        <v>46229</v>
      </c>
      <c r="M114" s="23" t="n">
        <v>46229</v>
      </c>
      <c r="N114" s="20" t="n">
        <v>1.75</v>
      </c>
      <c r="O114" s="24" t="s">
        <v>430</v>
      </c>
      <c r="P114" s="20" t="n">
        <v>8.5</v>
      </c>
      <c r="Q114" s="20" t="n">
        <v>3.43</v>
      </c>
    </row>
    <row r="115" customFormat="false" ht="15.75" hidden="false" customHeight="true" outlineLevel="0" collapsed="false">
      <c r="A115" s="11" t="s">
        <v>461</v>
      </c>
      <c r="B115" s="12" t="s">
        <v>462</v>
      </c>
      <c r="C115" s="13" t="s">
        <v>463</v>
      </c>
      <c r="D115" s="14" t="s">
        <v>96</v>
      </c>
      <c r="E115" s="15" t="s">
        <v>28</v>
      </c>
      <c r="F115" s="15" t="s">
        <v>35</v>
      </c>
      <c r="G115" s="14" t="s">
        <v>50</v>
      </c>
      <c r="H115" s="16"/>
      <c r="I115" s="17" t="s">
        <v>326</v>
      </c>
      <c r="J115" s="15" t="s">
        <v>37</v>
      </c>
      <c r="K115" s="15" t="s">
        <v>25</v>
      </c>
      <c r="L115" s="18"/>
      <c r="M115" s="23"/>
      <c r="N115" s="20" t="n">
        <v>0.43</v>
      </c>
      <c r="O115" s="24" t="s">
        <v>430</v>
      </c>
      <c r="P115" s="20" t="n">
        <v>7.5</v>
      </c>
      <c r="Q115" s="20" t="n">
        <v>652.9</v>
      </c>
    </row>
    <row r="116" customFormat="false" ht="15.75" hidden="true" customHeight="true" outlineLevel="0" collapsed="false">
      <c r="A116" s="11" t="s">
        <v>464</v>
      </c>
      <c r="B116" s="12" t="s">
        <v>465</v>
      </c>
      <c r="C116" s="13" t="s">
        <v>466</v>
      </c>
      <c r="D116" s="14" t="s">
        <v>96</v>
      </c>
      <c r="E116" s="15" t="s">
        <v>22</v>
      </c>
      <c r="F116" s="15" t="s">
        <v>35</v>
      </c>
      <c r="G116" s="14" t="s">
        <v>50</v>
      </c>
      <c r="H116" s="16"/>
      <c r="I116" s="17" t="s">
        <v>326</v>
      </c>
      <c r="J116" s="15" t="s">
        <v>37</v>
      </c>
      <c r="K116" s="15" t="s">
        <v>30</v>
      </c>
      <c r="L116" s="18" t="n">
        <v>46256</v>
      </c>
      <c r="M116" s="23" t="n">
        <v>46254</v>
      </c>
      <c r="N116" s="20" t="n">
        <v>0.87</v>
      </c>
      <c r="O116" s="24" t="s">
        <v>430</v>
      </c>
      <c r="P116" s="20" t="n">
        <v>23.17</v>
      </c>
      <c r="Q116" s="20" t="n">
        <v>601</v>
      </c>
    </row>
    <row r="117" customFormat="false" ht="15.75" hidden="true" customHeight="true" outlineLevel="0" collapsed="false">
      <c r="A117" s="11" t="s">
        <v>467</v>
      </c>
      <c r="B117" s="12" t="s">
        <v>468</v>
      </c>
      <c r="C117" s="13" t="s">
        <v>469</v>
      </c>
      <c r="D117" s="14" t="s">
        <v>96</v>
      </c>
      <c r="E117" s="15" t="s">
        <v>22</v>
      </c>
      <c r="F117" s="15" t="s">
        <v>35</v>
      </c>
      <c r="G117" s="14" t="s">
        <v>50</v>
      </c>
      <c r="H117" s="16"/>
      <c r="I117" s="17" t="s">
        <v>326</v>
      </c>
      <c r="J117" s="15" t="s">
        <v>37</v>
      </c>
      <c r="K117" s="15" t="s">
        <v>24</v>
      </c>
      <c r="L117" s="18" t="n">
        <v>46229</v>
      </c>
      <c r="M117" s="23" t="n">
        <v>46229</v>
      </c>
      <c r="N117" s="20" t="n">
        <v>0.87</v>
      </c>
      <c r="O117" s="24" t="s">
        <v>430</v>
      </c>
      <c r="P117" s="20" t="n">
        <v>11.5</v>
      </c>
      <c r="Q117" s="20" t="n">
        <v>3.87</v>
      </c>
    </row>
    <row r="118" customFormat="false" ht="15.75" hidden="true" customHeight="true" outlineLevel="0" collapsed="false">
      <c r="A118" s="11" t="s">
        <v>470</v>
      </c>
      <c r="B118" s="12" t="s">
        <v>471</v>
      </c>
      <c r="C118" s="13" t="s">
        <v>472</v>
      </c>
      <c r="D118" s="14" t="s">
        <v>96</v>
      </c>
      <c r="E118" s="15" t="s">
        <v>22</v>
      </c>
      <c r="F118" s="15" t="s">
        <v>35</v>
      </c>
      <c r="G118" s="14" t="s">
        <v>50</v>
      </c>
      <c r="H118" s="16"/>
      <c r="I118" s="17" t="s">
        <v>326</v>
      </c>
      <c r="J118" s="15" t="s">
        <v>37</v>
      </c>
      <c r="K118" s="15" t="s">
        <v>24</v>
      </c>
      <c r="L118" s="18" t="n">
        <v>46229</v>
      </c>
      <c r="M118" s="23" t="n">
        <v>46229</v>
      </c>
      <c r="N118" s="20" t="n">
        <v>0.87</v>
      </c>
      <c r="O118" s="24" t="s">
        <v>430</v>
      </c>
      <c r="P118" s="20" t="n">
        <v>7.5</v>
      </c>
      <c r="Q118" s="20" t="n">
        <v>4.58</v>
      </c>
    </row>
    <row r="119" customFormat="false" ht="15.75" hidden="true" customHeight="true" outlineLevel="0" collapsed="false">
      <c r="A119" s="11" t="s">
        <v>473</v>
      </c>
      <c r="B119" s="12" t="s">
        <v>474</v>
      </c>
      <c r="C119" s="13" t="s">
        <v>475</v>
      </c>
      <c r="D119" s="14" t="s">
        <v>96</v>
      </c>
      <c r="E119" s="15" t="s">
        <v>22</v>
      </c>
      <c r="F119" s="15" t="s">
        <v>35</v>
      </c>
      <c r="G119" s="14" t="s">
        <v>50</v>
      </c>
      <c r="H119" s="16"/>
      <c r="I119" s="17" t="s">
        <v>326</v>
      </c>
      <c r="J119" s="15" t="s">
        <v>37</v>
      </c>
      <c r="K119" s="15" t="s">
        <v>24</v>
      </c>
      <c r="L119" s="18" t="n">
        <v>46229</v>
      </c>
      <c r="M119" s="23" t="n">
        <v>46229</v>
      </c>
      <c r="N119" s="20" t="n">
        <v>0.43</v>
      </c>
      <c r="O119" s="24" t="s">
        <v>430</v>
      </c>
      <c r="P119" s="20" t="n">
        <v>8</v>
      </c>
      <c r="Q119" s="20" t="n">
        <v>5.37</v>
      </c>
    </row>
    <row r="120" customFormat="false" ht="15.75" hidden="false" customHeight="true" outlineLevel="0" collapsed="false">
      <c r="A120" s="11" t="s">
        <v>476</v>
      </c>
      <c r="B120" s="12" t="s">
        <v>477</v>
      </c>
      <c r="C120" s="13" t="s">
        <v>478</v>
      </c>
      <c r="D120" s="14" t="s">
        <v>96</v>
      </c>
      <c r="E120" s="15" t="s">
        <v>28</v>
      </c>
      <c r="F120" s="15" t="s">
        <v>35</v>
      </c>
      <c r="G120" s="14" t="s">
        <v>50</v>
      </c>
      <c r="H120" s="16" t="s">
        <v>51</v>
      </c>
      <c r="I120" s="17" t="s">
        <v>326</v>
      </c>
      <c r="J120" s="15" t="s">
        <v>37</v>
      </c>
      <c r="K120" s="15" t="s">
        <v>24</v>
      </c>
      <c r="L120" s="18"/>
      <c r="M120" s="23"/>
      <c r="N120" s="20" t="n">
        <v>0</v>
      </c>
      <c r="O120" s="24" t="s">
        <v>430</v>
      </c>
      <c r="P120" s="20" t="n">
        <v>28</v>
      </c>
      <c r="Q120" s="20" t="n">
        <v>557.2</v>
      </c>
    </row>
    <row r="121" customFormat="false" ht="15.75" hidden="true" customHeight="true" outlineLevel="0" collapsed="false">
      <c r="A121" s="11" t="s">
        <v>479</v>
      </c>
      <c r="B121" s="12" t="s">
        <v>480</v>
      </c>
      <c r="C121" s="13" t="s">
        <v>481</v>
      </c>
      <c r="D121" s="14" t="s">
        <v>96</v>
      </c>
      <c r="E121" s="15" t="s">
        <v>22</v>
      </c>
      <c r="F121" s="15" t="s">
        <v>35</v>
      </c>
      <c r="G121" s="14" t="s">
        <v>50</v>
      </c>
      <c r="H121" s="16" t="s">
        <v>51</v>
      </c>
      <c r="I121" s="17" t="s">
        <v>326</v>
      </c>
      <c r="J121" s="15" t="s">
        <v>37</v>
      </c>
      <c r="K121" s="15" t="s">
        <v>24</v>
      </c>
      <c r="L121" s="18" t="n">
        <v>46229</v>
      </c>
      <c r="M121" s="23" t="n">
        <v>46229</v>
      </c>
      <c r="N121" s="20" t="n">
        <v>0.43</v>
      </c>
      <c r="O121" s="24" t="s">
        <v>430</v>
      </c>
      <c r="P121" s="20" t="n">
        <v>16</v>
      </c>
      <c r="Q121" s="20" t="n">
        <v>47</v>
      </c>
    </row>
    <row r="122" customFormat="false" ht="30" hidden="true" customHeight="true" outlineLevel="0" collapsed="false">
      <c r="A122" s="11" t="s">
        <v>482</v>
      </c>
      <c r="B122" s="12" t="s">
        <v>483</v>
      </c>
      <c r="C122" s="13" t="s">
        <v>484</v>
      </c>
      <c r="D122" s="14" t="s">
        <v>96</v>
      </c>
      <c r="E122" s="15" t="s">
        <v>22</v>
      </c>
      <c r="F122" s="15" t="s">
        <v>35</v>
      </c>
      <c r="G122" s="14" t="s">
        <v>50</v>
      </c>
      <c r="H122" s="16"/>
      <c r="I122" s="17" t="s">
        <v>326</v>
      </c>
      <c r="J122" s="15" t="s">
        <v>37</v>
      </c>
      <c r="K122" s="15" t="s">
        <v>24</v>
      </c>
      <c r="L122" s="18" t="n">
        <v>46229</v>
      </c>
      <c r="M122" s="23" t="n">
        <v>46229</v>
      </c>
      <c r="N122" s="20" t="n">
        <v>3.68</v>
      </c>
      <c r="O122" s="24" t="s">
        <v>430</v>
      </c>
      <c r="P122" s="20" t="n">
        <v>12.5</v>
      </c>
      <c r="Q122" s="20" t="n">
        <v>47.5</v>
      </c>
    </row>
    <row r="123" customFormat="false" ht="15.75" hidden="true" customHeight="true" outlineLevel="0" collapsed="false">
      <c r="A123" s="11" t="s">
        <v>485</v>
      </c>
      <c r="B123" s="12" t="s">
        <v>486</v>
      </c>
      <c r="C123" s="13" t="s">
        <v>487</v>
      </c>
      <c r="D123" s="14" t="s">
        <v>96</v>
      </c>
      <c r="E123" s="15" t="s">
        <v>22</v>
      </c>
      <c r="F123" s="15" t="s">
        <v>35</v>
      </c>
      <c r="G123" s="14" t="s">
        <v>50</v>
      </c>
      <c r="H123" s="16" t="s">
        <v>51</v>
      </c>
      <c r="I123" s="17" t="s">
        <v>326</v>
      </c>
      <c r="J123" s="15" t="s">
        <v>37</v>
      </c>
      <c r="K123" s="15" t="s">
        <v>24</v>
      </c>
      <c r="L123" s="18" t="n">
        <v>46236</v>
      </c>
      <c r="M123" s="23" t="n">
        <v>46236</v>
      </c>
      <c r="N123" s="20" t="n">
        <v>0.87</v>
      </c>
      <c r="O123" s="24" t="s">
        <v>269</v>
      </c>
      <c r="P123" s="20" t="n">
        <v>16</v>
      </c>
      <c r="Q123" s="20" t="n">
        <v>4</v>
      </c>
    </row>
    <row r="124" customFormat="false" ht="15.75" hidden="false" customHeight="true" outlineLevel="0" collapsed="false">
      <c r="A124" s="11" t="s">
        <v>488</v>
      </c>
      <c r="B124" s="12" t="s">
        <v>489</v>
      </c>
      <c r="C124" s="13" t="s">
        <v>490</v>
      </c>
      <c r="D124" s="14" t="s">
        <v>96</v>
      </c>
      <c r="E124" s="15" t="s">
        <v>28</v>
      </c>
      <c r="F124" s="15" t="s">
        <v>35</v>
      </c>
      <c r="G124" s="14" t="s">
        <v>50</v>
      </c>
      <c r="H124" s="16" t="s">
        <v>51</v>
      </c>
      <c r="I124" s="17" t="s">
        <v>326</v>
      </c>
      <c r="J124" s="15" t="s">
        <v>37</v>
      </c>
      <c r="K124" s="15" t="s">
        <v>24</v>
      </c>
      <c r="L124" s="18"/>
      <c r="M124" s="23"/>
      <c r="N124" s="20" t="n">
        <v>1.02</v>
      </c>
      <c r="O124" s="24" t="s">
        <v>491</v>
      </c>
      <c r="P124" s="20"/>
      <c r="Q124" s="20" t="n">
        <v>54.4</v>
      </c>
    </row>
    <row r="125" customFormat="false" ht="15.75" hidden="false" customHeight="true" outlineLevel="0" collapsed="false">
      <c r="A125" s="11" t="s">
        <v>492</v>
      </c>
      <c r="B125" s="12" t="s">
        <v>493</v>
      </c>
      <c r="C125" s="13" t="s">
        <v>494</v>
      </c>
      <c r="D125" s="14" t="s">
        <v>96</v>
      </c>
      <c r="E125" s="15" t="s">
        <v>28</v>
      </c>
      <c r="F125" s="15" t="s">
        <v>35</v>
      </c>
      <c r="G125" s="14" t="s">
        <v>50</v>
      </c>
      <c r="H125" s="16" t="s">
        <v>51</v>
      </c>
      <c r="I125" s="17" t="s">
        <v>326</v>
      </c>
      <c r="J125" s="15" t="s">
        <v>37</v>
      </c>
      <c r="K125" s="15" t="s">
        <v>24</v>
      </c>
      <c r="L125" s="18"/>
      <c r="M125" s="23"/>
      <c r="N125" s="20" t="n">
        <v>0.77</v>
      </c>
      <c r="O125" s="24" t="s">
        <v>491</v>
      </c>
      <c r="P125" s="20"/>
      <c r="Q125" s="20" t="n">
        <v>54.9</v>
      </c>
    </row>
    <row r="126" customFormat="false" ht="15.75" hidden="false" customHeight="true" outlineLevel="0" collapsed="false">
      <c r="A126" s="11" t="s">
        <v>495</v>
      </c>
      <c r="B126" s="12" t="s">
        <v>496</v>
      </c>
      <c r="C126" s="13" t="s">
        <v>497</v>
      </c>
      <c r="D126" s="14" t="s">
        <v>96</v>
      </c>
      <c r="E126" s="15" t="s">
        <v>28</v>
      </c>
      <c r="F126" s="15" t="s">
        <v>35</v>
      </c>
      <c r="G126" s="14" t="s">
        <v>157</v>
      </c>
      <c r="H126" s="16" t="s">
        <v>51</v>
      </c>
      <c r="I126" s="17" t="s">
        <v>498</v>
      </c>
      <c r="J126" s="15" t="s">
        <v>37</v>
      </c>
      <c r="K126" s="15" t="s">
        <v>25</v>
      </c>
      <c r="L126" s="18"/>
      <c r="M126" s="23"/>
      <c r="N126" s="20" t="n">
        <v>1.02</v>
      </c>
      <c r="O126" s="24" t="s">
        <v>491</v>
      </c>
      <c r="P126" s="20"/>
      <c r="Q126" s="20" t="n">
        <v>155.4</v>
      </c>
    </row>
    <row r="127" customFormat="false" ht="15.75" hidden="true" customHeight="true" outlineLevel="0" collapsed="false">
      <c r="A127" s="11" t="s">
        <v>499</v>
      </c>
      <c r="B127" s="12" t="s">
        <v>500</v>
      </c>
      <c r="C127" s="13" t="s">
        <v>501</v>
      </c>
      <c r="D127" s="14" t="s">
        <v>96</v>
      </c>
      <c r="E127" s="15" t="s">
        <v>22</v>
      </c>
      <c r="F127" s="15" t="s">
        <v>35</v>
      </c>
      <c r="G127" s="14" t="s">
        <v>24</v>
      </c>
      <c r="H127" s="16"/>
      <c r="I127" s="17" t="s">
        <v>326</v>
      </c>
      <c r="J127" s="15" t="s">
        <v>37</v>
      </c>
      <c r="K127" s="15" t="s">
        <v>24</v>
      </c>
      <c r="L127" s="18" t="n">
        <v>46256</v>
      </c>
      <c r="M127" s="23" t="n">
        <v>46254</v>
      </c>
      <c r="N127" s="20" t="n">
        <v>3.52</v>
      </c>
      <c r="O127" s="24" t="s">
        <v>491</v>
      </c>
      <c r="P127" s="20" t="n">
        <v>7.4</v>
      </c>
      <c r="Q127" s="20" t="n">
        <v>3.25</v>
      </c>
    </row>
    <row r="128" customFormat="false" ht="15.75" hidden="true" customHeight="true" outlineLevel="0" collapsed="false">
      <c r="A128" s="11" t="s">
        <v>502</v>
      </c>
      <c r="B128" s="12" t="s">
        <v>503</v>
      </c>
      <c r="C128" s="13" t="s">
        <v>504</v>
      </c>
      <c r="D128" s="14" t="s">
        <v>49</v>
      </c>
      <c r="E128" s="15" t="s">
        <v>22</v>
      </c>
      <c r="F128" s="15" t="s">
        <v>35</v>
      </c>
      <c r="G128" s="14" t="s">
        <v>24</v>
      </c>
      <c r="H128" s="16"/>
      <c r="I128" s="17" t="s">
        <v>326</v>
      </c>
      <c r="J128" s="15" t="s">
        <v>37</v>
      </c>
      <c r="K128" s="15" t="s">
        <v>25</v>
      </c>
      <c r="L128" s="18" t="n">
        <v>46224</v>
      </c>
      <c r="M128" s="23" t="n">
        <v>46224</v>
      </c>
      <c r="N128" s="20" t="n">
        <v>0.55</v>
      </c>
      <c r="O128" s="24" t="s">
        <v>265</v>
      </c>
      <c r="P128" s="20" t="n">
        <v>7.75</v>
      </c>
      <c r="Q128" s="20" t="n">
        <v>3.87</v>
      </c>
    </row>
    <row r="129" customFormat="false" ht="15.75" hidden="true" customHeight="true" outlineLevel="0" collapsed="false">
      <c r="A129" s="11" t="s">
        <v>505</v>
      </c>
      <c r="B129" s="12" t="s">
        <v>506</v>
      </c>
      <c r="C129" s="13" t="s">
        <v>507</v>
      </c>
      <c r="D129" s="14" t="s">
        <v>49</v>
      </c>
      <c r="E129" s="15" t="s">
        <v>22</v>
      </c>
      <c r="F129" s="15" t="s">
        <v>35</v>
      </c>
      <c r="G129" s="14" t="s">
        <v>208</v>
      </c>
      <c r="H129" s="16"/>
      <c r="I129" s="17" t="s">
        <v>508</v>
      </c>
      <c r="J129" s="15" t="s">
        <v>37</v>
      </c>
      <c r="K129" s="15" t="s">
        <v>25</v>
      </c>
      <c r="L129" s="18" t="n">
        <v>46225</v>
      </c>
      <c r="M129" s="23" t="n">
        <v>46225</v>
      </c>
      <c r="N129" s="20" t="n">
        <v>0.32</v>
      </c>
      <c r="O129" s="24" t="s">
        <v>265</v>
      </c>
      <c r="P129" s="20" t="n">
        <v>4.75</v>
      </c>
      <c r="Q129" s="20" t="n">
        <v>3</v>
      </c>
    </row>
    <row r="130" customFormat="false" ht="15.75" hidden="true" customHeight="true" outlineLevel="0" collapsed="false">
      <c r="A130" s="11" t="s">
        <v>509</v>
      </c>
      <c r="B130" s="12" t="s">
        <v>510</v>
      </c>
      <c r="C130" s="13" t="s">
        <v>511</v>
      </c>
      <c r="D130" s="14" t="s">
        <v>49</v>
      </c>
      <c r="E130" s="15" t="s">
        <v>22</v>
      </c>
      <c r="F130" s="15" t="s">
        <v>35</v>
      </c>
      <c r="G130" s="14" t="s">
        <v>208</v>
      </c>
      <c r="H130" s="16"/>
      <c r="I130" s="17" t="s">
        <v>508</v>
      </c>
      <c r="J130" s="15" t="s">
        <v>37</v>
      </c>
      <c r="K130" s="15" t="s">
        <v>25</v>
      </c>
      <c r="L130" s="18" t="n">
        <v>46229</v>
      </c>
      <c r="M130" s="23" t="n">
        <v>46229</v>
      </c>
      <c r="N130" s="20" t="n">
        <v>0.43</v>
      </c>
      <c r="O130" s="24" t="s">
        <v>265</v>
      </c>
      <c r="P130" s="20" t="n">
        <v>4</v>
      </c>
      <c r="Q130" s="20" t="n">
        <v>2</v>
      </c>
    </row>
    <row r="131" customFormat="false" ht="15.75" hidden="true" customHeight="true" outlineLevel="0" collapsed="false">
      <c r="A131" s="11" t="s">
        <v>512</v>
      </c>
      <c r="B131" s="12" t="s">
        <v>513</v>
      </c>
      <c r="C131" s="13" t="s">
        <v>514</v>
      </c>
      <c r="D131" s="14" t="s">
        <v>49</v>
      </c>
      <c r="E131" s="15" t="s">
        <v>22</v>
      </c>
      <c r="F131" s="15" t="s">
        <v>35</v>
      </c>
      <c r="G131" s="14" t="s">
        <v>208</v>
      </c>
      <c r="H131" s="16"/>
      <c r="I131" s="17" t="s">
        <v>508</v>
      </c>
      <c r="J131" s="15" t="s">
        <v>37</v>
      </c>
      <c r="K131" s="15" t="s">
        <v>25</v>
      </c>
      <c r="L131" s="18" t="n">
        <v>46225</v>
      </c>
      <c r="M131" s="23" t="n">
        <v>46225</v>
      </c>
      <c r="N131" s="20" t="n">
        <v>0.12</v>
      </c>
      <c r="O131" s="24" t="s">
        <v>265</v>
      </c>
      <c r="P131" s="20" t="n">
        <v>4.5</v>
      </c>
      <c r="Q131" s="20" t="n">
        <v>3.1</v>
      </c>
    </row>
    <row r="132" customFormat="false" ht="15.75" hidden="true" customHeight="true" outlineLevel="0" collapsed="false">
      <c r="A132" s="11" t="s">
        <v>515</v>
      </c>
      <c r="B132" s="12" t="s">
        <v>516</v>
      </c>
      <c r="C132" s="13" t="s">
        <v>517</v>
      </c>
      <c r="D132" s="14" t="s">
        <v>49</v>
      </c>
      <c r="E132" s="15" t="s">
        <v>22</v>
      </c>
      <c r="F132" s="15" t="s">
        <v>35</v>
      </c>
      <c r="G132" s="14" t="s">
        <v>208</v>
      </c>
      <c r="H132" s="16"/>
      <c r="I132" s="17" t="s">
        <v>508</v>
      </c>
      <c r="J132" s="15" t="s">
        <v>37</v>
      </c>
      <c r="K132" s="15" t="s">
        <v>25</v>
      </c>
      <c r="L132" s="18" t="n">
        <v>46229</v>
      </c>
      <c r="M132" s="23" t="n">
        <v>46229</v>
      </c>
      <c r="N132" s="20" t="n">
        <v>0.1</v>
      </c>
      <c r="O132" s="24" t="s">
        <v>265</v>
      </c>
      <c r="P132" s="20" t="n">
        <v>4</v>
      </c>
      <c r="Q132" s="20" t="n">
        <v>2</v>
      </c>
    </row>
    <row r="133" customFormat="false" ht="15.75" hidden="true" customHeight="true" outlineLevel="0" collapsed="false">
      <c r="A133" s="11" t="s">
        <v>518</v>
      </c>
      <c r="B133" s="12" t="s">
        <v>519</v>
      </c>
      <c r="C133" s="13" t="s">
        <v>520</v>
      </c>
      <c r="D133" s="14" t="s">
        <v>96</v>
      </c>
      <c r="E133" s="15" t="s">
        <v>22</v>
      </c>
      <c r="F133" s="15" t="s">
        <v>35</v>
      </c>
      <c r="G133" s="14" t="s">
        <v>208</v>
      </c>
      <c r="H133" s="16"/>
      <c r="I133" s="17" t="s">
        <v>208</v>
      </c>
      <c r="J133" s="15" t="s">
        <v>37</v>
      </c>
      <c r="K133" s="15" t="s">
        <v>24</v>
      </c>
      <c r="L133" s="18" t="n">
        <v>46229</v>
      </c>
      <c r="M133" s="23" t="n">
        <v>46229</v>
      </c>
      <c r="N133" s="20" t="n">
        <v>0.1</v>
      </c>
      <c r="O133" s="24" t="s">
        <v>521</v>
      </c>
      <c r="P133" s="20" t="n">
        <v>6</v>
      </c>
      <c r="Q133" s="20" t="n">
        <v>3.02</v>
      </c>
    </row>
    <row r="134" customFormat="false" ht="15.75" hidden="true" customHeight="true" outlineLevel="0" collapsed="false">
      <c r="A134" s="11" t="s">
        <v>522</v>
      </c>
      <c r="B134" s="12" t="s">
        <v>523</v>
      </c>
      <c r="C134" s="13" t="s">
        <v>524</v>
      </c>
      <c r="D134" s="14" t="s">
        <v>96</v>
      </c>
      <c r="E134" s="15" t="s">
        <v>22</v>
      </c>
      <c r="F134" s="15" t="s">
        <v>35</v>
      </c>
      <c r="G134" s="14" t="s">
        <v>208</v>
      </c>
      <c r="H134" s="16"/>
      <c r="I134" s="17" t="s">
        <v>508</v>
      </c>
      <c r="J134" s="15" t="s">
        <v>37</v>
      </c>
      <c r="K134" s="15" t="s">
        <v>24</v>
      </c>
      <c r="L134" s="18" t="n">
        <v>46252</v>
      </c>
      <c r="M134" s="23" t="n">
        <v>46239</v>
      </c>
      <c r="N134" s="20" t="n">
        <v>0.22</v>
      </c>
      <c r="O134" s="24" t="s">
        <v>525</v>
      </c>
      <c r="P134" s="20" t="n">
        <v>6</v>
      </c>
      <c r="Q134" s="20" t="n">
        <v>1</v>
      </c>
    </row>
    <row r="135" customFormat="false" ht="30" hidden="true" customHeight="true" outlineLevel="0" collapsed="false">
      <c r="A135" s="11" t="s">
        <v>526</v>
      </c>
      <c r="B135" s="12" t="s">
        <v>527</v>
      </c>
      <c r="C135" s="13" t="s">
        <v>528</v>
      </c>
      <c r="D135" s="14" t="s">
        <v>96</v>
      </c>
      <c r="E135" s="15" t="s">
        <v>22</v>
      </c>
      <c r="F135" s="15" t="s">
        <v>35</v>
      </c>
      <c r="G135" s="14" t="s">
        <v>208</v>
      </c>
      <c r="H135" s="16"/>
      <c r="I135" s="17" t="s">
        <v>508</v>
      </c>
      <c r="J135" s="15" t="s">
        <v>37</v>
      </c>
      <c r="K135" s="15" t="s">
        <v>24</v>
      </c>
      <c r="L135" s="18" t="n">
        <v>46226</v>
      </c>
      <c r="M135" s="23" t="n">
        <v>46226</v>
      </c>
      <c r="N135" s="20" t="n">
        <v>0.22</v>
      </c>
      <c r="O135" s="24" t="s">
        <v>525</v>
      </c>
      <c r="P135" s="20" t="n">
        <v>10</v>
      </c>
      <c r="Q135" s="20" t="n">
        <v>4.23</v>
      </c>
    </row>
    <row r="136" customFormat="false" ht="45" hidden="true" customHeight="true" outlineLevel="0" collapsed="false">
      <c r="A136" s="11" t="s">
        <v>529</v>
      </c>
      <c r="B136" s="12" t="s">
        <v>530</v>
      </c>
      <c r="C136" s="13" t="s">
        <v>531</v>
      </c>
      <c r="D136" s="14" t="s">
        <v>96</v>
      </c>
      <c r="E136" s="15" t="s">
        <v>22</v>
      </c>
      <c r="F136" s="15" t="s">
        <v>35</v>
      </c>
      <c r="G136" s="14" t="s">
        <v>24</v>
      </c>
      <c r="H136" s="16" t="s">
        <v>51</v>
      </c>
      <c r="I136" s="17" t="s">
        <v>36</v>
      </c>
      <c r="J136" s="15" t="s">
        <v>37</v>
      </c>
      <c r="K136" s="15" t="s">
        <v>24</v>
      </c>
      <c r="L136" s="18" t="n">
        <v>46233</v>
      </c>
      <c r="M136" s="23" t="n">
        <v>46233</v>
      </c>
      <c r="N136" s="20" t="n">
        <v>0.92</v>
      </c>
      <c r="O136" s="24" t="s">
        <v>97</v>
      </c>
      <c r="P136" s="20" t="n">
        <v>2</v>
      </c>
      <c r="Q136" s="20" t="n">
        <v>72.2</v>
      </c>
    </row>
    <row r="137" customFormat="false" ht="30" hidden="true" customHeight="true" outlineLevel="0" collapsed="false">
      <c r="A137" s="11" t="s">
        <v>532</v>
      </c>
      <c r="B137" s="12" t="s">
        <v>533</v>
      </c>
      <c r="C137" s="13" t="s">
        <v>534</v>
      </c>
      <c r="D137" s="14" t="s">
        <v>49</v>
      </c>
      <c r="E137" s="15" t="s">
        <v>22</v>
      </c>
      <c r="F137" s="15" t="s">
        <v>35</v>
      </c>
      <c r="G137" s="14" t="s">
        <v>157</v>
      </c>
      <c r="H137" s="16"/>
      <c r="I137" s="17" t="s">
        <v>498</v>
      </c>
      <c r="J137" s="15" t="s">
        <v>37</v>
      </c>
      <c r="K137" s="15" t="s">
        <v>25</v>
      </c>
      <c r="L137" s="18" t="n">
        <v>46229</v>
      </c>
      <c r="M137" s="23" t="n">
        <v>46229</v>
      </c>
      <c r="N137" s="20" t="n">
        <v>0.42</v>
      </c>
      <c r="O137" s="24" t="s">
        <v>97</v>
      </c>
      <c r="P137" s="20" t="n">
        <v>2.25</v>
      </c>
      <c r="Q137" s="20" t="n">
        <v>7.25</v>
      </c>
    </row>
    <row r="138" customFormat="false" ht="30" hidden="true" customHeight="true" outlineLevel="0" collapsed="false">
      <c r="A138" s="11" t="s">
        <v>535</v>
      </c>
      <c r="B138" s="12" t="s">
        <v>536</v>
      </c>
      <c r="C138" s="13" t="s">
        <v>537</v>
      </c>
      <c r="D138" s="14" t="s">
        <v>49</v>
      </c>
      <c r="E138" s="15" t="s">
        <v>22</v>
      </c>
      <c r="F138" s="15" t="s">
        <v>35</v>
      </c>
      <c r="G138" s="14" t="s">
        <v>157</v>
      </c>
      <c r="H138" s="16" t="s">
        <v>51</v>
      </c>
      <c r="I138" s="17" t="s">
        <v>498</v>
      </c>
      <c r="J138" s="15" t="s">
        <v>37</v>
      </c>
      <c r="K138" s="15" t="s">
        <v>25</v>
      </c>
      <c r="L138" s="18" t="n">
        <v>46233</v>
      </c>
      <c r="M138" s="23" t="n">
        <v>46233</v>
      </c>
      <c r="N138" s="20" t="n">
        <v>2.33</v>
      </c>
      <c r="O138" s="24" t="s">
        <v>97</v>
      </c>
      <c r="P138" s="20" t="n">
        <v>12.03</v>
      </c>
      <c r="Q138" s="20" t="n">
        <v>26.2</v>
      </c>
    </row>
    <row r="139" customFormat="false" ht="30" hidden="true" customHeight="true" outlineLevel="0" collapsed="false">
      <c r="A139" s="11" t="s">
        <v>538</v>
      </c>
      <c r="B139" s="12" t="s">
        <v>539</v>
      </c>
      <c r="C139" s="13" t="s">
        <v>540</v>
      </c>
      <c r="D139" s="14" t="s">
        <v>49</v>
      </c>
      <c r="E139" s="15" t="s">
        <v>22</v>
      </c>
      <c r="F139" s="15" t="s">
        <v>35</v>
      </c>
      <c r="G139" s="14" t="s">
        <v>50</v>
      </c>
      <c r="H139" s="16" t="s">
        <v>51</v>
      </c>
      <c r="I139" s="17" t="s">
        <v>326</v>
      </c>
      <c r="J139" s="15" t="s">
        <v>37</v>
      </c>
      <c r="K139" s="15" t="s">
        <v>25</v>
      </c>
      <c r="L139" s="18" t="n">
        <v>46243</v>
      </c>
      <c r="M139" s="23" t="n">
        <v>46243</v>
      </c>
      <c r="N139" s="20" t="n">
        <v>2.33</v>
      </c>
      <c r="O139" s="24" t="s">
        <v>97</v>
      </c>
      <c r="P139" s="20" t="n">
        <v>3</v>
      </c>
      <c r="Q139" s="20" t="n">
        <v>2</v>
      </c>
    </row>
    <row r="140" customFormat="false" ht="15.75" hidden="true" customHeight="true" outlineLevel="0" collapsed="false">
      <c r="A140" s="11" t="s">
        <v>541</v>
      </c>
      <c r="B140" s="12" t="s">
        <v>542</v>
      </c>
      <c r="C140" s="13" t="s">
        <v>543</v>
      </c>
      <c r="D140" s="14" t="s">
        <v>49</v>
      </c>
      <c r="E140" s="15" t="s">
        <v>22</v>
      </c>
      <c r="F140" s="15" t="s">
        <v>35</v>
      </c>
      <c r="G140" s="14" t="s">
        <v>50</v>
      </c>
      <c r="H140" s="16"/>
      <c r="I140" s="17" t="s">
        <v>544</v>
      </c>
      <c r="J140" s="15" t="s">
        <v>37</v>
      </c>
      <c r="K140" s="15" t="s">
        <v>25</v>
      </c>
      <c r="L140" s="18" t="n">
        <v>46240</v>
      </c>
      <c r="M140" s="23" t="n">
        <v>46240</v>
      </c>
      <c r="N140" s="20" t="n">
        <v>0.43</v>
      </c>
      <c r="O140" s="24" t="s">
        <v>269</v>
      </c>
      <c r="P140" s="20" t="n">
        <v>1</v>
      </c>
      <c r="Q140" s="20" t="n">
        <v>1</v>
      </c>
    </row>
    <row r="141" customFormat="false" ht="30" hidden="false" customHeight="true" outlineLevel="0" collapsed="false">
      <c r="A141" s="11" t="s">
        <v>545</v>
      </c>
      <c r="B141" s="12" t="s">
        <v>546</v>
      </c>
      <c r="C141" s="13" t="s">
        <v>547</v>
      </c>
      <c r="D141" s="14" t="s">
        <v>21</v>
      </c>
      <c r="E141" s="15" t="s">
        <v>28</v>
      </c>
      <c r="F141" s="15" t="s">
        <v>35</v>
      </c>
      <c r="G141" s="14" t="s">
        <v>50</v>
      </c>
      <c r="H141" s="16" t="s">
        <v>51</v>
      </c>
      <c r="I141" s="17" t="s">
        <v>50</v>
      </c>
      <c r="J141" s="15" t="s">
        <v>37</v>
      </c>
      <c r="K141" s="15" t="s">
        <v>24</v>
      </c>
      <c r="L141" s="18"/>
      <c r="M141" s="23"/>
      <c r="N141" s="20" t="n">
        <v>10</v>
      </c>
      <c r="O141" s="24" t="s">
        <v>548</v>
      </c>
      <c r="P141" s="20"/>
      <c r="Q141" s="20" t="n">
        <v>0</v>
      </c>
    </row>
    <row r="142" customFormat="false" ht="15.75" hidden="true" customHeight="true" outlineLevel="0" collapsed="false">
      <c r="A142" s="11" t="s">
        <v>549</v>
      </c>
      <c r="B142" s="12" t="s">
        <v>550</v>
      </c>
      <c r="C142" s="13" t="s">
        <v>551</v>
      </c>
      <c r="D142" s="14" t="s">
        <v>96</v>
      </c>
      <c r="E142" s="15" t="s">
        <v>22</v>
      </c>
      <c r="F142" s="15" t="s">
        <v>35</v>
      </c>
      <c r="G142" s="14" t="s">
        <v>50</v>
      </c>
      <c r="H142" s="16" t="s">
        <v>51</v>
      </c>
      <c r="I142" s="17" t="s">
        <v>50</v>
      </c>
      <c r="J142" s="15" t="s">
        <v>37</v>
      </c>
      <c r="K142" s="15" t="s">
        <v>24</v>
      </c>
      <c r="L142" s="18" t="n">
        <v>46236</v>
      </c>
      <c r="M142" s="23" t="n">
        <v>46236</v>
      </c>
      <c r="N142" s="20" t="n">
        <v>0.87</v>
      </c>
      <c r="O142" s="24" t="s">
        <v>269</v>
      </c>
      <c r="P142" s="20" t="n">
        <v>6</v>
      </c>
      <c r="Q142" s="20" t="n">
        <v>2.02</v>
      </c>
    </row>
    <row r="143" customFormat="false" ht="15.75" hidden="true" customHeight="true" outlineLevel="0" collapsed="false">
      <c r="A143" s="11" t="s">
        <v>552</v>
      </c>
      <c r="B143" s="12" t="s">
        <v>553</v>
      </c>
      <c r="C143" s="13" t="s">
        <v>554</v>
      </c>
      <c r="D143" s="14" t="s">
        <v>96</v>
      </c>
      <c r="E143" s="15" t="s">
        <v>22</v>
      </c>
      <c r="F143" s="15" t="s">
        <v>35</v>
      </c>
      <c r="G143" s="14" t="s">
        <v>50</v>
      </c>
      <c r="H143" s="16" t="s">
        <v>51</v>
      </c>
      <c r="I143" s="17" t="s">
        <v>50</v>
      </c>
      <c r="J143" s="15" t="s">
        <v>37</v>
      </c>
      <c r="K143" s="15" t="s">
        <v>24</v>
      </c>
      <c r="L143" s="18" t="n">
        <v>46236</v>
      </c>
      <c r="M143" s="23" t="n">
        <v>46236</v>
      </c>
      <c r="N143" s="20" t="n">
        <v>0.87</v>
      </c>
      <c r="O143" s="24" t="s">
        <v>269</v>
      </c>
      <c r="P143" s="20" t="n">
        <v>6</v>
      </c>
      <c r="Q143" s="20" t="n">
        <v>2</v>
      </c>
    </row>
    <row r="144" customFormat="false" ht="15.75" hidden="true" customHeight="true" outlineLevel="0" collapsed="false">
      <c r="A144" s="11" t="s">
        <v>555</v>
      </c>
      <c r="B144" s="12" t="s">
        <v>556</v>
      </c>
      <c r="C144" s="13" t="s">
        <v>557</v>
      </c>
      <c r="D144" s="14" t="s">
        <v>96</v>
      </c>
      <c r="E144" s="15" t="s">
        <v>22</v>
      </c>
      <c r="F144" s="15" t="s">
        <v>35</v>
      </c>
      <c r="G144" s="14" t="s">
        <v>50</v>
      </c>
      <c r="H144" s="16"/>
      <c r="I144" s="17" t="s">
        <v>83</v>
      </c>
      <c r="J144" s="15" t="s">
        <v>37</v>
      </c>
      <c r="K144" s="15" t="s">
        <v>30</v>
      </c>
      <c r="L144" s="18" t="n">
        <v>46223</v>
      </c>
      <c r="M144" s="23" t="n">
        <v>46223</v>
      </c>
      <c r="N144" s="20" t="n">
        <v>0.22</v>
      </c>
      <c r="O144" s="24" t="s">
        <v>158</v>
      </c>
      <c r="P144" s="20" t="n">
        <v>1</v>
      </c>
      <c r="Q144" s="20" t="n">
        <v>1</v>
      </c>
    </row>
    <row r="145" customFormat="false" ht="15.75" hidden="true" customHeight="true" outlineLevel="0" collapsed="false">
      <c r="A145" s="11" t="s">
        <v>558</v>
      </c>
      <c r="B145" s="12" t="s">
        <v>559</v>
      </c>
      <c r="C145" s="13" t="s">
        <v>560</v>
      </c>
      <c r="D145" s="14" t="s">
        <v>96</v>
      </c>
      <c r="E145" s="15" t="s">
        <v>22</v>
      </c>
      <c r="F145" s="15" t="s">
        <v>35</v>
      </c>
      <c r="G145" s="14" t="s">
        <v>50</v>
      </c>
      <c r="H145" s="16"/>
      <c r="I145" s="17" t="s">
        <v>50</v>
      </c>
      <c r="J145" s="15" t="s">
        <v>37</v>
      </c>
      <c r="K145" s="15" t="s">
        <v>24</v>
      </c>
      <c r="L145" s="18" t="n">
        <v>46230</v>
      </c>
      <c r="M145" s="23" t="n">
        <v>46230</v>
      </c>
      <c r="N145" s="20" t="n">
        <v>2.5</v>
      </c>
      <c r="O145" s="24" t="s">
        <v>430</v>
      </c>
      <c r="P145" s="20" t="n">
        <v>2.5</v>
      </c>
      <c r="Q145" s="20" t="n">
        <v>0.52</v>
      </c>
    </row>
    <row r="146" customFormat="false" ht="15.75" hidden="false" customHeight="true" outlineLevel="0" collapsed="false">
      <c r="A146" s="11" t="s">
        <v>561</v>
      </c>
      <c r="B146" s="12" t="s">
        <v>562</v>
      </c>
      <c r="C146" s="13" t="s">
        <v>563</v>
      </c>
      <c r="D146" s="14" t="s">
        <v>96</v>
      </c>
      <c r="E146" s="15" t="s">
        <v>28</v>
      </c>
      <c r="F146" s="15" t="s">
        <v>35</v>
      </c>
      <c r="G146" s="14" t="s">
        <v>24</v>
      </c>
      <c r="H146" s="16" t="s">
        <v>51</v>
      </c>
      <c r="I146" s="17" t="s">
        <v>326</v>
      </c>
      <c r="J146" s="15" t="s">
        <v>37</v>
      </c>
      <c r="K146" s="15" t="s">
        <v>25</v>
      </c>
      <c r="L146" s="18"/>
      <c r="M146" s="23"/>
      <c r="N146" s="20" t="n">
        <v>1.35</v>
      </c>
      <c r="O146" s="24" t="s">
        <v>242</v>
      </c>
      <c r="P146" s="20" t="n">
        <v>34.5</v>
      </c>
      <c r="Q146" s="20" t="n">
        <v>649.1</v>
      </c>
    </row>
    <row r="147" customFormat="false" ht="15.75" hidden="true" customHeight="true" outlineLevel="0" collapsed="false">
      <c r="A147" s="11" t="s">
        <v>564</v>
      </c>
      <c r="B147" s="12" t="s">
        <v>565</v>
      </c>
      <c r="C147" s="13" t="s">
        <v>566</v>
      </c>
      <c r="D147" s="14" t="s">
        <v>96</v>
      </c>
      <c r="E147" s="15" t="s">
        <v>22</v>
      </c>
      <c r="F147" s="15" t="s">
        <v>35</v>
      </c>
      <c r="G147" s="14" t="s">
        <v>24</v>
      </c>
      <c r="H147" s="16" t="s">
        <v>51</v>
      </c>
      <c r="I147" s="17" t="s">
        <v>326</v>
      </c>
      <c r="J147" s="15" t="s">
        <v>37</v>
      </c>
      <c r="K147" s="15" t="s">
        <v>30</v>
      </c>
      <c r="L147" s="18" t="n">
        <v>46256</v>
      </c>
      <c r="M147" s="23" t="n">
        <v>46254</v>
      </c>
      <c r="N147" s="20" t="n">
        <v>3.52</v>
      </c>
      <c r="O147" s="24" t="s">
        <v>567</v>
      </c>
      <c r="P147" s="20" t="n">
        <v>22.5</v>
      </c>
      <c r="Q147" s="20" t="n">
        <v>552.4</v>
      </c>
    </row>
    <row r="148" customFormat="false" ht="15.75" hidden="false" customHeight="true" outlineLevel="0" collapsed="false">
      <c r="A148" s="11" t="s">
        <v>568</v>
      </c>
      <c r="B148" s="12" t="s">
        <v>569</v>
      </c>
      <c r="C148" s="13" t="s">
        <v>570</v>
      </c>
      <c r="D148" s="14" t="s">
        <v>96</v>
      </c>
      <c r="E148" s="15" t="s">
        <v>28</v>
      </c>
      <c r="F148" s="15" t="s">
        <v>35</v>
      </c>
      <c r="G148" s="14" t="s">
        <v>157</v>
      </c>
      <c r="H148" s="16" t="s">
        <v>51</v>
      </c>
      <c r="I148" s="17" t="s">
        <v>498</v>
      </c>
      <c r="J148" s="15" t="s">
        <v>37</v>
      </c>
      <c r="K148" s="15" t="s">
        <v>24</v>
      </c>
      <c r="L148" s="18"/>
      <c r="M148" s="23"/>
      <c r="N148" s="20" t="n">
        <v>3.5</v>
      </c>
      <c r="O148" s="24" t="s">
        <v>491</v>
      </c>
      <c r="P148" s="20" t="n">
        <v>9.8</v>
      </c>
      <c r="Q148" s="20" t="n">
        <v>453.6</v>
      </c>
    </row>
    <row r="149" customFormat="false" ht="15.75" hidden="true" customHeight="true" outlineLevel="0" collapsed="false">
      <c r="A149" s="11" t="s">
        <v>571</v>
      </c>
      <c r="B149" s="12" t="s">
        <v>572</v>
      </c>
      <c r="C149" s="13" t="s">
        <v>573</v>
      </c>
      <c r="D149" s="14" t="s">
        <v>96</v>
      </c>
      <c r="E149" s="15" t="s">
        <v>22</v>
      </c>
      <c r="F149" s="15" t="s">
        <v>35</v>
      </c>
      <c r="G149" s="14" t="s">
        <v>24</v>
      </c>
      <c r="H149" s="16" t="s">
        <v>51</v>
      </c>
      <c r="I149" s="17" t="s">
        <v>36</v>
      </c>
      <c r="J149" s="15" t="s">
        <v>37</v>
      </c>
      <c r="K149" s="15" t="s">
        <v>25</v>
      </c>
      <c r="L149" s="18" t="n">
        <v>46236</v>
      </c>
      <c r="M149" s="23" t="n">
        <v>46236</v>
      </c>
      <c r="N149" s="20" t="n">
        <v>6.3</v>
      </c>
      <c r="O149" s="24" t="s">
        <v>97</v>
      </c>
      <c r="P149" s="20" t="n">
        <v>14.5</v>
      </c>
      <c r="Q149" s="20" t="n">
        <v>68.9</v>
      </c>
    </row>
    <row r="150" customFormat="false" ht="15.75" hidden="true" customHeight="true" outlineLevel="0" collapsed="false">
      <c r="A150" s="11" t="s">
        <v>574</v>
      </c>
      <c r="B150" s="12" t="s">
        <v>575</v>
      </c>
      <c r="C150" s="13" t="s">
        <v>576</v>
      </c>
      <c r="D150" s="14" t="s">
        <v>21</v>
      </c>
      <c r="E150" s="15" t="s">
        <v>22</v>
      </c>
      <c r="F150" s="15" t="s">
        <v>35</v>
      </c>
      <c r="G150" s="14" t="s">
        <v>157</v>
      </c>
      <c r="H150" s="16"/>
      <c r="I150" s="17" t="s">
        <v>498</v>
      </c>
      <c r="J150" s="15" t="s">
        <v>37</v>
      </c>
      <c r="K150" s="15" t="s">
        <v>25</v>
      </c>
      <c r="L150" s="18" t="n">
        <v>46233</v>
      </c>
      <c r="M150" s="23" t="n">
        <v>46233</v>
      </c>
      <c r="N150" s="20" t="n">
        <v>2.1</v>
      </c>
      <c r="O150" s="24" t="s">
        <v>104</v>
      </c>
      <c r="P150" s="20" t="n">
        <v>6.17</v>
      </c>
      <c r="Q150" s="20" t="n">
        <v>20.72</v>
      </c>
    </row>
    <row r="151" customFormat="false" ht="47.25" hidden="true" customHeight="true" outlineLevel="0" collapsed="false">
      <c r="A151" s="11" t="s">
        <v>577</v>
      </c>
      <c r="B151" s="12" t="s">
        <v>578</v>
      </c>
      <c r="C151" s="13" t="s">
        <v>579</v>
      </c>
      <c r="D151" s="14" t="s">
        <v>21</v>
      </c>
      <c r="E151" s="15" t="s">
        <v>28</v>
      </c>
      <c r="F151" s="15" t="s">
        <v>23</v>
      </c>
      <c r="G151" s="14" t="s">
        <v>24</v>
      </c>
      <c r="H151" s="16" t="s">
        <v>51</v>
      </c>
      <c r="I151" s="17" t="s">
        <v>580</v>
      </c>
      <c r="J151" s="15" t="s">
        <v>37</v>
      </c>
      <c r="K151" s="15" t="s">
        <v>30</v>
      </c>
      <c r="L151" s="18"/>
      <c r="M151" s="23"/>
      <c r="N151" s="20" t="n">
        <v>9.47</v>
      </c>
      <c r="O151" s="24" t="s">
        <v>121</v>
      </c>
      <c r="P151" s="20" t="n">
        <v>8.5</v>
      </c>
      <c r="Q151" s="20" t="n">
        <v>464.1</v>
      </c>
    </row>
    <row r="152" customFormat="false" ht="47.25" hidden="true" customHeight="true" outlineLevel="0" collapsed="false">
      <c r="A152" s="11" t="s">
        <v>581</v>
      </c>
      <c r="B152" s="12" t="s">
        <v>582</v>
      </c>
      <c r="C152" s="13" t="s">
        <v>583</v>
      </c>
      <c r="D152" s="14" t="s">
        <v>21</v>
      </c>
      <c r="E152" s="15" t="s">
        <v>22</v>
      </c>
      <c r="F152" s="15" t="s">
        <v>23</v>
      </c>
      <c r="G152" s="14" t="s">
        <v>24</v>
      </c>
      <c r="H152" s="16"/>
      <c r="I152" s="17" t="s">
        <v>580</v>
      </c>
      <c r="J152" s="15" t="s">
        <v>37</v>
      </c>
      <c r="K152" s="15" t="s">
        <v>30</v>
      </c>
      <c r="L152" s="18" t="n">
        <v>46252</v>
      </c>
      <c r="M152" s="23" t="n">
        <v>46238</v>
      </c>
      <c r="N152" s="20" t="n">
        <v>0.67</v>
      </c>
      <c r="O152" s="24" t="s">
        <v>584</v>
      </c>
      <c r="P152" s="20" t="n">
        <v>8.5</v>
      </c>
      <c r="Q152" s="20" t="n">
        <v>13.55</v>
      </c>
    </row>
    <row r="153" customFormat="false" ht="15.75" hidden="true" customHeight="true" outlineLevel="0" collapsed="false">
      <c r="A153" s="11" t="s">
        <v>585</v>
      </c>
      <c r="B153" s="12" t="s">
        <v>586</v>
      </c>
      <c r="C153" s="13" t="s">
        <v>587</v>
      </c>
      <c r="D153" s="14" t="s">
        <v>96</v>
      </c>
      <c r="E153" s="15" t="s">
        <v>28</v>
      </c>
      <c r="F153" s="15" t="s">
        <v>35</v>
      </c>
      <c r="G153" s="14" t="s">
        <v>24</v>
      </c>
      <c r="H153" s="16" t="s">
        <v>51</v>
      </c>
      <c r="I153" s="17" t="s">
        <v>326</v>
      </c>
      <c r="J153" s="15" t="s">
        <v>37</v>
      </c>
      <c r="K153" s="15" t="s">
        <v>30</v>
      </c>
      <c r="L153" s="18"/>
      <c r="M153" s="23"/>
      <c r="N153" s="20" t="n">
        <v>0</v>
      </c>
      <c r="O153" s="24" t="s">
        <v>121</v>
      </c>
      <c r="P153" s="20" t="n">
        <v>9</v>
      </c>
      <c r="Q153" s="20" t="n">
        <v>622.6</v>
      </c>
    </row>
    <row r="154" customFormat="false" ht="15.75" hidden="true" customHeight="true" outlineLevel="0" collapsed="false">
      <c r="A154" s="11" t="s">
        <v>588</v>
      </c>
      <c r="B154" s="12" t="s">
        <v>589</v>
      </c>
      <c r="C154" s="13" t="s">
        <v>590</v>
      </c>
      <c r="D154" s="14" t="s">
        <v>21</v>
      </c>
      <c r="E154" s="15" t="s">
        <v>28</v>
      </c>
      <c r="F154" s="15" t="s">
        <v>23</v>
      </c>
      <c r="G154" s="14" t="s">
        <v>24</v>
      </c>
      <c r="H154" s="16" t="s">
        <v>51</v>
      </c>
      <c r="I154" s="17" t="s">
        <v>591</v>
      </c>
      <c r="J154" s="15" t="s">
        <v>37</v>
      </c>
      <c r="K154" s="15" t="s">
        <v>30</v>
      </c>
      <c r="L154" s="18"/>
      <c r="M154" s="23"/>
      <c r="N154" s="20" t="n">
        <v>0.33</v>
      </c>
      <c r="O154" s="24" t="s">
        <v>121</v>
      </c>
      <c r="P154" s="20"/>
      <c r="Q154" s="20" t="n">
        <v>290.5</v>
      </c>
    </row>
    <row r="155" customFormat="false" ht="31.5" hidden="true" customHeight="true" outlineLevel="0" collapsed="false">
      <c r="A155" s="11" t="s">
        <v>592</v>
      </c>
      <c r="B155" s="12" t="s">
        <v>593</v>
      </c>
      <c r="C155" s="13" t="s">
        <v>594</v>
      </c>
      <c r="D155" s="14" t="s">
        <v>21</v>
      </c>
      <c r="E155" s="15" t="s">
        <v>28</v>
      </c>
      <c r="F155" s="15" t="s">
        <v>23</v>
      </c>
      <c r="G155" s="14" t="s">
        <v>24</v>
      </c>
      <c r="H155" s="16" t="s">
        <v>51</v>
      </c>
      <c r="I155" s="17" t="s">
        <v>595</v>
      </c>
      <c r="J155" s="15" t="s">
        <v>37</v>
      </c>
      <c r="K155" s="15" t="s">
        <v>30</v>
      </c>
      <c r="L155" s="18"/>
      <c r="M155" s="23"/>
      <c r="N155" s="20" t="n">
        <v>0.5</v>
      </c>
      <c r="O155" s="24" t="s">
        <v>596</v>
      </c>
      <c r="P155" s="20" t="n">
        <v>24</v>
      </c>
      <c r="Q155" s="20" t="n">
        <v>464.4</v>
      </c>
    </row>
    <row r="156" customFormat="false" ht="30" hidden="true" customHeight="true" outlineLevel="0" collapsed="false">
      <c r="A156" s="11" t="s">
        <v>597</v>
      </c>
      <c r="B156" s="12" t="s">
        <v>598</v>
      </c>
      <c r="C156" s="13" t="s">
        <v>599</v>
      </c>
      <c r="D156" s="14" t="s">
        <v>72</v>
      </c>
      <c r="E156" s="15" t="s">
        <v>22</v>
      </c>
      <c r="F156" s="15" t="s">
        <v>35</v>
      </c>
      <c r="G156" s="14" t="s">
        <v>83</v>
      </c>
      <c r="H156" s="16"/>
      <c r="I156" s="17" t="s">
        <v>83</v>
      </c>
      <c r="J156" s="15" t="s">
        <v>37</v>
      </c>
      <c r="K156" s="15" t="s">
        <v>24</v>
      </c>
      <c r="L156" s="18" t="n">
        <v>46244</v>
      </c>
      <c r="M156" s="23" t="n">
        <v>46244</v>
      </c>
      <c r="N156" s="20" t="n">
        <v>1.5</v>
      </c>
      <c r="O156" s="24" t="s">
        <v>41</v>
      </c>
      <c r="P156" s="20" t="n">
        <v>5</v>
      </c>
      <c r="Q156" s="20" t="n">
        <v>3.58</v>
      </c>
    </row>
    <row r="157" customFormat="false" ht="30" hidden="true" customHeight="true" outlineLevel="0" collapsed="false">
      <c r="A157" s="11" t="s">
        <v>600</v>
      </c>
      <c r="B157" s="12" t="s">
        <v>601</v>
      </c>
      <c r="C157" s="13" t="s">
        <v>602</v>
      </c>
      <c r="D157" s="14" t="s">
        <v>49</v>
      </c>
      <c r="E157" s="15" t="s">
        <v>22</v>
      </c>
      <c r="F157" s="15" t="s">
        <v>35</v>
      </c>
      <c r="G157" s="14" t="s">
        <v>50</v>
      </c>
      <c r="H157" s="16" t="s">
        <v>51</v>
      </c>
      <c r="I157" s="17" t="s">
        <v>603</v>
      </c>
      <c r="J157" s="15" t="s">
        <v>37</v>
      </c>
      <c r="K157" s="15" t="s">
        <v>25</v>
      </c>
      <c r="L157" s="18" t="n">
        <v>46244</v>
      </c>
      <c r="M157" s="23" t="n">
        <v>46244</v>
      </c>
      <c r="N157" s="20" t="n">
        <v>0.5</v>
      </c>
      <c r="O157" s="24" t="s">
        <v>41</v>
      </c>
      <c r="P157" s="20" t="n">
        <v>4</v>
      </c>
      <c r="Q157" s="20" t="n">
        <v>3.03</v>
      </c>
    </row>
    <row r="158" customFormat="false" ht="30" hidden="true" customHeight="true" outlineLevel="0" collapsed="false">
      <c r="A158" s="11" t="s">
        <v>604</v>
      </c>
      <c r="B158" s="12" t="s">
        <v>605</v>
      </c>
      <c r="C158" s="13" t="s">
        <v>606</v>
      </c>
      <c r="D158" s="14" t="s">
        <v>21</v>
      </c>
      <c r="E158" s="15" t="s">
        <v>22</v>
      </c>
      <c r="F158" s="15" t="s">
        <v>35</v>
      </c>
      <c r="G158" s="14" t="s">
        <v>208</v>
      </c>
      <c r="H158" s="16" t="s">
        <v>51</v>
      </c>
      <c r="I158" s="17" t="s">
        <v>607</v>
      </c>
      <c r="J158" s="15" t="s">
        <v>37</v>
      </c>
      <c r="K158" s="15" t="s">
        <v>24</v>
      </c>
      <c r="L158" s="18" t="n">
        <v>46252</v>
      </c>
      <c r="M158" s="23" t="n">
        <v>46243</v>
      </c>
      <c r="N158" s="20" t="n">
        <v>2.5</v>
      </c>
      <c r="O158" s="24" t="s">
        <v>608</v>
      </c>
      <c r="P158" s="20" t="n">
        <v>19</v>
      </c>
      <c r="Q158" s="20" t="n">
        <v>70.3</v>
      </c>
    </row>
    <row r="159" customFormat="false" ht="15.75" hidden="false" customHeight="true" outlineLevel="0" collapsed="false">
      <c r="A159" s="11" t="s">
        <v>609</v>
      </c>
      <c r="B159" s="12" t="s">
        <v>610</v>
      </c>
      <c r="C159" s="13" t="s">
        <v>611</v>
      </c>
      <c r="D159" s="14" t="s">
        <v>21</v>
      </c>
      <c r="E159" s="15" t="s">
        <v>28</v>
      </c>
      <c r="F159" s="15" t="s">
        <v>35</v>
      </c>
      <c r="G159" s="14" t="s">
        <v>208</v>
      </c>
      <c r="H159" s="16" t="s">
        <v>51</v>
      </c>
      <c r="I159" s="17" t="s">
        <v>612</v>
      </c>
      <c r="J159" s="15" t="s">
        <v>37</v>
      </c>
      <c r="K159" s="15" t="s">
        <v>24</v>
      </c>
      <c r="L159" s="18"/>
      <c r="M159" s="23"/>
      <c r="N159" s="20" t="n">
        <v>471</v>
      </c>
      <c r="O159" s="24" t="s">
        <v>87</v>
      </c>
      <c r="P159" s="20" t="n">
        <v>33.4</v>
      </c>
      <c r="Q159" s="20" t="n">
        <v>611.1</v>
      </c>
    </row>
    <row r="160" customFormat="false" ht="15.75" hidden="false" customHeight="true" outlineLevel="0" collapsed="false">
      <c r="A160" s="11" t="s">
        <v>613</v>
      </c>
      <c r="B160" s="12" t="s">
        <v>614</v>
      </c>
      <c r="C160" s="13" t="s">
        <v>615</v>
      </c>
      <c r="D160" s="14" t="s">
        <v>21</v>
      </c>
      <c r="E160" s="15" t="s">
        <v>28</v>
      </c>
      <c r="F160" s="15" t="s">
        <v>35</v>
      </c>
      <c r="G160" s="14" t="s">
        <v>208</v>
      </c>
      <c r="H160" s="16" t="s">
        <v>51</v>
      </c>
      <c r="I160" s="17" t="s">
        <v>612</v>
      </c>
      <c r="J160" s="15" t="s">
        <v>37</v>
      </c>
      <c r="K160" s="15" t="s">
        <v>24</v>
      </c>
      <c r="L160" s="18"/>
      <c r="M160" s="23"/>
      <c r="N160" s="20" t="n">
        <v>170</v>
      </c>
      <c r="O160" s="24" t="s">
        <v>87</v>
      </c>
      <c r="P160" s="20"/>
      <c r="Q160" s="20" t="n">
        <v>0</v>
      </c>
    </row>
    <row r="161" customFormat="false" ht="15.75" hidden="false" customHeight="true" outlineLevel="0" collapsed="false">
      <c r="A161" s="11" t="s">
        <v>616</v>
      </c>
      <c r="B161" s="12" t="s">
        <v>617</v>
      </c>
      <c r="C161" s="13" t="s">
        <v>618</v>
      </c>
      <c r="D161" s="14" t="s">
        <v>21</v>
      </c>
      <c r="E161" s="15" t="s">
        <v>28</v>
      </c>
      <c r="F161" s="15" t="s">
        <v>35</v>
      </c>
      <c r="G161" s="14" t="s">
        <v>208</v>
      </c>
      <c r="H161" s="16" t="s">
        <v>51</v>
      </c>
      <c r="I161" s="17" t="s">
        <v>619</v>
      </c>
      <c r="J161" s="15" t="s">
        <v>37</v>
      </c>
      <c r="K161" s="15" t="s">
        <v>24</v>
      </c>
      <c r="L161" s="18"/>
      <c r="M161" s="23"/>
      <c r="N161" s="20" t="n">
        <v>23.17</v>
      </c>
      <c r="O161" s="24" t="s">
        <v>620</v>
      </c>
      <c r="P161" s="20" t="n">
        <v>68</v>
      </c>
      <c r="Q161" s="20" t="n">
        <v>648.7</v>
      </c>
    </row>
    <row r="162" customFormat="false" ht="31.5" hidden="true" customHeight="true" outlineLevel="0" collapsed="false">
      <c r="A162" s="11" t="s">
        <v>621</v>
      </c>
      <c r="B162" s="12" t="s">
        <v>622</v>
      </c>
      <c r="C162" s="13" t="s">
        <v>623</v>
      </c>
      <c r="D162" s="14" t="s">
        <v>21</v>
      </c>
      <c r="E162" s="15" t="s">
        <v>22</v>
      </c>
      <c r="F162" s="15" t="s">
        <v>35</v>
      </c>
      <c r="G162" s="14" t="s">
        <v>208</v>
      </c>
      <c r="H162" s="16" t="s">
        <v>51</v>
      </c>
      <c r="I162" s="17" t="s">
        <v>624</v>
      </c>
      <c r="J162" s="15" t="s">
        <v>37</v>
      </c>
      <c r="K162" s="15" t="s">
        <v>24</v>
      </c>
      <c r="L162" s="18" t="n">
        <v>46252</v>
      </c>
      <c r="M162" s="23" t="n">
        <v>46243</v>
      </c>
      <c r="N162" s="20" t="n">
        <v>18</v>
      </c>
      <c r="O162" s="24" t="s">
        <v>620</v>
      </c>
      <c r="P162" s="20" t="n">
        <v>98.2</v>
      </c>
      <c r="Q162" s="20" t="n">
        <v>336.3</v>
      </c>
    </row>
    <row r="163" customFormat="false" ht="15.75" hidden="true" customHeight="true" outlineLevel="0" collapsed="false">
      <c r="A163" s="11" t="s">
        <v>625</v>
      </c>
      <c r="B163" s="12" t="s">
        <v>626</v>
      </c>
      <c r="C163" s="13" t="s">
        <v>627</v>
      </c>
      <c r="D163" s="14" t="s">
        <v>21</v>
      </c>
      <c r="E163" s="15" t="s">
        <v>22</v>
      </c>
      <c r="F163" s="15" t="s">
        <v>35</v>
      </c>
      <c r="G163" s="14" t="s">
        <v>208</v>
      </c>
      <c r="H163" s="16" t="s">
        <v>51</v>
      </c>
      <c r="I163" s="17" t="s">
        <v>607</v>
      </c>
      <c r="J163" s="15" t="s">
        <v>37</v>
      </c>
      <c r="K163" s="15" t="s">
        <v>25</v>
      </c>
      <c r="L163" s="18" t="n">
        <v>46252</v>
      </c>
      <c r="M163" s="23" t="n">
        <v>46245</v>
      </c>
      <c r="N163" s="20" t="n">
        <v>18.5</v>
      </c>
      <c r="O163" s="24" t="s">
        <v>620</v>
      </c>
      <c r="P163" s="20" t="n">
        <v>65</v>
      </c>
      <c r="Q163" s="20" t="n">
        <v>359.8</v>
      </c>
    </row>
    <row r="164" customFormat="false" ht="30" hidden="true" customHeight="true" outlineLevel="0" collapsed="false">
      <c r="A164" s="11" t="s">
        <v>628</v>
      </c>
      <c r="B164" s="12" t="s">
        <v>629</v>
      </c>
      <c r="C164" s="13" t="s">
        <v>630</v>
      </c>
      <c r="D164" s="14" t="s">
        <v>21</v>
      </c>
      <c r="E164" s="15" t="s">
        <v>22</v>
      </c>
      <c r="F164" s="15" t="s">
        <v>35</v>
      </c>
      <c r="G164" s="14" t="s">
        <v>208</v>
      </c>
      <c r="H164" s="16" t="s">
        <v>51</v>
      </c>
      <c r="I164" s="17" t="s">
        <v>607</v>
      </c>
      <c r="J164" s="15" t="s">
        <v>37</v>
      </c>
      <c r="K164" s="15" t="s">
        <v>24</v>
      </c>
      <c r="L164" s="18" t="n">
        <v>46252</v>
      </c>
      <c r="M164" s="23" t="n">
        <v>46247</v>
      </c>
      <c r="N164" s="20" t="n">
        <v>2.5</v>
      </c>
      <c r="O164" s="24" t="s">
        <v>620</v>
      </c>
      <c r="P164" s="20" t="n">
        <v>25</v>
      </c>
      <c r="Q164" s="20" t="n">
        <v>157.7</v>
      </c>
    </row>
    <row r="165" customFormat="false" ht="15.75" hidden="true" customHeight="true" outlineLevel="0" collapsed="false">
      <c r="A165" s="11" t="s">
        <v>631</v>
      </c>
      <c r="B165" s="12" t="s">
        <v>632</v>
      </c>
      <c r="C165" s="13" t="s">
        <v>633</v>
      </c>
      <c r="D165" s="14" t="s">
        <v>21</v>
      </c>
      <c r="E165" s="15" t="s">
        <v>22</v>
      </c>
      <c r="F165" s="15" t="s">
        <v>35</v>
      </c>
      <c r="G165" s="14" t="s">
        <v>208</v>
      </c>
      <c r="H165" s="16" t="s">
        <v>51</v>
      </c>
      <c r="I165" s="17" t="s">
        <v>607</v>
      </c>
      <c r="J165" s="15" t="s">
        <v>37</v>
      </c>
      <c r="K165" s="15" t="s">
        <v>24</v>
      </c>
      <c r="L165" s="18" t="n">
        <v>46252</v>
      </c>
      <c r="M165" s="23" t="n">
        <v>46240</v>
      </c>
      <c r="N165" s="20" t="n">
        <v>4</v>
      </c>
      <c r="O165" s="24" t="s">
        <v>620</v>
      </c>
      <c r="P165" s="20" t="n">
        <v>25.2</v>
      </c>
      <c r="Q165" s="20" t="n">
        <v>5.68</v>
      </c>
    </row>
    <row r="166" customFormat="false" ht="15.75" hidden="true" customHeight="true" outlineLevel="0" collapsed="false">
      <c r="A166" s="11" t="s">
        <v>634</v>
      </c>
      <c r="B166" s="12" t="s">
        <v>635</v>
      </c>
      <c r="C166" s="13" t="s">
        <v>636</v>
      </c>
      <c r="D166" s="14" t="s">
        <v>21</v>
      </c>
      <c r="E166" s="15" t="s">
        <v>22</v>
      </c>
      <c r="F166" s="15" t="s">
        <v>35</v>
      </c>
      <c r="G166" s="14" t="s">
        <v>208</v>
      </c>
      <c r="H166" s="16"/>
      <c r="I166" s="17" t="s">
        <v>607</v>
      </c>
      <c r="J166" s="15" t="s">
        <v>37</v>
      </c>
      <c r="K166" s="15" t="s">
        <v>24</v>
      </c>
      <c r="L166" s="18" t="n">
        <v>46252</v>
      </c>
      <c r="M166" s="23" t="n">
        <v>46243</v>
      </c>
      <c r="N166" s="20" t="n">
        <v>2.5</v>
      </c>
      <c r="O166" s="24" t="s">
        <v>620</v>
      </c>
      <c r="P166" s="20" t="n">
        <v>17.25</v>
      </c>
      <c r="Q166" s="20" t="n">
        <v>17.9</v>
      </c>
    </row>
    <row r="167" customFormat="false" ht="30" hidden="true" customHeight="true" outlineLevel="0" collapsed="false">
      <c r="A167" s="11" t="s">
        <v>637</v>
      </c>
      <c r="B167" s="12" t="s">
        <v>638</v>
      </c>
      <c r="C167" s="13" t="s">
        <v>639</v>
      </c>
      <c r="D167" s="14" t="s">
        <v>21</v>
      </c>
      <c r="E167" s="15" t="s">
        <v>28</v>
      </c>
      <c r="F167" s="15" t="s">
        <v>35</v>
      </c>
      <c r="G167" s="14" t="s">
        <v>50</v>
      </c>
      <c r="H167" s="16" t="s">
        <v>51</v>
      </c>
      <c r="I167" s="17" t="s">
        <v>29</v>
      </c>
      <c r="J167" s="15" t="s">
        <v>37</v>
      </c>
      <c r="K167" s="15"/>
      <c r="L167" s="18"/>
      <c r="M167" s="23"/>
      <c r="N167" s="20" t="n">
        <v>62</v>
      </c>
      <c r="O167" s="24" t="s">
        <v>104</v>
      </c>
      <c r="P167" s="20" t="n">
        <v>4.3</v>
      </c>
      <c r="Q167" s="20" t="n">
        <v>562.2</v>
      </c>
    </row>
    <row r="168" customFormat="false" ht="31.5" hidden="true" customHeight="true" outlineLevel="0" collapsed="false">
      <c r="A168" s="11" t="s">
        <v>640</v>
      </c>
      <c r="B168" s="12" t="s">
        <v>641</v>
      </c>
      <c r="C168" s="13" t="s">
        <v>642</v>
      </c>
      <c r="D168" s="14" t="s">
        <v>21</v>
      </c>
      <c r="E168" s="15" t="s">
        <v>28</v>
      </c>
      <c r="F168" s="15" t="s">
        <v>23</v>
      </c>
      <c r="G168" s="14" t="s">
        <v>50</v>
      </c>
      <c r="H168" s="16" t="s">
        <v>51</v>
      </c>
      <c r="I168" s="17" t="s">
        <v>643</v>
      </c>
      <c r="J168" s="15" t="s">
        <v>37</v>
      </c>
      <c r="K168" s="15" t="s">
        <v>30</v>
      </c>
      <c r="L168" s="18"/>
      <c r="M168" s="23"/>
      <c r="N168" s="20" t="n">
        <v>33.8</v>
      </c>
      <c r="O168" s="24" t="s">
        <v>104</v>
      </c>
      <c r="P168" s="20" t="n">
        <v>56.8</v>
      </c>
      <c r="Q168" s="20" t="n">
        <v>608.1</v>
      </c>
    </row>
    <row r="169" customFormat="false" ht="31.5" hidden="true" customHeight="true" outlineLevel="0" collapsed="false">
      <c r="A169" s="11" t="s">
        <v>644</v>
      </c>
      <c r="B169" s="12" t="s">
        <v>645</v>
      </c>
      <c r="C169" s="13" t="s">
        <v>646</v>
      </c>
      <c r="D169" s="14" t="s">
        <v>21</v>
      </c>
      <c r="E169" s="15" t="s">
        <v>28</v>
      </c>
      <c r="F169" s="15" t="s">
        <v>23</v>
      </c>
      <c r="G169" s="14"/>
      <c r="H169" s="16" t="s">
        <v>51</v>
      </c>
      <c r="I169" s="17" t="s">
        <v>647</v>
      </c>
      <c r="J169" s="15" t="s">
        <v>37</v>
      </c>
      <c r="K169" s="15" t="s">
        <v>30</v>
      </c>
      <c r="L169" s="18"/>
      <c r="M169" s="23"/>
      <c r="N169" s="20" t="n">
        <v>42.2</v>
      </c>
      <c r="O169" s="24" t="s">
        <v>104</v>
      </c>
      <c r="P169" s="20"/>
      <c r="Q169" s="20"/>
    </row>
    <row r="170" customFormat="false" ht="30" hidden="false" customHeight="true" outlineLevel="0" collapsed="false">
      <c r="A170" s="11" t="s">
        <v>648</v>
      </c>
      <c r="B170" s="12" t="s">
        <v>649</v>
      </c>
      <c r="C170" s="13" t="s">
        <v>650</v>
      </c>
      <c r="D170" s="14" t="s">
        <v>185</v>
      </c>
      <c r="E170" s="15" t="s">
        <v>28</v>
      </c>
      <c r="F170" s="15" t="s">
        <v>35</v>
      </c>
      <c r="G170" s="14" t="s">
        <v>24</v>
      </c>
      <c r="H170" s="16" t="s">
        <v>51</v>
      </c>
      <c r="I170" s="17" t="s">
        <v>326</v>
      </c>
      <c r="J170" s="15" t="s">
        <v>37</v>
      </c>
      <c r="K170" s="15" t="s">
        <v>24</v>
      </c>
      <c r="L170" s="18"/>
      <c r="M170" s="23"/>
      <c r="N170" s="20" t="n">
        <v>1.67</v>
      </c>
      <c r="O170" s="24" t="s">
        <v>41</v>
      </c>
      <c r="P170" s="20"/>
      <c r="Q170" s="20" t="n">
        <v>76.9</v>
      </c>
    </row>
    <row r="171" customFormat="false" ht="31.5" hidden="true" customHeight="true" outlineLevel="0" collapsed="false">
      <c r="A171" s="11" t="s">
        <v>651</v>
      </c>
      <c r="B171" s="12" t="s">
        <v>652</v>
      </c>
      <c r="C171" s="13" t="s">
        <v>653</v>
      </c>
      <c r="D171" s="14" t="s">
        <v>21</v>
      </c>
      <c r="E171" s="15" t="s">
        <v>28</v>
      </c>
      <c r="F171" s="15" t="s">
        <v>35</v>
      </c>
      <c r="G171" s="14" t="s">
        <v>157</v>
      </c>
      <c r="H171" s="16" t="s">
        <v>51</v>
      </c>
      <c r="I171" s="17" t="s">
        <v>654</v>
      </c>
      <c r="J171" s="15" t="s">
        <v>37</v>
      </c>
      <c r="K171" s="15"/>
      <c r="L171" s="18"/>
      <c r="M171" s="23"/>
      <c r="N171" s="20" t="n">
        <v>22.5</v>
      </c>
      <c r="O171" s="24" t="s">
        <v>89</v>
      </c>
      <c r="P171" s="20" t="n">
        <v>16.3</v>
      </c>
      <c r="Q171" s="20" t="n">
        <v>750.9</v>
      </c>
    </row>
    <row r="172" customFormat="false" ht="15.75" hidden="true" customHeight="true" outlineLevel="0" collapsed="false">
      <c r="A172" s="11" t="s">
        <v>655</v>
      </c>
      <c r="B172" s="12" t="s">
        <v>656</v>
      </c>
      <c r="C172" s="13" t="s">
        <v>657</v>
      </c>
      <c r="D172" s="14" t="s">
        <v>49</v>
      </c>
      <c r="E172" s="15" t="s">
        <v>22</v>
      </c>
      <c r="F172" s="15" t="s">
        <v>35</v>
      </c>
      <c r="G172" s="14" t="s">
        <v>50</v>
      </c>
      <c r="H172" s="16" t="s">
        <v>51</v>
      </c>
      <c r="I172" s="17" t="s">
        <v>50</v>
      </c>
      <c r="J172" s="15" t="s">
        <v>37</v>
      </c>
      <c r="K172" s="15" t="s">
        <v>25</v>
      </c>
      <c r="L172" s="18" t="n">
        <v>46252</v>
      </c>
      <c r="M172" s="23" t="n">
        <v>46244</v>
      </c>
      <c r="N172" s="20" t="n">
        <v>0</v>
      </c>
      <c r="O172" s="24" t="s">
        <v>234</v>
      </c>
      <c r="P172" s="20" t="n">
        <v>4</v>
      </c>
      <c r="Q172" s="20" t="n">
        <v>5.98</v>
      </c>
    </row>
    <row r="173" customFormat="false" ht="15.75" hidden="true" customHeight="true" outlineLevel="0" collapsed="false">
      <c r="A173" s="11" t="s">
        <v>658</v>
      </c>
      <c r="B173" s="12" t="s">
        <v>659</v>
      </c>
      <c r="C173" s="13" t="s">
        <v>660</v>
      </c>
      <c r="D173" s="14" t="s">
        <v>661</v>
      </c>
      <c r="E173" s="15" t="s">
        <v>28</v>
      </c>
      <c r="F173" s="15" t="s">
        <v>35</v>
      </c>
      <c r="G173" s="14" t="s">
        <v>50</v>
      </c>
      <c r="H173" s="16" t="s">
        <v>51</v>
      </c>
      <c r="I173" s="17" t="s">
        <v>662</v>
      </c>
      <c r="J173" s="15" t="s">
        <v>37</v>
      </c>
      <c r="K173" s="15" t="s">
        <v>30</v>
      </c>
      <c r="L173" s="18"/>
      <c r="M173" s="23"/>
      <c r="N173" s="20" t="n">
        <v>0</v>
      </c>
      <c r="O173" s="24" t="s">
        <v>41</v>
      </c>
      <c r="P173" s="20" t="n">
        <v>16.2</v>
      </c>
      <c r="Q173" s="20" t="n">
        <v>7303</v>
      </c>
    </row>
    <row r="174" customFormat="false" ht="30" hidden="true" customHeight="true" outlineLevel="0" collapsed="false">
      <c r="A174" s="11" t="s">
        <v>663</v>
      </c>
      <c r="B174" s="12" t="s">
        <v>664</v>
      </c>
      <c r="C174" s="13" t="s">
        <v>665</v>
      </c>
      <c r="D174" s="14" t="s">
        <v>67</v>
      </c>
      <c r="E174" s="15" t="s">
        <v>28</v>
      </c>
      <c r="F174" s="15" t="s">
        <v>35</v>
      </c>
      <c r="G174" s="14" t="s">
        <v>50</v>
      </c>
      <c r="H174" s="16" t="s">
        <v>51</v>
      </c>
      <c r="I174" s="17" t="s">
        <v>666</v>
      </c>
      <c r="J174" s="15" t="s">
        <v>37</v>
      </c>
      <c r="K174" s="15" t="s">
        <v>30</v>
      </c>
      <c r="L174" s="18"/>
      <c r="M174" s="23"/>
      <c r="N174" s="20" t="n">
        <v>0</v>
      </c>
      <c r="O174" s="24" t="s">
        <v>41</v>
      </c>
      <c r="P174" s="20" t="n">
        <v>15</v>
      </c>
      <c r="Q174" s="20" t="n">
        <v>2795.6</v>
      </c>
    </row>
    <row r="175" customFormat="false" ht="15.75" hidden="true" customHeight="true" outlineLevel="0" collapsed="false">
      <c r="A175" s="11" t="s">
        <v>667</v>
      </c>
      <c r="B175" s="12" t="s">
        <v>668</v>
      </c>
      <c r="C175" s="13" t="s">
        <v>669</v>
      </c>
      <c r="D175" s="14" t="s">
        <v>21</v>
      </c>
      <c r="E175" s="15" t="s">
        <v>22</v>
      </c>
      <c r="F175" s="15" t="s">
        <v>35</v>
      </c>
      <c r="G175" s="14"/>
      <c r="H175" s="16"/>
      <c r="I175" s="17"/>
      <c r="J175" s="15" t="s">
        <v>37</v>
      </c>
      <c r="K175" s="15" t="s">
        <v>24</v>
      </c>
      <c r="L175" s="18" t="n">
        <v>46223</v>
      </c>
      <c r="M175" s="23" t="n">
        <v>46223</v>
      </c>
      <c r="N175" s="20" t="n">
        <v>9</v>
      </c>
      <c r="O175" s="24" t="s">
        <v>670</v>
      </c>
      <c r="P175" s="20" t="n">
        <v>1.72</v>
      </c>
      <c r="Q175" s="20" t="n">
        <v>12.43</v>
      </c>
    </row>
    <row r="176" customFormat="false" ht="15.75" hidden="true" customHeight="true" outlineLevel="0" collapsed="false">
      <c r="A176" s="11" t="s">
        <v>671</v>
      </c>
      <c r="B176" s="12" t="s">
        <v>672</v>
      </c>
      <c r="C176" s="13" t="s">
        <v>673</v>
      </c>
      <c r="D176" s="14" t="s">
        <v>21</v>
      </c>
      <c r="E176" s="15" t="s">
        <v>22</v>
      </c>
      <c r="F176" s="15" t="s">
        <v>35</v>
      </c>
      <c r="G176" s="14"/>
      <c r="H176" s="16" t="s">
        <v>51</v>
      </c>
      <c r="I176" s="17"/>
      <c r="J176" s="15" t="s">
        <v>37</v>
      </c>
      <c r="K176" s="15" t="s">
        <v>24</v>
      </c>
      <c r="L176" s="18" t="n">
        <v>46237</v>
      </c>
      <c r="M176" s="23" t="n">
        <v>46237</v>
      </c>
      <c r="N176" s="20" t="n">
        <v>13</v>
      </c>
      <c r="O176" s="24" t="s">
        <v>670</v>
      </c>
      <c r="P176" s="20" t="n">
        <v>0</v>
      </c>
      <c r="Q176" s="20" t="n">
        <v>0</v>
      </c>
    </row>
    <row r="177" customFormat="false" ht="15.75" hidden="false" customHeight="true" outlineLevel="0" collapsed="false">
      <c r="A177" s="11" t="s">
        <v>674</v>
      </c>
      <c r="B177" s="12" t="s">
        <v>675</v>
      </c>
      <c r="C177" s="13" t="s">
        <v>676</v>
      </c>
      <c r="D177" s="14" t="s">
        <v>21</v>
      </c>
      <c r="E177" s="15" t="s">
        <v>28</v>
      </c>
      <c r="F177" s="15" t="s">
        <v>35</v>
      </c>
      <c r="G177" s="14"/>
      <c r="H177" s="16"/>
      <c r="I177" s="17"/>
      <c r="J177" s="15" t="s">
        <v>37</v>
      </c>
      <c r="K177" s="15" t="s">
        <v>24</v>
      </c>
      <c r="L177" s="18"/>
      <c r="M177" s="23"/>
      <c r="N177" s="20" t="n">
        <v>22</v>
      </c>
      <c r="O177" s="24" t="s">
        <v>670</v>
      </c>
      <c r="P177" s="20"/>
      <c r="Q177" s="20" t="n">
        <v>0</v>
      </c>
    </row>
    <row r="178" customFormat="false" ht="15.75" hidden="true" customHeight="true" outlineLevel="0" collapsed="false">
      <c r="A178" s="11" t="s">
        <v>677</v>
      </c>
      <c r="B178" s="12" t="s">
        <v>678</v>
      </c>
      <c r="C178" s="13" t="s">
        <v>679</v>
      </c>
      <c r="D178" s="14" t="s">
        <v>96</v>
      </c>
      <c r="E178" s="15" t="s">
        <v>22</v>
      </c>
      <c r="F178" s="15" t="s">
        <v>35</v>
      </c>
      <c r="G178" s="14" t="s">
        <v>50</v>
      </c>
      <c r="H178" s="16"/>
      <c r="I178" s="17" t="s">
        <v>50</v>
      </c>
      <c r="J178" s="15" t="s">
        <v>37</v>
      </c>
      <c r="K178" s="15" t="s">
        <v>24</v>
      </c>
      <c r="L178" s="18" t="n">
        <v>46252</v>
      </c>
      <c r="M178" s="23" t="n">
        <v>46252</v>
      </c>
      <c r="N178" s="20" t="n">
        <v>2</v>
      </c>
      <c r="O178" s="24" t="s">
        <v>670</v>
      </c>
      <c r="P178" s="20" t="n">
        <v>0.17</v>
      </c>
      <c r="Q178" s="20" t="n">
        <v>0.17</v>
      </c>
    </row>
    <row r="179" customFormat="false" ht="15.75" hidden="false" customHeight="true" outlineLevel="0" collapsed="false">
      <c r="A179" s="11" t="s">
        <v>680</v>
      </c>
      <c r="B179" s="12" t="s">
        <v>681</v>
      </c>
      <c r="C179" s="13" t="s">
        <v>682</v>
      </c>
      <c r="D179" s="14" t="s">
        <v>21</v>
      </c>
      <c r="E179" s="15" t="s">
        <v>28</v>
      </c>
      <c r="F179" s="15" t="s">
        <v>35</v>
      </c>
      <c r="G179" s="14"/>
      <c r="H179" s="16"/>
      <c r="I179" s="17"/>
      <c r="J179" s="15" t="s">
        <v>37</v>
      </c>
      <c r="K179" s="15" t="s">
        <v>24</v>
      </c>
      <c r="L179" s="18"/>
      <c r="M179" s="23"/>
      <c r="N179" s="20" t="n">
        <v>3</v>
      </c>
      <c r="O179" s="24" t="s">
        <v>279</v>
      </c>
      <c r="P179" s="20"/>
      <c r="Q179" s="20" t="n">
        <v>0</v>
      </c>
    </row>
    <row r="180" customFormat="false" ht="15.75" hidden="false" customHeight="true" outlineLevel="0" collapsed="false">
      <c r="A180" s="11" t="s">
        <v>683</v>
      </c>
      <c r="B180" s="12" t="s">
        <v>684</v>
      </c>
      <c r="C180" s="13" t="s">
        <v>685</v>
      </c>
      <c r="D180" s="14" t="s">
        <v>21</v>
      </c>
      <c r="E180" s="15" t="s">
        <v>28</v>
      </c>
      <c r="F180" s="15" t="s">
        <v>35</v>
      </c>
      <c r="G180" s="14" t="s">
        <v>50</v>
      </c>
      <c r="H180" s="16"/>
      <c r="I180" s="17" t="s">
        <v>50</v>
      </c>
      <c r="J180" s="15" t="s">
        <v>37</v>
      </c>
      <c r="K180" s="15" t="s">
        <v>25</v>
      </c>
      <c r="L180" s="18"/>
      <c r="M180" s="23"/>
      <c r="N180" s="20" t="n">
        <v>2</v>
      </c>
      <c r="O180" s="24" t="s">
        <v>279</v>
      </c>
      <c r="P180" s="20"/>
      <c r="Q180" s="20" t="n">
        <v>0</v>
      </c>
    </row>
    <row r="181" customFormat="false" ht="15.75" hidden="false" customHeight="true" outlineLevel="0" collapsed="false">
      <c r="A181" s="11" t="s">
        <v>686</v>
      </c>
      <c r="B181" s="12" t="s">
        <v>687</v>
      </c>
      <c r="C181" s="13" t="s">
        <v>688</v>
      </c>
      <c r="D181" s="14" t="s">
        <v>21</v>
      </c>
      <c r="E181" s="15" t="s">
        <v>28</v>
      </c>
      <c r="F181" s="15" t="s">
        <v>35</v>
      </c>
      <c r="G181" s="14"/>
      <c r="H181" s="16"/>
      <c r="I181" s="17"/>
      <c r="J181" s="15" t="s">
        <v>37</v>
      </c>
      <c r="K181" s="15" t="s">
        <v>24</v>
      </c>
      <c r="L181" s="18"/>
      <c r="M181" s="23"/>
      <c r="N181" s="20" t="n">
        <v>0.5</v>
      </c>
      <c r="O181" s="24" t="s">
        <v>689</v>
      </c>
      <c r="P181" s="20"/>
      <c r="Q181" s="20" t="n">
        <v>0</v>
      </c>
    </row>
    <row r="182" customFormat="false" ht="15.75" hidden="false" customHeight="true" outlineLevel="0" collapsed="false">
      <c r="A182" s="11" t="s">
        <v>690</v>
      </c>
      <c r="B182" s="12" t="s">
        <v>691</v>
      </c>
      <c r="C182" s="13" t="s">
        <v>692</v>
      </c>
      <c r="D182" s="14" t="s">
        <v>21</v>
      </c>
      <c r="E182" s="15" t="s">
        <v>28</v>
      </c>
      <c r="F182" s="15" t="s">
        <v>35</v>
      </c>
      <c r="G182" s="14"/>
      <c r="H182" s="16"/>
      <c r="I182" s="17"/>
      <c r="J182" s="15" t="s">
        <v>37</v>
      </c>
      <c r="K182" s="15" t="s">
        <v>24</v>
      </c>
      <c r="L182" s="18"/>
      <c r="M182" s="23"/>
      <c r="N182" s="20" t="n">
        <v>7</v>
      </c>
      <c r="O182" s="24" t="s">
        <v>279</v>
      </c>
      <c r="P182" s="20"/>
      <c r="Q182" s="20" t="n">
        <v>0</v>
      </c>
    </row>
    <row r="183" customFormat="false" ht="15.75" hidden="false" customHeight="true" outlineLevel="0" collapsed="false">
      <c r="A183" s="11" t="s">
        <v>693</v>
      </c>
      <c r="B183" s="12" t="s">
        <v>694</v>
      </c>
      <c r="C183" s="13" t="s">
        <v>695</v>
      </c>
      <c r="D183" s="14" t="s">
        <v>21</v>
      </c>
      <c r="E183" s="15" t="s">
        <v>28</v>
      </c>
      <c r="F183" s="15" t="s">
        <v>35</v>
      </c>
      <c r="G183" s="14" t="s">
        <v>50</v>
      </c>
      <c r="H183" s="16" t="s">
        <v>51</v>
      </c>
      <c r="I183" s="17" t="s">
        <v>50</v>
      </c>
      <c r="J183" s="15" t="s">
        <v>37</v>
      </c>
      <c r="K183" s="15" t="s">
        <v>24</v>
      </c>
      <c r="L183" s="18"/>
      <c r="M183" s="23"/>
      <c r="N183" s="20" t="n">
        <v>16</v>
      </c>
      <c r="O183" s="24" t="s">
        <v>548</v>
      </c>
      <c r="P183" s="20"/>
      <c r="Q183" s="20" t="n">
        <v>0</v>
      </c>
    </row>
    <row r="184" customFormat="false" ht="15.75" hidden="false" customHeight="true" outlineLevel="0" collapsed="false">
      <c r="A184" s="11" t="s">
        <v>696</v>
      </c>
      <c r="B184" s="12" t="s">
        <v>697</v>
      </c>
      <c r="C184" s="13" t="s">
        <v>698</v>
      </c>
      <c r="D184" s="14" t="s">
        <v>34</v>
      </c>
      <c r="E184" s="15" t="s">
        <v>28</v>
      </c>
      <c r="F184" s="15" t="s">
        <v>35</v>
      </c>
      <c r="G184" s="14" t="s">
        <v>50</v>
      </c>
      <c r="H184" s="16" t="s">
        <v>51</v>
      </c>
      <c r="I184" s="17" t="s">
        <v>50</v>
      </c>
      <c r="J184" s="15" t="s">
        <v>37</v>
      </c>
      <c r="K184" s="15" t="s">
        <v>24</v>
      </c>
      <c r="L184" s="18"/>
      <c r="M184" s="23"/>
      <c r="N184" s="20" t="n">
        <v>10</v>
      </c>
      <c r="O184" s="24" t="s">
        <v>699</v>
      </c>
      <c r="P184" s="20" t="n">
        <v>97</v>
      </c>
      <c r="Q184" s="20" t="n">
        <v>585.2</v>
      </c>
    </row>
    <row r="185" customFormat="false" ht="15.75" hidden="false" customHeight="true" outlineLevel="0" collapsed="false">
      <c r="A185" s="11" t="s">
        <v>700</v>
      </c>
      <c r="B185" s="12" t="s">
        <v>701</v>
      </c>
      <c r="C185" s="13" t="s">
        <v>702</v>
      </c>
      <c r="D185" s="14" t="s">
        <v>34</v>
      </c>
      <c r="E185" s="15" t="s">
        <v>28</v>
      </c>
      <c r="F185" s="15" t="s">
        <v>35</v>
      </c>
      <c r="G185" s="14" t="s">
        <v>50</v>
      </c>
      <c r="H185" s="16"/>
      <c r="I185" s="17" t="s">
        <v>50</v>
      </c>
      <c r="J185" s="15" t="s">
        <v>37</v>
      </c>
      <c r="K185" s="15" t="s">
        <v>24</v>
      </c>
      <c r="L185" s="18"/>
      <c r="M185" s="23"/>
      <c r="N185" s="20" t="n">
        <v>3.2</v>
      </c>
      <c r="O185" s="24" t="s">
        <v>699</v>
      </c>
      <c r="P185" s="20"/>
      <c r="Q185" s="20"/>
    </row>
    <row r="186" customFormat="false" ht="30" hidden="true" customHeight="true" outlineLevel="0" collapsed="false">
      <c r="A186" s="11" t="n">
        <v>32978848</v>
      </c>
      <c r="B186" s="12" t="s">
        <v>703</v>
      </c>
      <c r="C186" s="13" t="n">
        <v>874</v>
      </c>
      <c r="D186" s="14" t="s">
        <v>185</v>
      </c>
      <c r="E186" s="15" t="s">
        <v>22</v>
      </c>
      <c r="F186" s="15" t="s">
        <v>35</v>
      </c>
      <c r="G186" s="14" t="s">
        <v>186</v>
      </c>
      <c r="H186" s="16"/>
      <c r="I186" s="17"/>
      <c r="J186" s="15"/>
      <c r="K186" s="15" t="s">
        <v>37</v>
      </c>
      <c r="L186" s="18" t="n">
        <v>46224</v>
      </c>
      <c r="M186" s="23" t="n">
        <v>46224</v>
      </c>
      <c r="N186" s="20" t="n">
        <v>12</v>
      </c>
      <c r="O186" s="24"/>
      <c r="P186" s="20" t="n">
        <v>12</v>
      </c>
      <c r="Q186" s="20" t="n">
        <v>6</v>
      </c>
    </row>
    <row r="187" customFormat="false" ht="30" hidden="true" customHeight="true" outlineLevel="0" collapsed="false">
      <c r="A187" s="11" t="n">
        <v>32978869</v>
      </c>
      <c r="B187" s="12" t="s">
        <v>704</v>
      </c>
      <c r="C187" s="13" t="n">
        <v>875</v>
      </c>
      <c r="D187" s="14" t="s">
        <v>185</v>
      </c>
      <c r="E187" s="15" t="s">
        <v>22</v>
      </c>
      <c r="F187" s="15" t="s">
        <v>35</v>
      </c>
      <c r="G187" s="14" t="s">
        <v>186</v>
      </c>
      <c r="H187" s="16"/>
      <c r="I187" s="17"/>
      <c r="J187" s="15"/>
      <c r="K187" s="15" t="s">
        <v>37</v>
      </c>
      <c r="L187" s="18" t="n">
        <v>46224</v>
      </c>
      <c r="M187" s="23" t="n">
        <v>46224</v>
      </c>
      <c r="N187" s="20" t="n">
        <v>120</v>
      </c>
      <c r="O187" s="24"/>
      <c r="P187" s="20" t="n">
        <v>120.5</v>
      </c>
      <c r="Q187" s="20" t="n">
        <v>53.3</v>
      </c>
    </row>
    <row r="188" customFormat="false" ht="30" hidden="true" customHeight="true" outlineLevel="0" collapsed="false">
      <c r="A188" s="11" t="n">
        <v>32978879</v>
      </c>
      <c r="B188" s="12" t="s">
        <v>705</v>
      </c>
      <c r="C188" s="13" t="n">
        <v>876</v>
      </c>
      <c r="D188" s="14" t="s">
        <v>185</v>
      </c>
      <c r="E188" s="15" t="s">
        <v>28</v>
      </c>
      <c r="F188" s="15" t="s">
        <v>35</v>
      </c>
      <c r="G188" s="14" t="s">
        <v>186</v>
      </c>
      <c r="H188" s="16"/>
      <c r="I188" s="17"/>
      <c r="J188" s="15"/>
      <c r="K188" s="15" t="s">
        <v>37</v>
      </c>
      <c r="L188" s="18"/>
      <c r="M188" s="23"/>
      <c r="N188" s="20" t="n">
        <v>2</v>
      </c>
      <c r="O188" s="24"/>
      <c r="P188" s="20"/>
      <c r="Q188" s="20" t="n">
        <v>0</v>
      </c>
    </row>
    <row r="189" customFormat="false" ht="30" hidden="true" customHeight="true" outlineLevel="0" collapsed="false">
      <c r="A189" s="11" t="n">
        <v>32978900</v>
      </c>
      <c r="B189" s="12" t="s">
        <v>706</v>
      </c>
      <c r="C189" s="13" t="n">
        <v>877</v>
      </c>
      <c r="D189" s="14" t="s">
        <v>185</v>
      </c>
      <c r="E189" s="15" t="s">
        <v>22</v>
      </c>
      <c r="F189" s="15" t="s">
        <v>35</v>
      </c>
      <c r="G189" s="14" t="s">
        <v>186</v>
      </c>
      <c r="H189" s="16" t="s">
        <v>51</v>
      </c>
      <c r="I189" s="17"/>
      <c r="J189" s="15"/>
      <c r="K189" s="15" t="s">
        <v>37</v>
      </c>
      <c r="L189" s="18" t="n">
        <v>46229</v>
      </c>
      <c r="M189" s="23" t="n">
        <v>46229</v>
      </c>
      <c r="N189" s="20" t="n">
        <v>22</v>
      </c>
      <c r="O189" s="24"/>
      <c r="P189" s="20" t="n">
        <v>22</v>
      </c>
      <c r="Q189" s="20" t="n">
        <v>106.1</v>
      </c>
    </row>
    <row r="190" customFormat="false" ht="45" hidden="true" customHeight="true" outlineLevel="0" collapsed="false">
      <c r="A190" s="11" t="n">
        <v>32978919</v>
      </c>
      <c r="B190" s="12" t="s">
        <v>707</v>
      </c>
      <c r="C190" s="13" t="n">
        <v>878</v>
      </c>
      <c r="D190" s="14" t="s">
        <v>185</v>
      </c>
      <c r="E190" s="15" t="s">
        <v>22</v>
      </c>
      <c r="F190" s="15" t="s">
        <v>35</v>
      </c>
      <c r="G190" s="14" t="s">
        <v>186</v>
      </c>
      <c r="H190" s="16" t="s">
        <v>51</v>
      </c>
      <c r="I190" s="17"/>
      <c r="J190" s="15"/>
      <c r="K190" s="15" t="s">
        <v>37</v>
      </c>
      <c r="L190" s="18" t="n">
        <v>46224</v>
      </c>
      <c r="M190" s="23" t="n">
        <v>46224</v>
      </c>
      <c r="N190" s="20" t="n">
        <v>5</v>
      </c>
      <c r="O190" s="24"/>
      <c r="P190" s="20" t="n">
        <v>6</v>
      </c>
      <c r="Q190" s="20" t="n">
        <v>728.7</v>
      </c>
    </row>
    <row r="191" customFormat="false" ht="30" hidden="true" customHeight="true" outlineLevel="0" collapsed="false">
      <c r="A191" s="11" t="n">
        <v>32978925</v>
      </c>
      <c r="B191" s="12" t="s">
        <v>708</v>
      </c>
      <c r="C191" s="13" t="n">
        <v>879</v>
      </c>
      <c r="D191" s="14" t="s">
        <v>185</v>
      </c>
      <c r="E191" s="15" t="s">
        <v>22</v>
      </c>
      <c r="F191" s="15" t="s">
        <v>35</v>
      </c>
      <c r="G191" s="14" t="s">
        <v>186</v>
      </c>
      <c r="H191" s="16" t="s">
        <v>51</v>
      </c>
      <c r="I191" s="17"/>
      <c r="J191" s="15"/>
      <c r="K191" s="15" t="s">
        <v>37</v>
      </c>
      <c r="L191" s="18" t="n">
        <v>46224</v>
      </c>
      <c r="M191" s="23" t="n">
        <v>46224</v>
      </c>
      <c r="N191" s="20" t="n">
        <v>3</v>
      </c>
      <c r="O191" s="24"/>
      <c r="P191" s="20" t="n">
        <v>3</v>
      </c>
      <c r="Q191" s="20" t="n">
        <v>1.5</v>
      </c>
    </row>
    <row r="192" customFormat="false" ht="30" hidden="true" customHeight="true" outlineLevel="0" collapsed="false">
      <c r="A192" s="11" t="n">
        <v>32978965</v>
      </c>
      <c r="B192" s="12" t="s">
        <v>709</v>
      </c>
      <c r="C192" s="13" t="n">
        <v>880</v>
      </c>
      <c r="D192" s="14" t="s">
        <v>185</v>
      </c>
      <c r="E192" s="15" t="s">
        <v>22</v>
      </c>
      <c r="F192" s="15" t="s">
        <v>35</v>
      </c>
      <c r="G192" s="14" t="s">
        <v>186</v>
      </c>
      <c r="H192" s="16" t="s">
        <v>51</v>
      </c>
      <c r="I192" s="17"/>
      <c r="J192" s="15"/>
      <c r="K192" s="15" t="s">
        <v>37</v>
      </c>
      <c r="L192" s="18" t="n">
        <v>46224</v>
      </c>
      <c r="M192" s="23" t="n">
        <v>46224</v>
      </c>
      <c r="N192" s="20" t="n">
        <v>3</v>
      </c>
      <c r="O192" s="24"/>
      <c r="P192" s="20" t="n">
        <v>3</v>
      </c>
      <c r="Q192" s="20" t="n">
        <v>3</v>
      </c>
    </row>
    <row r="193" customFormat="false" ht="30" hidden="true" customHeight="true" outlineLevel="0" collapsed="false">
      <c r="A193" s="11" t="n">
        <v>32979121</v>
      </c>
      <c r="B193" s="12" t="s">
        <v>710</v>
      </c>
      <c r="C193" s="13" t="n">
        <v>881</v>
      </c>
      <c r="D193" s="14" t="s">
        <v>185</v>
      </c>
      <c r="E193" s="15" t="s">
        <v>22</v>
      </c>
      <c r="F193" s="15" t="s">
        <v>35</v>
      </c>
      <c r="G193" s="14" t="s">
        <v>186</v>
      </c>
      <c r="H193" s="16" t="s">
        <v>51</v>
      </c>
      <c r="I193" s="17"/>
      <c r="J193" s="15"/>
      <c r="K193" s="15" t="s">
        <v>37</v>
      </c>
      <c r="L193" s="18" t="n">
        <v>46229</v>
      </c>
      <c r="M193" s="23" t="n">
        <v>46229</v>
      </c>
      <c r="N193" s="20" t="n">
        <v>13</v>
      </c>
      <c r="O193" s="24"/>
      <c r="P193" s="20" t="n">
        <v>13</v>
      </c>
      <c r="Q193" s="20" t="n">
        <v>105.7</v>
      </c>
    </row>
    <row r="194" customFormat="false" ht="30" hidden="true" customHeight="true" outlineLevel="0" collapsed="false">
      <c r="A194" s="11" t="n">
        <v>32979157</v>
      </c>
      <c r="B194" s="12" t="s">
        <v>711</v>
      </c>
      <c r="C194" s="13" t="n">
        <v>882</v>
      </c>
      <c r="D194" s="14" t="s">
        <v>185</v>
      </c>
      <c r="E194" s="15" t="s">
        <v>22</v>
      </c>
      <c r="F194" s="15" t="s">
        <v>35</v>
      </c>
      <c r="G194" s="14" t="s">
        <v>186</v>
      </c>
      <c r="H194" s="16" t="s">
        <v>51</v>
      </c>
      <c r="I194" s="17"/>
      <c r="J194" s="15"/>
      <c r="K194" s="15" t="s">
        <v>37</v>
      </c>
      <c r="L194" s="18" t="n">
        <v>46225</v>
      </c>
      <c r="M194" s="23" t="n">
        <v>46225</v>
      </c>
      <c r="N194" s="20" t="n">
        <v>3</v>
      </c>
      <c r="O194" s="24"/>
      <c r="P194" s="20" t="n">
        <v>3</v>
      </c>
      <c r="Q194" s="20" t="n">
        <v>3.03</v>
      </c>
    </row>
    <row r="195" customFormat="false" ht="30" hidden="true" customHeight="true" outlineLevel="0" collapsed="false">
      <c r="A195" s="11" t="n">
        <v>32979231</v>
      </c>
      <c r="B195" s="12" t="s">
        <v>712</v>
      </c>
      <c r="C195" s="13" t="n">
        <v>885</v>
      </c>
      <c r="D195" s="14" t="s">
        <v>185</v>
      </c>
      <c r="E195" s="15" t="s">
        <v>22</v>
      </c>
      <c r="F195" s="15" t="s">
        <v>35</v>
      </c>
      <c r="G195" s="14" t="s">
        <v>186</v>
      </c>
      <c r="H195" s="16" t="s">
        <v>51</v>
      </c>
      <c r="I195" s="17"/>
      <c r="J195" s="15"/>
      <c r="K195" s="15" t="s">
        <v>37</v>
      </c>
      <c r="L195" s="18" t="n">
        <v>46224</v>
      </c>
      <c r="M195" s="23" t="n">
        <v>46224</v>
      </c>
      <c r="N195" s="20" t="n">
        <v>2</v>
      </c>
      <c r="O195" s="24"/>
      <c r="P195" s="20" t="n">
        <v>2</v>
      </c>
      <c r="Q195" s="20" t="n">
        <v>2</v>
      </c>
    </row>
    <row r="196" customFormat="false" ht="30" hidden="true" customHeight="true" outlineLevel="0" collapsed="false">
      <c r="A196" s="11" t="n">
        <v>32979530</v>
      </c>
      <c r="B196" s="12" t="s">
        <v>713</v>
      </c>
      <c r="C196" s="13" t="n">
        <v>892</v>
      </c>
      <c r="D196" s="14" t="s">
        <v>34</v>
      </c>
      <c r="E196" s="15" t="s">
        <v>22</v>
      </c>
      <c r="F196" s="15" t="s">
        <v>35</v>
      </c>
      <c r="G196" s="14" t="s">
        <v>208</v>
      </c>
      <c r="H196" s="16" t="s">
        <v>51</v>
      </c>
      <c r="I196" s="17"/>
      <c r="J196" s="15"/>
      <c r="K196" s="15" t="s">
        <v>30</v>
      </c>
      <c r="L196" s="18" t="n">
        <v>46229</v>
      </c>
      <c r="M196" s="23" t="n">
        <v>46229</v>
      </c>
      <c r="N196" s="24" t="n">
        <v>0</v>
      </c>
      <c r="O196" s="24"/>
      <c r="P196" s="20" t="n">
        <v>12.5</v>
      </c>
      <c r="Q196" s="20" t="n">
        <v>673.6</v>
      </c>
    </row>
    <row r="197" customFormat="false" ht="30" hidden="true" customHeight="true" outlineLevel="0" collapsed="false">
      <c r="A197" s="11" t="n">
        <v>32979557</v>
      </c>
      <c r="B197" s="12" t="s">
        <v>714</v>
      </c>
      <c r="C197" s="13" t="n">
        <v>893</v>
      </c>
      <c r="D197" s="14" t="s">
        <v>34</v>
      </c>
      <c r="E197" s="15" t="s">
        <v>28</v>
      </c>
      <c r="F197" s="15" t="s">
        <v>35</v>
      </c>
      <c r="G197" s="14" t="s">
        <v>50</v>
      </c>
      <c r="H197" s="16"/>
      <c r="I197" s="17"/>
      <c r="J197" s="15"/>
      <c r="K197" s="15" t="s">
        <v>30</v>
      </c>
      <c r="L197" s="18"/>
      <c r="M197" s="23"/>
      <c r="N197" s="20" t="n">
        <v>1</v>
      </c>
      <c r="O197" s="24"/>
      <c r="P197" s="20"/>
      <c r="Q197" s="20" t="n">
        <v>0</v>
      </c>
    </row>
    <row r="198" customFormat="false" ht="30" hidden="true" customHeight="true" outlineLevel="0" collapsed="false">
      <c r="A198" s="11" t="n">
        <v>32979661</v>
      </c>
      <c r="B198" s="12" t="s">
        <v>715</v>
      </c>
      <c r="C198" s="13" t="n">
        <v>894</v>
      </c>
      <c r="D198" s="14" t="s">
        <v>34</v>
      </c>
      <c r="E198" s="15" t="s">
        <v>22</v>
      </c>
      <c r="F198" s="15" t="s">
        <v>35</v>
      </c>
      <c r="G198" s="14" t="s">
        <v>50</v>
      </c>
      <c r="H198" s="16"/>
      <c r="I198" s="17"/>
      <c r="J198" s="15"/>
      <c r="K198" s="15" t="s">
        <v>25</v>
      </c>
      <c r="L198" s="18" t="n">
        <v>46252</v>
      </c>
      <c r="M198" s="23" t="n">
        <v>46243</v>
      </c>
      <c r="N198" s="24" t="n">
        <v>0</v>
      </c>
      <c r="O198" s="24"/>
      <c r="P198" s="20" t="n">
        <v>1</v>
      </c>
      <c r="Q198" s="20" t="n">
        <v>1</v>
      </c>
    </row>
    <row r="199" customFormat="false" ht="30" hidden="true" customHeight="true" outlineLevel="0" collapsed="false">
      <c r="A199" s="11" t="n">
        <v>32979981</v>
      </c>
      <c r="B199" s="12" t="s">
        <v>716</v>
      </c>
      <c r="C199" s="13" t="n">
        <v>897</v>
      </c>
      <c r="D199" s="14" t="s">
        <v>185</v>
      </c>
      <c r="E199" s="15" t="s">
        <v>22</v>
      </c>
      <c r="F199" s="15" t="s">
        <v>35</v>
      </c>
      <c r="G199" s="14" t="s">
        <v>186</v>
      </c>
      <c r="H199" s="16"/>
      <c r="I199" s="17"/>
      <c r="J199" s="15"/>
      <c r="K199" s="15" t="s">
        <v>37</v>
      </c>
      <c r="L199" s="18" t="n">
        <v>46229</v>
      </c>
      <c r="M199" s="23" t="n">
        <v>46229</v>
      </c>
      <c r="N199" s="20" t="n">
        <v>24</v>
      </c>
      <c r="O199" s="24"/>
      <c r="P199" s="20" t="n">
        <v>24</v>
      </c>
      <c r="Q199" s="20" t="n">
        <v>128.6</v>
      </c>
    </row>
    <row r="200" customFormat="false" ht="30" hidden="true" customHeight="true" outlineLevel="0" collapsed="false">
      <c r="A200" s="11" t="n">
        <v>32980018</v>
      </c>
      <c r="B200" s="12" t="s">
        <v>717</v>
      </c>
      <c r="C200" s="13" t="n">
        <v>898</v>
      </c>
      <c r="D200" s="14" t="s">
        <v>185</v>
      </c>
      <c r="E200" s="15" t="s">
        <v>22</v>
      </c>
      <c r="F200" s="15" t="s">
        <v>35</v>
      </c>
      <c r="G200" s="14" t="s">
        <v>186</v>
      </c>
      <c r="H200" s="16" t="s">
        <v>51</v>
      </c>
      <c r="I200" s="17"/>
      <c r="J200" s="15"/>
      <c r="K200" s="15" t="s">
        <v>37</v>
      </c>
      <c r="L200" s="18" t="n">
        <v>46224</v>
      </c>
      <c r="M200" s="23" t="n">
        <v>46224</v>
      </c>
      <c r="N200" s="20" t="n">
        <v>24</v>
      </c>
      <c r="O200" s="24"/>
      <c r="P200" s="20" t="n">
        <v>24</v>
      </c>
      <c r="Q200" s="20" t="n">
        <v>8</v>
      </c>
    </row>
    <row r="201" customFormat="false" ht="30" hidden="true" customHeight="true" outlineLevel="0" collapsed="false">
      <c r="A201" s="11" t="n">
        <v>32980020</v>
      </c>
      <c r="B201" s="12" t="s">
        <v>718</v>
      </c>
      <c r="C201" s="13" t="n">
        <v>899</v>
      </c>
      <c r="D201" s="14" t="s">
        <v>185</v>
      </c>
      <c r="E201" s="15" t="s">
        <v>22</v>
      </c>
      <c r="F201" s="15" t="s">
        <v>35</v>
      </c>
      <c r="G201" s="14" t="s">
        <v>186</v>
      </c>
      <c r="H201" s="16"/>
      <c r="I201" s="17"/>
      <c r="J201" s="15"/>
      <c r="K201" s="15" t="s">
        <v>37</v>
      </c>
      <c r="L201" s="18" t="n">
        <v>46229</v>
      </c>
      <c r="M201" s="23" t="n">
        <v>46229</v>
      </c>
      <c r="N201" s="20" t="n">
        <v>47</v>
      </c>
      <c r="O201" s="24"/>
      <c r="P201" s="20" t="n">
        <v>47</v>
      </c>
      <c r="Q201" s="20" t="n">
        <v>56.1</v>
      </c>
    </row>
    <row r="202" customFormat="false" ht="30" hidden="true" customHeight="true" outlineLevel="0" collapsed="false">
      <c r="A202" s="11" t="n">
        <v>32980022</v>
      </c>
      <c r="B202" s="12" t="s">
        <v>719</v>
      </c>
      <c r="C202" s="13" t="n">
        <v>900</v>
      </c>
      <c r="D202" s="14" t="s">
        <v>185</v>
      </c>
      <c r="E202" s="15" t="s">
        <v>22</v>
      </c>
      <c r="F202" s="15" t="s">
        <v>35</v>
      </c>
      <c r="G202" s="14" t="s">
        <v>186</v>
      </c>
      <c r="H202" s="16"/>
      <c r="I202" s="17"/>
      <c r="J202" s="15"/>
      <c r="K202" s="15" t="s">
        <v>37</v>
      </c>
      <c r="L202" s="18" t="n">
        <v>46256</v>
      </c>
      <c r="M202" s="23" t="n">
        <v>46253</v>
      </c>
      <c r="N202" s="20" t="n">
        <v>52</v>
      </c>
      <c r="O202" s="24"/>
      <c r="P202" s="20" t="n">
        <v>52</v>
      </c>
      <c r="Q202" s="20" t="n">
        <v>627.4</v>
      </c>
    </row>
    <row r="203" customFormat="false" ht="30" hidden="true" customHeight="true" outlineLevel="0" collapsed="false">
      <c r="A203" s="11" t="n">
        <v>81172702</v>
      </c>
      <c r="B203" s="12" t="s">
        <v>720</v>
      </c>
      <c r="C203" s="13" t="n">
        <v>905</v>
      </c>
      <c r="D203" s="14" t="s">
        <v>34</v>
      </c>
      <c r="E203" s="15" t="s">
        <v>28</v>
      </c>
      <c r="F203" s="15" t="s">
        <v>35</v>
      </c>
      <c r="G203" s="14" t="s">
        <v>208</v>
      </c>
      <c r="H203" s="16" t="s">
        <v>51</v>
      </c>
      <c r="I203" s="17"/>
      <c r="J203" s="15"/>
      <c r="K203" s="15" t="s">
        <v>37</v>
      </c>
      <c r="L203" s="18"/>
      <c r="M203" s="23"/>
      <c r="N203" s="20" t="n">
        <v>4</v>
      </c>
      <c r="O203" s="24"/>
      <c r="P203" s="20" t="n">
        <v>3.5</v>
      </c>
      <c r="Q203" s="20" t="n">
        <v>1204.7</v>
      </c>
    </row>
    <row r="204" customFormat="false" ht="15.75" hidden="true" customHeight="true" outlineLevel="0" collapsed="false">
      <c r="A204" s="11" t="n">
        <v>32930830</v>
      </c>
      <c r="B204" s="12" t="s">
        <v>721</v>
      </c>
      <c r="C204" s="13" t="n">
        <v>925</v>
      </c>
      <c r="D204" s="14" t="s">
        <v>34</v>
      </c>
      <c r="E204" s="15" t="s">
        <v>22</v>
      </c>
      <c r="F204" s="15" t="s">
        <v>35</v>
      </c>
      <c r="G204" s="14" t="s">
        <v>50</v>
      </c>
      <c r="H204" s="16"/>
      <c r="I204" s="17"/>
      <c r="J204" s="15"/>
      <c r="K204" s="15" t="s">
        <v>24</v>
      </c>
      <c r="L204" s="18" t="n">
        <v>46222</v>
      </c>
      <c r="M204" s="23" t="n">
        <v>46222</v>
      </c>
      <c r="N204" s="20" t="n">
        <v>2</v>
      </c>
      <c r="O204" s="24"/>
      <c r="P204" s="20" t="n">
        <v>4</v>
      </c>
      <c r="Q204" s="20" t="n">
        <v>4.42</v>
      </c>
    </row>
    <row r="205" customFormat="false" ht="30" hidden="true" customHeight="true" outlineLevel="0" collapsed="false">
      <c r="A205" s="11" t="n">
        <v>32980026</v>
      </c>
      <c r="B205" s="12" t="s">
        <v>722</v>
      </c>
      <c r="C205" s="13" t="n">
        <v>926</v>
      </c>
      <c r="D205" s="14" t="s">
        <v>185</v>
      </c>
      <c r="E205" s="15" t="s">
        <v>28</v>
      </c>
      <c r="F205" s="15" t="s">
        <v>35</v>
      </c>
      <c r="G205" s="14" t="s">
        <v>186</v>
      </c>
      <c r="H205" s="16" t="s">
        <v>51</v>
      </c>
      <c r="I205" s="17"/>
      <c r="J205" s="15"/>
      <c r="K205" s="15" t="s">
        <v>37</v>
      </c>
      <c r="L205" s="18"/>
      <c r="M205" s="23"/>
      <c r="N205" s="20" t="n">
        <v>24</v>
      </c>
      <c r="O205" s="24"/>
      <c r="P205" s="20"/>
      <c r="Q205" s="20" t="n">
        <v>0</v>
      </c>
    </row>
    <row r="206" customFormat="false" ht="30" hidden="true" customHeight="true" outlineLevel="0" collapsed="false">
      <c r="A206" s="11" t="n">
        <v>32980031</v>
      </c>
      <c r="B206" s="12" t="s">
        <v>723</v>
      </c>
      <c r="C206" s="13" t="n">
        <v>927</v>
      </c>
      <c r="D206" s="14" t="s">
        <v>185</v>
      </c>
      <c r="E206" s="15" t="s">
        <v>22</v>
      </c>
      <c r="F206" s="15" t="s">
        <v>35</v>
      </c>
      <c r="G206" s="14" t="s">
        <v>186</v>
      </c>
      <c r="H206" s="16" t="s">
        <v>51</v>
      </c>
      <c r="I206" s="17"/>
      <c r="J206" s="15"/>
      <c r="K206" s="15" t="s">
        <v>37</v>
      </c>
      <c r="L206" s="18" t="n">
        <v>46224</v>
      </c>
      <c r="M206" s="23" t="n">
        <v>46224</v>
      </c>
      <c r="N206" s="20" t="n">
        <v>1</v>
      </c>
      <c r="O206" s="24"/>
      <c r="P206" s="20" t="n">
        <v>1</v>
      </c>
      <c r="Q206" s="20" t="n">
        <v>1</v>
      </c>
    </row>
    <row r="207" customFormat="false" ht="30" hidden="true" customHeight="true" outlineLevel="0" collapsed="false">
      <c r="A207" s="11" t="n">
        <v>32980070</v>
      </c>
      <c r="B207" s="12" t="s">
        <v>724</v>
      </c>
      <c r="C207" s="13" t="n">
        <v>933</v>
      </c>
      <c r="D207" s="14" t="s">
        <v>185</v>
      </c>
      <c r="E207" s="15" t="s">
        <v>22</v>
      </c>
      <c r="F207" s="15" t="s">
        <v>35</v>
      </c>
      <c r="G207" s="14" t="s">
        <v>186</v>
      </c>
      <c r="H207" s="16" t="s">
        <v>51</v>
      </c>
      <c r="I207" s="17"/>
      <c r="J207" s="15"/>
      <c r="K207" s="15" t="s">
        <v>37</v>
      </c>
      <c r="L207" s="18" t="n">
        <v>46229</v>
      </c>
      <c r="M207" s="23" t="n">
        <v>46229</v>
      </c>
      <c r="N207" s="20" t="n">
        <v>6.5</v>
      </c>
      <c r="O207" s="24"/>
      <c r="P207" s="20" t="n">
        <v>6.5</v>
      </c>
      <c r="Q207" s="20" t="n">
        <v>59.3</v>
      </c>
    </row>
    <row r="208" customFormat="false" ht="30" hidden="true" customHeight="true" outlineLevel="0" collapsed="false">
      <c r="A208" s="11" t="n">
        <v>32980087</v>
      </c>
      <c r="B208" s="12" t="s">
        <v>725</v>
      </c>
      <c r="C208" s="13" t="n">
        <v>940</v>
      </c>
      <c r="D208" s="14" t="s">
        <v>185</v>
      </c>
      <c r="E208" s="15" t="s">
        <v>22</v>
      </c>
      <c r="F208" s="15" t="s">
        <v>35</v>
      </c>
      <c r="G208" s="14" t="s">
        <v>186</v>
      </c>
      <c r="H208" s="16" t="s">
        <v>51</v>
      </c>
      <c r="I208" s="17"/>
      <c r="J208" s="15"/>
      <c r="K208" s="15" t="s">
        <v>37</v>
      </c>
      <c r="L208" s="18" t="n">
        <v>46224</v>
      </c>
      <c r="M208" s="23" t="n">
        <v>46224</v>
      </c>
      <c r="N208" s="20" t="n">
        <v>3.5</v>
      </c>
      <c r="O208" s="24"/>
      <c r="P208" s="20" t="n">
        <v>3</v>
      </c>
      <c r="Q208" s="20" t="n">
        <v>1.5</v>
      </c>
    </row>
    <row r="209" customFormat="false" ht="30" hidden="true" customHeight="true" outlineLevel="0" collapsed="false">
      <c r="A209" s="11" t="n">
        <v>32980133</v>
      </c>
      <c r="B209" s="12" t="s">
        <v>726</v>
      </c>
      <c r="C209" s="13" t="n">
        <v>942</v>
      </c>
      <c r="D209" s="14" t="s">
        <v>185</v>
      </c>
      <c r="E209" s="15" t="s">
        <v>22</v>
      </c>
      <c r="F209" s="15" t="s">
        <v>35</v>
      </c>
      <c r="G209" s="14" t="s">
        <v>186</v>
      </c>
      <c r="H209" s="16" t="s">
        <v>51</v>
      </c>
      <c r="I209" s="17"/>
      <c r="J209" s="15"/>
      <c r="K209" s="15" t="s">
        <v>37</v>
      </c>
      <c r="L209" s="18" t="n">
        <v>46229</v>
      </c>
      <c r="M209" s="23" t="n">
        <v>46229</v>
      </c>
      <c r="N209" s="20" t="n">
        <v>29</v>
      </c>
      <c r="O209" s="24"/>
      <c r="P209" s="20" t="n">
        <v>29</v>
      </c>
      <c r="Q209" s="20" t="n">
        <v>128.6</v>
      </c>
    </row>
    <row r="210" customFormat="false" ht="15.75" hidden="true" customHeight="true" outlineLevel="0" collapsed="false">
      <c r="A210" s="11" t="s">
        <v>727</v>
      </c>
      <c r="B210" s="12" t="s">
        <v>728</v>
      </c>
      <c r="C210" s="13" t="n">
        <v>943</v>
      </c>
      <c r="D210" s="14" t="s">
        <v>34</v>
      </c>
      <c r="E210" s="15" t="s">
        <v>28</v>
      </c>
      <c r="F210" s="15" t="s">
        <v>35</v>
      </c>
      <c r="G210" s="14" t="s">
        <v>208</v>
      </c>
      <c r="H210" s="16"/>
      <c r="I210" s="17"/>
      <c r="J210" s="15"/>
      <c r="K210" s="15" t="s">
        <v>37</v>
      </c>
      <c r="L210" s="18"/>
      <c r="M210" s="23"/>
      <c r="N210" s="20" t="n">
        <v>1.5</v>
      </c>
      <c r="O210" s="24"/>
      <c r="P210" s="20"/>
      <c r="Q210" s="20" t="n">
        <v>0</v>
      </c>
    </row>
    <row r="211" customFormat="false" ht="15.75" hidden="true" customHeight="true" outlineLevel="0" collapsed="false">
      <c r="A211" s="11" t="n">
        <v>32917899</v>
      </c>
      <c r="B211" s="12" t="s">
        <v>729</v>
      </c>
      <c r="C211" s="13" t="n">
        <v>944</v>
      </c>
      <c r="D211" s="14" t="s">
        <v>21</v>
      </c>
      <c r="E211" s="15" t="s">
        <v>28</v>
      </c>
      <c r="F211" s="15" t="s">
        <v>35</v>
      </c>
      <c r="G211" s="14" t="s">
        <v>157</v>
      </c>
      <c r="H211" s="16"/>
      <c r="I211" s="17"/>
      <c r="J211" s="15"/>
      <c r="K211" s="15" t="s">
        <v>37</v>
      </c>
      <c r="L211" s="18"/>
      <c r="M211" s="23"/>
      <c r="N211" s="24" t="n">
        <v>0</v>
      </c>
      <c r="O211" s="24"/>
      <c r="P211" s="20"/>
      <c r="Q211" s="20" t="n">
        <v>0</v>
      </c>
    </row>
    <row r="212" customFormat="false" ht="15.75" hidden="true" customHeight="true" outlineLevel="0" collapsed="false">
      <c r="A212" s="11" t="n">
        <v>32420054</v>
      </c>
      <c r="B212" s="12" t="s">
        <v>730</v>
      </c>
      <c r="C212" s="13" t="n">
        <v>945</v>
      </c>
      <c r="D212" s="14" t="s">
        <v>21</v>
      </c>
      <c r="E212" s="15" t="s">
        <v>28</v>
      </c>
      <c r="F212" s="15" t="s">
        <v>35</v>
      </c>
      <c r="G212" s="14" t="s">
        <v>157</v>
      </c>
      <c r="H212" s="16"/>
      <c r="I212" s="17"/>
      <c r="J212" s="15"/>
      <c r="K212" s="15" t="s">
        <v>37</v>
      </c>
      <c r="L212" s="18"/>
      <c r="M212" s="23"/>
      <c r="N212" s="24" t="n">
        <v>0</v>
      </c>
      <c r="O212" s="24"/>
      <c r="P212" s="20"/>
      <c r="Q212" s="20" t="n">
        <v>0</v>
      </c>
    </row>
    <row r="213" customFormat="false" ht="30" hidden="true" customHeight="true" outlineLevel="0" collapsed="false">
      <c r="A213" s="11" t="n">
        <v>32980135</v>
      </c>
      <c r="B213" s="12" t="s">
        <v>731</v>
      </c>
      <c r="C213" s="13" t="n">
        <v>946</v>
      </c>
      <c r="D213" s="14" t="s">
        <v>185</v>
      </c>
      <c r="E213" s="15" t="s">
        <v>22</v>
      </c>
      <c r="F213" s="15" t="s">
        <v>35</v>
      </c>
      <c r="G213" s="14" t="s">
        <v>186</v>
      </c>
      <c r="H213" s="16"/>
      <c r="I213" s="17"/>
      <c r="J213" s="15"/>
      <c r="K213" s="15" t="s">
        <v>37</v>
      </c>
      <c r="L213" s="18" t="n">
        <v>46225</v>
      </c>
      <c r="M213" s="23" t="n">
        <v>46225</v>
      </c>
      <c r="N213" s="20" t="n">
        <v>2</v>
      </c>
      <c r="O213" s="24"/>
      <c r="P213" s="20" t="n">
        <v>2</v>
      </c>
      <c r="Q213" s="20" t="n">
        <v>2</v>
      </c>
    </row>
    <row r="214" customFormat="false" ht="15.75" hidden="true" customHeight="true" outlineLevel="0" collapsed="false">
      <c r="A214" s="11" t="s">
        <v>732</v>
      </c>
      <c r="B214" s="12" t="s">
        <v>733</v>
      </c>
      <c r="C214" s="13" t="n">
        <v>947</v>
      </c>
      <c r="D214" s="14" t="s">
        <v>21</v>
      </c>
      <c r="E214" s="15" t="s">
        <v>28</v>
      </c>
      <c r="F214" s="15" t="s">
        <v>35</v>
      </c>
      <c r="G214" s="14" t="s">
        <v>157</v>
      </c>
      <c r="H214" s="16"/>
      <c r="I214" s="17"/>
      <c r="J214" s="15"/>
      <c r="K214" s="15" t="s">
        <v>37</v>
      </c>
      <c r="L214" s="18"/>
      <c r="M214" s="23"/>
      <c r="N214" s="20" t="n">
        <v>2.83</v>
      </c>
      <c r="O214" s="24"/>
      <c r="P214" s="20"/>
      <c r="Q214" s="20" t="n">
        <v>0</v>
      </c>
    </row>
    <row r="215" customFormat="false" ht="15.75" hidden="true" customHeight="true" outlineLevel="0" collapsed="false">
      <c r="A215" s="11" t="s">
        <v>734</v>
      </c>
      <c r="B215" s="12" t="s">
        <v>735</v>
      </c>
      <c r="C215" s="13" t="n">
        <v>948</v>
      </c>
      <c r="D215" s="14" t="s">
        <v>21</v>
      </c>
      <c r="E215" s="15" t="s">
        <v>28</v>
      </c>
      <c r="F215" s="15" t="s">
        <v>35</v>
      </c>
      <c r="G215" s="14" t="s">
        <v>157</v>
      </c>
      <c r="H215" s="16"/>
      <c r="I215" s="17"/>
      <c r="J215" s="15"/>
      <c r="K215" s="15" t="s">
        <v>37</v>
      </c>
      <c r="L215" s="18"/>
      <c r="M215" s="23"/>
      <c r="N215" s="20" t="n">
        <v>5.92</v>
      </c>
      <c r="O215" s="24"/>
      <c r="P215" s="20"/>
      <c r="Q215" s="20" t="n">
        <v>0</v>
      </c>
    </row>
    <row r="216" customFormat="false" ht="30" hidden="true" customHeight="true" outlineLevel="0" collapsed="false">
      <c r="A216" s="11" t="n">
        <v>32981647</v>
      </c>
      <c r="B216" s="12" t="s">
        <v>736</v>
      </c>
      <c r="C216" s="13" t="n">
        <v>956</v>
      </c>
      <c r="D216" s="14" t="s">
        <v>34</v>
      </c>
      <c r="E216" s="15" t="s">
        <v>22</v>
      </c>
      <c r="F216" s="15" t="s">
        <v>35</v>
      </c>
      <c r="G216" s="14" t="s">
        <v>50</v>
      </c>
      <c r="H216" s="16"/>
      <c r="I216" s="17"/>
      <c r="J216" s="15"/>
      <c r="K216" s="15" t="s">
        <v>30</v>
      </c>
      <c r="L216" s="18" t="n">
        <v>46233</v>
      </c>
      <c r="M216" s="23" t="n">
        <v>46233</v>
      </c>
      <c r="N216" s="24" t="n">
        <v>0</v>
      </c>
      <c r="O216" s="24"/>
      <c r="P216" s="20" t="n">
        <v>14</v>
      </c>
      <c r="Q216" s="20" t="n">
        <v>577.9</v>
      </c>
    </row>
    <row r="217" customFormat="false" ht="30" hidden="true" customHeight="true" outlineLevel="0" collapsed="false">
      <c r="A217" s="11" t="n">
        <v>32981683</v>
      </c>
      <c r="B217" s="12" t="s">
        <v>737</v>
      </c>
      <c r="C217" s="13" t="n">
        <v>957</v>
      </c>
      <c r="D217" s="14" t="s">
        <v>185</v>
      </c>
      <c r="E217" s="15" t="s">
        <v>28</v>
      </c>
      <c r="F217" s="15" t="s">
        <v>35</v>
      </c>
      <c r="G217" s="14" t="s">
        <v>186</v>
      </c>
      <c r="H217" s="16" t="s">
        <v>51</v>
      </c>
      <c r="I217" s="17"/>
      <c r="J217" s="15"/>
      <c r="K217" s="15" t="s">
        <v>37</v>
      </c>
      <c r="L217" s="18"/>
      <c r="M217" s="23"/>
      <c r="N217" s="20" t="n">
        <v>3</v>
      </c>
      <c r="O217" s="24"/>
      <c r="P217" s="20"/>
      <c r="Q217" s="20" t="n">
        <v>0</v>
      </c>
    </row>
    <row r="218" customFormat="false" ht="30" hidden="true" customHeight="true" outlineLevel="0" collapsed="false">
      <c r="A218" s="11" t="n">
        <v>32981716</v>
      </c>
      <c r="B218" s="12" t="s">
        <v>738</v>
      </c>
      <c r="C218" s="13" t="n">
        <v>958</v>
      </c>
      <c r="D218" s="14" t="s">
        <v>185</v>
      </c>
      <c r="E218" s="15" t="s">
        <v>22</v>
      </c>
      <c r="F218" s="15" t="s">
        <v>35</v>
      </c>
      <c r="G218" s="14" t="s">
        <v>186</v>
      </c>
      <c r="H218" s="16" t="s">
        <v>51</v>
      </c>
      <c r="I218" s="17"/>
      <c r="J218" s="15"/>
      <c r="K218" s="15" t="s">
        <v>37</v>
      </c>
      <c r="L218" s="18" t="n">
        <v>46225</v>
      </c>
      <c r="M218" s="23" t="n">
        <v>46225</v>
      </c>
      <c r="N218" s="20" t="n">
        <v>2</v>
      </c>
      <c r="O218" s="24"/>
      <c r="P218" s="20" t="n">
        <v>2</v>
      </c>
      <c r="Q218" s="20" t="n">
        <v>2.02</v>
      </c>
    </row>
    <row r="219" customFormat="false" ht="30" hidden="true" customHeight="true" outlineLevel="0" collapsed="false">
      <c r="A219" s="11" t="n">
        <v>32981721</v>
      </c>
      <c r="B219" s="12" t="s">
        <v>739</v>
      </c>
      <c r="C219" s="13" t="n">
        <v>959</v>
      </c>
      <c r="D219" s="14" t="s">
        <v>185</v>
      </c>
      <c r="E219" s="15" t="s">
        <v>22</v>
      </c>
      <c r="F219" s="15" t="s">
        <v>35</v>
      </c>
      <c r="G219" s="14" t="s">
        <v>186</v>
      </c>
      <c r="H219" s="16" t="s">
        <v>51</v>
      </c>
      <c r="I219" s="17"/>
      <c r="J219" s="15"/>
      <c r="K219" s="15" t="s">
        <v>37</v>
      </c>
      <c r="L219" s="18" t="n">
        <v>46225</v>
      </c>
      <c r="M219" s="23" t="n">
        <v>46225</v>
      </c>
      <c r="N219" s="20" t="n">
        <v>6</v>
      </c>
      <c r="O219" s="24"/>
      <c r="P219" s="20" t="n">
        <v>6</v>
      </c>
      <c r="Q219" s="20" t="n">
        <v>6.02</v>
      </c>
    </row>
    <row r="220" customFormat="false" ht="30" hidden="true" customHeight="true" outlineLevel="0" collapsed="false">
      <c r="A220" s="11" t="n">
        <v>32981726</v>
      </c>
      <c r="B220" s="12" t="s">
        <v>740</v>
      </c>
      <c r="C220" s="13" t="n">
        <v>960</v>
      </c>
      <c r="D220" s="14" t="s">
        <v>185</v>
      </c>
      <c r="E220" s="15" t="s">
        <v>22</v>
      </c>
      <c r="F220" s="15" t="s">
        <v>35</v>
      </c>
      <c r="G220" s="14" t="s">
        <v>186</v>
      </c>
      <c r="H220" s="16" t="s">
        <v>51</v>
      </c>
      <c r="I220" s="17"/>
      <c r="J220" s="15"/>
      <c r="K220" s="15" t="s">
        <v>37</v>
      </c>
      <c r="L220" s="18" t="n">
        <v>46256</v>
      </c>
      <c r="M220" s="23" t="n">
        <v>46253</v>
      </c>
      <c r="N220" s="20" t="n">
        <v>6</v>
      </c>
      <c r="O220" s="24"/>
      <c r="P220" s="20" t="n">
        <v>6.5</v>
      </c>
      <c r="Q220" s="20" t="n">
        <v>6.5</v>
      </c>
    </row>
    <row r="221" customFormat="false" ht="30" hidden="true" customHeight="true" outlineLevel="0" collapsed="false">
      <c r="A221" s="11" t="n">
        <v>32981754</v>
      </c>
      <c r="B221" s="12" t="s">
        <v>741</v>
      </c>
      <c r="C221" s="13" t="n">
        <v>961</v>
      </c>
      <c r="D221" s="14" t="s">
        <v>185</v>
      </c>
      <c r="E221" s="15" t="s">
        <v>22</v>
      </c>
      <c r="F221" s="15" t="s">
        <v>35</v>
      </c>
      <c r="G221" s="14" t="s">
        <v>186</v>
      </c>
      <c r="H221" s="16" t="s">
        <v>51</v>
      </c>
      <c r="I221" s="17"/>
      <c r="J221" s="15"/>
      <c r="K221" s="15" t="s">
        <v>37</v>
      </c>
      <c r="L221" s="18" t="n">
        <v>46224</v>
      </c>
      <c r="M221" s="23" t="n">
        <v>46224</v>
      </c>
      <c r="N221" s="20" t="n">
        <v>5</v>
      </c>
      <c r="O221" s="24"/>
      <c r="P221" s="20" t="n">
        <v>5</v>
      </c>
      <c r="Q221" s="20" t="n">
        <v>3</v>
      </c>
    </row>
    <row r="222" customFormat="false" ht="30" hidden="true" customHeight="true" outlineLevel="0" collapsed="false">
      <c r="A222" s="11" t="n">
        <v>32981772</v>
      </c>
      <c r="B222" s="12" t="s">
        <v>742</v>
      </c>
      <c r="C222" s="13" t="n">
        <v>962</v>
      </c>
      <c r="D222" s="14" t="s">
        <v>185</v>
      </c>
      <c r="E222" s="15" t="s">
        <v>22</v>
      </c>
      <c r="F222" s="15" t="s">
        <v>35</v>
      </c>
      <c r="G222" s="14" t="s">
        <v>186</v>
      </c>
      <c r="H222" s="16" t="s">
        <v>51</v>
      </c>
      <c r="I222" s="17"/>
      <c r="J222" s="15"/>
      <c r="K222" s="15" t="s">
        <v>37</v>
      </c>
      <c r="L222" s="18" t="n">
        <v>46229</v>
      </c>
      <c r="M222" s="23" t="n">
        <v>46229</v>
      </c>
      <c r="N222" s="20" t="n">
        <v>2</v>
      </c>
      <c r="O222" s="24"/>
      <c r="P222" s="20" t="n">
        <v>2</v>
      </c>
      <c r="Q222" s="20" t="n">
        <v>44.3</v>
      </c>
    </row>
    <row r="223" customFormat="false" ht="30" hidden="true" customHeight="true" outlineLevel="0" collapsed="false">
      <c r="A223" s="11" t="n">
        <v>32981774</v>
      </c>
      <c r="B223" s="12" t="s">
        <v>743</v>
      </c>
      <c r="C223" s="13" t="n">
        <v>963</v>
      </c>
      <c r="D223" s="14" t="s">
        <v>185</v>
      </c>
      <c r="E223" s="15" t="s">
        <v>22</v>
      </c>
      <c r="F223" s="15" t="s">
        <v>35</v>
      </c>
      <c r="G223" s="14" t="s">
        <v>186</v>
      </c>
      <c r="H223" s="16" t="s">
        <v>51</v>
      </c>
      <c r="I223" s="17"/>
      <c r="J223" s="15"/>
      <c r="K223" s="15" t="s">
        <v>37</v>
      </c>
      <c r="L223" s="18" t="n">
        <v>46225</v>
      </c>
      <c r="M223" s="23" t="n">
        <v>46225</v>
      </c>
      <c r="N223" s="20" t="n">
        <v>2</v>
      </c>
      <c r="O223" s="24"/>
      <c r="P223" s="20" t="n">
        <v>2</v>
      </c>
      <c r="Q223" s="20" t="n">
        <v>2.02</v>
      </c>
    </row>
    <row r="224" customFormat="false" ht="30" hidden="true" customHeight="true" outlineLevel="0" collapsed="false">
      <c r="A224" s="11" t="n">
        <v>32981816</v>
      </c>
      <c r="B224" s="12" t="s">
        <v>744</v>
      </c>
      <c r="C224" s="13" t="n">
        <v>964</v>
      </c>
      <c r="D224" s="14" t="s">
        <v>185</v>
      </c>
      <c r="E224" s="15" t="s">
        <v>22</v>
      </c>
      <c r="F224" s="15" t="s">
        <v>35</v>
      </c>
      <c r="G224" s="14" t="s">
        <v>186</v>
      </c>
      <c r="H224" s="16" t="s">
        <v>51</v>
      </c>
      <c r="I224" s="17"/>
      <c r="J224" s="15"/>
      <c r="K224" s="15" t="s">
        <v>37</v>
      </c>
      <c r="L224" s="18" t="n">
        <v>46256</v>
      </c>
      <c r="M224" s="23" t="n">
        <v>46253</v>
      </c>
      <c r="N224" s="20" t="n">
        <v>32.5</v>
      </c>
      <c r="O224" s="24"/>
      <c r="P224" s="20" t="n">
        <v>32.5</v>
      </c>
      <c r="Q224" s="20" t="n">
        <v>27.8</v>
      </c>
    </row>
    <row r="225" customFormat="false" ht="15.75" hidden="true" customHeight="true" outlineLevel="0" collapsed="false">
      <c r="A225" s="11" t="n">
        <v>32982133</v>
      </c>
      <c r="B225" s="12" t="s">
        <v>745</v>
      </c>
      <c r="C225" s="13" t="n">
        <v>965</v>
      </c>
      <c r="D225" s="14" t="s">
        <v>49</v>
      </c>
      <c r="E225" s="15" t="s">
        <v>22</v>
      </c>
      <c r="F225" s="15" t="s">
        <v>35</v>
      </c>
      <c r="G225" s="14" t="s">
        <v>50</v>
      </c>
      <c r="H225" s="16" t="s">
        <v>51</v>
      </c>
      <c r="I225" s="17" t="s">
        <v>746</v>
      </c>
      <c r="J225" s="15"/>
      <c r="K225" s="15" t="s">
        <v>25</v>
      </c>
      <c r="L225" s="18" t="n">
        <v>46259</v>
      </c>
      <c r="M225" s="23" t="n">
        <v>46223</v>
      </c>
      <c r="N225" s="24" t="n">
        <v>0</v>
      </c>
      <c r="O225" s="24"/>
      <c r="P225" s="20" t="n">
        <v>4.5</v>
      </c>
      <c r="Q225" s="20" t="n">
        <v>792.1</v>
      </c>
    </row>
    <row r="226" customFormat="false" ht="30" hidden="true" customHeight="true" outlineLevel="0" collapsed="false">
      <c r="A226" s="11" t="n">
        <v>32982172</v>
      </c>
      <c r="B226" s="12" t="s">
        <v>747</v>
      </c>
      <c r="C226" s="13" t="n">
        <v>966</v>
      </c>
      <c r="D226" s="14" t="s">
        <v>67</v>
      </c>
      <c r="E226" s="15" t="s">
        <v>28</v>
      </c>
      <c r="F226" s="15" t="s">
        <v>35</v>
      </c>
      <c r="G226" s="14" t="s">
        <v>748</v>
      </c>
      <c r="H226" s="16"/>
      <c r="I226" s="17" t="s">
        <v>749</v>
      </c>
      <c r="J226" s="15"/>
      <c r="K226" s="15" t="s">
        <v>30</v>
      </c>
      <c r="L226" s="18"/>
      <c r="M226" s="23"/>
      <c r="N226" s="20" t="n">
        <v>8</v>
      </c>
      <c r="O226" s="24"/>
      <c r="P226" s="20" t="n">
        <v>0.5</v>
      </c>
      <c r="Q226" s="20" t="n">
        <v>628.2</v>
      </c>
    </row>
    <row r="227" customFormat="false" ht="15.75" hidden="true" customHeight="true" outlineLevel="0" collapsed="false">
      <c r="A227" s="11" t="n">
        <v>32982191</v>
      </c>
      <c r="B227" s="12" t="s">
        <v>750</v>
      </c>
      <c r="C227" s="13" t="n">
        <v>967</v>
      </c>
      <c r="D227" s="14" t="s">
        <v>34</v>
      </c>
      <c r="E227" s="15" t="s">
        <v>22</v>
      </c>
      <c r="F227" s="15" t="s">
        <v>35</v>
      </c>
      <c r="G227" s="14" t="s">
        <v>748</v>
      </c>
      <c r="H227" s="16"/>
      <c r="I227" s="17"/>
      <c r="J227" s="15"/>
      <c r="K227" s="15" t="s">
        <v>30</v>
      </c>
      <c r="L227" s="18" t="n">
        <v>46223</v>
      </c>
      <c r="M227" s="23" t="n">
        <v>46223</v>
      </c>
      <c r="N227" s="24" t="n">
        <v>0</v>
      </c>
      <c r="O227" s="24"/>
      <c r="P227" s="20" t="n">
        <v>6</v>
      </c>
      <c r="Q227" s="20" t="n">
        <v>2.17</v>
      </c>
    </row>
    <row r="228" customFormat="false" ht="15.75" hidden="true" customHeight="true" outlineLevel="0" collapsed="false">
      <c r="A228" s="11" t="n">
        <v>32982194</v>
      </c>
      <c r="B228" s="12" t="s">
        <v>751</v>
      </c>
      <c r="C228" s="13" t="n">
        <v>968</v>
      </c>
      <c r="D228" s="14" t="s">
        <v>34</v>
      </c>
      <c r="E228" s="15" t="s">
        <v>28</v>
      </c>
      <c r="F228" s="15" t="s">
        <v>141</v>
      </c>
      <c r="G228" s="14" t="s">
        <v>50</v>
      </c>
      <c r="H228" s="16"/>
      <c r="I228" s="17"/>
      <c r="J228" s="15"/>
      <c r="K228" s="15" t="s">
        <v>30</v>
      </c>
      <c r="L228" s="18"/>
      <c r="M228" s="23"/>
      <c r="N228" s="24" t="n">
        <v>0</v>
      </c>
      <c r="O228" s="24"/>
      <c r="P228" s="20" t="n">
        <v>7.5</v>
      </c>
      <c r="Q228" s="20" t="n">
        <v>789</v>
      </c>
    </row>
    <row r="229" customFormat="false" ht="15.75" hidden="true" customHeight="true" outlineLevel="0" collapsed="false">
      <c r="A229" s="11" t="n">
        <v>32982195</v>
      </c>
      <c r="B229" s="12" t="s">
        <v>752</v>
      </c>
      <c r="C229" s="13" t="n">
        <v>969</v>
      </c>
      <c r="D229" s="14" t="s">
        <v>34</v>
      </c>
      <c r="E229" s="15" t="s">
        <v>28</v>
      </c>
      <c r="F229" s="15" t="s">
        <v>35</v>
      </c>
      <c r="G229" s="14" t="s">
        <v>50</v>
      </c>
      <c r="H229" s="16"/>
      <c r="I229" s="17"/>
      <c r="J229" s="15"/>
      <c r="K229" s="15" t="s">
        <v>30</v>
      </c>
      <c r="L229" s="18"/>
      <c r="M229" s="23"/>
      <c r="N229" s="24" t="n">
        <v>0</v>
      </c>
      <c r="O229" s="24"/>
      <c r="P229" s="20"/>
      <c r="Q229" s="20" t="n">
        <v>0</v>
      </c>
    </row>
    <row r="230" customFormat="false" ht="15.75" hidden="true" customHeight="true" outlineLevel="0" collapsed="false">
      <c r="A230" s="11" t="n">
        <v>32982197</v>
      </c>
      <c r="B230" s="12" t="s">
        <v>753</v>
      </c>
      <c r="C230" s="13" t="n">
        <v>970</v>
      </c>
      <c r="D230" s="14" t="s">
        <v>34</v>
      </c>
      <c r="E230" s="15" t="s">
        <v>28</v>
      </c>
      <c r="F230" s="15" t="s">
        <v>141</v>
      </c>
      <c r="G230" s="14" t="s">
        <v>50</v>
      </c>
      <c r="H230" s="16"/>
      <c r="I230" s="17"/>
      <c r="J230" s="15"/>
      <c r="K230" s="15" t="s">
        <v>30</v>
      </c>
      <c r="L230" s="18"/>
      <c r="M230" s="23"/>
      <c r="N230" s="24" t="n">
        <v>0</v>
      </c>
      <c r="O230" s="24"/>
      <c r="P230" s="20" t="n">
        <v>9.5</v>
      </c>
      <c r="Q230" s="20" t="n">
        <v>814.2</v>
      </c>
    </row>
    <row r="231" customFormat="false" ht="31.5" hidden="false" customHeight="true" outlineLevel="0" collapsed="false">
      <c r="A231" s="11" t="n">
        <v>32982199</v>
      </c>
      <c r="B231" s="12" t="s">
        <v>754</v>
      </c>
      <c r="C231" s="13" t="n">
        <v>971</v>
      </c>
      <c r="D231" s="14" t="s">
        <v>61</v>
      </c>
      <c r="E231" s="15" t="s">
        <v>28</v>
      </c>
      <c r="F231" s="15" t="s">
        <v>141</v>
      </c>
      <c r="G231" s="14" t="s">
        <v>50</v>
      </c>
      <c r="H231" s="16" t="s">
        <v>51</v>
      </c>
      <c r="I231" s="17"/>
      <c r="J231" s="15"/>
      <c r="K231" s="15" t="s">
        <v>25</v>
      </c>
      <c r="L231" s="18"/>
      <c r="M231" s="23"/>
      <c r="N231" s="24" t="n">
        <v>0</v>
      </c>
      <c r="O231" s="24"/>
      <c r="P231" s="20" t="n">
        <v>1.5</v>
      </c>
      <c r="Q231" s="20" t="n">
        <v>811.9</v>
      </c>
    </row>
    <row r="232" customFormat="false" ht="31.5" hidden="true" customHeight="true" outlineLevel="0" collapsed="false">
      <c r="A232" s="11" t="n">
        <v>32982200</v>
      </c>
      <c r="B232" s="12" t="s">
        <v>755</v>
      </c>
      <c r="C232" s="13" t="n">
        <v>972</v>
      </c>
      <c r="D232" s="14" t="s">
        <v>61</v>
      </c>
      <c r="E232" s="15" t="s">
        <v>28</v>
      </c>
      <c r="F232" s="15" t="s">
        <v>141</v>
      </c>
      <c r="G232" s="14" t="s">
        <v>50</v>
      </c>
      <c r="H232" s="16" t="s">
        <v>51</v>
      </c>
      <c r="I232" s="17"/>
      <c r="J232" s="15"/>
      <c r="K232" s="15" t="s">
        <v>30</v>
      </c>
      <c r="L232" s="18"/>
      <c r="M232" s="23"/>
      <c r="N232" s="24" t="n">
        <v>0</v>
      </c>
      <c r="O232" s="24"/>
      <c r="P232" s="20" t="n">
        <v>2</v>
      </c>
      <c r="Q232" s="20" t="n">
        <v>812.1</v>
      </c>
    </row>
    <row r="233" customFormat="false" ht="31.5" hidden="true" customHeight="true" outlineLevel="0" collapsed="false">
      <c r="A233" s="11" t="n">
        <v>32982202</v>
      </c>
      <c r="B233" s="12" t="s">
        <v>756</v>
      </c>
      <c r="C233" s="13" t="n">
        <v>973</v>
      </c>
      <c r="D233" s="14" t="s">
        <v>61</v>
      </c>
      <c r="E233" s="15" t="s">
        <v>28</v>
      </c>
      <c r="F233" s="15" t="s">
        <v>141</v>
      </c>
      <c r="G233" s="14" t="s">
        <v>50</v>
      </c>
      <c r="H233" s="16" t="s">
        <v>51</v>
      </c>
      <c r="I233" s="17"/>
      <c r="J233" s="15"/>
      <c r="K233" s="15" t="s">
        <v>30</v>
      </c>
      <c r="L233" s="18"/>
      <c r="M233" s="23"/>
      <c r="N233" s="24" t="n">
        <v>0</v>
      </c>
      <c r="O233" s="24"/>
      <c r="P233" s="20"/>
      <c r="Q233" s="20" t="n">
        <v>49</v>
      </c>
    </row>
    <row r="234" customFormat="false" ht="30" hidden="false" customHeight="true" outlineLevel="0" collapsed="false">
      <c r="A234" s="11" t="n">
        <v>32982203</v>
      </c>
      <c r="B234" s="12" t="s">
        <v>757</v>
      </c>
      <c r="C234" s="13" t="n">
        <v>974</v>
      </c>
      <c r="D234" s="14" t="s">
        <v>61</v>
      </c>
      <c r="E234" s="15" t="s">
        <v>28</v>
      </c>
      <c r="F234" s="15" t="s">
        <v>141</v>
      </c>
      <c r="G234" s="14" t="s">
        <v>50</v>
      </c>
      <c r="H234" s="16"/>
      <c r="I234" s="17"/>
      <c r="J234" s="15"/>
      <c r="K234" s="15" t="s">
        <v>25</v>
      </c>
      <c r="L234" s="18"/>
      <c r="M234" s="23"/>
      <c r="N234" s="24" t="n">
        <v>0</v>
      </c>
      <c r="O234" s="24"/>
      <c r="P234" s="20" t="n">
        <v>4</v>
      </c>
      <c r="Q234" s="20" t="n">
        <v>812.4</v>
      </c>
    </row>
    <row r="235" customFormat="false" ht="30" hidden="false" customHeight="true" outlineLevel="0" collapsed="false">
      <c r="A235" s="11" t="n">
        <v>32983996</v>
      </c>
      <c r="B235" s="12" t="s">
        <v>758</v>
      </c>
      <c r="C235" s="13" t="n">
        <v>992</v>
      </c>
      <c r="D235" s="14" t="s">
        <v>34</v>
      </c>
      <c r="E235" s="15" t="s">
        <v>28</v>
      </c>
      <c r="F235" s="15" t="s">
        <v>35</v>
      </c>
      <c r="G235" s="14" t="s">
        <v>50</v>
      </c>
      <c r="H235" s="16" t="s">
        <v>51</v>
      </c>
      <c r="I235" s="17"/>
      <c r="J235" s="15"/>
      <c r="K235" s="15" t="s">
        <v>24</v>
      </c>
      <c r="L235" s="18"/>
      <c r="M235" s="23"/>
      <c r="N235" s="20" t="n">
        <v>8.5</v>
      </c>
      <c r="O235" s="24"/>
      <c r="P235" s="20"/>
      <c r="Q235" s="20" t="n">
        <v>82.1</v>
      </c>
    </row>
    <row r="236" customFormat="false" ht="30" hidden="true" customHeight="true" outlineLevel="0" collapsed="false">
      <c r="A236" s="11" t="n">
        <v>32984263</v>
      </c>
      <c r="B236" s="12" t="s">
        <v>759</v>
      </c>
      <c r="C236" s="13" t="n">
        <v>999</v>
      </c>
      <c r="D236" s="14" t="s">
        <v>185</v>
      </c>
      <c r="E236" s="15" t="s">
        <v>28</v>
      </c>
      <c r="F236" s="15" t="s">
        <v>35</v>
      </c>
      <c r="G236" s="14" t="s">
        <v>186</v>
      </c>
      <c r="H236" s="16"/>
      <c r="I236" s="17"/>
      <c r="J236" s="15"/>
      <c r="K236" s="15" t="s">
        <v>37</v>
      </c>
      <c r="L236" s="18"/>
      <c r="M236" s="23"/>
      <c r="N236" s="20" t="n">
        <v>10</v>
      </c>
      <c r="O236" s="24"/>
      <c r="P236" s="20" t="n">
        <v>9.5</v>
      </c>
      <c r="Q236" s="20" t="n">
        <v>750.9</v>
      </c>
    </row>
    <row r="237" customFormat="false" ht="30" hidden="true" customHeight="true" outlineLevel="0" collapsed="false">
      <c r="A237" s="11" t="n">
        <v>32984585</v>
      </c>
      <c r="B237" s="12" t="s">
        <v>760</v>
      </c>
      <c r="C237" s="13" t="n">
        <v>1003</v>
      </c>
      <c r="D237" s="14" t="s">
        <v>185</v>
      </c>
      <c r="E237" s="15" t="s">
        <v>28</v>
      </c>
      <c r="F237" s="15" t="s">
        <v>35</v>
      </c>
      <c r="G237" s="14" t="s">
        <v>186</v>
      </c>
      <c r="H237" s="16"/>
      <c r="I237" s="17"/>
      <c r="J237" s="15"/>
      <c r="K237" s="15" t="s">
        <v>37</v>
      </c>
      <c r="L237" s="18"/>
      <c r="M237" s="23"/>
      <c r="N237" s="20" t="n">
        <v>12</v>
      </c>
      <c r="O237" s="24"/>
      <c r="P237" s="20" t="n">
        <v>11.5</v>
      </c>
      <c r="Q237" s="20" t="n">
        <v>779.4</v>
      </c>
    </row>
    <row r="238" customFormat="false" ht="30" hidden="true" customHeight="true" outlineLevel="0" collapsed="false">
      <c r="A238" s="11" t="n">
        <v>32984729</v>
      </c>
      <c r="B238" s="12" t="s">
        <v>761</v>
      </c>
      <c r="C238" s="13" t="n">
        <v>1004</v>
      </c>
      <c r="D238" s="14" t="s">
        <v>67</v>
      </c>
      <c r="E238" s="15" t="s">
        <v>22</v>
      </c>
      <c r="F238" s="15" t="s">
        <v>35</v>
      </c>
      <c r="G238" s="14" t="s">
        <v>50</v>
      </c>
      <c r="H238" s="16" t="s">
        <v>51</v>
      </c>
      <c r="I238" s="17"/>
      <c r="J238" s="15"/>
      <c r="K238" s="15" t="s">
        <v>30</v>
      </c>
      <c r="L238" s="18" t="n">
        <v>46259</v>
      </c>
      <c r="M238" s="23" t="n">
        <v>46258</v>
      </c>
      <c r="N238" s="20" t="n">
        <v>3</v>
      </c>
      <c r="O238" s="24"/>
      <c r="P238" s="20"/>
      <c r="Q238" s="20" t="n">
        <v>58.1</v>
      </c>
    </row>
    <row r="239" customFormat="false" ht="30" hidden="true" customHeight="true" outlineLevel="0" collapsed="false">
      <c r="A239" s="11" t="n">
        <v>32984742</v>
      </c>
      <c r="B239" s="12" t="s">
        <v>762</v>
      </c>
      <c r="C239" s="13" t="n">
        <v>1005</v>
      </c>
      <c r="D239" s="14" t="s">
        <v>67</v>
      </c>
      <c r="E239" s="15" t="s">
        <v>22</v>
      </c>
      <c r="F239" s="15" t="s">
        <v>35</v>
      </c>
      <c r="G239" s="14" t="s">
        <v>50</v>
      </c>
      <c r="H239" s="16" t="s">
        <v>51</v>
      </c>
      <c r="I239" s="17"/>
      <c r="J239" s="15"/>
      <c r="K239" s="15" t="s">
        <v>30</v>
      </c>
      <c r="L239" s="18" t="n">
        <v>46259</v>
      </c>
      <c r="M239" s="23" t="n">
        <v>46258</v>
      </c>
      <c r="N239" s="20" t="n">
        <v>2</v>
      </c>
      <c r="O239" s="24"/>
      <c r="P239" s="20"/>
      <c r="Q239" s="20" t="n">
        <v>0</v>
      </c>
    </row>
    <row r="240" customFormat="false" ht="30" hidden="true" customHeight="true" outlineLevel="0" collapsed="false">
      <c r="A240" s="11" t="n">
        <v>32984765</v>
      </c>
      <c r="B240" s="12" t="s">
        <v>763</v>
      </c>
      <c r="C240" s="13" t="n">
        <v>1006</v>
      </c>
      <c r="D240" s="14" t="s">
        <v>67</v>
      </c>
      <c r="E240" s="15" t="s">
        <v>22</v>
      </c>
      <c r="F240" s="15" t="s">
        <v>35</v>
      </c>
      <c r="G240" s="14" t="s">
        <v>50</v>
      </c>
      <c r="H240" s="16" t="s">
        <v>51</v>
      </c>
      <c r="I240" s="17"/>
      <c r="J240" s="15"/>
      <c r="K240" s="15" t="s">
        <v>30</v>
      </c>
      <c r="L240" s="18" t="n">
        <v>46259</v>
      </c>
      <c r="M240" s="23" t="n">
        <v>46258</v>
      </c>
      <c r="N240" s="20" t="n">
        <v>2</v>
      </c>
      <c r="O240" s="24"/>
      <c r="P240" s="20"/>
      <c r="Q240" s="20" t="n">
        <v>10.08</v>
      </c>
    </row>
    <row r="241" customFormat="false" ht="30" hidden="true" customHeight="true" outlineLevel="0" collapsed="false">
      <c r="A241" s="11" t="n">
        <v>32984781</v>
      </c>
      <c r="B241" s="12" t="s">
        <v>764</v>
      </c>
      <c r="C241" s="13" t="n">
        <v>1007</v>
      </c>
      <c r="D241" s="14" t="s">
        <v>67</v>
      </c>
      <c r="E241" s="15" t="s">
        <v>22</v>
      </c>
      <c r="F241" s="15" t="s">
        <v>35</v>
      </c>
      <c r="G241" s="14" t="s">
        <v>50</v>
      </c>
      <c r="H241" s="16" t="s">
        <v>51</v>
      </c>
      <c r="I241" s="17"/>
      <c r="J241" s="15"/>
      <c r="K241" s="15" t="s">
        <v>25</v>
      </c>
      <c r="L241" s="18" t="n">
        <v>46252</v>
      </c>
      <c r="M241" s="23" t="n">
        <v>46244</v>
      </c>
      <c r="N241" s="20" t="n">
        <v>2</v>
      </c>
      <c r="O241" s="24"/>
      <c r="P241" s="20" t="n">
        <v>3</v>
      </c>
      <c r="Q241" s="20" t="n">
        <v>3</v>
      </c>
    </row>
    <row r="242" customFormat="false" ht="30" hidden="true" customHeight="true" outlineLevel="0" collapsed="false">
      <c r="A242" s="11" t="n">
        <v>32984766</v>
      </c>
      <c r="B242" s="12" t="s">
        <v>765</v>
      </c>
      <c r="C242" s="13" t="n">
        <v>1008</v>
      </c>
      <c r="D242" s="14" t="s">
        <v>34</v>
      </c>
      <c r="E242" s="15" t="s">
        <v>22</v>
      </c>
      <c r="F242" s="15" t="s">
        <v>35</v>
      </c>
      <c r="G242" s="14" t="s">
        <v>208</v>
      </c>
      <c r="H242" s="16" t="s">
        <v>51</v>
      </c>
      <c r="I242" s="17"/>
      <c r="J242" s="15"/>
      <c r="K242" s="15" t="s">
        <v>37</v>
      </c>
      <c r="L242" s="18" t="n">
        <v>46252</v>
      </c>
      <c r="M242" s="23" t="n">
        <v>46252</v>
      </c>
      <c r="N242" s="20" t="n">
        <v>2</v>
      </c>
      <c r="O242" s="24"/>
      <c r="P242" s="20" t="n">
        <v>6</v>
      </c>
      <c r="Q242" s="20" t="n">
        <v>2.32</v>
      </c>
    </row>
    <row r="243" customFormat="false" ht="15.75" hidden="true" customHeight="true" outlineLevel="0" collapsed="false">
      <c r="A243" s="11" t="n">
        <v>32984823</v>
      </c>
      <c r="B243" s="12" t="s">
        <v>766</v>
      </c>
      <c r="C243" s="13" t="n">
        <v>1009</v>
      </c>
      <c r="D243" s="14" t="s">
        <v>72</v>
      </c>
      <c r="E243" s="15" t="s">
        <v>22</v>
      </c>
      <c r="F243" s="15" t="s">
        <v>35</v>
      </c>
      <c r="G243" s="14" t="s">
        <v>167</v>
      </c>
      <c r="H243" s="16" t="s">
        <v>51</v>
      </c>
      <c r="I243" s="17" t="s">
        <v>746</v>
      </c>
      <c r="J243" s="15"/>
      <c r="K243" s="15" t="s">
        <v>25</v>
      </c>
      <c r="L243" s="18" t="n">
        <v>46259</v>
      </c>
      <c r="M243" s="23" t="n">
        <v>46226</v>
      </c>
      <c r="N243" s="20" t="n">
        <v>4</v>
      </c>
      <c r="O243" s="24"/>
      <c r="P243" s="20" t="n">
        <v>4.5</v>
      </c>
      <c r="Q243" s="20" t="n">
        <v>722</v>
      </c>
    </row>
    <row r="244" customFormat="false" ht="30" hidden="true" customHeight="true" outlineLevel="0" collapsed="false">
      <c r="A244" s="11" t="n">
        <v>32984820</v>
      </c>
      <c r="B244" s="12" t="s">
        <v>767</v>
      </c>
      <c r="C244" s="13" t="n">
        <v>1010</v>
      </c>
      <c r="D244" s="14" t="s">
        <v>34</v>
      </c>
      <c r="E244" s="15" t="s">
        <v>22</v>
      </c>
      <c r="F244" s="15" t="s">
        <v>35</v>
      </c>
      <c r="G244" s="14" t="s">
        <v>208</v>
      </c>
      <c r="H244" s="16" t="s">
        <v>51</v>
      </c>
      <c r="I244" s="17"/>
      <c r="J244" s="15"/>
      <c r="K244" s="15" t="s">
        <v>37</v>
      </c>
      <c r="L244" s="18" t="n">
        <v>46256</v>
      </c>
      <c r="M244" s="23" t="n">
        <v>46253</v>
      </c>
      <c r="N244" s="20" t="n">
        <v>2</v>
      </c>
      <c r="O244" s="24"/>
      <c r="P244" s="20" t="n">
        <v>6</v>
      </c>
      <c r="Q244" s="20" t="n">
        <v>2.37</v>
      </c>
    </row>
    <row r="245" customFormat="false" ht="30" hidden="true" customHeight="true" outlineLevel="0" collapsed="false">
      <c r="A245" s="11" t="n">
        <v>32984829</v>
      </c>
      <c r="B245" s="12" t="s">
        <v>768</v>
      </c>
      <c r="C245" s="13" t="n">
        <v>1011</v>
      </c>
      <c r="D245" s="14" t="s">
        <v>67</v>
      </c>
      <c r="E245" s="15" t="s">
        <v>22</v>
      </c>
      <c r="F245" s="15" t="s">
        <v>35</v>
      </c>
      <c r="G245" s="14" t="s">
        <v>50</v>
      </c>
      <c r="H245" s="16" t="s">
        <v>51</v>
      </c>
      <c r="I245" s="17"/>
      <c r="J245" s="15"/>
      <c r="K245" s="15" t="s">
        <v>25</v>
      </c>
      <c r="L245" s="18" t="n">
        <v>46252</v>
      </c>
      <c r="M245" s="23" t="n">
        <v>46244</v>
      </c>
      <c r="N245" s="20" t="n">
        <v>2</v>
      </c>
      <c r="O245" s="24"/>
      <c r="P245" s="20" t="n">
        <v>3</v>
      </c>
      <c r="Q245" s="20" t="n">
        <v>3</v>
      </c>
    </row>
    <row r="246" customFormat="false" ht="31.5" hidden="true" customHeight="true" outlineLevel="0" collapsed="false">
      <c r="A246" s="11" t="n">
        <v>32984848</v>
      </c>
      <c r="B246" s="12" t="s">
        <v>769</v>
      </c>
      <c r="C246" s="13" t="n">
        <v>1012</v>
      </c>
      <c r="D246" s="14" t="s">
        <v>67</v>
      </c>
      <c r="E246" s="15" t="s">
        <v>22</v>
      </c>
      <c r="F246" s="15" t="s">
        <v>770</v>
      </c>
      <c r="G246" s="14" t="s">
        <v>748</v>
      </c>
      <c r="H246" s="16" t="s">
        <v>51</v>
      </c>
      <c r="I246" s="17"/>
      <c r="J246" s="15"/>
      <c r="K246" s="15" t="s">
        <v>25</v>
      </c>
      <c r="L246" s="18" t="n">
        <v>46256</v>
      </c>
      <c r="M246" s="23" t="n">
        <v>46254</v>
      </c>
      <c r="N246" s="24" t="n">
        <v>0</v>
      </c>
      <c r="O246" s="24"/>
      <c r="P246" s="20" t="n">
        <v>21.83</v>
      </c>
      <c r="Q246" s="20" t="n">
        <v>566.2</v>
      </c>
    </row>
    <row r="247" customFormat="false" ht="15.75" hidden="true" customHeight="true" outlineLevel="0" collapsed="false">
      <c r="A247" s="11" t="n">
        <v>32984883</v>
      </c>
      <c r="B247" s="12" t="s">
        <v>771</v>
      </c>
      <c r="C247" s="13" t="n">
        <v>1013</v>
      </c>
      <c r="D247" s="14" t="s">
        <v>72</v>
      </c>
      <c r="E247" s="15" t="s">
        <v>22</v>
      </c>
      <c r="F247" s="15" t="s">
        <v>35</v>
      </c>
      <c r="G247" s="14" t="s">
        <v>167</v>
      </c>
      <c r="H247" s="16" t="s">
        <v>51</v>
      </c>
      <c r="I247" s="17"/>
      <c r="J247" s="15"/>
      <c r="K247" s="15" t="s">
        <v>25</v>
      </c>
      <c r="L247" s="18" t="n">
        <v>46229</v>
      </c>
      <c r="M247" s="23" t="n">
        <v>46229</v>
      </c>
      <c r="N247" s="20" t="n">
        <v>4</v>
      </c>
      <c r="O247" s="24"/>
      <c r="P247" s="20" t="n">
        <v>4</v>
      </c>
      <c r="Q247" s="20" t="n">
        <v>4</v>
      </c>
    </row>
    <row r="248" customFormat="false" ht="45" hidden="true" customHeight="true" outlineLevel="0" collapsed="false">
      <c r="A248" s="11" t="n">
        <v>32984906</v>
      </c>
      <c r="B248" s="12" t="s">
        <v>772</v>
      </c>
      <c r="C248" s="13" t="n">
        <v>1014</v>
      </c>
      <c r="D248" s="14" t="s">
        <v>34</v>
      </c>
      <c r="E248" s="15" t="s">
        <v>28</v>
      </c>
      <c r="F248" s="15" t="s">
        <v>35</v>
      </c>
      <c r="G248" s="14" t="s">
        <v>50</v>
      </c>
      <c r="H248" s="16" t="s">
        <v>51</v>
      </c>
      <c r="I248" s="17"/>
      <c r="J248" s="15"/>
      <c r="K248" s="15" t="s">
        <v>30</v>
      </c>
      <c r="L248" s="18"/>
      <c r="M248" s="23"/>
      <c r="N248" s="20" t="n">
        <v>6</v>
      </c>
      <c r="O248" s="24"/>
      <c r="P248" s="20" t="n">
        <v>6.5</v>
      </c>
      <c r="Q248" s="20" t="n">
        <v>777.1</v>
      </c>
    </row>
    <row r="249" customFormat="false" ht="30" hidden="true" customHeight="true" outlineLevel="0" collapsed="false">
      <c r="A249" s="11" t="n">
        <v>32984905</v>
      </c>
      <c r="B249" s="12" t="s">
        <v>773</v>
      </c>
      <c r="C249" s="13" t="n">
        <v>1015</v>
      </c>
      <c r="D249" s="14" t="s">
        <v>72</v>
      </c>
      <c r="E249" s="15" t="s">
        <v>22</v>
      </c>
      <c r="F249" s="15" t="s">
        <v>35</v>
      </c>
      <c r="G249" s="14" t="s">
        <v>167</v>
      </c>
      <c r="H249" s="16"/>
      <c r="I249" s="17"/>
      <c r="J249" s="15"/>
      <c r="K249" s="15" t="s">
        <v>25</v>
      </c>
      <c r="L249" s="18" t="n">
        <v>46224</v>
      </c>
      <c r="M249" s="23" t="n">
        <v>46224</v>
      </c>
      <c r="N249" s="20" t="n">
        <v>2</v>
      </c>
      <c r="O249" s="24"/>
      <c r="P249" s="20" t="n">
        <v>2</v>
      </c>
      <c r="Q249" s="20" t="n">
        <v>1</v>
      </c>
    </row>
    <row r="250" customFormat="false" ht="30" hidden="true" customHeight="true" outlineLevel="0" collapsed="false">
      <c r="A250" s="11" t="n">
        <v>32984945</v>
      </c>
      <c r="B250" s="12" t="s">
        <v>774</v>
      </c>
      <c r="C250" s="13" t="n">
        <v>1017</v>
      </c>
      <c r="D250" s="14" t="s">
        <v>67</v>
      </c>
      <c r="E250" s="15" t="s">
        <v>22</v>
      </c>
      <c r="F250" s="15" t="s">
        <v>35</v>
      </c>
      <c r="G250" s="14" t="s">
        <v>167</v>
      </c>
      <c r="H250" s="16" t="s">
        <v>51</v>
      </c>
      <c r="I250" s="17"/>
      <c r="J250" s="15"/>
      <c r="K250" s="15" t="s">
        <v>25</v>
      </c>
      <c r="L250" s="18" t="n">
        <v>46231</v>
      </c>
      <c r="M250" s="23" t="n">
        <v>46231</v>
      </c>
      <c r="N250" s="20" t="n">
        <v>3</v>
      </c>
      <c r="O250" s="24"/>
      <c r="P250" s="20" t="n">
        <v>4.02</v>
      </c>
      <c r="Q250" s="20" t="n">
        <v>4.02</v>
      </c>
    </row>
    <row r="251" customFormat="false" ht="15.75" hidden="true" customHeight="true" outlineLevel="0" collapsed="false">
      <c r="A251" s="11" t="n">
        <v>32985067</v>
      </c>
      <c r="B251" s="12" t="s">
        <v>775</v>
      </c>
      <c r="C251" s="13" t="n">
        <v>1027</v>
      </c>
      <c r="D251" s="14" t="s">
        <v>67</v>
      </c>
      <c r="E251" s="15" t="s">
        <v>22</v>
      </c>
      <c r="F251" s="15" t="s">
        <v>35</v>
      </c>
      <c r="G251" s="14" t="s">
        <v>50</v>
      </c>
      <c r="H251" s="16"/>
      <c r="I251" s="17"/>
      <c r="J251" s="15"/>
      <c r="K251" s="15" t="s">
        <v>25</v>
      </c>
      <c r="L251" s="26" t="n">
        <v>46252</v>
      </c>
      <c r="M251" s="23" t="n">
        <v>46245</v>
      </c>
      <c r="N251" s="20" t="n">
        <v>2</v>
      </c>
      <c r="O251" s="24"/>
      <c r="P251" s="20" t="n">
        <v>0.5</v>
      </c>
      <c r="Q251" s="20" t="n">
        <v>0.5</v>
      </c>
    </row>
    <row r="252" customFormat="false" ht="30" hidden="false" customHeight="true" outlineLevel="0" collapsed="false">
      <c r="A252" s="11" t="n">
        <v>32985083</v>
      </c>
      <c r="B252" s="12" t="s">
        <v>776</v>
      </c>
      <c r="C252" s="13" t="n">
        <v>1030</v>
      </c>
      <c r="D252" s="14" t="s">
        <v>67</v>
      </c>
      <c r="E252" s="15" t="s">
        <v>22</v>
      </c>
      <c r="F252" s="15" t="s">
        <v>35</v>
      </c>
      <c r="G252" s="14" t="s">
        <v>50</v>
      </c>
      <c r="H252" s="16" t="s">
        <v>51</v>
      </c>
      <c r="I252" s="17" t="s">
        <v>36</v>
      </c>
      <c r="J252" s="15"/>
      <c r="K252" s="15" t="s">
        <v>25</v>
      </c>
      <c r="L252" s="18" t="n">
        <v>46259</v>
      </c>
      <c r="M252" s="23" t="n">
        <v>46257</v>
      </c>
      <c r="N252" s="20" t="n">
        <v>2</v>
      </c>
      <c r="O252" s="24"/>
      <c r="P252" s="20"/>
      <c r="Q252" s="20" t="n">
        <v>82.1</v>
      </c>
    </row>
    <row r="253" customFormat="false" ht="30" hidden="false" customHeight="true" outlineLevel="0" collapsed="false">
      <c r="A253" s="11" t="n">
        <v>32985088</v>
      </c>
      <c r="B253" s="12" t="s">
        <v>777</v>
      </c>
      <c r="C253" s="13" t="n">
        <v>1031</v>
      </c>
      <c r="D253" s="14" t="s">
        <v>67</v>
      </c>
      <c r="E253" s="15" t="s">
        <v>22</v>
      </c>
      <c r="F253" s="15" t="s">
        <v>35</v>
      </c>
      <c r="G253" s="14" t="s">
        <v>50</v>
      </c>
      <c r="H253" s="16" t="s">
        <v>51</v>
      </c>
      <c r="I253" s="17" t="s">
        <v>36</v>
      </c>
      <c r="J253" s="15"/>
      <c r="K253" s="15" t="s">
        <v>25</v>
      </c>
      <c r="L253" s="18" t="n">
        <v>46259</v>
      </c>
      <c r="M253" s="23" t="n">
        <v>46257</v>
      </c>
      <c r="N253" s="20" t="n">
        <v>2</v>
      </c>
      <c r="O253" s="24"/>
      <c r="P253" s="20"/>
      <c r="Q253" s="20" t="n">
        <v>80.1</v>
      </c>
    </row>
    <row r="254" customFormat="false" ht="30" hidden="true" customHeight="true" outlineLevel="0" collapsed="false">
      <c r="A254" s="11" t="n">
        <v>32985127</v>
      </c>
      <c r="B254" s="12" t="s">
        <v>778</v>
      </c>
      <c r="C254" s="13" t="n">
        <v>1034</v>
      </c>
      <c r="D254" s="14" t="s">
        <v>49</v>
      </c>
      <c r="E254" s="15" t="s">
        <v>22</v>
      </c>
      <c r="F254" s="15" t="s">
        <v>35</v>
      </c>
      <c r="G254" s="14" t="s">
        <v>50</v>
      </c>
      <c r="H254" s="16"/>
      <c r="I254" s="17"/>
      <c r="J254" s="15"/>
      <c r="K254" s="15" t="s">
        <v>25</v>
      </c>
      <c r="L254" s="18" t="n">
        <v>46238</v>
      </c>
      <c r="M254" s="23" t="n">
        <v>46238</v>
      </c>
      <c r="N254" s="20" t="n">
        <v>2</v>
      </c>
      <c r="O254" s="24"/>
      <c r="P254" s="20" t="n">
        <v>2.58</v>
      </c>
      <c r="Q254" s="20" t="n">
        <v>31</v>
      </c>
    </row>
    <row r="255" customFormat="false" ht="30" hidden="true" customHeight="true" outlineLevel="0" collapsed="false">
      <c r="A255" s="11" t="n">
        <v>32985290</v>
      </c>
      <c r="B255" s="12" t="s">
        <v>779</v>
      </c>
      <c r="C255" s="13" t="n">
        <v>1035</v>
      </c>
      <c r="D255" s="14" t="s">
        <v>61</v>
      </c>
      <c r="E255" s="15" t="s">
        <v>22</v>
      </c>
      <c r="F255" s="15" t="s">
        <v>35</v>
      </c>
      <c r="G255" s="14" t="s">
        <v>50</v>
      </c>
      <c r="H255" s="16" t="s">
        <v>51</v>
      </c>
      <c r="I255" s="17"/>
      <c r="J255" s="15"/>
      <c r="K255" s="15" t="s">
        <v>25</v>
      </c>
      <c r="L255" s="18" t="n">
        <v>46252</v>
      </c>
      <c r="M255" s="23" t="n">
        <v>46240</v>
      </c>
      <c r="N255" s="24" t="n">
        <v>0</v>
      </c>
      <c r="O255" s="24"/>
      <c r="P255" s="20" t="n">
        <v>2</v>
      </c>
      <c r="Q255" s="20" t="n">
        <v>2</v>
      </c>
    </row>
    <row r="256" customFormat="false" ht="31.5" hidden="false" customHeight="true" outlineLevel="0" collapsed="false">
      <c r="A256" s="11" t="n">
        <v>32985304</v>
      </c>
      <c r="B256" s="12" t="s">
        <v>780</v>
      </c>
      <c r="C256" s="13" t="n">
        <v>1036</v>
      </c>
      <c r="D256" s="14" t="s">
        <v>61</v>
      </c>
      <c r="E256" s="15" t="s">
        <v>28</v>
      </c>
      <c r="F256" s="15" t="s">
        <v>770</v>
      </c>
      <c r="G256" s="14" t="s">
        <v>50</v>
      </c>
      <c r="H256" s="16" t="s">
        <v>51</v>
      </c>
      <c r="I256" s="17"/>
      <c r="J256" s="15"/>
      <c r="K256" s="15" t="s">
        <v>25</v>
      </c>
      <c r="L256" s="18" t="n">
        <v>46233</v>
      </c>
      <c r="M256" s="23"/>
      <c r="N256" s="24" t="n">
        <v>0</v>
      </c>
      <c r="O256" s="24"/>
      <c r="P256" s="20"/>
      <c r="Q256" s="20" t="n">
        <v>0</v>
      </c>
    </row>
    <row r="257" customFormat="false" ht="30" hidden="true" customHeight="true" outlineLevel="0" collapsed="false">
      <c r="A257" s="11" t="n">
        <v>32985321</v>
      </c>
      <c r="B257" s="12" t="s">
        <v>781</v>
      </c>
      <c r="C257" s="13" t="n">
        <v>1037</v>
      </c>
      <c r="D257" s="14" t="s">
        <v>61</v>
      </c>
      <c r="E257" s="15" t="s">
        <v>22</v>
      </c>
      <c r="F257" s="15" t="s">
        <v>35</v>
      </c>
      <c r="G257" s="14" t="s">
        <v>50</v>
      </c>
      <c r="H257" s="16" t="s">
        <v>51</v>
      </c>
      <c r="I257" s="17"/>
      <c r="J257" s="15"/>
      <c r="K257" s="15" t="s">
        <v>25</v>
      </c>
      <c r="L257" s="18" t="n">
        <v>46252</v>
      </c>
      <c r="M257" s="23" t="n">
        <v>46240</v>
      </c>
      <c r="N257" s="24" t="n">
        <v>0</v>
      </c>
      <c r="O257" s="24"/>
      <c r="P257" s="20" t="n">
        <v>2</v>
      </c>
      <c r="Q257" s="20" t="n">
        <v>2</v>
      </c>
    </row>
    <row r="258" customFormat="false" ht="15.75" hidden="false" customHeight="true" outlineLevel="0" collapsed="false">
      <c r="A258" s="11" t="n">
        <v>32985332</v>
      </c>
      <c r="B258" s="12" t="s">
        <v>782</v>
      </c>
      <c r="C258" s="13" t="n">
        <v>1038</v>
      </c>
      <c r="D258" s="14" t="s">
        <v>61</v>
      </c>
      <c r="E258" s="15" t="s">
        <v>28</v>
      </c>
      <c r="F258" s="15" t="s">
        <v>770</v>
      </c>
      <c r="G258" s="14" t="s">
        <v>50</v>
      </c>
      <c r="H258" s="16" t="s">
        <v>51</v>
      </c>
      <c r="I258" s="17"/>
      <c r="J258" s="15"/>
      <c r="K258" s="15" t="s">
        <v>25</v>
      </c>
      <c r="L258" s="18"/>
      <c r="M258" s="23"/>
      <c r="N258" s="24" t="n">
        <v>0</v>
      </c>
      <c r="O258" s="24"/>
      <c r="P258" s="20"/>
      <c r="Q258" s="20" t="n">
        <v>0</v>
      </c>
    </row>
    <row r="259" customFormat="false" ht="30" hidden="true" customHeight="true" outlineLevel="0" collapsed="false">
      <c r="A259" s="11" t="n">
        <v>32985334</v>
      </c>
      <c r="B259" s="12" t="s">
        <v>783</v>
      </c>
      <c r="C259" s="13" t="n">
        <v>1039</v>
      </c>
      <c r="D259" s="14" t="s">
        <v>61</v>
      </c>
      <c r="E259" s="15" t="s">
        <v>22</v>
      </c>
      <c r="F259" s="15" t="s">
        <v>35</v>
      </c>
      <c r="G259" s="14" t="s">
        <v>167</v>
      </c>
      <c r="H259" s="16" t="s">
        <v>51</v>
      </c>
      <c r="I259" s="17"/>
      <c r="J259" s="15"/>
      <c r="K259" s="15" t="s">
        <v>25</v>
      </c>
      <c r="L259" s="18" t="n">
        <v>46229</v>
      </c>
      <c r="M259" s="23" t="n">
        <v>46229</v>
      </c>
      <c r="N259" s="20" t="n">
        <v>4</v>
      </c>
      <c r="O259" s="24"/>
      <c r="P259" s="20" t="n">
        <v>5.83</v>
      </c>
      <c r="Q259" s="20" t="n">
        <v>2.12</v>
      </c>
    </row>
    <row r="260" customFormat="false" ht="15.75" hidden="true" customHeight="true" outlineLevel="0" collapsed="false">
      <c r="A260" s="11" t="n">
        <v>32985336</v>
      </c>
      <c r="B260" s="12" t="s">
        <v>784</v>
      </c>
      <c r="C260" s="13" t="n">
        <v>1040</v>
      </c>
      <c r="D260" s="14" t="s">
        <v>61</v>
      </c>
      <c r="E260" s="15" t="s">
        <v>22</v>
      </c>
      <c r="F260" s="15" t="s">
        <v>35</v>
      </c>
      <c r="G260" s="14" t="s">
        <v>167</v>
      </c>
      <c r="H260" s="16"/>
      <c r="I260" s="17"/>
      <c r="J260" s="15"/>
      <c r="K260" s="15" t="s">
        <v>25</v>
      </c>
      <c r="L260" s="18" t="n">
        <v>46229</v>
      </c>
      <c r="M260" s="23" t="n">
        <v>46229</v>
      </c>
      <c r="N260" s="20" t="n">
        <v>4</v>
      </c>
      <c r="O260" s="24"/>
      <c r="P260" s="20" t="n">
        <v>6.17</v>
      </c>
      <c r="Q260" s="20" t="n">
        <v>2.55</v>
      </c>
    </row>
    <row r="261" customFormat="false" ht="30" hidden="true" customHeight="true" outlineLevel="0" collapsed="false">
      <c r="A261" s="11" t="n">
        <v>32985337</v>
      </c>
      <c r="B261" s="12" t="s">
        <v>785</v>
      </c>
      <c r="C261" s="13" t="n">
        <v>1041</v>
      </c>
      <c r="D261" s="14" t="s">
        <v>61</v>
      </c>
      <c r="E261" s="15" t="s">
        <v>22</v>
      </c>
      <c r="F261" s="15" t="s">
        <v>35</v>
      </c>
      <c r="G261" s="14" t="s">
        <v>50</v>
      </c>
      <c r="H261" s="16" t="s">
        <v>51</v>
      </c>
      <c r="I261" s="17" t="s">
        <v>36</v>
      </c>
      <c r="J261" s="15"/>
      <c r="K261" s="15" t="s">
        <v>30</v>
      </c>
      <c r="L261" s="18" t="n">
        <v>46236</v>
      </c>
      <c r="M261" s="23" t="n">
        <v>46236</v>
      </c>
      <c r="N261" s="24" t="n">
        <v>0</v>
      </c>
      <c r="O261" s="24"/>
      <c r="P261" s="20" t="n">
        <v>1</v>
      </c>
      <c r="Q261" s="20" t="n">
        <v>1</v>
      </c>
    </row>
    <row r="262" customFormat="false" ht="15.75" hidden="true" customHeight="true" outlineLevel="0" collapsed="false">
      <c r="A262" s="11" t="n">
        <v>32985338</v>
      </c>
      <c r="B262" s="12" t="s">
        <v>786</v>
      </c>
      <c r="C262" s="13" t="n">
        <v>1042</v>
      </c>
      <c r="D262" s="14" t="s">
        <v>61</v>
      </c>
      <c r="E262" s="15" t="s">
        <v>22</v>
      </c>
      <c r="F262" s="15" t="s">
        <v>35</v>
      </c>
      <c r="G262" s="14" t="s">
        <v>167</v>
      </c>
      <c r="H262" s="16"/>
      <c r="I262" s="17"/>
      <c r="J262" s="15"/>
      <c r="K262" s="15" t="s">
        <v>30</v>
      </c>
      <c r="L262" s="18" t="n">
        <v>46225</v>
      </c>
      <c r="M262" s="23" t="n">
        <v>46225</v>
      </c>
      <c r="N262" s="24" t="n">
        <v>0</v>
      </c>
      <c r="O262" s="24"/>
      <c r="P262" s="20" t="n">
        <v>3.5</v>
      </c>
      <c r="Q262" s="20" t="n">
        <v>3.5</v>
      </c>
    </row>
    <row r="263" customFormat="false" ht="15.75" hidden="true" customHeight="true" outlineLevel="0" collapsed="false">
      <c r="A263" s="11" t="n">
        <v>32985341</v>
      </c>
      <c r="B263" s="12" t="s">
        <v>787</v>
      </c>
      <c r="C263" s="13" t="n">
        <v>1043</v>
      </c>
      <c r="D263" s="14" t="s">
        <v>61</v>
      </c>
      <c r="E263" s="15" t="s">
        <v>22</v>
      </c>
      <c r="F263" s="15" t="s">
        <v>35</v>
      </c>
      <c r="G263" s="14" t="s">
        <v>167</v>
      </c>
      <c r="H263" s="16"/>
      <c r="I263" s="17"/>
      <c r="J263" s="15"/>
      <c r="K263" s="15" t="s">
        <v>30</v>
      </c>
      <c r="L263" s="18" t="n">
        <v>46225</v>
      </c>
      <c r="M263" s="23" t="n">
        <v>46225</v>
      </c>
      <c r="N263" s="24" t="n">
        <v>0</v>
      </c>
      <c r="O263" s="24"/>
      <c r="P263" s="20" t="n">
        <v>3</v>
      </c>
      <c r="Q263" s="20" t="n">
        <v>3</v>
      </c>
    </row>
    <row r="264" customFormat="false" ht="15.75" hidden="true" customHeight="true" outlineLevel="0" collapsed="false">
      <c r="A264" s="11" t="n">
        <v>32985342</v>
      </c>
      <c r="B264" s="12" t="s">
        <v>788</v>
      </c>
      <c r="C264" s="13" t="n">
        <v>1044</v>
      </c>
      <c r="D264" s="14" t="s">
        <v>61</v>
      </c>
      <c r="E264" s="15" t="s">
        <v>22</v>
      </c>
      <c r="F264" s="15" t="s">
        <v>35</v>
      </c>
      <c r="G264" s="14" t="s">
        <v>167</v>
      </c>
      <c r="H264" s="16"/>
      <c r="I264" s="17"/>
      <c r="J264" s="15"/>
      <c r="K264" s="15" t="s">
        <v>30</v>
      </c>
      <c r="L264" s="18" t="n">
        <v>46229</v>
      </c>
      <c r="M264" s="23" t="n">
        <v>46229</v>
      </c>
      <c r="N264" s="20" t="n">
        <v>4</v>
      </c>
      <c r="O264" s="24"/>
      <c r="P264" s="20" t="n">
        <v>4</v>
      </c>
      <c r="Q264" s="20" t="n">
        <v>2</v>
      </c>
    </row>
    <row r="265" customFormat="false" ht="15.75" hidden="false" customHeight="true" outlineLevel="0" collapsed="false">
      <c r="A265" s="11" t="n">
        <v>32985343</v>
      </c>
      <c r="B265" s="12" t="s">
        <v>789</v>
      </c>
      <c r="C265" s="13" t="n">
        <v>1045</v>
      </c>
      <c r="D265" s="14" t="s">
        <v>61</v>
      </c>
      <c r="E265" s="15" t="s">
        <v>28</v>
      </c>
      <c r="F265" s="15" t="s">
        <v>770</v>
      </c>
      <c r="G265" s="14" t="s">
        <v>50</v>
      </c>
      <c r="H265" s="16" t="s">
        <v>51</v>
      </c>
      <c r="I265" s="17"/>
      <c r="J265" s="15"/>
      <c r="K265" s="15" t="s">
        <v>25</v>
      </c>
      <c r="L265" s="18"/>
      <c r="M265" s="23"/>
      <c r="N265" s="24" t="n">
        <v>0</v>
      </c>
      <c r="O265" s="24"/>
      <c r="P265" s="20"/>
      <c r="Q265" s="20" t="n">
        <v>0</v>
      </c>
    </row>
    <row r="266" customFormat="false" ht="30" hidden="true" customHeight="true" outlineLevel="0" collapsed="false">
      <c r="A266" s="11" t="n">
        <v>32985344</v>
      </c>
      <c r="B266" s="12" t="s">
        <v>790</v>
      </c>
      <c r="C266" s="13" t="n">
        <v>1046</v>
      </c>
      <c r="D266" s="14" t="s">
        <v>61</v>
      </c>
      <c r="E266" s="15" t="s">
        <v>22</v>
      </c>
      <c r="F266" s="15" t="s">
        <v>35</v>
      </c>
      <c r="G266" s="14" t="s">
        <v>50</v>
      </c>
      <c r="H266" s="16" t="s">
        <v>51</v>
      </c>
      <c r="I266" s="17"/>
      <c r="J266" s="15"/>
      <c r="K266" s="15" t="s">
        <v>25</v>
      </c>
      <c r="L266" s="18" t="n">
        <v>46252</v>
      </c>
      <c r="M266" s="23" t="n">
        <v>46240</v>
      </c>
      <c r="N266" s="24" t="n">
        <v>0</v>
      </c>
      <c r="O266" s="24"/>
      <c r="P266" s="20" t="n">
        <v>2</v>
      </c>
      <c r="Q266" s="20" t="n">
        <v>2</v>
      </c>
    </row>
    <row r="267" customFormat="false" ht="30" hidden="true" customHeight="true" outlineLevel="0" collapsed="false">
      <c r="A267" s="11" t="n">
        <v>32985347</v>
      </c>
      <c r="B267" s="12" t="s">
        <v>791</v>
      </c>
      <c r="C267" s="13" t="n">
        <v>1047</v>
      </c>
      <c r="D267" s="14" t="s">
        <v>61</v>
      </c>
      <c r="E267" s="15" t="s">
        <v>22</v>
      </c>
      <c r="F267" s="15" t="s">
        <v>35</v>
      </c>
      <c r="G267" s="14" t="s">
        <v>167</v>
      </c>
      <c r="H267" s="16"/>
      <c r="I267" s="17"/>
      <c r="J267" s="15"/>
      <c r="K267" s="15" t="s">
        <v>25</v>
      </c>
      <c r="L267" s="18" t="n">
        <v>46225</v>
      </c>
      <c r="M267" s="23" t="n">
        <v>46225</v>
      </c>
      <c r="N267" s="24" t="n">
        <v>0</v>
      </c>
      <c r="O267" s="24"/>
      <c r="P267" s="20" t="n">
        <v>3.5</v>
      </c>
      <c r="Q267" s="20" t="n">
        <v>3.5</v>
      </c>
    </row>
    <row r="268" customFormat="false" ht="30" hidden="true" customHeight="true" outlineLevel="0" collapsed="false">
      <c r="A268" s="11" t="n">
        <v>32985349</v>
      </c>
      <c r="B268" s="12" t="s">
        <v>792</v>
      </c>
      <c r="C268" s="13" t="n">
        <v>1048</v>
      </c>
      <c r="D268" s="14" t="s">
        <v>61</v>
      </c>
      <c r="E268" s="15" t="s">
        <v>22</v>
      </c>
      <c r="F268" s="15" t="s">
        <v>35</v>
      </c>
      <c r="G268" s="14" t="s">
        <v>50</v>
      </c>
      <c r="H268" s="16" t="s">
        <v>51</v>
      </c>
      <c r="I268" s="17"/>
      <c r="J268" s="15"/>
      <c r="K268" s="15" t="s">
        <v>25</v>
      </c>
      <c r="L268" s="18" t="n">
        <v>46252</v>
      </c>
      <c r="M268" s="23" t="n">
        <v>46240</v>
      </c>
      <c r="N268" s="24" t="n">
        <v>0</v>
      </c>
      <c r="O268" s="24"/>
      <c r="P268" s="20" t="n">
        <v>2</v>
      </c>
      <c r="Q268" s="20" t="n">
        <v>2</v>
      </c>
    </row>
    <row r="269" customFormat="false" ht="31.5" hidden="false" customHeight="true" outlineLevel="0" collapsed="false">
      <c r="A269" s="11" t="n">
        <v>32985350</v>
      </c>
      <c r="B269" s="12" t="s">
        <v>793</v>
      </c>
      <c r="C269" s="13" t="n">
        <v>1049</v>
      </c>
      <c r="D269" s="14" t="s">
        <v>61</v>
      </c>
      <c r="E269" s="15" t="s">
        <v>28</v>
      </c>
      <c r="F269" s="15" t="s">
        <v>770</v>
      </c>
      <c r="G269" s="14" t="s">
        <v>50</v>
      </c>
      <c r="H269" s="16" t="s">
        <v>51</v>
      </c>
      <c r="I269" s="17"/>
      <c r="J269" s="15"/>
      <c r="K269" s="15" t="s">
        <v>25</v>
      </c>
      <c r="L269" s="18"/>
      <c r="M269" s="23"/>
      <c r="N269" s="24" t="n">
        <v>0</v>
      </c>
      <c r="O269" s="24"/>
      <c r="P269" s="20"/>
      <c r="Q269" s="20" t="n">
        <v>0</v>
      </c>
    </row>
    <row r="270" customFormat="false" ht="15.75" hidden="true" customHeight="true" outlineLevel="0" collapsed="false">
      <c r="A270" s="11" t="n">
        <v>32985351</v>
      </c>
      <c r="B270" s="12" t="s">
        <v>794</v>
      </c>
      <c r="C270" s="13" t="n">
        <v>1050</v>
      </c>
      <c r="D270" s="14" t="s">
        <v>61</v>
      </c>
      <c r="E270" s="15" t="s">
        <v>22</v>
      </c>
      <c r="F270" s="15" t="s">
        <v>35</v>
      </c>
      <c r="G270" s="14" t="s">
        <v>167</v>
      </c>
      <c r="H270" s="16"/>
      <c r="I270" s="17"/>
      <c r="J270" s="15"/>
      <c r="K270" s="15" t="s">
        <v>30</v>
      </c>
      <c r="L270" s="18" t="n">
        <v>46225</v>
      </c>
      <c r="M270" s="23" t="n">
        <v>46225</v>
      </c>
      <c r="N270" s="24" t="n">
        <v>0</v>
      </c>
      <c r="O270" s="24"/>
      <c r="P270" s="20" t="n">
        <v>3.5</v>
      </c>
      <c r="Q270" s="20" t="n">
        <v>3.5</v>
      </c>
    </row>
    <row r="271" customFormat="false" ht="15.75" hidden="true" customHeight="true" outlineLevel="0" collapsed="false">
      <c r="A271" s="11" t="n">
        <v>32985352</v>
      </c>
      <c r="B271" s="12" t="s">
        <v>795</v>
      </c>
      <c r="C271" s="13" t="n">
        <v>1051</v>
      </c>
      <c r="D271" s="14" t="s">
        <v>61</v>
      </c>
      <c r="E271" s="15" t="s">
        <v>22</v>
      </c>
      <c r="F271" s="15" t="s">
        <v>35</v>
      </c>
      <c r="G271" s="14" t="s">
        <v>167</v>
      </c>
      <c r="H271" s="16"/>
      <c r="I271" s="17"/>
      <c r="J271" s="15"/>
      <c r="K271" s="15" t="s">
        <v>30</v>
      </c>
      <c r="L271" s="18" t="n">
        <v>46225</v>
      </c>
      <c r="M271" s="23" t="n">
        <v>46225</v>
      </c>
      <c r="N271" s="24" t="n">
        <v>0</v>
      </c>
      <c r="O271" s="24"/>
      <c r="P271" s="20" t="n">
        <v>3</v>
      </c>
      <c r="Q271" s="20" t="n">
        <v>3</v>
      </c>
    </row>
    <row r="272" customFormat="false" ht="15.75" hidden="true" customHeight="true" outlineLevel="0" collapsed="false">
      <c r="A272" s="11" t="n">
        <v>32985353</v>
      </c>
      <c r="B272" s="12" t="s">
        <v>796</v>
      </c>
      <c r="C272" s="13" t="n">
        <v>1052</v>
      </c>
      <c r="D272" s="14" t="s">
        <v>61</v>
      </c>
      <c r="E272" s="15" t="s">
        <v>22</v>
      </c>
      <c r="F272" s="15" t="s">
        <v>35</v>
      </c>
      <c r="G272" s="14" t="s">
        <v>50</v>
      </c>
      <c r="H272" s="16" t="s">
        <v>51</v>
      </c>
      <c r="I272" s="17"/>
      <c r="J272" s="15"/>
      <c r="K272" s="15" t="s">
        <v>30</v>
      </c>
      <c r="L272" s="18" t="n">
        <v>46236</v>
      </c>
      <c r="M272" s="23" t="n">
        <v>46236</v>
      </c>
      <c r="N272" s="24" t="n">
        <v>0</v>
      </c>
      <c r="O272" s="24"/>
      <c r="P272" s="20" t="n">
        <v>1</v>
      </c>
      <c r="Q272" s="20" t="n">
        <v>1</v>
      </c>
    </row>
    <row r="273" customFormat="false" ht="15.75" hidden="true" customHeight="true" outlineLevel="0" collapsed="false">
      <c r="A273" s="11" t="n">
        <v>32985354</v>
      </c>
      <c r="B273" s="12" t="s">
        <v>797</v>
      </c>
      <c r="C273" s="13" t="n">
        <v>1053</v>
      </c>
      <c r="D273" s="14" t="s">
        <v>61</v>
      </c>
      <c r="E273" s="15" t="s">
        <v>22</v>
      </c>
      <c r="F273" s="15" t="s">
        <v>35</v>
      </c>
      <c r="G273" s="14" t="s">
        <v>50</v>
      </c>
      <c r="H273" s="16" t="s">
        <v>51</v>
      </c>
      <c r="I273" s="17"/>
      <c r="J273" s="15"/>
      <c r="K273" s="15" t="s">
        <v>30</v>
      </c>
      <c r="L273" s="18" t="n">
        <v>46259</v>
      </c>
      <c r="M273" s="23" t="n">
        <v>46257</v>
      </c>
      <c r="N273" s="24" t="n">
        <v>0</v>
      </c>
      <c r="O273" s="24"/>
      <c r="P273" s="20"/>
      <c r="Q273" s="20" t="n">
        <v>282.1</v>
      </c>
    </row>
    <row r="274" customFormat="false" ht="15.75" hidden="true" customHeight="true" outlineLevel="0" collapsed="false">
      <c r="A274" s="11" t="n">
        <v>32985355</v>
      </c>
      <c r="B274" s="12" t="s">
        <v>798</v>
      </c>
      <c r="C274" s="13" t="n">
        <v>1054</v>
      </c>
      <c r="D274" s="14" t="s">
        <v>61</v>
      </c>
      <c r="E274" s="15" t="s">
        <v>22</v>
      </c>
      <c r="F274" s="15" t="s">
        <v>35</v>
      </c>
      <c r="G274" s="14" t="s">
        <v>167</v>
      </c>
      <c r="H274" s="16"/>
      <c r="I274" s="17"/>
      <c r="J274" s="15"/>
      <c r="K274" s="15" t="s">
        <v>30</v>
      </c>
      <c r="L274" s="18" t="n">
        <v>46225</v>
      </c>
      <c r="M274" s="23" t="n">
        <v>46225</v>
      </c>
      <c r="N274" s="24" t="n">
        <v>0</v>
      </c>
      <c r="O274" s="24"/>
      <c r="P274" s="20" t="n">
        <v>3</v>
      </c>
      <c r="Q274" s="20" t="n">
        <v>3</v>
      </c>
    </row>
    <row r="275" customFormat="false" ht="15.75" hidden="true" customHeight="true" outlineLevel="0" collapsed="false">
      <c r="A275" s="11" t="n">
        <v>32985357</v>
      </c>
      <c r="B275" s="12" t="s">
        <v>799</v>
      </c>
      <c r="C275" s="13" t="n">
        <v>1055</v>
      </c>
      <c r="D275" s="14" t="s">
        <v>61</v>
      </c>
      <c r="E275" s="15" t="s">
        <v>22</v>
      </c>
      <c r="F275" s="15" t="s">
        <v>35</v>
      </c>
      <c r="G275" s="14" t="s">
        <v>50</v>
      </c>
      <c r="H275" s="16" t="s">
        <v>51</v>
      </c>
      <c r="I275" s="17" t="s">
        <v>36</v>
      </c>
      <c r="J275" s="15"/>
      <c r="K275" s="15" t="s">
        <v>30</v>
      </c>
      <c r="L275" s="18" t="n">
        <v>46236</v>
      </c>
      <c r="M275" s="23" t="n">
        <v>46236</v>
      </c>
      <c r="N275" s="24" t="n">
        <v>0</v>
      </c>
      <c r="O275" s="24"/>
      <c r="P275" s="20" t="n">
        <v>1</v>
      </c>
      <c r="Q275" s="20" t="n">
        <v>1</v>
      </c>
    </row>
    <row r="276" customFormat="false" ht="63" hidden="false" customHeight="true" outlineLevel="0" collapsed="false">
      <c r="A276" s="11" t="n">
        <v>32985832</v>
      </c>
      <c r="B276" s="12" t="s">
        <v>800</v>
      </c>
      <c r="C276" s="13" t="n">
        <v>1061</v>
      </c>
      <c r="D276" s="14" t="s">
        <v>34</v>
      </c>
      <c r="E276" s="15" t="s">
        <v>28</v>
      </c>
      <c r="F276" s="15" t="s">
        <v>770</v>
      </c>
      <c r="G276" s="14" t="s">
        <v>50</v>
      </c>
      <c r="H276" s="16" t="s">
        <v>51</v>
      </c>
      <c r="I276" s="17"/>
      <c r="J276" s="15"/>
      <c r="K276" s="15" t="s">
        <v>24</v>
      </c>
      <c r="L276" s="18" t="n">
        <v>46224</v>
      </c>
      <c r="M276" s="23"/>
      <c r="N276" s="24" t="n">
        <v>0</v>
      </c>
      <c r="O276" s="24"/>
      <c r="P276" s="20"/>
      <c r="Q276" s="20" t="n">
        <v>0</v>
      </c>
    </row>
    <row r="277" customFormat="false" ht="63" hidden="false" customHeight="true" outlineLevel="0" collapsed="false">
      <c r="A277" s="11" t="n">
        <v>32985833</v>
      </c>
      <c r="B277" s="12" t="s">
        <v>801</v>
      </c>
      <c r="C277" s="13" t="n">
        <v>1062</v>
      </c>
      <c r="D277" s="14" t="s">
        <v>34</v>
      </c>
      <c r="E277" s="15" t="s">
        <v>28</v>
      </c>
      <c r="F277" s="15" t="s">
        <v>770</v>
      </c>
      <c r="G277" s="14" t="s">
        <v>50</v>
      </c>
      <c r="H277" s="16" t="s">
        <v>51</v>
      </c>
      <c r="I277" s="17"/>
      <c r="J277" s="15"/>
      <c r="K277" s="15" t="s">
        <v>24</v>
      </c>
      <c r="L277" s="18" t="n">
        <v>46224</v>
      </c>
      <c r="M277" s="23"/>
      <c r="N277" s="24" t="n">
        <v>0</v>
      </c>
      <c r="O277" s="24"/>
      <c r="P277" s="20"/>
      <c r="Q277" s="20" t="n">
        <v>0</v>
      </c>
    </row>
    <row r="278" customFormat="false" ht="30" hidden="true" customHeight="true" outlineLevel="0" collapsed="false">
      <c r="A278" s="11" t="n">
        <v>32987066</v>
      </c>
      <c r="B278" s="12" t="s">
        <v>802</v>
      </c>
      <c r="C278" s="13" t="n">
        <v>1075</v>
      </c>
      <c r="D278" s="14" t="s">
        <v>185</v>
      </c>
      <c r="E278" s="15" t="s">
        <v>22</v>
      </c>
      <c r="F278" s="15" t="s">
        <v>35</v>
      </c>
      <c r="G278" s="14" t="s">
        <v>186</v>
      </c>
      <c r="H278" s="16" t="s">
        <v>51</v>
      </c>
      <c r="I278" s="17"/>
      <c r="J278" s="15"/>
      <c r="K278" s="15" t="s">
        <v>37</v>
      </c>
      <c r="L278" s="18" t="n">
        <v>46259</v>
      </c>
      <c r="M278" s="23" t="n">
        <v>46257</v>
      </c>
      <c r="N278" s="20" t="n">
        <v>6</v>
      </c>
      <c r="O278" s="24"/>
      <c r="P278" s="20"/>
      <c r="Q278" s="20" t="n">
        <v>0</v>
      </c>
    </row>
    <row r="279" customFormat="false" ht="45" hidden="false" customHeight="true" outlineLevel="0" collapsed="false">
      <c r="A279" s="11" t="n">
        <v>32987097</v>
      </c>
      <c r="B279" s="12" t="s">
        <v>803</v>
      </c>
      <c r="C279" s="13" t="n">
        <v>1077</v>
      </c>
      <c r="D279" s="14" t="s">
        <v>34</v>
      </c>
      <c r="E279" s="15" t="s">
        <v>28</v>
      </c>
      <c r="F279" s="15" t="s">
        <v>141</v>
      </c>
      <c r="G279" s="14" t="s">
        <v>50</v>
      </c>
      <c r="H279" s="16" t="s">
        <v>51</v>
      </c>
      <c r="I279" s="17"/>
      <c r="J279" s="15"/>
      <c r="K279" s="15" t="s">
        <v>24</v>
      </c>
      <c r="L279" s="18"/>
      <c r="M279" s="23"/>
      <c r="N279" s="24" t="n">
        <v>0</v>
      </c>
      <c r="O279" s="24"/>
      <c r="P279" s="20" t="n">
        <v>36.5</v>
      </c>
      <c r="Q279" s="20" t="n">
        <v>745.3</v>
      </c>
    </row>
    <row r="280" customFormat="false" ht="30" hidden="true" customHeight="true" outlineLevel="0" collapsed="false">
      <c r="A280" s="11" t="n">
        <v>94844868</v>
      </c>
      <c r="B280" s="12" t="s">
        <v>804</v>
      </c>
      <c r="C280" s="13" t="n">
        <v>1082</v>
      </c>
      <c r="D280" s="14" t="s">
        <v>96</v>
      </c>
      <c r="E280" s="15" t="s">
        <v>22</v>
      </c>
      <c r="F280" s="15" t="s">
        <v>35</v>
      </c>
      <c r="G280" s="14" t="s">
        <v>50</v>
      </c>
      <c r="H280" s="16" t="s">
        <v>51</v>
      </c>
      <c r="I280" s="17"/>
      <c r="J280" s="15"/>
      <c r="K280" s="15" t="s">
        <v>30</v>
      </c>
      <c r="L280" s="18" t="n">
        <v>46252</v>
      </c>
      <c r="M280" s="23" t="n">
        <v>46251</v>
      </c>
      <c r="N280" s="24" t="n">
        <v>0</v>
      </c>
      <c r="O280" s="24"/>
      <c r="P280" s="20" t="n">
        <v>36.6</v>
      </c>
      <c r="Q280" s="20" t="n">
        <v>763.1</v>
      </c>
    </row>
    <row r="281" customFormat="false" ht="15.75" hidden="true" customHeight="true" outlineLevel="0" collapsed="false">
      <c r="A281" s="11" t="n">
        <v>32974165</v>
      </c>
      <c r="B281" s="12" t="s">
        <v>805</v>
      </c>
      <c r="C281" s="13" t="n">
        <v>1086</v>
      </c>
      <c r="D281" s="14" t="s">
        <v>96</v>
      </c>
      <c r="E281" s="15" t="s">
        <v>28</v>
      </c>
      <c r="F281" s="15" t="s">
        <v>35</v>
      </c>
      <c r="G281" s="14" t="s">
        <v>50</v>
      </c>
      <c r="H281" s="16"/>
      <c r="I281" s="17"/>
      <c r="J281" s="15"/>
      <c r="K281" s="15" t="s">
        <v>30</v>
      </c>
      <c r="L281" s="18"/>
      <c r="M281" s="23"/>
      <c r="N281" s="20" t="n">
        <v>0.25</v>
      </c>
      <c r="O281" s="24"/>
      <c r="P281" s="20"/>
      <c r="Q281" s="20" t="n">
        <v>224.8</v>
      </c>
    </row>
    <row r="282" customFormat="false" ht="15.75" hidden="true" customHeight="true" outlineLevel="0" collapsed="false">
      <c r="A282" s="11" t="n">
        <v>32987952</v>
      </c>
      <c r="B282" s="12" t="s">
        <v>806</v>
      </c>
      <c r="C282" s="13" t="n">
        <v>1093</v>
      </c>
      <c r="D282" s="14" t="s">
        <v>49</v>
      </c>
      <c r="E282" s="15" t="s">
        <v>22</v>
      </c>
      <c r="F282" s="15" t="s">
        <v>35</v>
      </c>
      <c r="G282" s="14" t="s">
        <v>50</v>
      </c>
      <c r="H282" s="16" t="s">
        <v>51</v>
      </c>
      <c r="I282" s="17"/>
      <c r="J282" s="15"/>
      <c r="K282" s="15" t="s">
        <v>25</v>
      </c>
      <c r="L282" s="18" t="n">
        <v>46226</v>
      </c>
      <c r="M282" s="23" t="n">
        <v>46226</v>
      </c>
      <c r="N282" s="24" t="n">
        <v>0</v>
      </c>
      <c r="O282" s="24"/>
      <c r="P282" s="20" t="n">
        <v>3.5</v>
      </c>
      <c r="Q282" s="20" t="n">
        <v>5.6</v>
      </c>
    </row>
    <row r="283" customFormat="false" ht="15.75" hidden="true" customHeight="true" outlineLevel="0" collapsed="false">
      <c r="A283" s="11" t="n">
        <v>32987966</v>
      </c>
      <c r="B283" s="12" t="s">
        <v>807</v>
      </c>
      <c r="C283" s="13" t="n">
        <v>1098</v>
      </c>
      <c r="D283" s="14" t="s">
        <v>49</v>
      </c>
      <c r="E283" s="15" t="s">
        <v>22</v>
      </c>
      <c r="F283" s="15" t="s">
        <v>35</v>
      </c>
      <c r="G283" s="14" t="s">
        <v>50</v>
      </c>
      <c r="H283" s="16"/>
      <c r="I283" s="17"/>
      <c r="J283" s="15"/>
      <c r="K283" s="15" t="s">
        <v>25</v>
      </c>
      <c r="L283" s="18" t="n">
        <v>46226</v>
      </c>
      <c r="M283" s="23" t="n">
        <v>46226</v>
      </c>
      <c r="N283" s="24" t="n">
        <v>0</v>
      </c>
      <c r="O283" s="24"/>
      <c r="P283" s="20" t="n">
        <v>4</v>
      </c>
      <c r="Q283" s="20" t="n">
        <v>6</v>
      </c>
    </row>
    <row r="284" customFormat="false" ht="30" hidden="true" customHeight="true" outlineLevel="0" collapsed="false">
      <c r="A284" s="11" t="n">
        <v>32988329</v>
      </c>
      <c r="B284" s="12" t="s">
        <v>808</v>
      </c>
      <c r="C284" s="13" t="n">
        <v>1107</v>
      </c>
      <c r="D284" s="14" t="s">
        <v>34</v>
      </c>
      <c r="E284" s="15" t="s">
        <v>28</v>
      </c>
      <c r="F284" s="15" t="s">
        <v>35</v>
      </c>
      <c r="G284" s="14" t="s">
        <v>167</v>
      </c>
      <c r="H284" s="16"/>
      <c r="I284" s="17"/>
      <c r="J284" s="15"/>
      <c r="K284" s="15" t="s">
        <v>30</v>
      </c>
      <c r="L284" s="18"/>
      <c r="M284" s="23"/>
      <c r="N284" s="20" t="n">
        <v>2</v>
      </c>
      <c r="O284" s="24"/>
      <c r="P284" s="20"/>
      <c r="Q284" s="20" t="n">
        <v>0</v>
      </c>
    </row>
    <row r="285" customFormat="false" ht="30" hidden="true" customHeight="true" outlineLevel="0" collapsed="false">
      <c r="A285" s="11" t="n">
        <v>32988444</v>
      </c>
      <c r="B285" s="12" t="s">
        <v>809</v>
      </c>
      <c r="C285" s="13" t="n">
        <v>1108</v>
      </c>
      <c r="D285" s="14" t="s">
        <v>34</v>
      </c>
      <c r="E285" s="15" t="s">
        <v>28</v>
      </c>
      <c r="F285" s="15" t="s">
        <v>35</v>
      </c>
      <c r="G285" s="14" t="s">
        <v>50</v>
      </c>
      <c r="H285" s="16"/>
      <c r="I285" s="17"/>
      <c r="J285" s="15"/>
      <c r="K285" s="15" t="s">
        <v>30</v>
      </c>
      <c r="L285" s="18"/>
      <c r="M285" s="23"/>
      <c r="N285" s="20" t="n">
        <v>4</v>
      </c>
      <c r="O285" s="24"/>
      <c r="P285" s="20"/>
      <c r="Q285" s="20" t="n">
        <v>127.2</v>
      </c>
    </row>
    <row r="286" customFormat="false" ht="15.75" hidden="true" customHeight="true" outlineLevel="0" collapsed="false">
      <c r="A286" s="11" t="n">
        <v>32988470</v>
      </c>
      <c r="B286" s="12" t="s">
        <v>810</v>
      </c>
      <c r="C286" s="13" t="n">
        <v>1109</v>
      </c>
      <c r="D286" s="14" t="s">
        <v>96</v>
      </c>
      <c r="E286" s="15" t="s">
        <v>22</v>
      </c>
      <c r="F286" s="15" t="s">
        <v>35</v>
      </c>
      <c r="G286" s="14" t="s">
        <v>50</v>
      </c>
      <c r="H286" s="16"/>
      <c r="I286" s="17"/>
      <c r="J286" s="15"/>
      <c r="K286" s="15" t="s">
        <v>30</v>
      </c>
      <c r="L286" s="18" t="n">
        <v>46232</v>
      </c>
      <c r="M286" s="23" t="n">
        <v>46232</v>
      </c>
      <c r="N286" s="20" t="n">
        <v>1.5</v>
      </c>
      <c r="O286" s="24"/>
      <c r="P286" s="20" t="n">
        <v>11</v>
      </c>
      <c r="Q286" s="20" t="n">
        <v>3</v>
      </c>
    </row>
    <row r="287" customFormat="false" ht="15.75" hidden="true" customHeight="true" outlineLevel="0" collapsed="false">
      <c r="A287" s="11" t="n">
        <v>32988479</v>
      </c>
      <c r="B287" s="12" t="s">
        <v>811</v>
      </c>
      <c r="C287" s="13" t="n">
        <v>1110</v>
      </c>
      <c r="D287" s="14" t="s">
        <v>34</v>
      </c>
      <c r="E287" s="15" t="s">
        <v>22</v>
      </c>
      <c r="F287" s="15" t="s">
        <v>35</v>
      </c>
      <c r="G287" s="14" t="s">
        <v>50</v>
      </c>
      <c r="H287" s="16" t="s">
        <v>51</v>
      </c>
      <c r="I287" s="17"/>
      <c r="J287" s="15"/>
      <c r="K287" s="15" t="s">
        <v>30</v>
      </c>
      <c r="L287" s="18" t="n">
        <v>46252</v>
      </c>
      <c r="M287" s="23" t="n">
        <v>46240</v>
      </c>
      <c r="N287" s="20" t="n">
        <v>1.5</v>
      </c>
      <c r="O287" s="24"/>
      <c r="P287" s="20" t="n">
        <v>2.5</v>
      </c>
      <c r="Q287" s="20" t="n">
        <v>2.5</v>
      </c>
    </row>
    <row r="288" customFormat="false" ht="15.75" hidden="true" customHeight="true" outlineLevel="0" collapsed="false">
      <c r="A288" s="11" t="n">
        <v>32988506</v>
      </c>
      <c r="B288" s="12" t="s">
        <v>812</v>
      </c>
      <c r="C288" s="13" t="n">
        <v>1111</v>
      </c>
      <c r="D288" s="14" t="s">
        <v>67</v>
      </c>
      <c r="E288" s="15" t="s">
        <v>22</v>
      </c>
      <c r="F288" s="15" t="s">
        <v>35</v>
      </c>
      <c r="G288" s="14" t="s">
        <v>50</v>
      </c>
      <c r="H288" s="16" t="s">
        <v>51</v>
      </c>
      <c r="I288" s="17"/>
      <c r="J288" s="15"/>
      <c r="K288" s="15" t="s">
        <v>25</v>
      </c>
      <c r="L288" s="27" t="n">
        <v>46240</v>
      </c>
      <c r="M288" s="23" t="n">
        <v>46240</v>
      </c>
      <c r="N288" s="24" t="n">
        <v>0</v>
      </c>
      <c r="O288" s="24"/>
      <c r="P288" s="20" t="n">
        <v>2</v>
      </c>
      <c r="Q288" s="20" t="n">
        <v>2</v>
      </c>
    </row>
    <row r="289" customFormat="false" ht="15.75" hidden="true" customHeight="true" outlineLevel="0" collapsed="false">
      <c r="A289" s="11" t="n">
        <v>32988660</v>
      </c>
      <c r="B289" s="12" t="s">
        <v>813</v>
      </c>
      <c r="C289" s="13" t="n">
        <v>1112</v>
      </c>
      <c r="D289" s="14" t="s">
        <v>34</v>
      </c>
      <c r="E289" s="15" t="s">
        <v>28</v>
      </c>
      <c r="F289" s="15" t="s">
        <v>35</v>
      </c>
      <c r="G289" s="14" t="s">
        <v>167</v>
      </c>
      <c r="H289" s="16" t="s">
        <v>51</v>
      </c>
      <c r="I289" s="17" t="s">
        <v>814</v>
      </c>
      <c r="J289" s="15"/>
      <c r="K289" s="15" t="s">
        <v>30</v>
      </c>
      <c r="L289" s="18"/>
      <c r="M289" s="23"/>
      <c r="N289" s="20" t="n">
        <v>4</v>
      </c>
      <c r="O289" s="24"/>
      <c r="P289" s="20"/>
      <c r="Q289" s="20" t="n">
        <v>226.1</v>
      </c>
    </row>
    <row r="290" customFormat="false" ht="15.75" hidden="true" customHeight="true" outlineLevel="0" collapsed="false">
      <c r="A290" s="11" t="n">
        <v>32988687</v>
      </c>
      <c r="B290" s="12" t="s">
        <v>815</v>
      </c>
      <c r="C290" s="13" t="n">
        <v>1113</v>
      </c>
      <c r="D290" s="14" t="s">
        <v>34</v>
      </c>
      <c r="E290" s="15" t="s">
        <v>28</v>
      </c>
      <c r="F290" s="15" t="s">
        <v>35</v>
      </c>
      <c r="G290" s="14" t="s">
        <v>50</v>
      </c>
      <c r="H290" s="16" t="s">
        <v>51</v>
      </c>
      <c r="I290" s="17"/>
      <c r="J290" s="15"/>
      <c r="K290" s="15" t="s">
        <v>30</v>
      </c>
      <c r="L290" s="18"/>
      <c r="M290" s="23"/>
      <c r="N290" s="20" t="n">
        <v>2</v>
      </c>
      <c r="O290" s="24"/>
      <c r="P290" s="20"/>
      <c r="Q290" s="20" t="n">
        <v>0</v>
      </c>
    </row>
    <row r="291" customFormat="false" ht="30" hidden="false" customHeight="true" outlineLevel="0" collapsed="false">
      <c r="A291" s="11" t="n">
        <v>32988706</v>
      </c>
      <c r="B291" s="12" t="s">
        <v>816</v>
      </c>
      <c r="C291" s="13" t="n">
        <v>1114</v>
      </c>
      <c r="D291" s="14" t="s">
        <v>34</v>
      </c>
      <c r="E291" s="15" t="s">
        <v>22</v>
      </c>
      <c r="F291" s="15" t="s">
        <v>35</v>
      </c>
      <c r="G291" s="14" t="s">
        <v>50</v>
      </c>
      <c r="H291" s="16" t="s">
        <v>51</v>
      </c>
      <c r="I291" s="17"/>
      <c r="J291" s="15"/>
      <c r="K291" s="15" t="s">
        <v>25</v>
      </c>
      <c r="L291" s="18" t="n">
        <v>46259</v>
      </c>
      <c r="M291" s="23" t="n">
        <v>46258</v>
      </c>
      <c r="N291" s="20" t="n">
        <v>1</v>
      </c>
      <c r="O291" s="24"/>
      <c r="P291" s="20"/>
      <c r="Q291" s="20" t="n">
        <v>0</v>
      </c>
    </row>
    <row r="292" customFormat="false" ht="15.75" hidden="false" customHeight="true" outlineLevel="0" collapsed="false">
      <c r="A292" s="11" t="n">
        <v>32988779</v>
      </c>
      <c r="B292" s="12" t="s">
        <v>817</v>
      </c>
      <c r="C292" s="13" t="n">
        <v>1115</v>
      </c>
      <c r="D292" s="14" t="s">
        <v>34</v>
      </c>
      <c r="E292" s="15" t="s">
        <v>22</v>
      </c>
      <c r="F292" s="15" t="s">
        <v>35</v>
      </c>
      <c r="G292" s="14" t="s">
        <v>50</v>
      </c>
      <c r="H292" s="16" t="s">
        <v>51</v>
      </c>
      <c r="I292" s="17"/>
      <c r="J292" s="15"/>
      <c r="K292" s="15" t="s">
        <v>25</v>
      </c>
      <c r="L292" s="18" t="n">
        <v>46259</v>
      </c>
      <c r="M292" s="23" t="n">
        <v>46257</v>
      </c>
      <c r="N292" s="20" t="n">
        <v>1.5</v>
      </c>
      <c r="O292" s="24"/>
      <c r="P292" s="20"/>
      <c r="Q292" s="20" t="n">
        <v>432.6</v>
      </c>
    </row>
    <row r="293" customFormat="false" ht="15.75" hidden="false" customHeight="true" outlineLevel="0" collapsed="false">
      <c r="A293" s="11" t="n">
        <v>32988786</v>
      </c>
      <c r="B293" s="12" t="s">
        <v>818</v>
      </c>
      <c r="C293" s="13" t="n">
        <v>1116</v>
      </c>
      <c r="D293" s="14" t="s">
        <v>34</v>
      </c>
      <c r="E293" s="15" t="s">
        <v>28</v>
      </c>
      <c r="F293" s="15" t="s">
        <v>35</v>
      </c>
      <c r="G293" s="14" t="s">
        <v>167</v>
      </c>
      <c r="H293" s="16"/>
      <c r="I293" s="17" t="s">
        <v>814</v>
      </c>
      <c r="J293" s="15"/>
      <c r="K293" s="15" t="s">
        <v>25</v>
      </c>
      <c r="L293" s="18"/>
      <c r="M293" s="23"/>
      <c r="N293" s="20" t="n">
        <v>1</v>
      </c>
      <c r="O293" s="24"/>
      <c r="P293" s="20"/>
      <c r="Q293" s="20" t="n">
        <v>0</v>
      </c>
    </row>
    <row r="294" customFormat="false" ht="30" hidden="true" customHeight="true" outlineLevel="0" collapsed="false">
      <c r="A294" s="11" t="n">
        <v>32988794</v>
      </c>
      <c r="B294" s="12" t="s">
        <v>819</v>
      </c>
      <c r="C294" s="13" t="n">
        <v>1117</v>
      </c>
      <c r="D294" s="14" t="s">
        <v>34</v>
      </c>
      <c r="E294" s="15" t="s">
        <v>22</v>
      </c>
      <c r="F294" s="15" t="s">
        <v>35</v>
      </c>
      <c r="G294" s="14" t="s">
        <v>50</v>
      </c>
      <c r="H294" s="16" t="s">
        <v>51</v>
      </c>
      <c r="I294" s="17"/>
      <c r="J294" s="15"/>
      <c r="K294" s="15" t="s">
        <v>30</v>
      </c>
      <c r="L294" s="18" t="n">
        <v>46244</v>
      </c>
      <c r="M294" s="23" t="n">
        <v>46244</v>
      </c>
      <c r="N294" s="20" t="n">
        <v>2</v>
      </c>
      <c r="O294" s="24"/>
      <c r="P294" s="20" t="n">
        <v>3</v>
      </c>
      <c r="Q294" s="20" t="n">
        <v>416</v>
      </c>
    </row>
    <row r="295" customFormat="false" ht="31.5" hidden="false" customHeight="true" outlineLevel="0" collapsed="false">
      <c r="A295" s="11" t="n">
        <v>32988850</v>
      </c>
      <c r="B295" s="12" t="s">
        <v>820</v>
      </c>
      <c r="C295" s="13" t="n">
        <v>1121</v>
      </c>
      <c r="D295" s="14" t="s">
        <v>67</v>
      </c>
      <c r="E295" s="15" t="s">
        <v>22</v>
      </c>
      <c r="F295" s="15" t="s">
        <v>35</v>
      </c>
      <c r="G295" s="14" t="s">
        <v>50</v>
      </c>
      <c r="H295" s="16" t="s">
        <v>51</v>
      </c>
      <c r="I295" s="17" t="s">
        <v>36</v>
      </c>
      <c r="J295" s="15"/>
      <c r="K295" s="15" t="s">
        <v>25</v>
      </c>
      <c r="L295" s="18" t="n">
        <v>46259</v>
      </c>
      <c r="M295" s="23" t="n">
        <v>46257</v>
      </c>
      <c r="N295" s="24" t="n">
        <v>0</v>
      </c>
      <c r="O295" s="24"/>
      <c r="P295" s="20"/>
      <c r="Q295" s="20" t="n">
        <v>66.1</v>
      </c>
    </row>
    <row r="296" customFormat="false" ht="30" hidden="false" customHeight="true" outlineLevel="0" collapsed="false">
      <c r="A296" s="11" t="n">
        <v>32989457</v>
      </c>
      <c r="B296" s="12" t="s">
        <v>821</v>
      </c>
      <c r="C296" s="13" t="n">
        <v>1126</v>
      </c>
      <c r="D296" s="14" t="s">
        <v>49</v>
      </c>
      <c r="E296" s="15" t="s">
        <v>22</v>
      </c>
      <c r="F296" s="15" t="s">
        <v>141</v>
      </c>
      <c r="G296" s="14" t="s">
        <v>50</v>
      </c>
      <c r="H296" s="16"/>
      <c r="I296" s="17"/>
      <c r="J296" s="15"/>
      <c r="K296" s="15" t="s">
        <v>25</v>
      </c>
      <c r="L296" s="18" t="n">
        <v>46259</v>
      </c>
      <c r="M296" s="23" t="n">
        <v>46257</v>
      </c>
      <c r="N296" s="24" t="n">
        <v>0</v>
      </c>
      <c r="O296" s="24"/>
      <c r="P296" s="20" t="n">
        <v>2.5</v>
      </c>
      <c r="Q296" s="20" t="n">
        <v>728.6</v>
      </c>
    </row>
    <row r="297" customFormat="false" ht="30" hidden="true" customHeight="true" outlineLevel="0" collapsed="false">
      <c r="A297" s="11" t="n">
        <v>32989455</v>
      </c>
      <c r="B297" s="12" t="s">
        <v>822</v>
      </c>
      <c r="C297" s="13" t="n">
        <v>1127</v>
      </c>
      <c r="D297" s="14" t="s">
        <v>67</v>
      </c>
      <c r="E297" s="15" t="s">
        <v>22</v>
      </c>
      <c r="F297" s="15" t="s">
        <v>35</v>
      </c>
      <c r="G297" s="14" t="s">
        <v>50</v>
      </c>
      <c r="H297" s="16" t="s">
        <v>51</v>
      </c>
      <c r="I297" s="17" t="s">
        <v>36</v>
      </c>
      <c r="J297" s="15"/>
      <c r="K297" s="15" t="s">
        <v>30</v>
      </c>
      <c r="L297" s="18" t="n">
        <v>46259</v>
      </c>
      <c r="M297" s="23" t="n">
        <v>46257</v>
      </c>
      <c r="N297" s="24" t="n">
        <v>0</v>
      </c>
      <c r="O297" s="24"/>
      <c r="P297" s="20"/>
      <c r="Q297" s="20" t="n">
        <v>282.1</v>
      </c>
    </row>
    <row r="298" customFormat="false" ht="30" hidden="false" customHeight="true" outlineLevel="0" collapsed="false">
      <c r="A298" s="11" t="n">
        <v>32989472</v>
      </c>
      <c r="B298" s="12" t="s">
        <v>823</v>
      </c>
      <c r="C298" s="13" t="n">
        <v>1128</v>
      </c>
      <c r="D298" s="14" t="s">
        <v>34</v>
      </c>
      <c r="E298" s="15" t="s">
        <v>22</v>
      </c>
      <c r="F298" s="15" t="s">
        <v>35</v>
      </c>
      <c r="G298" s="14" t="s">
        <v>50</v>
      </c>
      <c r="H298" s="16"/>
      <c r="I298" s="17"/>
      <c r="J298" s="15"/>
      <c r="K298" s="15" t="s">
        <v>25</v>
      </c>
      <c r="L298" s="18" t="n">
        <v>46259</v>
      </c>
      <c r="M298" s="23" t="n">
        <v>46257</v>
      </c>
      <c r="N298" s="24" t="n">
        <v>0</v>
      </c>
      <c r="O298" s="24"/>
      <c r="P298" s="20"/>
      <c r="Q298" s="20" t="n">
        <v>0</v>
      </c>
    </row>
    <row r="299" customFormat="false" ht="30" hidden="true" customHeight="true" outlineLevel="0" collapsed="false">
      <c r="A299" s="11" t="n">
        <v>32989475</v>
      </c>
      <c r="B299" s="12" t="s">
        <v>824</v>
      </c>
      <c r="C299" s="13" t="n">
        <v>1129</v>
      </c>
      <c r="D299" s="14" t="s">
        <v>185</v>
      </c>
      <c r="E299" s="15" t="s">
        <v>28</v>
      </c>
      <c r="F299" s="15" t="s">
        <v>141</v>
      </c>
      <c r="G299" s="14" t="s">
        <v>50</v>
      </c>
      <c r="H299" s="16"/>
      <c r="I299" s="17"/>
      <c r="J299" s="15"/>
      <c r="K299" s="15" t="s">
        <v>30</v>
      </c>
      <c r="L299" s="18"/>
      <c r="M299" s="23"/>
      <c r="N299" s="20" t="n">
        <v>8</v>
      </c>
      <c r="O299" s="24"/>
      <c r="P299" s="20" t="n">
        <v>4</v>
      </c>
      <c r="Q299" s="20" t="n">
        <v>749.5</v>
      </c>
    </row>
    <row r="300" customFormat="false" ht="30" hidden="true" customHeight="true" outlineLevel="0" collapsed="false">
      <c r="A300" s="11" t="n">
        <v>32989476</v>
      </c>
      <c r="B300" s="12" t="s">
        <v>825</v>
      </c>
      <c r="C300" s="13" t="n">
        <v>1130</v>
      </c>
      <c r="D300" s="14" t="s">
        <v>34</v>
      </c>
      <c r="E300" s="15" t="s">
        <v>22</v>
      </c>
      <c r="F300" s="15" t="s">
        <v>35</v>
      </c>
      <c r="G300" s="14" t="s">
        <v>50</v>
      </c>
      <c r="H300" s="16"/>
      <c r="I300" s="17"/>
      <c r="J300" s="15"/>
      <c r="K300" s="15" t="s">
        <v>25</v>
      </c>
      <c r="L300" s="18" t="n">
        <v>46252</v>
      </c>
      <c r="M300" s="23" t="n">
        <v>46240</v>
      </c>
      <c r="N300" s="24" t="n">
        <v>0</v>
      </c>
      <c r="O300" s="24"/>
      <c r="P300" s="20" t="n">
        <v>4</v>
      </c>
      <c r="Q300" s="20" t="n">
        <v>2</v>
      </c>
    </row>
    <row r="301" customFormat="false" ht="30" hidden="false" customHeight="true" outlineLevel="0" collapsed="false">
      <c r="A301" s="11" t="n">
        <v>32989482</v>
      </c>
      <c r="B301" s="12" t="s">
        <v>826</v>
      </c>
      <c r="C301" s="13" t="n">
        <v>1131</v>
      </c>
      <c r="D301" s="14" t="s">
        <v>67</v>
      </c>
      <c r="E301" s="15" t="s">
        <v>22</v>
      </c>
      <c r="F301" s="15" t="s">
        <v>35</v>
      </c>
      <c r="G301" s="14" t="s">
        <v>50</v>
      </c>
      <c r="H301" s="16" t="s">
        <v>51</v>
      </c>
      <c r="I301" s="17"/>
      <c r="J301" s="15"/>
      <c r="K301" s="15" t="s">
        <v>25</v>
      </c>
      <c r="L301" s="18" t="n">
        <v>46259</v>
      </c>
      <c r="M301" s="23" t="n">
        <v>46258</v>
      </c>
      <c r="N301" s="24" t="n">
        <v>0</v>
      </c>
      <c r="O301" s="24"/>
      <c r="P301" s="20"/>
      <c r="Q301" s="20" t="n">
        <v>56.1</v>
      </c>
    </row>
    <row r="302" customFormat="false" ht="30" hidden="false" customHeight="true" outlineLevel="0" collapsed="false">
      <c r="A302" s="11" t="n">
        <v>32989491</v>
      </c>
      <c r="B302" s="12" t="s">
        <v>827</v>
      </c>
      <c r="C302" s="13" t="n">
        <v>1132</v>
      </c>
      <c r="D302" s="14" t="s">
        <v>67</v>
      </c>
      <c r="E302" s="15" t="s">
        <v>22</v>
      </c>
      <c r="F302" s="15" t="s">
        <v>35</v>
      </c>
      <c r="G302" s="14" t="s">
        <v>50</v>
      </c>
      <c r="H302" s="16"/>
      <c r="I302" s="17"/>
      <c r="J302" s="15"/>
      <c r="K302" s="15" t="s">
        <v>25</v>
      </c>
      <c r="L302" s="18" t="n">
        <v>46259</v>
      </c>
      <c r="M302" s="23" t="n">
        <v>46258</v>
      </c>
      <c r="N302" s="24" t="n">
        <v>0</v>
      </c>
      <c r="O302" s="24"/>
      <c r="P302" s="20"/>
      <c r="Q302" s="20" t="n">
        <v>0</v>
      </c>
    </row>
    <row r="303" customFormat="false" ht="30" hidden="false" customHeight="true" outlineLevel="0" collapsed="false">
      <c r="A303" s="11" t="n">
        <v>32989492</v>
      </c>
      <c r="B303" s="12" t="s">
        <v>828</v>
      </c>
      <c r="C303" s="13" t="n">
        <v>1133</v>
      </c>
      <c r="D303" s="14" t="s">
        <v>67</v>
      </c>
      <c r="E303" s="15" t="s">
        <v>28</v>
      </c>
      <c r="F303" s="15" t="s">
        <v>35</v>
      </c>
      <c r="G303" s="14" t="s">
        <v>50</v>
      </c>
      <c r="H303" s="16" t="s">
        <v>51</v>
      </c>
      <c r="I303" s="17"/>
      <c r="J303" s="15"/>
      <c r="K303" s="15" t="s">
        <v>25</v>
      </c>
      <c r="L303" s="18"/>
      <c r="M303" s="23"/>
      <c r="N303" s="24" t="n">
        <v>0</v>
      </c>
      <c r="O303" s="24"/>
      <c r="P303" s="20"/>
      <c r="Q303" s="20" t="n">
        <v>58.1</v>
      </c>
    </row>
    <row r="304" customFormat="false" ht="30" hidden="true" customHeight="true" outlineLevel="0" collapsed="false">
      <c r="A304" s="11" t="n">
        <v>32989497</v>
      </c>
      <c r="B304" s="12" t="s">
        <v>829</v>
      </c>
      <c r="C304" s="13" t="n">
        <v>1134</v>
      </c>
      <c r="D304" s="14" t="s">
        <v>67</v>
      </c>
      <c r="E304" s="15" t="s">
        <v>22</v>
      </c>
      <c r="F304" s="15" t="s">
        <v>35</v>
      </c>
      <c r="G304" s="14" t="s">
        <v>50</v>
      </c>
      <c r="H304" s="16" t="s">
        <v>51</v>
      </c>
      <c r="I304" s="17"/>
      <c r="J304" s="15"/>
      <c r="K304" s="15" t="s">
        <v>25</v>
      </c>
      <c r="L304" s="18" t="n">
        <v>46244</v>
      </c>
      <c r="M304" s="23" t="n">
        <v>46244</v>
      </c>
      <c r="N304" s="24" t="n">
        <v>0</v>
      </c>
      <c r="O304" s="24"/>
      <c r="P304" s="20" t="n">
        <v>2</v>
      </c>
      <c r="Q304" s="20" t="n">
        <v>2</v>
      </c>
    </row>
    <row r="305" customFormat="false" ht="30" hidden="true" customHeight="true" outlineLevel="0" collapsed="false">
      <c r="A305" s="11" t="n">
        <v>32989575</v>
      </c>
      <c r="B305" s="12" t="s">
        <v>830</v>
      </c>
      <c r="C305" s="13" t="n">
        <v>1138</v>
      </c>
      <c r="D305" s="14" t="s">
        <v>96</v>
      </c>
      <c r="E305" s="15" t="s">
        <v>22</v>
      </c>
      <c r="F305" s="15" t="s">
        <v>35</v>
      </c>
      <c r="G305" s="14" t="s">
        <v>167</v>
      </c>
      <c r="H305" s="16"/>
      <c r="I305" s="17"/>
      <c r="J305" s="15"/>
      <c r="K305" s="15" t="s">
        <v>30</v>
      </c>
      <c r="L305" s="18" t="n">
        <v>46231</v>
      </c>
      <c r="M305" s="23" t="n">
        <v>46231</v>
      </c>
      <c r="N305" s="20" t="n">
        <v>4</v>
      </c>
      <c r="O305" s="24"/>
      <c r="P305" s="20" t="n">
        <v>4</v>
      </c>
      <c r="Q305" s="20" t="n">
        <v>2</v>
      </c>
    </row>
    <row r="306" customFormat="false" ht="15.75" hidden="true" customHeight="true" outlineLevel="0" collapsed="false">
      <c r="A306" s="11" t="n">
        <v>32989728</v>
      </c>
      <c r="B306" s="12" t="s">
        <v>831</v>
      </c>
      <c r="C306" s="13" t="n">
        <v>1141</v>
      </c>
      <c r="D306" s="14" t="s">
        <v>72</v>
      </c>
      <c r="E306" s="15" t="s">
        <v>22</v>
      </c>
      <c r="F306" s="15" t="s">
        <v>35</v>
      </c>
      <c r="G306" s="14" t="s">
        <v>50</v>
      </c>
      <c r="H306" s="16" t="s">
        <v>51</v>
      </c>
      <c r="I306" s="17"/>
      <c r="J306" s="15"/>
      <c r="K306" s="15" t="s">
        <v>30</v>
      </c>
      <c r="L306" s="18" t="n">
        <v>46259</v>
      </c>
      <c r="M306" s="23" t="n">
        <v>46258</v>
      </c>
      <c r="N306" s="24" t="n">
        <v>0</v>
      </c>
      <c r="O306" s="24"/>
      <c r="P306" s="20"/>
      <c r="Q306" s="20" t="n">
        <v>0</v>
      </c>
    </row>
    <row r="307" customFormat="false" ht="30" hidden="true" customHeight="true" outlineLevel="0" collapsed="false">
      <c r="A307" s="11" t="n">
        <v>32989743</v>
      </c>
      <c r="B307" s="12" t="s">
        <v>832</v>
      </c>
      <c r="C307" s="13" t="n">
        <v>1142</v>
      </c>
      <c r="D307" s="14" t="s">
        <v>72</v>
      </c>
      <c r="E307" s="15" t="s">
        <v>22</v>
      </c>
      <c r="F307" s="15" t="s">
        <v>35</v>
      </c>
      <c r="G307" s="14" t="s">
        <v>50</v>
      </c>
      <c r="H307" s="16" t="s">
        <v>51</v>
      </c>
      <c r="I307" s="17"/>
      <c r="J307" s="15"/>
      <c r="K307" s="15" t="s">
        <v>30</v>
      </c>
      <c r="L307" s="18" t="n">
        <v>46256</v>
      </c>
      <c r="M307" s="23" t="n">
        <v>46254</v>
      </c>
      <c r="N307" s="24" t="n">
        <v>0</v>
      </c>
      <c r="O307" s="24"/>
      <c r="P307" s="20" t="n">
        <v>1</v>
      </c>
      <c r="Q307" s="20" t="n">
        <v>1</v>
      </c>
    </row>
    <row r="308" customFormat="false" ht="30" hidden="true" customHeight="true" outlineLevel="0" collapsed="false">
      <c r="A308" s="11" t="n">
        <v>32989796</v>
      </c>
      <c r="B308" s="12" t="s">
        <v>833</v>
      </c>
      <c r="C308" s="13" t="n">
        <v>1143</v>
      </c>
      <c r="D308" s="14" t="s">
        <v>72</v>
      </c>
      <c r="E308" s="15" t="s">
        <v>22</v>
      </c>
      <c r="F308" s="15" t="s">
        <v>35</v>
      </c>
      <c r="G308" s="14" t="s">
        <v>50</v>
      </c>
      <c r="H308" s="16"/>
      <c r="I308" s="17"/>
      <c r="J308" s="15"/>
      <c r="K308" s="15" t="s">
        <v>24</v>
      </c>
      <c r="L308" s="18" t="n">
        <v>46252</v>
      </c>
      <c r="M308" s="23" t="n">
        <v>46240</v>
      </c>
      <c r="N308" s="24" t="n">
        <v>0</v>
      </c>
      <c r="O308" s="24"/>
      <c r="P308" s="20" t="n">
        <v>2</v>
      </c>
      <c r="Q308" s="20" t="n">
        <v>2</v>
      </c>
    </row>
    <row r="309" customFormat="false" ht="30" hidden="false" customHeight="true" outlineLevel="0" collapsed="false">
      <c r="A309" s="11" t="n">
        <v>32989797</v>
      </c>
      <c r="B309" s="12" t="s">
        <v>834</v>
      </c>
      <c r="C309" s="13" t="n">
        <v>1144</v>
      </c>
      <c r="D309" s="14" t="s">
        <v>34</v>
      </c>
      <c r="E309" s="15" t="s">
        <v>28</v>
      </c>
      <c r="F309" s="15" t="s">
        <v>35</v>
      </c>
      <c r="G309" s="14" t="s">
        <v>748</v>
      </c>
      <c r="H309" s="16" t="s">
        <v>51</v>
      </c>
      <c r="I309" s="17"/>
      <c r="J309" s="15"/>
      <c r="K309" s="15" t="s">
        <v>25</v>
      </c>
      <c r="L309" s="18"/>
      <c r="M309" s="23"/>
      <c r="N309" s="24" t="n">
        <v>0</v>
      </c>
      <c r="O309" s="24"/>
      <c r="P309" s="20" t="n">
        <v>4.3</v>
      </c>
      <c r="Q309" s="20" t="n">
        <v>641.1</v>
      </c>
    </row>
    <row r="310" customFormat="false" ht="15.75" hidden="true" customHeight="true" outlineLevel="0" collapsed="false">
      <c r="A310" s="11" t="n">
        <v>32989800</v>
      </c>
      <c r="B310" s="12" t="s">
        <v>835</v>
      </c>
      <c r="C310" s="13" t="n">
        <v>1145</v>
      </c>
      <c r="D310" s="14" t="s">
        <v>72</v>
      </c>
      <c r="E310" s="15" t="s">
        <v>22</v>
      </c>
      <c r="F310" s="15" t="s">
        <v>35</v>
      </c>
      <c r="G310" s="14" t="s">
        <v>50</v>
      </c>
      <c r="H310" s="16" t="s">
        <v>51</v>
      </c>
      <c r="I310" s="17"/>
      <c r="J310" s="15"/>
      <c r="K310" s="15" t="s">
        <v>30</v>
      </c>
      <c r="L310" s="18" t="n">
        <v>46256</v>
      </c>
      <c r="M310" s="23" t="n">
        <v>46254</v>
      </c>
      <c r="N310" s="24" t="n">
        <v>0</v>
      </c>
      <c r="O310" s="24"/>
      <c r="P310" s="20" t="n">
        <v>1</v>
      </c>
      <c r="Q310" s="20" t="n">
        <v>1</v>
      </c>
    </row>
    <row r="311" customFormat="false" ht="30" hidden="false" customHeight="true" outlineLevel="0" collapsed="false">
      <c r="A311" s="11" t="n">
        <v>32989825</v>
      </c>
      <c r="B311" s="12" t="s">
        <v>836</v>
      </c>
      <c r="C311" s="13" t="n">
        <v>1146</v>
      </c>
      <c r="D311" s="14" t="s">
        <v>34</v>
      </c>
      <c r="E311" s="15" t="s">
        <v>22</v>
      </c>
      <c r="F311" s="15" t="s">
        <v>35</v>
      </c>
      <c r="G311" s="14" t="s">
        <v>50</v>
      </c>
      <c r="H311" s="16"/>
      <c r="I311" s="17"/>
      <c r="J311" s="15"/>
      <c r="K311" s="15" t="s">
        <v>25</v>
      </c>
      <c r="L311" s="18" t="n">
        <v>46259</v>
      </c>
      <c r="M311" s="23" t="n">
        <v>46258</v>
      </c>
      <c r="N311" s="24" t="n">
        <v>0</v>
      </c>
      <c r="O311" s="24"/>
      <c r="P311" s="20"/>
      <c r="Q311" s="20" t="n">
        <v>0</v>
      </c>
    </row>
    <row r="312" customFormat="false" ht="30" hidden="false" customHeight="true" outlineLevel="0" collapsed="false">
      <c r="A312" s="11" t="n">
        <v>32989853</v>
      </c>
      <c r="B312" s="12" t="s">
        <v>837</v>
      </c>
      <c r="C312" s="13" t="n">
        <v>1147</v>
      </c>
      <c r="D312" s="14" t="s">
        <v>67</v>
      </c>
      <c r="E312" s="15" t="s">
        <v>22</v>
      </c>
      <c r="F312" s="15" t="s">
        <v>35</v>
      </c>
      <c r="G312" s="14" t="s">
        <v>50</v>
      </c>
      <c r="H312" s="16"/>
      <c r="I312" s="17" t="s">
        <v>36</v>
      </c>
      <c r="J312" s="15"/>
      <c r="K312" s="15" t="s">
        <v>25</v>
      </c>
      <c r="L312" s="18" t="n">
        <v>46259</v>
      </c>
      <c r="M312" s="23" t="n">
        <v>46257</v>
      </c>
      <c r="N312" s="20" t="n">
        <v>1</v>
      </c>
      <c r="O312" s="24"/>
      <c r="P312" s="20" t="n">
        <v>2</v>
      </c>
      <c r="Q312" s="20" t="n">
        <v>729.5</v>
      </c>
    </row>
    <row r="313" customFormat="false" ht="15.75" hidden="true" customHeight="true" outlineLevel="0" collapsed="false">
      <c r="A313" s="11" t="n">
        <v>32989854</v>
      </c>
      <c r="B313" s="12" t="s">
        <v>838</v>
      </c>
      <c r="C313" s="13" t="n">
        <v>1148</v>
      </c>
      <c r="D313" s="14" t="s">
        <v>67</v>
      </c>
      <c r="E313" s="15" t="s">
        <v>22</v>
      </c>
      <c r="F313" s="15" t="s">
        <v>35</v>
      </c>
      <c r="G313" s="14" t="s">
        <v>50</v>
      </c>
      <c r="H313" s="16"/>
      <c r="I313" s="17"/>
      <c r="J313" s="15"/>
      <c r="K313" s="15" t="s">
        <v>25</v>
      </c>
      <c r="L313" s="18" t="n">
        <v>46238</v>
      </c>
      <c r="M313" s="23" t="n">
        <v>46238</v>
      </c>
      <c r="N313" s="24" t="n">
        <v>0</v>
      </c>
      <c r="O313" s="24"/>
      <c r="P313" s="20" t="n">
        <v>13</v>
      </c>
      <c r="Q313" s="20" t="n">
        <v>6.5</v>
      </c>
    </row>
    <row r="314" customFormat="false" ht="30" hidden="false" customHeight="true" outlineLevel="0" collapsed="false">
      <c r="A314" s="11" t="n">
        <v>32989860</v>
      </c>
      <c r="B314" s="12" t="s">
        <v>839</v>
      </c>
      <c r="C314" s="13" t="n">
        <v>1149</v>
      </c>
      <c r="D314" s="14" t="s">
        <v>72</v>
      </c>
      <c r="E314" s="15" t="s">
        <v>22</v>
      </c>
      <c r="F314" s="15" t="s">
        <v>35</v>
      </c>
      <c r="G314" s="14" t="s">
        <v>50</v>
      </c>
      <c r="H314" s="16" t="s">
        <v>51</v>
      </c>
      <c r="I314" s="17"/>
      <c r="J314" s="15"/>
      <c r="K314" s="15" t="s">
        <v>25</v>
      </c>
      <c r="L314" s="18" t="n">
        <v>46259</v>
      </c>
      <c r="M314" s="23" t="n">
        <v>46258</v>
      </c>
      <c r="N314" s="24" t="n">
        <v>0</v>
      </c>
      <c r="O314" s="24"/>
      <c r="P314" s="20"/>
      <c r="Q314" s="20" t="n">
        <v>58.1</v>
      </c>
    </row>
    <row r="315" customFormat="false" ht="15.75" hidden="true" customHeight="true" outlineLevel="0" collapsed="false">
      <c r="A315" s="11" t="n">
        <v>32989874</v>
      </c>
      <c r="B315" s="12" t="s">
        <v>840</v>
      </c>
      <c r="C315" s="13" t="n">
        <v>1150</v>
      </c>
      <c r="D315" s="14" t="s">
        <v>72</v>
      </c>
      <c r="E315" s="15" t="s">
        <v>22</v>
      </c>
      <c r="F315" s="15" t="s">
        <v>35</v>
      </c>
      <c r="G315" s="14" t="s">
        <v>50</v>
      </c>
      <c r="H315" s="16" t="s">
        <v>51</v>
      </c>
      <c r="I315" s="17"/>
      <c r="J315" s="15"/>
      <c r="K315" s="15" t="s">
        <v>30</v>
      </c>
      <c r="L315" s="18" t="n">
        <v>46256</v>
      </c>
      <c r="M315" s="23" t="n">
        <v>46254</v>
      </c>
      <c r="N315" s="24" t="n">
        <v>0</v>
      </c>
      <c r="O315" s="24"/>
      <c r="P315" s="20" t="n">
        <v>1</v>
      </c>
      <c r="Q315" s="20" t="n">
        <v>1</v>
      </c>
    </row>
    <row r="316" customFormat="false" ht="30" hidden="true" customHeight="true" outlineLevel="0" collapsed="false">
      <c r="A316" s="11" t="n">
        <v>32989888</v>
      </c>
      <c r="B316" s="12" t="s">
        <v>841</v>
      </c>
      <c r="C316" s="13" t="n">
        <v>1151</v>
      </c>
      <c r="D316" s="14" t="s">
        <v>96</v>
      </c>
      <c r="E316" s="15" t="s">
        <v>22</v>
      </c>
      <c r="F316" s="15" t="s">
        <v>35</v>
      </c>
      <c r="G316" s="14" t="s">
        <v>167</v>
      </c>
      <c r="H316" s="16"/>
      <c r="I316" s="17"/>
      <c r="J316" s="15"/>
      <c r="K316" s="15" t="s">
        <v>30</v>
      </c>
      <c r="L316" s="18" t="n">
        <v>46231</v>
      </c>
      <c r="M316" s="23" t="n">
        <v>46231</v>
      </c>
      <c r="N316" s="20" t="n">
        <v>4</v>
      </c>
      <c r="O316" s="24"/>
      <c r="P316" s="20" t="n">
        <v>4</v>
      </c>
      <c r="Q316" s="20" t="n">
        <v>2</v>
      </c>
    </row>
    <row r="317" customFormat="false" ht="30" hidden="true" customHeight="true" outlineLevel="0" collapsed="false">
      <c r="A317" s="11" t="n">
        <v>32989938</v>
      </c>
      <c r="B317" s="12" t="s">
        <v>842</v>
      </c>
      <c r="C317" s="13" t="n">
        <v>1152</v>
      </c>
      <c r="D317" s="14" t="s">
        <v>72</v>
      </c>
      <c r="E317" s="15" t="s">
        <v>22</v>
      </c>
      <c r="F317" s="15" t="s">
        <v>35</v>
      </c>
      <c r="G317" s="14" t="s">
        <v>167</v>
      </c>
      <c r="H317" s="16"/>
      <c r="I317" s="17"/>
      <c r="J317" s="15"/>
      <c r="K317" s="15" t="s">
        <v>30</v>
      </c>
      <c r="L317" s="18" t="n">
        <v>46226</v>
      </c>
      <c r="M317" s="23" t="n">
        <v>46226</v>
      </c>
      <c r="N317" s="24" t="n">
        <v>0</v>
      </c>
      <c r="O317" s="24"/>
      <c r="P317" s="20" t="n">
        <v>2</v>
      </c>
      <c r="Q317" s="20" t="n">
        <v>2</v>
      </c>
    </row>
    <row r="318" customFormat="false" ht="15.75" hidden="true" customHeight="true" outlineLevel="0" collapsed="false">
      <c r="A318" s="11" t="n">
        <v>32989943</v>
      </c>
      <c r="B318" s="12" t="s">
        <v>843</v>
      </c>
      <c r="C318" s="13" t="n">
        <v>1154</v>
      </c>
      <c r="D318" s="14" t="s">
        <v>72</v>
      </c>
      <c r="E318" s="15" t="s">
        <v>22</v>
      </c>
      <c r="F318" s="15" t="s">
        <v>35</v>
      </c>
      <c r="G318" s="14" t="s">
        <v>50</v>
      </c>
      <c r="H318" s="16" t="s">
        <v>51</v>
      </c>
      <c r="I318" s="17"/>
      <c r="J318" s="15"/>
      <c r="K318" s="15" t="s">
        <v>30</v>
      </c>
      <c r="L318" s="18" t="n">
        <v>46259</v>
      </c>
      <c r="M318" s="23" t="n">
        <v>46257</v>
      </c>
      <c r="N318" s="24" t="n">
        <v>0</v>
      </c>
      <c r="O318" s="24"/>
      <c r="P318" s="20"/>
      <c r="Q318" s="20" t="n">
        <v>52.6</v>
      </c>
    </row>
    <row r="319" customFormat="false" ht="15.75" hidden="true" customHeight="true" outlineLevel="0" collapsed="false">
      <c r="A319" s="11" t="n">
        <v>32989952</v>
      </c>
      <c r="B319" s="12" t="s">
        <v>844</v>
      </c>
      <c r="C319" s="13" t="n">
        <v>1156</v>
      </c>
      <c r="D319" s="14" t="s">
        <v>72</v>
      </c>
      <c r="E319" s="15" t="s">
        <v>28</v>
      </c>
      <c r="F319" s="15" t="s">
        <v>35</v>
      </c>
      <c r="G319" s="14" t="s">
        <v>50</v>
      </c>
      <c r="H319" s="16" t="s">
        <v>51</v>
      </c>
      <c r="I319" s="17"/>
      <c r="J319" s="15"/>
      <c r="K319" s="15" t="s">
        <v>30</v>
      </c>
      <c r="L319" s="18"/>
      <c r="M319" s="23"/>
      <c r="N319" s="24" t="n">
        <v>0</v>
      </c>
      <c r="O319" s="24"/>
      <c r="P319" s="20"/>
      <c r="Q319" s="20" t="n">
        <v>0</v>
      </c>
    </row>
    <row r="320" customFormat="false" ht="30" hidden="true" customHeight="true" outlineLevel="0" collapsed="false">
      <c r="A320" s="11" t="n">
        <v>32989995</v>
      </c>
      <c r="B320" s="12" t="s">
        <v>845</v>
      </c>
      <c r="C320" s="13" t="n">
        <v>1171</v>
      </c>
      <c r="D320" s="14" t="s">
        <v>185</v>
      </c>
      <c r="E320" s="15" t="s">
        <v>28</v>
      </c>
      <c r="F320" s="15" t="s">
        <v>141</v>
      </c>
      <c r="G320" s="14" t="s">
        <v>50</v>
      </c>
      <c r="H320" s="16" t="s">
        <v>51</v>
      </c>
      <c r="I320" s="17"/>
      <c r="J320" s="15"/>
      <c r="K320" s="15" t="s">
        <v>30</v>
      </c>
      <c r="L320" s="18"/>
      <c r="M320" s="23"/>
      <c r="N320" s="24" t="n">
        <v>0</v>
      </c>
      <c r="O320" s="24"/>
      <c r="P320" s="20" t="n">
        <v>35.5</v>
      </c>
      <c r="Q320" s="20" t="n">
        <v>753.4</v>
      </c>
    </row>
    <row r="321" customFormat="false" ht="30" hidden="true" customHeight="true" outlineLevel="0" collapsed="false">
      <c r="A321" s="11" t="n">
        <v>32990006</v>
      </c>
      <c r="B321" s="12" t="s">
        <v>846</v>
      </c>
      <c r="C321" s="13" t="n">
        <v>1173</v>
      </c>
      <c r="D321" s="14" t="s">
        <v>185</v>
      </c>
      <c r="E321" s="15" t="s">
        <v>22</v>
      </c>
      <c r="F321" s="15" t="s">
        <v>35</v>
      </c>
      <c r="G321" s="14" t="s">
        <v>186</v>
      </c>
      <c r="H321" s="16"/>
      <c r="I321" s="17"/>
      <c r="J321" s="15"/>
      <c r="K321" s="15" t="s">
        <v>37</v>
      </c>
      <c r="L321" s="18" t="n">
        <v>46225</v>
      </c>
      <c r="M321" s="23" t="n">
        <v>46225</v>
      </c>
      <c r="N321" s="20" t="n">
        <v>1.5</v>
      </c>
      <c r="O321" s="24"/>
      <c r="P321" s="20" t="n">
        <v>1.5</v>
      </c>
      <c r="Q321" s="20" t="n">
        <v>1.68</v>
      </c>
    </row>
    <row r="322" customFormat="false" ht="15.75" hidden="true" customHeight="true" outlineLevel="0" collapsed="false">
      <c r="A322" s="11" t="n">
        <v>32990008</v>
      </c>
      <c r="B322" s="12" t="s">
        <v>847</v>
      </c>
      <c r="C322" s="13" t="n">
        <v>1174</v>
      </c>
      <c r="D322" s="14" t="s">
        <v>61</v>
      </c>
      <c r="E322" s="15" t="s">
        <v>28</v>
      </c>
      <c r="F322" s="15" t="s">
        <v>141</v>
      </c>
      <c r="G322" s="14" t="s">
        <v>50</v>
      </c>
      <c r="H322" s="16" t="s">
        <v>51</v>
      </c>
      <c r="I322" s="17"/>
      <c r="J322" s="15"/>
      <c r="K322" s="15" t="s">
        <v>30</v>
      </c>
      <c r="L322" s="18"/>
      <c r="M322" s="23"/>
      <c r="N322" s="24" t="n">
        <v>0</v>
      </c>
      <c r="O322" s="24"/>
      <c r="P322" s="20"/>
      <c r="Q322" s="20" t="n">
        <v>49.1</v>
      </c>
    </row>
    <row r="323" customFormat="false" ht="30" hidden="true" customHeight="true" outlineLevel="0" collapsed="false">
      <c r="A323" s="11" t="n">
        <v>32990007</v>
      </c>
      <c r="B323" s="12" t="s">
        <v>848</v>
      </c>
      <c r="C323" s="13" t="n">
        <v>1175</v>
      </c>
      <c r="D323" s="14" t="s">
        <v>185</v>
      </c>
      <c r="E323" s="15" t="s">
        <v>22</v>
      </c>
      <c r="F323" s="15" t="s">
        <v>35</v>
      </c>
      <c r="G323" s="14" t="s">
        <v>208</v>
      </c>
      <c r="H323" s="16"/>
      <c r="I323" s="17"/>
      <c r="J323" s="15"/>
      <c r="K323" s="15" t="s">
        <v>37</v>
      </c>
      <c r="L323" s="18" t="n">
        <v>46252</v>
      </c>
      <c r="M323" s="23" t="n">
        <v>46252</v>
      </c>
      <c r="N323" s="20" t="n">
        <v>8</v>
      </c>
      <c r="O323" s="24"/>
      <c r="P323" s="20" t="n">
        <v>8</v>
      </c>
      <c r="Q323" s="20" t="n">
        <v>2.07</v>
      </c>
    </row>
    <row r="324" customFormat="false" ht="30" hidden="true" customHeight="true" outlineLevel="0" collapsed="false">
      <c r="A324" s="11" t="n">
        <v>32990011</v>
      </c>
      <c r="B324" s="12" t="s">
        <v>849</v>
      </c>
      <c r="C324" s="13" t="n">
        <v>1176</v>
      </c>
      <c r="D324" s="14" t="s">
        <v>185</v>
      </c>
      <c r="E324" s="15" t="s">
        <v>22</v>
      </c>
      <c r="F324" s="15" t="s">
        <v>35</v>
      </c>
      <c r="G324" s="14" t="s">
        <v>208</v>
      </c>
      <c r="H324" s="16"/>
      <c r="I324" s="17"/>
      <c r="J324" s="15"/>
      <c r="K324" s="15" t="s">
        <v>37</v>
      </c>
      <c r="L324" s="18" t="n">
        <v>46252</v>
      </c>
      <c r="M324" s="23" t="n">
        <v>46252</v>
      </c>
      <c r="N324" s="20" t="n">
        <v>8</v>
      </c>
      <c r="O324" s="24"/>
      <c r="P324" s="20" t="n">
        <v>8</v>
      </c>
      <c r="Q324" s="20" t="n">
        <v>2.08</v>
      </c>
    </row>
    <row r="325" customFormat="false" ht="30" hidden="true" customHeight="true" outlineLevel="0" collapsed="false">
      <c r="A325" s="11" t="n">
        <v>32990012</v>
      </c>
      <c r="B325" s="12" t="s">
        <v>850</v>
      </c>
      <c r="C325" s="13" t="n">
        <v>1177</v>
      </c>
      <c r="D325" s="14" t="s">
        <v>185</v>
      </c>
      <c r="E325" s="15" t="s">
        <v>22</v>
      </c>
      <c r="F325" s="15" t="s">
        <v>35</v>
      </c>
      <c r="G325" s="14" t="s">
        <v>208</v>
      </c>
      <c r="H325" s="16"/>
      <c r="I325" s="17"/>
      <c r="J325" s="15"/>
      <c r="K325" s="15" t="s">
        <v>37</v>
      </c>
      <c r="L325" s="18" t="n">
        <v>46252</v>
      </c>
      <c r="M325" s="23" t="n">
        <v>46252</v>
      </c>
      <c r="N325" s="20" t="n">
        <v>6</v>
      </c>
      <c r="O325" s="24"/>
      <c r="P325" s="20" t="n">
        <v>8</v>
      </c>
      <c r="Q325" s="20" t="n">
        <v>2.03</v>
      </c>
    </row>
    <row r="326" customFormat="false" ht="30" hidden="true" customHeight="true" outlineLevel="0" collapsed="false">
      <c r="A326" s="11" t="n">
        <v>32990013</v>
      </c>
      <c r="B326" s="12" t="s">
        <v>851</v>
      </c>
      <c r="C326" s="13" t="n">
        <v>1178</v>
      </c>
      <c r="D326" s="14" t="s">
        <v>185</v>
      </c>
      <c r="E326" s="15" t="s">
        <v>22</v>
      </c>
      <c r="F326" s="15" t="s">
        <v>35</v>
      </c>
      <c r="G326" s="14" t="s">
        <v>208</v>
      </c>
      <c r="H326" s="16"/>
      <c r="I326" s="17"/>
      <c r="J326" s="15"/>
      <c r="K326" s="15" t="s">
        <v>37</v>
      </c>
      <c r="L326" s="18" t="n">
        <v>46252</v>
      </c>
      <c r="M326" s="23" t="n">
        <v>46252</v>
      </c>
      <c r="N326" s="20" t="n">
        <v>6</v>
      </c>
      <c r="O326" s="24"/>
      <c r="P326" s="20" t="n">
        <v>9</v>
      </c>
      <c r="Q326" s="20" t="n">
        <v>3.1</v>
      </c>
    </row>
    <row r="327" customFormat="false" ht="30" hidden="true" customHeight="true" outlineLevel="0" collapsed="false">
      <c r="A327" s="11" t="n">
        <v>32990020</v>
      </c>
      <c r="B327" s="12" t="s">
        <v>852</v>
      </c>
      <c r="C327" s="13" t="n">
        <v>1179</v>
      </c>
      <c r="D327" s="14" t="s">
        <v>185</v>
      </c>
      <c r="E327" s="15" t="s">
        <v>22</v>
      </c>
      <c r="F327" s="15" t="s">
        <v>35</v>
      </c>
      <c r="G327" s="14" t="s">
        <v>208</v>
      </c>
      <c r="H327" s="16"/>
      <c r="I327" s="17"/>
      <c r="J327" s="15"/>
      <c r="K327" s="15" t="s">
        <v>37</v>
      </c>
      <c r="L327" s="18" t="n">
        <v>46252</v>
      </c>
      <c r="M327" s="23" t="n">
        <v>46252</v>
      </c>
      <c r="N327" s="20" t="n">
        <v>4</v>
      </c>
      <c r="O327" s="24"/>
      <c r="P327" s="20" t="n">
        <v>8</v>
      </c>
      <c r="Q327" s="20" t="n">
        <v>2.05</v>
      </c>
    </row>
    <row r="328" customFormat="false" ht="30" hidden="true" customHeight="true" outlineLevel="0" collapsed="false">
      <c r="A328" s="11" t="n">
        <v>32990021</v>
      </c>
      <c r="B328" s="12" t="s">
        <v>853</v>
      </c>
      <c r="C328" s="13" t="n">
        <v>1180</v>
      </c>
      <c r="D328" s="14" t="s">
        <v>185</v>
      </c>
      <c r="E328" s="15" t="s">
        <v>22</v>
      </c>
      <c r="F328" s="15" t="s">
        <v>35</v>
      </c>
      <c r="G328" s="14" t="s">
        <v>186</v>
      </c>
      <c r="H328" s="16"/>
      <c r="I328" s="17"/>
      <c r="J328" s="15"/>
      <c r="K328" s="15" t="s">
        <v>37</v>
      </c>
      <c r="L328" s="18" t="n">
        <v>46225</v>
      </c>
      <c r="M328" s="23" t="n">
        <v>46225</v>
      </c>
      <c r="N328" s="24" t="n">
        <v>0</v>
      </c>
      <c r="O328" s="24"/>
      <c r="P328" s="20" t="n">
        <v>1.5</v>
      </c>
      <c r="Q328" s="20" t="n">
        <v>1.75</v>
      </c>
    </row>
    <row r="329" customFormat="false" ht="15.75" hidden="true" customHeight="true" outlineLevel="0" collapsed="false">
      <c r="A329" s="11" t="n">
        <v>32990026</v>
      </c>
      <c r="B329" s="12" t="s">
        <v>854</v>
      </c>
      <c r="C329" s="13" t="n">
        <v>1181</v>
      </c>
      <c r="D329" s="14" t="s">
        <v>185</v>
      </c>
      <c r="E329" s="15" t="s">
        <v>22</v>
      </c>
      <c r="F329" s="15" t="s">
        <v>35</v>
      </c>
      <c r="G329" s="14" t="s">
        <v>186</v>
      </c>
      <c r="H329" s="16"/>
      <c r="I329" s="17"/>
      <c r="J329" s="15"/>
      <c r="K329" s="15" t="s">
        <v>37</v>
      </c>
      <c r="L329" s="18" t="n">
        <v>46226</v>
      </c>
      <c r="M329" s="23" t="n">
        <v>46226</v>
      </c>
      <c r="N329" s="24" t="n">
        <v>0</v>
      </c>
      <c r="O329" s="24"/>
      <c r="P329" s="20" t="n">
        <v>2.08</v>
      </c>
      <c r="Q329" s="20" t="n">
        <v>30.8</v>
      </c>
    </row>
    <row r="330" customFormat="false" ht="15.75" hidden="true" customHeight="true" outlineLevel="0" collapsed="false">
      <c r="A330" s="11" t="n">
        <v>32990029</v>
      </c>
      <c r="B330" s="12" t="s">
        <v>855</v>
      </c>
      <c r="C330" s="13" t="n">
        <v>1182</v>
      </c>
      <c r="D330" s="14" t="s">
        <v>185</v>
      </c>
      <c r="E330" s="15" t="s">
        <v>22</v>
      </c>
      <c r="F330" s="15" t="s">
        <v>35</v>
      </c>
      <c r="G330" s="14" t="s">
        <v>186</v>
      </c>
      <c r="H330" s="16"/>
      <c r="I330" s="17"/>
      <c r="J330" s="15"/>
      <c r="K330" s="15" t="s">
        <v>37</v>
      </c>
      <c r="L330" s="18" t="n">
        <v>46226</v>
      </c>
      <c r="M330" s="23" t="n">
        <v>46226</v>
      </c>
      <c r="N330" s="24" t="n">
        <v>0</v>
      </c>
      <c r="O330" s="24"/>
      <c r="P330" s="20" t="n">
        <v>2.08</v>
      </c>
      <c r="Q330" s="20" t="n">
        <v>29.7</v>
      </c>
    </row>
    <row r="331" customFormat="false" ht="15.75" hidden="true" customHeight="true" outlineLevel="0" collapsed="false">
      <c r="A331" s="11" t="n">
        <v>32990034</v>
      </c>
      <c r="B331" s="12" t="s">
        <v>856</v>
      </c>
      <c r="C331" s="13" t="n">
        <v>1183</v>
      </c>
      <c r="D331" s="14" t="s">
        <v>185</v>
      </c>
      <c r="E331" s="15" t="s">
        <v>22</v>
      </c>
      <c r="F331" s="15" t="s">
        <v>35</v>
      </c>
      <c r="G331" s="14" t="s">
        <v>186</v>
      </c>
      <c r="H331" s="16"/>
      <c r="I331" s="17"/>
      <c r="J331" s="15"/>
      <c r="K331" s="15" t="s">
        <v>37</v>
      </c>
      <c r="L331" s="18" t="n">
        <v>46226</v>
      </c>
      <c r="M331" s="23" t="n">
        <v>46226</v>
      </c>
      <c r="N331" s="24" t="n">
        <v>0</v>
      </c>
      <c r="O331" s="24"/>
      <c r="P331" s="20" t="n">
        <v>2.08</v>
      </c>
      <c r="Q331" s="20" t="n">
        <v>30.7</v>
      </c>
    </row>
    <row r="332" customFormat="false" ht="15.75" hidden="true" customHeight="true" outlineLevel="0" collapsed="false">
      <c r="A332" s="11" t="n">
        <v>32990037</v>
      </c>
      <c r="B332" s="12" t="s">
        <v>857</v>
      </c>
      <c r="C332" s="13" t="n">
        <v>1184</v>
      </c>
      <c r="D332" s="14" t="s">
        <v>185</v>
      </c>
      <c r="E332" s="15" t="s">
        <v>22</v>
      </c>
      <c r="F332" s="15" t="s">
        <v>35</v>
      </c>
      <c r="G332" s="14" t="s">
        <v>186</v>
      </c>
      <c r="H332" s="16"/>
      <c r="I332" s="17"/>
      <c r="J332" s="15"/>
      <c r="K332" s="15" t="s">
        <v>37</v>
      </c>
      <c r="L332" s="18" t="n">
        <v>46226</v>
      </c>
      <c r="M332" s="23" t="n">
        <v>46226</v>
      </c>
      <c r="N332" s="24" t="n">
        <v>0</v>
      </c>
      <c r="O332" s="24"/>
      <c r="P332" s="20" t="n">
        <v>2.08</v>
      </c>
      <c r="Q332" s="20" t="n">
        <v>30.7</v>
      </c>
    </row>
    <row r="333" customFormat="false" ht="15.75" hidden="false" customHeight="true" outlineLevel="0" collapsed="false">
      <c r="A333" s="11" t="n">
        <v>32991206</v>
      </c>
      <c r="B333" s="12" t="s">
        <v>858</v>
      </c>
      <c r="C333" s="13" t="n">
        <v>1199</v>
      </c>
      <c r="D333" s="14" t="s">
        <v>34</v>
      </c>
      <c r="E333" s="15" t="s">
        <v>22</v>
      </c>
      <c r="F333" s="15" t="s">
        <v>35</v>
      </c>
      <c r="G333" s="14" t="s">
        <v>50</v>
      </c>
      <c r="H333" s="16" t="s">
        <v>51</v>
      </c>
      <c r="I333" s="17"/>
      <c r="J333" s="15"/>
      <c r="K333" s="15" t="s">
        <v>24</v>
      </c>
      <c r="L333" s="18" t="n">
        <v>46259</v>
      </c>
      <c r="M333" s="23" t="n">
        <v>46257</v>
      </c>
      <c r="N333" s="24" t="n">
        <v>0</v>
      </c>
      <c r="O333" s="24"/>
      <c r="P333" s="20" t="n">
        <v>6.5</v>
      </c>
      <c r="Q333" s="20" t="n">
        <v>481</v>
      </c>
    </row>
    <row r="334" customFormat="false" ht="30" hidden="true" customHeight="true" outlineLevel="0" collapsed="false">
      <c r="A334" s="11" t="n">
        <v>32991276</v>
      </c>
      <c r="B334" s="12" t="s">
        <v>859</v>
      </c>
      <c r="C334" s="13" t="n">
        <v>1200</v>
      </c>
      <c r="D334" s="14" t="s">
        <v>185</v>
      </c>
      <c r="E334" s="15" t="s">
        <v>28</v>
      </c>
      <c r="F334" s="15" t="s">
        <v>141</v>
      </c>
      <c r="G334" s="14" t="s">
        <v>208</v>
      </c>
      <c r="H334" s="16"/>
      <c r="I334" s="17"/>
      <c r="J334" s="15"/>
      <c r="K334" s="15" t="s">
        <v>30</v>
      </c>
      <c r="L334" s="18"/>
      <c r="M334" s="23"/>
      <c r="N334" s="24" t="n">
        <v>0</v>
      </c>
      <c r="O334" s="24"/>
      <c r="P334" s="20" t="n">
        <v>4</v>
      </c>
      <c r="Q334" s="20" t="n">
        <v>749.5</v>
      </c>
    </row>
    <row r="335" customFormat="false" ht="30" hidden="false" customHeight="true" outlineLevel="0" collapsed="false">
      <c r="A335" s="11" t="n">
        <v>32991499</v>
      </c>
      <c r="B335" s="12" t="s">
        <v>860</v>
      </c>
      <c r="C335" s="13" t="n">
        <v>1201</v>
      </c>
      <c r="D335" s="14" t="s">
        <v>72</v>
      </c>
      <c r="E335" s="15" t="s">
        <v>28</v>
      </c>
      <c r="F335" s="15" t="s">
        <v>35</v>
      </c>
      <c r="G335" s="14" t="s">
        <v>50</v>
      </c>
      <c r="H335" s="16"/>
      <c r="I335" s="17"/>
      <c r="J335" s="15"/>
      <c r="K335" s="15" t="s">
        <v>25</v>
      </c>
      <c r="L335" s="18"/>
      <c r="M335" s="23"/>
      <c r="N335" s="24" t="n">
        <v>0</v>
      </c>
      <c r="O335" s="24"/>
      <c r="P335" s="20"/>
      <c r="Q335" s="20" t="n">
        <v>0</v>
      </c>
    </row>
    <row r="336" customFormat="false" ht="31.5" hidden="true" customHeight="true" outlineLevel="0" collapsed="false">
      <c r="A336" s="11" t="n">
        <v>32991511</v>
      </c>
      <c r="B336" s="12" t="s">
        <v>861</v>
      </c>
      <c r="C336" s="13" t="n">
        <v>1202</v>
      </c>
      <c r="D336" s="14" t="s">
        <v>72</v>
      </c>
      <c r="E336" s="15" t="s">
        <v>28</v>
      </c>
      <c r="F336" s="15" t="s">
        <v>770</v>
      </c>
      <c r="G336" s="14" t="s">
        <v>50</v>
      </c>
      <c r="H336" s="16" t="s">
        <v>51</v>
      </c>
      <c r="I336" s="17"/>
      <c r="J336" s="15"/>
      <c r="K336" s="15" t="s">
        <v>30</v>
      </c>
      <c r="L336" s="18"/>
      <c r="M336" s="23"/>
      <c r="N336" s="24" t="n">
        <v>0</v>
      </c>
      <c r="O336" s="24"/>
      <c r="P336" s="20"/>
      <c r="Q336" s="20" t="n">
        <v>0</v>
      </c>
    </row>
    <row r="337" customFormat="false" ht="30" hidden="true" customHeight="true" outlineLevel="0" collapsed="false">
      <c r="A337" s="11" t="n">
        <v>32991517</v>
      </c>
      <c r="B337" s="12" t="s">
        <v>862</v>
      </c>
      <c r="C337" s="13" t="n">
        <v>1203</v>
      </c>
      <c r="D337" s="14" t="s">
        <v>72</v>
      </c>
      <c r="E337" s="15" t="s">
        <v>22</v>
      </c>
      <c r="F337" s="15" t="s">
        <v>35</v>
      </c>
      <c r="G337" s="14" t="s">
        <v>167</v>
      </c>
      <c r="H337" s="16" t="s">
        <v>51</v>
      </c>
      <c r="I337" s="17"/>
      <c r="J337" s="15"/>
      <c r="K337" s="15" t="s">
        <v>30</v>
      </c>
      <c r="L337" s="18" t="n">
        <v>46231</v>
      </c>
      <c r="M337" s="23" t="n">
        <v>46231</v>
      </c>
      <c r="N337" s="20" t="n">
        <v>5</v>
      </c>
      <c r="O337" s="24"/>
      <c r="P337" s="20" t="n">
        <v>5</v>
      </c>
      <c r="Q337" s="20" t="n">
        <v>86.1</v>
      </c>
    </row>
    <row r="338" customFormat="false" ht="15.75" hidden="true" customHeight="true" outlineLevel="0" collapsed="false">
      <c r="A338" s="11" t="n">
        <v>32991527</v>
      </c>
      <c r="B338" s="12" t="s">
        <v>863</v>
      </c>
      <c r="C338" s="13" t="n">
        <v>1205</v>
      </c>
      <c r="D338" s="14" t="s">
        <v>72</v>
      </c>
      <c r="E338" s="15" t="s">
        <v>28</v>
      </c>
      <c r="F338" s="15" t="s">
        <v>35</v>
      </c>
      <c r="G338" s="14" t="s">
        <v>50</v>
      </c>
      <c r="H338" s="16" t="s">
        <v>51</v>
      </c>
      <c r="I338" s="17"/>
      <c r="J338" s="15"/>
      <c r="K338" s="15" t="s">
        <v>30</v>
      </c>
      <c r="L338" s="18"/>
      <c r="M338" s="23"/>
      <c r="N338" s="24" t="n">
        <v>0</v>
      </c>
      <c r="O338" s="24"/>
      <c r="P338" s="20"/>
      <c r="Q338" s="20" t="n">
        <v>0</v>
      </c>
    </row>
    <row r="339" customFormat="false" ht="30" hidden="true" customHeight="true" outlineLevel="0" collapsed="false">
      <c r="A339" s="11" t="n">
        <v>32991534</v>
      </c>
      <c r="B339" s="12" t="s">
        <v>864</v>
      </c>
      <c r="C339" s="13" t="n">
        <v>1206</v>
      </c>
      <c r="D339" s="14" t="s">
        <v>72</v>
      </c>
      <c r="E339" s="15" t="s">
        <v>28</v>
      </c>
      <c r="F339" s="15" t="s">
        <v>35</v>
      </c>
      <c r="G339" s="14" t="s">
        <v>167</v>
      </c>
      <c r="H339" s="16" t="s">
        <v>51</v>
      </c>
      <c r="I339" s="17"/>
      <c r="J339" s="15"/>
      <c r="K339" s="15" t="s">
        <v>30</v>
      </c>
      <c r="L339" s="18"/>
      <c r="M339" s="23"/>
      <c r="N339" s="20" t="n">
        <v>3</v>
      </c>
      <c r="O339" s="24"/>
      <c r="P339" s="20"/>
      <c r="Q339" s="20" t="n">
        <v>165.3</v>
      </c>
    </row>
    <row r="340" customFormat="false" ht="30" hidden="true" customHeight="true" outlineLevel="0" collapsed="false">
      <c r="A340" s="11" t="n">
        <v>32991585</v>
      </c>
      <c r="B340" s="12" t="s">
        <v>865</v>
      </c>
      <c r="C340" s="13" t="n">
        <v>1208</v>
      </c>
      <c r="D340" s="14" t="s">
        <v>34</v>
      </c>
      <c r="E340" s="15" t="s">
        <v>22</v>
      </c>
      <c r="F340" s="15" t="s">
        <v>35</v>
      </c>
      <c r="G340" s="14" t="s">
        <v>186</v>
      </c>
      <c r="H340" s="16" t="s">
        <v>51</v>
      </c>
      <c r="I340" s="17"/>
      <c r="J340" s="15"/>
      <c r="K340" s="15" t="s">
        <v>37</v>
      </c>
      <c r="L340" s="18" t="n">
        <v>46225</v>
      </c>
      <c r="M340" s="23" t="n">
        <v>46225</v>
      </c>
      <c r="N340" s="20" t="n">
        <v>2</v>
      </c>
      <c r="O340" s="24"/>
      <c r="P340" s="20" t="n">
        <v>2</v>
      </c>
      <c r="Q340" s="20" t="n">
        <v>2</v>
      </c>
    </row>
    <row r="341" customFormat="false" ht="30" hidden="true" customHeight="true" outlineLevel="0" collapsed="false">
      <c r="A341" s="11" t="n">
        <v>32991646</v>
      </c>
      <c r="B341" s="12" t="s">
        <v>866</v>
      </c>
      <c r="C341" s="13" t="n">
        <v>1211</v>
      </c>
      <c r="D341" s="14" t="s">
        <v>185</v>
      </c>
      <c r="E341" s="15" t="s">
        <v>22</v>
      </c>
      <c r="F341" s="15" t="s">
        <v>35</v>
      </c>
      <c r="G341" s="14" t="s">
        <v>208</v>
      </c>
      <c r="H341" s="16"/>
      <c r="I341" s="17" t="s">
        <v>746</v>
      </c>
      <c r="J341" s="15"/>
      <c r="K341" s="15" t="s">
        <v>30</v>
      </c>
      <c r="L341" s="18" t="n">
        <v>46259</v>
      </c>
      <c r="M341" s="23" t="n">
        <v>46254</v>
      </c>
      <c r="N341" s="24" t="n">
        <v>0</v>
      </c>
      <c r="O341" s="24"/>
      <c r="P341" s="20" t="n">
        <v>20</v>
      </c>
      <c r="Q341" s="20" t="n">
        <v>697.6</v>
      </c>
    </row>
    <row r="342" customFormat="false" ht="30" hidden="true" customHeight="true" outlineLevel="0" collapsed="false">
      <c r="A342" s="11" t="n">
        <v>32991651</v>
      </c>
      <c r="B342" s="12" t="s">
        <v>867</v>
      </c>
      <c r="C342" s="13" t="n">
        <v>1212</v>
      </c>
      <c r="D342" s="14" t="s">
        <v>185</v>
      </c>
      <c r="E342" s="15" t="s">
        <v>22</v>
      </c>
      <c r="F342" s="15" t="s">
        <v>35</v>
      </c>
      <c r="G342" s="14" t="s">
        <v>208</v>
      </c>
      <c r="H342" s="16"/>
      <c r="I342" s="17" t="s">
        <v>746</v>
      </c>
      <c r="J342" s="15"/>
      <c r="K342" s="15" t="s">
        <v>30</v>
      </c>
      <c r="L342" s="18" t="n">
        <v>46259</v>
      </c>
      <c r="M342" s="23" t="n">
        <v>46254</v>
      </c>
      <c r="N342" s="24" t="n">
        <v>0</v>
      </c>
      <c r="O342" s="24"/>
      <c r="P342" s="20" t="n">
        <v>16</v>
      </c>
      <c r="Q342" s="20" t="n">
        <v>697.4</v>
      </c>
    </row>
    <row r="343" customFormat="false" ht="30" hidden="true" customHeight="true" outlineLevel="0" collapsed="false">
      <c r="A343" s="11" t="n">
        <v>32992461</v>
      </c>
      <c r="B343" s="12" t="s">
        <v>868</v>
      </c>
      <c r="C343" s="13" t="n">
        <v>1218</v>
      </c>
      <c r="D343" s="14" t="s">
        <v>67</v>
      </c>
      <c r="E343" s="15" t="s">
        <v>22</v>
      </c>
      <c r="F343" s="15" t="s">
        <v>35</v>
      </c>
      <c r="G343" s="14" t="s">
        <v>748</v>
      </c>
      <c r="H343" s="16"/>
      <c r="I343" s="17"/>
      <c r="J343" s="15"/>
      <c r="K343" s="15" t="s">
        <v>25</v>
      </c>
      <c r="L343" s="18" t="n">
        <v>46256</v>
      </c>
      <c r="M343" s="23" t="n">
        <v>46253</v>
      </c>
      <c r="N343" s="24" t="n">
        <v>0</v>
      </c>
      <c r="O343" s="24"/>
      <c r="P343" s="20" t="n">
        <v>6.67</v>
      </c>
      <c r="Q343" s="20" t="n">
        <v>10.67</v>
      </c>
    </row>
    <row r="344" customFormat="false" ht="15.75" hidden="true" customHeight="true" outlineLevel="0" collapsed="false">
      <c r="A344" s="11" t="n">
        <v>32992488</v>
      </c>
      <c r="B344" s="12" t="s">
        <v>869</v>
      </c>
      <c r="C344" s="13" t="n">
        <v>1219</v>
      </c>
      <c r="D344" s="14" t="s">
        <v>67</v>
      </c>
      <c r="E344" s="15" t="s">
        <v>28</v>
      </c>
      <c r="F344" s="15" t="s">
        <v>141</v>
      </c>
      <c r="G344" s="14" t="s">
        <v>50</v>
      </c>
      <c r="H344" s="16"/>
      <c r="I344" s="17"/>
      <c r="J344" s="15"/>
      <c r="K344" s="15" t="s">
        <v>30</v>
      </c>
      <c r="L344" s="18"/>
      <c r="M344" s="23"/>
      <c r="N344" s="24" t="n">
        <v>0</v>
      </c>
      <c r="O344" s="24"/>
      <c r="P344" s="20" t="n">
        <v>45.5</v>
      </c>
      <c r="Q344" s="20" t="n">
        <v>746.7</v>
      </c>
    </row>
    <row r="345" customFormat="false" ht="15.75" hidden="false" customHeight="true" outlineLevel="0" collapsed="false">
      <c r="A345" s="11" t="n">
        <v>32992489</v>
      </c>
      <c r="B345" s="12" t="s">
        <v>870</v>
      </c>
      <c r="C345" s="13" t="n">
        <v>1220</v>
      </c>
      <c r="D345" s="14" t="s">
        <v>67</v>
      </c>
      <c r="E345" s="15" t="s">
        <v>28</v>
      </c>
      <c r="F345" s="15" t="s">
        <v>141</v>
      </c>
      <c r="G345" s="14" t="s">
        <v>50</v>
      </c>
      <c r="H345" s="16"/>
      <c r="I345" s="17"/>
      <c r="J345" s="15"/>
      <c r="K345" s="15" t="s">
        <v>25</v>
      </c>
      <c r="L345" s="18"/>
      <c r="M345" s="23"/>
      <c r="N345" s="24" t="n">
        <v>0</v>
      </c>
      <c r="O345" s="24"/>
      <c r="P345" s="20" t="n">
        <v>10</v>
      </c>
      <c r="Q345" s="20" t="n">
        <v>738.3</v>
      </c>
    </row>
    <row r="346" customFormat="false" ht="15.75" hidden="false" customHeight="true" outlineLevel="0" collapsed="false">
      <c r="A346" s="11" t="n">
        <v>32992493</v>
      </c>
      <c r="B346" s="12" t="s">
        <v>871</v>
      </c>
      <c r="C346" s="13" t="n">
        <v>1221</v>
      </c>
      <c r="D346" s="14" t="s">
        <v>72</v>
      </c>
      <c r="E346" s="15" t="s">
        <v>28</v>
      </c>
      <c r="F346" s="15" t="s">
        <v>141</v>
      </c>
      <c r="G346" s="14" t="s">
        <v>50</v>
      </c>
      <c r="H346" s="16"/>
      <c r="I346" s="17"/>
      <c r="J346" s="15"/>
      <c r="K346" s="15" t="s">
        <v>25</v>
      </c>
      <c r="L346" s="18"/>
      <c r="M346" s="23"/>
      <c r="N346" s="24" t="n">
        <v>0</v>
      </c>
      <c r="O346" s="24"/>
      <c r="P346" s="20" t="n">
        <v>32</v>
      </c>
      <c r="Q346" s="20" t="n">
        <v>612.2</v>
      </c>
    </row>
    <row r="347" customFormat="false" ht="15.75" hidden="true" customHeight="true" outlineLevel="0" collapsed="false">
      <c r="A347" s="11" t="n">
        <v>32992492</v>
      </c>
      <c r="B347" s="12" t="s">
        <v>872</v>
      </c>
      <c r="C347" s="13" t="n">
        <v>1222</v>
      </c>
      <c r="D347" s="14" t="s">
        <v>72</v>
      </c>
      <c r="E347" s="15" t="s">
        <v>28</v>
      </c>
      <c r="F347" s="15" t="s">
        <v>141</v>
      </c>
      <c r="G347" s="14" t="s">
        <v>50</v>
      </c>
      <c r="H347" s="16"/>
      <c r="I347" s="17"/>
      <c r="J347" s="15"/>
      <c r="K347" s="15" t="s">
        <v>30</v>
      </c>
      <c r="L347" s="18"/>
      <c r="M347" s="23"/>
      <c r="N347" s="24" t="n">
        <v>0</v>
      </c>
      <c r="O347" s="24"/>
      <c r="P347" s="20" t="n">
        <v>32.5</v>
      </c>
      <c r="Q347" s="20" t="n">
        <v>721.1</v>
      </c>
    </row>
    <row r="348" customFormat="false" ht="15.75" hidden="true" customHeight="true" outlineLevel="0" collapsed="false">
      <c r="A348" s="11" t="n">
        <v>32992500</v>
      </c>
      <c r="B348" s="12" t="s">
        <v>873</v>
      </c>
      <c r="C348" s="13" t="n">
        <v>1223</v>
      </c>
      <c r="D348" s="14" t="s">
        <v>72</v>
      </c>
      <c r="E348" s="15" t="s">
        <v>28</v>
      </c>
      <c r="F348" s="15" t="s">
        <v>141</v>
      </c>
      <c r="G348" s="14" t="s">
        <v>50</v>
      </c>
      <c r="H348" s="16"/>
      <c r="I348" s="17"/>
      <c r="J348" s="15"/>
      <c r="K348" s="15" t="s">
        <v>30</v>
      </c>
      <c r="L348" s="18"/>
      <c r="M348" s="23"/>
      <c r="N348" s="24" t="n">
        <v>0</v>
      </c>
      <c r="O348" s="24"/>
      <c r="P348" s="20" t="n">
        <v>3</v>
      </c>
      <c r="Q348" s="20" t="n">
        <v>717.4</v>
      </c>
    </row>
    <row r="349" customFormat="false" ht="30" hidden="false" customHeight="true" outlineLevel="0" collapsed="false">
      <c r="A349" s="11" t="n">
        <v>32992517</v>
      </c>
      <c r="B349" s="12" t="s">
        <v>874</v>
      </c>
      <c r="C349" s="13" t="n">
        <v>1224</v>
      </c>
      <c r="D349" s="14" t="s">
        <v>34</v>
      </c>
      <c r="E349" s="15" t="s">
        <v>28</v>
      </c>
      <c r="F349" s="15" t="s">
        <v>141</v>
      </c>
      <c r="G349" s="14" t="s">
        <v>50</v>
      </c>
      <c r="H349" s="16"/>
      <c r="I349" s="17"/>
      <c r="J349" s="15"/>
      <c r="K349" s="15" t="s">
        <v>25</v>
      </c>
      <c r="L349" s="18"/>
      <c r="M349" s="23"/>
      <c r="N349" s="24" t="n">
        <v>0</v>
      </c>
      <c r="O349" s="24"/>
      <c r="P349" s="20" t="n">
        <v>9.5</v>
      </c>
      <c r="Q349" s="20" t="n">
        <v>728.6</v>
      </c>
    </row>
    <row r="350" customFormat="false" ht="30" hidden="true" customHeight="true" outlineLevel="0" collapsed="false">
      <c r="A350" s="11" t="n">
        <v>32992509</v>
      </c>
      <c r="B350" s="12" t="s">
        <v>875</v>
      </c>
      <c r="C350" s="13" t="n">
        <v>1225</v>
      </c>
      <c r="D350" s="14" t="s">
        <v>185</v>
      </c>
      <c r="E350" s="15" t="s">
        <v>28</v>
      </c>
      <c r="F350" s="15" t="s">
        <v>141</v>
      </c>
      <c r="G350" s="14" t="s">
        <v>50</v>
      </c>
      <c r="H350" s="16"/>
      <c r="I350" s="17"/>
      <c r="J350" s="15"/>
      <c r="K350" s="15" t="s">
        <v>30</v>
      </c>
      <c r="L350" s="18"/>
      <c r="M350" s="23"/>
      <c r="N350" s="24" t="n">
        <v>0</v>
      </c>
      <c r="O350" s="24"/>
      <c r="P350" s="20" t="n">
        <v>26</v>
      </c>
      <c r="Q350" s="20" t="n">
        <v>745.1</v>
      </c>
    </row>
    <row r="351" customFormat="false" ht="15.75" hidden="true" customHeight="true" outlineLevel="0" collapsed="false">
      <c r="A351" s="11" t="n">
        <v>32992699</v>
      </c>
      <c r="B351" s="12" t="s">
        <v>876</v>
      </c>
      <c r="C351" s="13" t="n">
        <v>1227</v>
      </c>
      <c r="D351" s="14" t="s">
        <v>72</v>
      </c>
      <c r="E351" s="15" t="s">
        <v>22</v>
      </c>
      <c r="F351" s="15" t="s">
        <v>35</v>
      </c>
      <c r="G351" s="14" t="s">
        <v>50</v>
      </c>
      <c r="H351" s="16"/>
      <c r="I351" s="17"/>
      <c r="J351" s="15"/>
      <c r="K351" s="15" t="s">
        <v>30</v>
      </c>
      <c r="L351" s="18" t="n">
        <v>46256</v>
      </c>
      <c r="M351" s="23" t="n">
        <v>46254</v>
      </c>
      <c r="N351" s="24" t="n">
        <v>0</v>
      </c>
      <c r="O351" s="24"/>
      <c r="P351" s="20" t="n">
        <v>1</v>
      </c>
      <c r="Q351" s="20" t="n">
        <v>1</v>
      </c>
    </row>
    <row r="352" customFormat="false" ht="15.75" hidden="true" customHeight="true" outlineLevel="0" collapsed="false">
      <c r="A352" s="11" t="n">
        <v>32992702</v>
      </c>
      <c r="B352" s="12" t="s">
        <v>877</v>
      </c>
      <c r="C352" s="13" t="n">
        <v>1228</v>
      </c>
      <c r="D352" s="14" t="s">
        <v>72</v>
      </c>
      <c r="E352" s="15" t="s">
        <v>22</v>
      </c>
      <c r="F352" s="15" t="s">
        <v>35</v>
      </c>
      <c r="G352" s="14" t="s">
        <v>50</v>
      </c>
      <c r="H352" s="16"/>
      <c r="I352" s="17"/>
      <c r="J352" s="15"/>
      <c r="K352" s="15" t="s">
        <v>30</v>
      </c>
      <c r="L352" s="18" t="n">
        <v>46256</v>
      </c>
      <c r="M352" s="23" t="n">
        <v>46254</v>
      </c>
      <c r="N352" s="24" t="n">
        <v>0</v>
      </c>
      <c r="O352" s="24"/>
      <c r="P352" s="20" t="n">
        <v>1</v>
      </c>
      <c r="Q352" s="20" t="n">
        <v>1</v>
      </c>
    </row>
    <row r="353" customFormat="false" ht="15.75" hidden="true" customHeight="true" outlineLevel="0" collapsed="false">
      <c r="A353" s="11" t="n">
        <v>32992708</v>
      </c>
      <c r="B353" s="12" t="s">
        <v>878</v>
      </c>
      <c r="C353" s="13" t="n">
        <v>1229</v>
      </c>
      <c r="D353" s="14" t="s">
        <v>72</v>
      </c>
      <c r="E353" s="15" t="s">
        <v>22</v>
      </c>
      <c r="F353" s="15" t="s">
        <v>35</v>
      </c>
      <c r="G353" s="14" t="s">
        <v>50</v>
      </c>
      <c r="H353" s="16"/>
      <c r="I353" s="17"/>
      <c r="J353" s="15"/>
      <c r="K353" s="15" t="s">
        <v>30</v>
      </c>
      <c r="L353" s="18" t="n">
        <v>46256</v>
      </c>
      <c r="M353" s="23" t="n">
        <v>46254</v>
      </c>
      <c r="N353" s="24" t="n">
        <v>0</v>
      </c>
      <c r="O353" s="24"/>
      <c r="P353" s="20" t="n">
        <v>1</v>
      </c>
      <c r="Q353" s="20" t="n">
        <v>1</v>
      </c>
    </row>
    <row r="354" customFormat="false" ht="15.75" hidden="true" customHeight="true" outlineLevel="0" collapsed="false">
      <c r="A354" s="11" t="n">
        <v>32992709</v>
      </c>
      <c r="B354" s="12" t="s">
        <v>879</v>
      </c>
      <c r="C354" s="13" t="n">
        <v>1230</v>
      </c>
      <c r="D354" s="14" t="s">
        <v>72</v>
      </c>
      <c r="E354" s="15" t="s">
        <v>22</v>
      </c>
      <c r="F354" s="15" t="s">
        <v>35</v>
      </c>
      <c r="G354" s="14" t="s">
        <v>50</v>
      </c>
      <c r="H354" s="16" t="s">
        <v>51</v>
      </c>
      <c r="I354" s="17"/>
      <c r="J354" s="15"/>
      <c r="K354" s="15" t="s">
        <v>30</v>
      </c>
      <c r="L354" s="18" t="n">
        <v>46259</v>
      </c>
      <c r="M354" s="23" t="n">
        <v>46258</v>
      </c>
      <c r="N354" s="24" t="n">
        <v>0</v>
      </c>
      <c r="O354" s="24"/>
      <c r="P354" s="20"/>
      <c r="Q354" s="20" t="n">
        <v>0</v>
      </c>
    </row>
    <row r="355" customFormat="false" ht="15.75" hidden="true" customHeight="true" outlineLevel="0" collapsed="false">
      <c r="A355" s="11" t="n">
        <v>32992712</v>
      </c>
      <c r="B355" s="12" t="s">
        <v>880</v>
      </c>
      <c r="C355" s="13" t="n">
        <v>1231</v>
      </c>
      <c r="D355" s="14" t="s">
        <v>72</v>
      </c>
      <c r="E355" s="15" t="s">
        <v>22</v>
      </c>
      <c r="F355" s="15" t="s">
        <v>35</v>
      </c>
      <c r="G355" s="14" t="s">
        <v>50</v>
      </c>
      <c r="H355" s="16"/>
      <c r="I355" s="17"/>
      <c r="J355" s="15"/>
      <c r="K355" s="15" t="s">
        <v>30</v>
      </c>
      <c r="L355" s="18" t="n">
        <v>46259</v>
      </c>
      <c r="M355" s="23" t="n">
        <v>46258</v>
      </c>
      <c r="N355" s="24" t="n">
        <v>0</v>
      </c>
      <c r="O355" s="24"/>
      <c r="P355" s="20"/>
      <c r="Q355" s="20" t="n">
        <v>0</v>
      </c>
    </row>
    <row r="356" customFormat="false" ht="15.75" hidden="true" customHeight="true" outlineLevel="0" collapsed="false">
      <c r="A356" s="11" t="n">
        <v>32992717</v>
      </c>
      <c r="B356" s="12" t="s">
        <v>881</v>
      </c>
      <c r="C356" s="13" t="n">
        <v>1232</v>
      </c>
      <c r="D356" s="14" t="s">
        <v>72</v>
      </c>
      <c r="E356" s="15" t="s">
        <v>28</v>
      </c>
      <c r="F356" s="15" t="s">
        <v>35</v>
      </c>
      <c r="G356" s="14" t="s">
        <v>50</v>
      </c>
      <c r="H356" s="16" t="s">
        <v>51</v>
      </c>
      <c r="I356" s="17"/>
      <c r="J356" s="15"/>
      <c r="K356" s="15" t="s">
        <v>30</v>
      </c>
      <c r="L356" s="18"/>
      <c r="M356" s="23"/>
      <c r="N356" s="24" t="n">
        <v>0</v>
      </c>
      <c r="O356" s="24"/>
      <c r="P356" s="20"/>
      <c r="Q356" s="20" t="n">
        <v>0</v>
      </c>
    </row>
    <row r="357" customFormat="false" ht="15.75" hidden="true" customHeight="true" outlineLevel="0" collapsed="false">
      <c r="A357" s="11" t="n">
        <v>32992719</v>
      </c>
      <c r="B357" s="12" t="s">
        <v>882</v>
      </c>
      <c r="C357" s="13" t="n">
        <v>1233</v>
      </c>
      <c r="D357" s="14" t="s">
        <v>72</v>
      </c>
      <c r="E357" s="15" t="s">
        <v>28</v>
      </c>
      <c r="F357" s="15" t="s">
        <v>35</v>
      </c>
      <c r="G357" s="14" t="s">
        <v>50</v>
      </c>
      <c r="H357" s="16"/>
      <c r="I357" s="17"/>
      <c r="J357" s="15"/>
      <c r="K357" s="15" t="s">
        <v>30</v>
      </c>
      <c r="L357" s="18"/>
      <c r="M357" s="23"/>
      <c r="N357" s="24" t="n">
        <v>0</v>
      </c>
      <c r="O357" s="24"/>
      <c r="P357" s="20"/>
      <c r="Q357" s="20" t="n">
        <v>0</v>
      </c>
    </row>
    <row r="358" customFormat="false" ht="30" hidden="false" customHeight="true" outlineLevel="0" collapsed="false">
      <c r="A358" s="11" t="n">
        <v>32992731</v>
      </c>
      <c r="B358" s="12" t="s">
        <v>883</v>
      </c>
      <c r="C358" s="13" t="n">
        <v>1234</v>
      </c>
      <c r="D358" s="14" t="s">
        <v>61</v>
      </c>
      <c r="E358" s="15" t="s">
        <v>28</v>
      </c>
      <c r="F358" s="15" t="s">
        <v>141</v>
      </c>
      <c r="G358" s="14" t="s">
        <v>50</v>
      </c>
      <c r="H358" s="16" t="s">
        <v>51</v>
      </c>
      <c r="I358" s="17"/>
      <c r="J358" s="15"/>
      <c r="K358" s="15" t="s">
        <v>25</v>
      </c>
      <c r="L358" s="18"/>
      <c r="M358" s="23"/>
      <c r="N358" s="24" t="n">
        <v>0</v>
      </c>
      <c r="O358" s="24"/>
      <c r="P358" s="20" t="n">
        <v>5</v>
      </c>
      <c r="Q358" s="20" t="n">
        <v>726.1</v>
      </c>
    </row>
    <row r="359" customFormat="false" ht="30" hidden="true" customHeight="true" outlineLevel="0" collapsed="false">
      <c r="A359" s="11" t="n">
        <v>32992738</v>
      </c>
      <c r="B359" s="12" t="s">
        <v>884</v>
      </c>
      <c r="C359" s="13" t="n">
        <v>1235</v>
      </c>
      <c r="D359" s="14" t="s">
        <v>67</v>
      </c>
      <c r="E359" s="15" t="s">
        <v>28</v>
      </c>
      <c r="F359" s="15" t="s">
        <v>35</v>
      </c>
      <c r="G359" s="14" t="s">
        <v>50</v>
      </c>
      <c r="H359" s="16"/>
      <c r="I359" s="17"/>
      <c r="J359" s="15"/>
      <c r="K359" s="15" t="s">
        <v>30</v>
      </c>
      <c r="L359" s="18"/>
      <c r="M359" s="23"/>
      <c r="N359" s="24" t="n">
        <v>0</v>
      </c>
      <c r="O359" s="24"/>
      <c r="P359" s="20"/>
      <c r="Q359" s="20" t="n">
        <v>144.7</v>
      </c>
    </row>
    <row r="360" customFormat="false" ht="30" hidden="true" customHeight="true" outlineLevel="0" collapsed="false">
      <c r="A360" s="11" t="n">
        <v>32994020</v>
      </c>
      <c r="B360" s="12" t="s">
        <v>885</v>
      </c>
      <c r="C360" s="13" t="n">
        <v>1247</v>
      </c>
      <c r="D360" s="14" t="s">
        <v>185</v>
      </c>
      <c r="E360" s="15" t="s">
        <v>22</v>
      </c>
      <c r="F360" s="15" t="s">
        <v>35</v>
      </c>
      <c r="G360" s="14" t="s">
        <v>186</v>
      </c>
      <c r="H360" s="16"/>
      <c r="I360" s="17"/>
      <c r="J360" s="15"/>
      <c r="K360" s="15" t="s">
        <v>37</v>
      </c>
      <c r="L360" s="18" t="n">
        <v>46229</v>
      </c>
      <c r="M360" s="23" t="n">
        <v>46229</v>
      </c>
      <c r="N360" s="20" t="n">
        <v>24</v>
      </c>
      <c r="O360" s="24"/>
      <c r="P360" s="20" t="n">
        <v>24</v>
      </c>
      <c r="Q360" s="20" t="n">
        <v>8.02</v>
      </c>
    </row>
    <row r="361" customFormat="false" ht="30" hidden="true" customHeight="true" outlineLevel="0" collapsed="false">
      <c r="A361" s="11" t="n">
        <v>32994039</v>
      </c>
      <c r="B361" s="12" t="s">
        <v>886</v>
      </c>
      <c r="C361" s="13" t="n">
        <v>1248</v>
      </c>
      <c r="D361" s="14" t="s">
        <v>185</v>
      </c>
      <c r="E361" s="15" t="s">
        <v>22</v>
      </c>
      <c r="F361" s="15" t="s">
        <v>35</v>
      </c>
      <c r="G361" s="14" t="s">
        <v>186</v>
      </c>
      <c r="H361" s="16"/>
      <c r="I361" s="17"/>
      <c r="J361" s="15"/>
      <c r="K361" s="15" t="s">
        <v>37</v>
      </c>
      <c r="L361" s="18" t="n">
        <v>46229</v>
      </c>
      <c r="M361" s="23" t="n">
        <v>46229</v>
      </c>
      <c r="N361" s="20" t="n">
        <v>12</v>
      </c>
      <c r="O361" s="24"/>
      <c r="P361" s="20" t="n">
        <v>12</v>
      </c>
      <c r="Q361" s="20" t="n">
        <v>61.4</v>
      </c>
    </row>
    <row r="362" customFormat="false" ht="30" hidden="true" customHeight="true" outlineLevel="0" collapsed="false">
      <c r="A362" s="11" t="n">
        <v>32994149</v>
      </c>
      <c r="B362" s="12" t="s">
        <v>887</v>
      </c>
      <c r="C362" s="13" t="n">
        <v>1250</v>
      </c>
      <c r="D362" s="14" t="s">
        <v>185</v>
      </c>
      <c r="E362" s="15" t="s">
        <v>28</v>
      </c>
      <c r="F362" s="15" t="s">
        <v>35</v>
      </c>
      <c r="G362" s="14" t="s">
        <v>186</v>
      </c>
      <c r="H362" s="16" t="s">
        <v>51</v>
      </c>
      <c r="I362" s="17"/>
      <c r="J362" s="15"/>
      <c r="K362" s="15" t="s">
        <v>37</v>
      </c>
      <c r="L362" s="18"/>
      <c r="M362" s="23"/>
      <c r="N362" s="20" t="n">
        <v>22.5</v>
      </c>
      <c r="O362" s="24"/>
      <c r="P362" s="20" t="n">
        <v>8</v>
      </c>
      <c r="Q362" s="20" t="n">
        <v>585.2</v>
      </c>
    </row>
    <row r="363" customFormat="false" ht="30" hidden="true" customHeight="true" outlineLevel="0" collapsed="false">
      <c r="A363" s="11" t="n">
        <v>32994746</v>
      </c>
      <c r="B363" s="12" t="s">
        <v>888</v>
      </c>
      <c r="C363" s="13" t="n">
        <v>1254</v>
      </c>
      <c r="D363" s="14" t="s">
        <v>185</v>
      </c>
      <c r="E363" s="15" t="s">
        <v>22</v>
      </c>
      <c r="F363" s="15" t="s">
        <v>35</v>
      </c>
      <c r="G363" s="14" t="s">
        <v>186</v>
      </c>
      <c r="H363" s="16" t="s">
        <v>51</v>
      </c>
      <c r="I363" s="17"/>
      <c r="J363" s="15"/>
      <c r="K363" s="15" t="s">
        <v>37</v>
      </c>
      <c r="L363" s="18" t="n">
        <v>46256</v>
      </c>
      <c r="M363" s="23" t="n">
        <v>46253</v>
      </c>
      <c r="N363" s="20" t="n">
        <v>2</v>
      </c>
      <c r="O363" s="24"/>
      <c r="P363" s="20" t="n">
        <v>2</v>
      </c>
      <c r="Q363" s="20" t="n">
        <v>184.9</v>
      </c>
    </row>
    <row r="364" customFormat="false" ht="30" hidden="true" customHeight="true" outlineLevel="0" collapsed="false">
      <c r="A364" s="11" t="n">
        <v>32996054</v>
      </c>
      <c r="B364" s="12" t="s">
        <v>889</v>
      </c>
      <c r="C364" s="13" t="n">
        <v>1261</v>
      </c>
      <c r="D364" s="14" t="s">
        <v>96</v>
      </c>
      <c r="E364" s="15" t="s">
        <v>22</v>
      </c>
      <c r="F364" s="15" t="s">
        <v>35</v>
      </c>
      <c r="G364" s="14" t="s">
        <v>157</v>
      </c>
      <c r="H364" s="16"/>
      <c r="I364" s="17"/>
      <c r="J364" s="15"/>
      <c r="K364" s="15" t="s">
        <v>37</v>
      </c>
      <c r="L364" s="18" t="n">
        <v>46259</v>
      </c>
      <c r="M364" s="23" t="n">
        <v>46258</v>
      </c>
      <c r="N364" s="24" t="n">
        <v>0</v>
      </c>
      <c r="O364" s="24"/>
      <c r="P364" s="20"/>
      <c r="Q364" s="20" t="n">
        <v>150.8</v>
      </c>
    </row>
    <row r="365" customFormat="false" ht="45" hidden="true" customHeight="true" outlineLevel="0" collapsed="false">
      <c r="A365" s="11" t="n">
        <v>32996073</v>
      </c>
      <c r="B365" s="12" t="s">
        <v>890</v>
      </c>
      <c r="C365" s="13" t="n">
        <v>1262</v>
      </c>
      <c r="D365" s="14" t="s">
        <v>96</v>
      </c>
      <c r="E365" s="15" t="s">
        <v>28</v>
      </c>
      <c r="F365" s="15" t="s">
        <v>35</v>
      </c>
      <c r="G365" s="14" t="s">
        <v>157</v>
      </c>
      <c r="H365" s="16"/>
      <c r="I365" s="17"/>
      <c r="J365" s="15"/>
      <c r="K365" s="15" t="s">
        <v>37</v>
      </c>
      <c r="L365" s="18"/>
      <c r="M365" s="23"/>
      <c r="N365" s="20" t="n">
        <v>3</v>
      </c>
      <c r="O365" s="24"/>
      <c r="P365" s="20" t="n">
        <v>0.2</v>
      </c>
      <c r="Q365" s="20" t="n">
        <v>603.1</v>
      </c>
    </row>
    <row r="366" customFormat="false" ht="30" hidden="true" customHeight="true" outlineLevel="0" collapsed="false">
      <c r="A366" s="11" t="n">
        <v>32996610</v>
      </c>
      <c r="B366" s="12" t="s">
        <v>891</v>
      </c>
      <c r="C366" s="13" t="n">
        <v>1264</v>
      </c>
      <c r="D366" s="14" t="s">
        <v>185</v>
      </c>
      <c r="E366" s="15" t="s">
        <v>22</v>
      </c>
      <c r="F366" s="15" t="s">
        <v>35</v>
      </c>
      <c r="G366" s="14" t="s">
        <v>186</v>
      </c>
      <c r="H366" s="16"/>
      <c r="I366" s="17"/>
      <c r="J366" s="15"/>
      <c r="K366" s="15" t="s">
        <v>37</v>
      </c>
      <c r="L366" s="18" t="n">
        <v>46229</v>
      </c>
      <c r="M366" s="23" t="n">
        <v>46229</v>
      </c>
      <c r="N366" s="20" t="n">
        <v>6.5</v>
      </c>
      <c r="O366" s="24"/>
      <c r="P366" s="20" t="n">
        <v>6.5</v>
      </c>
      <c r="Q366" s="20" t="n">
        <v>6.73</v>
      </c>
    </row>
    <row r="367" customFormat="false" ht="30" hidden="true" customHeight="true" outlineLevel="0" collapsed="false">
      <c r="A367" s="11" t="n">
        <v>32998113</v>
      </c>
      <c r="B367" s="12" t="s">
        <v>892</v>
      </c>
      <c r="C367" s="13" t="n">
        <v>1271</v>
      </c>
      <c r="D367" s="14" t="s">
        <v>67</v>
      </c>
      <c r="E367" s="15" t="s">
        <v>22</v>
      </c>
      <c r="F367" s="15" t="s">
        <v>35</v>
      </c>
      <c r="G367" s="14" t="s">
        <v>167</v>
      </c>
      <c r="H367" s="16"/>
      <c r="I367" s="17"/>
      <c r="J367" s="15"/>
      <c r="K367" s="15" t="s">
        <v>37</v>
      </c>
      <c r="L367" s="18" t="n">
        <v>46252</v>
      </c>
      <c r="M367" s="23" t="n">
        <v>46244</v>
      </c>
      <c r="N367" s="20" t="n">
        <v>13</v>
      </c>
      <c r="O367" s="24"/>
      <c r="P367" s="20" t="n">
        <v>14.5</v>
      </c>
      <c r="Q367" s="20" t="n">
        <v>419.5</v>
      </c>
    </row>
    <row r="368" customFormat="false" ht="45" hidden="true" customHeight="true" outlineLevel="0" collapsed="false">
      <c r="A368" s="11" t="n">
        <v>33011258</v>
      </c>
      <c r="B368" s="12" t="s">
        <v>893</v>
      </c>
      <c r="C368" s="13" t="n">
        <v>1302</v>
      </c>
      <c r="D368" s="14" t="s">
        <v>49</v>
      </c>
      <c r="E368" s="15" t="s">
        <v>22</v>
      </c>
      <c r="F368" s="15" t="s">
        <v>35</v>
      </c>
      <c r="G368" s="14" t="s">
        <v>167</v>
      </c>
      <c r="H368" s="16"/>
      <c r="I368" s="17"/>
      <c r="J368" s="15"/>
      <c r="K368" s="15" t="s">
        <v>37</v>
      </c>
      <c r="L368" s="18" t="n">
        <v>46233</v>
      </c>
      <c r="M368" s="23" t="n">
        <v>46233</v>
      </c>
      <c r="N368" s="20" t="n">
        <v>24</v>
      </c>
      <c r="O368" s="24"/>
      <c r="P368" s="20" t="n">
        <v>8</v>
      </c>
      <c r="Q368" s="20" t="n">
        <v>4.5</v>
      </c>
    </row>
    <row r="369" customFormat="false" ht="30" hidden="false" customHeight="true" outlineLevel="0" collapsed="false">
      <c r="A369" s="28" t="s">
        <v>894</v>
      </c>
      <c r="B369" s="12" t="s">
        <v>895</v>
      </c>
      <c r="C369" s="13" t="s">
        <v>896</v>
      </c>
      <c r="D369" s="14" t="s">
        <v>49</v>
      </c>
      <c r="E369" s="15" t="s">
        <v>22</v>
      </c>
      <c r="F369" s="15" t="s">
        <v>35</v>
      </c>
      <c r="G369" s="14" t="s">
        <v>50</v>
      </c>
      <c r="H369" s="16"/>
      <c r="I369" s="17"/>
      <c r="J369" s="15"/>
      <c r="K369" s="15" t="s">
        <v>25</v>
      </c>
      <c r="L369" s="18" t="n">
        <v>46259</v>
      </c>
      <c r="M369" s="23" t="n">
        <v>46258</v>
      </c>
      <c r="N369" s="24" t="n">
        <v>0</v>
      </c>
      <c r="O369" s="24"/>
      <c r="P369" s="20"/>
      <c r="Q369" s="20" t="n">
        <v>269</v>
      </c>
    </row>
    <row r="370" customFormat="false" ht="15.75" hidden="false" customHeight="true" outlineLevel="0" collapsed="false">
      <c r="A370" s="28" t="s">
        <v>897</v>
      </c>
      <c r="B370" s="12" t="s">
        <v>898</v>
      </c>
      <c r="C370" s="13" t="s">
        <v>899</v>
      </c>
      <c r="D370" s="14" t="s">
        <v>67</v>
      </c>
      <c r="E370" s="15" t="s">
        <v>28</v>
      </c>
      <c r="F370" s="15" t="s">
        <v>35</v>
      </c>
      <c r="G370" s="14" t="s">
        <v>50</v>
      </c>
      <c r="H370" s="16"/>
      <c r="I370" s="17"/>
      <c r="J370" s="15"/>
      <c r="K370" s="15" t="s">
        <v>25</v>
      </c>
      <c r="L370" s="18"/>
      <c r="M370" s="23"/>
      <c r="N370" s="24" t="n">
        <v>0</v>
      </c>
      <c r="O370" s="24"/>
      <c r="P370" s="20"/>
      <c r="Q370" s="20" t="n">
        <v>0</v>
      </c>
    </row>
    <row r="371" customFormat="false" ht="30" hidden="true" customHeight="true" outlineLevel="0" collapsed="false">
      <c r="A371" s="28" t="s">
        <v>900</v>
      </c>
      <c r="B371" s="12" t="s">
        <v>901</v>
      </c>
      <c r="C371" s="13" t="s">
        <v>902</v>
      </c>
      <c r="D371" s="14" t="s">
        <v>67</v>
      </c>
      <c r="E371" s="15" t="s">
        <v>22</v>
      </c>
      <c r="F371" s="15" t="s">
        <v>35</v>
      </c>
      <c r="G371" s="14" t="s">
        <v>50</v>
      </c>
      <c r="H371" s="16"/>
      <c r="I371" s="17"/>
      <c r="J371" s="15"/>
      <c r="K371" s="15" t="s">
        <v>25</v>
      </c>
      <c r="L371" s="18" t="n">
        <v>46240</v>
      </c>
      <c r="M371" s="23" t="n">
        <v>46240</v>
      </c>
      <c r="N371" s="24" t="n">
        <v>0</v>
      </c>
      <c r="O371" s="24"/>
      <c r="P371" s="20" t="n">
        <v>3</v>
      </c>
      <c r="Q371" s="20" t="n">
        <v>2.5</v>
      </c>
    </row>
    <row r="372" customFormat="false" ht="45" hidden="true" customHeight="true" outlineLevel="0" collapsed="false">
      <c r="A372" s="28" t="s">
        <v>903</v>
      </c>
      <c r="B372" s="12" t="s">
        <v>904</v>
      </c>
      <c r="C372" s="13" t="s">
        <v>905</v>
      </c>
      <c r="D372" s="14" t="s">
        <v>34</v>
      </c>
      <c r="E372" s="15" t="s">
        <v>22</v>
      </c>
      <c r="F372" s="15" t="s">
        <v>141</v>
      </c>
      <c r="G372" s="14" t="s">
        <v>50</v>
      </c>
      <c r="H372" s="16"/>
      <c r="I372" s="17"/>
      <c r="J372" s="15"/>
      <c r="K372" s="15" t="s">
        <v>24</v>
      </c>
      <c r="L372" s="18" t="n">
        <v>46252</v>
      </c>
      <c r="M372" s="23" t="n">
        <v>46252</v>
      </c>
      <c r="N372" s="24" t="n">
        <v>6</v>
      </c>
      <c r="O372" s="24"/>
      <c r="P372" s="20" t="n">
        <v>17.75</v>
      </c>
      <c r="Q372" s="20" t="n">
        <v>4.02</v>
      </c>
    </row>
    <row r="373" customFormat="false" ht="31.5" hidden="false" customHeight="true" outlineLevel="0" collapsed="false">
      <c r="A373" s="28" t="s">
        <v>906</v>
      </c>
      <c r="B373" s="12" t="s">
        <v>907</v>
      </c>
      <c r="C373" s="13" t="s">
        <v>908</v>
      </c>
      <c r="D373" s="14" t="s">
        <v>96</v>
      </c>
      <c r="E373" s="15" t="s">
        <v>28</v>
      </c>
      <c r="F373" s="15" t="s">
        <v>141</v>
      </c>
      <c r="G373" s="14" t="s">
        <v>50</v>
      </c>
      <c r="H373" s="16" t="s">
        <v>51</v>
      </c>
      <c r="I373" s="17"/>
      <c r="J373" s="15"/>
      <c r="K373" s="15" t="s">
        <v>25</v>
      </c>
      <c r="L373" s="18"/>
      <c r="M373" s="23"/>
      <c r="N373" s="24" t="n">
        <v>0</v>
      </c>
      <c r="O373" s="24"/>
      <c r="P373" s="20" t="n">
        <v>6</v>
      </c>
      <c r="Q373" s="20" t="n">
        <v>629.8</v>
      </c>
    </row>
    <row r="374" customFormat="false" ht="31.5" hidden="false" customHeight="true" outlineLevel="0" collapsed="false">
      <c r="A374" s="28" t="s">
        <v>909</v>
      </c>
      <c r="B374" s="12" t="s">
        <v>910</v>
      </c>
      <c r="C374" s="13" t="s">
        <v>911</v>
      </c>
      <c r="D374" s="14" t="s">
        <v>96</v>
      </c>
      <c r="E374" s="15" t="s">
        <v>28</v>
      </c>
      <c r="F374" s="15" t="s">
        <v>141</v>
      </c>
      <c r="G374" s="14" t="s">
        <v>50</v>
      </c>
      <c r="H374" s="16" t="s">
        <v>51</v>
      </c>
      <c r="I374" s="17"/>
      <c r="J374" s="15"/>
      <c r="K374" s="15" t="s">
        <v>25</v>
      </c>
      <c r="L374" s="18"/>
      <c r="M374" s="23"/>
      <c r="N374" s="24" t="n">
        <v>0</v>
      </c>
      <c r="O374" s="24"/>
      <c r="P374" s="20" t="n">
        <v>6</v>
      </c>
      <c r="Q374" s="20" t="n">
        <v>629.6</v>
      </c>
    </row>
    <row r="375" customFormat="false" ht="31.5" hidden="true" customHeight="true" outlineLevel="0" collapsed="false">
      <c r="A375" s="28" t="s">
        <v>912</v>
      </c>
      <c r="B375" s="12" t="s">
        <v>913</v>
      </c>
      <c r="C375" s="13" t="s">
        <v>914</v>
      </c>
      <c r="D375" s="14" t="s">
        <v>96</v>
      </c>
      <c r="E375" s="15" t="s">
        <v>28</v>
      </c>
      <c r="F375" s="15" t="s">
        <v>141</v>
      </c>
      <c r="G375" s="14" t="s">
        <v>50</v>
      </c>
      <c r="H375" s="16" t="s">
        <v>51</v>
      </c>
      <c r="I375" s="17"/>
      <c r="J375" s="15"/>
      <c r="K375" s="15" t="s">
        <v>30</v>
      </c>
      <c r="L375" s="18"/>
      <c r="M375" s="23"/>
      <c r="N375" s="24" t="n">
        <v>0</v>
      </c>
      <c r="O375" s="24"/>
      <c r="P375" s="20" t="n">
        <v>9</v>
      </c>
      <c r="Q375" s="20" t="n">
        <v>629.5</v>
      </c>
    </row>
    <row r="376" customFormat="false" ht="30" hidden="true" customHeight="true" outlineLevel="0" collapsed="false">
      <c r="A376" s="28" t="s">
        <v>915</v>
      </c>
      <c r="B376" s="12" t="s">
        <v>916</v>
      </c>
      <c r="C376" s="13" t="s">
        <v>917</v>
      </c>
      <c r="D376" s="14" t="s">
        <v>96</v>
      </c>
      <c r="E376" s="15" t="s">
        <v>28</v>
      </c>
      <c r="F376" s="15" t="s">
        <v>141</v>
      </c>
      <c r="G376" s="14" t="s">
        <v>50</v>
      </c>
      <c r="H376" s="16" t="s">
        <v>51</v>
      </c>
      <c r="I376" s="17"/>
      <c r="J376" s="15"/>
      <c r="K376" s="15" t="s">
        <v>30</v>
      </c>
      <c r="L376" s="18"/>
      <c r="M376" s="23"/>
      <c r="N376" s="24" t="n">
        <v>0</v>
      </c>
      <c r="O376" s="24"/>
      <c r="P376" s="20" t="n">
        <v>9</v>
      </c>
      <c r="Q376" s="20" t="n">
        <v>629.5</v>
      </c>
    </row>
    <row r="377" customFormat="false" ht="30" hidden="true" customHeight="true" outlineLevel="0" collapsed="false">
      <c r="A377" s="28" t="s">
        <v>918</v>
      </c>
      <c r="B377" s="12" t="s">
        <v>919</v>
      </c>
      <c r="C377" s="13" t="s">
        <v>920</v>
      </c>
      <c r="D377" s="14" t="s">
        <v>96</v>
      </c>
      <c r="E377" s="15" t="s">
        <v>22</v>
      </c>
      <c r="F377" s="15" t="s">
        <v>35</v>
      </c>
      <c r="G377" s="14" t="s">
        <v>167</v>
      </c>
      <c r="H377" s="16"/>
      <c r="I377" s="17"/>
      <c r="J377" s="15"/>
      <c r="K377" s="15" t="s">
        <v>25</v>
      </c>
      <c r="L377" s="18" t="n">
        <v>46233</v>
      </c>
      <c r="M377" s="23" t="n">
        <v>46233</v>
      </c>
      <c r="N377" s="20" t="n">
        <v>24</v>
      </c>
      <c r="O377" s="24"/>
      <c r="P377" s="20" t="n">
        <v>9</v>
      </c>
      <c r="Q377" s="20" t="n">
        <v>47.4</v>
      </c>
    </row>
    <row r="378" customFormat="false" ht="30" hidden="true" customHeight="true" outlineLevel="0" collapsed="false">
      <c r="A378" s="28" t="s">
        <v>921</v>
      </c>
      <c r="B378" s="12" t="s">
        <v>922</v>
      </c>
      <c r="C378" s="13" t="s">
        <v>923</v>
      </c>
      <c r="D378" s="14" t="s">
        <v>96</v>
      </c>
      <c r="E378" s="15" t="s">
        <v>22</v>
      </c>
      <c r="F378" s="15" t="s">
        <v>35</v>
      </c>
      <c r="G378" s="14" t="s">
        <v>167</v>
      </c>
      <c r="H378" s="16"/>
      <c r="I378" s="17"/>
      <c r="J378" s="15"/>
      <c r="K378" s="15" t="s">
        <v>30</v>
      </c>
      <c r="L378" s="18" t="n">
        <v>46233</v>
      </c>
      <c r="M378" s="23" t="n">
        <v>46233</v>
      </c>
      <c r="N378" s="20" t="n">
        <v>24</v>
      </c>
      <c r="O378" s="24"/>
      <c r="P378" s="20" t="n">
        <v>16.5</v>
      </c>
      <c r="Q378" s="20" t="n">
        <v>49.1</v>
      </c>
    </row>
    <row r="379" customFormat="false" ht="47.25" hidden="true" customHeight="true" outlineLevel="0" collapsed="false">
      <c r="A379" s="28" t="s">
        <v>924</v>
      </c>
      <c r="B379" s="12" t="s">
        <v>925</v>
      </c>
      <c r="C379" s="13" t="s">
        <v>926</v>
      </c>
      <c r="D379" s="14" t="s">
        <v>34</v>
      </c>
      <c r="E379" s="15" t="s">
        <v>22</v>
      </c>
      <c r="F379" s="15" t="s">
        <v>23</v>
      </c>
      <c r="G379" s="14" t="s">
        <v>748</v>
      </c>
      <c r="H379" s="16"/>
      <c r="I379" s="17"/>
      <c r="J379" s="15"/>
      <c r="K379" s="15" t="s">
        <v>30</v>
      </c>
      <c r="L379" s="18" t="n">
        <v>46252</v>
      </c>
      <c r="M379" s="23" t="n">
        <v>46251</v>
      </c>
      <c r="N379" s="24" t="n">
        <v>0</v>
      </c>
      <c r="O379" s="24"/>
      <c r="P379" s="20" t="n">
        <v>2.67</v>
      </c>
      <c r="Q379" s="20" t="n">
        <v>437.7</v>
      </c>
    </row>
    <row r="380" customFormat="false" ht="63" hidden="true" customHeight="true" outlineLevel="0" collapsed="false">
      <c r="A380" s="28" t="s">
        <v>927</v>
      </c>
      <c r="B380" s="12" t="s">
        <v>928</v>
      </c>
      <c r="C380" s="13" t="s">
        <v>929</v>
      </c>
      <c r="D380" s="14" t="s">
        <v>34</v>
      </c>
      <c r="E380" s="15" t="s">
        <v>22</v>
      </c>
      <c r="F380" s="15" t="s">
        <v>23</v>
      </c>
      <c r="G380" s="14" t="s">
        <v>748</v>
      </c>
      <c r="H380" s="16"/>
      <c r="I380" s="17"/>
      <c r="J380" s="15"/>
      <c r="K380" s="15" t="s">
        <v>30</v>
      </c>
      <c r="L380" s="18" t="n">
        <v>46252</v>
      </c>
      <c r="M380" s="23" t="n">
        <v>46246</v>
      </c>
      <c r="N380" s="24" t="n">
        <v>0</v>
      </c>
      <c r="O380" s="24"/>
      <c r="P380" s="20" t="n">
        <v>12.33</v>
      </c>
      <c r="Q380" s="20" t="n">
        <v>333.4</v>
      </c>
    </row>
    <row r="381" customFormat="false" ht="63" hidden="true" customHeight="true" outlineLevel="0" collapsed="false">
      <c r="A381" s="28" t="s">
        <v>930</v>
      </c>
      <c r="B381" s="12" t="s">
        <v>931</v>
      </c>
      <c r="C381" s="13" t="s">
        <v>932</v>
      </c>
      <c r="D381" s="14" t="s">
        <v>34</v>
      </c>
      <c r="E381" s="15" t="s">
        <v>22</v>
      </c>
      <c r="F381" s="15" t="s">
        <v>23</v>
      </c>
      <c r="G381" s="14" t="s">
        <v>748</v>
      </c>
      <c r="H381" s="16" t="s">
        <v>51</v>
      </c>
      <c r="I381" s="17"/>
      <c r="J381" s="15"/>
      <c r="K381" s="15" t="s">
        <v>30</v>
      </c>
      <c r="L381" s="18" t="n">
        <v>46259</v>
      </c>
      <c r="M381" s="23" t="n">
        <v>46257</v>
      </c>
      <c r="N381" s="24" t="n">
        <v>0</v>
      </c>
      <c r="O381" s="24"/>
      <c r="P381" s="20" t="n">
        <v>4</v>
      </c>
      <c r="Q381" s="20" t="n">
        <v>600</v>
      </c>
    </row>
    <row r="382" customFormat="false" ht="78.75" hidden="true" customHeight="true" outlineLevel="0" collapsed="false">
      <c r="A382" s="28" t="s">
        <v>933</v>
      </c>
      <c r="B382" s="12" t="s">
        <v>934</v>
      </c>
      <c r="C382" s="13" t="s">
        <v>935</v>
      </c>
      <c r="D382" s="14" t="s">
        <v>34</v>
      </c>
      <c r="E382" s="15" t="s">
        <v>28</v>
      </c>
      <c r="F382" s="15" t="s">
        <v>23</v>
      </c>
      <c r="G382" s="14" t="s">
        <v>50</v>
      </c>
      <c r="H382" s="16"/>
      <c r="I382" s="17"/>
      <c r="J382" s="15"/>
      <c r="K382" s="15" t="s">
        <v>30</v>
      </c>
      <c r="L382" s="18"/>
      <c r="M382" s="23"/>
      <c r="N382" s="24" t="n">
        <v>0</v>
      </c>
      <c r="O382" s="24"/>
      <c r="P382" s="20" t="n">
        <v>2.4</v>
      </c>
      <c r="Q382" s="20" t="n">
        <v>454.8</v>
      </c>
    </row>
    <row r="383" customFormat="false" ht="30" hidden="false" customHeight="true" outlineLevel="0" collapsed="false">
      <c r="A383" s="28" t="n">
        <v>33021722</v>
      </c>
      <c r="B383" s="12" t="s">
        <v>936</v>
      </c>
      <c r="C383" s="13" t="n">
        <v>1339</v>
      </c>
      <c r="D383" s="14" t="s">
        <v>67</v>
      </c>
      <c r="E383" s="15" t="s">
        <v>28</v>
      </c>
      <c r="F383" s="15" t="s">
        <v>35</v>
      </c>
      <c r="G383" s="14" t="s">
        <v>748</v>
      </c>
      <c r="H383" s="16"/>
      <c r="I383" s="17"/>
      <c r="J383" s="15"/>
      <c r="K383" s="15" t="s">
        <v>25</v>
      </c>
      <c r="L383" s="18"/>
      <c r="M383" s="23"/>
      <c r="N383" s="24" t="n">
        <v>0</v>
      </c>
      <c r="O383" s="24"/>
      <c r="P383" s="20"/>
      <c r="Q383" s="20" t="n">
        <v>0</v>
      </c>
    </row>
    <row r="384" customFormat="false" ht="30" hidden="true" customHeight="true" outlineLevel="0" collapsed="false">
      <c r="A384" s="28" t="n">
        <v>33021799</v>
      </c>
      <c r="B384" s="12" t="s">
        <v>937</v>
      </c>
      <c r="C384" s="13" t="n">
        <v>1340</v>
      </c>
      <c r="D384" s="14" t="s">
        <v>34</v>
      </c>
      <c r="E384" s="15" t="s">
        <v>22</v>
      </c>
      <c r="F384" s="15" t="s">
        <v>35</v>
      </c>
      <c r="G384" s="14" t="s">
        <v>50</v>
      </c>
      <c r="H384" s="16"/>
      <c r="I384" s="17"/>
      <c r="J384" s="15"/>
      <c r="K384" s="15" t="s">
        <v>25</v>
      </c>
      <c r="L384" s="18" t="n">
        <v>46256</v>
      </c>
      <c r="M384" s="23" t="n">
        <v>46254</v>
      </c>
      <c r="N384" s="24" t="n">
        <v>0</v>
      </c>
      <c r="O384" s="24"/>
      <c r="P384" s="20" t="n">
        <v>47.5</v>
      </c>
      <c r="Q384" s="20" t="n">
        <v>549</v>
      </c>
    </row>
    <row r="385" customFormat="false" ht="15.75" hidden="true" customHeight="true" outlineLevel="0" collapsed="false">
      <c r="A385" s="28" t="n">
        <v>33021843</v>
      </c>
      <c r="B385" s="12" t="s">
        <v>938</v>
      </c>
      <c r="C385" s="13" t="n">
        <v>1341</v>
      </c>
      <c r="D385" s="14" t="s">
        <v>67</v>
      </c>
      <c r="E385" s="15" t="s">
        <v>22</v>
      </c>
      <c r="F385" s="15" t="s">
        <v>35</v>
      </c>
      <c r="G385" s="14" t="s">
        <v>50</v>
      </c>
      <c r="H385" s="16"/>
      <c r="I385" s="17"/>
      <c r="J385" s="15"/>
      <c r="K385" s="15" t="s">
        <v>25</v>
      </c>
      <c r="L385" s="18" t="n">
        <v>46240</v>
      </c>
      <c r="M385" s="23" t="n">
        <v>46240</v>
      </c>
      <c r="N385" s="24" t="n">
        <v>0</v>
      </c>
      <c r="O385" s="24"/>
      <c r="P385" s="20" t="n">
        <v>2</v>
      </c>
      <c r="Q385" s="20" t="n">
        <v>2</v>
      </c>
    </row>
    <row r="386" customFormat="false" ht="15.75" hidden="false" customHeight="true" outlineLevel="0" collapsed="false">
      <c r="A386" s="28" t="n">
        <v>33022670</v>
      </c>
      <c r="B386" s="12" t="s">
        <v>939</v>
      </c>
      <c r="C386" s="13" t="n">
        <v>1342</v>
      </c>
      <c r="D386" s="14" t="s">
        <v>67</v>
      </c>
      <c r="E386" s="15" t="s">
        <v>22</v>
      </c>
      <c r="F386" s="15" t="s">
        <v>35</v>
      </c>
      <c r="G386" s="14" t="s">
        <v>50</v>
      </c>
      <c r="H386" s="16" t="s">
        <v>51</v>
      </c>
      <c r="I386" s="17" t="s">
        <v>940</v>
      </c>
      <c r="J386" s="15"/>
      <c r="K386" s="15" t="s">
        <v>25</v>
      </c>
      <c r="L386" s="18" t="n">
        <v>46259</v>
      </c>
      <c r="M386" s="23" t="n">
        <v>46258</v>
      </c>
      <c r="N386" s="24" t="n">
        <v>0</v>
      </c>
      <c r="O386" s="24"/>
      <c r="P386" s="20"/>
      <c r="Q386" s="20" t="n">
        <v>10.08</v>
      </c>
    </row>
    <row r="387" customFormat="false" ht="31.5" hidden="false" customHeight="true" outlineLevel="0" collapsed="false">
      <c r="A387" s="28" t="n">
        <v>33022800</v>
      </c>
      <c r="B387" s="12" t="s">
        <v>941</v>
      </c>
      <c r="C387" s="13" t="n">
        <v>1343</v>
      </c>
      <c r="D387" s="14" t="s">
        <v>67</v>
      </c>
      <c r="E387" s="15" t="s">
        <v>28</v>
      </c>
      <c r="F387" s="15" t="s">
        <v>35</v>
      </c>
      <c r="G387" s="14" t="s">
        <v>50</v>
      </c>
      <c r="H387" s="16" t="s">
        <v>51</v>
      </c>
      <c r="I387" s="17"/>
      <c r="J387" s="15"/>
      <c r="K387" s="15" t="s">
        <v>25</v>
      </c>
      <c r="L387" s="18"/>
      <c r="M387" s="23"/>
      <c r="N387" s="24" t="n">
        <v>0</v>
      </c>
      <c r="O387" s="24"/>
      <c r="P387" s="20"/>
      <c r="Q387" s="20" t="n">
        <v>10.08</v>
      </c>
    </row>
    <row r="388" customFormat="false" ht="30" hidden="true" customHeight="true" outlineLevel="0" collapsed="false">
      <c r="A388" s="28" t="n">
        <v>33022853</v>
      </c>
      <c r="B388" s="12" t="s">
        <v>942</v>
      </c>
      <c r="C388" s="13" t="n">
        <v>1344</v>
      </c>
      <c r="D388" s="14" t="s">
        <v>67</v>
      </c>
      <c r="E388" s="15" t="s">
        <v>22</v>
      </c>
      <c r="F388" s="15" t="s">
        <v>35</v>
      </c>
      <c r="G388" s="14" t="s">
        <v>50</v>
      </c>
      <c r="H388" s="16"/>
      <c r="I388" s="17"/>
      <c r="J388" s="15"/>
      <c r="K388" s="15" t="s">
        <v>25</v>
      </c>
      <c r="L388" s="18" t="n">
        <v>46244</v>
      </c>
      <c r="M388" s="23" t="n">
        <v>46244</v>
      </c>
      <c r="N388" s="24" t="n">
        <v>0</v>
      </c>
      <c r="O388" s="24"/>
      <c r="P388" s="20" t="n">
        <v>2.5</v>
      </c>
      <c r="Q388" s="20" t="n">
        <v>2.5</v>
      </c>
    </row>
    <row r="389" customFormat="false" ht="30" hidden="true" customHeight="true" outlineLevel="0" collapsed="false">
      <c r="A389" s="28" t="n">
        <v>33022868</v>
      </c>
      <c r="B389" s="12" t="s">
        <v>943</v>
      </c>
      <c r="C389" s="13" t="n">
        <v>1345</v>
      </c>
      <c r="D389" s="14" t="s">
        <v>49</v>
      </c>
      <c r="E389" s="15" t="s">
        <v>22</v>
      </c>
      <c r="F389" s="15" t="s">
        <v>35</v>
      </c>
      <c r="G389" s="14" t="s">
        <v>50</v>
      </c>
      <c r="H389" s="16"/>
      <c r="I389" s="17"/>
      <c r="J389" s="15"/>
      <c r="K389" s="15" t="s">
        <v>25</v>
      </c>
      <c r="L389" s="18" t="n">
        <v>46243</v>
      </c>
      <c r="M389" s="23" t="n">
        <v>46243</v>
      </c>
      <c r="N389" s="24" t="n">
        <v>0</v>
      </c>
      <c r="O389" s="24"/>
      <c r="P389" s="20" t="n">
        <v>2.5</v>
      </c>
      <c r="Q389" s="20" t="n">
        <v>2.5</v>
      </c>
    </row>
    <row r="390" customFormat="false" ht="30" hidden="true" customHeight="true" outlineLevel="0" collapsed="false">
      <c r="A390" s="28" t="n">
        <v>33022953</v>
      </c>
      <c r="B390" s="12" t="s">
        <v>944</v>
      </c>
      <c r="C390" s="13" t="n">
        <v>1347</v>
      </c>
      <c r="D390" s="14" t="s">
        <v>49</v>
      </c>
      <c r="E390" s="15" t="s">
        <v>22</v>
      </c>
      <c r="F390" s="15" t="s">
        <v>35</v>
      </c>
      <c r="G390" s="14" t="s">
        <v>50</v>
      </c>
      <c r="H390" s="16"/>
      <c r="I390" s="17"/>
      <c r="J390" s="15"/>
      <c r="K390" s="15" t="s">
        <v>25</v>
      </c>
      <c r="L390" s="18" t="n">
        <v>46238</v>
      </c>
      <c r="M390" s="23" t="n">
        <v>46238</v>
      </c>
      <c r="N390" s="24" t="n">
        <v>0</v>
      </c>
      <c r="O390" s="24"/>
      <c r="P390" s="20" t="n">
        <v>1</v>
      </c>
      <c r="Q390" s="20" t="n">
        <v>1</v>
      </c>
    </row>
    <row r="391" customFormat="false" ht="30" hidden="true" customHeight="true" outlineLevel="0" collapsed="false">
      <c r="A391" s="28" t="n">
        <v>33022966</v>
      </c>
      <c r="B391" s="12" t="s">
        <v>945</v>
      </c>
      <c r="C391" s="13" t="n">
        <v>1348</v>
      </c>
      <c r="D391" s="14" t="s">
        <v>49</v>
      </c>
      <c r="E391" s="15" t="s">
        <v>22</v>
      </c>
      <c r="F391" s="15" t="s">
        <v>35</v>
      </c>
      <c r="G391" s="14" t="s">
        <v>50</v>
      </c>
      <c r="H391" s="16"/>
      <c r="I391" s="17"/>
      <c r="J391" s="15"/>
      <c r="K391" s="15" t="s">
        <v>25</v>
      </c>
      <c r="L391" s="18" t="n">
        <v>46246</v>
      </c>
      <c r="M391" s="23" t="n">
        <v>46246</v>
      </c>
      <c r="N391" s="24" t="n">
        <v>0</v>
      </c>
      <c r="O391" s="24"/>
      <c r="P391" s="20" t="n">
        <v>1.5</v>
      </c>
      <c r="Q391" s="20" t="n">
        <v>173.4</v>
      </c>
    </row>
    <row r="392" customFormat="false" ht="15.75" hidden="true" customHeight="true" outlineLevel="0" collapsed="false">
      <c r="A392" s="28" t="n">
        <v>33022983</v>
      </c>
      <c r="B392" s="12" t="s">
        <v>946</v>
      </c>
      <c r="C392" s="13" t="n">
        <v>1349</v>
      </c>
      <c r="D392" s="14" t="s">
        <v>72</v>
      </c>
      <c r="E392" s="15" t="s">
        <v>22</v>
      </c>
      <c r="F392" s="15" t="s">
        <v>35</v>
      </c>
      <c r="G392" s="14" t="s">
        <v>50</v>
      </c>
      <c r="H392" s="16"/>
      <c r="I392" s="17"/>
      <c r="J392" s="15"/>
      <c r="K392" s="15" t="s">
        <v>25</v>
      </c>
      <c r="L392" s="18" t="n">
        <v>46252</v>
      </c>
      <c r="M392" s="23" t="n">
        <v>46250</v>
      </c>
      <c r="N392" s="24" t="n">
        <v>0</v>
      </c>
      <c r="O392" s="24"/>
      <c r="P392" s="20" t="n">
        <v>2.5</v>
      </c>
      <c r="Q392" s="20" t="n">
        <v>2.5</v>
      </c>
    </row>
    <row r="393" customFormat="false" ht="30" hidden="true" customHeight="true" outlineLevel="0" collapsed="false">
      <c r="A393" s="28" t="n">
        <v>33023575</v>
      </c>
      <c r="B393" s="12" t="s">
        <v>947</v>
      </c>
      <c r="C393" s="13" t="n">
        <v>1352</v>
      </c>
      <c r="D393" s="14" t="s">
        <v>96</v>
      </c>
      <c r="E393" s="15" t="s">
        <v>22</v>
      </c>
      <c r="F393" s="15" t="s">
        <v>35</v>
      </c>
      <c r="G393" s="14" t="s">
        <v>167</v>
      </c>
      <c r="H393" s="16"/>
      <c r="I393" s="17"/>
      <c r="J393" s="15"/>
      <c r="K393" s="15" t="s">
        <v>25</v>
      </c>
      <c r="L393" s="18" t="n">
        <v>46232</v>
      </c>
      <c r="M393" s="23" t="n">
        <v>46232</v>
      </c>
      <c r="N393" s="20" t="n">
        <v>9</v>
      </c>
      <c r="O393" s="24"/>
      <c r="P393" s="20" t="n">
        <v>10</v>
      </c>
      <c r="Q393" s="20" t="n">
        <v>5.15</v>
      </c>
    </row>
    <row r="394" customFormat="false" ht="30" hidden="false" customHeight="true" outlineLevel="0" collapsed="false">
      <c r="A394" s="28" t="n">
        <v>33023666</v>
      </c>
      <c r="B394" s="12" t="s">
        <v>948</v>
      </c>
      <c r="C394" s="13" t="n">
        <v>1353</v>
      </c>
      <c r="D394" s="14" t="s">
        <v>49</v>
      </c>
      <c r="E394" s="15" t="s">
        <v>949</v>
      </c>
      <c r="F394" s="15" t="s">
        <v>35</v>
      </c>
      <c r="G394" s="14" t="s">
        <v>50</v>
      </c>
      <c r="H394" s="16" t="s">
        <v>51</v>
      </c>
      <c r="I394" s="17"/>
      <c r="J394" s="15"/>
      <c r="K394" s="15" t="s">
        <v>25</v>
      </c>
      <c r="L394" s="18"/>
      <c r="M394" s="23"/>
      <c r="N394" s="24" t="n">
        <v>0</v>
      </c>
      <c r="O394" s="24"/>
      <c r="P394" s="20"/>
      <c r="Q394" s="20" t="n">
        <v>83.4</v>
      </c>
    </row>
    <row r="395" customFormat="false" ht="30" hidden="true" customHeight="true" outlineLevel="0" collapsed="false">
      <c r="A395" s="28" t="n">
        <v>33023735</v>
      </c>
      <c r="B395" s="12" t="s">
        <v>950</v>
      </c>
      <c r="C395" s="13" t="n">
        <v>1354</v>
      </c>
      <c r="D395" s="14" t="s">
        <v>96</v>
      </c>
      <c r="E395" s="15" t="s">
        <v>22</v>
      </c>
      <c r="F395" s="15" t="s">
        <v>35</v>
      </c>
      <c r="G395" s="14" t="s">
        <v>167</v>
      </c>
      <c r="H395" s="16"/>
      <c r="I395" s="17"/>
      <c r="J395" s="15"/>
      <c r="K395" s="15" t="s">
        <v>30</v>
      </c>
      <c r="L395" s="18" t="n">
        <v>46232</v>
      </c>
      <c r="M395" s="23" t="n">
        <v>46232</v>
      </c>
      <c r="N395" s="20" t="n">
        <v>7</v>
      </c>
      <c r="O395" s="24"/>
      <c r="P395" s="20" t="n">
        <v>8</v>
      </c>
      <c r="Q395" s="20" t="n">
        <v>5.08</v>
      </c>
    </row>
    <row r="396" customFormat="false" ht="30" hidden="true" customHeight="true" outlineLevel="0" collapsed="false">
      <c r="A396" s="28" t="n">
        <v>33023745</v>
      </c>
      <c r="B396" s="12" t="s">
        <v>951</v>
      </c>
      <c r="C396" s="13" t="n">
        <v>1355</v>
      </c>
      <c r="D396" s="14" t="s">
        <v>49</v>
      </c>
      <c r="E396" s="15" t="s">
        <v>22</v>
      </c>
      <c r="F396" s="15" t="s">
        <v>35</v>
      </c>
      <c r="G396" s="14" t="s">
        <v>50</v>
      </c>
      <c r="H396" s="16"/>
      <c r="I396" s="17"/>
      <c r="J396" s="15"/>
      <c r="K396" s="15" t="s">
        <v>25</v>
      </c>
      <c r="L396" s="18" t="n">
        <v>46237</v>
      </c>
      <c r="M396" s="23" t="n">
        <v>46237</v>
      </c>
      <c r="N396" s="24" t="n">
        <v>0</v>
      </c>
      <c r="O396" s="24"/>
      <c r="P396" s="20" t="n">
        <v>7.58</v>
      </c>
      <c r="Q396" s="20" t="n">
        <v>5.93</v>
      </c>
    </row>
    <row r="397" customFormat="false" ht="30.75" hidden="true" customHeight="true" outlineLevel="0" collapsed="false">
      <c r="A397" s="28" t="n">
        <v>33023803</v>
      </c>
      <c r="B397" s="12" t="s">
        <v>952</v>
      </c>
      <c r="C397" s="13" t="n">
        <v>1356</v>
      </c>
      <c r="D397" s="14" t="s">
        <v>49</v>
      </c>
      <c r="E397" s="15" t="s">
        <v>22</v>
      </c>
      <c r="F397" s="15" t="s">
        <v>35</v>
      </c>
      <c r="G397" s="14" t="s">
        <v>50</v>
      </c>
      <c r="H397" s="16" t="s">
        <v>51</v>
      </c>
      <c r="I397" s="17" t="s">
        <v>953</v>
      </c>
      <c r="J397" s="15"/>
      <c r="K397" s="15" t="s">
        <v>25</v>
      </c>
      <c r="L397" s="18" t="n">
        <v>46246</v>
      </c>
      <c r="M397" s="23" t="n">
        <v>46246</v>
      </c>
      <c r="N397" s="24" t="n">
        <v>0</v>
      </c>
      <c r="O397" s="24"/>
      <c r="P397" s="20" t="n">
        <v>14.5</v>
      </c>
      <c r="Q397" s="20" t="n">
        <v>224.7</v>
      </c>
    </row>
    <row r="398" customFormat="false" ht="30" hidden="true" customHeight="true" outlineLevel="0" collapsed="false">
      <c r="A398" s="28" t="n">
        <v>33023820</v>
      </c>
      <c r="B398" s="12" t="s">
        <v>954</v>
      </c>
      <c r="C398" s="13" t="n">
        <v>1357</v>
      </c>
      <c r="D398" s="14" t="s">
        <v>67</v>
      </c>
      <c r="E398" s="15" t="s">
        <v>22</v>
      </c>
      <c r="F398" s="15" t="s">
        <v>35</v>
      </c>
      <c r="G398" s="14" t="s">
        <v>50</v>
      </c>
      <c r="H398" s="16"/>
      <c r="I398" s="17"/>
      <c r="J398" s="15"/>
      <c r="K398" s="15" t="s">
        <v>25</v>
      </c>
      <c r="L398" s="18" t="n">
        <v>46252</v>
      </c>
      <c r="M398" s="23" t="n">
        <v>46251</v>
      </c>
      <c r="N398" s="24" t="n">
        <v>0</v>
      </c>
      <c r="O398" s="24"/>
      <c r="P398" s="20" t="n">
        <v>1.5</v>
      </c>
      <c r="Q398" s="20" t="n">
        <v>1.5</v>
      </c>
    </row>
    <row r="399" customFormat="false" ht="30" hidden="false" customHeight="true" outlineLevel="0" collapsed="false">
      <c r="A399" s="28" t="n">
        <v>33023837</v>
      </c>
      <c r="B399" s="12" t="s">
        <v>955</v>
      </c>
      <c r="C399" s="13" t="n">
        <v>1358</v>
      </c>
      <c r="D399" s="14" t="s">
        <v>67</v>
      </c>
      <c r="E399" s="15" t="s">
        <v>22</v>
      </c>
      <c r="F399" s="15" t="s">
        <v>35</v>
      </c>
      <c r="G399" s="14" t="s">
        <v>50</v>
      </c>
      <c r="H399" s="16"/>
      <c r="I399" s="17" t="s">
        <v>36</v>
      </c>
      <c r="J399" s="15"/>
      <c r="K399" s="15" t="s">
        <v>25</v>
      </c>
      <c r="L399" s="18" t="n">
        <v>46259</v>
      </c>
      <c r="M399" s="23" t="n">
        <v>46257</v>
      </c>
      <c r="N399" s="24" t="n">
        <v>0</v>
      </c>
      <c r="O399" s="24"/>
      <c r="P399" s="20"/>
      <c r="Q399" s="20" t="n">
        <v>80.1</v>
      </c>
    </row>
    <row r="400" customFormat="false" ht="31.5" hidden="false" customHeight="true" outlineLevel="0" collapsed="false">
      <c r="A400" s="28" t="n">
        <v>33025667</v>
      </c>
      <c r="B400" s="12" t="s">
        <v>956</v>
      </c>
      <c r="C400" s="13" t="n">
        <v>1360</v>
      </c>
      <c r="D400" s="14" t="s">
        <v>96</v>
      </c>
      <c r="E400" s="15" t="s">
        <v>28</v>
      </c>
      <c r="F400" s="15" t="s">
        <v>35</v>
      </c>
      <c r="G400" s="14" t="s">
        <v>50</v>
      </c>
      <c r="H400" s="16" t="s">
        <v>51</v>
      </c>
      <c r="I400" s="17"/>
      <c r="J400" s="15"/>
      <c r="K400" s="15" t="s">
        <v>25</v>
      </c>
      <c r="L400" s="18"/>
      <c r="M400" s="23"/>
      <c r="N400" s="24" t="n">
        <v>0</v>
      </c>
      <c r="O400" s="24"/>
      <c r="P400" s="20"/>
      <c r="Q400" s="20" t="n">
        <v>357.9</v>
      </c>
    </row>
    <row r="401" customFormat="false" ht="30" hidden="false" customHeight="true" outlineLevel="0" collapsed="false">
      <c r="A401" s="28" t="s">
        <v>957</v>
      </c>
      <c r="B401" s="12" t="s">
        <v>958</v>
      </c>
      <c r="C401" s="13" t="s">
        <v>959</v>
      </c>
      <c r="D401" s="14" t="s">
        <v>67</v>
      </c>
      <c r="E401" s="15" t="s">
        <v>949</v>
      </c>
      <c r="F401" s="15" t="s">
        <v>35</v>
      </c>
      <c r="G401" s="14" t="s">
        <v>50</v>
      </c>
      <c r="H401" s="16"/>
      <c r="I401" s="17" t="s">
        <v>960</v>
      </c>
      <c r="J401" s="15"/>
      <c r="K401" s="15" t="s">
        <v>25</v>
      </c>
      <c r="L401" s="18"/>
      <c r="M401" s="23"/>
      <c r="N401" s="24" t="n">
        <v>0</v>
      </c>
      <c r="O401" s="24"/>
      <c r="P401" s="20"/>
      <c r="Q401" s="20" t="n">
        <v>0</v>
      </c>
    </row>
    <row r="402" customFormat="false" ht="45" hidden="true" customHeight="true" outlineLevel="0" collapsed="false">
      <c r="A402" s="28" t="s">
        <v>961</v>
      </c>
      <c r="B402" s="12" t="s">
        <v>962</v>
      </c>
      <c r="C402" s="13" t="s">
        <v>963</v>
      </c>
      <c r="D402" s="14" t="s">
        <v>96</v>
      </c>
      <c r="E402" s="15" t="s">
        <v>22</v>
      </c>
      <c r="F402" s="15" t="s">
        <v>35</v>
      </c>
      <c r="G402" s="14" t="s">
        <v>748</v>
      </c>
      <c r="H402" s="16"/>
      <c r="I402" s="17"/>
      <c r="J402" s="15"/>
      <c r="K402" s="15" t="s">
        <v>30</v>
      </c>
      <c r="L402" s="18" t="n">
        <v>46252</v>
      </c>
      <c r="M402" s="23" t="n">
        <v>46238</v>
      </c>
      <c r="N402" s="24" t="n">
        <v>0</v>
      </c>
      <c r="O402" s="24"/>
      <c r="P402" s="20" t="n">
        <v>28.1</v>
      </c>
      <c r="Q402" s="20" t="n">
        <v>120</v>
      </c>
    </row>
    <row r="403" customFormat="false" ht="45" hidden="true" customHeight="true" outlineLevel="0" collapsed="false">
      <c r="A403" s="28" t="s">
        <v>964</v>
      </c>
      <c r="B403" s="12" t="s">
        <v>965</v>
      </c>
      <c r="C403" s="13" t="s">
        <v>966</v>
      </c>
      <c r="D403" s="14" t="s">
        <v>96</v>
      </c>
      <c r="E403" s="15" t="s">
        <v>22</v>
      </c>
      <c r="F403" s="15" t="s">
        <v>35</v>
      </c>
      <c r="G403" s="14" t="s">
        <v>748</v>
      </c>
      <c r="H403" s="16"/>
      <c r="I403" s="17"/>
      <c r="J403" s="15"/>
      <c r="K403" s="15" t="s">
        <v>30</v>
      </c>
      <c r="L403" s="18" t="n">
        <v>46252</v>
      </c>
      <c r="M403" s="23" t="n">
        <v>46238</v>
      </c>
      <c r="N403" s="24" t="n">
        <v>0</v>
      </c>
      <c r="O403" s="24"/>
      <c r="P403" s="20" t="n">
        <v>17.25</v>
      </c>
      <c r="Q403" s="20" t="n">
        <v>127.5</v>
      </c>
    </row>
    <row r="404" customFormat="false" ht="15.75" hidden="false" customHeight="true" outlineLevel="0" collapsed="false">
      <c r="A404" s="28" t="s">
        <v>967</v>
      </c>
      <c r="B404" s="12" t="s">
        <v>968</v>
      </c>
      <c r="C404" s="13" t="s">
        <v>969</v>
      </c>
      <c r="D404" s="14" t="s">
        <v>67</v>
      </c>
      <c r="E404" s="15" t="s">
        <v>28</v>
      </c>
      <c r="F404" s="15" t="s">
        <v>141</v>
      </c>
      <c r="G404" s="14" t="s">
        <v>50</v>
      </c>
      <c r="H404" s="16"/>
      <c r="I404" s="17"/>
      <c r="J404" s="15"/>
      <c r="K404" s="15" t="s">
        <v>25</v>
      </c>
      <c r="L404" s="18"/>
      <c r="M404" s="23"/>
      <c r="N404" s="24"/>
      <c r="O404" s="24"/>
      <c r="P404" s="20" t="n">
        <v>19.5</v>
      </c>
      <c r="Q404" s="20" t="n">
        <v>143.4</v>
      </c>
    </row>
    <row r="405" customFormat="false" ht="15.75" hidden="false" customHeight="true" outlineLevel="0" collapsed="false">
      <c r="A405" s="28" t="s">
        <v>970</v>
      </c>
      <c r="B405" s="12" t="s">
        <v>971</v>
      </c>
      <c r="C405" s="13" t="s">
        <v>972</v>
      </c>
      <c r="D405" s="14" t="s">
        <v>185</v>
      </c>
      <c r="E405" s="15" t="s">
        <v>28</v>
      </c>
      <c r="F405" s="15" t="s">
        <v>141</v>
      </c>
      <c r="G405" s="14" t="s">
        <v>50</v>
      </c>
      <c r="H405" s="16"/>
      <c r="I405" s="17"/>
      <c r="J405" s="15"/>
      <c r="K405" s="15" t="s">
        <v>25</v>
      </c>
      <c r="L405" s="18"/>
      <c r="M405" s="23"/>
      <c r="N405" s="24"/>
      <c r="O405" s="24"/>
      <c r="P405" s="20" t="n">
        <v>26</v>
      </c>
      <c r="Q405" s="20" t="n">
        <v>143.4</v>
      </c>
    </row>
    <row r="406" customFormat="false" ht="30.75" hidden="false" customHeight="true" outlineLevel="0" collapsed="false">
      <c r="A406" s="28" t="s">
        <v>973</v>
      </c>
      <c r="B406" s="12" t="s">
        <v>974</v>
      </c>
      <c r="C406" s="13" t="s">
        <v>975</v>
      </c>
      <c r="D406" s="14" t="s">
        <v>34</v>
      </c>
      <c r="E406" s="15" t="s">
        <v>22</v>
      </c>
      <c r="F406" s="15" t="s">
        <v>35</v>
      </c>
      <c r="G406" s="14" t="s">
        <v>50</v>
      </c>
      <c r="H406" s="16" t="s">
        <v>51</v>
      </c>
      <c r="I406" s="17" t="s">
        <v>976</v>
      </c>
      <c r="J406" s="15"/>
      <c r="K406" s="15" t="s">
        <v>25</v>
      </c>
      <c r="L406" s="18" t="n">
        <v>46259</v>
      </c>
      <c r="M406" s="23" t="n">
        <v>46258</v>
      </c>
      <c r="N406" s="24" t="n">
        <v>0</v>
      </c>
      <c r="O406" s="24"/>
      <c r="P406" s="20"/>
      <c r="Q406" s="20" t="n">
        <v>0</v>
      </c>
    </row>
    <row r="407" customFormat="false" ht="30" hidden="false" customHeight="true" outlineLevel="0" collapsed="false">
      <c r="A407" s="28" t="s">
        <v>977</v>
      </c>
      <c r="B407" s="12" t="s">
        <v>978</v>
      </c>
      <c r="C407" s="13" t="s">
        <v>979</v>
      </c>
      <c r="D407" s="14" t="s">
        <v>67</v>
      </c>
      <c r="E407" s="15" t="s">
        <v>28</v>
      </c>
      <c r="F407" s="15" t="s">
        <v>35</v>
      </c>
      <c r="G407" s="14" t="s">
        <v>167</v>
      </c>
      <c r="H407" s="16"/>
      <c r="I407" s="17"/>
      <c r="J407" s="15"/>
      <c r="K407" s="15" t="s">
        <v>25</v>
      </c>
      <c r="L407" s="18"/>
      <c r="M407" s="23"/>
      <c r="N407" s="24" t="n">
        <v>0</v>
      </c>
      <c r="O407" s="24"/>
      <c r="P407" s="20"/>
      <c r="Q407" s="20" t="n">
        <v>0</v>
      </c>
    </row>
    <row r="408" customFormat="false" ht="60" hidden="true" customHeight="true" outlineLevel="0" collapsed="false">
      <c r="A408" s="28" t="s">
        <v>980</v>
      </c>
      <c r="B408" s="12" t="s">
        <v>981</v>
      </c>
      <c r="C408" s="13" t="s">
        <v>982</v>
      </c>
      <c r="D408" s="14" t="s">
        <v>67</v>
      </c>
      <c r="E408" s="15" t="s">
        <v>22</v>
      </c>
      <c r="F408" s="15" t="s">
        <v>35</v>
      </c>
      <c r="G408" s="14" t="s">
        <v>748</v>
      </c>
      <c r="H408" s="16"/>
      <c r="I408" s="17"/>
      <c r="J408" s="15"/>
      <c r="K408" s="15" t="s">
        <v>25</v>
      </c>
      <c r="L408" s="18" t="n">
        <v>46252</v>
      </c>
      <c r="M408" s="23" t="n">
        <v>46245</v>
      </c>
      <c r="N408" s="24" t="n">
        <v>0</v>
      </c>
      <c r="O408" s="24"/>
      <c r="P408" s="20" t="n">
        <v>54.2</v>
      </c>
      <c r="Q408" s="20" t="n">
        <v>288.2</v>
      </c>
    </row>
    <row r="409" customFormat="false" ht="15.75" hidden="false" customHeight="true" outlineLevel="0" collapsed="false">
      <c r="A409" s="28" t="s">
        <v>967</v>
      </c>
      <c r="B409" s="12" t="s">
        <v>968</v>
      </c>
      <c r="C409" s="13" t="s">
        <v>969</v>
      </c>
      <c r="D409" s="14" t="s">
        <v>67</v>
      </c>
      <c r="E409" s="15" t="s">
        <v>28</v>
      </c>
      <c r="F409" s="15" t="s">
        <v>141</v>
      </c>
      <c r="G409" s="14" t="s">
        <v>50</v>
      </c>
      <c r="H409" s="16"/>
      <c r="I409" s="17"/>
      <c r="J409" s="15"/>
      <c r="K409" s="15" t="s">
        <v>25</v>
      </c>
      <c r="L409" s="18"/>
      <c r="M409" s="23"/>
      <c r="N409" s="24" t="n">
        <v>0</v>
      </c>
      <c r="O409" s="24"/>
      <c r="P409" s="20" t="n">
        <v>19.5</v>
      </c>
      <c r="Q409" s="20" t="n">
        <v>585.1</v>
      </c>
    </row>
    <row r="410" customFormat="false" ht="15.75" hidden="false" customHeight="true" outlineLevel="0" collapsed="false">
      <c r="A410" s="28" t="s">
        <v>970</v>
      </c>
      <c r="B410" s="12" t="s">
        <v>971</v>
      </c>
      <c r="C410" s="13" t="s">
        <v>972</v>
      </c>
      <c r="D410" s="14" t="s">
        <v>185</v>
      </c>
      <c r="E410" s="15" t="s">
        <v>28</v>
      </c>
      <c r="F410" s="15" t="s">
        <v>141</v>
      </c>
      <c r="G410" s="14" t="s">
        <v>50</v>
      </c>
      <c r="H410" s="16"/>
      <c r="I410" s="17"/>
      <c r="J410" s="15"/>
      <c r="K410" s="15" t="s">
        <v>25</v>
      </c>
      <c r="L410" s="18"/>
      <c r="M410" s="23"/>
      <c r="N410" s="24" t="n">
        <v>0</v>
      </c>
      <c r="O410" s="24"/>
      <c r="P410" s="20" t="n">
        <v>26</v>
      </c>
      <c r="Q410" s="20" t="n">
        <v>585.1</v>
      </c>
    </row>
    <row r="411" customFormat="false" ht="30.75" hidden="false" customHeight="true" outlineLevel="0" collapsed="false">
      <c r="A411" s="28" t="s">
        <v>983</v>
      </c>
      <c r="B411" s="12" t="s">
        <v>984</v>
      </c>
      <c r="C411" s="13" t="s">
        <v>985</v>
      </c>
      <c r="D411" s="14" t="s">
        <v>67</v>
      </c>
      <c r="E411" s="15" t="s">
        <v>22</v>
      </c>
      <c r="F411" s="15" t="s">
        <v>35</v>
      </c>
      <c r="G411" s="14" t="s">
        <v>50</v>
      </c>
      <c r="H411" s="16" t="s">
        <v>51</v>
      </c>
      <c r="I411" s="17" t="s">
        <v>36</v>
      </c>
      <c r="J411" s="15"/>
      <c r="K411" s="15" t="s">
        <v>25</v>
      </c>
      <c r="L411" s="18" t="n">
        <v>46259</v>
      </c>
      <c r="M411" s="23" t="n">
        <v>46257</v>
      </c>
      <c r="N411" s="24" t="n">
        <v>0</v>
      </c>
      <c r="O411" s="24"/>
      <c r="P411" s="20"/>
      <c r="Q411" s="20" t="n">
        <v>246.1</v>
      </c>
    </row>
    <row r="412" customFormat="false" ht="46.5" hidden="true" customHeight="true" outlineLevel="0" collapsed="false">
      <c r="A412" s="11" t="s">
        <v>986</v>
      </c>
      <c r="B412" s="12" t="s">
        <v>987</v>
      </c>
      <c r="C412" s="13" t="n">
        <v>1392</v>
      </c>
      <c r="D412" s="14" t="s">
        <v>661</v>
      </c>
      <c r="E412" s="15" t="s">
        <v>22</v>
      </c>
      <c r="F412" s="15" t="s">
        <v>35</v>
      </c>
      <c r="G412" s="14" t="s">
        <v>988</v>
      </c>
      <c r="H412" s="16"/>
      <c r="I412" s="17"/>
      <c r="J412" s="15"/>
      <c r="K412" s="15" t="s">
        <v>25</v>
      </c>
      <c r="L412" s="18" t="n">
        <v>46233</v>
      </c>
      <c r="M412" s="22" t="n">
        <v>46233</v>
      </c>
      <c r="N412" s="20" t="n">
        <v>32</v>
      </c>
      <c r="O412" s="21"/>
      <c r="P412" s="20" t="n">
        <v>31</v>
      </c>
      <c r="Q412" s="20" t="n">
        <v>7.48</v>
      </c>
    </row>
    <row r="413" customFormat="false" ht="15.75" hidden="true" customHeight="true" outlineLevel="0" collapsed="false">
      <c r="A413" s="28" t="s">
        <v>989</v>
      </c>
      <c r="B413" s="12" t="s">
        <v>990</v>
      </c>
      <c r="C413" s="13" t="s">
        <v>991</v>
      </c>
      <c r="D413" s="14" t="s">
        <v>34</v>
      </c>
      <c r="E413" s="15" t="s">
        <v>22</v>
      </c>
      <c r="F413" s="15" t="s">
        <v>35</v>
      </c>
      <c r="G413" s="14" t="s">
        <v>988</v>
      </c>
      <c r="H413" s="16" t="s">
        <v>51</v>
      </c>
      <c r="I413" s="17"/>
      <c r="J413" s="15"/>
      <c r="K413" s="15" t="s">
        <v>25</v>
      </c>
      <c r="L413" s="18" t="n">
        <v>46238</v>
      </c>
      <c r="M413" s="23" t="n">
        <v>46238</v>
      </c>
      <c r="N413" s="20" t="n">
        <v>24</v>
      </c>
      <c r="O413" s="24"/>
      <c r="P413" s="20" t="n">
        <v>29</v>
      </c>
      <c r="Q413" s="20" t="n">
        <v>14.67</v>
      </c>
    </row>
    <row r="414" customFormat="false" ht="15.75" hidden="true" customHeight="true" outlineLevel="0" collapsed="false">
      <c r="A414" s="28" t="s">
        <v>992</v>
      </c>
      <c r="B414" s="12" t="s">
        <v>993</v>
      </c>
      <c r="C414" s="13" t="s">
        <v>994</v>
      </c>
      <c r="D414" s="14" t="s">
        <v>34</v>
      </c>
      <c r="E414" s="15" t="s">
        <v>22</v>
      </c>
      <c r="F414" s="15" t="s">
        <v>35</v>
      </c>
      <c r="G414" s="14" t="s">
        <v>988</v>
      </c>
      <c r="H414" s="16" t="s">
        <v>51</v>
      </c>
      <c r="I414" s="17"/>
      <c r="J414" s="15"/>
      <c r="K414" s="15" t="s">
        <v>25</v>
      </c>
      <c r="L414" s="18" t="n">
        <v>46238</v>
      </c>
      <c r="M414" s="23" t="n">
        <v>46238</v>
      </c>
      <c r="N414" s="20" t="n">
        <v>12</v>
      </c>
      <c r="O414" s="24"/>
      <c r="P414" s="20" t="n">
        <v>16</v>
      </c>
      <c r="Q414" s="20" t="n">
        <v>14.67</v>
      </c>
    </row>
    <row r="415" customFormat="false" ht="30.75" hidden="true" customHeight="true" outlineLevel="0" collapsed="false">
      <c r="A415" s="28" t="s">
        <v>995</v>
      </c>
      <c r="B415" s="12" t="s">
        <v>996</v>
      </c>
      <c r="C415" s="13" t="s">
        <v>997</v>
      </c>
      <c r="D415" s="14" t="s">
        <v>34</v>
      </c>
      <c r="E415" s="15" t="s">
        <v>28</v>
      </c>
      <c r="F415" s="15" t="s">
        <v>35</v>
      </c>
      <c r="G415" s="14" t="s">
        <v>50</v>
      </c>
      <c r="H415" s="16"/>
      <c r="I415" s="17"/>
      <c r="J415" s="15"/>
      <c r="K415" s="15" t="s">
        <v>30</v>
      </c>
      <c r="L415" s="18"/>
      <c r="M415" s="23"/>
      <c r="N415" s="24" t="n">
        <v>0</v>
      </c>
      <c r="O415" s="24"/>
      <c r="P415" s="20"/>
      <c r="Q415" s="20" t="n">
        <v>0</v>
      </c>
    </row>
    <row r="416" customFormat="false" ht="30.75" hidden="true" customHeight="true" outlineLevel="0" collapsed="false">
      <c r="A416" s="11" t="s">
        <v>998</v>
      </c>
      <c r="B416" s="12" t="s">
        <v>999</v>
      </c>
      <c r="C416" s="13" t="n">
        <v>1413</v>
      </c>
      <c r="D416" s="14" t="s">
        <v>67</v>
      </c>
      <c r="E416" s="15" t="s">
        <v>22</v>
      </c>
      <c r="F416" s="15" t="s">
        <v>35</v>
      </c>
      <c r="G416" s="14" t="s">
        <v>988</v>
      </c>
      <c r="H416" s="16"/>
      <c r="I416" s="17"/>
      <c r="J416" s="15"/>
      <c r="K416" s="15" t="s">
        <v>25</v>
      </c>
      <c r="L416" s="18" t="n">
        <v>46238</v>
      </c>
      <c r="M416" s="22" t="n">
        <v>46238</v>
      </c>
      <c r="N416" s="20" t="n">
        <v>6</v>
      </c>
      <c r="O416" s="21"/>
      <c r="P416" s="20" t="n">
        <v>7.5</v>
      </c>
      <c r="Q416" s="20" t="n">
        <v>6.5</v>
      </c>
    </row>
    <row r="417" customFormat="false" ht="30.75" hidden="true" customHeight="true" outlineLevel="0" collapsed="false">
      <c r="A417" s="11" t="s">
        <v>1000</v>
      </c>
      <c r="B417" s="12" t="s">
        <v>1001</v>
      </c>
      <c r="C417" s="13" t="n">
        <v>1414</v>
      </c>
      <c r="D417" s="14" t="s">
        <v>67</v>
      </c>
      <c r="E417" s="15" t="s">
        <v>22</v>
      </c>
      <c r="F417" s="15" t="s">
        <v>35</v>
      </c>
      <c r="G417" s="14" t="s">
        <v>988</v>
      </c>
      <c r="H417" s="16"/>
      <c r="I417" s="17"/>
      <c r="J417" s="15"/>
      <c r="K417" s="15" t="s">
        <v>25</v>
      </c>
      <c r="L417" s="18" t="n">
        <v>46238</v>
      </c>
      <c r="M417" s="22" t="n">
        <v>46238</v>
      </c>
      <c r="N417" s="20" t="n">
        <v>6</v>
      </c>
      <c r="O417" s="21"/>
      <c r="P417" s="20" t="n">
        <v>7.5</v>
      </c>
      <c r="Q417" s="20" t="n">
        <v>6.5</v>
      </c>
    </row>
    <row r="418" customFormat="false" ht="30.75" hidden="true" customHeight="true" outlineLevel="0" collapsed="false">
      <c r="A418" s="11" t="s">
        <v>1002</v>
      </c>
      <c r="B418" s="12" t="s">
        <v>1003</v>
      </c>
      <c r="C418" s="13" t="n">
        <v>1415</v>
      </c>
      <c r="D418" s="14" t="s">
        <v>67</v>
      </c>
      <c r="E418" s="15" t="s">
        <v>22</v>
      </c>
      <c r="F418" s="15" t="s">
        <v>35</v>
      </c>
      <c r="G418" s="14" t="s">
        <v>988</v>
      </c>
      <c r="H418" s="16"/>
      <c r="I418" s="17"/>
      <c r="J418" s="15"/>
      <c r="K418" s="15" t="s">
        <v>30</v>
      </c>
      <c r="L418" s="18" t="n">
        <v>46238</v>
      </c>
      <c r="M418" s="22" t="n">
        <v>46238</v>
      </c>
      <c r="N418" s="20" t="n">
        <v>6</v>
      </c>
      <c r="O418" s="21"/>
      <c r="P418" s="20" t="n">
        <v>6.5</v>
      </c>
      <c r="Q418" s="20" t="n">
        <v>6.5</v>
      </c>
    </row>
    <row r="419" customFormat="false" ht="15.75" hidden="false" customHeight="true" outlineLevel="0" collapsed="false">
      <c r="A419" s="28" t="n">
        <v>33057946</v>
      </c>
      <c r="B419" s="12" t="s">
        <v>1004</v>
      </c>
      <c r="C419" s="13" t="n">
        <v>1416</v>
      </c>
      <c r="D419" s="14" t="s">
        <v>661</v>
      </c>
      <c r="E419" s="15" t="s">
        <v>22</v>
      </c>
      <c r="F419" s="15" t="s">
        <v>35</v>
      </c>
      <c r="G419" s="14" t="s">
        <v>988</v>
      </c>
      <c r="H419" s="16" t="s">
        <v>51</v>
      </c>
      <c r="I419" s="17"/>
      <c r="J419" s="15"/>
      <c r="K419" s="15" t="s">
        <v>25</v>
      </c>
      <c r="L419" s="18" t="n">
        <v>46259</v>
      </c>
      <c r="M419" s="23" t="n">
        <v>46257</v>
      </c>
      <c r="N419" s="24" t="n">
        <v>0</v>
      </c>
      <c r="O419" s="24"/>
      <c r="P419" s="20"/>
      <c r="Q419" s="20" t="n">
        <v>419.1</v>
      </c>
    </row>
    <row r="420" customFormat="false" ht="15.75" hidden="true" customHeight="true" outlineLevel="0" collapsed="false">
      <c r="A420" s="28" t="n">
        <v>33058259</v>
      </c>
      <c r="B420" s="12" t="s">
        <v>1005</v>
      </c>
      <c r="C420" s="13" t="n">
        <v>1417</v>
      </c>
      <c r="D420" s="14" t="s">
        <v>661</v>
      </c>
      <c r="E420" s="15" t="s">
        <v>22</v>
      </c>
      <c r="F420" s="15" t="s">
        <v>35</v>
      </c>
      <c r="G420" s="14" t="s">
        <v>988</v>
      </c>
      <c r="H420" s="16" t="s">
        <v>51</v>
      </c>
      <c r="I420" s="17"/>
      <c r="J420" s="15"/>
      <c r="K420" s="15" t="s">
        <v>37</v>
      </c>
      <c r="L420" s="18" t="n">
        <v>46259</v>
      </c>
      <c r="M420" s="23" t="n">
        <v>46257</v>
      </c>
      <c r="N420" s="24" t="n">
        <v>12</v>
      </c>
      <c r="O420" s="24"/>
      <c r="P420" s="20"/>
      <c r="Q420" s="20" t="n">
        <v>419.1</v>
      </c>
    </row>
    <row r="421" customFormat="false" ht="30.75" hidden="true" customHeight="true" outlineLevel="0" collapsed="false">
      <c r="A421" s="28" t="n">
        <v>33058303</v>
      </c>
      <c r="B421" s="12" t="s">
        <v>1006</v>
      </c>
      <c r="C421" s="13" t="n">
        <v>1418</v>
      </c>
      <c r="D421" s="14" t="s">
        <v>661</v>
      </c>
      <c r="E421" s="15" t="s">
        <v>22</v>
      </c>
      <c r="F421" s="15" t="s">
        <v>35</v>
      </c>
      <c r="G421" s="14" t="s">
        <v>988</v>
      </c>
      <c r="H421" s="16"/>
      <c r="I421" s="17"/>
      <c r="J421" s="15"/>
      <c r="K421" s="15" t="s">
        <v>37</v>
      </c>
      <c r="L421" s="18" t="n">
        <v>46252</v>
      </c>
      <c r="M421" s="23" t="n">
        <v>46248</v>
      </c>
      <c r="N421" s="24" t="n">
        <v>12</v>
      </c>
      <c r="O421" s="24"/>
      <c r="P421" s="20" t="n">
        <v>15</v>
      </c>
      <c r="Q421" s="20" t="n">
        <v>207.1</v>
      </c>
    </row>
    <row r="422" customFormat="false" ht="15.75" hidden="true" customHeight="true" outlineLevel="0" collapsed="false">
      <c r="A422" s="28" t="n">
        <v>33058312</v>
      </c>
      <c r="B422" s="12" t="s">
        <v>1007</v>
      </c>
      <c r="C422" s="13" t="n">
        <v>1419</v>
      </c>
      <c r="D422" s="14" t="s">
        <v>661</v>
      </c>
      <c r="E422" s="15" t="s">
        <v>22</v>
      </c>
      <c r="F422" s="15" t="s">
        <v>35</v>
      </c>
      <c r="G422" s="14" t="s">
        <v>988</v>
      </c>
      <c r="H422" s="16" t="s">
        <v>51</v>
      </c>
      <c r="I422" s="17"/>
      <c r="J422" s="15"/>
      <c r="K422" s="15" t="s">
        <v>37</v>
      </c>
      <c r="L422" s="18" t="n">
        <v>46259</v>
      </c>
      <c r="M422" s="23" t="n">
        <v>46257</v>
      </c>
      <c r="N422" s="24" t="n">
        <v>12</v>
      </c>
      <c r="O422" s="24"/>
      <c r="P422" s="20"/>
      <c r="Q422" s="20" t="n">
        <v>412</v>
      </c>
    </row>
    <row r="423" customFormat="false" ht="30.75" hidden="true" customHeight="true" outlineLevel="0" collapsed="false">
      <c r="A423" s="28" t="n">
        <v>33060679</v>
      </c>
      <c r="B423" s="12" t="s">
        <v>1008</v>
      </c>
      <c r="C423" s="13" t="n">
        <v>1420</v>
      </c>
      <c r="D423" s="14" t="s">
        <v>661</v>
      </c>
      <c r="E423" s="15" t="s">
        <v>22</v>
      </c>
      <c r="F423" s="15" t="s">
        <v>35</v>
      </c>
      <c r="G423" s="14" t="s">
        <v>988</v>
      </c>
      <c r="H423" s="16"/>
      <c r="I423" s="17"/>
      <c r="J423" s="15"/>
      <c r="K423" s="15" t="s">
        <v>37</v>
      </c>
      <c r="L423" s="18" t="n">
        <v>46252</v>
      </c>
      <c r="M423" s="23" t="n">
        <v>46240</v>
      </c>
      <c r="N423" s="24" t="n">
        <v>12</v>
      </c>
      <c r="O423" s="24"/>
      <c r="P423" s="20" t="n">
        <v>19.5</v>
      </c>
      <c r="Q423" s="20" t="n">
        <v>27.6</v>
      </c>
    </row>
    <row r="424" customFormat="false" ht="30.75" hidden="true" customHeight="true" outlineLevel="0" collapsed="false">
      <c r="A424" s="28" t="n">
        <v>33060680</v>
      </c>
      <c r="B424" s="12" t="s">
        <v>1009</v>
      </c>
      <c r="C424" s="13" t="n">
        <v>1421</v>
      </c>
      <c r="D424" s="14" t="s">
        <v>661</v>
      </c>
      <c r="E424" s="15" t="s">
        <v>22</v>
      </c>
      <c r="F424" s="15" t="s">
        <v>35</v>
      </c>
      <c r="G424" s="14" t="s">
        <v>988</v>
      </c>
      <c r="H424" s="16"/>
      <c r="I424" s="17"/>
      <c r="J424" s="15"/>
      <c r="K424" s="15" t="s">
        <v>37</v>
      </c>
      <c r="L424" s="18" t="n">
        <v>46252</v>
      </c>
      <c r="M424" s="23" t="n">
        <v>46244</v>
      </c>
      <c r="N424" s="24" t="n">
        <v>6</v>
      </c>
      <c r="O424" s="24"/>
      <c r="P424" s="20" t="n">
        <v>13</v>
      </c>
      <c r="Q424" s="20" t="n">
        <v>6.5</v>
      </c>
    </row>
    <row r="425" customFormat="false" ht="30.75" hidden="true" customHeight="true" outlineLevel="0" collapsed="false">
      <c r="A425" s="28" t="n">
        <v>33060681</v>
      </c>
      <c r="B425" s="12" t="s">
        <v>1010</v>
      </c>
      <c r="C425" s="13" t="n">
        <v>1422</v>
      </c>
      <c r="D425" s="14" t="s">
        <v>661</v>
      </c>
      <c r="E425" s="15" t="s">
        <v>22</v>
      </c>
      <c r="F425" s="15" t="s">
        <v>35</v>
      </c>
      <c r="G425" s="14" t="s">
        <v>988</v>
      </c>
      <c r="H425" s="16"/>
      <c r="I425" s="17"/>
      <c r="J425" s="15"/>
      <c r="K425" s="15" t="s">
        <v>37</v>
      </c>
      <c r="L425" s="18" t="n">
        <v>46252</v>
      </c>
      <c r="M425" s="23" t="n">
        <v>46240</v>
      </c>
      <c r="N425" s="24" t="n">
        <v>12</v>
      </c>
      <c r="O425" s="24"/>
      <c r="P425" s="20" t="n">
        <v>19.5</v>
      </c>
      <c r="Q425" s="20" t="n">
        <v>21.32</v>
      </c>
    </row>
    <row r="426" customFormat="false" ht="30.75" hidden="false" customHeight="true" outlineLevel="0" collapsed="false">
      <c r="A426" s="28" t="n">
        <v>33062059</v>
      </c>
      <c r="B426" s="12" t="s">
        <v>1011</v>
      </c>
      <c r="C426" s="13" t="n">
        <v>1423</v>
      </c>
      <c r="D426" s="14" t="s">
        <v>49</v>
      </c>
      <c r="E426" s="15" t="s">
        <v>28</v>
      </c>
      <c r="F426" s="15" t="s">
        <v>35</v>
      </c>
      <c r="G426" s="14" t="s">
        <v>167</v>
      </c>
      <c r="H426" s="16"/>
      <c r="I426" s="17"/>
      <c r="J426" s="15"/>
      <c r="K426" s="15" t="s">
        <v>25</v>
      </c>
      <c r="L426" s="18"/>
      <c r="M426" s="23"/>
      <c r="N426" s="24" t="n">
        <v>0</v>
      </c>
      <c r="O426" s="24"/>
      <c r="P426" s="20"/>
      <c r="Q426" s="20" t="n">
        <v>367.7</v>
      </c>
    </row>
    <row r="427" customFormat="false" ht="30.75" hidden="true" customHeight="true" outlineLevel="0" collapsed="false">
      <c r="A427" s="28" t="n">
        <v>33062121</v>
      </c>
      <c r="B427" s="12" t="s">
        <v>1012</v>
      </c>
      <c r="C427" s="13" t="n">
        <v>1424</v>
      </c>
      <c r="D427" s="14" t="s">
        <v>49</v>
      </c>
      <c r="E427" s="15" t="s">
        <v>22</v>
      </c>
      <c r="F427" s="15" t="s">
        <v>35</v>
      </c>
      <c r="G427" s="14" t="s">
        <v>167</v>
      </c>
      <c r="H427" s="16"/>
      <c r="I427" s="17"/>
      <c r="J427" s="15"/>
      <c r="K427" s="15" t="s">
        <v>25</v>
      </c>
      <c r="L427" s="18" t="n">
        <v>46252</v>
      </c>
      <c r="M427" s="23" t="n">
        <v>46243</v>
      </c>
      <c r="N427" s="24" t="n">
        <v>0</v>
      </c>
      <c r="O427" s="24"/>
      <c r="P427" s="20" t="n">
        <v>2</v>
      </c>
      <c r="Q427" s="20" t="n">
        <v>2</v>
      </c>
    </row>
    <row r="428" customFormat="false" ht="30.75" hidden="true" customHeight="true" outlineLevel="0" collapsed="false">
      <c r="A428" s="28" t="n">
        <v>33062156</v>
      </c>
      <c r="B428" s="12" t="s">
        <v>1013</v>
      </c>
      <c r="C428" s="13" t="n">
        <v>1425</v>
      </c>
      <c r="D428" s="14" t="s">
        <v>49</v>
      </c>
      <c r="E428" s="15" t="s">
        <v>22</v>
      </c>
      <c r="F428" s="15" t="s">
        <v>35</v>
      </c>
      <c r="G428" s="14" t="s">
        <v>167</v>
      </c>
      <c r="H428" s="16"/>
      <c r="I428" s="17"/>
      <c r="J428" s="15"/>
      <c r="K428" s="15" t="s">
        <v>25</v>
      </c>
      <c r="L428" s="18" t="n">
        <v>46252</v>
      </c>
      <c r="M428" s="23" t="n">
        <v>46243</v>
      </c>
      <c r="N428" s="24" t="n">
        <v>0</v>
      </c>
      <c r="O428" s="24"/>
      <c r="P428" s="20" t="n">
        <v>5</v>
      </c>
      <c r="Q428" s="20" t="n">
        <v>3</v>
      </c>
    </row>
    <row r="429" customFormat="false" ht="15.75" hidden="true" customHeight="true" outlineLevel="0" collapsed="false">
      <c r="A429" s="28" t="n">
        <v>33062169</v>
      </c>
      <c r="B429" s="12" t="s">
        <v>1014</v>
      </c>
      <c r="C429" s="13" t="n">
        <v>1426</v>
      </c>
      <c r="D429" s="14" t="s">
        <v>49</v>
      </c>
      <c r="E429" s="15" t="s">
        <v>22</v>
      </c>
      <c r="F429" s="15" t="s">
        <v>35</v>
      </c>
      <c r="G429" s="14" t="s">
        <v>167</v>
      </c>
      <c r="H429" s="16"/>
      <c r="I429" s="17"/>
      <c r="J429" s="15"/>
      <c r="K429" s="15" t="s">
        <v>25</v>
      </c>
      <c r="L429" s="18" t="n">
        <v>46252</v>
      </c>
      <c r="M429" s="23" t="n">
        <v>46243</v>
      </c>
      <c r="N429" s="24" t="n">
        <v>0</v>
      </c>
      <c r="O429" s="24"/>
      <c r="P429" s="20" t="n">
        <v>3.5</v>
      </c>
      <c r="Q429" s="20" t="n">
        <v>2.5</v>
      </c>
    </row>
    <row r="430" customFormat="false" ht="30.75" hidden="true" customHeight="true" outlineLevel="0" collapsed="false">
      <c r="A430" s="28" t="n">
        <v>33069516</v>
      </c>
      <c r="B430" s="12" t="s">
        <v>1015</v>
      </c>
      <c r="C430" s="13" t="n">
        <v>1430</v>
      </c>
      <c r="D430" s="14" t="s">
        <v>661</v>
      </c>
      <c r="E430" s="15" t="s">
        <v>22</v>
      </c>
      <c r="F430" s="15" t="s">
        <v>35</v>
      </c>
      <c r="G430" s="14" t="s">
        <v>988</v>
      </c>
      <c r="H430" s="16"/>
      <c r="I430" s="17"/>
      <c r="J430" s="15"/>
      <c r="K430" s="15" t="s">
        <v>30</v>
      </c>
      <c r="L430" s="18" t="n">
        <v>46252</v>
      </c>
      <c r="M430" s="23" t="n">
        <v>46244</v>
      </c>
      <c r="N430" s="24" t="n">
        <v>0</v>
      </c>
      <c r="O430" s="24"/>
      <c r="P430" s="20" t="n">
        <v>15</v>
      </c>
      <c r="Q430" s="20" t="n">
        <v>102.4</v>
      </c>
    </row>
    <row r="431" customFormat="false" ht="15.75" hidden="true" customHeight="true" outlineLevel="0" collapsed="false">
      <c r="A431" s="28" t="n">
        <v>33069524</v>
      </c>
      <c r="B431" s="12" t="s">
        <v>1016</v>
      </c>
      <c r="C431" s="13" t="n">
        <v>1431</v>
      </c>
      <c r="D431" s="14" t="s">
        <v>67</v>
      </c>
      <c r="E431" s="15" t="s">
        <v>22</v>
      </c>
      <c r="F431" s="15" t="s">
        <v>35</v>
      </c>
      <c r="G431" s="14" t="s">
        <v>50</v>
      </c>
      <c r="H431" s="16" t="s">
        <v>51</v>
      </c>
      <c r="I431" s="17"/>
      <c r="J431" s="15"/>
      <c r="K431" s="15" t="s">
        <v>30</v>
      </c>
      <c r="L431" s="18" t="n">
        <v>46259</v>
      </c>
      <c r="M431" s="23" t="n">
        <v>46257</v>
      </c>
      <c r="N431" s="24" t="n">
        <v>0</v>
      </c>
      <c r="O431" s="24"/>
      <c r="P431" s="20"/>
      <c r="Q431" s="20" t="n">
        <v>66.1</v>
      </c>
    </row>
    <row r="432" customFormat="false" ht="30.75" hidden="false" customHeight="true" outlineLevel="0" collapsed="false">
      <c r="A432" s="28" t="n">
        <v>33073741</v>
      </c>
      <c r="B432" s="12" t="s">
        <v>1017</v>
      </c>
      <c r="C432" s="13" t="n">
        <v>1432</v>
      </c>
      <c r="D432" s="14" t="s">
        <v>61</v>
      </c>
      <c r="E432" s="15" t="s">
        <v>22</v>
      </c>
      <c r="F432" s="15" t="s">
        <v>35</v>
      </c>
      <c r="G432" s="14" t="s">
        <v>50</v>
      </c>
      <c r="H432" s="16" t="s">
        <v>51</v>
      </c>
      <c r="I432" s="17"/>
      <c r="J432" s="15"/>
      <c r="K432" s="15" t="s">
        <v>25</v>
      </c>
      <c r="L432" s="18" t="n">
        <v>46259</v>
      </c>
      <c r="M432" s="23" t="n">
        <v>46257</v>
      </c>
      <c r="N432" s="24" t="n">
        <v>2.5</v>
      </c>
      <c r="O432" s="24"/>
      <c r="P432" s="20"/>
      <c r="Q432" s="20" t="n">
        <v>342.6</v>
      </c>
    </row>
    <row r="433" customFormat="false" ht="30.75" hidden="true" customHeight="true" outlineLevel="0" collapsed="false">
      <c r="A433" s="28" t="n">
        <v>33073939</v>
      </c>
      <c r="B433" s="12" t="s">
        <v>1018</v>
      </c>
      <c r="C433" s="13" t="n">
        <v>1433</v>
      </c>
      <c r="D433" s="14" t="s">
        <v>34</v>
      </c>
      <c r="E433" s="15" t="s">
        <v>22</v>
      </c>
      <c r="F433" s="15" t="s">
        <v>35</v>
      </c>
      <c r="G433" s="14" t="s">
        <v>748</v>
      </c>
      <c r="H433" s="16"/>
      <c r="I433" s="17"/>
      <c r="J433" s="15"/>
      <c r="K433" s="15" t="s">
        <v>25</v>
      </c>
      <c r="L433" s="18" t="n">
        <v>46244</v>
      </c>
      <c r="M433" s="23" t="n">
        <v>46244</v>
      </c>
      <c r="N433" s="24" t="n">
        <v>0</v>
      </c>
      <c r="O433" s="24"/>
      <c r="P433" s="20" t="n">
        <v>20.75</v>
      </c>
      <c r="Q433" s="20" t="n">
        <v>11.53</v>
      </c>
    </row>
    <row r="434" customFormat="false" ht="30.75" hidden="true" customHeight="true" outlineLevel="0" collapsed="false">
      <c r="A434" s="11" t="s">
        <v>1019</v>
      </c>
      <c r="B434" s="12" t="s">
        <v>1020</v>
      </c>
      <c r="C434" s="13" t="n">
        <v>1440</v>
      </c>
      <c r="D434" s="14" t="s">
        <v>67</v>
      </c>
      <c r="E434" s="15" t="s">
        <v>22</v>
      </c>
      <c r="F434" s="15" t="s">
        <v>35</v>
      </c>
      <c r="G434" s="14" t="s">
        <v>50</v>
      </c>
      <c r="H434" s="16"/>
      <c r="I434" s="17" t="s">
        <v>746</v>
      </c>
      <c r="J434" s="15"/>
      <c r="K434" s="15" t="s">
        <v>30</v>
      </c>
      <c r="L434" s="18" t="n">
        <v>46259</v>
      </c>
      <c r="M434" s="22" t="n">
        <v>46244</v>
      </c>
      <c r="N434" s="20" t="n">
        <v>0</v>
      </c>
      <c r="O434" s="21"/>
      <c r="P434" s="20" t="n">
        <v>5.67</v>
      </c>
      <c r="Q434" s="20" t="n">
        <v>4.72</v>
      </c>
    </row>
    <row r="435" customFormat="false" ht="30.75" hidden="false" customHeight="true" outlineLevel="0" collapsed="false">
      <c r="A435" s="11" t="s">
        <v>1021</v>
      </c>
      <c r="B435" s="12" t="s">
        <v>649</v>
      </c>
      <c r="C435" s="13" t="n">
        <v>1442</v>
      </c>
      <c r="D435" s="14" t="s">
        <v>49</v>
      </c>
      <c r="E435" s="15" t="s">
        <v>22</v>
      </c>
      <c r="F435" s="15" t="s">
        <v>35</v>
      </c>
      <c r="G435" s="14" t="s">
        <v>50</v>
      </c>
      <c r="H435" s="16"/>
      <c r="I435" s="17"/>
      <c r="J435" s="15"/>
      <c r="K435" s="15" t="s">
        <v>25</v>
      </c>
      <c r="L435" s="18" t="n">
        <v>46259</v>
      </c>
      <c r="M435" s="19" t="n">
        <v>46258</v>
      </c>
      <c r="N435" s="20" t="n">
        <v>1.67</v>
      </c>
      <c r="O435" s="21"/>
      <c r="P435" s="20"/>
      <c r="Q435" s="20" t="n">
        <v>220.5</v>
      </c>
    </row>
    <row r="436" customFormat="false" ht="30.75" hidden="true" customHeight="true" outlineLevel="0" collapsed="false">
      <c r="A436" s="11" t="s">
        <v>1022</v>
      </c>
      <c r="B436" s="12" t="s">
        <v>1023</v>
      </c>
      <c r="C436" s="13" t="n">
        <v>1444</v>
      </c>
      <c r="D436" s="14" t="s">
        <v>34</v>
      </c>
      <c r="E436" s="15" t="s">
        <v>22</v>
      </c>
      <c r="F436" s="15" t="s">
        <v>35</v>
      </c>
      <c r="G436" s="14" t="s">
        <v>167</v>
      </c>
      <c r="H436" s="16"/>
      <c r="I436" s="17"/>
      <c r="J436" s="15"/>
      <c r="K436" s="15" t="s">
        <v>25</v>
      </c>
      <c r="L436" s="18" t="n">
        <v>46245</v>
      </c>
      <c r="M436" s="22" t="n">
        <v>46245</v>
      </c>
      <c r="N436" s="20" t="n">
        <v>0</v>
      </c>
      <c r="O436" s="21"/>
      <c r="P436" s="20" t="n">
        <v>4</v>
      </c>
      <c r="Q436" s="20" t="n">
        <v>2</v>
      </c>
    </row>
    <row r="437" customFormat="false" ht="30.75" hidden="true" customHeight="true" outlineLevel="0" collapsed="false">
      <c r="A437" s="11" t="s">
        <v>1024</v>
      </c>
      <c r="B437" s="12" t="s">
        <v>1025</v>
      </c>
      <c r="C437" s="13" t="n">
        <v>1445</v>
      </c>
      <c r="D437" s="14" t="s">
        <v>49</v>
      </c>
      <c r="E437" s="15" t="s">
        <v>22</v>
      </c>
      <c r="F437" s="15" t="s">
        <v>35</v>
      </c>
      <c r="G437" s="14" t="s">
        <v>50</v>
      </c>
      <c r="H437" s="16"/>
      <c r="I437" s="17"/>
      <c r="J437" s="15"/>
      <c r="K437" s="15" t="s">
        <v>25</v>
      </c>
      <c r="L437" s="18" t="n">
        <v>46251</v>
      </c>
      <c r="M437" s="22" t="n">
        <v>46251</v>
      </c>
      <c r="N437" s="20" t="n">
        <v>0</v>
      </c>
      <c r="O437" s="21"/>
      <c r="P437" s="20" t="n">
        <v>2</v>
      </c>
      <c r="Q437" s="20" t="n">
        <v>2</v>
      </c>
    </row>
    <row r="438" customFormat="false" ht="30.75" hidden="true" customHeight="true" outlineLevel="0" collapsed="false">
      <c r="A438" s="11" t="s">
        <v>1026</v>
      </c>
      <c r="B438" s="12" t="s">
        <v>1027</v>
      </c>
      <c r="C438" s="13" t="n">
        <v>1446</v>
      </c>
      <c r="D438" s="14" t="s">
        <v>49</v>
      </c>
      <c r="E438" s="15" t="s">
        <v>22</v>
      </c>
      <c r="F438" s="15" t="s">
        <v>35</v>
      </c>
      <c r="G438" s="14" t="s">
        <v>50</v>
      </c>
      <c r="H438" s="16"/>
      <c r="I438" s="17"/>
      <c r="J438" s="15"/>
      <c r="K438" s="15" t="s">
        <v>25</v>
      </c>
      <c r="L438" s="18" t="n">
        <v>46256</v>
      </c>
      <c r="M438" s="22" t="n">
        <v>46254</v>
      </c>
      <c r="N438" s="20" t="n">
        <v>0</v>
      </c>
      <c r="O438" s="21"/>
      <c r="P438" s="20" t="n">
        <v>2</v>
      </c>
      <c r="Q438" s="20" t="n">
        <v>2</v>
      </c>
    </row>
    <row r="439" customFormat="false" ht="30.75" hidden="true" customHeight="true" outlineLevel="0" collapsed="false">
      <c r="A439" s="11" t="s">
        <v>1028</v>
      </c>
      <c r="B439" s="12" t="s">
        <v>1029</v>
      </c>
      <c r="C439" s="13" t="n">
        <v>1447</v>
      </c>
      <c r="D439" s="14" t="s">
        <v>49</v>
      </c>
      <c r="E439" s="15" t="s">
        <v>22</v>
      </c>
      <c r="F439" s="15" t="s">
        <v>35</v>
      </c>
      <c r="G439" s="14" t="s">
        <v>167</v>
      </c>
      <c r="H439" s="16"/>
      <c r="I439" s="17"/>
      <c r="J439" s="15"/>
      <c r="K439" s="15" t="s">
        <v>25</v>
      </c>
      <c r="L439" s="18" t="n">
        <v>46252</v>
      </c>
      <c r="M439" s="22" t="n">
        <v>46252</v>
      </c>
      <c r="N439" s="20" t="n">
        <v>0</v>
      </c>
      <c r="O439" s="21"/>
      <c r="P439" s="20" t="n">
        <v>4.83</v>
      </c>
      <c r="Q439" s="20" t="n">
        <v>4</v>
      </c>
    </row>
    <row r="440" customFormat="false" ht="30.75" hidden="true" customHeight="true" outlineLevel="0" collapsed="false">
      <c r="A440" s="11" t="s">
        <v>1030</v>
      </c>
      <c r="B440" s="12" t="s">
        <v>1031</v>
      </c>
      <c r="C440" s="13" t="n">
        <v>1448</v>
      </c>
      <c r="D440" s="14" t="s">
        <v>49</v>
      </c>
      <c r="E440" s="15" t="s">
        <v>22</v>
      </c>
      <c r="F440" s="15" t="s">
        <v>35</v>
      </c>
      <c r="G440" s="14" t="s">
        <v>50</v>
      </c>
      <c r="H440" s="16"/>
      <c r="I440" s="17"/>
      <c r="J440" s="15"/>
      <c r="K440" s="15" t="s">
        <v>25</v>
      </c>
      <c r="L440" s="18" t="n">
        <v>46256</v>
      </c>
      <c r="M440" s="22" t="n">
        <v>46254</v>
      </c>
      <c r="N440" s="20" t="n">
        <v>0</v>
      </c>
      <c r="O440" s="21"/>
      <c r="P440" s="20" t="n">
        <v>2</v>
      </c>
      <c r="Q440" s="20" t="n">
        <v>2</v>
      </c>
    </row>
    <row r="441" customFormat="false" ht="30.75" hidden="true" customHeight="true" outlineLevel="0" collapsed="false">
      <c r="A441" s="11" t="s">
        <v>1032</v>
      </c>
      <c r="B441" s="12" t="s">
        <v>1033</v>
      </c>
      <c r="C441" s="13" t="n">
        <v>1449</v>
      </c>
      <c r="D441" s="14" t="s">
        <v>49</v>
      </c>
      <c r="E441" s="15" t="s">
        <v>22</v>
      </c>
      <c r="F441" s="15" t="s">
        <v>35</v>
      </c>
      <c r="G441" s="14" t="s">
        <v>50</v>
      </c>
      <c r="H441" s="16"/>
      <c r="I441" s="17"/>
      <c r="J441" s="15"/>
      <c r="K441" s="15" t="s">
        <v>25</v>
      </c>
      <c r="L441" s="18" t="n">
        <v>46256</v>
      </c>
      <c r="M441" s="22" t="n">
        <v>46254</v>
      </c>
      <c r="N441" s="20" t="n">
        <v>0</v>
      </c>
      <c r="O441" s="21"/>
      <c r="P441" s="20" t="n">
        <v>2</v>
      </c>
      <c r="Q441" s="20" t="n">
        <v>2</v>
      </c>
    </row>
    <row r="442" customFormat="false" ht="30.75" hidden="true" customHeight="true" outlineLevel="0" collapsed="false">
      <c r="A442" s="11" t="s">
        <v>1034</v>
      </c>
      <c r="B442" s="12" t="s">
        <v>1035</v>
      </c>
      <c r="C442" s="13" t="n">
        <v>1450</v>
      </c>
      <c r="D442" s="14" t="s">
        <v>49</v>
      </c>
      <c r="E442" s="15" t="s">
        <v>22</v>
      </c>
      <c r="F442" s="15" t="s">
        <v>35</v>
      </c>
      <c r="G442" s="14" t="s">
        <v>50</v>
      </c>
      <c r="H442" s="16"/>
      <c r="I442" s="17"/>
      <c r="J442" s="15"/>
      <c r="K442" s="15" t="s">
        <v>25</v>
      </c>
      <c r="L442" s="18" t="n">
        <v>46256</v>
      </c>
      <c r="M442" s="22" t="n">
        <v>46254</v>
      </c>
      <c r="N442" s="20" t="n">
        <v>0</v>
      </c>
      <c r="O442" s="21"/>
      <c r="P442" s="20" t="n">
        <v>1</v>
      </c>
      <c r="Q442" s="20" t="n">
        <v>1</v>
      </c>
    </row>
    <row r="443" customFormat="false" ht="62.25" hidden="false" customHeight="true" outlineLevel="0" collapsed="false">
      <c r="A443" s="11" t="s">
        <v>1036</v>
      </c>
      <c r="B443" s="12" t="s">
        <v>1037</v>
      </c>
      <c r="C443" s="13" t="n">
        <v>1451</v>
      </c>
      <c r="D443" s="14" t="s">
        <v>49</v>
      </c>
      <c r="E443" s="15" t="s">
        <v>28</v>
      </c>
      <c r="F443" s="15" t="s">
        <v>35</v>
      </c>
      <c r="G443" s="14" t="s">
        <v>167</v>
      </c>
      <c r="H443" s="16" t="s">
        <v>51</v>
      </c>
      <c r="I443" s="17"/>
      <c r="J443" s="15"/>
      <c r="K443" s="15" t="s">
        <v>25</v>
      </c>
      <c r="L443" s="18"/>
      <c r="M443" s="22"/>
      <c r="N443" s="20" t="n">
        <v>4</v>
      </c>
      <c r="O443" s="21"/>
      <c r="P443" s="20"/>
      <c r="Q443" s="20" t="n">
        <v>0</v>
      </c>
    </row>
    <row r="444" customFormat="false" ht="30.75" hidden="true" customHeight="true" outlineLevel="0" collapsed="false">
      <c r="A444" s="11" t="s">
        <v>1038</v>
      </c>
      <c r="B444" s="12" t="s">
        <v>1039</v>
      </c>
      <c r="C444" s="13" t="n">
        <v>1452</v>
      </c>
      <c r="D444" s="14" t="s">
        <v>49</v>
      </c>
      <c r="E444" s="15" t="s">
        <v>22</v>
      </c>
      <c r="F444" s="15" t="s">
        <v>35</v>
      </c>
      <c r="G444" s="14" t="s">
        <v>50</v>
      </c>
      <c r="H444" s="16"/>
      <c r="I444" s="17"/>
      <c r="J444" s="15"/>
      <c r="K444" s="15" t="s">
        <v>25</v>
      </c>
      <c r="L444" s="18" t="n">
        <v>46256</v>
      </c>
      <c r="M444" s="22" t="n">
        <v>46254</v>
      </c>
      <c r="N444" s="20" t="n">
        <v>0</v>
      </c>
      <c r="O444" s="21"/>
      <c r="P444" s="20" t="n">
        <v>1.5</v>
      </c>
      <c r="Q444" s="20" t="n">
        <v>1.5</v>
      </c>
    </row>
    <row r="445" customFormat="false" ht="30.75" hidden="true" customHeight="true" outlineLevel="0" collapsed="false">
      <c r="A445" s="11" t="s">
        <v>1040</v>
      </c>
      <c r="B445" s="12" t="s">
        <v>1041</v>
      </c>
      <c r="C445" s="13" t="n">
        <v>1453</v>
      </c>
      <c r="D445" s="14" t="s">
        <v>61</v>
      </c>
      <c r="E445" s="15" t="s">
        <v>22</v>
      </c>
      <c r="F445" s="15" t="s">
        <v>35</v>
      </c>
      <c r="G445" s="14" t="s">
        <v>167</v>
      </c>
      <c r="H445" s="16"/>
      <c r="I445" s="17"/>
      <c r="J445" s="15"/>
      <c r="K445" s="15" t="s">
        <v>24</v>
      </c>
      <c r="L445" s="18" t="n">
        <v>46251</v>
      </c>
      <c r="M445" s="22" t="n">
        <v>46251</v>
      </c>
      <c r="N445" s="20" t="n">
        <v>0</v>
      </c>
      <c r="O445" s="21"/>
      <c r="P445" s="20" t="n">
        <v>50.8</v>
      </c>
      <c r="Q445" s="20" t="n">
        <v>151.4</v>
      </c>
    </row>
    <row r="446" customFormat="false" ht="30.75" hidden="true" customHeight="true" outlineLevel="0" collapsed="false">
      <c r="A446" s="11" t="s">
        <v>1042</v>
      </c>
      <c r="B446" s="12" t="s">
        <v>1043</v>
      </c>
      <c r="C446" s="13" t="n">
        <v>1460</v>
      </c>
      <c r="D446" s="14" t="s">
        <v>49</v>
      </c>
      <c r="E446" s="15" t="s">
        <v>22</v>
      </c>
      <c r="F446" s="15" t="s">
        <v>35</v>
      </c>
      <c r="G446" s="14" t="s">
        <v>50</v>
      </c>
      <c r="H446" s="16"/>
      <c r="I446" s="17"/>
      <c r="J446" s="15"/>
      <c r="K446" s="15" t="s">
        <v>25</v>
      </c>
      <c r="L446" s="18" t="n">
        <v>46256</v>
      </c>
      <c r="M446" s="22" t="n">
        <v>46254</v>
      </c>
      <c r="N446" s="20" t="n">
        <v>0</v>
      </c>
      <c r="O446" s="21"/>
      <c r="P446" s="20" t="n">
        <v>2</v>
      </c>
      <c r="Q446" s="20" t="n">
        <v>2</v>
      </c>
    </row>
    <row r="447" customFormat="false" ht="30.75" hidden="true" customHeight="true" outlineLevel="0" collapsed="false">
      <c r="A447" s="11" t="s">
        <v>1044</v>
      </c>
      <c r="B447" s="12" t="s">
        <v>1045</v>
      </c>
      <c r="C447" s="13" t="n">
        <v>1467</v>
      </c>
      <c r="D447" s="14" t="s">
        <v>49</v>
      </c>
      <c r="E447" s="15" t="s">
        <v>22</v>
      </c>
      <c r="F447" s="15" t="s">
        <v>35</v>
      </c>
      <c r="G447" s="14" t="s">
        <v>50</v>
      </c>
      <c r="H447" s="16"/>
      <c r="I447" s="17"/>
      <c r="J447" s="15"/>
      <c r="K447" s="15" t="s">
        <v>25</v>
      </c>
      <c r="L447" s="18" t="n">
        <v>46256</v>
      </c>
      <c r="M447" s="22" t="n">
        <v>46254</v>
      </c>
      <c r="N447" s="20" t="n">
        <v>0</v>
      </c>
      <c r="O447" s="21"/>
      <c r="P447" s="20" t="n">
        <v>2</v>
      </c>
      <c r="Q447" s="20" t="n">
        <v>2</v>
      </c>
    </row>
    <row r="448" customFormat="false" ht="30.75" hidden="true" customHeight="true" outlineLevel="0" collapsed="false">
      <c r="A448" s="11" t="s">
        <v>1046</v>
      </c>
      <c r="B448" s="12" t="s">
        <v>1047</v>
      </c>
      <c r="C448" s="13" t="n">
        <v>1469</v>
      </c>
      <c r="D448" s="14" t="s">
        <v>49</v>
      </c>
      <c r="E448" s="15" t="s">
        <v>22</v>
      </c>
      <c r="F448" s="15" t="s">
        <v>35</v>
      </c>
      <c r="G448" s="14" t="s">
        <v>167</v>
      </c>
      <c r="H448" s="16"/>
      <c r="I448" s="17"/>
      <c r="J448" s="15"/>
      <c r="K448" s="15" t="s">
        <v>25</v>
      </c>
      <c r="L448" s="18" t="n">
        <v>46252</v>
      </c>
      <c r="M448" s="22" t="n">
        <v>46252</v>
      </c>
      <c r="N448" s="20" t="n">
        <v>8</v>
      </c>
      <c r="O448" s="21"/>
      <c r="P448" s="20" t="n">
        <v>11</v>
      </c>
      <c r="Q448" s="20" t="n">
        <v>91.2</v>
      </c>
    </row>
    <row r="449" customFormat="false" ht="30.75" hidden="true" customHeight="true" outlineLevel="0" collapsed="false">
      <c r="A449" s="11" t="s">
        <v>1048</v>
      </c>
      <c r="B449" s="12" t="s">
        <v>1049</v>
      </c>
      <c r="C449" s="13" t="n">
        <v>1471</v>
      </c>
      <c r="D449" s="14" t="s">
        <v>96</v>
      </c>
      <c r="E449" s="15" t="s">
        <v>22</v>
      </c>
      <c r="F449" s="15" t="s">
        <v>35</v>
      </c>
      <c r="G449" s="14" t="s">
        <v>167</v>
      </c>
      <c r="H449" s="16"/>
      <c r="I449" s="17"/>
      <c r="J449" s="15"/>
      <c r="K449" s="15" t="s">
        <v>24</v>
      </c>
      <c r="L449" s="18" t="n">
        <v>46248</v>
      </c>
      <c r="M449" s="22" t="n">
        <v>46248</v>
      </c>
      <c r="N449" s="20" t="n">
        <v>12</v>
      </c>
      <c r="O449" s="21"/>
      <c r="P449" s="20" t="n">
        <v>18.5</v>
      </c>
      <c r="Q449" s="20" t="n">
        <v>8.32</v>
      </c>
    </row>
    <row r="450" customFormat="false" ht="30.75" hidden="true" customHeight="true" outlineLevel="0" collapsed="false">
      <c r="A450" s="11" t="s">
        <v>1050</v>
      </c>
      <c r="B450" s="12" t="s">
        <v>1051</v>
      </c>
      <c r="C450" s="13" t="n">
        <v>1473</v>
      </c>
      <c r="D450" s="14" t="s">
        <v>72</v>
      </c>
      <c r="E450" s="15" t="s">
        <v>22</v>
      </c>
      <c r="F450" s="15" t="s">
        <v>35</v>
      </c>
      <c r="G450" s="14" t="s">
        <v>988</v>
      </c>
      <c r="H450" s="16"/>
      <c r="I450" s="17"/>
      <c r="J450" s="15"/>
      <c r="K450" s="15" t="s">
        <v>30</v>
      </c>
      <c r="L450" s="18" t="n">
        <v>46248</v>
      </c>
      <c r="M450" s="22" t="n">
        <v>46248</v>
      </c>
      <c r="N450" s="20" t="n">
        <v>0</v>
      </c>
      <c r="O450" s="21"/>
      <c r="P450" s="20" t="n">
        <v>15</v>
      </c>
      <c r="Q450" s="20" t="n">
        <v>50.4</v>
      </c>
    </row>
    <row r="451" customFormat="false" ht="30.75" hidden="true" customHeight="true" outlineLevel="0" collapsed="false">
      <c r="A451" s="11" t="s">
        <v>1052</v>
      </c>
      <c r="B451" s="12" t="s">
        <v>1053</v>
      </c>
      <c r="C451" s="13" t="n">
        <v>1474</v>
      </c>
      <c r="D451" s="14" t="s">
        <v>72</v>
      </c>
      <c r="E451" s="15" t="s">
        <v>22</v>
      </c>
      <c r="F451" s="15" t="s">
        <v>35</v>
      </c>
      <c r="G451" s="14" t="s">
        <v>988</v>
      </c>
      <c r="H451" s="16"/>
      <c r="I451" s="17"/>
      <c r="J451" s="15"/>
      <c r="K451" s="15" t="s">
        <v>30</v>
      </c>
      <c r="L451" s="18" t="n">
        <v>46248</v>
      </c>
      <c r="M451" s="22" t="n">
        <v>46248</v>
      </c>
      <c r="N451" s="20" t="n">
        <v>0</v>
      </c>
      <c r="O451" s="21"/>
      <c r="P451" s="20" t="n">
        <v>14</v>
      </c>
      <c r="Q451" s="20" t="n">
        <v>50.2</v>
      </c>
    </row>
    <row r="452" customFormat="false" ht="30.75" hidden="true" customHeight="true" outlineLevel="0" collapsed="false">
      <c r="A452" s="11" t="s">
        <v>1054</v>
      </c>
      <c r="B452" s="12" t="s">
        <v>1055</v>
      </c>
      <c r="C452" s="13" t="n">
        <v>1480</v>
      </c>
      <c r="D452" s="14" t="s">
        <v>72</v>
      </c>
      <c r="E452" s="15" t="s">
        <v>22</v>
      </c>
      <c r="F452" s="15" t="s">
        <v>35</v>
      </c>
      <c r="G452" s="14" t="s">
        <v>167</v>
      </c>
      <c r="H452" s="16"/>
      <c r="I452" s="17"/>
      <c r="J452" s="15"/>
      <c r="K452" s="15" t="s">
        <v>25</v>
      </c>
      <c r="L452" s="18" t="n">
        <v>46256</v>
      </c>
      <c r="M452" s="22" t="n">
        <v>46254</v>
      </c>
      <c r="N452" s="20" t="n">
        <v>6</v>
      </c>
      <c r="O452" s="21"/>
      <c r="P452" s="20" t="n">
        <v>6</v>
      </c>
      <c r="Q452" s="20" t="n">
        <v>4</v>
      </c>
    </row>
    <row r="453" customFormat="false" ht="30.75" hidden="true" customHeight="true" outlineLevel="0" collapsed="false">
      <c r="A453" s="11" t="s">
        <v>1056</v>
      </c>
      <c r="B453" s="12" t="s">
        <v>1057</v>
      </c>
      <c r="C453" s="13" t="n">
        <v>1485</v>
      </c>
      <c r="D453" s="14" t="s">
        <v>72</v>
      </c>
      <c r="E453" s="15" t="s">
        <v>22</v>
      </c>
      <c r="F453" s="15" t="s">
        <v>35</v>
      </c>
      <c r="G453" s="14" t="s">
        <v>988</v>
      </c>
      <c r="H453" s="16"/>
      <c r="I453" s="17"/>
      <c r="J453" s="15"/>
      <c r="K453" s="15" t="s">
        <v>30</v>
      </c>
      <c r="L453" s="18" t="n">
        <v>46251</v>
      </c>
      <c r="M453" s="22" t="n">
        <v>46251</v>
      </c>
      <c r="N453" s="20" t="n">
        <v>12</v>
      </c>
      <c r="O453" s="21"/>
      <c r="P453" s="20" t="n">
        <v>19.5</v>
      </c>
      <c r="Q453" s="20" t="n">
        <v>27.9</v>
      </c>
    </row>
    <row r="454" customFormat="false" ht="30.75" hidden="true" customHeight="true" outlineLevel="0" collapsed="false">
      <c r="A454" s="11" t="s">
        <v>1058</v>
      </c>
      <c r="B454" s="12" t="s">
        <v>1059</v>
      </c>
      <c r="C454" s="13" t="n">
        <v>1486</v>
      </c>
      <c r="D454" s="14" t="s">
        <v>661</v>
      </c>
      <c r="E454" s="15" t="s">
        <v>22</v>
      </c>
      <c r="F454" s="15" t="s">
        <v>35</v>
      </c>
      <c r="G454" s="14" t="s">
        <v>988</v>
      </c>
      <c r="H454" s="16"/>
      <c r="I454" s="17"/>
      <c r="J454" s="15"/>
      <c r="K454" s="15" t="s">
        <v>25</v>
      </c>
      <c r="L454" s="18" t="n">
        <v>46251</v>
      </c>
      <c r="M454" s="22" t="n">
        <v>46251</v>
      </c>
      <c r="N454" s="20" t="n">
        <v>6</v>
      </c>
      <c r="O454" s="21"/>
      <c r="P454" s="20" t="n">
        <v>13</v>
      </c>
      <c r="Q454" s="20" t="n">
        <v>14.82</v>
      </c>
    </row>
    <row r="455" customFormat="false" ht="46.5" hidden="true" customHeight="true" outlineLevel="0" collapsed="false">
      <c r="A455" s="11" t="s">
        <v>1060</v>
      </c>
      <c r="B455" s="12" t="s">
        <v>1061</v>
      </c>
      <c r="C455" s="13" t="n">
        <v>1488</v>
      </c>
      <c r="D455" s="14" t="s">
        <v>49</v>
      </c>
      <c r="E455" s="15" t="s">
        <v>22</v>
      </c>
      <c r="F455" s="15" t="s">
        <v>35</v>
      </c>
      <c r="G455" s="14" t="s">
        <v>167</v>
      </c>
      <c r="H455" s="16"/>
      <c r="I455" s="17"/>
      <c r="J455" s="15"/>
      <c r="K455" s="15" t="s">
        <v>25</v>
      </c>
      <c r="L455" s="18" t="n">
        <v>46251</v>
      </c>
      <c r="M455" s="22" t="n">
        <v>46251</v>
      </c>
      <c r="N455" s="20" t="n">
        <v>4</v>
      </c>
      <c r="O455" s="21"/>
      <c r="P455" s="20" t="n">
        <v>2</v>
      </c>
      <c r="Q455" s="20" t="n">
        <v>1</v>
      </c>
    </row>
    <row r="456" customFormat="false" ht="15" hidden="true" customHeight="true" outlineLevel="0" collapsed="false">
      <c r="A456" s="11" t="s">
        <v>1062</v>
      </c>
      <c r="B456" s="12" t="s">
        <v>1063</v>
      </c>
      <c r="C456" s="13" t="n">
        <v>1490</v>
      </c>
      <c r="D456" s="14" t="s">
        <v>661</v>
      </c>
      <c r="E456" s="15" t="s">
        <v>22</v>
      </c>
      <c r="F456" s="15" t="s">
        <v>35</v>
      </c>
      <c r="G456" s="14" t="s">
        <v>988</v>
      </c>
      <c r="H456" s="16" t="s">
        <v>51</v>
      </c>
      <c r="I456" s="17"/>
      <c r="J456" s="15"/>
      <c r="K456" s="15" t="s">
        <v>30</v>
      </c>
      <c r="L456" s="18" t="n">
        <v>46259</v>
      </c>
      <c r="M456" s="19" t="n">
        <v>46257</v>
      </c>
      <c r="N456" s="20" t="n">
        <v>8</v>
      </c>
      <c r="O456" s="21"/>
      <c r="P456" s="20"/>
      <c r="Q456" s="20" t="n">
        <v>131.1</v>
      </c>
    </row>
    <row r="457" customFormat="false" ht="30.75" hidden="true" customHeight="true" outlineLevel="0" collapsed="false">
      <c r="A457" s="11" t="s">
        <v>1064</v>
      </c>
      <c r="B457" s="12" t="s">
        <v>1065</v>
      </c>
      <c r="C457" s="13" t="n">
        <v>1491</v>
      </c>
      <c r="D457" s="14" t="s">
        <v>661</v>
      </c>
      <c r="E457" s="15" t="s">
        <v>22</v>
      </c>
      <c r="F457" s="15" t="s">
        <v>35</v>
      </c>
      <c r="G457" s="14" t="s">
        <v>988</v>
      </c>
      <c r="H457" s="16"/>
      <c r="I457" s="17"/>
      <c r="J457" s="15"/>
      <c r="K457" s="15" t="s">
        <v>25</v>
      </c>
      <c r="L457" s="18" t="n">
        <v>46251</v>
      </c>
      <c r="M457" s="22" t="n">
        <v>46251</v>
      </c>
      <c r="N457" s="20" t="n">
        <v>8</v>
      </c>
      <c r="O457" s="21"/>
      <c r="P457" s="20" t="n">
        <v>15</v>
      </c>
      <c r="Q457" s="20" t="n">
        <v>14.78</v>
      </c>
    </row>
    <row r="458" customFormat="false" ht="30.75" hidden="false" customHeight="true" outlineLevel="0" collapsed="false">
      <c r="A458" s="11" t="s">
        <v>1066</v>
      </c>
      <c r="B458" s="12" t="s">
        <v>1067</v>
      </c>
      <c r="C458" s="13" t="n">
        <v>1492</v>
      </c>
      <c r="D458" s="14" t="s">
        <v>34</v>
      </c>
      <c r="E458" s="15" t="s">
        <v>22</v>
      </c>
      <c r="F458" s="15" t="s">
        <v>35</v>
      </c>
      <c r="G458" s="14" t="s">
        <v>50</v>
      </c>
      <c r="H458" s="16" t="s">
        <v>51</v>
      </c>
      <c r="I458" s="17"/>
      <c r="J458" s="15"/>
      <c r="K458" s="15" t="s">
        <v>24</v>
      </c>
      <c r="L458" s="18" t="n">
        <v>46259</v>
      </c>
      <c r="M458" s="19" t="n">
        <v>46258</v>
      </c>
      <c r="N458" s="20" t="n">
        <v>0</v>
      </c>
      <c r="O458" s="21"/>
      <c r="P458" s="20"/>
      <c r="Q458" s="20" t="n">
        <v>0</v>
      </c>
    </row>
    <row r="459" customFormat="false" ht="30.75" hidden="true" customHeight="true" outlineLevel="0" collapsed="false">
      <c r="A459" s="11" t="s">
        <v>1068</v>
      </c>
      <c r="B459" s="12" t="s">
        <v>1069</v>
      </c>
      <c r="C459" s="13" t="n">
        <v>1493</v>
      </c>
      <c r="D459" s="14" t="s">
        <v>185</v>
      </c>
      <c r="E459" s="15" t="s">
        <v>22</v>
      </c>
      <c r="F459" s="15" t="s">
        <v>35</v>
      </c>
      <c r="G459" s="14" t="s">
        <v>186</v>
      </c>
      <c r="H459" s="16"/>
      <c r="I459" s="17"/>
      <c r="J459" s="15"/>
      <c r="K459" s="15"/>
      <c r="L459" s="18" t="n">
        <v>46256</v>
      </c>
      <c r="M459" s="22" t="n">
        <v>46253</v>
      </c>
      <c r="N459" s="20" t="n">
        <v>2</v>
      </c>
      <c r="O459" s="21"/>
      <c r="P459" s="20" t="n">
        <v>2</v>
      </c>
      <c r="Q459" s="20" t="n">
        <v>2</v>
      </c>
    </row>
    <row r="460" customFormat="false" ht="30.75" hidden="false" customHeight="true" outlineLevel="0" collapsed="false">
      <c r="A460" s="11" t="s">
        <v>1070</v>
      </c>
      <c r="B460" s="12" t="s">
        <v>1071</v>
      </c>
      <c r="C460" s="13" t="n">
        <v>1494</v>
      </c>
      <c r="D460" s="14" t="s">
        <v>61</v>
      </c>
      <c r="E460" s="15" t="s">
        <v>28</v>
      </c>
      <c r="F460" s="15" t="s">
        <v>35</v>
      </c>
      <c r="G460" s="14" t="s">
        <v>50</v>
      </c>
      <c r="H460" s="16" t="s">
        <v>51</v>
      </c>
      <c r="I460" s="17"/>
      <c r="J460" s="15"/>
      <c r="K460" s="15" t="s">
        <v>25</v>
      </c>
      <c r="L460" s="18"/>
      <c r="M460" s="22"/>
      <c r="N460" s="20" t="n">
        <v>0</v>
      </c>
      <c r="O460" s="21"/>
      <c r="P460" s="20"/>
      <c r="Q460" s="20" t="n">
        <v>0</v>
      </c>
    </row>
    <row r="461" customFormat="false" ht="30.75" hidden="false" customHeight="true" outlineLevel="0" collapsed="false">
      <c r="A461" s="11" t="s">
        <v>1072</v>
      </c>
      <c r="B461" s="12" t="s">
        <v>1073</v>
      </c>
      <c r="C461" s="13" t="n">
        <v>1495</v>
      </c>
      <c r="D461" s="14" t="s">
        <v>61</v>
      </c>
      <c r="E461" s="15" t="s">
        <v>28</v>
      </c>
      <c r="F461" s="15" t="s">
        <v>35</v>
      </c>
      <c r="G461" s="14" t="s">
        <v>50</v>
      </c>
      <c r="H461" s="16"/>
      <c r="I461" s="17"/>
      <c r="J461" s="15"/>
      <c r="K461" s="15" t="s">
        <v>25</v>
      </c>
      <c r="L461" s="18"/>
      <c r="M461" s="22"/>
      <c r="N461" s="20" t="n">
        <v>0</v>
      </c>
      <c r="O461" s="21"/>
      <c r="P461" s="20"/>
      <c r="Q461" s="20" t="n">
        <v>0</v>
      </c>
    </row>
    <row r="462" customFormat="false" ht="30.75" hidden="true" customHeight="true" outlineLevel="0" collapsed="false">
      <c r="A462" s="11" t="s">
        <v>1074</v>
      </c>
      <c r="B462" s="12" t="s">
        <v>1075</v>
      </c>
      <c r="C462" s="13" t="n">
        <v>1496</v>
      </c>
      <c r="D462" s="14" t="s">
        <v>61</v>
      </c>
      <c r="E462" s="15" t="s">
        <v>28</v>
      </c>
      <c r="F462" s="15" t="s">
        <v>35</v>
      </c>
      <c r="G462" s="14" t="s">
        <v>50</v>
      </c>
      <c r="H462" s="16"/>
      <c r="I462" s="17"/>
      <c r="J462" s="15"/>
      <c r="K462" s="15" t="s">
        <v>30</v>
      </c>
      <c r="L462" s="18"/>
      <c r="M462" s="22"/>
      <c r="N462" s="20" t="n">
        <v>0</v>
      </c>
      <c r="O462" s="21"/>
      <c r="P462" s="20"/>
      <c r="Q462" s="20" t="n">
        <v>0</v>
      </c>
    </row>
    <row r="463" customFormat="false" ht="30.75" hidden="true" customHeight="true" outlineLevel="0" collapsed="false">
      <c r="A463" s="11" t="s">
        <v>1076</v>
      </c>
      <c r="B463" s="12" t="s">
        <v>1077</v>
      </c>
      <c r="C463" s="13" t="n">
        <v>1499</v>
      </c>
      <c r="D463" s="14" t="s">
        <v>661</v>
      </c>
      <c r="E463" s="15" t="s">
        <v>22</v>
      </c>
      <c r="F463" s="15" t="s">
        <v>35</v>
      </c>
      <c r="G463" s="14" t="s">
        <v>988</v>
      </c>
      <c r="H463" s="16" t="s">
        <v>51</v>
      </c>
      <c r="I463" s="17"/>
      <c r="J463" s="15"/>
      <c r="K463" s="15" t="s">
        <v>30</v>
      </c>
      <c r="L463" s="18" t="n">
        <v>46256</v>
      </c>
      <c r="M463" s="22" t="n">
        <v>46253</v>
      </c>
      <c r="N463" s="20" t="n">
        <v>13</v>
      </c>
      <c r="O463" s="21"/>
      <c r="P463" s="20" t="n">
        <v>13</v>
      </c>
      <c r="Q463" s="20" t="n">
        <v>6.5</v>
      </c>
    </row>
    <row r="464" customFormat="false" ht="30.75" hidden="true" customHeight="true" outlineLevel="0" collapsed="false">
      <c r="A464" s="11" t="s">
        <v>1078</v>
      </c>
      <c r="B464" s="12" t="s">
        <v>1079</v>
      </c>
      <c r="C464" s="13" t="n">
        <v>1500</v>
      </c>
      <c r="D464" s="14" t="s">
        <v>661</v>
      </c>
      <c r="E464" s="15" t="s">
        <v>22</v>
      </c>
      <c r="F464" s="15" t="s">
        <v>35</v>
      </c>
      <c r="G464" s="14" t="s">
        <v>988</v>
      </c>
      <c r="H464" s="16" t="s">
        <v>51</v>
      </c>
      <c r="I464" s="17"/>
      <c r="J464" s="15"/>
      <c r="K464" s="15" t="s">
        <v>30</v>
      </c>
      <c r="L464" s="18" t="n">
        <v>46256</v>
      </c>
      <c r="M464" s="22" t="n">
        <v>46253</v>
      </c>
      <c r="N464" s="20" t="n">
        <v>13</v>
      </c>
      <c r="O464" s="21"/>
      <c r="P464" s="20" t="n">
        <v>13</v>
      </c>
      <c r="Q464" s="20" t="n">
        <v>6.55</v>
      </c>
    </row>
    <row r="465" customFormat="false" ht="30.75" hidden="true" customHeight="true" outlineLevel="0" collapsed="false">
      <c r="A465" s="11" t="s">
        <v>1080</v>
      </c>
      <c r="B465" s="12" t="s">
        <v>1081</v>
      </c>
      <c r="C465" s="13" t="n">
        <v>1510</v>
      </c>
      <c r="D465" s="14" t="s">
        <v>34</v>
      </c>
      <c r="E465" s="15" t="s">
        <v>28</v>
      </c>
      <c r="F465" s="15" t="s">
        <v>35</v>
      </c>
      <c r="G465" s="14" t="s">
        <v>50</v>
      </c>
      <c r="H465" s="16" t="s">
        <v>51</v>
      </c>
      <c r="I465" s="17"/>
      <c r="K465" s="15" t="s">
        <v>30</v>
      </c>
      <c r="L465" s="18"/>
      <c r="N465" s="1" t="n">
        <v>0</v>
      </c>
      <c r="Q465" s="1" t="n">
        <v>0</v>
      </c>
    </row>
    <row r="466" customFormat="false" ht="15" hidden="true" customHeight="true" outlineLevel="0" collapsed="false"/>
    <row r="467" customFormat="false" ht="15" hidden="true" customHeight="true" outlineLevel="0" collapsed="false"/>
    <row r="468" customFormat="false" ht="15" hidden="true" customHeight="true" outlineLevel="0" collapsed="false"/>
    <row r="469" customFormat="false" ht="15" hidden="true" customHeight="true" outlineLevel="0" collapsed="false"/>
    <row r="470" customFormat="false" ht="15" hidden="true" customHeight="true" outlineLevel="0" collapsed="false"/>
    <row r="471" customFormat="false" ht="15" hidden="true" customHeight="true" outlineLevel="0" collapsed="false"/>
    <row r="472" customFormat="false" ht="15" hidden="true" customHeight="true" outlineLevel="0" collapsed="false"/>
    <row r="473" customFormat="false" ht="15" hidden="true" customHeight="true" outlineLevel="0" collapsed="false"/>
    <row r="474" customFormat="false" ht="15" hidden="true" customHeight="true" outlineLevel="0" collapsed="false"/>
    <row r="475" customFormat="false" ht="15" hidden="true" customHeight="true" outlineLevel="0" collapsed="false"/>
    <row r="476" customFormat="false" ht="15" hidden="true" customHeight="true" outlineLevel="0" collapsed="false"/>
    <row r="477" customFormat="false" ht="15" hidden="true" customHeight="true" outlineLevel="0" collapsed="false"/>
    <row r="478" customFormat="false" ht="15" hidden="true" customHeight="true" outlineLevel="0" collapsed="false"/>
    <row r="479" customFormat="false" ht="15" hidden="true" customHeight="true" outlineLevel="0" collapsed="false"/>
    <row r="480" customFormat="false" ht="15" hidden="true" customHeight="true" outlineLevel="0" collapsed="false"/>
    <row r="481" customFormat="false" ht="15" hidden="true" customHeight="true" outlineLevel="0" collapsed="false"/>
    <row r="482" customFormat="false" ht="15" hidden="true" customHeight="true" outlineLevel="0" collapsed="false"/>
    <row r="483" customFormat="false" ht="15" hidden="true" customHeight="true" outlineLevel="0" collapsed="false"/>
    <row r="484" customFormat="false" ht="15" hidden="true" customHeight="true" outlineLevel="0" collapsed="false"/>
    <row r="485" customFormat="false" ht="15" hidden="true" customHeight="true" outlineLevel="0" collapsed="false"/>
    <row r="486" customFormat="false" ht="15" hidden="true" customHeight="true" outlineLevel="0" collapsed="false"/>
    <row r="487" customFormat="false" ht="15" hidden="true" customHeight="true" outlineLevel="0" collapsed="false"/>
    <row r="488" customFormat="false" ht="15" hidden="true" customHeight="true" outlineLevel="0" collapsed="false"/>
    <row r="489" customFormat="false" ht="15" hidden="true" customHeight="true" outlineLevel="0" collapsed="false"/>
    <row r="490" customFormat="false" ht="15" hidden="true" customHeight="true" outlineLevel="0" collapsed="false"/>
    <row r="491" customFormat="false" ht="15" hidden="true" customHeight="true" outlineLevel="0" collapsed="false"/>
    <row r="492" customFormat="false" ht="15" hidden="true" customHeight="true" outlineLevel="0" collapsed="false"/>
    <row r="493" customFormat="false" ht="15" hidden="true" customHeight="true" outlineLevel="0" collapsed="false"/>
    <row r="494" customFormat="false" ht="15" hidden="true" customHeight="true" outlineLevel="0" collapsed="false"/>
    <row r="495" customFormat="false" ht="15" hidden="true" customHeight="true" outlineLevel="0" collapsed="false"/>
    <row r="496" customFormat="false" ht="15" hidden="true" customHeight="true" outlineLevel="0" collapsed="false"/>
    <row r="497" customFormat="false" ht="15" hidden="true" customHeight="true" outlineLevel="0" collapsed="false"/>
    <row r="498" customFormat="false" ht="15" hidden="true" customHeight="true" outlineLevel="0" collapsed="false"/>
    <row r="499" customFormat="false" ht="15" hidden="true" customHeight="true" outlineLevel="0" collapsed="false"/>
    <row r="500" customFormat="false" ht="15" hidden="true" customHeight="true" outlineLevel="0" collapsed="false"/>
    <row r="501" customFormat="false" ht="15" hidden="true" customHeight="true" outlineLevel="0" collapsed="false"/>
    <row r="502" customFormat="false" ht="15" hidden="true" customHeight="true" outlineLevel="0" collapsed="false"/>
    <row r="503" customFormat="false" ht="15" hidden="true" customHeight="true" outlineLevel="0" collapsed="false"/>
    <row r="504" customFormat="false" ht="15" hidden="true" customHeight="true" outlineLevel="0" collapsed="false"/>
    <row r="505" customFormat="false" ht="15" hidden="true" customHeight="true" outlineLevel="0" collapsed="false"/>
    <row r="506" customFormat="false" ht="15" hidden="true" customHeight="true" outlineLevel="0" collapsed="false"/>
    <row r="507" customFormat="false" ht="15" hidden="true" customHeight="true" outlineLevel="0" collapsed="false"/>
    <row r="508" customFormat="false" ht="15" hidden="true" customHeight="true" outlineLevel="0" collapsed="false"/>
    <row r="509" customFormat="false" ht="15" hidden="true" customHeight="true" outlineLevel="0" collapsed="false"/>
    <row r="510" customFormat="false" ht="15" hidden="true" customHeight="true" outlineLevel="0" collapsed="false"/>
    <row r="511" customFormat="false" ht="15" hidden="true" customHeight="true" outlineLevel="0" collapsed="false"/>
    <row r="512" customFormat="false" ht="15" hidden="true" customHeight="true" outlineLevel="0" collapsed="false"/>
    <row r="513" customFormat="false" ht="15" hidden="true" customHeight="true" outlineLevel="0" collapsed="false"/>
    <row r="514" customFormat="false" ht="15" hidden="true" customHeight="true" outlineLevel="0" collapsed="false"/>
    <row r="515" customFormat="false" ht="15" hidden="true" customHeight="true" outlineLevel="0" collapsed="false"/>
    <row r="516" customFormat="false" ht="15" hidden="true" customHeight="true" outlineLevel="0" collapsed="false"/>
    <row r="517" customFormat="false" ht="15" hidden="true" customHeight="true" outlineLevel="0" collapsed="false"/>
    <row r="518" customFormat="false" ht="15" hidden="true" customHeight="true" outlineLevel="0" collapsed="false"/>
    <row r="519" customFormat="false" ht="15" hidden="true" customHeight="true" outlineLevel="0" collapsed="false"/>
    <row r="520" customFormat="false" ht="15" hidden="true" customHeight="true" outlineLevel="0" collapsed="false"/>
    <row r="521" customFormat="false" ht="15" hidden="true" customHeight="true" outlineLevel="0" collapsed="false"/>
    <row r="522" customFormat="false" ht="15" hidden="true" customHeight="true" outlineLevel="0" collapsed="false"/>
    <row r="523" customFormat="false" ht="15" hidden="true" customHeight="true" outlineLevel="0" collapsed="false"/>
    <row r="524" customFormat="false" ht="15" hidden="true" customHeight="true" outlineLevel="0" collapsed="false"/>
    <row r="525" customFormat="false" ht="15" hidden="true" customHeight="true" outlineLevel="0" collapsed="false"/>
    <row r="526" customFormat="false" ht="15" hidden="true" customHeight="true" outlineLevel="0" collapsed="false"/>
    <row r="527" customFormat="false" ht="15" hidden="true" customHeight="true" outlineLevel="0" collapsed="false"/>
    <row r="528" customFormat="false" ht="15" hidden="true" customHeight="true" outlineLevel="0" collapsed="false"/>
    <row r="529" customFormat="false" ht="15" hidden="true" customHeight="true" outlineLevel="0" collapsed="false"/>
    <row r="530" customFormat="false" ht="15" hidden="true" customHeight="true" outlineLevel="0" collapsed="false"/>
    <row r="531" customFormat="false" ht="15" hidden="true" customHeight="true" outlineLevel="0" collapsed="false"/>
    <row r="532" customFormat="false" ht="15" hidden="true" customHeight="true" outlineLevel="0" collapsed="false"/>
    <row r="533" customFormat="false" ht="15" hidden="true" customHeight="true" outlineLevel="0" collapsed="false"/>
    <row r="534" customFormat="false" ht="15" hidden="true" customHeight="true" outlineLevel="0" collapsed="false"/>
    <row r="535" customFormat="false" ht="15" hidden="true" customHeight="true" outlineLevel="0" collapsed="false"/>
    <row r="536" customFormat="false" ht="15" hidden="true" customHeight="true" outlineLevel="0" collapsed="false"/>
    <row r="537" customFormat="false" ht="15" hidden="true" customHeight="true" outlineLevel="0" collapsed="false"/>
    <row r="538" customFormat="false" ht="15" hidden="true" customHeight="true" outlineLevel="0" collapsed="false"/>
    <row r="539" customFormat="false" ht="15" hidden="true" customHeight="true" outlineLevel="0" collapsed="false"/>
    <row r="540" customFormat="false" ht="15" hidden="true" customHeight="true" outlineLevel="0" collapsed="false"/>
    <row r="541" customFormat="false" ht="15" hidden="true" customHeight="true" outlineLevel="0" collapsed="false"/>
    <row r="542" customFormat="false" ht="15" hidden="true" customHeight="true" outlineLevel="0" collapsed="false"/>
    <row r="543" customFormat="false" ht="15" hidden="true" customHeight="true" outlineLevel="0" collapsed="false"/>
    <row r="544" customFormat="false" ht="15" hidden="true" customHeight="true" outlineLevel="0" collapsed="false"/>
    <row r="545" customFormat="false" ht="15" hidden="true" customHeight="true" outlineLevel="0" collapsed="false"/>
    <row r="546" customFormat="false" ht="15" hidden="true" customHeight="true" outlineLevel="0" collapsed="false"/>
    <row r="547" customFormat="false" ht="15" hidden="true" customHeight="true" outlineLevel="0" collapsed="false"/>
    <row r="548" customFormat="false" ht="15" hidden="true" customHeight="true" outlineLevel="0" collapsed="false"/>
    <row r="549" customFormat="false" ht="15" hidden="true" customHeight="true" outlineLevel="0" collapsed="false"/>
    <row r="550" customFormat="false" ht="15" hidden="true" customHeight="true" outlineLevel="0" collapsed="false"/>
    <row r="551" customFormat="false" ht="15" hidden="true" customHeight="true" outlineLevel="0" collapsed="false"/>
    <row r="552" customFormat="false" ht="15" hidden="true" customHeight="true" outlineLevel="0" collapsed="false"/>
    <row r="553" customFormat="false" ht="15" hidden="true" customHeight="true" outlineLevel="0" collapsed="false"/>
    <row r="554" customFormat="false" ht="15" hidden="true" customHeight="true" outlineLevel="0" collapsed="false"/>
    <row r="555" customFormat="false" ht="15" hidden="true" customHeight="true" outlineLevel="0" collapsed="false"/>
    <row r="556" customFormat="false" ht="15" hidden="true" customHeight="true" outlineLevel="0" collapsed="false"/>
    <row r="557" customFormat="false" ht="15" hidden="true" customHeight="true" outlineLevel="0" collapsed="false"/>
    <row r="558" customFormat="false" ht="15" hidden="true" customHeight="true" outlineLevel="0" collapsed="false"/>
    <row r="559" customFormat="false" ht="15" hidden="true" customHeight="true" outlineLevel="0" collapsed="false"/>
    <row r="560" customFormat="false" ht="15" hidden="true" customHeight="true" outlineLevel="0" collapsed="false"/>
    <row r="561" customFormat="false" ht="15" hidden="true" customHeight="true" outlineLevel="0" collapsed="false"/>
    <row r="562" customFormat="false" ht="15" hidden="true" customHeight="true" outlineLevel="0" collapsed="false"/>
    <row r="563" customFormat="false" ht="15" hidden="true" customHeight="true" outlineLevel="0" collapsed="false"/>
    <row r="564" customFormat="false" ht="15" hidden="true" customHeight="true" outlineLevel="0" collapsed="false"/>
    <row r="565" customFormat="false" ht="15" hidden="true" customHeight="true" outlineLevel="0" collapsed="false"/>
    <row r="566" customFormat="false" ht="15" hidden="true" customHeight="true" outlineLevel="0" collapsed="false"/>
    <row r="567" customFormat="false" ht="15" hidden="true" customHeight="true" outlineLevel="0" collapsed="false"/>
    <row r="568" customFormat="false" ht="15" hidden="true" customHeight="true" outlineLevel="0" collapsed="false"/>
    <row r="569" customFormat="false" ht="15" hidden="true" customHeight="true" outlineLevel="0" collapsed="false"/>
    <row r="570" customFormat="false" ht="15" hidden="true" customHeight="true" outlineLevel="0" collapsed="false"/>
    <row r="571" customFormat="false" ht="15" hidden="true" customHeight="true" outlineLevel="0" collapsed="false"/>
    <row r="572" customFormat="false" ht="15" hidden="true" customHeight="true" outlineLevel="0" collapsed="false"/>
    <row r="573" customFormat="false" ht="15" hidden="true" customHeight="true" outlineLevel="0" collapsed="false"/>
    <row r="574" customFormat="false" ht="15" hidden="true" customHeight="true" outlineLevel="0" collapsed="false"/>
    <row r="575" customFormat="false" ht="15" hidden="true" customHeight="true" outlineLevel="0" collapsed="false"/>
    <row r="576" customFormat="false" ht="15" hidden="true" customHeight="true" outlineLevel="0" collapsed="false"/>
    <row r="577" customFormat="false" ht="15" hidden="true" customHeight="true" outlineLevel="0" collapsed="false"/>
    <row r="578" customFormat="false" ht="15" hidden="true" customHeight="true" outlineLevel="0" collapsed="false"/>
    <row r="579" customFormat="false" ht="15" hidden="true" customHeight="true" outlineLevel="0" collapsed="false"/>
    <row r="580" customFormat="false" ht="15" hidden="true" customHeight="true" outlineLevel="0" collapsed="false"/>
    <row r="581" customFormat="false" ht="15" hidden="true" customHeight="true" outlineLevel="0" collapsed="false"/>
    <row r="582" customFormat="false" ht="15" hidden="true" customHeight="true" outlineLevel="0" collapsed="false"/>
    <row r="583" customFormat="false" ht="15" hidden="true" customHeight="true" outlineLevel="0" collapsed="false"/>
    <row r="584" customFormat="false" ht="15" hidden="true" customHeight="true" outlineLevel="0" collapsed="false"/>
    <row r="585" customFormat="false" ht="15" hidden="true" customHeight="true" outlineLevel="0" collapsed="false"/>
    <row r="586" customFormat="false" ht="15" hidden="true" customHeight="true" outlineLevel="0" collapsed="false"/>
    <row r="587" customFormat="false" ht="15" hidden="true" customHeight="true" outlineLevel="0" collapsed="false"/>
    <row r="588" customFormat="false" ht="15" hidden="true" customHeight="true" outlineLevel="0" collapsed="false"/>
    <row r="589" customFormat="false" ht="15" hidden="true" customHeight="true" outlineLevel="0" collapsed="false"/>
    <row r="590" customFormat="false" ht="15" hidden="true" customHeight="true" outlineLevel="0" collapsed="false"/>
    <row r="591" customFormat="false" ht="15" hidden="true" customHeight="true" outlineLevel="0" collapsed="false"/>
    <row r="592" customFormat="false" ht="15" hidden="true" customHeight="true" outlineLevel="0" collapsed="false"/>
    <row r="593" customFormat="false" ht="15" hidden="true" customHeight="true" outlineLevel="0" collapsed="false"/>
    <row r="594" customFormat="false" ht="15" hidden="true" customHeight="true" outlineLevel="0" collapsed="false"/>
    <row r="595" customFormat="false" ht="15" hidden="true" customHeight="true" outlineLevel="0" collapsed="false"/>
    <row r="596" customFormat="false" ht="15" hidden="true" customHeight="true" outlineLevel="0" collapsed="false"/>
    <row r="597" customFormat="false" ht="15" hidden="true" customHeight="true" outlineLevel="0" collapsed="false"/>
    <row r="598" customFormat="false" ht="15" hidden="true" customHeight="true" outlineLevel="0" collapsed="false"/>
    <row r="599" customFormat="false" ht="15" hidden="true" customHeight="true" outlineLevel="0" collapsed="false"/>
    <row r="600" customFormat="false" ht="15" hidden="true" customHeight="true" outlineLevel="0" collapsed="false"/>
    <row r="601" customFormat="false" ht="15" hidden="true" customHeight="true" outlineLevel="0" collapsed="false"/>
    <row r="602" customFormat="false" ht="15" hidden="true" customHeight="true" outlineLevel="0" collapsed="false"/>
    <row r="603" customFormat="false" ht="15" hidden="true" customHeight="true" outlineLevel="0" collapsed="false"/>
    <row r="604" customFormat="false" ht="15" hidden="true" customHeight="true" outlineLevel="0" collapsed="false"/>
    <row r="605" customFormat="false" ht="15" hidden="true" customHeight="true" outlineLevel="0" collapsed="false"/>
    <row r="606" customFormat="false" ht="15" hidden="true" customHeight="true" outlineLevel="0" collapsed="false"/>
    <row r="607" customFormat="false" ht="15" hidden="true" customHeight="true" outlineLevel="0" collapsed="false"/>
    <row r="608" customFormat="false" ht="15" hidden="true" customHeight="true" outlineLevel="0" collapsed="false"/>
    <row r="609" customFormat="false" ht="15" hidden="true" customHeight="true" outlineLevel="0" collapsed="false"/>
    <row r="610" customFormat="false" ht="15" hidden="true" customHeight="true" outlineLevel="0" collapsed="false"/>
    <row r="611" customFormat="false" ht="15" hidden="true" customHeight="true" outlineLevel="0" collapsed="false"/>
    <row r="612" customFormat="false" ht="15" hidden="true" customHeight="true" outlineLevel="0" collapsed="false"/>
    <row r="613" customFormat="false" ht="15" hidden="true" customHeight="true" outlineLevel="0" collapsed="false"/>
    <row r="614" customFormat="false" ht="15" hidden="true" customHeight="true" outlineLevel="0" collapsed="false"/>
    <row r="615" customFormat="false" ht="15" hidden="true" customHeight="true" outlineLevel="0" collapsed="false"/>
    <row r="616" customFormat="false" ht="15" hidden="true" customHeight="true" outlineLevel="0" collapsed="false"/>
    <row r="617" customFormat="false" ht="15" hidden="true" customHeight="true" outlineLevel="0" collapsed="false"/>
    <row r="618" customFormat="false" ht="15" hidden="true" customHeight="true" outlineLevel="0" collapsed="false"/>
    <row r="619" customFormat="false" ht="15" hidden="true" customHeight="true" outlineLevel="0" collapsed="false"/>
    <row r="620" customFormat="false" ht="15" hidden="true" customHeight="true" outlineLevel="0" collapsed="false"/>
    <row r="621" customFormat="false" ht="15" hidden="true" customHeight="true" outlineLevel="0" collapsed="false"/>
    <row r="622" customFormat="false" ht="15" hidden="true" customHeight="true" outlineLevel="0" collapsed="false"/>
    <row r="623" customFormat="false" ht="15" hidden="true" customHeight="true" outlineLevel="0" collapsed="false"/>
    <row r="624" customFormat="false" ht="15" hidden="true" customHeight="true" outlineLevel="0" collapsed="false"/>
    <row r="625" customFormat="false" ht="15" hidden="true" customHeight="true" outlineLevel="0" collapsed="false"/>
    <row r="626" customFormat="false" ht="15" hidden="true" customHeight="true" outlineLevel="0" collapsed="false"/>
    <row r="627" customFormat="false" ht="15" hidden="true" customHeight="true" outlineLevel="0" collapsed="false"/>
    <row r="628" customFormat="false" ht="15" hidden="true" customHeight="true" outlineLevel="0" collapsed="false"/>
    <row r="629" customFormat="false" ht="15" hidden="true" customHeight="true" outlineLevel="0" collapsed="false"/>
    <row r="630" customFormat="false" ht="15" hidden="true" customHeight="true" outlineLevel="0" collapsed="false"/>
    <row r="631" customFormat="false" ht="15" hidden="true" customHeight="true" outlineLevel="0" collapsed="false"/>
    <row r="632" customFormat="false" ht="15" hidden="true" customHeight="true" outlineLevel="0" collapsed="false"/>
    <row r="633" customFormat="false" ht="15" hidden="true" customHeight="true" outlineLevel="0" collapsed="false"/>
    <row r="634" customFormat="false" ht="15" hidden="true" customHeight="true" outlineLevel="0" collapsed="false"/>
    <row r="635" customFormat="false" ht="15" hidden="true" customHeight="true" outlineLevel="0" collapsed="false"/>
    <row r="636" customFormat="false" ht="15" hidden="true" customHeight="true" outlineLevel="0" collapsed="false"/>
    <row r="637" customFormat="false" ht="15" hidden="true" customHeight="true" outlineLevel="0" collapsed="false"/>
    <row r="638" customFormat="false" ht="15" hidden="true" customHeight="true" outlineLevel="0" collapsed="false"/>
    <row r="639" customFormat="false" ht="15" hidden="true" customHeight="true" outlineLevel="0" collapsed="false"/>
    <row r="640" customFormat="false" ht="15" hidden="true" customHeight="true" outlineLevel="0" collapsed="false"/>
    <row r="641" customFormat="false" ht="15" hidden="true" customHeight="true" outlineLevel="0" collapsed="false"/>
    <row r="642" customFormat="false" ht="15" hidden="true" customHeight="true" outlineLevel="0" collapsed="false"/>
    <row r="643" customFormat="false" ht="15" hidden="true" customHeight="true" outlineLevel="0" collapsed="false"/>
    <row r="644" customFormat="false" ht="15" hidden="true" customHeight="true" outlineLevel="0" collapsed="false"/>
    <row r="645" customFormat="false" ht="15" hidden="true" customHeight="true" outlineLevel="0" collapsed="false"/>
    <row r="646" customFormat="false" ht="15" hidden="true" customHeight="true" outlineLevel="0" collapsed="false"/>
    <row r="647" customFormat="false" ht="15" hidden="true" customHeight="true" outlineLevel="0" collapsed="false"/>
    <row r="648" customFormat="false" ht="15" hidden="true" customHeight="true" outlineLevel="0" collapsed="false"/>
    <row r="649" customFormat="false" ht="15" hidden="true" customHeight="true" outlineLevel="0" collapsed="false"/>
    <row r="650" customFormat="false" ht="15" hidden="true" customHeight="true" outlineLevel="0" collapsed="false"/>
    <row r="651" customFormat="false" ht="15" hidden="true" customHeight="true" outlineLevel="0" collapsed="false"/>
    <row r="652" customFormat="false" ht="15" hidden="true" customHeight="true" outlineLevel="0" collapsed="false"/>
    <row r="653" customFormat="false" ht="15" hidden="true" customHeight="true" outlineLevel="0" collapsed="false"/>
    <row r="654" customFormat="false" ht="15" hidden="true" customHeight="true" outlineLevel="0" collapsed="false"/>
    <row r="655" customFormat="false" ht="15" hidden="true" customHeight="true" outlineLevel="0" collapsed="false"/>
    <row r="656" customFormat="false" ht="15" hidden="true" customHeight="true" outlineLevel="0" collapsed="false"/>
    <row r="657" customFormat="false" ht="15" hidden="true" customHeight="true" outlineLevel="0" collapsed="false"/>
    <row r="658" customFormat="false" ht="15" hidden="true" customHeight="true" outlineLevel="0" collapsed="false"/>
    <row r="659" customFormat="false" ht="15" hidden="true" customHeight="true" outlineLevel="0" collapsed="false"/>
    <row r="660" customFormat="false" ht="15" hidden="true" customHeight="true" outlineLevel="0" collapsed="false"/>
    <row r="661" customFormat="false" ht="15" hidden="true" customHeight="true" outlineLevel="0" collapsed="false"/>
    <row r="662" customFormat="false" ht="15" hidden="true" customHeight="true" outlineLevel="0" collapsed="false"/>
    <row r="663" customFormat="false" ht="15" hidden="true" customHeight="true" outlineLevel="0" collapsed="false"/>
    <row r="664" customFormat="false" ht="15" hidden="true" customHeight="true" outlineLevel="0" collapsed="false"/>
    <row r="665" customFormat="false" ht="15" hidden="true" customHeight="true" outlineLevel="0" collapsed="false"/>
    <row r="666" customFormat="false" ht="15" hidden="true" customHeight="true" outlineLevel="0" collapsed="false"/>
    <row r="667" customFormat="false" ht="15" hidden="true" customHeight="true" outlineLevel="0" collapsed="false"/>
    <row r="668" customFormat="false" ht="15" hidden="true" customHeight="true" outlineLevel="0" collapsed="false"/>
    <row r="669" customFormat="false" ht="15" hidden="true" customHeight="true" outlineLevel="0" collapsed="false"/>
    <row r="670" customFormat="false" ht="15" hidden="true" customHeight="true" outlineLevel="0" collapsed="false"/>
    <row r="671" customFormat="false" ht="15" hidden="true" customHeight="true" outlineLevel="0" collapsed="false"/>
    <row r="672" customFormat="false" ht="15" hidden="true" customHeight="true" outlineLevel="0" collapsed="false"/>
    <row r="673" customFormat="false" ht="15" hidden="true" customHeight="true" outlineLevel="0" collapsed="false"/>
    <row r="674" customFormat="false" ht="15" hidden="true" customHeight="true" outlineLevel="0" collapsed="false"/>
    <row r="675" customFormat="false" ht="15" hidden="true" customHeight="true" outlineLevel="0" collapsed="false"/>
    <row r="676" customFormat="false" ht="15" hidden="true" customHeight="true" outlineLevel="0" collapsed="false"/>
    <row r="677" customFormat="false" ht="15" hidden="true" customHeight="true" outlineLevel="0" collapsed="false"/>
    <row r="678" customFormat="false" ht="15" hidden="true" customHeight="true" outlineLevel="0" collapsed="false"/>
    <row r="679" customFormat="false" ht="15" hidden="true" customHeight="true" outlineLevel="0" collapsed="false"/>
    <row r="680" customFormat="false" ht="15" hidden="true" customHeight="true" outlineLevel="0" collapsed="false"/>
    <row r="681" customFormat="false" ht="15" hidden="true" customHeight="true" outlineLevel="0" collapsed="false"/>
    <row r="682" customFormat="false" ht="15" hidden="true" customHeight="true" outlineLevel="0" collapsed="false"/>
    <row r="683" customFormat="false" ht="15" hidden="true" customHeight="true" outlineLevel="0" collapsed="false"/>
    <row r="684" customFormat="false" ht="15" hidden="true" customHeight="true" outlineLevel="0" collapsed="false"/>
    <row r="685" customFormat="false" ht="15" hidden="true" customHeight="true" outlineLevel="0" collapsed="false"/>
    <row r="686" customFormat="false" ht="15" hidden="true" customHeight="true" outlineLevel="0" collapsed="false"/>
    <row r="687" customFormat="false" ht="15" hidden="true" customHeight="true" outlineLevel="0" collapsed="false"/>
    <row r="688" customFormat="false" ht="15" hidden="true" customHeight="true" outlineLevel="0" collapsed="false"/>
    <row r="689" customFormat="false" ht="15" hidden="true" customHeight="true" outlineLevel="0" collapsed="false"/>
    <row r="690" customFormat="false" ht="15" hidden="true" customHeight="true" outlineLevel="0" collapsed="false"/>
    <row r="691" customFormat="false" ht="15" hidden="true" customHeight="true" outlineLevel="0" collapsed="false"/>
    <row r="692" customFormat="false" ht="15" hidden="true" customHeight="true" outlineLevel="0" collapsed="false"/>
    <row r="693" customFormat="false" ht="15" hidden="true" customHeight="true" outlineLevel="0" collapsed="false"/>
    <row r="694" customFormat="false" ht="15" hidden="true" customHeight="true" outlineLevel="0" collapsed="false"/>
    <row r="695" customFormat="false" ht="15" hidden="true" customHeight="true" outlineLevel="0" collapsed="false"/>
    <row r="696" customFormat="false" ht="15" hidden="true" customHeight="true" outlineLevel="0" collapsed="false"/>
    <row r="697" customFormat="false" ht="15" hidden="true" customHeight="true" outlineLevel="0" collapsed="false"/>
    <row r="698" customFormat="false" ht="15" hidden="true" customHeight="true" outlineLevel="0" collapsed="false"/>
    <row r="699" customFormat="false" ht="15" hidden="true" customHeight="true" outlineLevel="0" collapsed="false"/>
    <row r="700" customFormat="false" ht="15" hidden="true" customHeight="true" outlineLevel="0" collapsed="false"/>
    <row r="701" customFormat="false" ht="15" hidden="true" customHeight="true" outlineLevel="0" collapsed="false"/>
    <row r="702" customFormat="false" ht="15" hidden="true" customHeight="true" outlineLevel="0" collapsed="false"/>
    <row r="703" customFormat="false" ht="15" hidden="true" customHeight="true" outlineLevel="0" collapsed="false"/>
    <row r="704" customFormat="false" ht="15" hidden="true" customHeight="true" outlineLevel="0" collapsed="false"/>
    <row r="705" customFormat="false" ht="15" hidden="true" customHeight="true" outlineLevel="0" collapsed="false"/>
    <row r="706" customFormat="false" ht="15" hidden="true" customHeight="true" outlineLevel="0" collapsed="false"/>
    <row r="707" customFormat="false" ht="15" hidden="true" customHeight="true" outlineLevel="0" collapsed="false"/>
    <row r="708" customFormat="false" ht="15" hidden="true" customHeight="true" outlineLevel="0" collapsed="false"/>
    <row r="709" customFormat="false" ht="15" hidden="true" customHeight="true" outlineLevel="0" collapsed="false"/>
    <row r="710" customFormat="false" ht="15" hidden="true" customHeight="true" outlineLevel="0" collapsed="false"/>
    <row r="711" customFormat="false" ht="15" hidden="true" customHeight="true" outlineLevel="0" collapsed="false"/>
    <row r="712" customFormat="false" ht="15" hidden="true" customHeight="true" outlineLevel="0" collapsed="false"/>
    <row r="713" customFormat="false" ht="15" hidden="true" customHeight="true" outlineLevel="0" collapsed="false"/>
    <row r="714" customFormat="false" ht="15" hidden="true" customHeight="true" outlineLevel="0" collapsed="false"/>
    <row r="715" customFormat="false" ht="15" hidden="true" customHeight="true" outlineLevel="0" collapsed="false"/>
    <row r="716" customFormat="false" ht="15" hidden="true" customHeight="true" outlineLevel="0" collapsed="false"/>
    <row r="717" customFormat="false" ht="15" hidden="true" customHeight="true" outlineLevel="0" collapsed="false"/>
    <row r="718" customFormat="false" ht="15" hidden="true" customHeight="true" outlineLevel="0" collapsed="false"/>
    <row r="719" customFormat="false" ht="15" hidden="true" customHeight="true" outlineLevel="0" collapsed="false"/>
    <row r="720" customFormat="false" ht="15" hidden="true" customHeight="true" outlineLevel="0" collapsed="false"/>
    <row r="721" customFormat="false" ht="15" hidden="true" customHeight="true" outlineLevel="0" collapsed="false"/>
    <row r="722" customFormat="false" ht="15" hidden="true" customHeight="true" outlineLevel="0" collapsed="false"/>
    <row r="723" customFormat="false" ht="15" hidden="true" customHeight="true" outlineLevel="0" collapsed="false"/>
    <row r="724" customFormat="false" ht="15" hidden="true" customHeight="true" outlineLevel="0" collapsed="false"/>
    <row r="725" customFormat="false" ht="15" hidden="true" customHeight="true" outlineLevel="0" collapsed="false"/>
    <row r="726" customFormat="false" ht="15" hidden="true" customHeight="true" outlineLevel="0" collapsed="false"/>
    <row r="727" customFormat="false" ht="15" hidden="true" customHeight="true" outlineLevel="0" collapsed="false"/>
    <row r="728" customFormat="false" ht="15" hidden="true" customHeight="true" outlineLevel="0" collapsed="false"/>
    <row r="729" customFormat="false" ht="15" hidden="true" customHeight="true" outlineLevel="0" collapsed="false"/>
    <row r="730" customFormat="false" ht="15" hidden="true" customHeight="true" outlineLevel="0" collapsed="false"/>
    <row r="731" customFormat="false" ht="15" hidden="true" customHeight="true" outlineLevel="0" collapsed="false"/>
    <row r="732" customFormat="false" ht="15" hidden="true" customHeight="true" outlineLevel="0" collapsed="false"/>
    <row r="733" customFormat="false" ht="15" hidden="true" customHeight="true" outlineLevel="0" collapsed="false"/>
    <row r="734" customFormat="false" ht="15" hidden="true" customHeight="true" outlineLevel="0" collapsed="false"/>
    <row r="735" customFormat="false" ht="15" hidden="true" customHeight="true" outlineLevel="0" collapsed="false"/>
    <row r="736" customFormat="false" ht="15" hidden="true" customHeight="true" outlineLevel="0" collapsed="false"/>
    <row r="737" customFormat="false" ht="15" hidden="true" customHeight="true" outlineLevel="0" collapsed="false"/>
    <row r="738" customFormat="false" ht="15" hidden="true" customHeight="true" outlineLevel="0" collapsed="false"/>
    <row r="739" customFormat="false" ht="15" hidden="true" customHeight="true" outlineLevel="0" collapsed="false"/>
    <row r="740" customFormat="false" ht="15" hidden="true" customHeight="true" outlineLevel="0" collapsed="false"/>
    <row r="741" customFormat="false" ht="15" hidden="true" customHeight="true" outlineLevel="0" collapsed="false"/>
    <row r="742" customFormat="false" ht="15" hidden="true" customHeight="true" outlineLevel="0" collapsed="false"/>
    <row r="743" customFormat="false" ht="15" hidden="true" customHeight="true" outlineLevel="0" collapsed="false"/>
    <row r="744" customFormat="false" ht="15" hidden="true" customHeight="true" outlineLevel="0" collapsed="false"/>
    <row r="745" customFormat="false" ht="15" hidden="true" customHeight="true" outlineLevel="0" collapsed="false"/>
    <row r="746" customFormat="false" ht="15" hidden="true" customHeight="true" outlineLevel="0" collapsed="false"/>
    <row r="747" customFormat="false" ht="15" hidden="true" customHeight="true" outlineLevel="0" collapsed="false"/>
    <row r="748" customFormat="false" ht="15" hidden="true" customHeight="true" outlineLevel="0" collapsed="false"/>
    <row r="749" customFormat="false" ht="15" hidden="true" customHeight="true" outlineLevel="0" collapsed="false"/>
    <row r="750" customFormat="false" ht="15" hidden="true" customHeight="true" outlineLevel="0" collapsed="false"/>
    <row r="751" customFormat="false" ht="15" hidden="true" customHeight="true" outlineLevel="0" collapsed="false"/>
    <row r="752" customFormat="false" ht="15" hidden="true" customHeight="true" outlineLevel="0" collapsed="false"/>
    <row r="753" customFormat="false" ht="15" hidden="true" customHeight="true" outlineLevel="0" collapsed="false"/>
    <row r="754" customFormat="false" ht="15" hidden="true" customHeight="true" outlineLevel="0" collapsed="false"/>
    <row r="755" customFormat="false" ht="15" hidden="true" customHeight="true" outlineLevel="0" collapsed="false"/>
    <row r="756" customFormat="false" ht="15" hidden="true" customHeight="true" outlineLevel="0" collapsed="false"/>
    <row r="757" customFormat="false" ht="15" hidden="true" customHeight="true" outlineLevel="0" collapsed="false"/>
    <row r="758" customFormat="false" ht="15" hidden="true" customHeight="true" outlineLevel="0" collapsed="false"/>
    <row r="759" customFormat="false" ht="15" hidden="true" customHeight="true" outlineLevel="0" collapsed="false"/>
    <row r="760" customFormat="false" ht="15" hidden="true" customHeight="true" outlineLevel="0" collapsed="false"/>
    <row r="761" customFormat="false" ht="15" hidden="true" customHeight="true" outlineLevel="0" collapsed="false"/>
    <row r="762" customFormat="false" ht="15" hidden="true" customHeight="true" outlineLevel="0" collapsed="false"/>
    <row r="763" customFormat="false" ht="15" hidden="true" customHeight="true" outlineLevel="0" collapsed="false"/>
    <row r="764" customFormat="false" ht="15" hidden="true" customHeight="true" outlineLevel="0" collapsed="false"/>
    <row r="765" customFormat="false" ht="15" hidden="true" customHeight="true" outlineLevel="0" collapsed="false"/>
    <row r="766" customFormat="false" ht="15" hidden="true" customHeight="true" outlineLevel="0" collapsed="false"/>
    <row r="767" customFormat="false" ht="15" hidden="true" customHeight="true" outlineLevel="0" collapsed="false"/>
    <row r="768" customFormat="false" ht="15" hidden="true" customHeight="true" outlineLevel="0" collapsed="false"/>
    <row r="769" customFormat="false" ht="15" hidden="true" customHeight="true" outlineLevel="0" collapsed="false"/>
    <row r="770" customFormat="false" ht="15" hidden="true" customHeight="true" outlineLevel="0" collapsed="false"/>
    <row r="771" customFormat="false" ht="15" hidden="true" customHeight="true" outlineLevel="0" collapsed="false"/>
    <row r="772" customFormat="false" ht="15" hidden="true" customHeight="true" outlineLevel="0" collapsed="false"/>
    <row r="773" customFormat="false" ht="15" hidden="true" customHeight="true" outlineLevel="0" collapsed="false"/>
    <row r="774" customFormat="false" ht="15" hidden="true" customHeight="true" outlineLevel="0" collapsed="false"/>
    <row r="775" customFormat="false" ht="15" hidden="true" customHeight="true" outlineLevel="0" collapsed="false"/>
    <row r="776" customFormat="false" ht="15" hidden="true" customHeight="true" outlineLevel="0" collapsed="false"/>
    <row r="777" customFormat="false" ht="15" hidden="true" customHeight="true" outlineLevel="0" collapsed="false"/>
    <row r="778" customFormat="false" ht="15" hidden="true" customHeight="true" outlineLevel="0" collapsed="false"/>
    <row r="779" customFormat="false" ht="15" hidden="true" customHeight="true" outlineLevel="0" collapsed="false"/>
    <row r="780" customFormat="false" ht="15" hidden="true" customHeight="true" outlineLevel="0" collapsed="false"/>
    <row r="781" customFormat="false" ht="15" hidden="true" customHeight="true" outlineLevel="0" collapsed="false"/>
    <row r="782" customFormat="false" ht="15" hidden="true" customHeight="true" outlineLevel="0" collapsed="false"/>
    <row r="783" customFormat="false" ht="15" hidden="true" customHeight="true" outlineLevel="0" collapsed="false"/>
    <row r="784" customFormat="false" ht="15" hidden="true" customHeight="true" outlineLevel="0" collapsed="false"/>
    <row r="785" customFormat="false" ht="15" hidden="true" customHeight="true" outlineLevel="0" collapsed="false"/>
    <row r="786" customFormat="false" ht="15" hidden="true" customHeight="true" outlineLevel="0" collapsed="false"/>
    <row r="787" customFormat="false" ht="15" hidden="true" customHeight="true" outlineLevel="0" collapsed="false"/>
    <row r="788" customFormat="false" ht="15" hidden="true" customHeight="true" outlineLevel="0" collapsed="false"/>
    <row r="789" customFormat="false" ht="15" hidden="true" customHeight="true" outlineLevel="0" collapsed="false"/>
    <row r="790" customFormat="false" ht="15" hidden="true" customHeight="true" outlineLevel="0" collapsed="false"/>
    <row r="791" customFormat="false" ht="15" hidden="true" customHeight="true" outlineLevel="0" collapsed="false"/>
    <row r="792" customFormat="false" ht="15" hidden="true" customHeight="true" outlineLevel="0" collapsed="false"/>
    <row r="793" customFormat="false" ht="15" hidden="true" customHeight="true" outlineLevel="0" collapsed="false"/>
    <row r="794" customFormat="false" ht="15" hidden="true" customHeight="true" outlineLevel="0" collapsed="false"/>
    <row r="795" customFormat="false" ht="15" hidden="true" customHeight="true" outlineLevel="0" collapsed="false"/>
    <row r="796" customFormat="false" ht="15" hidden="true" customHeight="true" outlineLevel="0" collapsed="false"/>
    <row r="797" customFormat="false" ht="15" hidden="true" customHeight="true" outlineLevel="0" collapsed="false"/>
    <row r="798" customFormat="false" ht="15" hidden="true" customHeight="true" outlineLevel="0" collapsed="false"/>
    <row r="799" customFormat="false" ht="15" hidden="true" customHeight="true" outlineLevel="0" collapsed="false"/>
    <row r="800" customFormat="false" ht="15" hidden="true" customHeight="true" outlineLevel="0" collapsed="false"/>
    <row r="801" customFormat="false" ht="15" hidden="true" customHeight="true" outlineLevel="0" collapsed="false"/>
    <row r="802" customFormat="false" ht="15" hidden="true" customHeight="true" outlineLevel="0" collapsed="false"/>
    <row r="803" customFormat="false" ht="15" hidden="true" customHeight="true" outlineLevel="0" collapsed="false"/>
    <row r="804" customFormat="false" ht="15" hidden="true" customHeight="true" outlineLevel="0" collapsed="false"/>
    <row r="805" customFormat="false" ht="15" hidden="true" customHeight="true" outlineLevel="0" collapsed="false"/>
    <row r="806" customFormat="false" ht="15" hidden="true" customHeight="true" outlineLevel="0" collapsed="false"/>
    <row r="807" customFormat="false" ht="15" hidden="true" customHeight="true" outlineLevel="0" collapsed="false"/>
    <row r="808" customFormat="false" ht="15" hidden="true" customHeight="true" outlineLevel="0" collapsed="false"/>
    <row r="809" customFormat="false" ht="15" hidden="true" customHeight="true" outlineLevel="0" collapsed="false"/>
    <row r="810" customFormat="false" ht="15" hidden="true" customHeight="true" outlineLevel="0" collapsed="false"/>
    <row r="811" customFormat="false" ht="15" hidden="true" customHeight="true" outlineLevel="0" collapsed="false"/>
    <row r="812" customFormat="false" ht="15" hidden="true" customHeight="true" outlineLevel="0" collapsed="false"/>
    <row r="813" customFormat="false" ht="15" hidden="true" customHeight="true" outlineLevel="0" collapsed="false"/>
    <row r="814" customFormat="false" ht="15" hidden="true" customHeight="true" outlineLevel="0" collapsed="false"/>
    <row r="815" customFormat="false" ht="15" hidden="true" customHeight="true" outlineLevel="0" collapsed="false"/>
    <row r="816" customFormat="false" ht="15" hidden="true" customHeight="true" outlineLevel="0" collapsed="false"/>
    <row r="817" customFormat="false" ht="15" hidden="true" customHeight="true" outlineLevel="0" collapsed="false"/>
    <row r="818" customFormat="false" ht="15" hidden="true" customHeight="true" outlineLevel="0" collapsed="false"/>
    <row r="819" customFormat="false" ht="15" hidden="true" customHeight="true" outlineLevel="0" collapsed="false"/>
    <row r="820" customFormat="false" ht="15" hidden="true" customHeight="true" outlineLevel="0" collapsed="false"/>
    <row r="821" customFormat="false" ht="15" hidden="true" customHeight="true" outlineLevel="0" collapsed="false"/>
    <row r="822" customFormat="false" ht="15" hidden="true" customHeight="true" outlineLevel="0" collapsed="false"/>
    <row r="823" customFormat="false" ht="15" hidden="true" customHeight="true" outlineLevel="0" collapsed="false"/>
    <row r="824" customFormat="false" ht="15" hidden="true" customHeight="true" outlineLevel="0" collapsed="false"/>
    <row r="825" customFormat="false" ht="15" hidden="true" customHeight="true" outlineLevel="0" collapsed="false"/>
    <row r="826" customFormat="false" ht="15" hidden="true" customHeight="true" outlineLevel="0" collapsed="false"/>
    <row r="827" customFormat="false" ht="15" hidden="true" customHeight="true" outlineLevel="0" collapsed="false"/>
    <row r="828" customFormat="false" ht="15" hidden="true" customHeight="true" outlineLevel="0" collapsed="false"/>
    <row r="829" customFormat="false" ht="15" hidden="true" customHeight="true" outlineLevel="0" collapsed="false"/>
    <row r="830" customFormat="false" ht="15" hidden="true" customHeight="true" outlineLevel="0" collapsed="false"/>
    <row r="831" customFormat="false" ht="15" hidden="true" customHeight="true" outlineLevel="0" collapsed="false"/>
    <row r="832" customFormat="false" ht="15" hidden="true" customHeight="true" outlineLevel="0" collapsed="false"/>
    <row r="833" customFormat="false" ht="15" hidden="true" customHeight="true" outlineLevel="0" collapsed="false"/>
    <row r="834" customFormat="false" ht="15" hidden="true" customHeight="true" outlineLevel="0" collapsed="false"/>
    <row r="835" customFormat="false" ht="15" hidden="true" customHeight="true" outlineLevel="0" collapsed="false"/>
    <row r="836" customFormat="false" ht="15" hidden="true" customHeight="true" outlineLevel="0" collapsed="false"/>
    <row r="837" customFormat="false" ht="15" hidden="true" customHeight="true" outlineLevel="0" collapsed="false"/>
    <row r="838" customFormat="false" ht="15" hidden="true" customHeight="true" outlineLevel="0" collapsed="false"/>
    <row r="839" customFormat="false" ht="15" hidden="true" customHeight="true" outlineLevel="0" collapsed="false"/>
    <row r="840" customFormat="false" ht="15" hidden="true" customHeight="true" outlineLevel="0" collapsed="false"/>
    <row r="841" customFormat="false" ht="15" hidden="true" customHeight="true" outlineLevel="0" collapsed="false"/>
    <row r="842" customFormat="false" ht="15" hidden="true" customHeight="true" outlineLevel="0" collapsed="false"/>
    <row r="843" customFormat="false" ht="15" hidden="true" customHeight="true" outlineLevel="0" collapsed="false"/>
    <row r="844" customFormat="false" ht="15" hidden="true" customHeight="true" outlineLevel="0" collapsed="false"/>
    <row r="845" customFormat="false" ht="15" hidden="true" customHeight="true" outlineLevel="0" collapsed="false"/>
    <row r="846" customFormat="false" ht="15" hidden="true" customHeight="true" outlineLevel="0" collapsed="false"/>
    <row r="847" customFormat="false" ht="15" hidden="true" customHeight="true" outlineLevel="0" collapsed="false"/>
    <row r="848" customFormat="false" ht="15" hidden="true" customHeight="true" outlineLevel="0" collapsed="false"/>
    <row r="849" customFormat="false" ht="15" hidden="true" customHeight="true" outlineLevel="0" collapsed="false"/>
    <row r="850" customFormat="false" ht="15" hidden="true" customHeight="true" outlineLevel="0" collapsed="false"/>
    <row r="851" customFormat="false" ht="15" hidden="true" customHeight="true" outlineLevel="0" collapsed="false"/>
    <row r="852" customFormat="false" ht="15" hidden="true" customHeight="true" outlineLevel="0" collapsed="false"/>
    <row r="853" customFormat="false" ht="15" hidden="true" customHeight="true" outlineLevel="0" collapsed="false"/>
    <row r="854" customFormat="false" ht="15" hidden="true" customHeight="true" outlineLevel="0" collapsed="false"/>
    <row r="855" customFormat="false" ht="15" hidden="true" customHeight="true" outlineLevel="0" collapsed="false"/>
    <row r="856" customFormat="false" ht="15" hidden="true" customHeight="true" outlineLevel="0" collapsed="false"/>
    <row r="857" customFormat="false" ht="15" hidden="true" customHeight="true" outlineLevel="0" collapsed="false"/>
    <row r="858" customFormat="false" ht="15" hidden="true" customHeight="true" outlineLevel="0" collapsed="false"/>
    <row r="859" customFormat="false" ht="15" hidden="true" customHeight="true" outlineLevel="0" collapsed="false"/>
    <row r="860" customFormat="false" ht="15" hidden="true" customHeight="true" outlineLevel="0" collapsed="false"/>
    <row r="861" customFormat="false" ht="15" hidden="true" customHeight="true" outlineLevel="0" collapsed="false"/>
    <row r="862" customFormat="false" ht="15" hidden="true" customHeight="true" outlineLevel="0" collapsed="false"/>
    <row r="863" customFormat="false" ht="15" hidden="true" customHeight="true" outlineLevel="0" collapsed="false"/>
    <row r="864" customFormat="false" ht="15" hidden="true" customHeight="true" outlineLevel="0" collapsed="false"/>
    <row r="865" customFormat="false" ht="15" hidden="true" customHeight="true" outlineLevel="0" collapsed="false"/>
    <row r="866" customFormat="false" ht="15" hidden="true" customHeight="true" outlineLevel="0" collapsed="false"/>
    <row r="867" customFormat="false" ht="15" hidden="true" customHeight="true" outlineLevel="0" collapsed="false"/>
    <row r="868" customFormat="false" ht="15" hidden="true" customHeight="true" outlineLevel="0" collapsed="false"/>
    <row r="869" customFormat="false" ht="15" hidden="true" customHeight="true" outlineLevel="0" collapsed="false"/>
    <row r="870" customFormat="false" ht="15" hidden="true" customHeight="true" outlineLevel="0" collapsed="false"/>
    <row r="871" customFormat="false" ht="15" hidden="true" customHeight="true" outlineLevel="0" collapsed="false"/>
    <row r="872" customFormat="false" ht="15" hidden="true" customHeight="true" outlineLevel="0" collapsed="false"/>
    <row r="873" customFormat="false" ht="15" hidden="true" customHeight="true" outlineLevel="0" collapsed="false"/>
    <row r="874" customFormat="false" ht="15" hidden="true" customHeight="true" outlineLevel="0" collapsed="false"/>
    <row r="875" customFormat="false" ht="15" hidden="true" customHeight="true" outlineLevel="0" collapsed="false"/>
    <row r="876" customFormat="false" ht="15" hidden="true" customHeight="true" outlineLevel="0" collapsed="false"/>
    <row r="877" customFormat="false" ht="15" hidden="true" customHeight="true" outlineLevel="0" collapsed="false"/>
    <row r="878" customFormat="false" ht="15" hidden="true" customHeight="true" outlineLevel="0" collapsed="false"/>
    <row r="879" customFormat="false" ht="15" hidden="true" customHeight="true" outlineLevel="0" collapsed="false"/>
    <row r="880" customFormat="false" ht="15" hidden="true" customHeight="true" outlineLevel="0" collapsed="false"/>
    <row r="881" customFormat="false" ht="15" hidden="true" customHeight="true" outlineLevel="0" collapsed="false"/>
    <row r="882" customFormat="false" ht="15" hidden="true" customHeight="true" outlineLevel="0" collapsed="false"/>
    <row r="883" customFormat="false" ht="15" hidden="true" customHeight="true" outlineLevel="0" collapsed="false"/>
    <row r="884" customFormat="false" ht="15" hidden="true" customHeight="true" outlineLevel="0" collapsed="false"/>
    <row r="885" customFormat="false" ht="15" hidden="true" customHeight="true" outlineLevel="0" collapsed="false"/>
    <row r="886" customFormat="false" ht="15" hidden="true" customHeight="true" outlineLevel="0" collapsed="false"/>
    <row r="887" customFormat="false" ht="15" hidden="true" customHeight="true" outlineLevel="0" collapsed="false"/>
    <row r="888" customFormat="false" ht="15" hidden="true" customHeight="true" outlineLevel="0" collapsed="false"/>
    <row r="889" customFormat="false" ht="15" hidden="true" customHeight="true" outlineLevel="0" collapsed="false"/>
    <row r="890" customFormat="false" ht="15" hidden="true" customHeight="true" outlineLevel="0" collapsed="false"/>
    <row r="891" customFormat="false" ht="15" hidden="true" customHeight="true" outlineLevel="0" collapsed="false"/>
    <row r="892" customFormat="false" ht="15" hidden="true" customHeight="true" outlineLevel="0" collapsed="false"/>
    <row r="893" customFormat="false" ht="15" hidden="true" customHeight="true" outlineLevel="0" collapsed="false"/>
    <row r="894" customFormat="false" ht="15" hidden="true" customHeight="true" outlineLevel="0" collapsed="false"/>
    <row r="895" customFormat="false" ht="15" hidden="true" customHeight="true" outlineLevel="0" collapsed="false"/>
    <row r="896" customFormat="false" ht="15" hidden="true" customHeight="true" outlineLevel="0" collapsed="false"/>
    <row r="897" customFormat="false" ht="15" hidden="true" customHeight="true" outlineLevel="0" collapsed="false"/>
    <row r="898" customFormat="false" ht="15" hidden="true" customHeight="true" outlineLevel="0" collapsed="false"/>
    <row r="899" customFormat="false" ht="15" hidden="true" customHeight="true" outlineLevel="0" collapsed="false"/>
    <row r="900" customFormat="false" ht="15" hidden="true" customHeight="true" outlineLevel="0" collapsed="false"/>
    <row r="901" customFormat="false" ht="15" hidden="true" customHeight="true" outlineLevel="0" collapsed="false"/>
    <row r="902" customFormat="false" ht="15" hidden="true" customHeight="true" outlineLevel="0" collapsed="false"/>
    <row r="903" customFormat="false" ht="15" hidden="true" customHeight="true" outlineLevel="0" collapsed="false"/>
    <row r="904" customFormat="false" ht="15" hidden="true" customHeight="true" outlineLevel="0" collapsed="false"/>
    <row r="905" customFormat="false" ht="15" hidden="true" customHeight="true" outlineLevel="0" collapsed="false"/>
    <row r="906" customFormat="false" ht="15" hidden="true" customHeight="true" outlineLevel="0" collapsed="false"/>
    <row r="907" customFormat="false" ht="15" hidden="true" customHeight="true" outlineLevel="0" collapsed="false"/>
    <row r="908" customFormat="false" ht="15" hidden="true" customHeight="true" outlineLevel="0" collapsed="false"/>
    <row r="909" customFormat="false" ht="15" hidden="true" customHeight="true" outlineLevel="0" collapsed="false"/>
    <row r="910" customFormat="false" ht="15" hidden="true" customHeight="true" outlineLevel="0" collapsed="false"/>
    <row r="911" customFormat="false" ht="15" hidden="true" customHeight="true" outlineLevel="0" collapsed="false"/>
    <row r="912" customFormat="false" ht="15" hidden="true" customHeight="true" outlineLevel="0" collapsed="false"/>
    <row r="913" customFormat="false" ht="15" hidden="true" customHeight="true" outlineLevel="0" collapsed="false"/>
    <row r="914" customFormat="false" ht="15" hidden="true" customHeight="true" outlineLevel="0" collapsed="false"/>
    <row r="915" customFormat="false" ht="15" hidden="true" customHeight="true" outlineLevel="0" collapsed="false"/>
    <row r="916" customFormat="false" ht="15" hidden="true" customHeight="true" outlineLevel="0" collapsed="false"/>
    <row r="917" customFormat="false" ht="15" hidden="true" customHeight="true" outlineLevel="0" collapsed="false"/>
    <row r="918" customFormat="false" ht="15" hidden="true" customHeight="true" outlineLevel="0" collapsed="false"/>
    <row r="919" customFormat="false" ht="15" hidden="true" customHeight="true" outlineLevel="0" collapsed="false"/>
    <row r="920" customFormat="false" ht="15" hidden="true" customHeight="true" outlineLevel="0" collapsed="false"/>
    <row r="921" customFormat="false" ht="15" hidden="true" customHeight="true" outlineLevel="0" collapsed="false"/>
    <row r="922" customFormat="false" ht="15" hidden="true" customHeight="true" outlineLevel="0" collapsed="false"/>
    <row r="923" customFormat="false" ht="15" hidden="true" customHeight="true" outlineLevel="0" collapsed="false"/>
    <row r="924" customFormat="false" ht="15" hidden="true" customHeight="true" outlineLevel="0" collapsed="false"/>
    <row r="925" customFormat="false" ht="15" hidden="true" customHeight="true" outlineLevel="0" collapsed="false"/>
    <row r="926" customFormat="false" ht="15" hidden="true" customHeight="true" outlineLevel="0" collapsed="false"/>
    <row r="927" customFormat="false" ht="15" hidden="true" customHeight="true" outlineLevel="0" collapsed="false"/>
    <row r="928" customFormat="false" ht="15" hidden="true" customHeight="true" outlineLevel="0" collapsed="false"/>
    <row r="929" customFormat="false" ht="15" hidden="true" customHeight="true" outlineLevel="0" collapsed="false"/>
    <row r="930" customFormat="false" ht="15" hidden="true" customHeight="true" outlineLevel="0" collapsed="false"/>
    <row r="931" customFormat="false" ht="15" hidden="true" customHeight="true" outlineLevel="0" collapsed="false"/>
    <row r="932" customFormat="false" ht="15" hidden="true" customHeight="true" outlineLevel="0" collapsed="false"/>
    <row r="933" customFormat="false" ht="15" hidden="true" customHeight="true" outlineLevel="0" collapsed="false"/>
    <row r="934" customFormat="false" ht="15" hidden="true" customHeight="true" outlineLevel="0" collapsed="false"/>
    <row r="935" customFormat="false" ht="15" hidden="true" customHeight="true" outlineLevel="0" collapsed="false"/>
    <row r="936" customFormat="false" ht="15" hidden="true" customHeight="true" outlineLevel="0" collapsed="false"/>
    <row r="937" customFormat="false" ht="15" hidden="true" customHeight="true" outlineLevel="0" collapsed="false"/>
    <row r="938" customFormat="false" ht="15" hidden="true" customHeight="true" outlineLevel="0" collapsed="false"/>
    <row r="939" customFormat="false" ht="15" hidden="true" customHeight="true" outlineLevel="0" collapsed="false"/>
    <row r="940" customFormat="false" ht="15" hidden="true" customHeight="true" outlineLevel="0" collapsed="false"/>
    <row r="941" customFormat="false" ht="15" hidden="true" customHeight="true" outlineLevel="0" collapsed="false"/>
    <row r="942" customFormat="false" ht="15" hidden="true" customHeight="true" outlineLevel="0" collapsed="false"/>
    <row r="943" customFormat="false" ht="15" hidden="true" customHeight="true" outlineLevel="0" collapsed="false"/>
    <row r="944" customFormat="false" ht="15" hidden="true" customHeight="true" outlineLevel="0" collapsed="false"/>
    <row r="945" customFormat="false" ht="15" hidden="true" customHeight="true" outlineLevel="0" collapsed="false"/>
    <row r="946" customFormat="false" ht="15" hidden="true" customHeight="true" outlineLevel="0" collapsed="false"/>
    <row r="947" customFormat="false" ht="15" hidden="true" customHeight="true" outlineLevel="0" collapsed="false"/>
    <row r="948" customFormat="false" ht="15" hidden="true" customHeight="true" outlineLevel="0" collapsed="false"/>
    <row r="949" customFormat="false" ht="15" hidden="true" customHeight="true" outlineLevel="0" collapsed="false"/>
    <row r="950" customFormat="false" ht="15" hidden="true" customHeight="true" outlineLevel="0" collapsed="false"/>
    <row r="951" customFormat="false" ht="15" hidden="true" customHeight="true" outlineLevel="0" collapsed="false"/>
    <row r="952" customFormat="false" ht="15" hidden="true" customHeight="true" outlineLevel="0" collapsed="false"/>
    <row r="953" customFormat="false" ht="15" hidden="true" customHeight="true" outlineLevel="0" collapsed="false"/>
    <row r="954" customFormat="false" ht="15" hidden="true" customHeight="true" outlineLevel="0" collapsed="false"/>
    <row r="955" customFormat="false" ht="15" hidden="true" customHeight="true" outlineLevel="0" collapsed="false"/>
    <row r="956" customFormat="false" ht="15" hidden="true" customHeight="true" outlineLevel="0" collapsed="false"/>
    <row r="957" customFormat="false" ht="15" hidden="true" customHeight="true" outlineLevel="0" collapsed="false"/>
    <row r="958" customFormat="false" ht="15" hidden="true" customHeight="true" outlineLevel="0" collapsed="false"/>
    <row r="959" customFormat="false" ht="15" hidden="true" customHeight="true" outlineLevel="0" collapsed="false"/>
    <row r="960" customFormat="false" ht="15" hidden="true" customHeight="true" outlineLevel="0" collapsed="false"/>
    <row r="961" customFormat="false" ht="15" hidden="true" customHeight="true" outlineLevel="0" collapsed="false"/>
    <row r="962" customFormat="false" ht="15" hidden="true" customHeight="true" outlineLevel="0" collapsed="false"/>
    <row r="963" customFormat="false" ht="15" hidden="true" customHeight="true" outlineLevel="0" collapsed="false"/>
    <row r="964" customFormat="false" ht="15" hidden="true" customHeight="true" outlineLevel="0" collapsed="false"/>
    <row r="965" customFormat="false" ht="15" hidden="true" customHeight="true" outlineLevel="0" collapsed="false"/>
    <row r="966" customFormat="false" ht="15" hidden="true" customHeight="true" outlineLevel="0" collapsed="false"/>
    <row r="967" customFormat="false" ht="15" hidden="true" customHeight="true" outlineLevel="0" collapsed="false"/>
    <row r="968" customFormat="false" ht="15" hidden="true" customHeight="true" outlineLevel="0" collapsed="false"/>
    <row r="969" customFormat="false" ht="15" hidden="true" customHeight="true" outlineLevel="0" collapsed="false"/>
    <row r="970" customFormat="false" ht="15" hidden="true" customHeight="true" outlineLevel="0" collapsed="false"/>
    <row r="971" customFormat="false" ht="15" hidden="true" customHeight="true" outlineLevel="0" collapsed="false"/>
    <row r="972" customFormat="false" ht="15" hidden="true" customHeight="true" outlineLevel="0" collapsed="false"/>
    <row r="973" customFormat="false" ht="15" hidden="true" customHeight="true" outlineLevel="0" collapsed="false"/>
    <row r="974" customFormat="false" ht="15" hidden="true" customHeight="true" outlineLevel="0" collapsed="false"/>
    <row r="975" customFormat="false" ht="15" hidden="true" customHeight="true" outlineLevel="0" collapsed="false"/>
    <row r="976" customFormat="false" ht="15" hidden="true" customHeight="true" outlineLevel="0" collapsed="false"/>
    <row r="977" customFormat="false" ht="15" hidden="true" customHeight="true" outlineLevel="0" collapsed="false"/>
    <row r="978" customFormat="false" ht="15" hidden="true" customHeight="true" outlineLevel="0" collapsed="false"/>
    <row r="979" customFormat="false" ht="15" hidden="true" customHeight="true" outlineLevel="0" collapsed="false"/>
    <row r="980" customFormat="false" ht="15" hidden="true" customHeight="true" outlineLevel="0" collapsed="false"/>
    <row r="981" customFormat="false" ht="15" hidden="true" customHeight="true" outlineLevel="0" collapsed="false"/>
    <row r="982" customFormat="false" ht="15" hidden="true" customHeight="true" outlineLevel="0" collapsed="false"/>
    <row r="983" customFormat="false" ht="15" hidden="true" customHeight="true" outlineLevel="0" collapsed="false"/>
    <row r="984" customFormat="false" ht="15" hidden="true" customHeight="true" outlineLevel="0" collapsed="false"/>
    <row r="985" customFormat="false" ht="15" hidden="true" customHeight="true" outlineLevel="0" collapsed="false"/>
    <row r="986" customFormat="false" ht="15" hidden="true" customHeight="true" outlineLevel="0" collapsed="false"/>
    <row r="987" customFormat="false" ht="15" hidden="true" customHeight="true" outlineLevel="0" collapsed="false"/>
    <row r="988" customFormat="false" ht="15" hidden="true" customHeight="true" outlineLevel="0" collapsed="false"/>
    <row r="989" customFormat="false" ht="15" hidden="true" customHeight="true" outlineLevel="0" collapsed="false"/>
    <row r="990" customFormat="false" ht="15" hidden="true" customHeight="true" outlineLevel="0" collapsed="false"/>
    <row r="991" customFormat="false" ht="15" hidden="true" customHeight="true" outlineLevel="0" collapsed="false"/>
    <row r="992" customFormat="false" ht="30.75" hidden="false" customHeight="true" outlineLevel="0" collapsed="false">
      <c r="A992" s="11" t="n">
        <v>33163295</v>
      </c>
      <c r="B992" s="12" t="s">
        <v>1082</v>
      </c>
      <c r="C992" s="13" t="n">
        <v>1510</v>
      </c>
      <c r="D992" s="14" t="s">
        <v>61</v>
      </c>
      <c r="E992" s="15" t="s">
        <v>28</v>
      </c>
      <c r="F992" s="15" t="s">
        <v>35</v>
      </c>
      <c r="G992" s="14" t="s">
        <v>50</v>
      </c>
      <c r="H992" s="16" t="s">
        <v>1083</v>
      </c>
      <c r="I992" s="17"/>
      <c r="J992" s="29"/>
      <c r="K992" s="15" t="s">
        <v>25</v>
      </c>
      <c r="L992" s="18"/>
    </row>
    <row r="993" customFormat="false" ht="30.75" hidden="false" customHeight="true" outlineLevel="0" collapsed="false">
      <c r="A993" s="11" t="n">
        <v>33173578</v>
      </c>
      <c r="B993" s="12" t="s">
        <v>1084</v>
      </c>
      <c r="C993" s="13" t="n">
        <v>1512</v>
      </c>
      <c r="D993" s="14" t="s">
        <v>61</v>
      </c>
      <c r="E993" s="15" t="s">
        <v>28</v>
      </c>
      <c r="F993" s="15" t="s">
        <v>35</v>
      </c>
      <c r="G993" s="14" t="s">
        <v>748</v>
      </c>
      <c r="H993" s="16"/>
      <c r="I993" s="17"/>
      <c r="J993" s="29"/>
      <c r="K993" s="15" t="s">
        <v>25</v>
      </c>
      <c r="L993" s="18"/>
    </row>
  </sheetData>
  <mergeCells count="5">
    <mergeCell ref="A1:D1"/>
    <mergeCell ref="E1:G2"/>
    <mergeCell ref="H1:Q1"/>
    <mergeCell ref="A2:D2"/>
    <mergeCell ref="H2:Q2"/>
  </mergeCells>
  <conditionalFormatting sqref="C427:C434">
    <cfRule type="expression" priority="2" aboveAverage="0" equalAverage="0" bottom="0" percent="0" rank="0" text="" dxfId="57">
      <formula>$F427="AOG"</formula>
    </cfRule>
    <cfRule type="expression" priority="3" aboveAverage="0" equalAverage="0" bottom="0" percent="0" rank="0" text="" dxfId="58">
      <formula>$F427="Critical"</formula>
    </cfRule>
  </conditionalFormatting>
  <conditionalFormatting sqref="B4:B1005">
    <cfRule type="expression" priority="4" aboveAverage="0" equalAverage="0" bottom="0" percent="0" rank="0" text="" dxfId="59">
      <formula>$F4="AOG"</formula>
    </cfRule>
    <cfRule type="expression" priority="5" aboveAverage="0" equalAverage="0" bottom="0" percent="0" rank="0" text="" dxfId="60">
      <formula>$F4="Critical"</formula>
    </cfRule>
  </conditionalFormatting>
  <conditionalFormatting sqref="A366:A369">
    <cfRule type="expression" priority="6" aboveAverage="0" equalAverage="0" bottom="0" percent="0" rank="0" text="" dxfId="61">
      <formula>AND($A366&lt;&gt;"",MOD(ROW(),2)=0)</formula>
    </cfRule>
    <cfRule type="expression" priority="7" aboveAverage="0" equalAverage="0" bottom="0" percent="0" rank="0" text="" dxfId="62">
      <formula>AND($A366&lt;&gt;"",$L366=TODAY())</formula>
    </cfRule>
  </conditionalFormatting>
  <conditionalFormatting sqref="A4:C426 A427:B433 A434:C1005 C433">
    <cfRule type="expression" priority="8" aboveAverage="0" equalAverage="0" bottom="0" percent="0" rank="0" text="" dxfId="57">
      <formula>$F4="AOG"</formula>
    </cfRule>
    <cfRule type="expression" priority="9" aboveAverage="0" equalAverage="0" bottom="0" percent="0" rank="0" text="" dxfId="58">
      <formula>$F4="Critical"</formula>
    </cfRule>
  </conditionalFormatting>
  <conditionalFormatting sqref="F4:F1005">
    <cfRule type="expression" priority="10" aboveAverage="0" equalAverage="0" bottom="0" percent="0" rank="0" text="" dxfId="63">
      <formula>$F4="AOG"</formula>
    </cfRule>
    <cfRule type="expression" priority="11" aboveAverage="0" equalAverage="0" bottom="0" percent="0" rank="0" text="" dxfId="64">
      <formula>$F4="Critical"</formula>
    </cfRule>
  </conditionalFormatting>
  <conditionalFormatting sqref="D4:D993">
    <cfRule type="cellIs" priority="12" operator="equal" aboveAverage="0" equalAverage="0" bottom="0" percent="0" rank="0" text="" dxfId="65">
      <formula>"GENERAL CABIN"</formula>
    </cfRule>
    <cfRule type="cellIs" priority="13" operator="equal" aboveAverage="0" equalAverage="0" bottom="0" percent="0" rank="0" text="" dxfId="66">
      <formula>"GALLEY"</formula>
    </cfRule>
    <cfRule type="cellIs" priority="14" operator="equal" aboveAverage="0" equalAverage="0" bottom="0" percent="0" rank="0" text="" dxfId="67">
      <formula>"LAVATORY"</formula>
    </cfRule>
    <cfRule type="cellIs" priority="15" operator="equal" aboveAverage="0" equalAverage="0" bottom="0" percent="0" rank="0" text="" dxfId="68">
      <formula>"PAX DOORS"</formula>
    </cfRule>
    <cfRule type="cellIs" priority="16" operator="equal" aboveAverage="0" equalAverage="0" bottom="0" percent="0" rank="0" text="" dxfId="69">
      <formula>"F/A SEAT"</formula>
    </cfRule>
    <cfRule type="cellIs" priority="17" operator="equal" aboveAverage="0" equalAverage="0" bottom="0" percent="0" rank="0" text="" dxfId="70">
      <formula>"PAX SEAT"</formula>
    </cfRule>
    <cfRule type="cellIs" priority="18" operator="equal" aboveAverage="0" equalAverage="0" bottom="0" percent="0" rank="0" text="" dxfId="71">
      <formula>"FLIGHT DECK"</formula>
    </cfRule>
    <cfRule type="cellIs" priority="19" operator="equal" aboveAverage="0" equalAverage="0" bottom="0" percent="0" rank="0" text="" dxfId="72">
      <formula>"OFAR/OFCR"</formula>
    </cfRule>
    <cfRule type="cellIs" priority="20" operator="equal" aboveAverage="0" equalAverage="0" bottom="0" percent="0" rank="0" text="" dxfId="73">
      <formula>"TEDLAR/SIDEWALL"</formula>
    </cfRule>
    <cfRule type="cellIs" priority="21" operator="equal" aboveAverage="0" equalAverage="0" bottom="0" percent="0" rank="0" text="" dxfId="74">
      <formula>"PAINT"</formula>
    </cfRule>
    <cfRule type="cellIs" priority="22" operator="equal" aboveAverage="0" equalAverage="0" bottom="0" percent="0" rank="0" text="" dxfId="75">
      <formula>"ACFT GENERAL T/C"</formula>
    </cfRule>
    <cfRule type="cellIs" priority="23" operator="equal" aboveAverage="0" equalAverage="0" bottom="0" percent="0" rank="0" text="" dxfId="76">
      <formula>"ACCESS"</formula>
    </cfRule>
  </conditionalFormatting>
  <conditionalFormatting sqref="H4:H993">
    <cfRule type="cellIs" priority="24" operator="equal" aboveAverage="0" equalAverage="0" bottom="0" percent="0" rank="0" text="" dxfId="77">
      <formula>"N/R"</formula>
    </cfRule>
    <cfRule type="cellIs" priority="25" operator="equal" aboveAverage="0" equalAverage="0" bottom="0" percent="0" rank="0" text="" dxfId="78">
      <formula>"Requested"</formula>
    </cfRule>
    <cfRule type="cellIs" priority="26" operator="equal" aboveAverage="0" equalAverage="0" bottom="0" percent="0" rank="0" text="" dxfId="79">
      <formula>"Requested - R"</formula>
    </cfRule>
    <cfRule type="cellIs" priority="27" operator="equal" aboveAverage="0" equalAverage="0" bottom="0" percent="0" rank="0" text="" dxfId="80">
      <formula>"Requested - CR"</formula>
    </cfRule>
    <cfRule type="cellIs" priority="28" operator="equal" aboveAverage="0" equalAverage="0" bottom="0" percent="0" rank="0" text="" dxfId="81">
      <formula>"Pending EVAL"</formula>
    </cfRule>
    <cfRule type="cellIs" priority="29" operator="equal" aboveAverage="0" equalAverage="0" bottom="0" percent="0" rank="0" text="" dxfId="82">
      <formula>"N/A"</formula>
    </cfRule>
  </conditionalFormatting>
  <conditionalFormatting sqref="G4:G993">
    <cfRule type="cellIs" priority="30" operator="equal" aboveAverage="0" equalAverage="0" bottom="0" percent="0" rank="0" text="" dxfId="83">
      <formula>"CAB"</formula>
    </cfRule>
    <cfRule type="cellIs" priority="31" operator="equal" aboveAverage="0" equalAverage="0" bottom="0" percent="0" rank="0" text="" dxfId="84">
      <formula>"SEAT"</formula>
    </cfRule>
    <cfRule type="cellIs" priority="32" operator="equal" aboveAverage="0" equalAverage="0" bottom="0" percent="0" rank="0" text="" dxfId="79">
      <formula>"AV"</formula>
    </cfRule>
    <cfRule type="cellIs" priority="33" operator="equal" aboveAverage="0" equalAverage="0" bottom="0" percent="0" rank="0" text="" dxfId="85">
      <formula>"WALL"</formula>
    </cfRule>
    <cfRule type="cellIs" priority="34" operator="equal" aboveAverage="0" equalAverage="0" bottom="0" percent="0" rank="0" text="" dxfId="86">
      <formula>"S/M"</formula>
    </cfRule>
    <cfRule type="cellIs" priority="35" operator="equal" aboveAverage="0" equalAverage="0" bottom="0" percent="0" rank="0" text="" dxfId="87">
      <formula>"PAINT"</formula>
    </cfRule>
    <cfRule type="cellIs" priority="36" operator="equal" aboveAverage="0" equalAverage="0" bottom="0" percent="0" rank="0" text="" dxfId="88">
      <formula>"JOINT"</formula>
    </cfRule>
    <cfRule type="cellIs" priority="37" operator="equal" aboveAverage="0" equalAverage="0" bottom="0" percent="0" rank="0" text="" dxfId="89">
      <formula>"INSP"</formula>
    </cfRule>
    <cfRule type="cellIs" priority="38" operator="equal" aboveAverage="0" equalAverage="0" bottom="0" percent="0" rank="0" text="" dxfId="90">
      <formula>"AP"</formula>
    </cfRule>
  </conditionalFormatting>
  <conditionalFormatting sqref="K4:K993">
    <cfRule type="cellIs" priority="39" operator="equal" aboveAverage="0" equalAverage="0" bottom="0" percent="0" rank="0" text="" dxfId="91">
      <formula>"MID"</formula>
    </cfRule>
    <cfRule type="cellIs" priority="40" operator="equal" aboveAverage="0" equalAverage="0" bottom="0" percent="0" rank="0" text="" dxfId="92">
      <formula>"FWD"</formula>
    </cfRule>
    <cfRule type="cellIs" priority="41" operator="equal" aboveAverage="0" equalAverage="0" bottom="0" percent="0" rank="0" text="" dxfId="93">
      <formula>"AFT"</formula>
    </cfRule>
    <cfRule type="cellIs" priority="42" operator="equal" aboveAverage="0" equalAverage="0" bottom="0" percent="0" rank="0" text="" dxfId="94">
      <formula>"JOINT"</formula>
    </cfRule>
  </conditionalFormatting>
  <conditionalFormatting sqref="E1:G2">
    <cfRule type="expression" priority="43" aboveAverage="0" equalAverage="0" bottom="0" percent="0" rank="0" text="" dxfId="95">
      <formula>TODAY()&gt;DASHBOARD!$M$2</formula>
    </cfRule>
  </conditionalFormatting>
  <conditionalFormatting sqref="F4:F993">
    <cfRule type="cellIs" priority="44" operator="equal" aboveAverage="0" equalAverage="0" bottom="0" percent="0" rank="0" text="" dxfId="96">
      <formula>"Normal"</formula>
    </cfRule>
  </conditionalFormatting>
  <conditionalFormatting sqref="F4:F994">
    <cfRule type="expression" priority="45" aboveAverage="0" equalAverage="0" bottom="0" percent="0" rank="0" text="" dxfId="97">
      <formula>$F4="ACCESS"</formula>
    </cfRule>
  </conditionalFormatting>
  <conditionalFormatting sqref="A4:H342 A342:C364 A365:B365 A370:B370 A371:H384 A385:A412 A406:H418 A419:A434 A434:H993 B340:B433 B401:C412 B405:H405 C365:C403 C403:H404 C419:C432 C419:H419 C433:H433 D343:H370 D385:H402 D420:H432 J4:L993">
    <cfRule type="expression" priority="46" aboveAverage="0" equalAverage="0" bottom="0" percent="0" rank="0" text="" dxfId="62">
      <formula>AND($A4&lt;&gt;"",$L4=TODAY())</formula>
    </cfRule>
  </conditionalFormatting>
  <conditionalFormatting sqref="E4:E993">
    <cfRule type="cellIs" priority="47" operator="equal" aboveAverage="0" equalAverage="0" bottom="0" percent="0" rank="0" text="" dxfId="98">
      <formula>"Open"</formula>
    </cfRule>
    <cfRule type="cellIs" priority="48" operator="equal" aboveAverage="0" equalAverage="0" bottom="0" percent="0" rank="0" text="" dxfId="99">
      <formula>"I/W"</formula>
    </cfRule>
    <cfRule type="cellIs" priority="49" operator="equal" aboveAverage="0" equalAverage="0" bottom="0" percent="0" rank="0" text="" dxfId="100">
      <formula>"N/A"</formula>
    </cfRule>
    <cfRule type="cellIs" priority="50" operator="equal" aboveAverage="0" equalAverage="0" bottom="0" percent="0" rank="0" text="" dxfId="101">
      <formula>"HPC"</formula>
    </cfRule>
    <cfRule type="cellIs" priority="51" operator="equal" aboveAverage="0" equalAverage="0" bottom="0" percent="0" rank="0" text="" dxfId="102">
      <formula>"On Hold"</formula>
    </cfRule>
  </conditionalFormatting>
  <conditionalFormatting sqref="I4:I993">
    <cfRule type="expression" priority="52" aboveAverage="0" equalAverage="0" bottom="0" percent="0" rank="0" text="" dxfId="103">
      <formula>OR(TRIM(I4)="C/W",TRIM(I4)="CW")</formula>
    </cfRule>
  </conditionalFormatting>
  <conditionalFormatting sqref="J4:J993">
    <cfRule type="cellIs" priority="53" operator="equal" aboveAverage="0" equalAverage="0" bottom="0" percent="0" rank="0" text="" dxfId="104">
      <formula>"Yes"</formula>
    </cfRule>
    <cfRule type="cellIs" priority="54" operator="equal" aboveAverage="0" equalAverage="0" bottom="0" percent="0" rank="0" text="" dxfId="104">
      <formula>"No"</formula>
    </cfRule>
    <cfRule type="cellIs" priority="55" operator="equal" aboveAverage="0" equalAverage="0" bottom="0" percent="0" rank="0" text="" dxfId="104">
      <formula>"N/A"</formula>
    </cfRule>
  </conditionalFormatting>
  <conditionalFormatting sqref="M4:M993">
    <cfRule type="expression" priority="56" aboveAverage="0" equalAverage="0" bottom="0" percent="0" rank="0" text="" dxfId="105">
      <formula>AND($E4="Closed",$M4="")</formula>
    </cfRule>
  </conditionalFormatting>
  <conditionalFormatting sqref="A4:M277 A277:B365 A370 A371:M384 A385:A412 A406:M418 A419:A434 A434:M993 B385:B433 B401:C412 B405:M405 C278:M342 C342:C403 C403:M404 C419:C432 C419:M419 C433:M433 D343:M370 D385:M402 D420:M432 K403:K410">
    <cfRule type="expression" priority="57" aboveAverage="0" equalAverage="0" bottom="0" percent="0" rank="0" text="" dxfId="61">
      <formula>AND($A4&lt;&gt;"",MOD(ROW(),2)=0)</formula>
    </cfRule>
  </conditionalFormatting>
  <conditionalFormatting sqref="A4:A993">
    <cfRule type="expression" priority="58" aboveAverage="0" equalAverage="0" bottom="0" percent="0" rank="0" text="" dxfId="106">
      <formula>AND($A4&lt;&gt;"",COUNTIF($A$4:$A$993,$A4)&gt;1)</formula>
    </cfRule>
    <cfRule type="expression" priority="59" aboveAverage="0" equalAverage="0" bottom="0" percent="0" rank="0" text="" dxfId="107">
      <formula>AND(AND($A4&lt;&gt;"",LEN($A4)=8,ISNUMBER(--$A4)),LEFT($B4,8)="REPLACE ")</formula>
    </cfRule>
    <cfRule type="expression" priority="60" aboveAverage="0" equalAverage="0" bottom="0" percent="0" rank="0" text="" dxfId="108">
      <formula>AND(AND($A4&lt;&gt;"",LEN($A4)=8,ISNUMBER(--$A4)),OR(LEFT($B4,4)="EOD-",LEFT($B4,3)="EO-",LEFT($B4,3)="ER-",LEFT($B4,5)="FRSEO",AND(LEFT($B4,1)="S",ISNUMBER(--MID($B4,2,2)),MID($B4,4,2)="-R"),ISNUMBER(SEARCH("/AD-",$B4))))</formula>
    </cfRule>
    <cfRule type="expression" priority="61" aboveAverage="0" equalAverage="0" bottom="0" percent="0" rank="0" text="" dxfId="109">
      <formula>AND(AND($A4&lt;&gt;"",LEN($A4)=8,ISNUMBER(--$A4)),NOT(OR(LEFT($B4,4)="EOD-",LEFT($B4,3)="EO-",LEFT($B4,3)="ER-",LEFT($B4,5)="FRSEO",AND(LEFT($B4,1)="S",ISNUMBER(--MID($B4,2,2)),MID($B4,4,2)="-R"),ISNUMBER(SEARCH("/AD-",$B4)))),NOT(LEFT($B4,8)="REPLACE "),NOT(OR(LEFT($B4,3)="6Y_",LEFT($B4,4)="A_N ",LEFT($B4,4)="C_N ",LEFT($B4,4)="DCC-",LEFT($B4,4)="CCC-",LEFT($B4,4)="ISC-",LEFT($B4,7)="WEEKLY-")))</formula>
    </cfRule>
    <cfRule type="expression" priority="62" aboveAverage="0" equalAverage="0" bottom="0" percent="0" rank="0" text="" dxfId="110">
      <formula>LEFT($A4,4)="STJC"</formula>
    </cfRule>
  </conditionalFormatting>
  <dataValidations count="7">
    <dataValidation allowBlank="true" errorStyle="stop" operator="between" showDropDown="false" showErrorMessage="false" showInputMessage="false" sqref="H4:H993" type="list">
      <formula1>"N/R,Requested,Requested - CR,Requested - R,Pending EVAL,N/A"</formula1>
      <formula2>0</formula2>
    </dataValidation>
    <dataValidation allowBlank="true" errorStyle="stop" operator="between" showDropDown="false" showErrorMessage="false" showInputMessage="false" sqref="F4:F993" type="list">
      <formula1>"AOG,Critical,Normal,ACCESS"</formula1>
      <formula2>0</formula2>
    </dataValidation>
    <dataValidation allowBlank="true" errorStyle="stop" operator="between" showDropDown="false" showErrorMessage="false" showInputMessage="false" sqref="D4:D993" type="list">
      <formula1>"GENERAL CABIN,GALLEY,LAVATORY,PAX DOORS,F/A SEAT,PAX SEAT,FLIGHT DECK,TEDLAR/SIDEWALL,ACFT GENERAL T/C"</formula1>
      <formula2>0</formula2>
    </dataValidation>
    <dataValidation allowBlank="true" errorStyle="stop" operator="between" showDropDown="false" showErrorMessage="false" showInputMessage="false" sqref="J4:J993" type="list">
      <formula1>"Yes,No,N/A"</formula1>
      <formula2>0</formula2>
    </dataValidation>
    <dataValidation allowBlank="true" errorStyle="stop" operator="between" showDropDown="false" showErrorMessage="false" showInputMessage="false" sqref="G4:G993" type="list">
      <formula1>"CAB,SEAT,AV,WALL,S/M,PAINT,JOINT,INSP,AP"</formula1>
      <formula2>0</formula2>
    </dataValidation>
    <dataValidation allowBlank="true" errorStyle="stop" operator="between" showDropDown="false" showErrorMessage="false" showInputMessage="false" sqref="E4:E993" type="list">
      <formula1>"Open,I/W,HPC,Closed,Deferred,On Hold,N/A"</formula1>
      <formula2>0</formula2>
    </dataValidation>
    <dataValidation allowBlank="true" errorStyle="stop" operator="between" showDropDown="false" showErrorMessage="false" showInputMessage="false" sqref="K4:K994" type="list">
      <formula1>"FWD,MID,AFT,JOINT"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02" activeCellId="0" sqref="E102"/>
    </sheetView>
  </sheetViews>
  <sheetFormatPr defaultColWidth="8.6796875" defaultRowHeight="14.25" zeroHeight="false" outlineLevelRow="0" outlineLevelCol="0"/>
  <cols>
    <col collapsed="false" customWidth="true" hidden="false" outlineLevel="0" max="1" min="1" style="1" width="26"/>
    <col collapsed="false" customWidth="true" hidden="false" outlineLevel="0" max="6" min="2" style="1" width="10"/>
    <col collapsed="false" customWidth="true" hidden="false" outlineLevel="0" max="7" min="7" style="1" width="30"/>
    <col collapsed="false" customWidth="true" hidden="false" outlineLevel="0" max="8" min="8" style="1" width="11"/>
    <col collapsed="false" customWidth="true" hidden="false" outlineLevel="0" max="12" min="12" style="1" width="14"/>
    <col collapsed="false" customWidth="true" hidden="false" outlineLevel="0" max="13" min="13" style="1" width="13"/>
  </cols>
  <sheetData>
    <row r="1" customFormat="false" ht="25.5" hidden="false" customHeight="true" outlineLevel="0" collapsed="false">
      <c r="A1" s="30" t="s">
        <v>1085</v>
      </c>
      <c r="B1" s="30"/>
      <c r="C1" s="30"/>
      <c r="D1" s="30"/>
      <c r="E1" s="30"/>
      <c r="F1" s="31" t="str">
        <f aca="true">IF(OR(NOT(ISNUMBER(DASHBOARD!$M$1)),NOT(ISNUMBER(DASHBOARD!$M$2))),"PENDING",IF(TODAY()&gt;DASHBOARD!$M$2,"DAY "&amp;(TODAY()-DASHBOARD!$M$1+1)&amp;"/"&amp;(DASHBOARD!$M$2-DASHBOARD!$M$1+1)&amp;" ⛔ OVERRUN +"&amp;(TODAY()-DASHBOARD!$M$2)&amp;" DAYS","DAY "&amp;MAX(MIN(TODAY()-DASHBOARD!$M$1+1,DASHBOARD!$M$2-DASHBOARD!$M$1+1),0)&amp;"/"&amp;(DASHBOARD!$M$2-DASHBOARD!$M$1+1)))</f>
        <v>DAY 39/38 ⛔ OVERRUN +1 DAYS</v>
      </c>
      <c r="G1" s="31"/>
      <c r="I1" s="1"/>
      <c r="J1" s="1"/>
      <c r="K1" s="1"/>
      <c r="L1" s="32" t="s">
        <v>1086</v>
      </c>
      <c r="M1" s="33" t="n">
        <v>46221</v>
      </c>
    </row>
    <row r="2" customFormat="false" ht="21.75" hidden="false" customHeight="true" outlineLevel="0" collapsed="false">
      <c r="A2" s="34" t="str">
        <f aca="true">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Tracker'!$A$5:$A$994,"&lt;&gt;",'HZ-ASD Tracker'!$E$5:$E$994,"Closed")/COUNTIF('HZ-ASD Tracker'!$A$5:$A$994,"&lt;&gt;"))&lt;1),"❌ CHECK PERIOD ENDED — Completion "&amp;TEXT((COUNTIFS('HZ-ASD Tracker'!$A$5:$A$994,"&lt;&gt;",'HZ-ASD Tracker'!$E$5:$E$994,"Closed")/COUNTIF('HZ-ASD Tracker'!$A$5:$A$994,"&lt;&gt;")),"0%")&amp;"  ·  Overdue by "&amp;(TODAY()-DASHBOARD!$M$2)&amp;" days",IF((COUNTIFS('HZ-ASD Tracker'!$A$5:$A$994,"&lt;&gt;",'HZ-ASD Tracker'!$E$5:$E$994,"Closed")/COUNTIF('HZ-ASD Tracker'!$A$5:$A$994,"&lt;&gt;"))&gt;=((TODAY()-DASHBOARD!$M$1)/(DASHBOARD!$M$2-DASHBOARD!$M$1))-0.05,"✅ ON TRACK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Tracker'!$E$5:$E$994,"Closed")/MAX(TODAY()-DASHBOARD!$M$1,1),"0.0")&amp;"/day",IF((COUNTIFS('HZ-ASD Tracker'!$A$5:$A$994,"&lt;&gt;",'HZ-ASD Tracker'!$E$5:$E$994,"Closed")/COUNTIF('HZ-ASD Tracker'!$A$5:$A$994,"&lt;&gt;"))&gt;=((TODAY()-DASHBOARD!$M$1)/(DASHBOARD!$M$2-DASHBOARD!$M$1))-0.15,"⚠️ WARNING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 CRITICAL — "&amp;"Completed "&amp;TEXT((COUNTIFS('HZ-ASD Tracker'!$A$5:$A$994,"&lt;&gt;",'HZ-ASD Tracker'!$E$5:$E$994,"Closed")/COUNTIF('HZ-ASD Tracker'!$A$5:$A$994,"&lt;&gt;")),"0%")&amp;" vs Time "&amp;TEXT(MAX(MIN(((TODAY()-DASHBOARD!$M$1)/(DASHBOARD!$M$2-DASHBOARD!$M$1)),1),0),"0%")&amp;"  ·  Days Left: "&amp;MAX(DASHBOARD!$M$2-TODAY(),0)&amp;"  ·  Pace needed: "&amp;TEXT((COUNTIF('HZ-ASD Tracker'!$A$5:$A$994,"&lt;&gt;")-COUNTIFS('HZ-ASD Tracker'!$A$5:$A$994,"&lt;&gt;",'HZ-ASD Tracker'!$E$5:$E$994,"Closed"))/MAX(DASHBOARD!$M$2-TODAY(),1),"0.0")&amp;"/day vs avg "&amp;TEXT(COUNTIFS('HZ-ASD Tracker'!$A$5:$A$994,"&lt;&gt;",'HZ-ASD Tracker'!$E$5:$E$994,"Closed")/MAX(TODAY()-DASHBOARD!$M$1,1),"0.0")&amp;"/day"))))))</f>
        <v>❌ CHECK PERIOD ENDED — Completion 67%  ·  Overdue by 1 days</v>
      </c>
      <c r="B2" s="34"/>
      <c r="C2" s="34"/>
      <c r="D2" s="34"/>
      <c r="E2" s="34"/>
      <c r="F2" s="34"/>
      <c r="G2" s="34"/>
      <c r="I2" s="1"/>
      <c r="J2" s="1"/>
      <c r="K2" s="1"/>
      <c r="L2" s="32" t="s">
        <v>1087</v>
      </c>
      <c r="M2" s="33" t="n">
        <v>46258</v>
      </c>
    </row>
    <row r="3" customFormat="false" ht="6" hidden="false" customHeight="true" outlineLevel="0" collapsed="false">
      <c r="I3" s="1"/>
      <c r="J3" s="1"/>
      <c r="K3" s="1"/>
    </row>
    <row r="4" customFormat="false" ht="27.75" hidden="false" customHeight="true" outlineLevel="0" collapsed="false">
      <c r="A4" s="35" t="s">
        <v>1088</v>
      </c>
      <c r="B4" s="36" t="s">
        <v>1089</v>
      </c>
      <c r="C4" s="37" t="s">
        <v>1090</v>
      </c>
      <c r="D4" s="38" t="s">
        <v>1091</v>
      </c>
      <c r="E4" s="39" t="s">
        <v>1092</v>
      </c>
      <c r="F4" s="40" t="s">
        <v>1093</v>
      </c>
      <c r="G4" s="41" t="s">
        <v>1094</v>
      </c>
      <c r="H4" s="42"/>
      <c r="I4" s="1"/>
      <c r="J4" s="1"/>
      <c r="K4" s="1"/>
    </row>
    <row r="5" customFormat="false" ht="31.5" hidden="false" customHeight="true" outlineLevel="0" collapsed="false">
      <c r="A5" s="43" t="n">
        <f aca="false">COUNTIF('HZ-ASD Tracker'!$A$5:$A$994,"&lt;&gt;")</f>
        <v>463</v>
      </c>
      <c r="B5" s="44" t="n">
        <f aca="false">COUNTIFS('HZ-ASD Tracker'!$A$5:$A$994,"&lt;&gt;",'HZ-ASD Tracker'!$E$5:$E$994,"Closed")</f>
        <v>310</v>
      </c>
      <c r="C5" s="45" t="n">
        <f aca="false">COUNTIFS('HZ-ASD Tracker'!$A$5:$A$994,"&lt;&gt;",'HZ-ASD Tracker'!$E$5:$E$994,"Open")</f>
        <v>151</v>
      </c>
      <c r="D5" s="46" t="n">
        <f aca="false">COUNTIFS('HZ-ASD Tracker'!$A$5:$A$994,"&lt;&gt;",'HZ-ASD Tracker'!$E$5:$E$994,"HPC")</f>
        <v>0</v>
      </c>
      <c r="E5" s="47" t="n">
        <f aca="false">COUNTIFS('HZ-ASD Tracker'!$A$5:$A$994,"&lt;&gt;",'HZ-ASD Tracker'!$F$5:$F$994,"AOG",'HZ-ASD Tracker'!$E$5:$E$994,"&lt;&gt;Closed")</f>
        <v>7</v>
      </c>
      <c r="F5" s="48" t="n">
        <f aca="false">COUNTIFS('HZ-ASD Tracker'!$A$5:$A$994,"&lt;&gt;",'HZ-ASD Tracker'!$F$5:$F$994,"Critical",'HZ-ASD Tracker'!$E$5:$E$994,"&lt;&gt;Closed")</f>
        <v>13</v>
      </c>
      <c r="G5" s="49" t="n">
        <f aca="false">IFERROR(COUNTIFS('HZ-ASD Tracker'!$A$5:$A$994,"&lt;&gt;",'HZ-ASD Tracker'!$E$5:$E$994,"Closed")/COUNTIF('HZ-ASD Tracker'!$A$5:$A$994,"&lt;&gt;"),0)</f>
        <v>0.669546436285097</v>
      </c>
      <c r="H5" s="50"/>
      <c r="I5" s="1"/>
      <c r="J5" s="1"/>
      <c r="K5" s="1"/>
    </row>
    <row r="6" customFormat="false" ht="6.75" hidden="false" customHeight="true" outlineLevel="0" collapsed="false">
      <c r="I6" s="1"/>
      <c r="J6" s="1"/>
      <c r="K6" s="1"/>
    </row>
    <row r="7" customFormat="false" ht="18" hidden="false" customHeight="true" outlineLevel="0" collapsed="false">
      <c r="A7" s="51" t="s">
        <v>1095</v>
      </c>
      <c r="B7" s="51"/>
      <c r="C7" s="51"/>
      <c r="D7" s="51"/>
      <c r="E7" s="51"/>
      <c r="F7" s="51"/>
      <c r="G7" s="51"/>
      <c r="I7" s="1"/>
      <c r="J7" s="1"/>
      <c r="K7" s="1"/>
    </row>
    <row r="8" customFormat="false" ht="24" hidden="false" customHeight="true" outlineLevel="0" collapsed="false">
      <c r="A8" s="52" t="str">
        <f aca="true">"🛬 O.O.S  "&amp;TEXT(DASHBOARD!$M$1-1,"DD-MMM")&amp;"      🛫 B.I.S  "&amp;TEXT(DASHBOARD!$M$2,"DD-MMM")&amp;"      GROUND TIME "&amp;(DASHBOARD!$M$2-DASHBOARD!$M$1+1)&amp;" days"&amp;"      ·      DAY "&amp;MAX(MIN(TODAY()-DASHBOARD!$M$1+1,DASHBOARD!$M$2-DASHBOARD!$M$1+1),0)&amp;"/"&amp;(DASHBOARD!$M$2-DASHBOARD!$M$1+1)</f>
        <v>🛬 O.O.S  17-Jul      🛫 B.I.S  24-Aug      GROUND TIME 38 days      ·      DAY 38/38</v>
      </c>
      <c r="B8" s="52"/>
      <c r="C8" s="52"/>
      <c r="D8" s="52"/>
      <c r="E8" s="52"/>
      <c r="F8" s="52"/>
      <c r="G8" s="52"/>
      <c r="I8" s="1"/>
      <c r="J8" s="1"/>
      <c r="K8" s="1"/>
    </row>
    <row r="9" customFormat="false" ht="18" hidden="false" customHeight="true" outlineLevel="0" collapsed="false">
      <c r="A9" s="53" t="str">
        <f aca="true">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5 — Release</v>
      </c>
      <c r="B9" s="53"/>
      <c r="C9" s="53"/>
      <c r="D9" s="53"/>
      <c r="E9" s="53"/>
      <c r="F9" s="53"/>
      <c r="G9" s="53"/>
      <c r="I9" s="1"/>
      <c r="J9" s="1"/>
      <c r="K9" s="1"/>
    </row>
    <row r="10" customFormat="false" ht="18" hidden="false" customHeight="true" outlineLevel="0" collapsed="false">
      <c r="A10" s="54" t="str">
        <f aca="true">IF(NOT(ISNUMBER(LAYOVER!$B$19)),"⏳ set findings cutoff (LAYOVER)",IF(TODAY()&gt;LAYOVER!$B$19,"🔒 FINDINGS WINDOW CLOSED","⏳ Findings window closes in: "&amp;(LAYOVER!$B$19-TODAY())&amp;" day(s)"))</f>
        <v>🔒 FINDINGS WINDOW CLOSED</v>
      </c>
      <c r="B10" s="54"/>
      <c r="C10" s="54"/>
      <c r="D10" s="54"/>
      <c r="E10" s="54"/>
      <c r="F10" s="54"/>
      <c r="G10" s="54"/>
      <c r="I10" s="1"/>
      <c r="J10" s="1"/>
      <c r="K10" s="1"/>
    </row>
    <row r="11" customFormat="false" ht="18" hidden="false" customHeight="true" outlineLevel="0" collapsed="false">
      <c r="A11" s="55" t="str">
        <f aca="true">IF(MIN(LAYOVER!$D$41:$D$48)=9^9,"📅 No upcoming milestone","📅 Next: "&amp;INDEX(LAYOVER!$A$41:$A$48,MATCH(MIN(LAYOVER!$D$41:$D$48),LAYOVER!$D$41:$D$48,0))&amp;" — "&amp;TEXT(MIN(LAYOVER!$D$41:$D$48),"DD-MMM")&amp;IF(MIN(LAYOVER!$D$41:$D$48)=TODAY()," (TODAY!)"," (in "&amp;(MIN(LAYOVER!$D$41:$D$48)-TODAY())&amp;"d)"))</f>
        <v>📅 No upcoming milestone</v>
      </c>
      <c r="B11" s="55"/>
      <c r="C11" s="55"/>
      <c r="D11" s="55"/>
      <c r="E11" s="55"/>
      <c r="F11" s="55"/>
      <c r="G11" s="55"/>
      <c r="I11" s="1"/>
      <c r="J11" s="1"/>
      <c r="K11" s="1"/>
    </row>
    <row r="12" customFormat="false" ht="18" hidden="false" customHeight="true" outlineLevel="0" collapsed="false">
      <c r="A12" s="56" t="str">
        <f aca="true">IF(NOT(ISNUMBER(LAYOVER!$C$28)),"🔒 Cabin close-up: date TBD",IF(TODAY()&gt;LAYOVER!$C$28,"🔒 Close-up date passed — "&amp;COUNTIFS('HZ-ASD Tracker'!$A$5:$A$996,"&lt;&gt;",'HZ-ASD Tracker'!$F$5:$F$996,"ACCESS",'HZ-ASD Tracker'!$E$5:$E$996,"&lt;&gt;Closed")&amp;" ACCESS still open","🔒 Close-up in "&amp;(LAYOVER!$C$28-TODAY())&amp;" day(s)  ·  "&amp;COUNTIFS('HZ-ASD Tracker'!$A$5:$A$996,"&lt;&gt;",'HZ-ASD Tracker'!$F$5:$F$996,"ACCESS",'HZ-ASD Tracker'!$E$5:$E$996,"&lt;&gt;Closed")&amp;" ACCESS still open"))</f>
        <v>🔒 Close-up date passed — 28 ACCESS still open</v>
      </c>
      <c r="B12" s="56"/>
      <c r="C12" s="56"/>
      <c r="D12" s="56"/>
      <c r="E12" s="56"/>
      <c r="F12" s="56"/>
      <c r="G12" s="56"/>
      <c r="I12" s="1"/>
      <c r="J12" s="1"/>
      <c r="K12" s="1"/>
    </row>
    <row r="13" customFormat="false" ht="18" hidden="false" customHeight="true" outlineLevel="0" collapsed="false">
      <c r="A13" s="51" t="s">
        <v>1096</v>
      </c>
      <c r="B13" s="51"/>
      <c r="C13" s="51"/>
      <c r="D13" s="51"/>
      <c r="E13" s="51"/>
      <c r="F13" s="51"/>
      <c r="G13" s="51"/>
      <c r="I13" s="1"/>
      <c r="J13" s="1"/>
      <c r="K13" s="1"/>
    </row>
    <row r="14" customFormat="false" ht="12" hidden="false" customHeight="true" outlineLevel="0" collapsed="false">
      <c r="A14" s="57"/>
      <c r="B14" s="57" t="s">
        <v>22</v>
      </c>
      <c r="C14" s="57" t="s">
        <v>1097</v>
      </c>
      <c r="D14" s="57" t="s">
        <v>1098</v>
      </c>
      <c r="E14" s="57" t="s">
        <v>1099</v>
      </c>
      <c r="F14" s="57" t="s">
        <v>1100</v>
      </c>
      <c r="I14" s="1"/>
      <c r="J14" s="1"/>
      <c r="K14" s="1"/>
    </row>
    <row r="15" customFormat="false" ht="16.5" hidden="false" customHeight="true" outlineLevel="0" collapsed="false">
      <c r="A15" s="58" t="s">
        <v>1101</v>
      </c>
      <c r="B15" s="59" t="n">
        <f aca="false">(COUNTIFS('HZ-ASD Tracker'!$A$5:$A$994,"&lt;&gt;",'HZ-ASD Tracker'!$E$5:$E$994,"Closed")-SUMPRODUCT(('HZ-ASD Tracker'!$A$5:$A$994&lt;&gt;"")*(LEN('HZ-ASD Tracker'!$A$5:$A$994)=8)*ISNUMBER(--'HZ-ASD Tracker'!$A$5:$A$994)*('HZ-ASD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103</v>
      </c>
      <c r="C15" s="59" t="n">
        <f aca="false">(COUNTIF('HZ-ASD Tracker'!$A$5:$A$994,"&lt;&gt;")-SUMPRODUCT(('HZ-ASD Tracker'!$A$5:$A$994&lt;&gt;"")*(LEN('HZ-ASD Tracker'!$A$5:$A$994)=8)*ISNUMBER(--'HZ-ASD Tracker'!$A$5:$A$994))+SUMPRODUCT(('HZ-ASD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165</v>
      </c>
      <c r="D15" s="60" t="n">
        <f aca="false">IFERROR(B15/C15,0)</f>
        <v>0.624242424242424</v>
      </c>
      <c r="E15" s="60" t="n">
        <f aca="true">MIN(MAX((TODAY()-DASHBOARD!$M$1)/(DASHBOARD!$M$2-DASHBOARD!$M$1),0),1)</f>
        <v>1</v>
      </c>
      <c r="F15" s="61" t="n">
        <f aca="false">C15-B15</f>
        <v>62</v>
      </c>
      <c r="G15" s="62" t="n">
        <f aca="false">IF(D15=0,"",D15)</f>
        <v>0.624242424242424</v>
      </c>
      <c r="I15" s="1"/>
      <c r="J15" s="1"/>
      <c r="K15" s="1"/>
    </row>
    <row r="16" customFormat="false" ht="16.5" hidden="false" customHeight="true" outlineLevel="0" collapsed="false">
      <c r="A16" s="63" t="s">
        <v>1102</v>
      </c>
      <c r="B16" s="59" t="n">
        <f aca="false">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f>
        <v>10</v>
      </c>
      <c r="C16" s="59" t="n">
        <f aca="false">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f>
        <v>19</v>
      </c>
      <c r="D16" s="60" t="n">
        <f aca="false">IFERROR(B16/C16,0)</f>
        <v>0.526315789473684</v>
      </c>
      <c r="E16" s="60" t="n">
        <f aca="true">IF(AND(ISNUMBER(LAYOVER!$B$22),ISNUMBER(LAYOVER!$C$22)),MIN(MAX((TODAY()-LAYOVER!$B$22)/(LAYOVER!$C$22-LAYOVER!$B$22),0),1),"")</f>
        <v>1</v>
      </c>
      <c r="F16" s="61" t="n">
        <f aca="false">C16-B16</f>
        <v>9</v>
      </c>
      <c r="G16" s="62" t="n">
        <f aca="false">IF(D16=0,"",D16)</f>
        <v>0.526315789473684</v>
      </c>
      <c r="I16" s="1"/>
      <c r="J16" s="1"/>
      <c r="K16" s="1"/>
    </row>
    <row r="17" customFormat="false" ht="16.5" hidden="false" customHeight="true" outlineLevel="0" collapsed="false">
      <c r="A17" s="64" t="s">
        <v>1103</v>
      </c>
      <c r="B17" s="59" t="n">
        <f aca="false">(SUMPRODUCT(('HZ-ASD Tracker'!$A$5:$A$994&lt;&gt;"")*(LEN('HZ-ASD Tracker'!$A$5:$A$994)=8)*ISNUMBER(--'HZ-ASD Tracker'!$A$5:$A$994)*('HZ-ASD Tracker'!$E$5:$E$994="Closed"))-SUMPRODUCT(('HZ-ASD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Tracker'!$B$5:$B$994)))&gt;0)*('HZ-ASD Tracker'!$E$5:$E$994="Closed"))-SUMPRODUCT(('HZ-ASD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Tracker'!$B$5:$B$994,7)="WEEKLY-"))&gt;0)*('HZ-ASD Tracker'!$E$5:$E$994="Closed")))</f>
        <v>197</v>
      </c>
      <c r="C17" s="59" t="n">
        <f aca="false">(SUMPRODUCT(('HZ-ASD Tracker'!$A$5:$A$994&lt;&gt;"")*(LEN('HZ-ASD Tracker'!$A$5:$A$994)=8)*ISNUMBER(--'HZ-ASD Tracker'!$A$5:$A$994))-SUMPRODUCT(('HZ-ASD Tracker'!$A$5:$A$994&lt;&gt;"")*(LEN('HZ-ASD Tracker'!$A$5:$A$994)=8)*ISNUMBER(--'HZ-ASD Tracker'!$A$5:$A$994)*(((LEFT('HZ-ASD Tracker'!$B$5:$B$994,4)="EOD-")+(LEFT('HZ-ASD Tracker'!$B$5:$B$994,3)="EO-")+(LEFT('HZ-ASD Tracker'!$B$5:$B$994,3)="ER-")+(LEFT('HZ-ASD Tracker'!$B$5:$B$994,5)="FRSEO")+(LEFT('HZ-ASD Tracker'!$B$5:$B$994,1)="S")*ISNUMBER(--MID('HZ-ASD Tracker'!$B$5:$B$994,2,2))*(MID('HZ-ASD Tracker'!$B$5:$B$994,4,2)="-R")+(LEFT('HZ-ASD Tracker'!$B$5:$B$994,8)="REPLACE ")+ISNUMBER(SEARCH("/AD-",'HZ-ASD Tracker'!$B$5:$B$994)))&gt;0))-SUMPRODUCT(('HZ-ASD Tracker'!$A$5:$A$994&lt;&gt;"")*(LEN('HZ-ASD Tracker'!$A$5:$A$994)=8)*ISNUMBER(--'HZ-ASD Tracker'!$A$5:$A$994)*(((LEFT('HZ-ASD Tracker'!$B$5:$B$994,3)="6Y_")+(LEFT('HZ-ASD Tracker'!$B$5:$B$994,4)="A_N ")+(LEFT('HZ-ASD Tracker'!$B$5:$B$994,4)="C_N ")+(LEFT('HZ-ASD Tracker'!$B$5:$B$994,4)="DCC-")+(LEFT('HZ-ASD Tracker'!$B$5:$B$994,4)="CCC-")+(LEFT('HZ-ASD Tracker'!$B$5:$B$994,4)="ISC-")+(LEFT('HZ-ASD Tracker'!$B$5:$B$994,7)="WEEKLY-"))&gt;0)))</f>
        <v>279</v>
      </c>
      <c r="D17" s="60" t="n">
        <f aca="false">IFERROR(B17/C17,0)</f>
        <v>0.706093189964158</v>
      </c>
      <c r="E17" s="60" t="n">
        <f aca="true">IF(AND(ISNUMBER(LAYOVER!$B$21),ISNUMBER(LAYOVER!$C$21)),MIN(MAX((TODAY()-LAYOVER!$B$21)/(LAYOVER!$C$21-LAYOVER!$B$21),0),1),"")</f>
        <v>1</v>
      </c>
      <c r="F17" s="61" t="n">
        <f aca="false">C17-B17</f>
        <v>82</v>
      </c>
      <c r="G17" s="62" t="n">
        <f aca="false">IF(D17=0,"",D17)</f>
        <v>0.706093189964158</v>
      </c>
    </row>
    <row r="18" customFormat="false" ht="6.75" hidden="false" customHeight="true" outlineLevel="0" collapsed="false"/>
    <row r="19" customFormat="false" ht="18" hidden="false" customHeight="true" outlineLevel="0" collapsed="false">
      <c r="A19" s="51" t="s">
        <v>1104</v>
      </c>
      <c r="B19" s="51"/>
      <c r="C19" s="51"/>
      <c r="D19" s="51"/>
      <c r="E19" s="51"/>
      <c r="F19" s="51"/>
      <c r="G19" s="51"/>
    </row>
    <row r="20" customFormat="false" ht="12" hidden="false" customHeight="true" outlineLevel="0" collapsed="false">
      <c r="A20" s="57"/>
      <c r="B20" s="57" t="s">
        <v>22</v>
      </c>
      <c r="C20" s="57" t="s">
        <v>1097</v>
      </c>
      <c r="D20" s="57" t="s">
        <v>1098</v>
      </c>
      <c r="E20" s="57" t="s">
        <v>1105</v>
      </c>
      <c r="F20" s="57" t="s">
        <v>1100</v>
      </c>
    </row>
    <row r="21" customFormat="false" ht="16.5" hidden="false" customHeight="true" outlineLevel="0" collapsed="false">
      <c r="A21" s="65" t="s">
        <v>34</v>
      </c>
      <c r="B21" s="59" t="n">
        <f aca="false">COUNTIFS('HZ-ASD Tracker'!$A$5:$A$994,"&lt;&gt;",'HZ-ASD Tracker'!$D$5:$D$994,"GENERAL CABIN",'HZ-ASD Tracker'!$E$5:$E$994,"Closed")</f>
        <v>43</v>
      </c>
      <c r="C21" s="59" t="n">
        <f aca="false">COUNTIFS('HZ-ASD Tracker'!$A$5:$A$994,"&lt;&gt;",'HZ-ASD Tracker'!$D$5:$D$994,"GENERAL CABIN")</f>
        <v>73</v>
      </c>
      <c r="D21" s="60" t="n">
        <f aca="false">IFERROR(B21/C21,0)</f>
        <v>0.589041095890411</v>
      </c>
      <c r="E21" s="60" t="n">
        <f aca="false">IFERROR(C21/COUNTIF('HZ-ASD Tracker'!$A$5:$A$994,"&lt;&gt;"),0)</f>
        <v>0.157667386609071</v>
      </c>
      <c r="F21" s="61" t="n">
        <f aca="false">C21-B21</f>
        <v>30</v>
      </c>
      <c r="G21" s="62" t="n">
        <f aca="false">IF(D21=0,"",D21)</f>
        <v>0.589041095890411</v>
      </c>
    </row>
    <row r="22" customFormat="false" ht="16.5" hidden="false" customHeight="true" outlineLevel="0" collapsed="false">
      <c r="A22" s="66" t="s">
        <v>67</v>
      </c>
      <c r="B22" s="59" t="n">
        <f aca="false">COUNTIFS('HZ-ASD Tracker'!$A$5:$A$994,"&lt;&gt;",'HZ-ASD Tracker'!$D$5:$D$994,"GALLEY",'HZ-ASD Tracker'!$E$5:$E$994,"Closed")</f>
        <v>36</v>
      </c>
      <c r="C22" s="59" t="n">
        <f aca="false">COUNTIFS('HZ-ASD Tracker'!$A$5:$A$994,"&lt;&gt;",'HZ-ASD Tracker'!$D$5:$D$994,"GALLEY")</f>
        <v>53</v>
      </c>
      <c r="D22" s="60" t="n">
        <f aca="false">IFERROR(B22/C22,0)</f>
        <v>0.679245283018868</v>
      </c>
      <c r="E22" s="60" t="n">
        <f aca="false">IFERROR(C22/COUNTIF('HZ-ASD Tracker'!$A$5:$A$994,"&lt;&gt;"),0)</f>
        <v>0.114470842332613</v>
      </c>
      <c r="F22" s="61" t="n">
        <f aca="false">C22-B22</f>
        <v>17</v>
      </c>
      <c r="G22" s="62" t="n">
        <f aca="false">IF(D22=0,"",D22)</f>
        <v>0.679245283018868</v>
      </c>
    </row>
    <row r="23" customFormat="false" ht="16.5" hidden="false" customHeight="true" outlineLevel="0" collapsed="false">
      <c r="A23" s="67" t="s">
        <v>72</v>
      </c>
      <c r="B23" s="59" t="n">
        <f aca="false">COUNTIFS('HZ-ASD Tracker'!$A$5:$A$994,"&lt;&gt;",'HZ-ASD Tracker'!$D$5:$D$994,"LAVATORY",'HZ-ASD Tracker'!$E$5:$E$994,"Closed")</f>
        <v>33</v>
      </c>
      <c r="C23" s="59" t="n">
        <f aca="false">COUNTIFS('HZ-ASD Tracker'!$A$5:$A$994,"&lt;&gt;",'HZ-ASD Tracker'!$D$5:$D$994,"LAVATORY")</f>
        <v>43</v>
      </c>
      <c r="D23" s="60" t="n">
        <f aca="false">IFERROR(B23/C23,0)</f>
        <v>0.767441860465116</v>
      </c>
      <c r="E23" s="60" t="n">
        <f aca="false">IFERROR(C23/COUNTIF('HZ-ASD Tracker'!$A$5:$A$994,"&lt;&gt;"),0)</f>
        <v>0.0928725701943845</v>
      </c>
      <c r="F23" s="61" t="n">
        <f aca="false">C23-B23</f>
        <v>10</v>
      </c>
      <c r="G23" s="62" t="n">
        <f aca="false">IF(D23=0,"",D23)</f>
        <v>0.767441860465116</v>
      </c>
    </row>
    <row r="24" customFormat="false" ht="16.5" hidden="false" customHeight="true" outlineLevel="0" collapsed="false">
      <c r="A24" s="68" t="s">
        <v>96</v>
      </c>
      <c r="B24" s="59" t="n">
        <f aca="false">COUNTIFS('HZ-ASD Tracker'!$A$5:$A$994,"&lt;&gt;",'HZ-ASD Tracker'!$D$5:$D$994,"PAX DOORS",'HZ-ASD Tracker'!$E$5:$E$994,"Closed")</f>
        <v>45</v>
      </c>
      <c r="C24" s="59" t="n">
        <f aca="false">COUNTIFS('HZ-ASD Tracker'!$A$5:$A$994,"&lt;&gt;",'HZ-ASD Tracker'!$D$5:$D$994,"PAX DOORS")</f>
        <v>63</v>
      </c>
      <c r="D24" s="60" t="n">
        <f aca="false">IFERROR(B24/C24,0)</f>
        <v>0.714285714285714</v>
      </c>
      <c r="E24" s="60" t="n">
        <f aca="false">IFERROR(C24/COUNTIF('HZ-ASD Tracker'!$A$5:$A$994,"&lt;&gt;"),0)</f>
        <v>0.136069114470842</v>
      </c>
      <c r="F24" s="61" t="n">
        <f aca="false">C24-B24</f>
        <v>18</v>
      </c>
      <c r="G24" s="62" t="n">
        <f aca="false">IF(D24=0,"",D24)</f>
        <v>0.714285714285714</v>
      </c>
    </row>
    <row r="25" customFormat="false" ht="16.5" hidden="false" customHeight="true" outlineLevel="0" collapsed="false">
      <c r="A25" s="69" t="s">
        <v>61</v>
      </c>
      <c r="B25" s="59" t="n">
        <f aca="false">COUNTIFS('HZ-ASD Tracker'!$A$5:$A$994,"&lt;&gt;",'HZ-ASD Tracker'!$D$5:$D$994,"F/A SEAT",'HZ-ASD Tracker'!$E$5:$E$994,"Closed")</f>
        <v>24</v>
      </c>
      <c r="C25" s="59" t="n">
        <f aca="false">COUNTIFS('HZ-ASD Tracker'!$A$5:$A$994,"&lt;&gt;",'HZ-ASD Tracker'!$D$5:$D$994,"F/A SEAT")</f>
        <v>40</v>
      </c>
      <c r="D25" s="60" t="n">
        <f aca="false">IFERROR(B25/C25,0)</f>
        <v>0.6</v>
      </c>
      <c r="E25" s="60" t="n">
        <f aca="false">IFERROR(C25/COUNTIF('HZ-ASD Tracker'!$A$5:$A$994,"&lt;&gt;"),0)</f>
        <v>0.0863930885529158</v>
      </c>
      <c r="F25" s="61" t="n">
        <f aca="false">C25-B25</f>
        <v>16</v>
      </c>
      <c r="G25" s="62" t="n">
        <f aca="false">IF(D25=0,"",D25)</f>
        <v>0.6</v>
      </c>
    </row>
    <row r="26" customFormat="false" ht="16.5" hidden="false" customHeight="true" outlineLevel="0" collapsed="false">
      <c r="A26" s="70" t="s">
        <v>185</v>
      </c>
      <c r="B26" s="59" t="n">
        <f aca="false">COUNTIFS('HZ-ASD Tracker'!$A$5:$A$994,"&lt;&gt;",'HZ-ASD Tracker'!$D$5:$D$994,"PAX SEAT",'HZ-ASD Tracker'!$E$5:$E$994,"Closed")</f>
        <v>45</v>
      </c>
      <c r="C26" s="59" t="n">
        <f aca="false">COUNTIFS('HZ-ASD Tracker'!$A$5:$A$994,"&lt;&gt;",'HZ-ASD Tracker'!$D$5:$D$994,"PAX SEAT")</f>
        <v>68</v>
      </c>
      <c r="D26" s="60" t="n">
        <f aca="false">IFERROR(B26/C26,0)</f>
        <v>0.661764705882353</v>
      </c>
      <c r="E26" s="60" t="n">
        <f aca="false">IFERROR(C26/COUNTIF('HZ-ASD Tracker'!$A$5:$A$994,"&lt;&gt;"),0)</f>
        <v>0.146868250539957</v>
      </c>
      <c r="F26" s="61" t="n">
        <f aca="false">C26-B26</f>
        <v>23</v>
      </c>
      <c r="G26" s="62" t="n">
        <f aca="false">IF(D26=0,"",D26)</f>
        <v>0.661764705882353</v>
      </c>
    </row>
    <row r="27" customFormat="false" ht="16.5" hidden="false" customHeight="true" outlineLevel="0" collapsed="false">
      <c r="A27" s="71" t="s">
        <v>49</v>
      </c>
      <c r="B27" s="59" t="n">
        <f aca="false">COUNTIFS('HZ-ASD Tracker'!$A$5:$A$994,"&lt;&gt;",'HZ-ASD Tracker'!$D$5:$D$994,"FLIGHT DECK",'HZ-ASD Tracker'!$E$5:$E$994,"Closed")</f>
        <v>56</v>
      </c>
      <c r="C27" s="59" t="n">
        <f aca="false">COUNTIFS('HZ-ASD Tracker'!$A$5:$A$994,"&lt;&gt;",'HZ-ASD Tracker'!$D$5:$D$994,"FLIGHT DECK")</f>
        <v>60</v>
      </c>
      <c r="D27" s="60" t="n">
        <f aca="false">IFERROR(B27/C27,0)</f>
        <v>0.933333333333333</v>
      </c>
      <c r="E27" s="60" t="n">
        <f aca="false">IFERROR(C27/COUNTIF('HZ-ASD Tracker'!$A$5:$A$994,"&lt;&gt;"),0)</f>
        <v>0.129589632829374</v>
      </c>
      <c r="F27" s="61" t="n">
        <f aca="false">C27-B27</f>
        <v>4</v>
      </c>
      <c r="G27" s="62" t="n">
        <f aca="false">IF(D27=0,"",D27)</f>
        <v>0.933333333333333</v>
      </c>
    </row>
    <row r="28" customFormat="false" ht="16.5" hidden="false" customHeight="true" outlineLevel="0" collapsed="false">
      <c r="A28" s="72" t="s">
        <v>661</v>
      </c>
      <c r="B28" s="59" t="n">
        <f aca="false">COUNTIFS('HZ-ASD Tracker'!$A$5:$A$994,"&lt;&gt;",'HZ-ASD Tracker'!$D$5:$D$994,"TEDLAR/SIDEWALL",'HZ-ASD Tracker'!$E$5:$E$994,"Closed")</f>
        <v>14</v>
      </c>
      <c r="C28" s="59" t="n">
        <f aca="false">COUNTIFS('HZ-ASD Tracker'!$A$5:$A$994,"&lt;&gt;",'HZ-ASD Tracker'!$D$5:$D$994,"TEDLAR/SIDEWALL")</f>
        <v>15</v>
      </c>
      <c r="D28" s="60" t="n">
        <f aca="false">IFERROR(B28/C28,0)</f>
        <v>0.933333333333333</v>
      </c>
      <c r="E28" s="60" t="n">
        <f aca="false">IFERROR(C28/COUNTIF('HZ-ASD Tracker'!$A$5:$A$994,"&lt;&gt;"),0)</f>
        <v>0.0323974082073434</v>
      </c>
      <c r="F28" s="61" t="n">
        <f aca="false">C28-B28</f>
        <v>1</v>
      </c>
      <c r="G28" s="62" t="n">
        <f aca="false">IF(D28=0,"",D28)</f>
        <v>0.933333333333333</v>
      </c>
    </row>
    <row r="29" customFormat="false" ht="16.5" hidden="false" customHeight="true" outlineLevel="0" collapsed="false">
      <c r="A29" s="73" t="s">
        <v>141</v>
      </c>
      <c r="B29" s="59" t="n">
        <f aca="false">COUNTIFS('HZ-ASD Tracker'!$A$5:$A$994,"&lt;&gt;",'HZ-ASD Tracker'!$F$5:$F$994,"ACCESS",'HZ-ASD Tracker'!$E$5:$E$994,"Closed")</f>
        <v>3</v>
      </c>
      <c r="C29" s="59" t="n">
        <f aca="false">COUNTIFS('HZ-ASD Tracker'!$A$5:$A$994,"&lt;&gt;",'HZ-ASD Tracker'!$F$5:$F$994,"ACCESS")</f>
        <v>31</v>
      </c>
      <c r="D29" s="60" t="n">
        <f aca="false">IFERROR(B29/C29,0)</f>
        <v>0.0967741935483871</v>
      </c>
      <c r="E29" s="60" t="n">
        <f aca="false">IFERROR(C29/COUNTIF('HZ-ASD Tracker'!$A$5:$A$994,"&lt;&gt;"),0)</f>
        <v>0.0669546436285097</v>
      </c>
      <c r="F29" s="61" t="n">
        <f aca="false">C29-B29</f>
        <v>28</v>
      </c>
      <c r="G29" s="62" t="n">
        <f aca="false">IF(D29=0,"",D29)</f>
        <v>0.0967741935483871</v>
      </c>
    </row>
    <row r="30" customFormat="false" ht="16.5" hidden="false" customHeight="true" outlineLevel="0" collapsed="false">
      <c r="A30" s="74" t="s">
        <v>21</v>
      </c>
      <c r="B30" s="59" t="n">
        <f aca="false">COUNTIFS('HZ-ASD Tracker'!$A$5:$A$994,"&lt;&gt;",'HZ-ASD Tracker'!$D$5:$D$994,"ACFT GENERAL T/C",'HZ-ASD Tracker'!$E$5:$E$994,"Closed")</f>
        <v>13</v>
      </c>
      <c r="C30" s="59" t="n">
        <f aca="false">COUNTIFS('HZ-ASD Tracker'!$A$5:$A$994,"&lt;&gt;",'HZ-ASD Tracker'!$D$5:$D$994,"ACFT GENERAL T/C")</f>
        <v>47</v>
      </c>
      <c r="D30" s="60" t="n">
        <f aca="false">IFERROR(B30/C30,0)</f>
        <v>0.276595744680851</v>
      </c>
      <c r="E30" s="60" t="n">
        <f aca="false">IFERROR(C30/COUNTIF('HZ-ASD Tracker'!$A$5:$A$994,"&lt;&gt;"),0)</f>
        <v>0.101511879049676</v>
      </c>
      <c r="F30" s="61" t="n">
        <f aca="false">C30-B30</f>
        <v>34</v>
      </c>
      <c r="G30" s="62" t="n">
        <f aca="false">IF(D30=0,"",D30)</f>
        <v>0.276595744680851</v>
      </c>
    </row>
    <row r="31" customFormat="false" ht="6.75" hidden="false" customHeight="true" outlineLevel="0" collapsed="false"/>
    <row r="32" customFormat="false" ht="18" hidden="false" customHeight="true" outlineLevel="0" collapsed="false">
      <c r="A32" s="51" t="s">
        <v>1106</v>
      </c>
      <c r="B32" s="51"/>
      <c r="C32" s="51"/>
      <c r="D32" s="51"/>
      <c r="E32" s="51"/>
      <c r="F32" s="51"/>
      <c r="G32" s="51"/>
    </row>
    <row r="33" customFormat="false" ht="12" hidden="false" customHeight="true" outlineLevel="0" collapsed="false">
      <c r="A33" s="57"/>
      <c r="B33" s="57" t="s">
        <v>22</v>
      </c>
      <c r="C33" s="57" t="s">
        <v>1097</v>
      </c>
      <c r="D33" s="57" t="s">
        <v>1098</v>
      </c>
      <c r="E33" s="57" t="s">
        <v>1105</v>
      </c>
      <c r="F33" s="57" t="s">
        <v>1100</v>
      </c>
    </row>
    <row r="34" customFormat="false" ht="16.5" hidden="false" customHeight="true" outlineLevel="0" collapsed="false">
      <c r="A34" s="75" t="s">
        <v>50</v>
      </c>
      <c r="B34" s="59" t="n">
        <f aca="false">COUNTIFS('HZ-ASD Tracker'!$A$5:$A$994,"&lt;&gt;",'HZ-ASD Tracker'!$G$5:$G$994,"CAB",'HZ-ASD Tracker'!$E$5:$E$994,"Closed")</f>
        <v>131</v>
      </c>
      <c r="C34" s="59" t="n">
        <f aca="false">COUNTIFS('HZ-ASD Tracker'!$A$5:$A$994,"&lt;&gt;",'HZ-ASD Tracker'!$G$5:$G$994,"CAB")</f>
        <v>215</v>
      </c>
      <c r="D34" s="60" t="n">
        <f aca="false">IFERROR(B34/C34,0)</f>
        <v>0.609302325581395</v>
      </c>
      <c r="E34" s="60" t="n">
        <f aca="false">IFERROR(C34/COUNTIF('HZ-ASD Tracker'!$A$5:$A$994,"&lt;&gt;"),0)</f>
        <v>0.464362850971922</v>
      </c>
      <c r="F34" s="61" t="n">
        <f aca="false">C34-B34</f>
        <v>84</v>
      </c>
      <c r="G34" s="62" t="n">
        <f aca="false">IF(D34=0,"",D34)</f>
        <v>0.609302325581395</v>
      </c>
    </row>
    <row r="35" customFormat="false" ht="16.5" hidden="false" customHeight="true" outlineLevel="0" collapsed="false">
      <c r="A35" s="69" t="s">
        <v>186</v>
      </c>
      <c r="B35" s="59" t="n">
        <f aca="false">COUNTIFS('HZ-ASD Tracker'!$A$5:$A$994,"&lt;&gt;",'HZ-ASD Tracker'!$G$5:$G$994,"SEAT",'HZ-ASD Tracker'!$E$5:$E$994,"Closed")</f>
        <v>39</v>
      </c>
      <c r="C35" s="59" t="n">
        <f aca="false">COUNTIFS('HZ-ASD Tracker'!$A$5:$A$994,"&lt;&gt;",'HZ-ASD Tracker'!$G$5:$G$994,"SEAT")</f>
        <v>54</v>
      </c>
      <c r="D35" s="60" t="n">
        <f aca="false">IFERROR(B35/C35,0)</f>
        <v>0.722222222222222</v>
      </c>
      <c r="E35" s="60" t="n">
        <f aca="false">IFERROR(C35/COUNTIF('HZ-ASD Tracker'!$A$5:$A$994,"&lt;&gt;"),0)</f>
        <v>0.116630669546436</v>
      </c>
      <c r="F35" s="61" t="n">
        <f aca="false">C35-B35</f>
        <v>15</v>
      </c>
      <c r="G35" s="62" t="n">
        <f aca="false">IF(D35=0,"",D35)</f>
        <v>0.722222222222222</v>
      </c>
    </row>
    <row r="36" customFormat="false" ht="16.5" hidden="false" customHeight="true" outlineLevel="0" collapsed="false">
      <c r="A36" s="68" t="s">
        <v>208</v>
      </c>
      <c r="B36" s="59" t="n">
        <f aca="false">COUNTIFS('HZ-ASD Tracker'!$A$5:$A$994,"&lt;&gt;",'HZ-ASD Tracker'!$G$5:$G$994,"AV",'HZ-ASD Tracker'!$E$5:$E$994,"Closed")</f>
        <v>30</v>
      </c>
      <c r="C36" s="59" t="n">
        <f aca="false">COUNTIFS('HZ-ASD Tracker'!$A$5:$A$994,"&lt;&gt;",'HZ-ASD Tracker'!$G$5:$G$994,"AV")</f>
        <v>37</v>
      </c>
      <c r="D36" s="60" t="n">
        <f aca="false">IFERROR(B36/C36,0)</f>
        <v>0.810810810810811</v>
      </c>
      <c r="E36" s="60" t="n">
        <f aca="false">IFERROR(C36/COUNTIF('HZ-ASD Tracker'!$A$5:$A$994,"&lt;&gt;"),0)</f>
        <v>0.0799136069114471</v>
      </c>
      <c r="F36" s="61" t="n">
        <f aca="false">C36-B36</f>
        <v>7</v>
      </c>
      <c r="G36" s="62" t="n">
        <f aca="false">IF(D36=0,"",D36)</f>
        <v>0.810810810810811</v>
      </c>
    </row>
    <row r="37" customFormat="false" ht="16.5" hidden="false" customHeight="true" outlineLevel="0" collapsed="false">
      <c r="A37" s="72" t="s">
        <v>988</v>
      </c>
      <c r="B37" s="59" t="n">
        <f aca="false">COUNTIFS('HZ-ASD Tracker'!$A$5:$A$994,"&lt;&gt;",'HZ-ASD Tracker'!$G$5:$G$994,"WALL",'HZ-ASD Tracker'!$E$5:$E$994,"Closed")</f>
        <v>22</v>
      </c>
      <c r="C37" s="59" t="n">
        <f aca="false">COUNTIFS('HZ-ASD Tracker'!$A$5:$A$994,"&lt;&gt;",'HZ-ASD Tracker'!$G$5:$G$994,"WALL")</f>
        <v>22</v>
      </c>
      <c r="D37" s="60" t="n">
        <f aca="false">IFERROR(B37/C37,0)</f>
        <v>1</v>
      </c>
      <c r="E37" s="60" t="n">
        <f aca="false">IFERROR(C37/COUNTIF('HZ-ASD Tracker'!$A$5:$A$994,"&lt;&gt;"),0)</f>
        <v>0.0475161987041037</v>
      </c>
      <c r="F37" s="61" t="n">
        <f aca="false">C37-B37</f>
        <v>0</v>
      </c>
      <c r="G37" s="62" t="n">
        <f aca="false">IF(D37=0,"",D37)</f>
        <v>1</v>
      </c>
    </row>
    <row r="38" customFormat="false" ht="16.5" hidden="false" customHeight="true" outlineLevel="0" collapsed="false">
      <c r="A38" s="66" t="s">
        <v>748</v>
      </c>
      <c r="B38" s="59" t="n">
        <f aca="false">COUNTIFS('HZ-ASD Tracker'!$A$5:$A$994,"&lt;&gt;",'HZ-ASD Tracker'!$G$5:$G$994,"S/M",'HZ-ASD Tracker'!$E$5:$E$994,"Closed")</f>
        <v>10</v>
      </c>
      <c r="C38" s="59" t="n">
        <f aca="false">COUNTIFS('HZ-ASD Tracker'!$A$5:$A$994,"&lt;&gt;",'HZ-ASD Tracker'!$G$5:$G$994,"S/M")</f>
        <v>14</v>
      </c>
      <c r="D38" s="60" t="n">
        <f aca="false">IFERROR(B38/C38,0)</f>
        <v>0.714285714285714</v>
      </c>
      <c r="E38" s="60" t="n">
        <f aca="false">IFERROR(C38/COUNTIF('HZ-ASD Tracker'!$A$5:$A$994,"&lt;&gt;"),0)</f>
        <v>0.0302375809935205</v>
      </c>
      <c r="F38" s="61" t="n">
        <f aca="false">C38-B38</f>
        <v>4</v>
      </c>
      <c r="G38" s="62" t="n">
        <f aca="false">IF(D38=0,"",D38)</f>
        <v>0.714285714285714</v>
      </c>
    </row>
    <row r="39" customFormat="false" ht="16.5" hidden="false" customHeight="true" outlineLevel="0" collapsed="false">
      <c r="A39" s="76" t="s">
        <v>167</v>
      </c>
      <c r="B39" s="59" t="n">
        <f aca="false">COUNTIFS('HZ-ASD Tracker'!$A$5:$A$994,"&lt;&gt;",'HZ-ASD Tracker'!$G$5:$G$994,"PAINT",'HZ-ASD Tracker'!$E$5:$E$994,"Closed")</f>
        <v>33</v>
      </c>
      <c r="C39" s="59" t="n">
        <f aca="false">COUNTIFS('HZ-ASD Tracker'!$A$5:$A$994,"&lt;&gt;",'HZ-ASD Tracker'!$G$5:$G$994,"PAINT")</f>
        <v>41</v>
      </c>
      <c r="D39" s="60" t="n">
        <f aca="false">IFERROR(B39/C39,0)</f>
        <v>0.804878048780488</v>
      </c>
      <c r="E39" s="60" t="n">
        <f aca="false">IFERROR(C39/COUNTIF('HZ-ASD Tracker'!$A$5:$A$994,"&lt;&gt;"),0)</f>
        <v>0.0885529157667387</v>
      </c>
      <c r="F39" s="61" t="n">
        <f aca="false">C39-B39</f>
        <v>8</v>
      </c>
      <c r="G39" s="62" t="n">
        <f aca="false">IF(D39=0,"",D39)</f>
        <v>0.804878048780488</v>
      </c>
    </row>
    <row r="40" customFormat="false" ht="16.5" hidden="false" customHeight="true" outlineLevel="0" collapsed="false">
      <c r="A40" s="77" t="s">
        <v>24</v>
      </c>
      <c r="B40" s="59" t="n">
        <f aca="false">COUNTIFS('HZ-ASD Tracker'!$A$5:$A$994,"&lt;&gt;",'HZ-ASD Tracker'!$G$5:$G$994,"JOINT",'HZ-ASD Tracker'!$E$5:$E$994,"Closed")</f>
        <v>22</v>
      </c>
      <c r="C40" s="59" t="n">
        <f aca="false">COUNTIFS('HZ-ASD Tracker'!$A$5:$A$994,"&lt;&gt;",'HZ-ASD Tracker'!$G$5:$G$994,"JOINT")</f>
        <v>36</v>
      </c>
      <c r="D40" s="60" t="n">
        <f aca="false">IFERROR(B40/C40,0)</f>
        <v>0.611111111111111</v>
      </c>
      <c r="E40" s="60" t="n">
        <f aca="false">IFERROR(C40/COUNTIF('HZ-ASD Tracker'!$A$5:$A$994,"&lt;&gt;"),0)</f>
        <v>0.0777537796976242</v>
      </c>
      <c r="F40" s="61" t="n">
        <f aca="false">C40-B40</f>
        <v>14</v>
      </c>
      <c r="G40" s="62" t="n">
        <f aca="false">IF(D40=0,"",D40)</f>
        <v>0.611111111111111</v>
      </c>
    </row>
    <row r="41" customFormat="false" ht="16.5" hidden="false" customHeight="true" outlineLevel="0" collapsed="false">
      <c r="A41" s="65" t="s">
        <v>83</v>
      </c>
      <c r="B41" s="59" t="n">
        <f aca="false">COUNTIFS('HZ-ASD Tracker'!$A$5:$A$994,"&lt;&gt;",'HZ-ASD Tracker'!$G$5:$G$994,"INSP",'HZ-ASD Tracker'!$E$5:$E$994,"Closed")</f>
        <v>11</v>
      </c>
      <c r="C41" s="59" t="n">
        <f aca="false">COUNTIFS('HZ-ASD Tracker'!$A$5:$A$994,"&lt;&gt;",'HZ-ASD Tracker'!$G$5:$G$994,"INSP")</f>
        <v>18</v>
      </c>
      <c r="D41" s="60" t="n">
        <f aca="false">IFERROR(B41/C41,0)</f>
        <v>0.611111111111111</v>
      </c>
      <c r="E41" s="60" t="n">
        <f aca="false">IFERROR(C41/COUNTIF('HZ-ASD Tracker'!$A$5:$A$994,"&lt;&gt;"),0)</f>
        <v>0.0388768898488121</v>
      </c>
      <c r="F41" s="61" t="n">
        <f aca="false">C41-B41</f>
        <v>7</v>
      </c>
      <c r="G41" s="62" t="n">
        <f aca="false">IF(D41=0,"",D41)</f>
        <v>0.611111111111111</v>
      </c>
    </row>
    <row r="42" customFormat="false" ht="16.5" hidden="false" customHeight="true" outlineLevel="0" collapsed="false">
      <c r="A42" s="78" t="s">
        <v>157</v>
      </c>
      <c r="B42" s="59" t="n">
        <f aca="false">COUNTIFS('HZ-ASD Tracker'!$A$5:$A$994,"&lt;&gt;",'HZ-ASD Tracker'!$G$5:$G$994,"AP",'HZ-ASD Tracker'!$E$5:$E$994,"Closed")</f>
        <v>9</v>
      </c>
      <c r="C42" s="59" t="n">
        <f aca="false">COUNTIFS('HZ-ASD Tracker'!$A$5:$A$994,"&lt;&gt;",'HZ-ASD Tracker'!$G$5:$G$994,"AP")</f>
        <v>18</v>
      </c>
      <c r="D42" s="60" t="n">
        <f aca="false">IFERROR(B42/C42,0)</f>
        <v>0.5</v>
      </c>
      <c r="E42" s="60" t="n">
        <f aca="false">IFERROR(C42/COUNTIF('HZ-ASD Tracker'!$A$5:$A$994,"&lt;&gt;"),0)</f>
        <v>0.0388768898488121</v>
      </c>
      <c r="F42" s="61" t="n">
        <f aca="false">C42-B42</f>
        <v>9</v>
      </c>
      <c r="G42" s="62" t="n">
        <f aca="false">IF(D42=0,"",D42)</f>
        <v>0.5</v>
      </c>
    </row>
    <row r="43" customFormat="false" ht="6.75" hidden="false" customHeight="true" outlineLevel="0" collapsed="false"/>
    <row r="44" customFormat="false" ht="18" hidden="false" customHeight="true" outlineLevel="0" collapsed="false">
      <c r="A44" s="51" t="s">
        <v>1107</v>
      </c>
      <c r="B44" s="51"/>
      <c r="C44" s="79" t="s">
        <v>1108</v>
      </c>
      <c r="D44" s="79" t="s">
        <v>1100</v>
      </c>
      <c r="E44" s="79" t="s">
        <v>1109</v>
      </c>
      <c r="F44" s="80" t="str">
        <f aca="true">IFERROR(IF(COUNTIFS('HZ-ASD Tracker'!$A$5:$A$995,"&lt;&gt;",'HZ-ASD Tracker'!$E$5:$E$995,"Closed")&gt;=ROUND(COUNTIF('HZ-ASD Tracker'!$A$5:$A$995,"&lt;&gt;")*VLOOKUP(MAX(MIN(TODAY()-DASHBOARD!$M$1+1,38),1),'FULL PKG'!$L$2:$M$39,2,0),0),"📈 S-curve: +"&amp;(COUNTIFS('HZ-ASD Tracker'!$A$5:$A$995,"&lt;&gt;",'HZ-ASD Tracker'!$E$5:$E$995,"Closed")-ROUND(COUNTIF('HZ-ASD Tracker'!$A$5:$A$995,"&lt;&gt;")*VLOOKUP(MAX(MIN(TODAY()-DASHBOARD!$M$1+1,38),1),'FULL PKG'!$L$2:$M$39,2,0),0))&amp;" ahead 🟢","📉 S-curve: "&amp;(COUNTIFS('HZ-ASD Tracker'!$A$5:$A$995,"&lt;&gt;",'HZ-ASD Tracker'!$E$5:$E$995,"Closed")-ROUND(COUNTIF('HZ-ASD Tracker'!$A$5:$A$995,"&lt;&gt;")*VLOOKUP(MAX(MIN(TODAY()-DASHBOARD!$M$1+1,38),1),'FULL PKG'!$L$2:$M$39,2,0),0))&amp;" behind 🔴"),"📈 S-curve: no plan data in FULL PKG L:M")</f>
        <v>📈 S-curve: no plan data in FULL PKG L:M</v>
      </c>
      <c r="G44" s="80"/>
    </row>
    <row r="45" customFormat="false" ht="15" hidden="false" customHeight="true" outlineLevel="0" collapsed="false">
      <c r="A45" s="81" t="n">
        <f aca="true">TODAY()-9</f>
        <v>46250</v>
      </c>
      <c r="B45" s="82" t="n">
        <f aca="true">COUNTIFS('HZ-ASD Tracker'!$M$5:$M$994,TODAY()-9,'HZ-ASD Tracker'!$E$5:$E$994,"Closed")</f>
        <v>2</v>
      </c>
      <c r="C45" s="61" t="n">
        <f aca="true">COUNTIFS('HZ-ASD Tracker'!$M$5:$M$994,"&lt;="&amp;TODAY()-9,'HZ-ASD Tracker'!$E$5:$E$994,"Closed")</f>
        <v>194</v>
      </c>
      <c r="D45" s="61" t="n">
        <f aca="false">COUNTIF('HZ-ASD Tracker'!$A$5:$A$994,"&lt;&gt;")-C45</f>
        <v>269</v>
      </c>
      <c r="E45" s="83" t="n">
        <f aca="false">IFERROR(C45/COUNTIF('HZ-ASD Tracker'!$A$5:$A$994,"&lt;&gt;"),0)</f>
        <v>0.419006479481642</v>
      </c>
      <c r="F45" s="62" t="n">
        <f aca="false">IF(E45=0,"",E45)</f>
        <v>0.419006479481642</v>
      </c>
      <c r="G45" s="62" t="n">
        <f aca="false">IF(B45=0,"",B45)</f>
        <v>2</v>
      </c>
    </row>
    <row r="46" customFormat="false" ht="15" hidden="false" customHeight="true" outlineLevel="0" collapsed="false">
      <c r="A46" s="81" t="n">
        <f aca="true">TODAY()-8</f>
        <v>46251</v>
      </c>
      <c r="B46" s="82" t="n">
        <f aca="true">COUNTIFS('HZ-ASD Tracker'!$M$5:$M$994,TODAY()-8,'HZ-ASD Tracker'!$E$5:$E$994,"Closed")</f>
        <v>11</v>
      </c>
      <c r="C46" s="61" t="n">
        <f aca="true">COUNTIFS('HZ-ASD Tracker'!$M$5:$M$994,"&lt;="&amp;TODAY()-8,'HZ-ASD Tracker'!$E$5:$E$994,"Closed")</f>
        <v>205</v>
      </c>
      <c r="D46" s="61" t="n">
        <f aca="false">COUNTIF('HZ-ASD Tracker'!$A$5:$A$994,"&lt;&gt;")-C46</f>
        <v>258</v>
      </c>
      <c r="E46" s="83" t="n">
        <f aca="false">IFERROR(C46/COUNTIF('HZ-ASD Tracker'!$A$5:$A$994,"&lt;&gt;"),0)</f>
        <v>0.442764578833693</v>
      </c>
      <c r="F46" s="62" t="n">
        <f aca="false">IF(E46=0,"",E46)</f>
        <v>0.442764578833693</v>
      </c>
      <c r="G46" s="62" t="n">
        <f aca="false">IF(B46=0,"",B46)</f>
        <v>11</v>
      </c>
    </row>
    <row r="47" customFormat="false" ht="15" hidden="false" customHeight="true" outlineLevel="0" collapsed="false">
      <c r="A47" s="81" t="n">
        <f aca="true">TODAY()-7</f>
        <v>46252</v>
      </c>
      <c r="B47" s="82" t="n">
        <f aca="true">COUNTIFS('HZ-ASD Tracker'!$M$5:$M$994,TODAY()-7,'HZ-ASD Tracker'!$E$5:$E$994,"Closed")</f>
        <v>10</v>
      </c>
      <c r="C47" s="61" t="n">
        <f aca="true">COUNTIFS('HZ-ASD Tracker'!$M$5:$M$994,"&lt;="&amp;TODAY()-7,'HZ-ASD Tracker'!$E$5:$E$994,"Closed")</f>
        <v>215</v>
      </c>
      <c r="D47" s="61" t="n">
        <f aca="false">COUNTIF('HZ-ASD Tracker'!$A$5:$A$994,"&lt;&gt;")-C47</f>
        <v>248</v>
      </c>
      <c r="E47" s="83" t="n">
        <f aca="false">IFERROR(C47/COUNTIF('HZ-ASD Tracker'!$A$5:$A$994,"&lt;&gt;"),0)</f>
        <v>0.464362850971922</v>
      </c>
      <c r="F47" s="62" t="n">
        <f aca="false">IF(E47=0,"",E47)</f>
        <v>0.464362850971922</v>
      </c>
      <c r="G47" s="62" t="n">
        <f aca="false">IF(B47=0,"",B47)</f>
        <v>10</v>
      </c>
    </row>
    <row r="48" customFormat="false" ht="15" hidden="false" customHeight="true" outlineLevel="0" collapsed="false">
      <c r="A48" s="81" t="n">
        <f aca="true">TODAY()-6</f>
        <v>46253</v>
      </c>
      <c r="B48" s="82" t="n">
        <f aca="true">COUNTIFS('HZ-ASD Tracker'!$M$5:$M$994,TODAY()-6,'HZ-ASD Tracker'!$E$5:$E$994,"Closed")</f>
        <v>9</v>
      </c>
      <c r="C48" s="61" t="n">
        <f aca="true">COUNTIFS('HZ-ASD Tracker'!$M$5:$M$994,"&lt;="&amp;TODAY()-6,'HZ-ASD Tracker'!$E$5:$E$994,"Closed")</f>
        <v>224</v>
      </c>
      <c r="D48" s="61" t="n">
        <f aca="false">COUNTIF('HZ-ASD Tracker'!$A$5:$A$994,"&lt;&gt;")-C48</f>
        <v>239</v>
      </c>
      <c r="E48" s="83" t="n">
        <f aca="false">IFERROR(C48/COUNTIF('HZ-ASD Tracker'!$A$5:$A$994,"&lt;&gt;"),0)</f>
        <v>0.483801295896328</v>
      </c>
      <c r="F48" s="62" t="n">
        <f aca="false">IF(E48=0,"",E48)</f>
        <v>0.483801295896328</v>
      </c>
      <c r="G48" s="62" t="n">
        <f aca="false">IF(B48=0,"",B48)</f>
        <v>9</v>
      </c>
    </row>
    <row r="49" customFormat="false" ht="15" hidden="false" customHeight="true" outlineLevel="0" collapsed="false">
      <c r="A49" s="81" t="n">
        <f aca="true">TODAY()-5</f>
        <v>46254</v>
      </c>
      <c r="B49" s="82" t="n">
        <f aca="true">COUNTIFS('HZ-ASD Tracker'!$M$5:$M$994,TODAY()-5,'HZ-ASD Tracker'!$E$5:$E$994,"Closed")</f>
        <v>24</v>
      </c>
      <c r="C49" s="61" t="n">
        <f aca="true">COUNTIFS('HZ-ASD Tracker'!$M$5:$M$994,"&lt;="&amp;TODAY()-5,'HZ-ASD Tracker'!$E$5:$E$994,"Closed")</f>
        <v>248</v>
      </c>
      <c r="D49" s="61" t="n">
        <f aca="false">COUNTIF('HZ-ASD Tracker'!$A$5:$A$994,"&lt;&gt;")-C49</f>
        <v>215</v>
      </c>
      <c r="E49" s="83" t="n">
        <f aca="false">IFERROR(C49/COUNTIF('HZ-ASD Tracker'!$A$5:$A$994,"&lt;&gt;"),0)</f>
        <v>0.535637149028078</v>
      </c>
      <c r="F49" s="62" t="n">
        <f aca="false">IF(E49=0,"",E49)</f>
        <v>0.535637149028078</v>
      </c>
      <c r="G49" s="62" t="n">
        <f aca="false">IF(B49=0,"",B49)</f>
        <v>24</v>
      </c>
    </row>
    <row r="50" customFormat="false" ht="15" hidden="false" customHeight="true" outlineLevel="0" collapsed="false">
      <c r="A50" s="81" t="n">
        <f aca="true">TODAY()-4</f>
        <v>46255</v>
      </c>
      <c r="B50" s="82" t="n">
        <f aca="true">COUNTIFS('HZ-ASD Tracker'!$M$5:$M$994,TODAY()-4,'HZ-ASD Tracker'!$E$5:$E$994,"Closed")</f>
        <v>0</v>
      </c>
      <c r="C50" s="61" t="n">
        <f aca="true">COUNTIFS('HZ-ASD Tracker'!$M$5:$M$994,"&lt;="&amp;TODAY()-4,'HZ-ASD Tracker'!$E$5:$E$994,"Closed")</f>
        <v>248</v>
      </c>
      <c r="D50" s="61" t="n">
        <f aca="false">COUNTIF('HZ-ASD Tracker'!$A$5:$A$994,"&lt;&gt;")-C50</f>
        <v>215</v>
      </c>
      <c r="E50" s="83" t="n">
        <f aca="false">IFERROR(C50/COUNTIF('HZ-ASD Tracker'!$A$5:$A$994,"&lt;&gt;"),0)</f>
        <v>0.535637149028078</v>
      </c>
      <c r="F50" s="62" t="n">
        <f aca="false">IF(E50=0,"",E50)</f>
        <v>0.535637149028078</v>
      </c>
      <c r="G50" s="62" t="str">
        <f aca="false">IF(B50=0,"",B50)</f>
        <v/>
      </c>
    </row>
    <row r="51" customFormat="false" ht="15" hidden="false" customHeight="true" outlineLevel="0" collapsed="false">
      <c r="A51" s="81" t="n">
        <f aca="true">TODAY()-3</f>
        <v>46256</v>
      </c>
      <c r="B51" s="82" t="n">
        <f aca="true">COUNTIFS('HZ-ASD Tracker'!$M$5:$M$994,TODAY()-3,'HZ-ASD Tracker'!$E$5:$E$994,"Closed")</f>
        <v>0</v>
      </c>
      <c r="C51" s="61" t="n">
        <f aca="true">COUNTIFS('HZ-ASD Tracker'!$M$5:$M$994,"&lt;="&amp;TODAY()-3,'HZ-ASD Tracker'!$E$5:$E$994,"Closed")</f>
        <v>248</v>
      </c>
      <c r="D51" s="61" t="n">
        <f aca="false">COUNTIF('HZ-ASD Tracker'!$A$5:$A$994,"&lt;&gt;")-C51</f>
        <v>215</v>
      </c>
      <c r="E51" s="83" t="n">
        <f aca="false">IFERROR(C51/COUNTIF('HZ-ASD Tracker'!$A$5:$A$994,"&lt;&gt;"),0)</f>
        <v>0.535637149028078</v>
      </c>
      <c r="F51" s="62" t="n">
        <f aca="false">IF(E51=0,"",E51)</f>
        <v>0.535637149028078</v>
      </c>
      <c r="G51" s="62" t="str">
        <f aca="false">IF(B51=0,"",B51)</f>
        <v/>
      </c>
    </row>
    <row r="52" customFormat="false" ht="15" hidden="false" customHeight="true" outlineLevel="0" collapsed="false">
      <c r="A52" s="81" t="n">
        <f aca="true">TODAY()-2</f>
        <v>46257</v>
      </c>
      <c r="B52" s="82" t="n">
        <f aca="true">COUNTIFS('HZ-ASD Tracker'!$M$5:$M$994,TODAY()-2,'HZ-ASD Tracker'!$E$5:$E$994,"Closed")</f>
        <v>39</v>
      </c>
      <c r="C52" s="61" t="n">
        <f aca="true">COUNTIFS('HZ-ASD Tracker'!$M$5:$M$994,"&lt;="&amp;TODAY()-2,'HZ-ASD Tracker'!$E$5:$E$994,"Closed")</f>
        <v>287</v>
      </c>
      <c r="D52" s="61" t="n">
        <f aca="false">COUNTIF('HZ-ASD Tracker'!$A$5:$A$994,"&lt;&gt;")-C52</f>
        <v>176</v>
      </c>
      <c r="E52" s="83" t="n">
        <f aca="false">IFERROR(C52/COUNTIF('HZ-ASD Tracker'!$A$5:$A$994,"&lt;&gt;"),0)</f>
        <v>0.619870410367171</v>
      </c>
      <c r="F52" s="62" t="n">
        <f aca="false">IF(E52=0,"",E52)</f>
        <v>0.619870410367171</v>
      </c>
      <c r="G52" s="62" t="n">
        <f aca="false">IF(B52=0,"",B52)</f>
        <v>39</v>
      </c>
    </row>
    <row r="53" customFormat="false" ht="15" hidden="false" customHeight="true" outlineLevel="0" collapsed="false">
      <c r="A53" s="81" t="n">
        <f aca="true">TODAY()-1</f>
        <v>46258</v>
      </c>
      <c r="B53" s="82" t="n">
        <f aca="true">COUNTIFS('HZ-ASD Tracker'!$M$5:$M$994,TODAY()-1,'HZ-ASD Tracker'!$E$5:$E$994,"Closed")</f>
        <v>23</v>
      </c>
      <c r="C53" s="61" t="n">
        <f aca="true">COUNTIFS('HZ-ASD Tracker'!$M$5:$M$994,"&lt;="&amp;TODAY()-1,'HZ-ASD Tracker'!$E$5:$E$994,"Closed")</f>
        <v>310</v>
      </c>
      <c r="D53" s="61" t="n">
        <f aca="false">COUNTIF('HZ-ASD Tracker'!$A$5:$A$994,"&lt;&gt;")-C53</f>
        <v>153</v>
      </c>
      <c r="E53" s="83" t="n">
        <f aca="false">IFERROR(C53/COUNTIF('HZ-ASD Tracker'!$A$5:$A$994,"&lt;&gt;"),0)</f>
        <v>0.669546436285097</v>
      </c>
      <c r="F53" s="62" t="n">
        <f aca="false">IF(E53=0,"",E53)</f>
        <v>0.669546436285097</v>
      </c>
      <c r="G53" s="62" t="n">
        <f aca="false">IF(B53=0,"",B53)</f>
        <v>23</v>
      </c>
    </row>
    <row r="54" customFormat="false" ht="15" hidden="false" customHeight="true" outlineLevel="0" collapsed="false">
      <c r="A54" s="81" t="n">
        <f aca="true">TODAY()-0</f>
        <v>46259</v>
      </c>
      <c r="B54" s="82" t="n">
        <f aca="true">COUNTIFS('HZ-ASD Tracker'!$M$5:$M$994,TODAY()-0,'HZ-ASD Tracker'!$E$5:$E$994,"Closed")</f>
        <v>0</v>
      </c>
      <c r="C54" s="61" t="n">
        <f aca="true">COUNTIFS('HZ-ASD Tracker'!$M$5:$M$994,"&lt;="&amp;TODAY()-0,'HZ-ASD Tracker'!$E$5:$E$994,"Closed")</f>
        <v>310</v>
      </c>
      <c r="D54" s="61" t="n">
        <f aca="false">COUNTIF('HZ-ASD Tracker'!$A$5:$A$994,"&lt;&gt;")-C54</f>
        <v>153</v>
      </c>
      <c r="E54" s="83" t="n">
        <f aca="false">IFERROR(C54/COUNTIF('HZ-ASD Tracker'!$A$5:$A$994,"&lt;&gt;"),0)</f>
        <v>0.669546436285097</v>
      </c>
      <c r="F54" s="62" t="n">
        <f aca="false">IF(E54=0,"",E54)</f>
        <v>0.669546436285097</v>
      </c>
      <c r="G54" s="62" t="str">
        <f aca="false">IF(B54=0,"",B54)</f>
        <v/>
      </c>
    </row>
    <row r="55" customFormat="false" ht="6.75" hidden="false" customHeight="true" outlineLevel="0" collapsed="false"/>
    <row r="56" customFormat="false" ht="18" hidden="false" customHeight="true" outlineLevel="0" collapsed="false">
      <c r="A56" s="51" t="s">
        <v>1110</v>
      </c>
      <c r="B56" s="51"/>
      <c r="C56" s="51"/>
      <c r="D56" s="51"/>
      <c r="E56" s="80" t="str">
        <f aca="true">IF(NOT(ISNUMBER(LAYOVER!$C$28)),"close-up date TBD",IF(TODAY()&gt;LAYOVER!$C$28,"⚠️ close-up PASSED — "&amp;COUNTIFS('HZ-ASD Tracker'!$A$5:$A$994,"&lt;&gt;",'HZ-ASD Tracker'!$F$5:$F$994,"ACCESS",'HZ-ASD Tracker'!$E$5:$E$994,"&lt;&gt;Closed")&amp;" open","close-up in "&amp;(LAYOVER!$C$28-TODAY())&amp;" d · "&amp;COUNTIFS('HZ-ASD Tracker'!$A$5:$A$994,"&lt;&gt;",'HZ-ASD Tracker'!$F$5:$F$994,"ACCESS",'HZ-ASD Tracker'!$E$5:$E$994,"&lt;&gt;Closed")&amp;" open"))</f>
        <v>⚠️ close-up PASSED — 28 open</v>
      </c>
      <c r="F56" s="80"/>
      <c r="G56" s="80"/>
    </row>
    <row r="57" customFormat="false" ht="12" hidden="false" customHeight="true" outlineLevel="0" collapsed="false">
      <c r="A57" s="57" t="s">
        <v>1111</v>
      </c>
      <c r="B57" s="57" t="n">
        <f aca="false">COUNTIFS('HZ-ASD Tracker'!$A$5:$A$994,"&lt;&gt;",'HZ-ASD Tracker'!$F$5:$F$994,"ACCESS",'HZ-ASD Tracker'!$E$5:$E$994,"&lt;&gt;Closed")</f>
        <v>28</v>
      </c>
      <c r="C57" s="57" t="n">
        <f aca="false">COUNTIFS('HZ-ASD Tracker'!$A$5:$A$994,"&lt;&gt;",'HZ-ASD Tracker'!$F$5:$F$994,"ACCESS")</f>
        <v>31</v>
      </c>
      <c r="D57" s="84" t="n">
        <f aca="false">IFERROR(B57/C57,0)</f>
        <v>0.903225806451613</v>
      </c>
      <c r="E57" s="57"/>
    </row>
    <row r="58" customFormat="false" ht="16.5" hidden="false" customHeight="true" outlineLevel="0" collapsed="false">
      <c r="A58" s="70" t="s">
        <v>1112</v>
      </c>
      <c r="B58" s="59" t="n">
        <f aca="false">COUNTIFS('HZ-ASD Tracker'!$A$5:$A$994,"&lt;&gt;",'HZ-ASD Tracker'!$F$5:$F$994,"ACCESS",'HZ-ASD Tracker'!$E$5:$E$994,"Closed")</f>
        <v>3</v>
      </c>
      <c r="C58" s="59" t="n">
        <f aca="false">COUNTIFS('HZ-ASD Tracker'!$A$5:$A$994,"&lt;&gt;",'HZ-ASD Tracker'!$F$5:$F$994,"ACCESS")</f>
        <v>31</v>
      </c>
      <c r="D58" s="60" t="n">
        <f aca="false">IFERROR(B58/C58,0)</f>
        <v>0.0967741935483871</v>
      </c>
      <c r="E58" s="85"/>
      <c r="G58" s="62" t="n">
        <f aca="false">IF(D58=0,"",D58)</f>
        <v>0.0967741935483871</v>
      </c>
    </row>
    <row r="59" customFormat="false" ht="6.75" hidden="false" customHeight="true" outlineLevel="0" collapsed="false">
      <c r="A59" s="86"/>
      <c r="B59" s="87"/>
      <c r="C59" s="87"/>
      <c r="D59" s="85"/>
      <c r="E59" s="85"/>
      <c r="G59" s="88"/>
    </row>
    <row r="60" customFormat="false" ht="6" hidden="true" customHeight="true" outlineLevel="0" collapsed="false">
      <c r="A60" s="89"/>
      <c r="B60" s="87"/>
      <c r="C60" s="87"/>
      <c r="D60" s="85"/>
      <c r="E60" s="85"/>
      <c r="G60" s="88"/>
    </row>
    <row r="61" customFormat="false" ht="19.5" hidden="false" customHeight="true" outlineLevel="0" collapsed="false">
      <c r="A61" s="51" t="s">
        <v>1113</v>
      </c>
      <c r="B61" s="51"/>
      <c r="C61" s="51"/>
      <c r="D61" s="51"/>
      <c r="E61" s="51"/>
      <c r="F61" s="51"/>
      <c r="G61" s="51"/>
    </row>
    <row r="62" customFormat="false" ht="18" hidden="false" customHeight="true" outlineLevel="0" collapsed="false">
      <c r="A62" s="90" t="str">
        <f aca="false">"🔧 PARTS — Requested: "&amp;COUNTIFS('HZ-ASD Tracker'!$A$5:$A$994,"&lt;&gt;",'HZ-ASD Tracker'!$H$5:$H$994,"Requested")&amp;"   ·   Pending EVAL: "&amp;COUNTIFS('HZ-ASD Tracker'!$A$5:$A$994,"&lt;&gt;",'HZ-ASD Tracker'!$H$5:$H$994,"Pending EVAL")&amp;"   ·   Not required: "&amp;COUNTIFS('HZ-ASD Tracker'!$A$5:$A$994,"&lt;&gt;",'HZ-ASD Tracker'!$H$5:$H$994,"N/R")</f>
        <v>🔧 PARTS — Requested: 203   ·   Pending EVAL: 0   ·   Not required: 0</v>
      </c>
      <c r="B62" s="90"/>
      <c r="C62" s="90"/>
      <c r="D62" s="90"/>
      <c r="E62" s="90"/>
      <c r="F62" s="90"/>
      <c r="G62" s="90"/>
    </row>
    <row r="63" customFormat="false" ht="18" hidden="false" customHeight="true" outlineLevel="0" collapsed="false">
      <c r="A63" s="90" t="str">
        <f aca="false">"⏸ ON HOLD / DEFERRED — Deferred: "&amp;COUNTIFS('HZ-ASD Tracker'!$A$5:$A$994,"&lt;&gt;",'HZ-ASD Tracker'!$E$5:$E$994,"Deferred")&amp;"   ·   On Hold: "&amp;COUNTIFS('HZ-ASD Tracker'!$A$5:$A$994,"&lt;&gt;",'HZ-ASD Tracker'!$E$5:$E$994,"On Hold")&amp;"   ·   HPC: "&amp;COUNTIFS('HZ-ASD Tracker'!$A$5:$A$994,"&lt;&gt;",'HZ-ASD Tracker'!$E$5:$E$994,"HPC")</f>
        <v>⏸ ON HOLD / DEFERRED — Deferred: 0   ·   On Hold: 0   ·   HPC: 0</v>
      </c>
      <c r="B63" s="90"/>
      <c r="C63" s="90"/>
      <c r="D63" s="90"/>
      <c r="E63" s="90"/>
      <c r="F63" s="90"/>
      <c r="G63" s="90"/>
    </row>
    <row r="64" customFormat="false" ht="18" hidden="false" customHeight="true" outlineLevel="0" collapsed="false">
      <c r="A64" s="91" t="str">
        <f aca="false">"🕐 CABIN WORKLOAD — Estimated "&amp;TEXT(SUM('HZ-ASD Tracker'!$N$5:$N$994),"#,##0")&amp;" MH   ·   Booked "&amp;TEXT(SUM('HZ-ASD Tracker'!$P$5:$P$994),"#,##0")&amp;" MH   ·   Booked / Est "&amp;TEXT(IFERROR(SUM('HZ-ASD Tracker'!$P$5:$P$994)/SUM('HZ-ASD Tracker'!$N$5:$N$994),0),"0%")</f>
        <v>🕐 CABIN WORKLOAD — Estimated 2,646 MH   ·   Booked 5,222 MH   ·   Booked / Est 197%</v>
      </c>
      <c r="B64" s="91"/>
      <c r="C64" s="91"/>
      <c r="D64" s="91"/>
      <c r="E64" s="91"/>
      <c r="F64" s="91"/>
      <c r="G64" s="91"/>
    </row>
    <row r="65" customFormat="false" ht="6.75" hidden="false" customHeight="true" outlineLevel="0" collapsed="false">
      <c r="A65" s="92"/>
      <c r="B65" s="92"/>
      <c r="C65" s="92"/>
      <c r="D65" s="92"/>
      <c r="E65" s="92"/>
      <c r="F65" s="92"/>
      <c r="G65" s="92"/>
    </row>
    <row r="66" customFormat="false" ht="30" hidden="false" customHeight="true" outlineLevel="0" collapsed="false">
      <c r="A66" s="51" t="s">
        <v>1114</v>
      </c>
      <c r="B66" s="51"/>
      <c r="C66" s="93" t="s">
        <v>1115</v>
      </c>
      <c r="D66" s="93" t="s">
        <v>1116</v>
      </c>
      <c r="E66" s="93" t="s">
        <v>1117</v>
      </c>
      <c r="F66" s="93" t="s">
        <v>1118</v>
      </c>
      <c r="G66" s="94"/>
    </row>
    <row r="67" customFormat="false" ht="16.5" hidden="false" customHeight="true" outlineLevel="0" collapsed="false">
      <c r="A67" s="75" t="s">
        <v>50</v>
      </c>
      <c r="B67" s="75"/>
      <c r="C67" s="95" t="n">
        <f aca="false">SUMIFS('HZ-ASD Tracker'!$N$5:$N$994,'HZ-ASD Tracker'!$G$5:$G$994,"CAB")</f>
        <v>408.77</v>
      </c>
      <c r="D67" s="95" t="n">
        <f aca="false">SUMIFS('HZ-ASD Tracker'!$P$5:$P$994,'HZ-ASD Tracker'!$G$5:$G$994,"CAB")</f>
        <v>2157.07</v>
      </c>
      <c r="E67" s="60" t="n">
        <f aca="false">IFERROR(C67/SUM('HZ-ASD Tracker'!$N$5:$N$994),0)</f>
        <v>0.154469670631981</v>
      </c>
      <c r="F67" s="60" t="n">
        <f aca="false">IFERROR(D67/SUM('HZ-ASD Tracker'!$P$5:$P$994),0)</f>
        <v>0.41308460969846</v>
      </c>
      <c r="G67" s="62" t="n">
        <f aca="false">IF(E67=0,"",E67)</f>
        <v>0.154469670631981</v>
      </c>
    </row>
    <row r="68" customFormat="false" ht="16.5" hidden="false" customHeight="true" outlineLevel="0" collapsed="false">
      <c r="A68" s="69" t="s">
        <v>186</v>
      </c>
      <c r="B68" s="69"/>
      <c r="C68" s="95" t="n">
        <f aca="false">SUMIFS('HZ-ASD Tracker'!$N$5:$N$994,'HZ-ASD Tracker'!$G$5:$G$994,"SEAT")</f>
        <v>619.83</v>
      </c>
      <c r="D68" s="95" t="n">
        <f aca="false">SUMIFS('HZ-ASD Tracker'!$P$5:$P$994,'HZ-ASD Tracker'!$G$5:$G$994,"SEAT")</f>
        <v>981.32</v>
      </c>
      <c r="E68" s="60" t="n">
        <f aca="false">IFERROR(C68/SUM('HZ-ASD Tracker'!$N$5:$N$994),0)</f>
        <v>0.234226914763366</v>
      </c>
      <c r="F68" s="60" t="n">
        <f aca="false">IFERROR(D68/SUM('HZ-ASD Tracker'!$P$5:$P$994),0)</f>
        <v>0.187925375249432</v>
      </c>
      <c r="G68" s="62" t="n">
        <f aca="false">IF(E68=0,"",E68)</f>
        <v>0.234226914763366</v>
      </c>
    </row>
    <row r="69" customFormat="false" ht="16.5" hidden="false" customHeight="true" outlineLevel="0" collapsed="false">
      <c r="A69" s="68" t="s">
        <v>208</v>
      </c>
      <c r="B69" s="68"/>
      <c r="C69" s="95" t="n">
        <f aca="false">SUMIFS('HZ-ASD Tracker'!$N$5:$N$994,'HZ-ASD Tracker'!$G$5:$G$994,"AV")</f>
        <v>769.21</v>
      </c>
      <c r="D69" s="95" t="n">
        <f aca="false">SUMIFS('HZ-ASD Tracker'!$P$5:$P$994,'HZ-ASD Tracker'!$G$5:$G$994,"AV")</f>
        <v>551.3</v>
      </c>
      <c r="E69" s="60" t="n">
        <f aca="false">IFERROR(C69/SUM('HZ-ASD Tracker'!$N$5:$N$994),0)</f>
        <v>0.290675967773629</v>
      </c>
      <c r="F69" s="60" t="n">
        <f aca="false">IFERROR(D69/SUM('HZ-ASD Tracker'!$P$5:$P$994),0)</f>
        <v>0.105575407996384</v>
      </c>
      <c r="G69" s="62" t="n">
        <f aca="false">IF(E69=0,"",E69)</f>
        <v>0.290675967773629</v>
      </c>
    </row>
    <row r="70" customFormat="false" ht="16.5" hidden="false" customHeight="true" outlineLevel="0" collapsed="false">
      <c r="A70" s="72" t="s">
        <v>988</v>
      </c>
      <c r="B70" s="72"/>
      <c r="C70" s="95" t="n">
        <f aca="false">SUMIFS('HZ-ASD Tracker'!$N$5:$N$994,'HZ-ASD Tracker'!$G$5:$G$994,"WALL")</f>
        <v>212</v>
      </c>
      <c r="D70" s="95" t="n">
        <f aca="false">SUMIFS('HZ-ASD Tracker'!$P$5:$P$994,'HZ-ASD Tracker'!$G$5:$G$994,"WALL")</f>
        <v>282</v>
      </c>
      <c r="E70" s="60" t="n">
        <f aca="false">IFERROR(C70/SUM('HZ-ASD Tracker'!$N$5:$N$994),0)</f>
        <v>0.0801124597548256</v>
      </c>
      <c r="F70" s="60" t="n">
        <f aca="false">IFERROR(D70/SUM('HZ-ASD Tracker'!$P$5:$P$994),0)</f>
        <v>0.0540037457917294</v>
      </c>
      <c r="G70" s="62" t="n">
        <f aca="false">IF(E70=0,"",E70)</f>
        <v>0.0801124597548256</v>
      </c>
    </row>
    <row r="71" customFormat="false" ht="16.5" hidden="false" customHeight="true" outlineLevel="0" collapsed="false">
      <c r="A71" s="66" t="s">
        <v>748</v>
      </c>
      <c r="B71" s="66"/>
      <c r="C71" s="95" t="n">
        <f aca="false">SUMIFS('HZ-ASD Tracker'!$N$5:$N$994,'HZ-ASD Tracker'!$G$5:$G$994,"S/M")</f>
        <v>8</v>
      </c>
      <c r="D71" s="95" t="n">
        <f aca="false">SUMIFS('HZ-ASD Tracker'!$P$5:$P$994,'HZ-ASD Tracker'!$G$5:$G$994,"S/M")</f>
        <v>178.6</v>
      </c>
      <c r="E71" s="60" t="n">
        <f aca="false">IFERROR(C71/SUM('HZ-ASD Tracker'!$N$5:$N$994),0)</f>
        <v>0.00302311168886135</v>
      </c>
      <c r="F71" s="60" t="n">
        <f aca="false">IFERROR(D71/SUM('HZ-ASD Tracker'!$P$5:$P$994),0)</f>
        <v>0.0342023723347619</v>
      </c>
      <c r="G71" s="62" t="n">
        <f aca="false">IF(E71=0,"",E71)</f>
        <v>0.00302311168886135</v>
      </c>
    </row>
    <row r="72" customFormat="false" ht="16.5" hidden="false" customHeight="true" outlineLevel="0" collapsed="false">
      <c r="A72" s="76" t="s">
        <v>167</v>
      </c>
      <c r="B72" s="76"/>
      <c r="C72" s="95" t="n">
        <f aca="false">SUMIFS('HZ-ASD Tracker'!$N$5:$N$994,'HZ-ASD Tracker'!$G$5:$G$994,"PAINT")</f>
        <v>184</v>
      </c>
      <c r="D72" s="95" t="n">
        <f aca="false">SUMIFS('HZ-ASD Tracker'!$P$5:$P$994,'HZ-ASD Tracker'!$G$5:$G$994,"PAINT")</f>
        <v>238.65</v>
      </c>
      <c r="E72" s="60" t="n">
        <f aca="false">IFERROR(C72/SUM('HZ-ASD Tracker'!$N$5:$N$994),0)</f>
        <v>0.0695315688438109</v>
      </c>
      <c r="F72" s="60" t="n">
        <f aca="false">IFERROR(D72/SUM('HZ-ASD Tracker'!$P$5:$P$994),0)</f>
        <v>0.0457021061460859</v>
      </c>
      <c r="G72" s="62" t="n">
        <f aca="false">IF(E72=0,"",E72)</f>
        <v>0.0695315688438109</v>
      </c>
    </row>
    <row r="73" customFormat="false" ht="16.5" hidden="false" customHeight="true" outlineLevel="0" collapsed="false">
      <c r="A73" s="77" t="s">
        <v>24</v>
      </c>
      <c r="B73" s="77"/>
      <c r="C73" s="95" t="n">
        <f aca="false">SUMIFS('HZ-ASD Tracker'!$N$5:$N$994,'HZ-ASD Tracker'!$G$5:$G$994,"JOINT")</f>
        <v>125.23</v>
      </c>
      <c r="D73" s="95" t="n">
        <f aca="false">SUMIFS('HZ-ASD Tracker'!$P$5:$P$994,'HZ-ASD Tracker'!$G$5:$G$994,"JOINT")</f>
        <v>610.4</v>
      </c>
      <c r="E73" s="60" t="n">
        <f aca="false">IFERROR(C73/SUM('HZ-ASD Tracker'!$N$5:$N$994),0)</f>
        <v>0.0473230345995133</v>
      </c>
      <c r="F73" s="60" t="n">
        <f aca="false">IFERROR(D73/SUM('HZ-ASD Tracker'!$P$5:$P$994),0)</f>
        <v>0.116893214295289</v>
      </c>
      <c r="G73" s="62" t="n">
        <f aca="false">IF(E73=0,"",E73)</f>
        <v>0.0473230345995133</v>
      </c>
    </row>
    <row r="74" customFormat="false" ht="16.5" hidden="false" customHeight="true" outlineLevel="0" collapsed="false">
      <c r="A74" s="65" t="s">
        <v>83</v>
      </c>
      <c r="B74" s="65"/>
      <c r="C74" s="95" t="n">
        <f aca="false">SUMIFS('HZ-ASD Tracker'!$N$5:$N$994,'HZ-ASD Tracker'!$G$5:$G$994,"INSP")</f>
        <v>95.37</v>
      </c>
      <c r="D74" s="95" t="n">
        <f aca="false">SUMIFS('HZ-ASD Tracker'!$P$5:$P$994,'HZ-ASD Tracker'!$G$5:$G$994,"INSP")</f>
        <v>137.22</v>
      </c>
      <c r="E74" s="60" t="n">
        <f aca="false">IFERROR(C74/SUM('HZ-ASD Tracker'!$N$5:$N$994),0)</f>
        <v>0.0360392702208383</v>
      </c>
      <c r="F74" s="60" t="n">
        <f aca="false">IFERROR(D74/SUM('HZ-ASD Tracker'!$P$5:$P$994),0)</f>
        <v>0.0262779928990819</v>
      </c>
      <c r="G74" s="62" t="n">
        <f aca="false">IF(E74=0,"",E74)</f>
        <v>0.0360392702208383</v>
      </c>
    </row>
    <row r="75" customFormat="false" ht="16.5" hidden="false" customHeight="true" outlineLevel="0" collapsed="false">
      <c r="A75" s="78" t="s">
        <v>157</v>
      </c>
      <c r="B75" s="78"/>
      <c r="C75" s="95" t="n">
        <f aca="false">SUMIFS('HZ-ASD Tracker'!$N$5:$N$994,'HZ-ASD Tracker'!$G$5:$G$994,"AP")</f>
        <v>125.17</v>
      </c>
      <c r="D75" s="95" t="n">
        <f aca="false">SUMIFS('HZ-ASD Tracker'!$P$5:$P$994,'HZ-ASD Tracker'!$G$5:$G$994,"AP")</f>
        <v>74.58</v>
      </c>
      <c r="E75" s="60" t="n">
        <f aca="false">IFERROR(C75/SUM('HZ-ASD Tracker'!$N$5:$N$994),0)</f>
        <v>0.0473003612618468</v>
      </c>
      <c r="F75" s="60" t="n">
        <f aca="false">IFERROR(D75/SUM('HZ-ASD Tracker'!$P$5:$P$994),0)</f>
        <v>0.0142822672381106</v>
      </c>
      <c r="G75" s="62" t="n">
        <f aca="false">IF(E75=0,"",E75)</f>
        <v>0.0473003612618468</v>
      </c>
    </row>
    <row r="76" customFormat="false" ht="6.75" hidden="false" customHeight="true" outlineLevel="0" collapsed="false">
      <c r="A76" s="96"/>
      <c r="B76" s="96"/>
      <c r="C76" s="96"/>
      <c r="D76" s="96"/>
      <c r="E76" s="96"/>
      <c r="F76" s="96"/>
      <c r="G76" s="96"/>
    </row>
    <row r="77" customFormat="false" ht="14.25" hidden="true" customHeight="true" outlineLevel="0" collapsed="false"/>
    <row r="78" customFormat="false" ht="19.5" hidden="false" customHeight="true" outlineLevel="0" collapsed="false">
      <c r="A78" s="97" t="s">
        <v>1119</v>
      </c>
      <c r="B78" s="97"/>
      <c r="C78" s="97"/>
      <c r="D78" s="97"/>
      <c r="E78" s="97"/>
      <c r="F78" s="97"/>
      <c r="G78" s="97"/>
    </row>
    <row r="79" customFormat="false" ht="12.75" hidden="false" customHeight="true" outlineLevel="0" collapsed="false">
      <c r="A79" s="98" t="s">
        <v>1120</v>
      </c>
      <c r="B79" s="98" t="s">
        <v>1089</v>
      </c>
      <c r="C79" s="98" t="s">
        <v>1090</v>
      </c>
      <c r="D79" s="98" t="s">
        <v>1094</v>
      </c>
      <c r="E79" s="98" t="s">
        <v>1121</v>
      </c>
      <c r="F79" s="98" t="s">
        <v>1115</v>
      </c>
      <c r="G79" s="98" t="s">
        <v>1122</v>
      </c>
    </row>
    <row r="80" customFormat="false" ht="24" hidden="false" customHeight="true" outlineLevel="0" collapsed="false">
      <c r="A80" s="99" t="n">
        <f aca="false">COUNTIF('FULL PKG'!$B$2:$B$3000,"&lt;&gt;")</f>
        <v>1489</v>
      </c>
      <c r="B80" s="99" t="n">
        <f aca="false">COUNTIF('FULL PKG'!$H$2:$H$3000,"Closed")</f>
        <v>991</v>
      </c>
      <c r="C80" s="99" t="n">
        <f aca="false">COUNTIF('FULL PKG'!$B$2:$B$3000,"&lt;&gt;")-COUNTIF('FULL PKG'!$H$2:$H$3000,"Closed")</f>
        <v>498</v>
      </c>
      <c r="D80" s="100" t="n">
        <f aca="false">IFERROR(COUNTIF('FULL PKG'!$H$2:$H$3000,"Closed")/COUNTIF('FULL PKG'!$B$2:$B$3000,"&lt;&gt;"),0)</f>
        <v>0.665547347212895</v>
      </c>
      <c r="E80" s="100" t="n">
        <f aca="true">MIN(MAX((TODAY()-DASHBOARD!$M$1+1)/(DASHBOARD!$M$2-DASHBOARD!$M$1+1),0),1)</f>
        <v>1</v>
      </c>
      <c r="F80" s="101" t="n">
        <f aca="false">SUM('FULL PKG'!$E$2:$E$3000)</f>
        <v>6856.71</v>
      </c>
      <c r="G80" s="101" t="n">
        <f aca="false">SUM('FULL PKG'!$F$2:$F$3000)</f>
        <v>21649.68</v>
      </c>
    </row>
    <row r="81" customFormat="false" ht="18" hidden="false" customHeight="true" outlineLevel="0" collapsed="false">
      <c r="A81" s="102" t="str">
        <f aca="false">"⚖️ CLOSURE — Cabin "&amp;COUNTIFS('HZ-ASD Tracker'!$A$5:$A$994,"&lt;&gt;",'HZ-ASD Tracker'!$E$5:$E$994,"Closed")&amp;"/"&amp;COUNTIF('HZ-ASD Tracker'!$A$5:$A$994,"&lt;&gt;")&amp;" ("&amp;TEXT(IFERROR(COUNTIFS('HZ-ASD Tracker'!$A$5:$A$994,"&lt;&gt;",'HZ-ASD Tracker'!$E$5:$E$994,"Closed")/COUNTIF('HZ-ASD Tracker'!$A$5:$A$994,"&lt;&gt;"),0),"0%")&amp;")   ·   Non-cabin "&amp;(COUNTIF('FULL PKG'!$H$2:$H$3000,"Closed")-COUNTIFS('HZ-ASD Tracker'!$A$5:$A$994,"&lt;&gt;",'HZ-ASD Tracker'!$E$5:$E$994,"Closed"))&amp;"/"&amp;(COUNTIF('FULL PKG'!$B$2:$B$3000,"&lt;&gt;")-COUNTIF('HZ-ASD Tracker'!$A$5:$A$994,"&lt;&gt;"))&amp;" ("&amp;TEXT(IFERROR((COUNTIF('FULL PKG'!$H$2:$H$3000,"Closed")-COUNTIFS('HZ-ASD Tracker'!$A$5:$A$994,"&lt;&gt;",'HZ-ASD Tracker'!$E$5:$E$994,"Closed"))/MAX(1,COUNTIF('FULL PKG'!$B$2:$B$3000,"&lt;&gt;")-COUNTIF('HZ-ASD Tracker'!$A$5:$A$994,"&lt;&gt;")),0),"0%")&amp;")   ·   Package "&amp;COUNTIF('FULL PKG'!$H$2:$H$3000,"Closed")&amp;"/"&amp;COUNTIF('FULL PKG'!$B$2:$B$3000,"&lt;&gt;")&amp;" ("&amp;TEXT(IFERROR(COUNTIF('FULL PKG'!$H$2:$H$3000,"Closed")/COUNTIF('FULL PKG'!$B$2:$B$3000,"&lt;&gt;"),0),"0%")&amp;")"</f>
        <v>⚖️ CLOSURE — Cabin 310/463 (67%)   ·   Non-cabin 681/1026 (66%)   ·   Package 991/1489 (67%)</v>
      </c>
      <c r="B81" s="102"/>
      <c r="C81" s="102"/>
      <c r="D81" s="102"/>
      <c r="E81" s="102"/>
      <c r="F81" s="102"/>
      <c r="G81" s="102"/>
    </row>
    <row r="82" customFormat="false" ht="18" hidden="false" customHeight="true" outlineLevel="0" collapsed="false">
      <c r="A82" s="102" t="str">
        <f aca="false">"⏱ ESTIMATED MH — Cabin "&amp;TEXT(SUM('HZ-ASD Tracker'!$N$5:$N$994),"#,##0")&amp;"h   ·   Non-cabin "&amp;TEXT(SUM('FULL PKG'!$E$2:$E$3000)-SUM('HZ-ASD Tracker'!$N$5:$N$994),"#,##0")&amp;"h   ·   Cabin share "&amp;TEXT(IFERROR(SUM('HZ-ASD Tracker'!$N$5:$N$994)/SUM('FULL PKG'!$E$2:$E$3000),0),"0%")</f>
        <v>⏱ ESTIMATED MH — Cabin 2,646h   ·   Non-cabin 4,210h   ·   Cabin share 39%</v>
      </c>
      <c r="B82" s="102"/>
      <c r="C82" s="102"/>
      <c r="D82" s="102"/>
      <c r="E82" s="102"/>
      <c r="F82" s="102"/>
      <c r="G82" s="102"/>
    </row>
    <row r="83" customFormat="false" ht="18" hidden="false" customHeight="true" outlineLevel="0" collapsed="false">
      <c r="A83" s="102" t="str">
        <f aca="false">"⏱ BOOKED MH — Cabin "&amp;TEXT(SUM('HZ-ASD Tracker'!$P$5:$P$994),"#,##0")&amp;"h   ·   Non-cabin "&amp;TEXT(SUM('FULL PKG'!$F$2:$F$3000)-SUM('HZ-ASD Tracker'!$P$5:$P$994),"#,##0")&amp;"h   ·   Cabin share "&amp;TEXT(IFERROR(SUM('HZ-ASD Tracker'!$P$5:$P$994)/SUM('FULL PKG'!$F$2:$F$3000),0),"0%")</f>
        <v>⏱ BOOKED MH — Cabin 5,222h   ·   Non-cabin 16,428h   ·   Cabin share 24%</v>
      </c>
      <c r="B83" s="102"/>
      <c r="C83" s="102"/>
      <c r="D83" s="102"/>
      <c r="E83" s="102"/>
      <c r="F83" s="102"/>
      <c r="G83" s="102"/>
    </row>
    <row r="84" customFormat="false" ht="19.5" hidden="false" customHeight="true" outlineLevel="0" collapsed="false">
      <c r="A84" s="103" t="s">
        <v>1123</v>
      </c>
      <c r="B84" s="103"/>
      <c r="C84" s="103"/>
      <c r="D84" s="103"/>
      <c r="E84" s="103"/>
      <c r="F84" s="103"/>
      <c r="G84" s="103"/>
    </row>
    <row r="85" customFormat="false" ht="12" hidden="false" customHeight="true" outlineLevel="0" collapsed="false">
      <c r="A85" s="104" t="s">
        <v>11</v>
      </c>
      <c r="B85" s="104" t="s">
        <v>1124</v>
      </c>
      <c r="C85" s="104" t="s">
        <v>1089</v>
      </c>
      <c r="D85" s="104" t="s">
        <v>1125</v>
      </c>
      <c r="E85" s="104" t="s">
        <v>1115</v>
      </c>
      <c r="F85" s="104" t="s">
        <v>1116</v>
      </c>
      <c r="G85" s="57"/>
    </row>
    <row r="86" customFormat="false" ht="15" hidden="false" customHeight="true" outlineLevel="0" collapsed="false">
      <c r="A86" s="105" t="s">
        <v>25</v>
      </c>
      <c r="B86" s="106" t="n">
        <f aca="false">COUNTIFS('HZ-ASD Tracker'!$A$5:$A$994,"&lt;&gt;",'HZ-ASD Tracker'!$K$5:$K$994,"FWD")</f>
        <v>166</v>
      </c>
      <c r="C86" s="106" t="n">
        <f aca="false">COUNTIFS('HZ-ASD Tracker'!$A$5:$A$994,"&lt;&gt;",'HZ-ASD Tracker'!$K$5:$K$994,"FWD",'HZ-ASD Tracker'!$E$5:$E$994,"Closed")</f>
        <v>119</v>
      </c>
      <c r="D86" s="107" t="n">
        <f aca="false">IFERROR(C86/B86,0)</f>
        <v>0.716867469879518</v>
      </c>
      <c r="E86" s="108" t="n">
        <f aca="false">SUMIFS('HZ-ASD Tracker'!$N$5:$N$994,'HZ-ASD Tracker'!$K$5:$K$994,"FWD")</f>
        <v>287.41</v>
      </c>
      <c r="F86" s="108" t="n">
        <f aca="false">SUMIFS('HZ-ASD Tracker'!$P$5:$P$994,'HZ-ASD Tracker'!$K$5:$K$994,"FWD")</f>
        <v>1346.68</v>
      </c>
      <c r="G86" s="109"/>
    </row>
    <row r="87" customFormat="false" ht="15" hidden="false" customHeight="true" outlineLevel="0" collapsed="false">
      <c r="A87" s="105" t="s">
        <v>30</v>
      </c>
      <c r="B87" s="106" t="n">
        <f aca="false">COUNTIFS('HZ-ASD Tracker'!$A$5:$A$994,"&lt;&gt;",'HZ-ASD Tracker'!$K$5:$K$994,"AFT")</f>
        <v>111</v>
      </c>
      <c r="C87" s="106" t="n">
        <f aca="false">COUNTIFS('HZ-ASD Tracker'!$A$5:$A$994,"&lt;&gt;",'HZ-ASD Tracker'!$K$5:$K$994,"AFT",'HZ-ASD Tracker'!$E$5:$E$994,"Closed")</f>
        <v>67</v>
      </c>
      <c r="D87" s="107" t="n">
        <f aca="false">IFERROR(C87/B87,0)</f>
        <v>0.603603603603604</v>
      </c>
      <c r="E87" s="108" t="n">
        <f aca="false">SUMIFS('HZ-ASD Tracker'!$N$5:$N$994,'HZ-ASD Tracker'!$K$5:$K$994,"AFT")</f>
        <v>348.88</v>
      </c>
      <c r="F87" s="108" t="n">
        <f aca="false">SUMIFS('HZ-ASD Tracker'!$P$5:$P$994,'HZ-ASD Tracker'!$K$5:$K$994,"AFT")</f>
        <v>971.49</v>
      </c>
      <c r="G87" s="109"/>
    </row>
    <row r="88" customFormat="false" ht="15" hidden="false" customHeight="true" outlineLevel="0" collapsed="false">
      <c r="A88" s="105" t="s">
        <v>24</v>
      </c>
      <c r="B88" s="106" t="n">
        <f aca="false">COUNTIFS('HZ-ASD Tracker'!$A$5:$A$994,"&lt;&gt;",'HZ-ASD Tracker'!$K$5:$K$994,"JOINT")</f>
        <v>116</v>
      </c>
      <c r="C88" s="106" t="n">
        <f aca="false">COUNTIFS('HZ-ASD Tracker'!$A$5:$A$994,"&lt;&gt;",'HZ-ASD Tracker'!$K$5:$K$994,"JOINT",'HZ-ASD Tracker'!$E$5:$E$994,"Closed")</f>
        <v>69</v>
      </c>
      <c r="D88" s="107" t="n">
        <f aca="false">IFERROR(C88/B88,0)</f>
        <v>0.594827586206897</v>
      </c>
      <c r="E88" s="108" t="n">
        <f aca="false">SUMIFS('HZ-ASD Tracker'!$N$5:$N$994,'HZ-ASD Tracker'!$K$5:$K$994,"JOINT")</f>
        <v>1210.24</v>
      </c>
      <c r="F88" s="108" t="n">
        <f aca="false">SUMIFS('HZ-ASD Tracker'!$P$5:$P$994,'HZ-ASD Tracker'!$K$5:$K$994,"JOINT")</f>
        <v>2210.07</v>
      </c>
      <c r="G88" s="109"/>
    </row>
    <row r="89" customFormat="false" ht="19.5" hidden="false" customHeight="true" outlineLevel="0" collapsed="false">
      <c r="A89" s="110" t="s">
        <v>1126</v>
      </c>
      <c r="B89" s="110"/>
      <c r="C89" s="110"/>
      <c r="D89" s="110"/>
      <c r="E89" s="110"/>
      <c r="F89" s="110"/>
      <c r="G89" s="110"/>
    </row>
    <row r="90" customFormat="false" ht="12" hidden="false" customHeight="true" outlineLevel="0" collapsed="false">
      <c r="A90" s="57" t="s">
        <v>1127</v>
      </c>
      <c r="B90" s="57" t="s">
        <v>1128</v>
      </c>
      <c r="C90" s="57"/>
      <c r="D90" s="57"/>
      <c r="E90" s="111" t="s">
        <v>1129</v>
      </c>
      <c r="F90" s="111" t="s">
        <v>1130</v>
      </c>
      <c r="G90" s="111" t="s">
        <v>1131</v>
      </c>
    </row>
    <row r="91" customFormat="false" ht="14.25" hidden="false" customHeight="true" outlineLevel="0" collapsed="false">
      <c r="A91" s="112" t="s">
        <v>658</v>
      </c>
      <c r="B91" s="113" t="s">
        <v>659</v>
      </c>
      <c r="C91" s="113"/>
      <c r="D91" s="113"/>
      <c r="E91" s="114" t="n">
        <v>6861</v>
      </c>
      <c r="F91" s="114" t="n">
        <v>16</v>
      </c>
      <c r="G91" s="115" t="n">
        <v>6845</v>
      </c>
    </row>
    <row r="92" customFormat="false" ht="14.25" hidden="false" customHeight="true" outlineLevel="0" collapsed="false">
      <c r="A92" s="112" t="s">
        <v>663</v>
      </c>
      <c r="B92" s="113" t="s">
        <v>1132</v>
      </c>
      <c r="C92" s="113"/>
      <c r="D92" s="113"/>
      <c r="E92" s="114" t="n">
        <v>2354</v>
      </c>
      <c r="F92" s="114" t="n">
        <v>15</v>
      </c>
      <c r="G92" s="115" t="n">
        <v>2339</v>
      </c>
    </row>
    <row r="93" customFormat="false" ht="14.25" hidden="false" customHeight="true" outlineLevel="0" collapsed="false">
      <c r="A93" s="112" t="s">
        <v>1133</v>
      </c>
      <c r="B93" s="113" t="s">
        <v>1134</v>
      </c>
      <c r="C93" s="113"/>
      <c r="D93" s="113"/>
      <c r="E93" s="114" t="n">
        <v>763</v>
      </c>
      <c r="F93" s="114" t="n">
        <v>4</v>
      </c>
      <c r="G93" s="115" t="n">
        <v>760</v>
      </c>
    </row>
    <row r="94" customFormat="false" ht="14.25" hidden="false" customHeight="true" outlineLevel="0" collapsed="false">
      <c r="A94" s="112" t="s">
        <v>1135</v>
      </c>
      <c r="B94" s="113" t="s">
        <v>1136</v>
      </c>
      <c r="C94" s="113"/>
      <c r="D94" s="113"/>
      <c r="E94" s="112" t="n">
        <v>466</v>
      </c>
      <c r="F94" s="112" t="n">
        <v>35</v>
      </c>
      <c r="G94" s="116" t="n">
        <v>431</v>
      </c>
    </row>
    <row r="95" customFormat="false" ht="14.25" hidden="false" customHeight="true" outlineLevel="0" collapsed="false">
      <c r="A95" s="112" t="s">
        <v>1137</v>
      </c>
      <c r="B95" s="113" t="s">
        <v>1138</v>
      </c>
      <c r="C95" s="113"/>
      <c r="D95" s="113"/>
      <c r="E95" s="112" t="n">
        <v>370</v>
      </c>
      <c r="F95" s="112" t="n">
        <v>2</v>
      </c>
      <c r="G95" s="116" t="n">
        <v>369</v>
      </c>
    </row>
    <row r="96" customFormat="false" ht="14.25" hidden="false" customHeight="true" outlineLevel="0" collapsed="false">
      <c r="A96" s="112" t="s">
        <v>1139</v>
      </c>
      <c r="B96" s="113" t="s">
        <v>1140</v>
      </c>
      <c r="C96" s="113"/>
      <c r="D96" s="113"/>
      <c r="E96" s="112" t="n">
        <v>370</v>
      </c>
      <c r="F96" s="112" t="n">
        <v>2</v>
      </c>
      <c r="G96" s="116" t="n">
        <v>368</v>
      </c>
    </row>
    <row r="97" customFormat="false" ht="14.25" hidden="false" customHeight="true" outlineLevel="0" collapsed="false">
      <c r="A97" s="112" t="s">
        <v>1141</v>
      </c>
      <c r="B97" s="113" t="s">
        <v>1142</v>
      </c>
      <c r="C97" s="113"/>
      <c r="D97" s="113"/>
      <c r="E97" s="117" t="n">
        <v>371</v>
      </c>
      <c r="F97" s="117" t="n">
        <v>4</v>
      </c>
      <c r="G97" s="118" t="n">
        <v>367</v>
      </c>
    </row>
    <row r="98" customFormat="false" ht="14.25" hidden="false" customHeight="true" outlineLevel="0" collapsed="false">
      <c r="A98" s="112" t="s">
        <v>1143</v>
      </c>
      <c r="B98" s="113" t="s">
        <v>753</v>
      </c>
      <c r="C98" s="113"/>
      <c r="D98" s="113"/>
      <c r="E98" s="117" t="n">
        <v>372</v>
      </c>
      <c r="F98" s="117" t="n">
        <v>10</v>
      </c>
      <c r="G98" s="118" t="n">
        <v>363</v>
      </c>
    </row>
    <row r="99" customFormat="false" ht="14.25" hidden="false" customHeight="true" outlineLevel="0" collapsed="false">
      <c r="A99" s="119"/>
      <c r="B99" s="120"/>
      <c r="C99" s="120"/>
      <c r="D99" s="121"/>
      <c r="E99" s="122"/>
      <c r="F99" s="122"/>
      <c r="G99" s="122"/>
    </row>
    <row r="100" customFormat="false" ht="14.25" hidden="false" customHeight="true" outlineLevel="0" collapsed="false">
      <c r="A100" s="119"/>
      <c r="B100" s="120"/>
      <c r="C100" s="120"/>
      <c r="D100" s="121"/>
      <c r="E100" s="122"/>
      <c r="F100" s="122"/>
      <c r="G100" s="122"/>
    </row>
  </sheetData>
  <sheetProtection sheet="true"/>
  <mergeCells count="46">
    <mergeCell ref="A1:E1"/>
    <mergeCell ref="F1:G1"/>
    <mergeCell ref="A2:G2"/>
    <mergeCell ref="A7:G7"/>
    <mergeCell ref="A8:G8"/>
    <mergeCell ref="A9:G9"/>
    <mergeCell ref="A10:G10"/>
    <mergeCell ref="A11:G11"/>
    <mergeCell ref="A12:G12"/>
    <mergeCell ref="A13:G13"/>
    <mergeCell ref="A19:G19"/>
    <mergeCell ref="A32:G32"/>
    <mergeCell ref="A44:B44"/>
    <mergeCell ref="F44:G44"/>
    <mergeCell ref="A56:D56"/>
    <mergeCell ref="E56:G56"/>
    <mergeCell ref="A61:G61"/>
    <mergeCell ref="A62:G62"/>
    <mergeCell ref="A63:G63"/>
    <mergeCell ref="A64:G64"/>
    <mergeCell ref="A65:G65"/>
    <mergeCell ref="A66:B66"/>
    <mergeCell ref="A67:B67"/>
    <mergeCell ref="A68:B68"/>
    <mergeCell ref="A69:B69"/>
    <mergeCell ref="A70:B70"/>
    <mergeCell ref="A71:B71"/>
    <mergeCell ref="A72:B72"/>
    <mergeCell ref="A73:B73"/>
    <mergeCell ref="A74:B74"/>
    <mergeCell ref="A75:B75"/>
    <mergeCell ref="A76:G76"/>
    <mergeCell ref="A78:G78"/>
    <mergeCell ref="A81:G81"/>
    <mergeCell ref="A82:G82"/>
    <mergeCell ref="A83:G83"/>
    <mergeCell ref="A84:G84"/>
    <mergeCell ref="A89:G89"/>
    <mergeCell ref="B91:D91"/>
    <mergeCell ref="B92:D92"/>
    <mergeCell ref="B93:D93"/>
    <mergeCell ref="B94:D94"/>
    <mergeCell ref="B95:D95"/>
    <mergeCell ref="B96:D96"/>
    <mergeCell ref="B97:D97"/>
    <mergeCell ref="B98:D98"/>
  </mergeCells>
  <conditionalFormatting sqref="A2:G2">
    <cfRule type="expression" priority="2" aboveAverage="0" equalAverage="0" bottom="0" percent="0" rank="0" text="" dxfId="69">
      <formula>ISNUMBER(SEARCH("✅",$A$2))</formula>
    </cfRule>
    <cfRule type="expression" priority="3" aboveAverage="0" equalAverage="0" bottom="0" percent="0" rank="0" text="" dxfId="111">
      <formula>ISNUMBER(SEARCH("⚠️",$A$2))</formula>
    </cfRule>
    <cfRule type="expression" priority="4" aboveAverage="0" equalAverage="0" bottom="0" percent="0" rank="0" text="" dxfId="112">
      <formula>ISNUMBER(SEARCH("🔴",$A$2))</formula>
    </cfRule>
    <cfRule type="expression" priority="5" aboveAverage="0" equalAverage="0" bottom="0" percent="0" rank="0" text="" dxfId="75">
      <formula>ISNUMBER(SEARCH("❌",$A$2))</formula>
    </cfRule>
  </conditionalFormatting>
  <conditionalFormatting sqref="G15:G17">
    <cfRule type="dataBar" priority="6">
      <dataBar showValue="1" minLength="10" maxLength="90">
        <cfvo type="num" val="0"/>
        <cfvo type="num" val="1"/>
        <color rgb="FF2E7D32"/>
      </dataBar>
      <extLst>
        <ext xmlns:x14="http://schemas.microsoft.com/office/spreadsheetml/2009/9/main" uri="{B025F937-C7B1-47D3-B67F-A62EFF666E3E}">
          <x14:id>{47AD4371-3539-47ED-A8F0-8390BFCDD387}</x14:id>
        </ext>
      </extLst>
    </cfRule>
  </conditionalFormatting>
  <conditionalFormatting sqref="G21:G30">
    <cfRule type="dataBar" priority="7">
      <dataBar showValue="1" minLength="10" maxLength="90">
        <cfvo type="num" val="0"/>
        <cfvo type="num" val="1"/>
        <color rgb="FF2E7D32"/>
      </dataBar>
      <extLst>
        <ext xmlns:x14="http://schemas.microsoft.com/office/spreadsheetml/2009/9/main" uri="{B025F937-C7B1-47D3-B67F-A62EFF666E3E}">
          <x14:id>{411029E0-42C2-40E0-A5A8-94223843B58B}</x14:id>
        </ext>
      </extLst>
    </cfRule>
  </conditionalFormatting>
  <conditionalFormatting sqref="G34:G42">
    <cfRule type="dataBar" priority="8">
      <dataBar showValue="1" minLength="10" maxLength="90">
        <cfvo type="num" val="0"/>
        <cfvo type="num" val="1"/>
        <color rgb="FF2E7D32"/>
      </dataBar>
      <extLst>
        <ext xmlns:x14="http://schemas.microsoft.com/office/spreadsheetml/2009/9/main" uri="{B025F937-C7B1-47D3-B67F-A62EFF666E3E}">
          <x14:id>{B68CCB90-888F-44AB-8800-4D3FA72FA938}</x14:id>
        </ext>
      </extLst>
    </cfRule>
  </conditionalFormatting>
  <conditionalFormatting sqref="G45:G54">
    <cfRule type="dataBar" priority="9">
      <dataBar showValue="1" minLength="10" maxLength="90">
        <cfvo type="num" val="0"/>
        <cfvo type="max" val="0"/>
        <color rgb="FF1565C0"/>
      </dataBar>
      <extLst>
        <ext xmlns:x14="http://schemas.microsoft.com/office/spreadsheetml/2009/9/main" uri="{B025F937-C7B1-47D3-B67F-A62EFF666E3E}">
          <x14:id>{FB51F2AD-5C76-46C6-AB78-4CC81C5A65AE}</x14:id>
        </ext>
      </extLst>
    </cfRule>
  </conditionalFormatting>
  <conditionalFormatting sqref="G58:G60">
    <cfRule type="dataBar" priority="10">
      <dataBar showValue="1" minLength="10" maxLength="90">
        <cfvo type="num" val="0"/>
        <cfvo type="num" val="1"/>
        <color rgb="FF1B5E20"/>
      </dataBar>
      <extLst>
        <ext xmlns:x14="http://schemas.microsoft.com/office/spreadsheetml/2009/9/main" uri="{B025F937-C7B1-47D3-B67F-A62EFF666E3E}">
          <x14:id>{46E687B1-00CD-4090-90D5-31EA30F751A0}</x14:id>
        </ext>
      </extLst>
    </cfRule>
  </conditionalFormatting>
  <conditionalFormatting sqref="F45:F54">
    <cfRule type="dataBar" priority="11">
      <dataBar showValue="1" minLength="10" maxLength="90">
        <cfvo type="num" val="0"/>
        <cfvo type="num" val="1"/>
        <color rgb="FF2E7D32"/>
      </dataBar>
      <extLst>
        <ext xmlns:x14="http://schemas.microsoft.com/office/spreadsheetml/2009/9/main" uri="{B025F937-C7B1-47D3-B67F-A62EFF666E3E}">
          <x14:id>{BE40BF51-DDAE-4DA1-B8AF-CA9A6C52B2F0}</x14:id>
        </ext>
      </extLst>
    </cfRule>
  </conditionalFormatting>
  <conditionalFormatting sqref="D15:D17">
    <cfRule type="expression" priority="12" aboveAverage="0" equalAverage="0" bottom="0" percent="0" rank="0" text="" dxfId="113">
      <formula>AND(D15&lt;&gt;"",D15=1)</formula>
    </cfRule>
  </conditionalFormatting>
  <conditionalFormatting sqref="D21:D30">
    <cfRule type="expression" priority="13" aboveAverage="0" equalAverage="0" bottom="0" percent="0" rank="0" text="" dxfId="113">
      <formula>AND(D21&lt;&gt;"",D21=1)</formula>
    </cfRule>
  </conditionalFormatting>
  <conditionalFormatting sqref="D34:D42">
    <cfRule type="expression" priority="14" aboveAverage="0" equalAverage="0" bottom="0" percent="0" rank="0" text="" dxfId="113">
      <formula>AND(D34&lt;&gt;"",D34=1)</formula>
    </cfRule>
  </conditionalFormatting>
  <conditionalFormatting sqref="D58:D60">
    <cfRule type="expression" priority="15" aboveAverage="0" equalAverage="0" bottom="0" percent="0" rank="0" text="" dxfId="113">
      <formula>AND(D58&lt;&gt;"",D58=1)</formula>
    </cfRule>
  </conditionalFormatting>
  <conditionalFormatting sqref="F15:F17">
    <cfRule type="expression" priority="16" aboveAverage="0" equalAverage="0" bottom="0" percent="0" rank="0" text="" dxfId="114">
      <formula>AND(F15&lt;&gt;"",F15=0)</formula>
    </cfRule>
  </conditionalFormatting>
  <conditionalFormatting sqref="F21:F30">
    <cfRule type="expression" priority="17" aboveAverage="0" equalAverage="0" bottom="0" percent="0" rank="0" text="" dxfId="114">
      <formula>AND(F21&lt;&gt;"",F21=0)</formula>
    </cfRule>
  </conditionalFormatting>
  <conditionalFormatting sqref="F34:F42">
    <cfRule type="expression" priority="18" aboveAverage="0" equalAverage="0" bottom="0" percent="0" rank="0" text="" dxfId="114">
      <formula>AND(F34&lt;&gt;"",F34=0)</formula>
    </cfRule>
  </conditionalFormatting>
  <conditionalFormatting sqref="G67:G75">
    <cfRule type="dataBar" priority="19">
      <dataBar showValue="1" minLength="10" maxLength="90">
        <cfvo type="num" val="0"/>
        <cfvo type="num" val="0.5"/>
        <color rgb="FF00695C"/>
      </dataBar>
      <extLst>
        <ext xmlns:x14="http://schemas.microsoft.com/office/spreadsheetml/2009/9/main" uri="{B025F937-C7B1-47D3-B67F-A62EFF666E3E}">
          <x14:id>{20C6A821-D2B1-442D-A4BE-182984EACCAB}</x14:id>
        </ext>
      </extLst>
    </cfRule>
  </conditionalFormatting>
  <conditionalFormatting sqref="A15:G17">
    <cfRule type="expression" priority="20" aboveAverage="0" equalAverage="0" bottom="0" percent="0" rank="0" text="" dxfId="115">
      <formula>AND(ISNUMBER($E15),$E15&gt;$D15+0.1)</formula>
    </cfRule>
  </conditionalFormatting>
  <conditionalFormatting sqref="F1">
    <cfRule type="expression" priority="21" aboveAverage="0" equalAverage="0" bottom="0" percent="0" rank="0" text="" dxfId="95">
      <formula>TODAY()&gt;DASHBOARD!$M$2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7AD4371-3539-47ED-A8F0-8390BFCDD387}">
            <x14:dataBar minLength="10" maxLength="90" axisPosition="none" gradient="true">
              <x14:cfvo type="num">
                <xm:f>0</xm:f>
              </x14:cfvo>
              <x14:cfvo type="num">
                <xm:f>1</xm:f>
              </x14:cfvo>
              <x14:negativeFillColor rgb="FF2E7D32"/>
              <x14:axisColor rgb="FF000000"/>
            </x14:dataBar>
          </x14:cfRule>
          <xm:sqref>G15:G17</xm:sqref>
        </x14:conditionalFormatting>
        <x14:conditionalFormatting xmlns:xm="http://schemas.microsoft.com/office/excel/2006/main">
          <x14:cfRule type="dataBar" id="{411029E0-42C2-40E0-A5A8-94223843B58B}">
            <x14:dataBar minLength="10" maxLength="90" axisPosition="none" gradient="true">
              <x14:cfvo type="num">
                <xm:f>0</xm:f>
              </x14:cfvo>
              <x14:cfvo type="num">
                <xm:f>1</xm:f>
              </x14:cfvo>
              <x14:negativeFillColor rgb="FF2E7D32"/>
              <x14:axisColor rgb="FF000000"/>
            </x14:dataBar>
          </x14:cfRule>
          <xm:sqref>G21:G30</xm:sqref>
        </x14:conditionalFormatting>
        <x14:conditionalFormatting xmlns:xm="http://schemas.microsoft.com/office/excel/2006/main">
          <x14:cfRule type="dataBar" id="{B68CCB90-888F-44AB-8800-4D3FA72FA938}">
            <x14:dataBar minLength="10" maxLength="90" axisPosition="none" gradient="true">
              <x14:cfvo type="num">
                <xm:f>0</xm:f>
              </x14:cfvo>
              <x14:cfvo type="num">
                <xm:f>1</xm:f>
              </x14:cfvo>
              <x14:negativeFillColor rgb="FF2E7D32"/>
              <x14:axisColor rgb="FF000000"/>
            </x14:dataBar>
          </x14:cfRule>
          <xm:sqref>G34:G42</xm:sqref>
        </x14:conditionalFormatting>
        <x14:conditionalFormatting xmlns:xm="http://schemas.microsoft.com/office/excel/2006/main">
          <x14:cfRule type="dataBar" id="{FB51F2AD-5C76-46C6-AB78-4CC81C5A65AE}">
            <x14:dataBar minLength="10" maxLength="90" axisPosition="none" gradient="true">
              <x14:cfvo type="num">
                <xm:f>0</xm:f>
              </x14:cfvo>
              <x14:cfvo type="max"/>
              <x14:negativeFillColor rgb="FF1565C0"/>
              <x14:axisColor rgb="FF000000"/>
            </x14:dataBar>
          </x14:cfRule>
          <xm:sqref>G45:G54</xm:sqref>
        </x14:conditionalFormatting>
        <x14:conditionalFormatting xmlns:xm="http://schemas.microsoft.com/office/excel/2006/main">
          <x14:cfRule type="dataBar" id="{46E687B1-00CD-4090-90D5-31EA30F751A0}">
            <x14:dataBar minLength="10" maxLength="90" axisPosition="none" gradient="true">
              <x14:cfvo type="num">
                <xm:f>0</xm:f>
              </x14:cfvo>
              <x14:cfvo type="num">
                <xm:f>1</xm:f>
              </x14:cfvo>
              <x14:negativeFillColor rgb="FF1B5E20"/>
              <x14:axisColor rgb="FF000000"/>
            </x14:dataBar>
          </x14:cfRule>
          <xm:sqref>G58:G60</xm:sqref>
        </x14:conditionalFormatting>
        <x14:conditionalFormatting xmlns:xm="http://schemas.microsoft.com/office/excel/2006/main">
          <x14:cfRule type="dataBar" id="{BE40BF51-DDAE-4DA1-B8AF-CA9A6C52B2F0}">
            <x14:dataBar minLength="10" maxLength="90" axisPosition="none" gradient="true">
              <x14:cfvo type="num">
                <xm:f>0</xm:f>
              </x14:cfvo>
              <x14:cfvo type="num">
                <xm:f>1</xm:f>
              </x14:cfvo>
              <x14:negativeFillColor rgb="FF2E7D32"/>
              <x14:axisColor rgb="FF000000"/>
            </x14:dataBar>
          </x14:cfRule>
          <xm:sqref>F45:F54</xm:sqref>
        </x14:conditionalFormatting>
        <x14:conditionalFormatting xmlns:xm="http://schemas.microsoft.com/office/excel/2006/main">
          <x14:cfRule type="dataBar" id="{20C6A821-D2B1-442D-A4BE-182984EACCAB}">
            <x14:dataBar minLength="10" maxLength="90" axisPosition="none" gradient="true">
              <x14:cfvo type="num">
                <xm:f>0</xm:f>
              </x14:cfvo>
              <x14:cfvo type="num">
                <xm:f>0.5</xm:f>
              </x14:cfvo>
              <x14:negativeFillColor rgb="FF00695C"/>
              <x14:axisColor rgb="FF000000"/>
            </x14:dataBar>
          </x14:cfRule>
          <xm:sqref>G67:G75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A1:M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E10" activeCellId="0" sqref="E10"/>
    </sheetView>
  </sheetViews>
  <sheetFormatPr defaultColWidth="8.6796875" defaultRowHeight="14.25" zeroHeight="false" outlineLevelRow="0" outlineLevelCol="0"/>
  <cols>
    <col collapsed="false" customWidth="true" hidden="false" outlineLevel="0" max="1" min="1" style="1" width="4.42"/>
    <col collapsed="false" customWidth="true" hidden="false" outlineLevel="0" max="2" min="2" style="1" width="10"/>
    <col collapsed="false" customWidth="true" hidden="false" outlineLevel="0" max="3" min="3" style="1" width="5.42"/>
    <col collapsed="false" customWidth="true" hidden="false" outlineLevel="0" max="4" min="4" style="1" width="57.71"/>
    <col collapsed="false" customWidth="true" hidden="false" outlineLevel="0" max="5" min="5" style="1" width="15"/>
    <col collapsed="false" customWidth="true" hidden="false" outlineLevel="0" max="6" min="6" style="1" width="24"/>
    <col collapsed="false" customWidth="true" hidden="false" outlineLevel="0" max="7" min="7" style="1" width="6"/>
    <col collapsed="false" customWidth="true" hidden="false" outlineLevel="0" max="8" min="8" style="1" width="5.42"/>
    <col collapsed="false" customWidth="true" hidden="false" outlineLevel="0" max="9" min="9" style="1" width="15"/>
    <col collapsed="false" customWidth="true" hidden="false" outlineLevel="0" max="10" min="10" style="1" width="15.29"/>
    <col collapsed="false" customWidth="true" hidden="false" outlineLevel="0" max="11" min="11" style="1" width="11"/>
    <col collapsed="false" customWidth="true" hidden="false" outlineLevel="0" max="12" min="12" style="1" width="20"/>
    <col collapsed="false" customWidth="true" hidden="false" outlineLevel="0" max="13" min="13" style="1" width="11"/>
  </cols>
  <sheetData>
    <row r="1" customFormat="false" ht="25.5" hidden="false" customHeight="true" outlineLevel="0" collapsed="false">
      <c r="A1" s="123" t="s">
        <v>1144</v>
      </c>
      <c r="B1" s="123"/>
      <c r="C1" s="123"/>
      <c r="D1" s="123"/>
      <c r="E1" s="123"/>
      <c r="F1" s="123"/>
      <c r="G1" s="123"/>
      <c r="H1" s="123"/>
      <c r="I1" s="123"/>
      <c r="J1" s="123"/>
      <c r="K1" s="123"/>
      <c r="L1" s="123"/>
      <c r="M1" s="123"/>
    </row>
    <row r="2" customFormat="false" ht="19.5" hidden="false" customHeight="true" outlineLevel="0" collapsed="false">
      <c r="A2" s="124" t="str">
        <f aca="false">"Part lines: "&amp;COUNTIF($B$4:$B$185,"&lt;&gt;")&amp;"     ·     🔴 NOT AVAILABLE: "&amp;COUNTIF($I$4:$I$185,"NOT AVAILABLE")&amp;"     ·     🟢 AVAILABLE: "&amp;COUNTIF($I$4:$I$185,"AVAILABLE")</f>
        <v>Part lines: 12     ·     🔴 NOT AVAILABLE: 10     ·     🟢 AVAILABLE: 0</v>
      </c>
      <c r="B2" s="124"/>
      <c r="C2" s="124"/>
      <c r="D2" s="124"/>
      <c r="E2" s="124"/>
      <c r="F2" s="124"/>
      <c r="G2" s="124"/>
      <c r="H2" s="124"/>
      <c r="I2" s="124"/>
      <c r="J2" s="124"/>
      <c r="K2" s="124"/>
      <c r="L2" s="124"/>
      <c r="M2" s="124"/>
    </row>
    <row r="3" customFormat="false" ht="24" hidden="false" customHeight="true" outlineLevel="0" collapsed="false">
      <c r="A3" s="125" t="s">
        <v>1145</v>
      </c>
      <c r="B3" s="125" t="s">
        <v>1146</v>
      </c>
      <c r="C3" s="125" t="s">
        <v>1147</v>
      </c>
      <c r="D3" s="125" t="s">
        <v>1148</v>
      </c>
      <c r="E3" s="125" t="s">
        <v>1149</v>
      </c>
      <c r="F3" s="125" t="s">
        <v>1150</v>
      </c>
      <c r="G3" s="125" t="s">
        <v>1151</v>
      </c>
      <c r="H3" s="125" t="s">
        <v>1152</v>
      </c>
      <c r="I3" s="125" t="s">
        <v>1153</v>
      </c>
      <c r="J3" s="125" t="s">
        <v>1154</v>
      </c>
      <c r="K3" s="125" t="s">
        <v>1155</v>
      </c>
      <c r="L3" s="125" t="s">
        <v>1156</v>
      </c>
      <c r="M3" s="125" t="s">
        <v>1157</v>
      </c>
    </row>
    <row r="4" customFormat="false" ht="24.75" hidden="false" customHeight="true" outlineLevel="0" collapsed="false">
      <c r="A4" s="126" t="n">
        <f aca="false">IF($B4="","",COUNTA($B$4:$B4))</f>
        <v>1</v>
      </c>
      <c r="B4" s="127" t="s">
        <v>1158</v>
      </c>
      <c r="C4" s="126" t="s">
        <v>1159</v>
      </c>
      <c r="D4" s="128" t="s">
        <v>769</v>
      </c>
      <c r="E4" s="127" t="s">
        <v>1160</v>
      </c>
      <c r="F4" s="128" t="s">
        <v>1161</v>
      </c>
      <c r="G4" s="126" t="n">
        <v>3</v>
      </c>
      <c r="H4" s="126" t="s">
        <v>1162</v>
      </c>
      <c r="I4" s="129" t="s">
        <v>1163</v>
      </c>
      <c r="J4" s="126" t="s">
        <v>1164</v>
      </c>
      <c r="K4" s="126" t="s">
        <v>1165</v>
      </c>
      <c r="L4" s="128" t="s">
        <v>1166</v>
      </c>
      <c r="M4" s="126" t="s">
        <v>1166</v>
      </c>
    </row>
    <row r="5" customFormat="false" ht="24.75" hidden="false" customHeight="true" outlineLevel="0" collapsed="false">
      <c r="A5" s="126" t="n">
        <f aca="false">IF($B5="","",COUNTA($B$4:$B5))</f>
        <v>2</v>
      </c>
      <c r="B5" s="127" t="s">
        <v>1167</v>
      </c>
      <c r="C5" s="126" t="s">
        <v>1168</v>
      </c>
      <c r="D5" s="128" t="s">
        <v>782</v>
      </c>
      <c r="E5" s="127" t="s">
        <v>1169</v>
      </c>
      <c r="F5" s="128" t="s">
        <v>1170</v>
      </c>
      <c r="G5" s="126" t="n">
        <v>2</v>
      </c>
      <c r="H5" s="126" t="s">
        <v>1162</v>
      </c>
      <c r="I5" s="129" t="s">
        <v>1163</v>
      </c>
      <c r="J5" s="126" t="s">
        <v>1166</v>
      </c>
      <c r="K5" s="126" t="s">
        <v>1165</v>
      </c>
      <c r="L5" s="128" t="s">
        <v>1171</v>
      </c>
      <c r="M5" s="126" t="s">
        <v>1166</v>
      </c>
    </row>
    <row r="6" customFormat="false" ht="24.75" hidden="false" customHeight="true" outlineLevel="0" collapsed="false">
      <c r="A6" s="126" t="n">
        <f aca="false">IF($B6="","",COUNTA($B$4:$B6))</f>
        <v>3</v>
      </c>
      <c r="B6" s="127" t="s">
        <v>1172</v>
      </c>
      <c r="C6" s="126" t="s">
        <v>1173</v>
      </c>
      <c r="D6" s="128" t="s">
        <v>789</v>
      </c>
      <c r="E6" s="127" t="s">
        <v>1169</v>
      </c>
      <c r="F6" s="128" t="s">
        <v>1170</v>
      </c>
      <c r="G6" s="126" t="n">
        <v>2</v>
      </c>
      <c r="H6" s="126" t="s">
        <v>1162</v>
      </c>
      <c r="I6" s="129" t="s">
        <v>1163</v>
      </c>
      <c r="J6" s="126" t="s">
        <v>1166</v>
      </c>
      <c r="K6" s="126" t="s">
        <v>1165</v>
      </c>
      <c r="L6" s="128" t="s">
        <v>1171</v>
      </c>
      <c r="M6" s="126" t="s">
        <v>1166</v>
      </c>
    </row>
    <row r="7" customFormat="false" ht="24.75" hidden="false" customHeight="true" outlineLevel="0" collapsed="false">
      <c r="A7" s="126" t="n">
        <f aca="false">IF($B7="","",COUNTA($B$4:$B7))</f>
        <v>4</v>
      </c>
      <c r="B7" s="127" t="s">
        <v>1174</v>
      </c>
      <c r="C7" s="126" t="s">
        <v>1175</v>
      </c>
      <c r="D7" s="128" t="s">
        <v>861</v>
      </c>
      <c r="E7" s="127" t="s">
        <v>1176</v>
      </c>
      <c r="F7" s="128" t="s">
        <v>1177</v>
      </c>
      <c r="G7" s="126" t="n">
        <v>1</v>
      </c>
      <c r="H7" s="126" t="s">
        <v>1162</v>
      </c>
      <c r="I7" s="129" t="s">
        <v>1163</v>
      </c>
      <c r="J7" s="126" t="s">
        <v>1166</v>
      </c>
      <c r="K7" s="126" t="s">
        <v>1178</v>
      </c>
      <c r="L7" s="128" t="s">
        <v>1166</v>
      </c>
      <c r="M7" s="126" t="s">
        <v>1166</v>
      </c>
    </row>
    <row r="8" customFormat="false" ht="24.75" hidden="false" customHeight="true" outlineLevel="0" collapsed="false">
      <c r="A8" s="126" t="n">
        <f aca="false">IF($B8="","",COUNTA($B$4:$B8))</f>
        <v>5</v>
      </c>
      <c r="B8" s="127" t="s">
        <v>1179</v>
      </c>
      <c r="C8" s="126" t="s">
        <v>1180</v>
      </c>
      <c r="D8" s="128" t="s">
        <v>820</v>
      </c>
      <c r="E8" s="127" t="s">
        <v>1181</v>
      </c>
      <c r="F8" s="128" t="s">
        <v>1182</v>
      </c>
      <c r="G8" s="126" t="n">
        <v>6</v>
      </c>
      <c r="H8" s="126" t="s">
        <v>1162</v>
      </c>
      <c r="I8" s="129" t="s">
        <v>1163</v>
      </c>
      <c r="J8" s="126" t="s">
        <v>1166</v>
      </c>
      <c r="K8" s="126" t="s">
        <v>1183</v>
      </c>
      <c r="L8" s="128" t="s">
        <v>1184</v>
      </c>
      <c r="M8" s="126" t="s">
        <v>1166</v>
      </c>
    </row>
    <row r="9" customFormat="false" ht="24.75" hidden="false" customHeight="true" outlineLevel="0" collapsed="false">
      <c r="A9" s="126" t="n">
        <f aca="false">IF($B9="","",COUNTA($B$4:$B9))</f>
        <v>6</v>
      </c>
      <c r="B9" s="127" t="s">
        <v>1185</v>
      </c>
      <c r="C9" s="126" t="s">
        <v>1186</v>
      </c>
      <c r="D9" s="128" t="s">
        <v>939</v>
      </c>
      <c r="E9" s="127" t="s">
        <v>1187</v>
      </c>
      <c r="F9" s="128" t="s">
        <v>1188</v>
      </c>
      <c r="G9" s="126" t="n">
        <v>1</v>
      </c>
      <c r="H9" s="126" t="s">
        <v>1162</v>
      </c>
      <c r="I9" s="129" t="s">
        <v>1163</v>
      </c>
      <c r="J9" s="126" t="s">
        <v>1166</v>
      </c>
      <c r="K9" s="126" t="s">
        <v>1189</v>
      </c>
      <c r="L9" s="128" t="s">
        <v>1166</v>
      </c>
      <c r="M9" s="126" t="s">
        <v>1166</v>
      </c>
    </row>
    <row r="10" customFormat="false" ht="24.75" hidden="false" customHeight="true" outlineLevel="0" collapsed="false">
      <c r="A10" s="126" t="n">
        <f aca="false">IF($B10="","",COUNTA($B$4:$B10))</f>
        <v>7</v>
      </c>
      <c r="B10" s="127" t="s">
        <v>1190</v>
      </c>
      <c r="C10" s="126" t="s">
        <v>1191</v>
      </c>
      <c r="D10" s="128" t="s">
        <v>793</v>
      </c>
      <c r="E10" s="127" t="s">
        <v>1192</v>
      </c>
      <c r="F10" s="128" t="s">
        <v>1193</v>
      </c>
      <c r="G10" s="126" t="n">
        <v>2</v>
      </c>
      <c r="H10" s="126" t="s">
        <v>1162</v>
      </c>
      <c r="I10" s="129" t="s">
        <v>1163</v>
      </c>
      <c r="J10" s="126" t="s">
        <v>1164</v>
      </c>
      <c r="K10" s="126" t="s">
        <v>1194</v>
      </c>
      <c r="L10" s="128" t="s">
        <v>1195</v>
      </c>
      <c r="M10" s="126" t="s">
        <v>1166</v>
      </c>
    </row>
    <row r="11" customFormat="false" ht="24.75" hidden="false" customHeight="true" outlineLevel="0" collapsed="false">
      <c r="A11" s="126" t="n">
        <f aca="false">IF($B11="","",COUNTA($B$4:$B11))</f>
        <v>8</v>
      </c>
      <c r="B11" s="127" t="s">
        <v>1196</v>
      </c>
      <c r="C11" s="126" t="s">
        <v>1197</v>
      </c>
      <c r="D11" s="128" t="s">
        <v>780</v>
      </c>
      <c r="E11" s="127" t="s">
        <v>1192</v>
      </c>
      <c r="F11" s="128" t="s">
        <v>1193</v>
      </c>
      <c r="G11" s="126" t="n">
        <v>1</v>
      </c>
      <c r="H11" s="126" t="s">
        <v>1162</v>
      </c>
      <c r="I11" s="129" t="s">
        <v>1163</v>
      </c>
      <c r="J11" s="126" t="s">
        <v>1164</v>
      </c>
      <c r="K11" s="126" t="s">
        <v>1194</v>
      </c>
      <c r="L11" s="128" t="s">
        <v>1195</v>
      </c>
      <c r="M11" s="126" t="s">
        <v>1166</v>
      </c>
    </row>
    <row r="12" customFormat="false" ht="24.75" hidden="false" customHeight="true" outlineLevel="0" collapsed="false">
      <c r="A12" s="126" t="n">
        <f aca="false">IF($B12="","",COUNTA($B$4:$B12))</f>
        <v>9</v>
      </c>
      <c r="B12" s="127" t="s">
        <v>1198</v>
      </c>
      <c r="C12" s="126" t="s">
        <v>1199</v>
      </c>
      <c r="D12" s="128" t="s">
        <v>800</v>
      </c>
      <c r="E12" s="127" t="s">
        <v>1200</v>
      </c>
      <c r="F12" s="128" t="s">
        <v>1201</v>
      </c>
      <c r="G12" s="126" t="n">
        <v>72</v>
      </c>
      <c r="H12" s="126" t="s">
        <v>1162</v>
      </c>
      <c r="I12" s="129" t="s">
        <v>1202</v>
      </c>
      <c r="J12" s="126" t="s">
        <v>1166</v>
      </c>
      <c r="K12" s="126" t="s">
        <v>1203</v>
      </c>
      <c r="L12" s="128" t="s">
        <v>1166</v>
      </c>
      <c r="M12" s="126" t="s">
        <v>1204</v>
      </c>
    </row>
    <row r="13" customFormat="false" ht="24.75" hidden="false" customHeight="true" outlineLevel="0" collapsed="false">
      <c r="A13" s="126" t="n">
        <f aca="false">IF($B13="","",COUNTA($B$4:$B13))</f>
        <v>10</v>
      </c>
      <c r="B13" s="127" t="s">
        <v>1205</v>
      </c>
      <c r="C13" s="126" t="s">
        <v>1206</v>
      </c>
      <c r="D13" s="128" t="s">
        <v>801</v>
      </c>
      <c r="E13" s="127" t="s">
        <v>1200</v>
      </c>
      <c r="F13" s="128" t="s">
        <v>1201</v>
      </c>
      <c r="G13" s="126" t="n">
        <v>72</v>
      </c>
      <c r="H13" s="126" t="s">
        <v>1162</v>
      </c>
      <c r="I13" s="129" t="s">
        <v>1202</v>
      </c>
      <c r="J13" s="126" t="s">
        <v>1166</v>
      </c>
      <c r="K13" s="126" t="s">
        <v>1203</v>
      </c>
      <c r="L13" s="128" t="s">
        <v>1166</v>
      </c>
      <c r="M13" s="126" t="s">
        <v>1207</v>
      </c>
    </row>
    <row r="14" customFormat="false" ht="24.75" hidden="false" customHeight="true" outlineLevel="0" collapsed="false">
      <c r="A14" s="126" t="n">
        <f aca="false">IF($B14="","",COUNTA($B$4:$B14))</f>
        <v>11</v>
      </c>
      <c r="B14" s="127" t="s">
        <v>1158</v>
      </c>
      <c r="C14" s="126" t="s">
        <v>1159</v>
      </c>
      <c r="D14" s="128" t="s">
        <v>769</v>
      </c>
      <c r="E14" s="127" t="s">
        <v>1160</v>
      </c>
      <c r="F14" s="128" t="s">
        <v>1161</v>
      </c>
      <c r="G14" s="126" t="n">
        <v>3</v>
      </c>
      <c r="H14" s="126" t="s">
        <v>1162</v>
      </c>
      <c r="I14" s="129" t="s">
        <v>1163</v>
      </c>
      <c r="J14" s="126" t="s">
        <v>1164</v>
      </c>
      <c r="K14" s="126" t="s">
        <v>1208</v>
      </c>
      <c r="L14" s="128" t="s">
        <v>1166</v>
      </c>
      <c r="M14" s="126" t="s">
        <v>1166</v>
      </c>
    </row>
    <row r="15" customFormat="false" ht="24.75" hidden="false" customHeight="true" outlineLevel="0" collapsed="false">
      <c r="A15" s="126" t="n">
        <f aca="false">IF($B15="","",COUNTA($B$4:$B15))</f>
        <v>12</v>
      </c>
      <c r="B15" s="127" t="s">
        <v>1209</v>
      </c>
      <c r="C15" s="126" t="s">
        <v>1210</v>
      </c>
      <c r="D15" s="128" t="s">
        <v>1016</v>
      </c>
      <c r="E15" s="127" t="s">
        <v>1181</v>
      </c>
      <c r="F15" s="128" t="s">
        <v>1182</v>
      </c>
      <c r="G15" s="126" t="n">
        <v>1</v>
      </c>
      <c r="H15" s="126" t="s">
        <v>1162</v>
      </c>
      <c r="I15" s="129" t="s">
        <v>1163</v>
      </c>
      <c r="J15" s="126" t="s">
        <v>1166</v>
      </c>
      <c r="K15" s="126" t="s">
        <v>1208</v>
      </c>
      <c r="L15" s="128" t="s">
        <v>1166</v>
      </c>
      <c r="M15" s="126" t="s">
        <v>1166</v>
      </c>
    </row>
  </sheetData>
  <autoFilter ref="A3:M185"/>
  <mergeCells count="2">
    <mergeCell ref="A1:M1"/>
    <mergeCell ref="A2:M2"/>
  </mergeCells>
  <conditionalFormatting sqref="A4:M185">
    <cfRule type="expression" priority="2" aboveAverage="0" equalAverage="0" bottom="0" percent="0" rank="0" text="" dxfId="117">
      <formula>$I4="NOT AVAILABLE"</formula>
    </cfRule>
    <cfRule type="expression" priority="3" aboveAverage="0" equalAverage="0" bottom="0" percent="0" rank="0" text="" dxfId="118">
      <formula>$I4="AVAILABLE"</formula>
    </cfRule>
    <cfRule type="expression" priority="4" aboveAverage="0" equalAverage="0" bottom="0" percent="0" rank="0" text="" dxfId="119">
      <formula>$I4="ORDERED"</formula>
    </cfRule>
    <cfRule type="expression" priority="5" aboveAverage="0" equalAverage="0" bottom="0" percent="0" rank="0" text="" dxfId="120">
      <formula>$I4="TRANSFER NEEDED"</formula>
    </cfRule>
    <cfRule type="expression" priority="6" aboveAverage="0" equalAverage="0" bottom="0" percent="0" rank="0" text="" dxfId="121">
      <formula>$I4="ISSUED"</formula>
    </cfRule>
  </conditionalFormatting>
  <conditionalFormatting sqref="I4:I185">
    <cfRule type="expression" priority="7" aboveAverage="0" equalAverage="0" bottom="0" percent="0" rank="0" text="" dxfId="122">
      <formula>$I4="NOT AVAILABLE"</formula>
    </cfRule>
  </conditionalFormatting>
  <dataValidations count="1">
    <dataValidation allowBlank="true" errorStyle="stop" operator="between" showDropDown="false" showErrorMessage="false" showInputMessage="false" sqref="I4:I185" type="list">
      <formula1>"NOT AVAILABLE,AVAILABLE,ORDERED,TRANSFER NEEDED,ISSUED"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937"/>
    <pageSetUpPr fitToPage="true"/>
  </sheetPr>
  <dimension ref="A1:EW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BL13" activeCellId="0" sqref="BL13"/>
    </sheetView>
  </sheetViews>
  <sheetFormatPr defaultColWidth="8.6796875" defaultRowHeight="14.25" zeroHeight="false" outlineLevelRow="0" outlineLevelCol="0"/>
  <cols>
    <col collapsed="false" customWidth="true" hidden="false" outlineLevel="0" max="1" min="1" style="1" width="34"/>
    <col collapsed="false" customWidth="true" hidden="false" outlineLevel="0" max="3" min="2" style="1" width="10"/>
    <col collapsed="false" customWidth="true" hidden="false" outlineLevel="0" max="79" min="4" style="1" width="2.42"/>
    <col collapsed="false" customWidth="true" hidden="true" outlineLevel="0" max="80" min="80" style="1" width="2.42"/>
    <col collapsed="false" customWidth="true" hidden="false" outlineLevel="0" max="117" min="81" style="1" width="2.42"/>
    <col collapsed="false" customWidth="true" hidden="true" outlineLevel="0" max="153" min="118" style="1" width="2.42"/>
  </cols>
  <sheetData>
    <row r="1" customFormat="false" ht="25.5" hidden="false" customHeight="true" outlineLevel="0" collapsed="false">
      <c r="A1" s="130"/>
      <c r="B1" s="130"/>
      <c r="C1" s="130"/>
      <c r="D1" s="131" t="s">
        <v>1211</v>
      </c>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2" t="str">
        <f aca="false">"O.O.S  "&amp;TEXT(DASHBOARD!$M$1-1,"DD-MMM")&amp;"      B.I.S  "&amp;TEXT(DASHBOARD!$M$2,"DD-MMM")&amp;"      GROUND TIME  "&amp;(DASHBOARD!$M$2-DASHBOARD!$M$1+1)&amp;" DAYS"</f>
        <v>O.O.S  17-Jul      B.I.S  24-Aug      GROUND TIME  38 DAYS</v>
      </c>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c r="BY1" s="132"/>
      <c r="BZ1" s="132"/>
      <c r="CA1" s="132"/>
      <c r="CB1" s="132"/>
      <c r="CC1" s="132"/>
      <c r="CD1" s="132"/>
      <c r="CE1" s="132"/>
      <c r="CF1" s="132"/>
      <c r="CG1" s="132"/>
      <c r="CH1" s="132"/>
      <c r="CI1" s="132"/>
      <c r="CJ1" s="132"/>
      <c r="CK1" s="132"/>
      <c r="CL1" s="132"/>
      <c r="CM1" s="132"/>
      <c r="CN1" s="132"/>
      <c r="CO1" s="132"/>
      <c r="CP1" s="132"/>
      <c r="CQ1" s="132"/>
      <c r="CR1" s="132"/>
      <c r="CS1" s="132"/>
      <c r="CT1" s="132"/>
      <c r="CU1" s="132"/>
      <c r="CV1" s="132"/>
      <c r="CW1" s="132"/>
      <c r="CX1" s="132"/>
      <c r="CY1" s="132"/>
      <c r="CZ1" s="132"/>
      <c r="DA1" s="132"/>
      <c r="DB1" s="132"/>
      <c r="DC1" s="132"/>
      <c r="DD1" s="132"/>
      <c r="DE1" s="132"/>
      <c r="DF1" s="132"/>
      <c r="DG1" s="132"/>
      <c r="DH1" s="132"/>
      <c r="DI1" s="132"/>
      <c r="DJ1" s="132"/>
      <c r="DK1" s="132"/>
      <c r="DL1" s="132"/>
      <c r="DM1" s="132"/>
      <c r="DN1" s="132"/>
      <c r="DO1" s="132"/>
      <c r="DP1" s="132"/>
      <c r="DQ1" s="132"/>
      <c r="DR1" s="132"/>
      <c r="DS1" s="132"/>
      <c r="DT1" s="132"/>
      <c r="DU1" s="132"/>
      <c r="DV1" s="132"/>
      <c r="DW1" s="132"/>
      <c r="DX1" s="132"/>
      <c r="DY1" s="132"/>
      <c r="DZ1" s="132"/>
      <c r="EA1" s="132"/>
      <c r="EB1" s="132"/>
      <c r="EC1" s="132"/>
      <c r="ED1" s="132"/>
      <c r="EE1" s="132"/>
      <c r="EF1" s="132"/>
      <c r="EG1" s="132"/>
      <c r="EH1" s="132"/>
      <c r="EI1" s="132"/>
      <c r="EJ1" s="132"/>
      <c r="EK1" s="132"/>
      <c r="EL1" s="132"/>
      <c r="EM1" s="132"/>
      <c r="EN1" s="132"/>
      <c r="EO1" s="132"/>
      <c r="EP1" s="132"/>
      <c r="EQ1" s="132"/>
      <c r="ER1" s="132"/>
      <c r="ES1" s="132"/>
      <c r="ET1" s="132"/>
      <c r="EU1" s="132"/>
      <c r="EV1" s="132"/>
      <c r="EW1" s="132"/>
    </row>
    <row r="2" customFormat="false" ht="19.5" hidden="false" customHeight="true" outlineLevel="0" collapsed="false">
      <c r="A2" s="130"/>
      <c r="B2" s="130"/>
      <c r="C2" s="130"/>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2"/>
      <c r="BY2" s="132"/>
      <c r="BZ2" s="132"/>
      <c r="CA2" s="132"/>
      <c r="CB2" s="132"/>
      <c r="CC2" s="132"/>
      <c r="CD2" s="132"/>
      <c r="CE2" s="132"/>
      <c r="CF2" s="132"/>
      <c r="CG2" s="132"/>
      <c r="CH2" s="132"/>
      <c r="CI2" s="132"/>
      <c r="CJ2" s="132"/>
      <c r="CK2" s="132"/>
      <c r="CL2" s="132"/>
      <c r="CM2" s="132"/>
      <c r="CN2" s="132"/>
      <c r="CO2" s="132"/>
      <c r="CP2" s="132"/>
      <c r="CQ2" s="132"/>
      <c r="CR2" s="132"/>
      <c r="CS2" s="132"/>
      <c r="CT2" s="132"/>
      <c r="CU2" s="132"/>
      <c r="CV2" s="132"/>
      <c r="CW2" s="132"/>
      <c r="CX2" s="132"/>
      <c r="CY2" s="132"/>
      <c r="CZ2" s="132"/>
      <c r="DA2" s="132"/>
      <c r="DB2" s="132"/>
      <c r="DC2" s="132"/>
      <c r="DD2" s="132"/>
      <c r="DE2" s="132"/>
      <c r="DF2" s="132"/>
      <c r="DG2" s="132"/>
      <c r="DH2" s="132"/>
      <c r="DI2" s="132"/>
      <c r="DJ2" s="132"/>
      <c r="DK2" s="132"/>
      <c r="DL2" s="132"/>
      <c r="DM2" s="132"/>
      <c r="DN2" s="132"/>
      <c r="DO2" s="132"/>
      <c r="DP2" s="132"/>
      <c r="DQ2" s="132"/>
      <c r="DR2" s="132"/>
      <c r="DS2" s="132"/>
      <c r="DT2" s="132"/>
      <c r="DU2" s="132"/>
      <c r="DV2" s="132"/>
      <c r="DW2" s="132"/>
      <c r="DX2" s="132"/>
      <c r="DY2" s="132"/>
      <c r="DZ2" s="132"/>
      <c r="EA2" s="132"/>
      <c r="EB2" s="132"/>
      <c r="EC2" s="132"/>
      <c r="ED2" s="132"/>
      <c r="EE2" s="132"/>
      <c r="EF2" s="132"/>
      <c r="EG2" s="132"/>
      <c r="EH2" s="132"/>
      <c r="EI2" s="132"/>
      <c r="EJ2" s="132"/>
      <c r="EK2" s="132"/>
      <c r="EL2" s="132"/>
      <c r="EM2" s="132"/>
      <c r="EN2" s="132"/>
      <c r="EO2" s="132"/>
      <c r="EP2" s="132"/>
      <c r="EQ2" s="132"/>
      <c r="ER2" s="132"/>
      <c r="ES2" s="132"/>
      <c r="ET2" s="132"/>
      <c r="EU2" s="132"/>
      <c r="EV2" s="132"/>
      <c r="EW2" s="132"/>
    </row>
    <row r="3" customFormat="false" ht="12.75" hidden="false" customHeight="true" outlineLevel="0" collapsed="false">
      <c r="A3" s="133" t="s">
        <v>1212</v>
      </c>
      <c r="B3" s="134" t="s">
        <v>1213</v>
      </c>
      <c r="C3" s="134" t="s">
        <v>1214</v>
      </c>
      <c r="D3" s="135" t="str">
        <f aca="false">IF(DASHBOARD!$M$2-DASHBOARD!$M$1&gt;=0,"Day "&amp;1,"")</f>
        <v>Day 1</v>
      </c>
      <c r="E3" s="135"/>
      <c r="F3" s="135"/>
      <c r="G3" s="135" t="str">
        <f aca="false">IF(DASHBOARD!$M$2-DASHBOARD!$M$1&gt;=1,"Day "&amp;2,"")</f>
        <v>Day 2</v>
      </c>
      <c r="H3" s="135"/>
      <c r="I3" s="135"/>
      <c r="J3" s="135" t="str">
        <f aca="false">IF(DASHBOARD!$M$2-DASHBOARD!$M$1&gt;=2,"Day "&amp;3,"")</f>
        <v>Day 3</v>
      </c>
      <c r="K3" s="135"/>
      <c r="L3" s="135"/>
      <c r="M3" s="135" t="str">
        <f aca="false">IF(DASHBOARD!$M$2-DASHBOARD!$M$1&gt;=3,"Day "&amp;4,"")</f>
        <v>Day 4</v>
      </c>
      <c r="N3" s="135"/>
      <c r="O3" s="135"/>
      <c r="P3" s="135" t="str">
        <f aca="false">IF(DASHBOARD!$M$2-DASHBOARD!$M$1&gt;=4,"Day "&amp;5,"")</f>
        <v>Day 5</v>
      </c>
      <c r="Q3" s="135"/>
      <c r="R3" s="135"/>
      <c r="S3" s="135" t="str">
        <f aca="false">IF(DASHBOARD!$M$2-DASHBOARD!$M$1&gt;=5,"Day "&amp;6,"")</f>
        <v>Day 6</v>
      </c>
      <c r="T3" s="135"/>
      <c r="U3" s="135"/>
      <c r="V3" s="135" t="str">
        <f aca="false">IF(DASHBOARD!$M$2-DASHBOARD!$M$1&gt;=6,"Day "&amp;7,"")</f>
        <v>Day 7</v>
      </c>
      <c r="W3" s="135"/>
      <c r="X3" s="135"/>
      <c r="Y3" s="135" t="str">
        <f aca="false">IF(DASHBOARD!$M$2-DASHBOARD!$M$1&gt;=7,"Day "&amp;8,"")</f>
        <v>Day 8</v>
      </c>
      <c r="Z3" s="135"/>
      <c r="AA3" s="135"/>
      <c r="AB3" s="135" t="str">
        <f aca="false">IF(DASHBOARD!$M$2-DASHBOARD!$M$1&gt;=8,"Day "&amp;9,"")</f>
        <v>Day 9</v>
      </c>
      <c r="AC3" s="135"/>
      <c r="AD3" s="135"/>
      <c r="AE3" s="135" t="str">
        <f aca="false">IF(DASHBOARD!$M$2-DASHBOARD!$M$1&gt;=9,"Day "&amp;10,"")</f>
        <v>Day 10</v>
      </c>
      <c r="AF3" s="135"/>
      <c r="AG3" s="135"/>
      <c r="AH3" s="135" t="str">
        <f aca="false">IF(DASHBOARD!$M$2-DASHBOARD!$M$1&gt;=10,"Day "&amp;11,"")</f>
        <v>Day 11</v>
      </c>
      <c r="AI3" s="135"/>
      <c r="AJ3" s="135"/>
      <c r="AK3" s="135" t="str">
        <f aca="false">IF(DASHBOARD!$M$2-DASHBOARD!$M$1&gt;=11,"Day "&amp;12,"")</f>
        <v>Day 12</v>
      </c>
      <c r="AL3" s="135"/>
      <c r="AM3" s="135"/>
      <c r="AN3" s="135" t="str">
        <f aca="false">IF(DASHBOARD!$M$2-DASHBOARD!$M$1&gt;=12,"Day "&amp;13,"")</f>
        <v>Day 13</v>
      </c>
      <c r="AO3" s="135"/>
      <c r="AP3" s="135"/>
      <c r="AQ3" s="135" t="str">
        <f aca="false">IF(DASHBOARD!$M$2-DASHBOARD!$M$1&gt;=13,"Day "&amp;14,"")</f>
        <v>Day 14</v>
      </c>
      <c r="AR3" s="135"/>
      <c r="AS3" s="135"/>
      <c r="AT3" s="135" t="str">
        <f aca="false">IF(DASHBOARD!$M$2-DASHBOARD!$M$1&gt;=14,"Day "&amp;15,"")</f>
        <v>Day 15</v>
      </c>
      <c r="AU3" s="135"/>
      <c r="AV3" s="135"/>
      <c r="AW3" s="135" t="str">
        <f aca="false">IF(DASHBOARD!$M$2-DASHBOARD!$M$1&gt;=15,"Day "&amp;16,"")</f>
        <v>Day 16</v>
      </c>
      <c r="AX3" s="135"/>
      <c r="AY3" s="135"/>
      <c r="AZ3" s="135" t="str">
        <f aca="false">IF(DASHBOARD!$M$2-DASHBOARD!$M$1&gt;=16,"Day "&amp;17,"")</f>
        <v>Day 17</v>
      </c>
      <c r="BA3" s="135"/>
      <c r="BB3" s="135"/>
      <c r="BC3" s="135" t="str">
        <f aca="false">IF(DASHBOARD!$M$2-DASHBOARD!$M$1&gt;=17,"Day "&amp;18,"")</f>
        <v>Day 18</v>
      </c>
      <c r="BD3" s="135"/>
      <c r="BE3" s="135"/>
      <c r="BF3" s="135" t="str">
        <f aca="false">IF(DASHBOARD!$M$2-DASHBOARD!$M$1&gt;=18,"Day "&amp;19,"")</f>
        <v>Day 19</v>
      </c>
      <c r="BG3" s="135"/>
      <c r="BH3" s="135"/>
      <c r="BI3" s="135" t="str">
        <f aca="false">IF(DASHBOARD!$M$2-DASHBOARD!$M$1&gt;=19,"Day "&amp;20,"")</f>
        <v>Day 20</v>
      </c>
      <c r="BJ3" s="135"/>
      <c r="BK3" s="135"/>
      <c r="BL3" s="135" t="str">
        <f aca="false">IF(DASHBOARD!$M$2-DASHBOARD!$M$1&gt;=20,"Day "&amp;21,"")</f>
        <v>Day 21</v>
      </c>
      <c r="BM3" s="135"/>
      <c r="BN3" s="135"/>
      <c r="BO3" s="135" t="str">
        <f aca="false">IF(DASHBOARD!$M$2-DASHBOARD!$M$1&gt;=21,"Day "&amp;22,"")</f>
        <v>Day 22</v>
      </c>
      <c r="BP3" s="135"/>
      <c r="BQ3" s="135"/>
      <c r="BR3" s="135" t="str">
        <f aca="false">IF(DASHBOARD!$M$2-DASHBOARD!$M$1&gt;=22,"Day "&amp;23,"")</f>
        <v>Day 23</v>
      </c>
      <c r="BS3" s="135"/>
      <c r="BT3" s="135"/>
      <c r="BU3" s="135" t="str">
        <f aca="false">IF(DASHBOARD!$M$2-DASHBOARD!$M$1&gt;=23,"Day "&amp;24,"")</f>
        <v>Day 24</v>
      </c>
      <c r="BV3" s="135"/>
      <c r="BW3" s="135"/>
      <c r="BX3" s="135" t="str">
        <f aca="false">IF(DASHBOARD!$M$2-DASHBOARD!$M$1&gt;=24,"Day "&amp;25,"")</f>
        <v>Day 25</v>
      </c>
      <c r="BY3" s="135"/>
      <c r="BZ3" s="135"/>
      <c r="CA3" s="135" t="str">
        <f aca="false">IF(DASHBOARD!$M$2-DASHBOARD!$M$1&gt;=25,"Day "&amp;26,"")</f>
        <v>Day 26</v>
      </c>
      <c r="CB3" s="135"/>
      <c r="CC3" s="135"/>
      <c r="CD3" s="135" t="str">
        <f aca="false">IF(DASHBOARD!$M$2-DASHBOARD!$M$1&gt;=26,"Day "&amp;27,"")</f>
        <v>Day 27</v>
      </c>
      <c r="CE3" s="135"/>
      <c r="CF3" s="135"/>
      <c r="CG3" s="135" t="str">
        <f aca="false">IF(DASHBOARD!$M$2-DASHBOARD!$M$1&gt;=27,"Day "&amp;28,"")</f>
        <v>Day 28</v>
      </c>
      <c r="CH3" s="135"/>
      <c r="CI3" s="135"/>
      <c r="CJ3" s="135" t="str">
        <f aca="false">IF(DASHBOARD!$M$2-DASHBOARD!$M$1&gt;=28,"Day "&amp;29,"")</f>
        <v>Day 29</v>
      </c>
      <c r="CK3" s="135"/>
      <c r="CL3" s="135"/>
      <c r="CM3" s="135" t="str">
        <f aca="false">IF(DASHBOARD!$M$2-DASHBOARD!$M$1&gt;=29,"Day "&amp;30,"")</f>
        <v>Day 30</v>
      </c>
      <c r="CN3" s="135"/>
      <c r="CO3" s="135"/>
      <c r="CP3" s="135" t="str">
        <f aca="false">IF(DASHBOARD!$M$2-DASHBOARD!$M$1&gt;=30,"Day "&amp;31,"")</f>
        <v>Day 31</v>
      </c>
      <c r="CQ3" s="135"/>
      <c r="CR3" s="135"/>
      <c r="CS3" s="135" t="str">
        <f aca="false">IF(DASHBOARD!$M$2-DASHBOARD!$M$1&gt;=31,"Day "&amp;32,"")</f>
        <v>Day 32</v>
      </c>
      <c r="CT3" s="135"/>
      <c r="CU3" s="135"/>
      <c r="CV3" s="135" t="str">
        <f aca="false">IF(DASHBOARD!$M$2-DASHBOARD!$M$1&gt;=32,"Day "&amp;33,"")</f>
        <v>Day 33</v>
      </c>
      <c r="CW3" s="135"/>
      <c r="CX3" s="135"/>
      <c r="CY3" s="135" t="str">
        <f aca="false">IF(DASHBOARD!$M$2-DASHBOARD!$M$1&gt;=33,"Day "&amp;34,"")</f>
        <v>Day 34</v>
      </c>
      <c r="CZ3" s="135"/>
      <c r="DA3" s="135"/>
      <c r="DB3" s="135" t="str">
        <f aca="false">IF(DASHBOARD!$M$2-DASHBOARD!$M$1&gt;=34,"Day "&amp;35,"")</f>
        <v>Day 35</v>
      </c>
      <c r="DC3" s="135"/>
      <c r="DD3" s="135"/>
      <c r="DE3" s="135" t="str">
        <f aca="false">IF(DASHBOARD!$M$2-DASHBOARD!$M$1&gt;=35,"Day "&amp;36,"")</f>
        <v>Day 36</v>
      </c>
      <c r="DF3" s="135"/>
      <c r="DG3" s="135"/>
      <c r="DH3" s="135" t="str">
        <f aca="false">IF(DASHBOARD!$M$2-DASHBOARD!$M$1&gt;=36,"Day "&amp;37,"")</f>
        <v>Day 37</v>
      </c>
      <c r="DI3" s="135"/>
      <c r="DJ3" s="135"/>
      <c r="DK3" s="135" t="str">
        <f aca="false">IF(DASHBOARD!$M$2-DASHBOARD!$M$1&gt;=37,"Day "&amp;38,"")</f>
        <v>Day 38</v>
      </c>
      <c r="DL3" s="135"/>
      <c r="DM3" s="135"/>
      <c r="DN3" s="135" t="str">
        <f aca="false">IF(DASHBOARD!$M$2-DASHBOARD!$M$1&gt;=38,"Day "&amp;39,"")</f>
        <v/>
      </c>
      <c r="DO3" s="135"/>
      <c r="DP3" s="135"/>
      <c r="DQ3" s="135" t="str">
        <f aca="false">IF(DASHBOARD!$M$2-DASHBOARD!$M$1&gt;=39,"Day "&amp;40,"")</f>
        <v/>
      </c>
      <c r="DR3" s="135"/>
      <c r="DS3" s="135"/>
      <c r="DT3" s="135" t="str">
        <f aca="false">IF(DASHBOARD!$M$2-DASHBOARD!$M$1&gt;=40,"Day "&amp;41,"")</f>
        <v/>
      </c>
      <c r="DU3" s="135"/>
      <c r="DV3" s="135"/>
      <c r="DW3" s="135" t="str">
        <f aca="false">IF(DASHBOARD!$M$2-DASHBOARD!$M$1&gt;=41,"Day "&amp;42,"")</f>
        <v/>
      </c>
      <c r="DX3" s="135"/>
      <c r="DY3" s="135"/>
      <c r="DZ3" s="135" t="str">
        <f aca="false">IF(DASHBOARD!$M$2-DASHBOARD!$M$1&gt;=42,"Day "&amp;43,"")</f>
        <v/>
      </c>
      <c r="EA3" s="135"/>
      <c r="EB3" s="135"/>
      <c r="EC3" s="135" t="str">
        <f aca="false">IF(DASHBOARD!$M$2-DASHBOARD!$M$1&gt;=43,"Day "&amp;44,"")</f>
        <v/>
      </c>
      <c r="ED3" s="135"/>
      <c r="EE3" s="135"/>
      <c r="EF3" s="135" t="str">
        <f aca="false">IF(DASHBOARD!$M$2-DASHBOARD!$M$1&gt;=44,"Day "&amp;45,"")</f>
        <v/>
      </c>
      <c r="EG3" s="135"/>
      <c r="EH3" s="135"/>
      <c r="EI3" s="135" t="str">
        <f aca="false">IF(DASHBOARD!$M$2-DASHBOARD!$M$1&gt;=45,"Day "&amp;46,"")</f>
        <v/>
      </c>
      <c r="EJ3" s="135"/>
      <c r="EK3" s="135"/>
      <c r="EL3" s="135" t="str">
        <f aca="false">IF(DASHBOARD!$M$2-DASHBOARD!$M$1&gt;=46,"Day "&amp;47,"")</f>
        <v/>
      </c>
      <c r="EM3" s="135"/>
      <c r="EN3" s="135"/>
      <c r="EO3" s="135" t="str">
        <f aca="false">IF(DASHBOARD!$M$2-DASHBOARD!$M$1&gt;=47,"Day "&amp;48,"")</f>
        <v/>
      </c>
      <c r="EP3" s="135"/>
      <c r="EQ3" s="135"/>
      <c r="ER3" s="135" t="str">
        <f aca="false">IF(DASHBOARD!$M$2-DASHBOARD!$M$1&gt;=48,"Day "&amp;49,"")</f>
        <v/>
      </c>
      <c r="ES3" s="135"/>
      <c r="ET3" s="135"/>
      <c r="EU3" s="135" t="str">
        <f aca="false">IF(DASHBOARD!$M$2-DASHBOARD!$M$1&gt;=49,"Day "&amp;50,"")</f>
        <v/>
      </c>
      <c r="EV3" s="135"/>
      <c r="EW3" s="135"/>
    </row>
    <row r="4" customFormat="false" ht="15" hidden="false" customHeight="true" outlineLevel="0" collapsed="false">
      <c r="A4" s="133"/>
      <c r="B4" s="134"/>
      <c r="C4" s="134"/>
      <c r="D4" s="136" t="n">
        <f aca="false">IF(DASHBOARD!$M$2-DASHBOARD!$M$1&gt;=0,DASHBOARD!$M$1+0,"")</f>
        <v>46221</v>
      </c>
      <c r="E4" s="136"/>
      <c r="F4" s="136"/>
      <c r="G4" s="136" t="n">
        <f aca="false">IF(DASHBOARD!$M$2-DASHBOARD!$M$1&gt;=1,DASHBOARD!$M$1+1,"")</f>
        <v>46222</v>
      </c>
      <c r="H4" s="136"/>
      <c r="I4" s="136"/>
      <c r="J4" s="136" t="n">
        <f aca="false">IF(DASHBOARD!$M$2-DASHBOARD!$M$1&gt;=2,DASHBOARD!$M$1+2,"")</f>
        <v>46223</v>
      </c>
      <c r="K4" s="136"/>
      <c r="L4" s="136"/>
      <c r="M4" s="136" t="n">
        <f aca="false">IF(DASHBOARD!$M$2-DASHBOARD!$M$1&gt;=3,DASHBOARD!$M$1+3,"")</f>
        <v>46224</v>
      </c>
      <c r="N4" s="136"/>
      <c r="O4" s="136"/>
      <c r="P4" s="136" t="n">
        <f aca="false">IF(DASHBOARD!$M$2-DASHBOARD!$M$1&gt;=4,DASHBOARD!$M$1+4,"")</f>
        <v>46225</v>
      </c>
      <c r="Q4" s="136"/>
      <c r="R4" s="136"/>
      <c r="S4" s="136" t="n">
        <f aca="false">IF(DASHBOARD!$M$2-DASHBOARD!$M$1&gt;=5,DASHBOARD!$M$1+5,"")</f>
        <v>46226</v>
      </c>
      <c r="T4" s="136"/>
      <c r="U4" s="136"/>
      <c r="V4" s="136" t="n">
        <f aca="false">IF(DASHBOARD!$M$2-DASHBOARD!$M$1&gt;=6,DASHBOARD!$M$1+6,"")</f>
        <v>46227</v>
      </c>
      <c r="W4" s="136"/>
      <c r="X4" s="136"/>
      <c r="Y4" s="136" t="n">
        <f aca="false">IF(DASHBOARD!$M$2-DASHBOARD!$M$1&gt;=7,DASHBOARD!$M$1+7,"")</f>
        <v>46228</v>
      </c>
      <c r="Z4" s="136"/>
      <c r="AA4" s="136"/>
      <c r="AB4" s="136" t="n">
        <f aca="false">IF(DASHBOARD!$M$2-DASHBOARD!$M$1&gt;=8,DASHBOARD!$M$1+8,"")</f>
        <v>46229</v>
      </c>
      <c r="AC4" s="136"/>
      <c r="AD4" s="136"/>
      <c r="AE4" s="136" t="n">
        <f aca="false">IF(DASHBOARD!$M$2-DASHBOARD!$M$1&gt;=9,DASHBOARD!$M$1+9,"")</f>
        <v>46230</v>
      </c>
      <c r="AF4" s="136"/>
      <c r="AG4" s="136"/>
      <c r="AH4" s="136" t="n">
        <f aca="false">IF(DASHBOARD!$M$2-DASHBOARD!$M$1&gt;=10,DASHBOARD!$M$1+10,"")</f>
        <v>46231</v>
      </c>
      <c r="AI4" s="136"/>
      <c r="AJ4" s="136"/>
      <c r="AK4" s="136" t="n">
        <f aca="false">IF(DASHBOARD!$M$2-DASHBOARD!$M$1&gt;=11,DASHBOARD!$M$1+11,"")</f>
        <v>46232</v>
      </c>
      <c r="AL4" s="136"/>
      <c r="AM4" s="136"/>
      <c r="AN4" s="136" t="n">
        <f aca="false">IF(DASHBOARD!$M$2-DASHBOARD!$M$1&gt;=12,DASHBOARD!$M$1+12,"")</f>
        <v>46233</v>
      </c>
      <c r="AO4" s="136"/>
      <c r="AP4" s="136"/>
      <c r="AQ4" s="136" t="n">
        <f aca="false">IF(DASHBOARD!$M$2-DASHBOARD!$M$1&gt;=13,DASHBOARD!$M$1+13,"")</f>
        <v>46234</v>
      </c>
      <c r="AR4" s="136"/>
      <c r="AS4" s="136"/>
      <c r="AT4" s="136" t="n">
        <f aca="false">IF(DASHBOARD!$M$2-DASHBOARD!$M$1&gt;=14,DASHBOARD!$M$1+14,"")</f>
        <v>46235</v>
      </c>
      <c r="AU4" s="136"/>
      <c r="AV4" s="136"/>
      <c r="AW4" s="136" t="n">
        <f aca="false">IF(DASHBOARD!$M$2-DASHBOARD!$M$1&gt;=15,DASHBOARD!$M$1+15,"")</f>
        <v>46236</v>
      </c>
      <c r="AX4" s="136"/>
      <c r="AY4" s="136"/>
      <c r="AZ4" s="136" t="n">
        <f aca="false">IF(DASHBOARD!$M$2-DASHBOARD!$M$1&gt;=16,DASHBOARD!$M$1+16,"")</f>
        <v>46237</v>
      </c>
      <c r="BA4" s="136"/>
      <c r="BB4" s="136"/>
      <c r="BC4" s="136" t="n">
        <f aca="false">IF(DASHBOARD!$M$2-DASHBOARD!$M$1&gt;=17,DASHBOARD!$M$1+17,"")</f>
        <v>46238</v>
      </c>
      <c r="BD4" s="136"/>
      <c r="BE4" s="136"/>
      <c r="BF4" s="136" t="n">
        <f aca="false">IF(DASHBOARD!$M$2-DASHBOARD!$M$1&gt;=18,DASHBOARD!$M$1+18,"")</f>
        <v>46239</v>
      </c>
      <c r="BG4" s="136"/>
      <c r="BH4" s="136"/>
      <c r="BI4" s="136" t="n">
        <f aca="false">IF(DASHBOARD!$M$2-DASHBOARD!$M$1&gt;=19,DASHBOARD!$M$1+19,"")</f>
        <v>46240</v>
      </c>
      <c r="BJ4" s="136"/>
      <c r="BK4" s="136"/>
      <c r="BL4" s="136" t="n">
        <f aca="false">IF(DASHBOARD!$M$2-DASHBOARD!$M$1&gt;=20,DASHBOARD!$M$1+20,"")</f>
        <v>46241</v>
      </c>
      <c r="BM4" s="136"/>
      <c r="BN4" s="136"/>
      <c r="BO4" s="136" t="n">
        <f aca="false">IF(DASHBOARD!$M$2-DASHBOARD!$M$1&gt;=21,DASHBOARD!$M$1+21,"")</f>
        <v>46242</v>
      </c>
      <c r="BP4" s="136"/>
      <c r="BQ4" s="136"/>
      <c r="BR4" s="136" t="n">
        <f aca="false">IF(DASHBOARD!$M$2-DASHBOARD!$M$1&gt;=22,DASHBOARD!$M$1+22,"")</f>
        <v>46243</v>
      </c>
      <c r="BS4" s="136"/>
      <c r="BT4" s="136"/>
      <c r="BU4" s="136" t="n">
        <f aca="false">IF(DASHBOARD!$M$2-DASHBOARD!$M$1&gt;=23,DASHBOARD!$M$1+23,"")</f>
        <v>46244</v>
      </c>
      <c r="BV4" s="136"/>
      <c r="BW4" s="136"/>
      <c r="BX4" s="136" t="n">
        <f aca="false">IF(DASHBOARD!$M$2-DASHBOARD!$M$1&gt;=24,DASHBOARD!$M$1+24,"")</f>
        <v>46245</v>
      </c>
      <c r="BY4" s="136"/>
      <c r="BZ4" s="136"/>
      <c r="CA4" s="136" t="n">
        <f aca="false">IF(DASHBOARD!$M$2-DASHBOARD!$M$1&gt;=25,DASHBOARD!$M$1+25,"")</f>
        <v>46246</v>
      </c>
      <c r="CB4" s="136"/>
      <c r="CC4" s="136"/>
      <c r="CD4" s="136" t="n">
        <f aca="false">IF(DASHBOARD!$M$2-DASHBOARD!$M$1&gt;=26,DASHBOARD!$M$1+26,"")</f>
        <v>46247</v>
      </c>
      <c r="CE4" s="136"/>
      <c r="CF4" s="136"/>
      <c r="CG4" s="136" t="n">
        <f aca="false">IF(DASHBOARD!$M$2-DASHBOARD!$M$1&gt;=27,DASHBOARD!$M$1+27,"")</f>
        <v>46248</v>
      </c>
      <c r="CH4" s="136"/>
      <c r="CI4" s="136"/>
      <c r="CJ4" s="136" t="n">
        <f aca="false">IF(DASHBOARD!$M$2-DASHBOARD!$M$1&gt;=28,DASHBOARD!$M$1+28,"")</f>
        <v>46249</v>
      </c>
      <c r="CK4" s="136"/>
      <c r="CL4" s="136"/>
      <c r="CM4" s="136" t="n">
        <f aca="false">IF(DASHBOARD!$M$2-DASHBOARD!$M$1&gt;=29,DASHBOARD!$M$1+29,"")</f>
        <v>46250</v>
      </c>
      <c r="CN4" s="136"/>
      <c r="CO4" s="136"/>
      <c r="CP4" s="136" t="n">
        <f aca="false">IF(DASHBOARD!$M$2-DASHBOARD!$M$1&gt;=30,DASHBOARD!$M$1+30,"")</f>
        <v>46251</v>
      </c>
      <c r="CQ4" s="136"/>
      <c r="CR4" s="136"/>
      <c r="CS4" s="136" t="n">
        <f aca="false">IF(DASHBOARD!$M$2-DASHBOARD!$M$1&gt;=31,DASHBOARD!$M$1+31,"")</f>
        <v>46252</v>
      </c>
      <c r="CT4" s="136"/>
      <c r="CU4" s="136"/>
      <c r="CV4" s="136" t="n">
        <f aca="false">IF(DASHBOARD!$M$2-DASHBOARD!$M$1&gt;=32,DASHBOARD!$M$1+32,"")</f>
        <v>46253</v>
      </c>
      <c r="CW4" s="136"/>
      <c r="CX4" s="136"/>
      <c r="CY4" s="136" t="n">
        <f aca="false">IF(DASHBOARD!$M$2-DASHBOARD!$M$1&gt;=33,DASHBOARD!$M$1+33,"")</f>
        <v>46254</v>
      </c>
      <c r="CZ4" s="136"/>
      <c r="DA4" s="136"/>
      <c r="DB4" s="136" t="n">
        <f aca="false">IF(DASHBOARD!$M$2-DASHBOARD!$M$1&gt;=34,DASHBOARD!$M$1+34,"")</f>
        <v>46255</v>
      </c>
      <c r="DC4" s="136"/>
      <c r="DD4" s="136"/>
      <c r="DE4" s="136" t="n">
        <f aca="false">IF(DASHBOARD!$M$2-DASHBOARD!$M$1&gt;=35,DASHBOARD!$M$1+35,"")</f>
        <v>46256</v>
      </c>
      <c r="DF4" s="136"/>
      <c r="DG4" s="136"/>
      <c r="DH4" s="136" t="n">
        <f aca="false">IF(DASHBOARD!$M$2-DASHBOARD!$M$1&gt;=36,DASHBOARD!$M$1+36,"")</f>
        <v>46257</v>
      </c>
      <c r="DI4" s="136"/>
      <c r="DJ4" s="136"/>
      <c r="DK4" s="136" t="n">
        <f aca="false">IF(DASHBOARD!$M$2-DASHBOARD!$M$1&gt;=37,DASHBOARD!$M$1+37,"")</f>
        <v>46258</v>
      </c>
      <c r="DL4" s="136"/>
      <c r="DM4" s="136"/>
      <c r="DN4" s="136" t="str">
        <f aca="false">IF(DASHBOARD!$M$2-DASHBOARD!$M$1&gt;=38,DASHBOARD!$M$1+38,"")</f>
        <v/>
      </c>
      <c r="DO4" s="136"/>
      <c r="DP4" s="136"/>
      <c r="DQ4" s="136" t="str">
        <f aca="false">IF(DASHBOARD!$M$2-DASHBOARD!$M$1&gt;=39,DASHBOARD!$M$1+39,"")</f>
        <v/>
      </c>
      <c r="DR4" s="136"/>
      <c r="DS4" s="136"/>
      <c r="DT4" s="136" t="str">
        <f aca="false">IF(DASHBOARD!$M$2-DASHBOARD!$M$1&gt;=40,DASHBOARD!$M$1+40,"")</f>
        <v/>
      </c>
      <c r="DU4" s="136"/>
      <c r="DV4" s="136"/>
      <c r="DW4" s="136" t="str">
        <f aca="false">IF(DASHBOARD!$M$2-DASHBOARD!$M$1&gt;=41,DASHBOARD!$M$1+41,"")</f>
        <v/>
      </c>
      <c r="DX4" s="136"/>
      <c r="DY4" s="136"/>
      <c r="DZ4" s="136" t="str">
        <f aca="false">IF(DASHBOARD!$M$2-DASHBOARD!$M$1&gt;=42,DASHBOARD!$M$1+42,"")</f>
        <v/>
      </c>
      <c r="EA4" s="136"/>
      <c r="EB4" s="136"/>
      <c r="EC4" s="136" t="str">
        <f aca="false">IF(DASHBOARD!$M$2-DASHBOARD!$M$1&gt;=43,DASHBOARD!$M$1+43,"")</f>
        <v/>
      </c>
      <c r="ED4" s="136"/>
      <c r="EE4" s="136"/>
      <c r="EF4" s="136" t="str">
        <f aca="false">IF(DASHBOARD!$M$2-DASHBOARD!$M$1&gt;=44,DASHBOARD!$M$1+44,"")</f>
        <v/>
      </c>
      <c r="EG4" s="136"/>
      <c r="EH4" s="136"/>
      <c r="EI4" s="136" t="str">
        <f aca="false">IF(DASHBOARD!$M$2-DASHBOARD!$M$1&gt;=45,DASHBOARD!$M$1+45,"")</f>
        <v/>
      </c>
      <c r="EJ4" s="136"/>
      <c r="EK4" s="136"/>
      <c r="EL4" s="136" t="str">
        <f aca="false">IF(DASHBOARD!$M$2-DASHBOARD!$M$1&gt;=46,DASHBOARD!$M$1+46,"")</f>
        <v/>
      </c>
      <c r="EM4" s="136"/>
      <c r="EN4" s="136"/>
      <c r="EO4" s="136" t="str">
        <f aca="false">IF(DASHBOARD!$M$2-DASHBOARD!$M$1&gt;=47,DASHBOARD!$M$1+47,"")</f>
        <v/>
      </c>
      <c r="EP4" s="136"/>
      <c r="EQ4" s="136"/>
      <c r="ER4" s="136" t="str">
        <f aca="false">IF(DASHBOARD!$M$2-DASHBOARD!$M$1&gt;=48,DASHBOARD!$M$1+48,"")</f>
        <v/>
      </c>
      <c r="ES4" s="136"/>
      <c r="ET4" s="136"/>
      <c r="EU4" s="136" t="str">
        <f aca="false">IF(DASHBOARD!$M$2-DASHBOARD!$M$1&gt;=49,DASHBOARD!$M$1+49,"")</f>
        <v/>
      </c>
      <c r="EV4" s="136"/>
      <c r="EW4" s="136"/>
    </row>
    <row r="5" customFormat="false" ht="10.5" hidden="false" customHeight="true" outlineLevel="0" collapsed="false">
      <c r="A5" s="133"/>
      <c r="B5" s="134"/>
      <c r="C5" s="134"/>
      <c r="D5" s="137" t="str">
        <f aca="false">IF(DASHBOARD!$M$2-DASHBOARD!$M$1&gt;=0,"D","")</f>
        <v>D</v>
      </c>
      <c r="E5" s="138" t="str">
        <f aca="false">IF(DASHBOARD!$M$2-DASHBOARD!$M$1&gt;=0,"T","")</f>
        <v>T</v>
      </c>
      <c r="F5" s="139" t="str">
        <f aca="false">IF(DASHBOARD!$M$2-DASHBOARD!$M$1&gt;=0,"G","")</f>
        <v>G</v>
      </c>
      <c r="G5" s="140" t="str">
        <f aca="false">IF(DASHBOARD!$M$2-DASHBOARD!$M$1&gt;=1,"D","")</f>
        <v>D</v>
      </c>
      <c r="H5" s="138" t="str">
        <f aca="false">IF(DASHBOARD!$M$2-DASHBOARD!$M$1&gt;=1,"T","")</f>
        <v>T</v>
      </c>
      <c r="I5" s="139" t="str">
        <f aca="false">IF(DASHBOARD!$M$2-DASHBOARD!$M$1&gt;=1,"G","")</f>
        <v>G</v>
      </c>
      <c r="J5" s="140" t="str">
        <f aca="false">IF(DASHBOARD!$M$2-DASHBOARD!$M$1&gt;=2,"D","")</f>
        <v>D</v>
      </c>
      <c r="K5" s="138" t="str">
        <f aca="false">IF(DASHBOARD!$M$2-DASHBOARD!$M$1&gt;=2,"T","")</f>
        <v>T</v>
      </c>
      <c r="L5" s="139" t="str">
        <f aca="false">IF(DASHBOARD!$M$2-DASHBOARD!$M$1&gt;=2,"G","")</f>
        <v>G</v>
      </c>
      <c r="M5" s="140" t="str">
        <f aca="false">IF(DASHBOARD!$M$2-DASHBOARD!$M$1&gt;=3,"D","")</f>
        <v>D</v>
      </c>
      <c r="N5" s="138" t="str">
        <f aca="false">IF(DASHBOARD!$M$2-DASHBOARD!$M$1&gt;=3,"T","")</f>
        <v>T</v>
      </c>
      <c r="O5" s="139" t="str">
        <f aca="false">IF(DASHBOARD!$M$2-DASHBOARD!$M$1&gt;=3,"G","")</f>
        <v>G</v>
      </c>
      <c r="P5" s="140" t="str">
        <f aca="false">IF(DASHBOARD!$M$2-DASHBOARD!$M$1&gt;=4,"D","")</f>
        <v>D</v>
      </c>
      <c r="Q5" s="138" t="str">
        <f aca="false">IF(DASHBOARD!$M$2-DASHBOARD!$M$1&gt;=4,"T","")</f>
        <v>T</v>
      </c>
      <c r="R5" s="139" t="str">
        <f aca="false">IF(DASHBOARD!$M$2-DASHBOARD!$M$1&gt;=4,"G","")</f>
        <v>G</v>
      </c>
      <c r="S5" s="140" t="str">
        <f aca="false">IF(DASHBOARD!$M$2-DASHBOARD!$M$1&gt;=5,"D","")</f>
        <v>D</v>
      </c>
      <c r="T5" s="138" t="str">
        <f aca="false">IF(DASHBOARD!$M$2-DASHBOARD!$M$1&gt;=5,"T","")</f>
        <v>T</v>
      </c>
      <c r="U5" s="139" t="str">
        <f aca="false">IF(DASHBOARD!$M$2-DASHBOARD!$M$1&gt;=5,"G","")</f>
        <v>G</v>
      </c>
      <c r="V5" s="140" t="str">
        <f aca="false">IF(DASHBOARD!$M$2-DASHBOARD!$M$1&gt;=6,"D","")</f>
        <v>D</v>
      </c>
      <c r="W5" s="138" t="str">
        <f aca="false">IF(DASHBOARD!$M$2-DASHBOARD!$M$1&gt;=6,"T","")</f>
        <v>T</v>
      </c>
      <c r="X5" s="139" t="str">
        <f aca="false">IF(DASHBOARD!$M$2-DASHBOARD!$M$1&gt;=6,"G","")</f>
        <v>G</v>
      </c>
      <c r="Y5" s="140" t="str">
        <f aca="false">IF(DASHBOARD!$M$2-DASHBOARD!$M$1&gt;=7,"D","")</f>
        <v>D</v>
      </c>
      <c r="Z5" s="138" t="str">
        <f aca="false">IF(DASHBOARD!$M$2-DASHBOARD!$M$1&gt;=7,"T","")</f>
        <v>T</v>
      </c>
      <c r="AA5" s="139" t="str">
        <f aca="false">IF(DASHBOARD!$M$2-DASHBOARD!$M$1&gt;=7,"G","")</f>
        <v>G</v>
      </c>
      <c r="AB5" s="140" t="str">
        <f aca="false">IF(DASHBOARD!$M$2-DASHBOARD!$M$1&gt;=8,"D","")</f>
        <v>D</v>
      </c>
      <c r="AC5" s="138" t="str">
        <f aca="false">IF(DASHBOARD!$M$2-DASHBOARD!$M$1&gt;=8,"T","")</f>
        <v>T</v>
      </c>
      <c r="AD5" s="139" t="str">
        <f aca="false">IF(DASHBOARD!$M$2-DASHBOARD!$M$1&gt;=8,"G","")</f>
        <v>G</v>
      </c>
      <c r="AE5" s="140" t="str">
        <f aca="false">IF(DASHBOARD!$M$2-DASHBOARD!$M$1&gt;=9,"D","")</f>
        <v>D</v>
      </c>
      <c r="AF5" s="138" t="str">
        <f aca="false">IF(DASHBOARD!$M$2-DASHBOARD!$M$1&gt;=9,"T","")</f>
        <v>T</v>
      </c>
      <c r="AG5" s="139" t="str">
        <f aca="false">IF(DASHBOARD!$M$2-DASHBOARD!$M$1&gt;=9,"G","")</f>
        <v>G</v>
      </c>
      <c r="AH5" s="140" t="str">
        <f aca="false">IF(DASHBOARD!$M$2-DASHBOARD!$M$1&gt;=10,"D","")</f>
        <v>D</v>
      </c>
      <c r="AI5" s="138" t="str">
        <f aca="false">IF(DASHBOARD!$M$2-DASHBOARD!$M$1&gt;=10,"T","")</f>
        <v>T</v>
      </c>
      <c r="AJ5" s="139" t="str">
        <f aca="false">IF(DASHBOARD!$M$2-DASHBOARD!$M$1&gt;=10,"G","")</f>
        <v>G</v>
      </c>
      <c r="AK5" s="140" t="str">
        <f aca="false">IF(DASHBOARD!$M$2-DASHBOARD!$M$1&gt;=11,"D","")</f>
        <v>D</v>
      </c>
      <c r="AL5" s="138" t="str">
        <f aca="false">IF(DASHBOARD!$M$2-DASHBOARD!$M$1&gt;=11,"T","")</f>
        <v>T</v>
      </c>
      <c r="AM5" s="139" t="str">
        <f aca="false">IF(DASHBOARD!$M$2-DASHBOARD!$M$1&gt;=11,"G","")</f>
        <v>G</v>
      </c>
      <c r="AN5" s="140" t="str">
        <f aca="false">IF(DASHBOARD!$M$2-DASHBOARD!$M$1&gt;=12,"D","")</f>
        <v>D</v>
      </c>
      <c r="AO5" s="138" t="str">
        <f aca="false">IF(DASHBOARD!$M$2-DASHBOARD!$M$1&gt;=12,"T","")</f>
        <v>T</v>
      </c>
      <c r="AP5" s="139" t="str">
        <f aca="false">IF(DASHBOARD!$M$2-DASHBOARD!$M$1&gt;=12,"G","")</f>
        <v>G</v>
      </c>
      <c r="AQ5" s="140" t="str">
        <f aca="false">IF(DASHBOARD!$M$2-DASHBOARD!$M$1&gt;=13,"D","")</f>
        <v>D</v>
      </c>
      <c r="AR5" s="138" t="str">
        <f aca="false">IF(DASHBOARD!$M$2-DASHBOARD!$M$1&gt;=13,"T","")</f>
        <v>T</v>
      </c>
      <c r="AS5" s="139" t="str">
        <f aca="false">IF(DASHBOARD!$M$2-DASHBOARD!$M$1&gt;=13,"G","")</f>
        <v>G</v>
      </c>
      <c r="AT5" s="140" t="str">
        <f aca="false">IF(DASHBOARD!$M$2-DASHBOARD!$M$1&gt;=14,"D","")</f>
        <v>D</v>
      </c>
      <c r="AU5" s="138" t="str">
        <f aca="false">IF(DASHBOARD!$M$2-DASHBOARD!$M$1&gt;=14,"T","")</f>
        <v>T</v>
      </c>
      <c r="AV5" s="139" t="str">
        <f aca="false">IF(DASHBOARD!$M$2-DASHBOARD!$M$1&gt;=14,"G","")</f>
        <v>G</v>
      </c>
      <c r="AW5" s="140" t="str">
        <f aca="false">IF(DASHBOARD!$M$2-DASHBOARD!$M$1&gt;=15,"D","")</f>
        <v>D</v>
      </c>
      <c r="AX5" s="138" t="str">
        <f aca="false">IF(DASHBOARD!$M$2-DASHBOARD!$M$1&gt;=15,"T","")</f>
        <v>T</v>
      </c>
      <c r="AY5" s="139" t="str">
        <f aca="false">IF(DASHBOARD!$M$2-DASHBOARD!$M$1&gt;=15,"G","")</f>
        <v>G</v>
      </c>
      <c r="AZ5" s="140" t="str">
        <f aca="false">IF(DASHBOARD!$M$2-DASHBOARD!$M$1&gt;=16,"D","")</f>
        <v>D</v>
      </c>
      <c r="BA5" s="138" t="str">
        <f aca="false">IF(DASHBOARD!$M$2-DASHBOARD!$M$1&gt;=16,"T","")</f>
        <v>T</v>
      </c>
      <c r="BB5" s="139" t="str">
        <f aca="false">IF(DASHBOARD!$M$2-DASHBOARD!$M$1&gt;=16,"G","")</f>
        <v>G</v>
      </c>
      <c r="BC5" s="140" t="str">
        <f aca="false">IF(DASHBOARD!$M$2-DASHBOARD!$M$1&gt;=17,"D","")</f>
        <v>D</v>
      </c>
      <c r="BD5" s="138" t="str">
        <f aca="false">IF(DASHBOARD!$M$2-DASHBOARD!$M$1&gt;=17,"T","")</f>
        <v>T</v>
      </c>
      <c r="BE5" s="139" t="str">
        <f aca="false">IF(DASHBOARD!$M$2-DASHBOARD!$M$1&gt;=17,"G","")</f>
        <v>G</v>
      </c>
      <c r="BF5" s="140" t="str">
        <f aca="false">IF(DASHBOARD!$M$2-DASHBOARD!$M$1&gt;=18,"D","")</f>
        <v>D</v>
      </c>
      <c r="BG5" s="138" t="str">
        <f aca="false">IF(DASHBOARD!$M$2-DASHBOARD!$M$1&gt;=18,"T","")</f>
        <v>T</v>
      </c>
      <c r="BH5" s="139" t="str">
        <f aca="false">IF(DASHBOARD!$M$2-DASHBOARD!$M$1&gt;=18,"G","")</f>
        <v>G</v>
      </c>
      <c r="BI5" s="140" t="str">
        <f aca="false">IF(DASHBOARD!$M$2-DASHBOARD!$M$1&gt;=19,"D","")</f>
        <v>D</v>
      </c>
      <c r="BJ5" s="138" t="str">
        <f aca="false">IF(DASHBOARD!$M$2-DASHBOARD!$M$1&gt;=19,"T","")</f>
        <v>T</v>
      </c>
      <c r="BK5" s="139" t="str">
        <f aca="false">IF(DASHBOARD!$M$2-DASHBOARD!$M$1&gt;=19,"G","")</f>
        <v>G</v>
      </c>
      <c r="BL5" s="140" t="str">
        <f aca="false">IF(DASHBOARD!$M$2-DASHBOARD!$M$1&gt;=20,"D","")</f>
        <v>D</v>
      </c>
      <c r="BM5" s="138" t="str">
        <f aca="false">IF(DASHBOARD!$M$2-DASHBOARD!$M$1&gt;=20,"T","")</f>
        <v>T</v>
      </c>
      <c r="BN5" s="139" t="str">
        <f aca="false">IF(DASHBOARD!$M$2-DASHBOARD!$M$1&gt;=20,"G","")</f>
        <v>G</v>
      </c>
      <c r="BO5" s="140" t="str">
        <f aca="false">IF(DASHBOARD!$M$2-DASHBOARD!$M$1&gt;=21,"D","")</f>
        <v>D</v>
      </c>
      <c r="BP5" s="138" t="str">
        <f aca="false">IF(DASHBOARD!$M$2-DASHBOARD!$M$1&gt;=21,"T","")</f>
        <v>T</v>
      </c>
      <c r="BQ5" s="139" t="str">
        <f aca="false">IF(DASHBOARD!$M$2-DASHBOARD!$M$1&gt;=21,"G","")</f>
        <v>G</v>
      </c>
      <c r="BR5" s="140" t="str">
        <f aca="false">IF(DASHBOARD!$M$2-DASHBOARD!$M$1&gt;=22,"D","")</f>
        <v>D</v>
      </c>
      <c r="BS5" s="138" t="str">
        <f aca="false">IF(DASHBOARD!$M$2-DASHBOARD!$M$1&gt;=22,"T","")</f>
        <v>T</v>
      </c>
      <c r="BT5" s="139" t="str">
        <f aca="false">IF(DASHBOARD!$M$2-DASHBOARD!$M$1&gt;=22,"G","")</f>
        <v>G</v>
      </c>
      <c r="BU5" s="140" t="str">
        <f aca="false">IF(DASHBOARD!$M$2-DASHBOARD!$M$1&gt;=23,"D","")</f>
        <v>D</v>
      </c>
      <c r="BV5" s="138" t="str">
        <f aca="false">IF(DASHBOARD!$M$2-DASHBOARD!$M$1&gt;=23,"T","")</f>
        <v>T</v>
      </c>
      <c r="BW5" s="139" t="str">
        <f aca="false">IF(DASHBOARD!$M$2-DASHBOARD!$M$1&gt;=23,"G","")</f>
        <v>G</v>
      </c>
      <c r="BX5" s="140" t="str">
        <f aca="false">IF(DASHBOARD!$M$2-DASHBOARD!$M$1&gt;=24,"D","")</f>
        <v>D</v>
      </c>
      <c r="BY5" s="138" t="str">
        <f aca="false">IF(DASHBOARD!$M$2-DASHBOARD!$M$1&gt;=24,"T","")</f>
        <v>T</v>
      </c>
      <c r="BZ5" s="139" t="str">
        <f aca="false">IF(DASHBOARD!$M$2-DASHBOARD!$M$1&gt;=24,"G","")</f>
        <v>G</v>
      </c>
      <c r="CA5" s="140" t="str">
        <f aca="false">IF(DASHBOARD!$M$2-DASHBOARD!$M$1&gt;=25,"D","")</f>
        <v>D</v>
      </c>
      <c r="CB5" s="138" t="str">
        <f aca="false">IF(DASHBOARD!$M$2-DASHBOARD!$M$1&gt;=25,"T","")</f>
        <v>T</v>
      </c>
      <c r="CC5" s="139" t="str">
        <f aca="false">IF(DASHBOARD!$M$2-DASHBOARD!$M$1&gt;=25,"G","")</f>
        <v>G</v>
      </c>
      <c r="CD5" s="140" t="str">
        <f aca="false">IF(DASHBOARD!$M$2-DASHBOARD!$M$1&gt;=26,"D","")</f>
        <v>D</v>
      </c>
      <c r="CE5" s="138" t="str">
        <f aca="false">IF(DASHBOARD!$M$2-DASHBOARD!$M$1&gt;=26,"T","")</f>
        <v>T</v>
      </c>
      <c r="CF5" s="139" t="str">
        <f aca="false">IF(DASHBOARD!$M$2-DASHBOARD!$M$1&gt;=26,"G","")</f>
        <v>G</v>
      </c>
      <c r="CG5" s="140" t="str">
        <f aca="false">IF(DASHBOARD!$M$2-DASHBOARD!$M$1&gt;=27,"D","")</f>
        <v>D</v>
      </c>
      <c r="CH5" s="138" t="str">
        <f aca="false">IF(DASHBOARD!$M$2-DASHBOARD!$M$1&gt;=27,"T","")</f>
        <v>T</v>
      </c>
      <c r="CI5" s="139" t="str">
        <f aca="false">IF(DASHBOARD!$M$2-DASHBOARD!$M$1&gt;=27,"G","")</f>
        <v>G</v>
      </c>
      <c r="CJ5" s="140" t="str">
        <f aca="false">IF(DASHBOARD!$M$2-DASHBOARD!$M$1&gt;=28,"D","")</f>
        <v>D</v>
      </c>
      <c r="CK5" s="138" t="str">
        <f aca="false">IF(DASHBOARD!$M$2-DASHBOARD!$M$1&gt;=28,"T","")</f>
        <v>T</v>
      </c>
      <c r="CL5" s="139" t="str">
        <f aca="false">IF(DASHBOARD!$M$2-DASHBOARD!$M$1&gt;=28,"G","")</f>
        <v>G</v>
      </c>
      <c r="CM5" s="140" t="str">
        <f aca="false">IF(DASHBOARD!$M$2-DASHBOARD!$M$1&gt;=29,"D","")</f>
        <v>D</v>
      </c>
      <c r="CN5" s="138" t="str">
        <f aca="false">IF(DASHBOARD!$M$2-DASHBOARD!$M$1&gt;=29,"T","")</f>
        <v>T</v>
      </c>
      <c r="CO5" s="139" t="str">
        <f aca="false">IF(DASHBOARD!$M$2-DASHBOARD!$M$1&gt;=29,"G","")</f>
        <v>G</v>
      </c>
      <c r="CP5" s="140" t="str">
        <f aca="false">IF(DASHBOARD!$M$2-DASHBOARD!$M$1&gt;=30,"D","")</f>
        <v>D</v>
      </c>
      <c r="CQ5" s="138" t="str">
        <f aca="false">IF(DASHBOARD!$M$2-DASHBOARD!$M$1&gt;=30,"T","")</f>
        <v>T</v>
      </c>
      <c r="CR5" s="139" t="str">
        <f aca="false">IF(DASHBOARD!$M$2-DASHBOARD!$M$1&gt;=30,"G","")</f>
        <v>G</v>
      </c>
      <c r="CS5" s="140" t="str">
        <f aca="false">IF(DASHBOARD!$M$2-DASHBOARD!$M$1&gt;=31,"D","")</f>
        <v>D</v>
      </c>
      <c r="CT5" s="138" t="str">
        <f aca="false">IF(DASHBOARD!$M$2-DASHBOARD!$M$1&gt;=31,"T","")</f>
        <v>T</v>
      </c>
      <c r="CU5" s="139" t="str">
        <f aca="false">IF(DASHBOARD!$M$2-DASHBOARD!$M$1&gt;=31,"G","")</f>
        <v>G</v>
      </c>
      <c r="CV5" s="140" t="str">
        <f aca="false">IF(DASHBOARD!$M$2-DASHBOARD!$M$1&gt;=32,"D","")</f>
        <v>D</v>
      </c>
      <c r="CW5" s="138" t="str">
        <f aca="false">IF(DASHBOARD!$M$2-DASHBOARD!$M$1&gt;=32,"T","")</f>
        <v>T</v>
      </c>
      <c r="CX5" s="139" t="str">
        <f aca="false">IF(DASHBOARD!$M$2-DASHBOARD!$M$1&gt;=32,"G","")</f>
        <v>G</v>
      </c>
      <c r="CY5" s="140" t="str">
        <f aca="false">IF(DASHBOARD!$M$2-DASHBOARD!$M$1&gt;=33,"D","")</f>
        <v>D</v>
      </c>
      <c r="CZ5" s="138" t="str">
        <f aca="false">IF(DASHBOARD!$M$2-DASHBOARD!$M$1&gt;=33,"T","")</f>
        <v>T</v>
      </c>
      <c r="DA5" s="139" t="str">
        <f aca="false">IF(DASHBOARD!$M$2-DASHBOARD!$M$1&gt;=33,"G","")</f>
        <v>G</v>
      </c>
      <c r="DB5" s="140" t="str">
        <f aca="false">IF(DASHBOARD!$M$2-DASHBOARD!$M$1&gt;=34,"D","")</f>
        <v>D</v>
      </c>
      <c r="DC5" s="138" t="str">
        <f aca="false">IF(DASHBOARD!$M$2-DASHBOARD!$M$1&gt;=34,"T","")</f>
        <v>T</v>
      </c>
      <c r="DD5" s="139" t="str">
        <f aca="false">IF(DASHBOARD!$M$2-DASHBOARD!$M$1&gt;=34,"G","")</f>
        <v>G</v>
      </c>
      <c r="DE5" s="140" t="str">
        <f aca="false">IF(DASHBOARD!$M$2-DASHBOARD!$M$1&gt;=35,"D","")</f>
        <v>D</v>
      </c>
      <c r="DF5" s="138" t="str">
        <f aca="false">IF(DASHBOARD!$M$2-DASHBOARD!$M$1&gt;=35,"T","")</f>
        <v>T</v>
      </c>
      <c r="DG5" s="139" t="str">
        <f aca="false">IF(DASHBOARD!$M$2-DASHBOARD!$M$1&gt;=35,"G","")</f>
        <v>G</v>
      </c>
      <c r="DH5" s="140" t="str">
        <f aca="false">IF(DASHBOARD!$M$2-DASHBOARD!$M$1&gt;=36,"D","")</f>
        <v>D</v>
      </c>
      <c r="DI5" s="138" t="str">
        <f aca="false">IF(DASHBOARD!$M$2-DASHBOARD!$M$1&gt;=36,"T","")</f>
        <v>T</v>
      </c>
      <c r="DJ5" s="139" t="str">
        <f aca="false">IF(DASHBOARD!$M$2-DASHBOARD!$M$1&gt;=36,"G","")</f>
        <v>G</v>
      </c>
      <c r="DK5" s="140" t="str">
        <f aca="false">IF(DASHBOARD!$M$2-DASHBOARD!$M$1&gt;=37,"D","")</f>
        <v>D</v>
      </c>
      <c r="DL5" s="138" t="str">
        <f aca="false">IF(DASHBOARD!$M$2-DASHBOARD!$M$1&gt;=37,"T","")</f>
        <v>T</v>
      </c>
      <c r="DM5" s="139" t="str">
        <f aca="false">IF(DASHBOARD!$M$2-DASHBOARD!$M$1&gt;=37,"G","")</f>
        <v>G</v>
      </c>
      <c r="DN5" s="140" t="str">
        <f aca="false">IF(DASHBOARD!$M$2-DASHBOARD!$M$1&gt;=38,"D","")</f>
        <v/>
      </c>
      <c r="DO5" s="138" t="str">
        <f aca="false">IF(DASHBOARD!$M$2-DASHBOARD!$M$1&gt;=38,"T","")</f>
        <v/>
      </c>
      <c r="DP5" s="139" t="str">
        <f aca="false">IF(DASHBOARD!$M$2-DASHBOARD!$M$1&gt;=38,"G","")</f>
        <v/>
      </c>
      <c r="DQ5" s="140" t="str">
        <f aca="false">IF(DASHBOARD!$M$2-DASHBOARD!$M$1&gt;=39,"D","")</f>
        <v/>
      </c>
      <c r="DR5" s="138" t="str">
        <f aca="false">IF(DASHBOARD!$M$2-DASHBOARD!$M$1&gt;=39,"T","")</f>
        <v/>
      </c>
      <c r="DS5" s="139" t="str">
        <f aca="false">IF(DASHBOARD!$M$2-DASHBOARD!$M$1&gt;=39,"G","")</f>
        <v/>
      </c>
      <c r="DT5" s="140" t="str">
        <f aca="false">IF(DASHBOARD!$M$2-DASHBOARD!$M$1&gt;=40,"D","")</f>
        <v/>
      </c>
      <c r="DU5" s="138" t="str">
        <f aca="false">IF(DASHBOARD!$M$2-DASHBOARD!$M$1&gt;=40,"T","")</f>
        <v/>
      </c>
      <c r="DV5" s="139" t="str">
        <f aca="false">IF(DASHBOARD!$M$2-DASHBOARD!$M$1&gt;=40,"G","")</f>
        <v/>
      </c>
      <c r="DW5" s="140" t="str">
        <f aca="false">IF(DASHBOARD!$M$2-DASHBOARD!$M$1&gt;=41,"D","")</f>
        <v/>
      </c>
      <c r="DX5" s="138" t="str">
        <f aca="false">IF(DASHBOARD!$M$2-DASHBOARD!$M$1&gt;=41,"T","")</f>
        <v/>
      </c>
      <c r="DY5" s="139" t="str">
        <f aca="false">IF(DASHBOARD!$M$2-DASHBOARD!$M$1&gt;=41,"G","")</f>
        <v/>
      </c>
      <c r="DZ5" s="140" t="str">
        <f aca="false">IF(DASHBOARD!$M$2-DASHBOARD!$M$1&gt;=42,"D","")</f>
        <v/>
      </c>
      <c r="EA5" s="138" t="str">
        <f aca="false">IF(DASHBOARD!$M$2-DASHBOARD!$M$1&gt;=42,"T","")</f>
        <v/>
      </c>
      <c r="EB5" s="139" t="str">
        <f aca="false">IF(DASHBOARD!$M$2-DASHBOARD!$M$1&gt;=42,"G","")</f>
        <v/>
      </c>
      <c r="EC5" s="140" t="str">
        <f aca="false">IF(DASHBOARD!$M$2-DASHBOARD!$M$1&gt;=43,"D","")</f>
        <v/>
      </c>
      <c r="ED5" s="138" t="str">
        <f aca="false">IF(DASHBOARD!$M$2-DASHBOARD!$M$1&gt;=43,"T","")</f>
        <v/>
      </c>
      <c r="EE5" s="139" t="str">
        <f aca="false">IF(DASHBOARD!$M$2-DASHBOARD!$M$1&gt;=43,"G","")</f>
        <v/>
      </c>
      <c r="EF5" s="140" t="str">
        <f aca="false">IF(DASHBOARD!$M$2-DASHBOARD!$M$1&gt;=44,"D","")</f>
        <v/>
      </c>
      <c r="EG5" s="138" t="str">
        <f aca="false">IF(DASHBOARD!$M$2-DASHBOARD!$M$1&gt;=44,"T","")</f>
        <v/>
      </c>
      <c r="EH5" s="139" t="str">
        <f aca="false">IF(DASHBOARD!$M$2-DASHBOARD!$M$1&gt;=44,"G","")</f>
        <v/>
      </c>
      <c r="EI5" s="140" t="str">
        <f aca="false">IF(DASHBOARD!$M$2-DASHBOARD!$M$1&gt;=45,"D","")</f>
        <v/>
      </c>
      <c r="EJ5" s="138" t="str">
        <f aca="false">IF(DASHBOARD!$M$2-DASHBOARD!$M$1&gt;=45,"T","")</f>
        <v/>
      </c>
      <c r="EK5" s="139" t="str">
        <f aca="false">IF(DASHBOARD!$M$2-DASHBOARD!$M$1&gt;=45,"G","")</f>
        <v/>
      </c>
      <c r="EL5" s="140" t="str">
        <f aca="false">IF(DASHBOARD!$M$2-DASHBOARD!$M$1&gt;=46,"D","")</f>
        <v/>
      </c>
      <c r="EM5" s="138" t="str">
        <f aca="false">IF(DASHBOARD!$M$2-DASHBOARD!$M$1&gt;=46,"T","")</f>
        <v/>
      </c>
      <c r="EN5" s="139" t="str">
        <f aca="false">IF(DASHBOARD!$M$2-DASHBOARD!$M$1&gt;=46,"G","")</f>
        <v/>
      </c>
      <c r="EO5" s="140" t="str">
        <f aca="false">IF(DASHBOARD!$M$2-DASHBOARD!$M$1&gt;=47,"D","")</f>
        <v/>
      </c>
      <c r="EP5" s="138" t="str">
        <f aca="false">IF(DASHBOARD!$M$2-DASHBOARD!$M$1&gt;=47,"T","")</f>
        <v/>
      </c>
      <c r="EQ5" s="139" t="str">
        <f aca="false">IF(DASHBOARD!$M$2-DASHBOARD!$M$1&gt;=47,"G","")</f>
        <v/>
      </c>
      <c r="ER5" s="140" t="str">
        <f aca="false">IF(DASHBOARD!$M$2-DASHBOARD!$M$1&gt;=48,"D","")</f>
        <v/>
      </c>
      <c r="ES5" s="138" t="str">
        <f aca="false">IF(DASHBOARD!$M$2-DASHBOARD!$M$1&gt;=48,"T","")</f>
        <v/>
      </c>
      <c r="ET5" s="139" t="str">
        <f aca="false">IF(DASHBOARD!$M$2-DASHBOARD!$M$1&gt;=48,"G","")</f>
        <v/>
      </c>
      <c r="EU5" s="140" t="str">
        <f aca="false">IF(DASHBOARD!$M$2-DASHBOARD!$M$1&gt;=49,"D","")</f>
        <v/>
      </c>
      <c r="EV5" s="138" t="str">
        <f aca="false">IF(DASHBOARD!$M$2-DASHBOARD!$M$1&gt;=49,"T","")</f>
        <v/>
      </c>
      <c r="EW5" s="139" t="str">
        <f aca="false">IF(DASHBOARD!$M$2-DASHBOARD!$M$1&gt;=49,"G","")</f>
        <v/>
      </c>
    </row>
    <row r="6" customFormat="false" ht="15" hidden="false" customHeight="true" outlineLevel="0" collapsed="false">
      <c r="A6" s="141" t="s">
        <v>1215</v>
      </c>
      <c r="B6" s="141"/>
      <c r="C6" s="141"/>
      <c r="D6" s="142"/>
      <c r="E6" s="142"/>
      <c r="F6" s="143"/>
      <c r="G6" s="142"/>
      <c r="H6" s="142"/>
      <c r="I6" s="143"/>
      <c r="J6" s="142"/>
      <c r="K6" s="142"/>
      <c r="L6" s="143"/>
      <c r="M6" s="142"/>
      <c r="N6" s="142"/>
      <c r="O6" s="143"/>
      <c r="P6" s="142"/>
      <c r="Q6" s="142"/>
      <c r="R6" s="143"/>
      <c r="S6" s="142"/>
      <c r="T6" s="142"/>
      <c r="U6" s="143"/>
      <c r="V6" s="142"/>
      <c r="W6" s="142"/>
      <c r="X6" s="143"/>
      <c r="Y6" s="142"/>
      <c r="Z6" s="142"/>
      <c r="AA6" s="143"/>
      <c r="AB6" s="142"/>
      <c r="AC6" s="142"/>
      <c r="AD6" s="143"/>
      <c r="AE6" s="142"/>
      <c r="AF6" s="142"/>
      <c r="AG6" s="143"/>
      <c r="AH6" s="142"/>
      <c r="AI6" s="142"/>
      <c r="AJ6" s="143"/>
      <c r="AK6" s="142"/>
      <c r="AL6" s="142"/>
      <c r="AM6" s="143"/>
      <c r="AN6" s="142"/>
      <c r="AO6" s="142"/>
      <c r="AP6" s="143"/>
      <c r="AQ6" s="142"/>
      <c r="AR6" s="142"/>
      <c r="AS6" s="143"/>
      <c r="AT6" s="142"/>
      <c r="AU6" s="142"/>
      <c r="AV6" s="143"/>
      <c r="AW6" s="142"/>
      <c r="AX6" s="142"/>
      <c r="AY6" s="143"/>
      <c r="AZ6" s="142"/>
      <c r="BA6" s="142"/>
      <c r="BB6" s="143"/>
      <c r="BC6" s="142"/>
      <c r="BD6" s="142"/>
      <c r="BE6" s="143"/>
      <c r="BF6" s="142"/>
      <c r="BG6" s="142"/>
      <c r="BH6" s="143"/>
      <c r="BI6" s="142"/>
      <c r="BJ6" s="142"/>
      <c r="BK6" s="143"/>
      <c r="BL6" s="142"/>
      <c r="BM6" s="142"/>
      <c r="BN6" s="143"/>
      <c r="BO6" s="142"/>
      <c r="BP6" s="142"/>
      <c r="BQ6" s="143"/>
      <c r="BR6" s="142"/>
      <c r="BS6" s="142"/>
      <c r="BT6" s="143"/>
      <c r="BU6" s="142"/>
      <c r="BV6" s="142"/>
      <c r="BW6" s="143"/>
      <c r="BX6" s="142"/>
      <c r="BY6" s="142"/>
      <c r="BZ6" s="143"/>
      <c r="CA6" s="142"/>
      <c r="CB6" s="142"/>
      <c r="CC6" s="143"/>
      <c r="CD6" s="142"/>
      <c r="CE6" s="142"/>
      <c r="CF6" s="143"/>
      <c r="CG6" s="142"/>
      <c r="CH6" s="142"/>
      <c r="CI6" s="143"/>
      <c r="CJ6" s="142"/>
      <c r="CK6" s="142"/>
      <c r="CL6" s="143"/>
      <c r="CM6" s="142"/>
      <c r="CN6" s="142"/>
      <c r="CO6" s="143"/>
      <c r="CP6" s="142"/>
      <c r="CQ6" s="142"/>
      <c r="CR6" s="143"/>
      <c r="CS6" s="142"/>
      <c r="CT6" s="142"/>
      <c r="CU6" s="143"/>
      <c r="CV6" s="142"/>
      <c r="CW6" s="142"/>
      <c r="CX6" s="143"/>
      <c r="CY6" s="142"/>
      <c r="CZ6" s="142"/>
      <c r="DA6" s="143"/>
      <c r="DB6" s="142"/>
      <c r="DC6" s="142"/>
      <c r="DD6" s="143"/>
      <c r="DE6" s="142"/>
      <c r="DF6" s="142"/>
      <c r="DG6" s="143"/>
      <c r="DH6" s="142"/>
      <c r="DI6" s="142"/>
      <c r="DJ6" s="143"/>
      <c r="DK6" s="142"/>
      <c r="DL6" s="142"/>
      <c r="DM6" s="143"/>
      <c r="DN6" s="142"/>
      <c r="DO6" s="142"/>
      <c r="DP6" s="143"/>
      <c r="DQ6" s="142"/>
      <c r="DR6" s="142"/>
      <c r="DS6" s="143"/>
      <c r="DT6" s="142"/>
      <c r="DU6" s="142"/>
      <c r="DV6" s="143"/>
      <c r="DW6" s="142"/>
      <c r="DX6" s="142"/>
      <c r="DY6" s="143"/>
      <c r="DZ6" s="142"/>
      <c r="EA6" s="142"/>
      <c r="EB6" s="143"/>
      <c r="EC6" s="142"/>
      <c r="ED6" s="142"/>
      <c r="EE6" s="143"/>
      <c r="EF6" s="142"/>
      <c r="EG6" s="142"/>
      <c r="EH6" s="143"/>
      <c r="EI6" s="142"/>
      <c r="EJ6" s="142"/>
      <c r="EK6" s="143"/>
      <c r="EL6" s="142"/>
      <c r="EM6" s="142"/>
      <c r="EN6" s="143"/>
      <c r="EO6" s="142"/>
      <c r="EP6" s="142"/>
      <c r="EQ6" s="143"/>
      <c r="ER6" s="142"/>
      <c r="ES6" s="142"/>
      <c r="ET6" s="143"/>
      <c r="EU6" s="142"/>
      <c r="EV6" s="142"/>
      <c r="EW6" s="143"/>
    </row>
    <row r="7" customFormat="false" ht="15" hidden="false" customHeight="true" outlineLevel="0" collapsed="false">
      <c r="A7" s="144" t="s">
        <v>1216</v>
      </c>
      <c r="B7" s="145" t="n">
        <v>46221.9583333333</v>
      </c>
      <c r="C7" s="145"/>
      <c r="D7" s="142"/>
      <c r="E7" s="142"/>
      <c r="F7" s="143"/>
      <c r="G7" s="142"/>
      <c r="H7" s="142"/>
      <c r="I7" s="143"/>
      <c r="J7" s="142"/>
      <c r="K7" s="142"/>
      <c r="L7" s="143"/>
      <c r="M7" s="142"/>
      <c r="N7" s="142"/>
      <c r="O7" s="143"/>
      <c r="P7" s="142"/>
      <c r="Q7" s="142"/>
      <c r="R7" s="143"/>
      <c r="S7" s="142"/>
      <c r="T7" s="142"/>
      <c r="U7" s="143"/>
      <c r="V7" s="142"/>
      <c r="W7" s="142"/>
      <c r="X7" s="143"/>
      <c r="Y7" s="142"/>
      <c r="Z7" s="142"/>
      <c r="AA7" s="143"/>
      <c r="AB7" s="142"/>
      <c r="AC7" s="142"/>
      <c r="AD7" s="143"/>
      <c r="AE7" s="142"/>
      <c r="AF7" s="142"/>
      <c r="AG7" s="143"/>
      <c r="AH7" s="142"/>
      <c r="AI7" s="142"/>
      <c r="AJ7" s="143"/>
      <c r="AK7" s="142"/>
      <c r="AL7" s="142"/>
      <c r="AM7" s="143"/>
      <c r="AN7" s="142"/>
      <c r="AO7" s="142"/>
      <c r="AP7" s="143"/>
      <c r="AQ7" s="142"/>
      <c r="AR7" s="142"/>
      <c r="AS7" s="143"/>
      <c r="AT7" s="142"/>
      <c r="AU7" s="142"/>
      <c r="AV7" s="143"/>
      <c r="AW7" s="142"/>
      <c r="AX7" s="142"/>
      <c r="AY7" s="143"/>
      <c r="AZ7" s="142"/>
      <c r="BA7" s="142"/>
      <c r="BB7" s="143"/>
      <c r="BC7" s="142"/>
      <c r="BD7" s="142"/>
      <c r="BE7" s="143"/>
      <c r="BF7" s="142"/>
      <c r="BG7" s="142"/>
      <c r="BH7" s="143"/>
      <c r="BI7" s="142"/>
      <c r="BJ7" s="142"/>
      <c r="BK7" s="143"/>
      <c r="BL7" s="142"/>
      <c r="BM7" s="142"/>
      <c r="BN7" s="143"/>
      <c r="BO7" s="142"/>
      <c r="BP7" s="142"/>
      <c r="BQ7" s="143"/>
      <c r="BR7" s="142"/>
      <c r="BS7" s="142"/>
      <c r="BT7" s="143"/>
      <c r="BU7" s="142"/>
      <c r="BV7" s="142"/>
      <c r="BW7" s="143"/>
      <c r="BX7" s="142"/>
      <c r="BY7" s="142"/>
      <c r="BZ7" s="143"/>
      <c r="CA7" s="142"/>
      <c r="CB7" s="142"/>
      <c r="CC7" s="143"/>
      <c r="CD7" s="142"/>
      <c r="CE7" s="142"/>
      <c r="CF7" s="143"/>
      <c r="CG7" s="142"/>
      <c r="CH7" s="142"/>
      <c r="CI7" s="143"/>
      <c r="CJ7" s="142"/>
      <c r="CK7" s="142"/>
      <c r="CL7" s="143"/>
      <c r="CM7" s="142"/>
      <c r="CN7" s="142"/>
      <c r="CO7" s="143"/>
      <c r="CP7" s="142"/>
      <c r="CQ7" s="142"/>
      <c r="CR7" s="143"/>
      <c r="CS7" s="142"/>
      <c r="CT7" s="142"/>
      <c r="CU7" s="143"/>
      <c r="CV7" s="142"/>
      <c r="CW7" s="142"/>
      <c r="CX7" s="143"/>
      <c r="CY7" s="142"/>
      <c r="CZ7" s="142"/>
      <c r="DA7" s="143"/>
      <c r="DB7" s="142"/>
      <c r="DC7" s="142"/>
      <c r="DD7" s="143"/>
      <c r="DE7" s="142"/>
      <c r="DF7" s="142"/>
      <c r="DG7" s="143"/>
      <c r="DH7" s="142"/>
      <c r="DI7" s="142"/>
      <c r="DJ7" s="143"/>
      <c r="DK7" s="142"/>
      <c r="DL7" s="142"/>
      <c r="DM7" s="143"/>
      <c r="DN7" s="142"/>
      <c r="DO7" s="142"/>
      <c r="DP7" s="143"/>
      <c r="DQ7" s="142"/>
      <c r="DR7" s="142"/>
      <c r="DS7" s="143"/>
      <c r="DT7" s="142"/>
      <c r="DU7" s="142"/>
      <c r="DV7" s="143"/>
      <c r="DW7" s="142"/>
      <c r="DX7" s="142"/>
      <c r="DY7" s="143"/>
      <c r="DZ7" s="142"/>
      <c r="EA7" s="142"/>
      <c r="EB7" s="143"/>
      <c r="EC7" s="142"/>
      <c r="ED7" s="142"/>
      <c r="EE7" s="143"/>
      <c r="EF7" s="142"/>
      <c r="EG7" s="142"/>
      <c r="EH7" s="143"/>
      <c r="EI7" s="142"/>
      <c r="EJ7" s="142"/>
      <c r="EK7" s="143"/>
      <c r="EL7" s="142"/>
      <c r="EM7" s="142"/>
      <c r="EN7" s="143"/>
      <c r="EO7" s="142"/>
      <c r="EP7" s="142"/>
      <c r="EQ7" s="143"/>
      <c r="ER7" s="142"/>
      <c r="ES7" s="142"/>
      <c r="ET7" s="143"/>
      <c r="EU7" s="142"/>
      <c r="EV7" s="142"/>
      <c r="EW7" s="143"/>
    </row>
    <row r="8" customFormat="false" ht="15" hidden="false" customHeight="true" outlineLevel="0" collapsed="false">
      <c r="A8" s="144" t="s">
        <v>1217</v>
      </c>
      <c r="B8" s="145" t="n">
        <v>46222.25</v>
      </c>
      <c r="C8" s="145"/>
      <c r="D8" s="142"/>
      <c r="E8" s="142"/>
      <c r="F8" s="143"/>
      <c r="G8" s="142"/>
      <c r="H8" s="142"/>
      <c r="I8" s="143"/>
      <c r="J8" s="142"/>
      <c r="K8" s="142"/>
      <c r="L8" s="143"/>
      <c r="M8" s="142"/>
      <c r="N8" s="142"/>
      <c r="O8" s="143"/>
      <c r="P8" s="142"/>
      <c r="Q8" s="142"/>
      <c r="R8" s="143"/>
      <c r="S8" s="142"/>
      <c r="T8" s="142"/>
      <c r="U8" s="143"/>
      <c r="V8" s="142"/>
      <c r="W8" s="142"/>
      <c r="X8" s="143"/>
      <c r="Y8" s="142"/>
      <c r="Z8" s="142"/>
      <c r="AA8" s="143"/>
      <c r="AB8" s="142"/>
      <c r="AC8" s="142"/>
      <c r="AD8" s="143"/>
      <c r="AE8" s="142"/>
      <c r="AF8" s="142"/>
      <c r="AG8" s="143"/>
      <c r="AH8" s="142"/>
      <c r="AI8" s="142"/>
      <c r="AJ8" s="143"/>
      <c r="AK8" s="142"/>
      <c r="AL8" s="142"/>
      <c r="AM8" s="143"/>
      <c r="AN8" s="142"/>
      <c r="AO8" s="142"/>
      <c r="AP8" s="143"/>
      <c r="AQ8" s="142"/>
      <c r="AR8" s="142"/>
      <c r="AS8" s="143"/>
      <c r="AT8" s="142"/>
      <c r="AU8" s="142"/>
      <c r="AV8" s="143"/>
      <c r="AW8" s="142"/>
      <c r="AX8" s="142"/>
      <c r="AY8" s="143"/>
      <c r="AZ8" s="142"/>
      <c r="BA8" s="142"/>
      <c r="BB8" s="143"/>
      <c r="BC8" s="142"/>
      <c r="BD8" s="142"/>
      <c r="BE8" s="143"/>
      <c r="BF8" s="142"/>
      <c r="BG8" s="142"/>
      <c r="BH8" s="143"/>
      <c r="BI8" s="142"/>
      <c r="BJ8" s="142"/>
      <c r="BK8" s="143"/>
      <c r="BL8" s="142"/>
      <c r="BM8" s="142"/>
      <c r="BN8" s="143"/>
      <c r="BO8" s="142"/>
      <c r="BP8" s="142"/>
      <c r="BQ8" s="143"/>
      <c r="BR8" s="142"/>
      <c r="BS8" s="142"/>
      <c r="BT8" s="143"/>
      <c r="BU8" s="142"/>
      <c r="BV8" s="142"/>
      <c r="BW8" s="143"/>
      <c r="BX8" s="142"/>
      <c r="BY8" s="142"/>
      <c r="BZ8" s="143"/>
      <c r="CA8" s="142"/>
      <c r="CB8" s="142"/>
      <c r="CC8" s="143"/>
      <c r="CD8" s="142"/>
      <c r="CE8" s="142"/>
      <c r="CF8" s="143"/>
      <c r="CG8" s="142"/>
      <c r="CH8" s="142"/>
      <c r="CI8" s="143"/>
      <c r="CJ8" s="142"/>
      <c r="CK8" s="142"/>
      <c r="CL8" s="143"/>
      <c r="CM8" s="142"/>
      <c r="CN8" s="142"/>
      <c r="CO8" s="143"/>
      <c r="CP8" s="142"/>
      <c r="CQ8" s="142"/>
      <c r="CR8" s="143"/>
      <c r="CS8" s="142"/>
      <c r="CT8" s="142"/>
      <c r="CU8" s="143"/>
      <c r="CV8" s="142"/>
      <c r="CW8" s="142"/>
      <c r="CX8" s="143"/>
      <c r="CY8" s="142"/>
      <c r="CZ8" s="142"/>
      <c r="DA8" s="143"/>
      <c r="DB8" s="142"/>
      <c r="DC8" s="142"/>
      <c r="DD8" s="143"/>
      <c r="DE8" s="142"/>
      <c r="DF8" s="142"/>
      <c r="DG8" s="143"/>
      <c r="DH8" s="142"/>
      <c r="DI8" s="142"/>
      <c r="DJ8" s="143"/>
      <c r="DK8" s="142"/>
      <c r="DL8" s="142"/>
      <c r="DM8" s="143"/>
      <c r="DN8" s="142"/>
      <c r="DO8" s="142"/>
      <c r="DP8" s="143"/>
      <c r="DQ8" s="142"/>
      <c r="DR8" s="142"/>
      <c r="DS8" s="143"/>
      <c r="DT8" s="142"/>
      <c r="DU8" s="142"/>
      <c r="DV8" s="143"/>
      <c r="DW8" s="142"/>
      <c r="DX8" s="142"/>
      <c r="DY8" s="143"/>
      <c r="DZ8" s="142"/>
      <c r="EA8" s="142"/>
      <c r="EB8" s="143"/>
      <c r="EC8" s="142"/>
      <c r="ED8" s="142"/>
      <c r="EE8" s="143"/>
      <c r="EF8" s="142"/>
      <c r="EG8" s="142"/>
      <c r="EH8" s="143"/>
      <c r="EI8" s="142"/>
      <c r="EJ8" s="142"/>
      <c r="EK8" s="143"/>
      <c r="EL8" s="142"/>
      <c r="EM8" s="142"/>
      <c r="EN8" s="143"/>
      <c r="EO8" s="142"/>
      <c r="EP8" s="142"/>
      <c r="EQ8" s="143"/>
      <c r="ER8" s="142"/>
      <c r="ES8" s="142"/>
      <c r="ET8" s="143"/>
      <c r="EU8" s="142"/>
      <c r="EV8" s="142"/>
      <c r="EW8" s="143"/>
    </row>
    <row r="9" customFormat="false" ht="15" hidden="true" customHeight="true" outlineLevel="0" collapsed="false">
      <c r="A9" s="144" t="s">
        <v>1218</v>
      </c>
      <c r="B9" s="145" t="n">
        <v>46221.5833333333</v>
      </c>
      <c r="C9" s="145"/>
      <c r="D9" s="142"/>
      <c r="E9" s="142"/>
      <c r="F9" s="143"/>
      <c r="G9" s="142"/>
      <c r="H9" s="142"/>
      <c r="I9" s="143"/>
      <c r="J9" s="142"/>
      <c r="K9" s="142"/>
      <c r="L9" s="143"/>
      <c r="M9" s="142"/>
      <c r="N9" s="142"/>
      <c r="O9" s="143"/>
      <c r="P9" s="142"/>
      <c r="Q9" s="142"/>
      <c r="R9" s="143"/>
      <c r="S9" s="142"/>
      <c r="T9" s="142"/>
      <c r="U9" s="143"/>
      <c r="V9" s="142"/>
      <c r="W9" s="142"/>
      <c r="X9" s="143"/>
      <c r="Y9" s="142"/>
      <c r="Z9" s="142"/>
      <c r="AA9" s="143"/>
      <c r="AB9" s="142"/>
      <c r="AC9" s="142"/>
      <c r="AD9" s="143"/>
      <c r="AE9" s="142"/>
      <c r="AF9" s="142"/>
      <c r="AG9" s="143"/>
      <c r="AH9" s="142"/>
      <c r="AI9" s="142"/>
      <c r="AJ9" s="143"/>
      <c r="AK9" s="142"/>
      <c r="AL9" s="142"/>
      <c r="AM9" s="143"/>
      <c r="AN9" s="142"/>
      <c r="AO9" s="142"/>
      <c r="AP9" s="143"/>
      <c r="AQ9" s="142"/>
      <c r="AR9" s="142"/>
      <c r="AS9" s="143"/>
      <c r="AT9" s="142"/>
      <c r="AU9" s="142"/>
      <c r="AV9" s="143"/>
      <c r="AW9" s="142"/>
      <c r="AX9" s="142"/>
      <c r="AY9" s="143"/>
      <c r="AZ9" s="142"/>
      <c r="BA9" s="142"/>
      <c r="BB9" s="143"/>
      <c r="BC9" s="142"/>
      <c r="BD9" s="142"/>
      <c r="BE9" s="143"/>
      <c r="BF9" s="142"/>
      <c r="BG9" s="142"/>
      <c r="BH9" s="143"/>
      <c r="BI9" s="142"/>
      <c r="BJ9" s="142"/>
      <c r="BK9" s="143"/>
      <c r="BL9" s="142"/>
      <c r="BM9" s="142"/>
      <c r="BN9" s="143"/>
      <c r="BO9" s="142"/>
      <c r="BP9" s="142"/>
      <c r="BQ9" s="143"/>
      <c r="BR9" s="142"/>
      <c r="BS9" s="142"/>
      <c r="BT9" s="143"/>
      <c r="BU9" s="142"/>
      <c r="BV9" s="142"/>
      <c r="BW9" s="143"/>
      <c r="BX9" s="142"/>
      <c r="BY9" s="142"/>
      <c r="BZ9" s="143"/>
      <c r="CA9" s="142"/>
      <c r="CB9" s="142"/>
      <c r="CC9" s="143"/>
      <c r="CD9" s="142"/>
      <c r="CE9" s="142"/>
      <c r="CF9" s="143"/>
      <c r="CG9" s="142"/>
      <c r="CH9" s="142"/>
      <c r="CI9" s="143"/>
      <c r="CJ9" s="142"/>
      <c r="CK9" s="142"/>
      <c r="CL9" s="143"/>
      <c r="CM9" s="142"/>
      <c r="CN9" s="142"/>
      <c r="CO9" s="143"/>
      <c r="CP9" s="142"/>
      <c r="CQ9" s="142"/>
      <c r="CR9" s="143"/>
      <c r="CS9" s="142"/>
      <c r="CT9" s="142"/>
      <c r="CU9" s="143"/>
      <c r="CV9" s="142"/>
      <c r="CW9" s="142"/>
      <c r="CX9" s="143"/>
      <c r="CY9" s="142"/>
      <c r="CZ9" s="142"/>
      <c r="DA9" s="143"/>
      <c r="DB9" s="142"/>
      <c r="DC9" s="142"/>
      <c r="DD9" s="143"/>
      <c r="DE9" s="142"/>
      <c r="DF9" s="142"/>
      <c r="DG9" s="143"/>
      <c r="DH9" s="142"/>
      <c r="DI9" s="142"/>
      <c r="DJ9" s="143"/>
      <c r="DK9" s="142"/>
      <c r="DL9" s="142"/>
      <c r="DM9" s="143"/>
      <c r="DN9" s="142"/>
      <c r="DO9" s="142"/>
      <c r="DP9" s="143"/>
      <c r="DQ9" s="142"/>
      <c r="DR9" s="142"/>
      <c r="DS9" s="143"/>
      <c r="DT9" s="142"/>
      <c r="DU9" s="142"/>
      <c r="DV9" s="143"/>
      <c r="DW9" s="142"/>
      <c r="DX9" s="142"/>
      <c r="DY9" s="143"/>
      <c r="DZ9" s="142"/>
      <c r="EA9" s="142"/>
      <c r="EB9" s="143"/>
      <c r="EC9" s="142"/>
      <c r="ED9" s="142"/>
      <c r="EE9" s="143"/>
      <c r="EF9" s="142"/>
      <c r="EG9" s="142"/>
      <c r="EH9" s="143"/>
      <c r="EI9" s="142"/>
      <c r="EJ9" s="142"/>
      <c r="EK9" s="143"/>
      <c r="EL9" s="142"/>
      <c r="EM9" s="142"/>
      <c r="EN9" s="143"/>
      <c r="EO9" s="142"/>
      <c r="EP9" s="142"/>
      <c r="EQ9" s="143"/>
      <c r="ER9" s="142"/>
      <c r="ES9" s="142"/>
      <c r="ET9" s="143"/>
      <c r="EU9" s="142"/>
      <c r="EV9" s="142"/>
      <c r="EW9" s="143"/>
    </row>
    <row r="10" customFormat="false" ht="15" hidden="false" customHeight="true" outlineLevel="0" collapsed="false">
      <c r="A10" s="144" t="s">
        <v>1219</v>
      </c>
      <c r="B10" s="145" t="n">
        <v>46222.5833333333</v>
      </c>
      <c r="C10" s="145" t="n">
        <v>46224</v>
      </c>
      <c r="D10" s="142"/>
      <c r="E10" s="142"/>
      <c r="F10" s="143"/>
      <c r="G10" s="142"/>
      <c r="H10" s="142"/>
      <c r="I10" s="143"/>
      <c r="J10" s="142"/>
      <c r="K10" s="142"/>
      <c r="L10" s="143"/>
      <c r="M10" s="142" t="s">
        <v>1220</v>
      </c>
      <c r="N10" s="142"/>
      <c r="O10" s="143"/>
      <c r="P10" s="142"/>
      <c r="Q10" s="142"/>
      <c r="R10" s="143"/>
      <c r="S10" s="142"/>
      <c r="T10" s="142"/>
      <c r="U10" s="143"/>
      <c r="V10" s="142"/>
      <c r="W10" s="142"/>
      <c r="X10" s="143"/>
      <c r="Y10" s="142"/>
      <c r="Z10" s="142"/>
      <c r="AA10" s="143"/>
      <c r="AB10" s="142"/>
      <c r="AC10" s="142"/>
      <c r="AD10" s="143"/>
      <c r="AE10" s="142"/>
      <c r="AF10" s="142"/>
      <c r="AG10" s="143"/>
      <c r="AH10" s="142"/>
      <c r="AI10" s="142"/>
      <c r="AJ10" s="143"/>
      <c r="AK10" s="142"/>
      <c r="AL10" s="142"/>
      <c r="AM10" s="143"/>
      <c r="AN10" s="142"/>
      <c r="AO10" s="142"/>
      <c r="AP10" s="143"/>
      <c r="AQ10" s="142"/>
      <c r="AR10" s="142"/>
      <c r="AS10" s="143"/>
      <c r="AT10" s="142"/>
      <c r="AU10" s="142"/>
      <c r="AV10" s="143"/>
      <c r="AW10" s="142"/>
      <c r="AX10" s="142"/>
      <c r="AY10" s="143"/>
      <c r="AZ10" s="142"/>
      <c r="BA10" s="142"/>
      <c r="BB10" s="143"/>
      <c r="BC10" s="142"/>
      <c r="BD10" s="142"/>
      <c r="BE10" s="143"/>
      <c r="BF10" s="142"/>
      <c r="BG10" s="142"/>
      <c r="BH10" s="143"/>
      <c r="BI10" s="142"/>
      <c r="BJ10" s="142"/>
      <c r="BK10" s="143"/>
      <c r="BL10" s="142"/>
      <c r="BM10" s="142"/>
      <c r="BN10" s="143"/>
      <c r="BO10" s="142"/>
      <c r="BP10" s="142"/>
      <c r="BQ10" s="143"/>
      <c r="BR10" s="142"/>
      <c r="BS10" s="142"/>
      <c r="BT10" s="143"/>
      <c r="BU10" s="142"/>
      <c r="BV10" s="142"/>
      <c r="BW10" s="143"/>
      <c r="BX10" s="142"/>
      <c r="BY10" s="142"/>
      <c r="BZ10" s="143"/>
      <c r="CA10" s="142"/>
      <c r="CB10" s="142"/>
      <c r="CC10" s="143"/>
      <c r="CD10" s="142"/>
      <c r="CE10" s="142"/>
      <c r="CF10" s="143"/>
      <c r="CG10" s="142"/>
      <c r="CH10" s="142"/>
      <c r="CI10" s="143"/>
      <c r="CJ10" s="142"/>
      <c r="CK10" s="142"/>
      <c r="CL10" s="143"/>
      <c r="CM10" s="142"/>
      <c r="CN10" s="142"/>
      <c r="CO10" s="143"/>
      <c r="CP10" s="142"/>
      <c r="CQ10" s="142"/>
      <c r="CR10" s="143"/>
      <c r="CS10" s="142"/>
      <c r="CT10" s="142"/>
      <c r="CU10" s="143"/>
      <c r="CV10" s="142"/>
      <c r="CW10" s="142"/>
      <c r="CX10" s="143"/>
      <c r="CY10" s="142"/>
      <c r="CZ10" s="142"/>
      <c r="DA10" s="143"/>
      <c r="DB10" s="142"/>
      <c r="DC10" s="142"/>
      <c r="DD10" s="143"/>
      <c r="DE10" s="142"/>
      <c r="DF10" s="142"/>
      <c r="DG10" s="143"/>
      <c r="DH10" s="142"/>
      <c r="DI10" s="142"/>
      <c r="DJ10" s="143"/>
      <c r="DK10" s="142"/>
      <c r="DL10" s="142"/>
      <c r="DM10" s="143"/>
      <c r="DN10" s="142"/>
      <c r="DO10" s="142"/>
      <c r="DP10" s="143"/>
      <c r="DQ10" s="142"/>
      <c r="DR10" s="142"/>
      <c r="DS10" s="143"/>
      <c r="DT10" s="142"/>
      <c r="DU10" s="142"/>
      <c r="DV10" s="143"/>
      <c r="DW10" s="142"/>
      <c r="DX10" s="142"/>
      <c r="DY10" s="143"/>
      <c r="DZ10" s="142"/>
      <c r="EA10" s="142"/>
      <c r="EB10" s="143"/>
      <c r="EC10" s="142"/>
      <c r="ED10" s="142"/>
      <c r="EE10" s="143"/>
      <c r="EF10" s="142"/>
      <c r="EG10" s="142"/>
      <c r="EH10" s="143"/>
      <c r="EI10" s="142"/>
      <c r="EJ10" s="142"/>
      <c r="EK10" s="143"/>
      <c r="EL10" s="142"/>
      <c r="EM10" s="142"/>
      <c r="EN10" s="143"/>
      <c r="EO10" s="142"/>
      <c r="EP10" s="142"/>
      <c r="EQ10" s="143"/>
      <c r="ER10" s="142"/>
      <c r="ES10" s="142"/>
      <c r="ET10" s="143"/>
      <c r="EU10" s="142"/>
      <c r="EV10" s="142"/>
      <c r="EW10" s="143"/>
    </row>
    <row r="11" customFormat="false" ht="15" hidden="false" customHeight="true" outlineLevel="0" collapsed="false">
      <c r="A11" s="144" t="s">
        <v>1221</v>
      </c>
      <c r="B11" s="145" t="n">
        <v>46222.5833333333</v>
      </c>
      <c r="C11" s="145" t="n">
        <v>46224</v>
      </c>
      <c r="D11" s="142"/>
      <c r="E11" s="142"/>
      <c r="F11" s="143"/>
      <c r="G11" s="142"/>
      <c r="H11" s="142"/>
      <c r="I11" s="143"/>
      <c r="J11" s="142"/>
      <c r="K11" s="142"/>
      <c r="L11" s="143"/>
      <c r="M11" s="142" t="s">
        <v>1220</v>
      </c>
      <c r="N11" s="142"/>
      <c r="O11" s="143"/>
      <c r="P11" s="142"/>
      <c r="Q11" s="142"/>
      <c r="R11" s="143"/>
      <c r="S11" s="142"/>
      <c r="T11" s="142"/>
      <c r="U11" s="143"/>
      <c r="V11" s="142"/>
      <c r="W11" s="142"/>
      <c r="X11" s="143"/>
      <c r="Y11" s="142"/>
      <c r="Z11" s="142"/>
      <c r="AA11" s="143"/>
      <c r="AB11" s="142"/>
      <c r="AC11" s="142"/>
      <c r="AD11" s="143"/>
      <c r="AE11" s="142"/>
      <c r="AF11" s="142"/>
      <c r="AG11" s="143"/>
      <c r="AH11" s="142"/>
      <c r="AI11" s="142"/>
      <c r="AJ11" s="143"/>
      <c r="AK11" s="142"/>
      <c r="AL11" s="142"/>
      <c r="AM11" s="143"/>
      <c r="AN11" s="142"/>
      <c r="AO11" s="142"/>
      <c r="AP11" s="143"/>
      <c r="AQ11" s="142"/>
      <c r="AR11" s="142"/>
      <c r="AS11" s="143"/>
      <c r="AT11" s="142"/>
      <c r="AU11" s="142"/>
      <c r="AV11" s="143"/>
      <c r="AW11" s="142"/>
      <c r="AX11" s="142"/>
      <c r="AY11" s="143"/>
      <c r="AZ11" s="142"/>
      <c r="BA11" s="142"/>
      <c r="BB11" s="143"/>
      <c r="BC11" s="142"/>
      <c r="BD11" s="142"/>
      <c r="BE11" s="143"/>
      <c r="BF11" s="142"/>
      <c r="BG11" s="142"/>
      <c r="BH11" s="143"/>
      <c r="BI11" s="142"/>
      <c r="BJ11" s="142"/>
      <c r="BK11" s="143"/>
      <c r="BL11" s="142"/>
      <c r="BM11" s="142"/>
      <c r="BN11" s="143"/>
      <c r="BO11" s="142"/>
      <c r="BP11" s="142"/>
      <c r="BQ11" s="143"/>
      <c r="BR11" s="142"/>
      <c r="BS11" s="142"/>
      <c r="BT11" s="143"/>
      <c r="BU11" s="142"/>
      <c r="BV11" s="142"/>
      <c r="BW11" s="143"/>
      <c r="BX11" s="142"/>
      <c r="BY11" s="142"/>
      <c r="BZ11" s="143"/>
      <c r="CA11" s="142"/>
      <c r="CB11" s="142"/>
      <c r="CC11" s="143"/>
      <c r="CD11" s="142"/>
      <c r="CE11" s="142"/>
      <c r="CF11" s="143"/>
      <c r="CG11" s="142"/>
      <c r="CH11" s="142"/>
      <c r="CI11" s="143"/>
      <c r="CJ11" s="142"/>
      <c r="CK11" s="142"/>
      <c r="CL11" s="143"/>
      <c r="CM11" s="142"/>
      <c r="CN11" s="142"/>
      <c r="CO11" s="143"/>
      <c r="CP11" s="142"/>
      <c r="CQ11" s="142"/>
      <c r="CR11" s="143"/>
      <c r="CS11" s="142"/>
      <c r="CT11" s="142"/>
      <c r="CU11" s="143"/>
      <c r="CV11" s="142"/>
      <c r="CW11" s="142"/>
      <c r="CX11" s="143"/>
      <c r="CY11" s="142"/>
      <c r="CZ11" s="142"/>
      <c r="DA11" s="143"/>
      <c r="DB11" s="142"/>
      <c r="DC11" s="142"/>
      <c r="DD11" s="143"/>
      <c r="DE11" s="142"/>
      <c r="DF11" s="142"/>
      <c r="DG11" s="143"/>
      <c r="DH11" s="142"/>
      <c r="DI11" s="142"/>
      <c r="DJ11" s="143"/>
      <c r="DK11" s="142"/>
      <c r="DL11" s="142"/>
      <c r="DM11" s="143"/>
      <c r="DN11" s="142"/>
      <c r="DO11" s="142"/>
      <c r="DP11" s="143"/>
      <c r="DQ11" s="142"/>
      <c r="DR11" s="142"/>
      <c r="DS11" s="143"/>
      <c r="DT11" s="142"/>
      <c r="DU11" s="142"/>
      <c r="DV11" s="143"/>
      <c r="DW11" s="142"/>
      <c r="DX11" s="142"/>
      <c r="DY11" s="143"/>
      <c r="DZ11" s="142"/>
      <c r="EA11" s="142"/>
      <c r="EB11" s="143"/>
      <c r="EC11" s="142"/>
      <c r="ED11" s="142"/>
      <c r="EE11" s="143"/>
      <c r="EF11" s="142"/>
      <c r="EG11" s="142"/>
      <c r="EH11" s="143"/>
      <c r="EI11" s="142"/>
      <c r="EJ11" s="142"/>
      <c r="EK11" s="143"/>
      <c r="EL11" s="142"/>
      <c r="EM11" s="142"/>
      <c r="EN11" s="143"/>
      <c r="EO11" s="142"/>
      <c r="EP11" s="142"/>
      <c r="EQ11" s="143"/>
      <c r="ER11" s="142"/>
      <c r="ES11" s="142"/>
      <c r="ET11" s="143"/>
      <c r="EU11" s="142"/>
      <c r="EV11" s="142"/>
      <c r="EW11" s="143"/>
    </row>
    <row r="12" customFormat="false" ht="15" hidden="false" customHeight="true" outlineLevel="0" collapsed="false">
      <c r="A12" s="144" t="s">
        <v>1222</v>
      </c>
      <c r="B12" s="145" t="n">
        <v>46225</v>
      </c>
      <c r="C12" s="145"/>
      <c r="D12" s="142"/>
      <c r="E12" s="142"/>
      <c r="F12" s="143"/>
      <c r="G12" s="142"/>
      <c r="H12" s="142"/>
      <c r="I12" s="143"/>
      <c r="J12" s="142"/>
      <c r="K12" s="142"/>
      <c r="L12" s="143"/>
      <c r="M12" s="142"/>
      <c r="N12" s="142"/>
      <c r="O12" s="143"/>
      <c r="P12" s="142" t="s">
        <v>1223</v>
      </c>
      <c r="Q12" s="142"/>
      <c r="R12" s="143"/>
      <c r="S12" s="142"/>
      <c r="T12" s="142"/>
      <c r="U12" s="143"/>
      <c r="V12" s="142"/>
      <c r="W12" s="142"/>
      <c r="X12" s="143"/>
      <c r="Y12" s="142"/>
      <c r="Z12" s="142"/>
      <c r="AA12" s="143"/>
      <c r="AB12" s="142"/>
      <c r="AC12" s="142"/>
      <c r="AD12" s="143"/>
      <c r="AE12" s="142"/>
      <c r="AF12" s="142"/>
      <c r="AG12" s="143"/>
      <c r="AH12" s="142"/>
      <c r="AI12" s="142"/>
      <c r="AJ12" s="143"/>
      <c r="AK12" s="142"/>
      <c r="AL12" s="142"/>
      <c r="AM12" s="143"/>
      <c r="AN12" s="142"/>
      <c r="AO12" s="142"/>
      <c r="AP12" s="143"/>
      <c r="AQ12" s="142"/>
      <c r="AR12" s="142"/>
      <c r="AS12" s="143"/>
      <c r="AT12" s="142"/>
      <c r="AU12" s="142"/>
      <c r="AV12" s="143"/>
      <c r="AW12" s="142"/>
      <c r="AX12" s="142"/>
      <c r="AY12" s="143"/>
      <c r="AZ12" s="142"/>
      <c r="BA12" s="142"/>
      <c r="BB12" s="143"/>
      <c r="BC12" s="142"/>
      <c r="BD12" s="142"/>
      <c r="BE12" s="143"/>
      <c r="BF12" s="142"/>
      <c r="BG12" s="142"/>
      <c r="BH12" s="143"/>
      <c r="BI12" s="142"/>
      <c r="BJ12" s="142"/>
      <c r="BK12" s="143"/>
      <c r="BL12" s="142"/>
      <c r="BM12" s="142"/>
      <c r="BN12" s="143"/>
      <c r="BO12" s="142"/>
      <c r="BP12" s="142"/>
      <c r="BQ12" s="143"/>
      <c r="BR12" s="142"/>
      <c r="BS12" s="142"/>
      <c r="BT12" s="143"/>
      <c r="BU12" s="142"/>
      <c r="BV12" s="142"/>
      <c r="BW12" s="143"/>
      <c r="BX12" s="142"/>
      <c r="BY12" s="142"/>
      <c r="BZ12" s="143"/>
      <c r="CA12" s="142"/>
      <c r="CB12" s="142"/>
      <c r="CC12" s="143"/>
      <c r="CD12" s="142"/>
      <c r="CE12" s="142"/>
      <c r="CF12" s="143"/>
      <c r="CG12" s="142"/>
      <c r="CH12" s="142"/>
      <c r="CI12" s="143"/>
      <c r="CJ12" s="142"/>
      <c r="CK12" s="142"/>
      <c r="CL12" s="143"/>
      <c r="CM12" s="142"/>
      <c r="CN12" s="142"/>
      <c r="CO12" s="143"/>
      <c r="CP12" s="142"/>
      <c r="CQ12" s="142"/>
      <c r="CR12" s="143"/>
      <c r="CS12" s="142"/>
      <c r="CT12" s="142"/>
      <c r="CU12" s="143"/>
      <c r="CV12" s="142"/>
      <c r="CW12" s="142"/>
      <c r="CX12" s="143"/>
      <c r="CY12" s="142"/>
      <c r="CZ12" s="142"/>
      <c r="DA12" s="143"/>
      <c r="DB12" s="142"/>
      <c r="DC12" s="142"/>
      <c r="DD12" s="143"/>
      <c r="DE12" s="142"/>
      <c r="DF12" s="142"/>
      <c r="DG12" s="143"/>
      <c r="DH12" s="142"/>
      <c r="DI12" s="142"/>
      <c r="DJ12" s="143"/>
      <c r="DK12" s="142"/>
      <c r="DL12" s="142"/>
      <c r="DM12" s="143"/>
      <c r="DN12" s="142"/>
      <c r="DO12" s="142"/>
      <c r="DP12" s="143"/>
      <c r="DQ12" s="142"/>
      <c r="DR12" s="142"/>
      <c r="DS12" s="143"/>
      <c r="DT12" s="142"/>
      <c r="DU12" s="142"/>
      <c r="DV12" s="143"/>
      <c r="DW12" s="142"/>
      <c r="DX12" s="142"/>
      <c r="DY12" s="143"/>
      <c r="DZ12" s="142"/>
      <c r="EA12" s="142"/>
      <c r="EB12" s="143"/>
      <c r="EC12" s="142"/>
      <c r="ED12" s="142"/>
      <c r="EE12" s="143"/>
      <c r="EF12" s="142"/>
      <c r="EG12" s="142"/>
      <c r="EH12" s="143"/>
      <c r="EI12" s="142"/>
      <c r="EJ12" s="142"/>
      <c r="EK12" s="143"/>
      <c r="EL12" s="142"/>
      <c r="EM12" s="142"/>
      <c r="EN12" s="143"/>
      <c r="EO12" s="142"/>
      <c r="EP12" s="142"/>
      <c r="EQ12" s="143"/>
      <c r="ER12" s="142"/>
      <c r="ES12" s="142"/>
      <c r="ET12" s="143"/>
      <c r="EU12" s="142"/>
      <c r="EV12" s="142"/>
      <c r="EW12" s="143"/>
    </row>
    <row r="13" customFormat="false" ht="15" hidden="false" customHeight="true" outlineLevel="0" collapsed="false">
      <c r="A13" s="141" t="s">
        <v>1224</v>
      </c>
      <c r="B13" s="141"/>
      <c r="C13" s="141"/>
      <c r="D13" s="142"/>
      <c r="E13" s="142"/>
      <c r="F13" s="143"/>
      <c r="G13" s="142"/>
      <c r="H13" s="142"/>
      <c r="I13" s="143"/>
      <c r="J13" s="142"/>
      <c r="K13" s="142"/>
      <c r="L13" s="143"/>
      <c r="M13" s="142"/>
      <c r="N13" s="142"/>
      <c r="O13" s="143"/>
      <c r="P13" s="142"/>
      <c r="Q13" s="142"/>
      <c r="R13" s="143"/>
      <c r="S13" s="142"/>
      <c r="T13" s="142"/>
      <c r="U13" s="143"/>
      <c r="V13" s="142"/>
      <c r="W13" s="142"/>
      <c r="X13" s="143"/>
      <c r="Y13" s="142"/>
      <c r="Z13" s="142"/>
      <c r="AA13" s="143"/>
      <c r="AB13" s="142"/>
      <c r="AC13" s="142"/>
      <c r="AD13" s="143"/>
      <c r="AE13" s="142"/>
      <c r="AF13" s="142"/>
      <c r="AG13" s="143"/>
      <c r="AH13" s="142"/>
      <c r="AI13" s="142"/>
      <c r="AJ13" s="143"/>
      <c r="AK13" s="142"/>
      <c r="AL13" s="142"/>
      <c r="AM13" s="143"/>
      <c r="AN13" s="142"/>
      <c r="AO13" s="142"/>
      <c r="AP13" s="143"/>
      <c r="AQ13" s="142"/>
      <c r="AR13" s="142"/>
      <c r="AS13" s="143"/>
      <c r="AT13" s="142"/>
      <c r="AU13" s="142"/>
      <c r="AV13" s="143"/>
      <c r="AW13" s="142"/>
      <c r="AX13" s="142"/>
      <c r="AY13" s="143"/>
      <c r="AZ13" s="142"/>
      <c r="BA13" s="142"/>
      <c r="BB13" s="143"/>
      <c r="BC13" s="142"/>
      <c r="BD13" s="142"/>
      <c r="BE13" s="143"/>
      <c r="BF13" s="142"/>
      <c r="BG13" s="142"/>
      <c r="BH13" s="143"/>
      <c r="BI13" s="142"/>
      <c r="BJ13" s="142"/>
      <c r="BK13" s="143"/>
      <c r="BL13" s="142"/>
      <c r="BM13" s="142"/>
      <c r="BN13" s="143"/>
      <c r="BO13" s="142"/>
      <c r="BP13" s="142"/>
      <c r="BQ13" s="143"/>
      <c r="BR13" s="142"/>
      <c r="BS13" s="142"/>
      <c r="BT13" s="143"/>
      <c r="BU13" s="142"/>
      <c r="BV13" s="142"/>
      <c r="BW13" s="143"/>
      <c r="BX13" s="142"/>
      <c r="BY13" s="142"/>
      <c r="BZ13" s="143"/>
      <c r="CA13" s="142"/>
      <c r="CB13" s="142"/>
      <c r="CC13" s="143"/>
      <c r="CD13" s="142"/>
      <c r="CE13" s="142"/>
      <c r="CF13" s="143"/>
      <c r="CG13" s="142"/>
      <c r="CH13" s="142"/>
      <c r="CI13" s="143"/>
      <c r="CJ13" s="142"/>
      <c r="CK13" s="142"/>
      <c r="CL13" s="143"/>
      <c r="CM13" s="142"/>
      <c r="CN13" s="142"/>
      <c r="CO13" s="143"/>
      <c r="CP13" s="142"/>
      <c r="CQ13" s="142"/>
      <c r="CR13" s="143"/>
      <c r="CS13" s="142"/>
      <c r="CT13" s="142"/>
      <c r="CU13" s="143"/>
      <c r="CV13" s="142"/>
      <c r="CW13" s="142"/>
      <c r="CX13" s="143"/>
      <c r="CY13" s="142"/>
      <c r="CZ13" s="142"/>
      <c r="DA13" s="143"/>
      <c r="DB13" s="142"/>
      <c r="DC13" s="142"/>
      <c r="DD13" s="143"/>
      <c r="DE13" s="142"/>
      <c r="DF13" s="142"/>
      <c r="DG13" s="143"/>
      <c r="DH13" s="142"/>
      <c r="DI13" s="142"/>
      <c r="DJ13" s="143"/>
      <c r="DK13" s="142"/>
      <c r="DL13" s="142"/>
      <c r="DM13" s="143"/>
      <c r="DN13" s="142"/>
      <c r="DO13" s="142"/>
      <c r="DP13" s="143"/>
      <c r="DQ13" s="142"/>
      <c r="DR13" s="142"/>
      <c r="DS13" s="143"/>
      <c r="DT13" s="142"/>
      <c r="DU13" s="142"/>
      <c r="DV13" s="143"/>
      <c r="DW13" s="142"/>
      <c r="DX13" s="142"/>
      <c r="DY13" s="143"/>
      <c r="DZ13" s="142"/>
      <c r="EA13" s="142"/>
      <c r="EB13" s="143"/>
      <c r="EC13" s="142"/>
      <c r="ED13" s="142"/>
      <c r="EE13" s="143"/>
      <c r="EF13" s="142"/>
      <c r="EG13" s="142"/>
      <c r="EH13" s="143"/>
      <c r="EI13" s="142"/>
      <c r="EJ13" s="142"/>
      <c r="EK13" s="143"/>
      <c r="EL13" s="142"/>
      <c r="EM13" s="142"/>
      <c r="EN13" s="143"/>
      <c r="EO13" s="142"/>
      <c r="EP13" s="142"/>
      <c r="EQ13" s="143"/>
      <c r="ER13" s="142"/>
      <c r="ES13" s="142"/>
      <c r="ET13" s="143"/>
      <c r="EU13" s="142"/>
      <c r="EV13" s="142"/>
      <c r="EW13" s="143"/>
    </row>
    <row r="14" customFormat="false" ht="15" hidden="false" customHeight="true" outlineLevel="0" collapsed="false">
      <c r="A14" s="144" t="s">
        <v>1225</v>
      </c>
      <c r="B14" s="145" t="n">
        <v>46239</v>
      </c>
      <c r="C14" s="145"/>
      <c r="D14" s="142"/>
      <c r="E14" s="142"/>
      <c r="F14" s="143"/>
      <c r="G14" s="142"/>
      <c r="H14" s="142"/>
      <c r="I14" s="143"/>
      <c r="J14" s="142"/>
      <c r="K14" s="142"/>
      <c r="L14" s="143"/>
      <c r="M14" s="142"/>
      <c r="N14" s="142"/>
      <c r="O14" s="143"/>
      <c r="P14" s="142"/>
      <c r="Q14" s="142"/>
      <c r="R14" s="143"/>
      <c r="S14" s="142"/>
      <c r="T14" s="142"/>
      <c r="U14" s="143"/>
      <c r="V14" s="142"/>
      <c r="W14" s="142"/>
      <c r="X14" s="143"/>
      <c r="Y14" s="142"/>
      <c r="Z14" s="142"/>
      <c r="AA14" s="143"/>
      <c r="AB14" s="142"/>
      <c r="AC14" s="142"/>
      <c r="AD14" s="143"/>
      <c r="AE14" s="142"/>
      <c r="AF14" s="142"/>
      <c r="AG14" s="143"/>
      <c r="AH14" s="142"/>
      <c r="AI14" s="142"/>
      <c r="AJ14" s="143"/>
      <c r="AK14" s="142"/>
      <c r="AL14" s="142"/>
      <c r="AM14" s="143"/>
      <c r="AN14" s="142"/>
      <c r="AO14" s="142"/>
      <c r="AP14" s="143"/>
      <c r="AQ14" s="142"/>
      <c r="AR14" s="142"/>
      <c r="AS14" s="143"/>
      <c r="AT14" s="142"/>
      <c r="AU14" s="142"/>
      <c r="AV14" s="143"/>
      <c r="AW14" s="142"/>
      <c r="AX14" s="142"/>
      <c r="AY14" s="143"/>
      <c r="AZ14" s="142"/>
      <c r="BA14" s="142"/>
      <c r="BB14" s="143"/>
      <c r="BC14" s="142"/>
      <c r="BD14" s="142"/>
      <c r="BE14" s="143"/>
      <c r="BF14" s="146" t="n">
        <v>46239</v>
      </c>
      <c r="BG14" s="146"/>
      <c r="BH14" s="143"/>
      <c r="BI14" s="142"/>
      <c r="BJ14" s="142"/>
      <c r="BK14" s="143"/>
      <c r="BL14" s="142"/>
      <c r="BM14" s="142"/>
      <c r="BN14" s="143"/>
      <c r="BO14" s="142"/>
      <c r="BP14" s="142"/>
      <c r="BQ14" s="143"/>
      <c r="BR14" s="142"/>
      <c r="BS14" s="142"/>
      <c r="BT14" s="143"/>
      <c r="BU14" s="142"/>
      <c r="BV14" s="142"/>
      <c r="BW14" s="143"/>
      <c r="BX14" s="142"/>
      <c r="BY14" s="142"/>
      <c r="BZ14" s="143"/>
      <c r="CA14" s="142"/>
      <c r="CB14" s="142"/>
      <c r="CC14" s="143"/>
      <c r="CD14" s="142"/>
      <c r="CE14" s="142"/>
      <c r="CF14" s="143"/>
      <c r="CG14" s="142"/>
      <c r="CH14" s="142"/>
      <c r="CI14" s="143"/>
      <c r="CJ14" s="142"/>
      <c r="CK14" s="142"/>
      <c r="CL14" s="143"/>
      <c r="CM14" s="142"/>
      <c r="CN14" s="142"/>
      <c r="CO14" s="143"/>
      <c r="CP14" s="142"/>
      <c r="CQ14" s="142"/>
      <c r="CR14" s="143"/>
      <c r="CS14" s="142"/>
      <c r="CT14" s="142"/>
      <c r="CU14" s="143"/>
      <c r="CV14" s="142"/>
      <c r="CW14" s="142"/>
      <c r="CX14" s="143"/>
      <c r="CY14" s="142"/>
      <c r="CZ14" s="142"/>
      <c r="DA14" s="143"/>
      <c r="DB14" s="142"/>
      <c r="DC14" s="142"/>
      <c r="DD14" s="143"/>
      <c r="DE14" s="142"/>
      <c r="DF14" s="142"/>
      <c r="DG14" s="143"/>
      <c r="DH14" s="142"/>
      <c r="DI14" s="142"/>
      <c r="DJ14" s="143"/>
      <c r="DK14" s="142"/>
      <c r="DL14" s="142"/>
      <c r="DM14" s="143"/>
      <c r="DN14" s="142"/>
      <c r="DO14" s="142"/>
      <c r="DP14" s="143"/>
      <c r="DQ14" s="142"/>
      <c r="DR14" s="142"/>
      <c r="DS14" s="143"/>
      <c r="DT14" s="142"/>
      <c r="DU14" s="142"/>
      <c r="DV14" s="143"/>
      <c r="DW14" s="142"/>
      <c r="DX14" s="142"/>
      <c r="DY14" s="143"/>
      <c r="DZ14" s="142"/>
      <c r="EA14" s="142"/>
      <c r="EB14" s="143"/>
      <c r="EC14" s="142"/>
      <c r="ED14" s="142"/>
      <c r="EE14" s="143"/>
      <c r="EF14" s="142"/>
      <c r="EG14" s="142"/>
      <c r="EH14" s="143"/>
      <c r="EI14" s="142"/>
      <c r="EJ14" s="142"/>
      <c r="EK14" s="143"/>
      <c r="EL14" s="142"/>
      <c r="EM14" s="142"/>
      <c r="EN14" s="143"/>
      <c r="EO14" s="142"/>
      <c r="EP14" s="142"/>
      <c r="EQ14" s="143"/>
      <c r="ER14" s="142"/>
      <c r="ES14" s="142"/>
      <c r="ET14" s="143"/>
      <c r="EU14" s="142"/>
      <c r="EV14" s="142"/>
      <c r="EW14" s="143"/>
    </row>
    <row r="15" customFormat="false" ht="15" hidden="false" customHeight="true" outlineLevel="0" collapsed="false">
      <c r="A15" s="144" t="s">
        <v>1226</v>
      </c>
      <c r="B15" s="145" t="n">
        <v>46224</v>
      </c>
      <c r="C15" s="145" t="n">
        <v>46229</v>
      </c>
      <c r="D15" s="142"/>
      <c r="E15" s="142"/>
      <c r="F15" s="143"/>
      <c r="G15" s="142"/>
      <c r="H15" s="142"/>
      <c r="I15" s="143"/>
      <c r="J15" s="142"/>
      <c r="K15" s="142"/>
      <c r="L15" s="143"/>
      <c r="M15" s="142"/>
      <c r="N15" s="142"/>
      <c r="O15" s="143"/>
      <c r="P15" s="142"/>
      <c r="Q15" s="142"/>
      <c r="R15" s="143"/>
      <c r="S15" s="142"/>
      <c r="T15" s="142"/>
      <c r="U15" s="143"/>
      <c r="V15" s="142"/>
      <c r="W15" s="142"/>
      <c r="X15" s="143"/>
      <c r="Y15" s="142"/>
      <c r="Z15" s="142"/>
      <c r="AA15" s="143"/>
      <c r="AB15" s="142" t="s">
        <v>1227</v>
      </c>
      <c r="AC15" s="142"/>
      <c r="AD15" s="143"/>
      <c r="AE15" s="142"/>
      <c r="AF15" s="142"/>
      <c r="AG15" s="143"/>
      <c r="AH15" s="142"/>
      <c r="AI15" s="142"/>
      <c r="AJ15" s="143"/>
      <c r="AK15" s="142"/>
      <c r="AL15" s="142"/>
      <c r="AM15" s="143"/>
      <c r="AN15" s="142"/>
      <c r="AO15" s="142"/>
      <c r="AP15" s="143"/>
      <c r="AQ15" s="142"/>
      <c r="AR15" s="142"/>
      <c r="AS15" s="143"/>
      <c r="AT15" s="142"/>
      <c r="AU15" s="142"/>
      <c r="AV15" s="143"/>
      <c r="AW15" s="142"/>
      <c r="AX15" s="142"/>
      <c r="AY15" s="143"/>
      <c r="AZ15" s="142"/>
      <c r="BA15" s="142"/>
      <c r="BB15" s="143"/>
      <c r="BC15" s="142"/>
      <c r="BD15" s="142"/>
      <c r="BE15" s="143"/>
      <c r="BF15" s="142"/>
      <c r="BG15" s="142"/>
      <c r="BH15" s="143"/>
      <c r="BI15" s="142"/>
      <c r="BJ15" s="142"/>
      <c r="BK15" s="143"/>
      <c r="BL15" s="142"/>
      <c r="BM15" s="142"/>
      <c r="BN15" s="143"/>
      <c r="BO15" s="142"/>
      <c r="BP15" s="142"/>
      <c r="BQ15" s="143"/>
      <c r="BR15" s="142"/>
      <c r="BS15" s="142"/>
      <c r="BT15" s="143"/>
      <c r="BU15" s="142"/>
      <c r="BV15" s="142"/>
      <c r="BW15" s="143"/>
      <c r="BX15" s="142"/>
      <c r="BY15" s="142"/>
      <c r="BZ15" s="143"/>
      <c r="CA15" s="142"/>
      <c r="CB15" s="142"/>
      <c r="CC15" s="143"/>
      <c r="CD15" s="142"/>
      <c r="CE15" s="142"/>
      <c r="CF15" s="143"/>
      <c r="CG15" s="142"/>
      <c r="CH15" s="142"/>
      <c r="CI15" s="143"/>
      <c r="CJ15" s="142"/>
      <c r="CK15" s="142"/>
      <c r="CL15" s="143"/>
      <c r="CM15" s="142"/>
      <c r="CN15" s="142"/>
      <c r="CO15" s="143"/>
      <c r="CP15" s="142"/>
      <c r="CQ15" s="142"/>
      <c r="CR15" s="143"/>
      <c r="CS15" s="142"/>
      <c r="CT15" s="142"/>
      <c r="CU15" s="143"/>
      <c r="CV15" s="142"/>
      <c r="CW15" s="142"/>
      <c r="CX15" s="143"/>
      <c r="CY15" s="142"/>
      <c r="CZ15" s="142"/>
      <c r="DA15" s="143"/>
      <c r="DB15" s="142"/>
      <c r="DC15" s="142"/>
      <c r="DD15" s="143"/>
      <c r="DE15" s="142"/>
      <c r="DF15" s="142"/>
      <c r="DG15" s="143"/>
      <c r="DH15" s="142"/>
      <c r="DI15" s="142"/>
      <c r="DJ15" s="143"/>
      <c r="DK15" s="142"/>
      <c r="DL15" s="142"/>
      <c r="DM15" s="143"/>
      <c r="DN15" s="142"/>
      <c r="DO15" s="142"/>
      <c r="DP15" s="143"/>
      <c r="DQ15" s="142"/>
      <c r="DR15" s="142"/>
      <c r="DS15" s="143"/>
      <c r="DT15" s="142"/>
      <c r="DU15" s="142"/>
      <c r="DV15" s="143"/>
      <c r="DW15" s="142"/>
      <c r="DX15" s="142"/>
      <c r="DY15" s="143"/>
      <c r="DZ15" s="142"/>
      <c r="EA15" s="142"/>
      <c r="EB15" s="143"/>
      <c r="EC15" s="142"/>
      <c r="ED15" s="142"/>
      <c r="EE15" s="143"/>
      <c r="EF15" s="142"/>
      <c r="EG15" s="142"/>
      <c r="EH15" s="143"/>
      <c r="EI15" s="142"/>
      <c r="EJ15" s="142"/>
      <c r="EK15" s="143"/>
      <c r="EL15" s="142"/>
      <c r="EM15" s="142"/>
      <c r="EN15" s="143"/>
      <c r="EO15" s="142"/>
      <c r="EP15" s="142"/>
      <c r="EQ15" s="143"/>
      <c r="ER15" s="142"/>
      <c r="ES15" s="142"/>
      <c r="ET15" s="143"/>
      <c r="EU15" s="142"/>
      <c r="EV15" s="142"/>
      <c r="EW15" s="143"/>
    </row>
    <row r="16" customFormat="false" ht="15" hidden="false" customHeight="true" outlineLevel="0" collapsed="false">
      <c r="A16" s="144" t="s">
        <v>1228</v>
      </c>
      <c r="B16" s="145" t="n">
        <v>46224</v>
      </c>
      <c r="C16" s="145" t="n">
        <v>46237</v>
      </c>
      <c r="D16" s="142"/>
      <c r="E16" s="142"/>
      <c r="F16" s="143"/>
      <c r="G16" s="142"/>
      <c r="H16" s="142"/>
      <c r="I16" s="143"/>
      <c r="J16" s="142"/>
      <c r="K16" s="142"/>
      <c r="L16" s="143"/>
      <c r="M16" s="142"/>
      <c r="N16" s="142"/>
      <c r="O16" s="143"/>
      <c r="P16" s="142"/>
      <c r="Q16" s="142"/>
      <c r="R16" s="143"/>
      <c r="S16" s="142"/>
      <c r="T16" s="142"/>
      <c r="U16" s="143"/>
      <c r="V16" s="142"/>
      <c r="W16" s="142"/>
      <c r="X16" s="143"/>
      <c r="Y16" s="142"/>
      <c r="Z16" s="142"/>
      <c r="AA16" s="143"/>
      <c r="AB16" s="142"/>
      <c r="AC16" s="142"/>
      <c r="AD16" s="143"/>
      <c r="AE16" s="142"/>
      <c r="AF16" s="142"/>
      <c r="AG16" s="143"/>
      <c r="AH16" s="142"/>
      <c r="AI16" s="142"/>
      <c r="AJ16" s="143"/>
      <c r="AK16" s="142"/>
      <c r="AL16" s="142"/>
      <c r="AM16" s="143"/>
      <c r="AN16" s="142"/>
      <c r="AO16" s="142"/>
      <c r="AP16" s="143"/>
      <c r="AQ16" s="142"/>
      <c r="AR16" s="142"/>
      <c r="AS16" s="143"/>
      <c r="AT16" s="142"/>
      <c r="AU16" s="142"/>
      <c r="AV16" s="143"/>
      <c r="AW16" s="142"/>
      <c r="AX16" s="142"/>
      <c r="AY16" s="143"/>
      <c r="AZ16" s="142" t="s">
        <v>1229</v>
      </c>
      <c r="BA16" s="142"/>
      <c r="BB16" s="143"/>
      <c r="BC16" s="142"/>
      <c r="BD16" s="142"/>
      <c r="BE16" s="143"/>
      <c r="BF16" s="142"/>
      <c r="BG16" s="142"/>
      <c r="BH16" s="143"/>
      <c r="BI16" s="142"/>
      <c r="BJ16" s="142"/>
      <c r="BK16" s="143"/>
      <c r="BL16" s="142"/>
      <c r="BM16" s="142"/>
      <c r="BN16" s="143"/>
      <c r="BO16" s="142"/>
      <c r="BP16" s="142"/>
      <c r="BQ16" s="143"/>
      <c r="BR16" s="142"/>
      <c r="BS16" s="142"/>
      <c r="BT16" s="143"/>
      <c r="BU16" s="142"/>
      <c r="BV16" s="142"/>
      <c r="BW16" s="143"/>
      <c r="BX16" s="142"/>
      <c r="BY16" s="142"/>
      <c r="BZ16" s="143"/>
      <c r="CA16" s="142"/>
      <c r="CB16" s="142"/>
      <c r="CC16" s="143"/>
      <c r="CD16" s="142"/>
      <c r="CE16" s="142"/>
      <c r="CF16" s="143"/>
      <c r="CG16" s="142"/>
      <c r="CH16" s="142"/>
      <c r="CI16" s="143"/>
      <c r="CJ16" s="142"/>
      <c r="CK16" s="142"/>
      <c r="CL16" s="143"/>
      <c r="CM16" s="142"/>
      <c r="CN16" s="142"/>
      <c r="CO16" s="143"/>
      <c r="CP16" s="142"/>
      <c r="CQ16" s="142"/>
      <c r="CR16" s="143"/>
      <c r="CS16" s="142"/>
      <c r="CT16" s="142"/>
      <c r="CU16" s="143"/>
      <c r="CV16" s="142"/>
      <c r="CW16" s="142"/>
      <c r="CX16" s="143"/>
      <c r="CY16" s="142"/>
      <c r="CZ16" s="142"/>
      <c r="DA16" s="143"/>
      <c r="DB16" s="142"/>
      <c r="DC16" s="142"/>
      <c r="DD16" s="143"/>
      <c r="DE16" s="142"/>
      <c r="DF16" s="142"/>
      <c r="DG16" s="143"/>
      <c r="DH16" s="142"/>
      <c r="DI16" s="142"/>
      <c r="DJ16" s="143"/>
      <c r="DK16" s="142"/>
      <c r="DL16" s="142"/>
      <c r="DM16" s="143"/>
      <c r="DN16" s="142"/>
      <c r="DO16" s="142"/>
      <c r="DP16" s="143"/>
      <c r="DQ16" s="142"/>
      <c r="DR16" s="142"/>
      <c r="DS16" s="143"/>
      <c r="DT16" s="142"/>
      <c r="DU16" s="142"/>
      <c r="DV16" s="143"/>
      <c r="DW16" s="142"/>
      <c r="DX16" s="142"/>
      <c r="DY16" s="143"/>
      <c r="DZ16" s="142"/>
      <c r="EA16" s="142"/>
      <c r="EB16" s="143"/>
      <c r="EC16" s="142"/>
      <c r="ED16" s="142"/>
      <c r="EE16" s="143"/>
      <c r="EF16" s="142"/>
      <c r="EG16" s="142"/>
      <c r="EH16" s="143"/>
      <c r="EI16" s="142"/>
      <c r="EJ16" s="142"/>
      <c r="EK16" s="143"/>
      <c r="EL16" s="142"/>
      <c r="EM16" s="142"/>
      <c r="EN16" s="143"/>
      <c r="EO16" s="142"/>
      <c r="EP16" s="142"/>
      <c r="EQ16" s="143"/>
      <c r="ER16" s="142"/>
      <c r="ES16" s="142"/>
      <c r="ET16" s="143"/>
      <c r="EU16" s="142"/>
      <c r="EV16" s="142"/>
      <c r="EW16" s="143"/>
    </row>
    <row r="17" customFormat="false" ht="15" hidden="false" customHeight="true" outlineLevel="0" collapsed="false">
      <c r="A17" s="144" t="s">
        <v>1230</v>
      </c>
      <c r="B17" s="145" t="n">
        <v>46239</v>
      </c>
      <c r="C17" s="145" t="n">
        <v>46239</v>
      </c>
      <c r="D17" s="142"/>
      <c r="E17" s="142"/>
      <c r="F17" s="143"/>
      <c r="G17" s="142"/>
      <c r="H17" s="142"/>
      <c r="I17" s="143"/>
      <c r="J17" s="142"/>
      <c r="K17" s="142"/>
      <c r="L17" s="143"/>
      <c r="M17" s="142"/>
      <c r="N17" s="142"/>
      <c r="O17" s="143"/>
      <c r="P17" s="142"/>
      <c r="Q17" s="142"/>
      <c r="R17" s="143"/>
      <c r="S17" s="142"/>
      <c r="T17" s="142"/>
      <c r="U17" s="143"/>
      <c r="V17" s="142"/>
      <c r="W17" s="142"/>
      <c r="X17" s="143"/>
      <c r="Y17" s="142"/>
      <c r="Z17" s="142"/>
      <c r="AA17" s="143"/>
      <c r="AB17" s="142"/>
      <c r="AC17" s="142"/>
      <c r="AD17" s="143"/>
      <c r="AE17" s="142"/>
      <c r="AF17" s="142"/>
      <c r="AG17" s="143"/>
      <c r="AH17" s="142"/>
      <c r="AI17" s="142"/>
      <c r="AJ17" s="143"/>
      <c r="AK17" s="142"/>
      <c r="AL17" s="142"/>
      <c r="AM17" s="143"/>
      <c r="AN17" s="142"/>
      <c r="AO17" s="142"/>
      <c r="AP17" s="143"/>
      <c r="AQ17" s="142"/>
      <c r="AR17" s="142"/>
      <c r="AS17" s="143"/>
      <c r="AT17" s="142"/>
      <c r="AU17" s="142"/>
      <c r="AV17" s="143"/>
      <c r="AW17" s="142"/>
      <c r="AX17" s="142"/>
      <c r="AY17" s="143"/>
      <c r="AZ17" s="142"/>
      <c r="BA17" s="142"/>
      <c r="BB17" s="143"/>
      <c r="BC17" s="142"/>
      <c r="BD17" s="142"/>
      <c r="BE17" s="143"/>
      <c r="BF17" s="147" t="s">
        <v>1231</v>
      </c>
      <c r="BG17" s="147"/>
      <c r="BH17" s="143"/>
      <c r="BI17" s="142"/>
      <c r="BJ17" s="142"/>
      <c r="BK17" s="143"/>
      <c r="BL17" s="142"/>
      <c r="BM17" s="142"/>
      <c r="BN17" s="143"/>
      <c r="BO17" s="142"/>
      <c r="BP17" s="142"/>
      <c r="BQ17" s="143"/>
      <c r="BR17" s="142"/>
      <c r="BS17" s="142"/>
      <c r="BT17" s="143"/>
      <c r="BU17" s="142"/>
      <c r="BV17" s="142"/>
      <c r="BW17" s="143"/>
      <c r="BX17" s="142"/>
      <c r="BY17" s="142"/>
      <c r="BZ17" s="143"/>
      <c r="CA17" s="142"/>
      <c r="CB17" s="142"/>
      <c r="CC17" s="143"/>
      <c r="CD17" s="142"/>
      <c r="CE17" s="142"/>
      <c r="CF17" s="143"/>
      <c r="CG17" s="142"/>
      <c r="CH17" s="142"/>
      <c r="CI17" s="143"/>
      <c r="CJ17" s="142"/>
      <c r="CK17" s="142"/>
      <c r="CL17" s="143"/>
      <c r="CM17" s="142"/>
      <c r="CN17" s="142"/>
      <c r="CO17" s="143"/>
      <c r="CP17" s="142"/>
      <c r="CQ17" s="142"/>
      <c r="CR17" s="143"/>
      <c r="CS17" s="142"/>
      <c r="CT17" s="142"/>
      <c r="CU17" s="143"/>
      <c r="CV17" s="142"/>
      <c r="CW17" s="142"/>
      <c r="CX17" s="143"/>
      <c r="CY17" s="142"/>
      <c r="CZ17" s="142"/>
      <c r="DA17" s="143"/>
      <c r="DB17" s="142"/>
      <c r="DC17" s="142"/>
      <c r="DD17" s="143"/>
      <c r="DE17" s="142"/>
      <c r="DF17" s="142"/>
      <c r="DG17" s="143"/>
      <c r="DH17" s="142"/>
      <c r="DI17" s="142"/>
      <c r="DJ17" s="143"/>
      <c r="DK17" s="142"/>
      <c r="DL17" s="142"/>
      <c r="DM17" s="143"/>
      <c r="DN17" s="142"/>
      <c r="DO17" s="142"/>
      <c r="DP17" s="143"/>
      <c r="DQ17" s="142"/>
      <c r="DR17" s="142"/>
      <c r="DS17" s="143"/>
      <c r="DT17" s="142"/>
      <c r="DU17" s="142"/>
      <c r="DV17" s="143"/>
      <c r="DW17" s="142"/>
      <c r="DX17" s="142"/>
      <c r="DY17" s="143"/>
      <c r="DZ17" s="142"/>
      <c r="EA17" s="142"/>
      <c r="EB17" s="143"/>
      <c r="EC17" s="142"/>
      <c r="ED17" s="142"/>
      <c r="EE17" s="143"/>
      <c r="EF17" s="142"/>
      <c r="EG17" s="142"/>
      <c r="EH17" s="143"/>
      <c r="EI17" s="142"/>
      <c r="EJ17" s="142"/>
      <c r="EK17" s="143"/>
      <c r="EL17" s="142"/>
      <c r="EM17" s="142"/>
      <c r="EN17" s="143"/>
      <c r="EO17" s="142"/>
      <c r="EP17" s="142"/>
      <c r="EQ17" s="143"/>
      <c r="ER17" s="142"/>
      <c r="ES17" s="142"/>
      <c r="ET17" s="143"/>
      <c r="EU17" s="142"/>
      <c r="EV17" s="142"/>
      <c r="EW17" s="143"/>
    </row>
    <row r="18" customFormat="false" ht="15" hidden="false" customHeight="true" outlineLevel="0" collapsed="false">
      <c r="A18" s="144" t="s">
        <v>1232</v>
      </c>
      <c r="B18" s="145" t="n">
        <v>46229</v>
      </c>
      <c r="C18" s="145" t="n">
        <v>46236</v>
      </c>
      <c r="D18" s="142"/>
      <c r="E18" s="142"/>
      <c r="F18" s="143"/>
      <c r="G18" s="142"/>
      <c r="H18" s="142"/>
      <c r="I18" s="143"/>
      <c r="J18" s="142"/>
      <c r="K18" s="142"/>
      <c r="L18" s="143"/>
      <c r="M18" s="142"/>
      <c r="N18" s="142"/>
      <c r="O18" s="143"/>
      <c r="P18" s="142"/>
      <c r="Q18" s="142"/>
      <c r="R18" s="143"/>
      <c r="S18" s="142"/>
      <c r="T18" s="142"/>
      <c r="U18" s="143"/>
      <c r="V18" s="142"/>
      <c r="W18" s="142"/>
      <c r="X18" s="143"/>
      <c r="Y18" s="142"/>
      <c r="Z18" s="142"/>
      <c r="AA18" s="143"/>
      <c r="AB18" s="142"/>
      <c r="AC18" s="142"/>
      <c r="AD18" s="143"/>
      <c r="AE18" s="142"/>
      <c r="AF18" s="142"/>
      <c r="AG18" s="143"/>
      <c r="AH18" s="142"/>
      <c r="AI18" s="142"/>
      <c r="AJ18" s="143"/>
      <c r="AK18" s="142"/>
      <c r="AL18" s="142"/>
      <c r="AM18" s="143"/>
      <c r="AN18" s="142"/>
      <c r="AO18" s="142"/>
      <c r="AP18" s="143"/>
      <c r="AQ18" s="142"/>
      <c r="AR18" s="142"/>
      <c r="AS18" s="143"/>
      <c r="AT18" s="142"/>
      <c r="AU18" s="142"/>
      <c r="AV18" s="143"/>
      <c r="AW18" s="142" t="s">
        <v>1233</v>
      </c>
      <c r="AX18" s="142"/>
      <c r="AY18" s="143"/>
      <c r="AZ18" s="142"/>
      <c r="BA18" s="142"/>
      <c r="BB18" s="143"/>
      <c r="BC18" s="142"/>
      <c r="BD18" s="142"/>
      <c r="BE18" s="143"/>
      <c r="BF18" s="142"/>
      <c r="BG18" s="142"/>
      <c r="BH18" s="143"/>
      <c r="BI18" s="142"/>
      <c r="BJ18" s="142"/>
      <c r="BK18" s="143"/>
      <c r="BL18" s="142"/>
      <c r="BM18" s="142"/>
      <c r="BN18" s="143"/>
      <c r="BO18" s="142"/>
      <c r="BP18" s="142"/>
      <c r="BQ18" s="143"/>
      <c r="BR18" s="142"/>
      <c r="BS18" s="142"/>
      <c r="BT18" s="143"/>
      <c r="BU18" s="142"/>
      <c r="BV18" s="142"/>
      <c r="BW18" s="143"/>
      <c r="BX18" s="142"/>
      <c r="BY18" s="142"/>
      <c r="BZ18" s="143"/>
      <c r="CA18" s="142"/>
      <c r="CB18" s="142"/>
      <c r="CC18" s="143"/>
      <c r="CD18" s="142"/>
      <c r="CE18" s="142"/>
      <c r="CF18" s="143"/>
      <c r="CG18" s="142"/>
      <c r="CH18" s="142"/>
      <c r="CI18" s="143"/>
      <c r="CJ18" s="142"/>
      <c r="CK18" s="142"/>
      <c r="CL18" s="143"/>
      <c r="CM18" s="142"/>
      <c r="CN18" s="142"/>
      <c r="CO18" s="143"/>
      <c r="CP18" s="142"/>
      <c r="CQ18" s="142"/>
      <c r="CR18" s="143"/>
      <c r="CS18" s="142"/>
      <c r="CT18" s="142"/>
      <c r="CU18" s="143"/>
      <c r="CV18" s="142"/>
      <c r="CW18" s="142"/>
      <c r="CX18" s="143"/>
      <c r="CY18" s="142"/>
      <c r="CZ18" s="142"/>
      <c r="DA18" s="143"/>
      <c r="DB18" s="142"/>
      <c r="DC18" s="142"/>
      <c r="DD18" s="143"/>
      <c r="DE18" s="142"/>
      <c r="DF18" s="142"/>
      <c r="DG18" s="143"/>
      <c r="DH18" s="142"/>
      <c r="DI18" s="142"/>
      <c r="DJ18" s="143"/>
      <c r="DK18" s="142"/>
      <c r="DL18" s="142"/>
      <c r="DM18" s="143"/>
      <c r="DN18" s="142"/>
      <c r="DO18" s="142"/>
      <c r="DP18" s="143"/>
      <c r="DQ18" s="142"/>
      <c r="DR18" s="142"/>
      <c r="DS18" s="143"/>
      <c r="DT18" s="142"/>
      <c r="DU18" s="142"/>
      <c r="DV18" s="143"/>
      <c r="DW18" s="142"/>
      <c r="DX18" s="142"/>
      <c r="DY18" s="143"/>
      <c r="DZ18" s="142"/>
      <c r="EA18" s="142"/>
      <c r="EB18" s="143"/>
      <c r="EC18" s="142"/>
      <c r="ED18" s="142"/>
      <c r="EE18" s="143"/>
      <c r="EF18" s="142"/>
      <c r="EG18" s="142"/>
      <c r="EH18" s="143"/>
      <c r="EI18" s="142"/>
      <c r="EJ18" s="142"/>
      <c r="EK18" s="143"/>
      <c r="EL18" s="142"/>
      <c r="EM18" s="142"/>
      <c r="EN18" s="143"/>
      <c r="EO18" s="142"/>
      <c r="EP18" s="142"/>
      <c r="EQ18" s="143"/>
      <c r="ER18" s="142"/>
      <c r="ES18" s="142"/>
      <c r="ET18" s="143"/>
      <c r="EU18" s="142"/>
      <c r="EV18" s="142"/>
      <c r="EW18" s="143"/>
    </row>
    <row r="19" customFormat="false" ht="15" hidden="false" customHeight="true" outlineLevel="0" collapsed="false">
      <c r="A19" s="148" t="s">
        <v>1234</v>
      </c>
      <c r="B19" s="149" t="n">
        <v>46238</v>
      </c>
      <c r="C19" s="149"/>
      <c r="D19" s="150" t="str">
        <f aca="false">IF((DASHBOARD!$M$1+INT((COLUMN()-4)/3))=INT($B$19),"◆ "&amp;TEXT($B$19,"D-MMM"),"")</f>
        <v/>
      </c>
      <c r="E19" s="142"/>
      <c r="F19" s="143"/>
      <c r="G19" s="150" t="str">
        <f aca="false">IF((DASHBOARD!$M$1+INT((COLUMN()-4)/3))=INT($B$19),"◆ "&amp;TEXT($B$19,"D-MMM"),"")</f>
        <v/>
      </c>
      <c r="H19" s="142"/>
      <c r="I19" s="143"/>
      <c r="J19" s="150" t="str">
        <f aca="false">IF((DASHBOARD!$M$1+INT((COLUMN()-4)/3))=INT($B$19),"◆ "&amp;TEXT($B$19,"D-MMM"),"")</f>
        <v/>
      </c>
      <c r="K19" s="142"/>
      <c r="L19" s="143"/>
      <c r="M19" s="150" t="str">
        <f aca="false">IF((DASHBOARD!$M$1+INT((COLUMN()-4)/3))=INT($B$19),"◆ "&amp;TEXT($B$19,"D-MMM"),"")</f>
        <v/>
      </c>
      <c r="N19" s="142"/>
      <c r="O19" s="143"/>
      <c r="P19" s="150" t="str">
        <f aca="false">IF((DASHBOARD!$M$1+INT((COLUMN()-4)/3))=INT($B$19),"◆ "&amp;TEXT($B$19,"D-MMM"),"")</f>
        <v/>
      </c>
      <c r="Q19" s="142"/>
      <c r="R19" s="143"/>
      <c r="S19" s="150" t="str">
        <f aca="false">IF((DASHBOARD!$M$1+INT((COLUMN()-4)/3))=INT($B$19),"◆ "&amp;TEXT($B$19,"D-MMM"),"")</f>
        <v/>
      </c>
      <c r="T19" s="142"/>
      <c r="U19" s="143"/>
      <c r="V19" s="150" t="str">
        <f aca="false">IF((DASHBOARD!$M$1+INT((COLUMN()-4)/3))=INT($B$19),"◆ "&amp;TEXT($B$19,"D-MMM"),"")</f>
        <v/>
      </c>
      <c r="W19" s="142"/>
      <c r="X19" s="143"/>
      <c r="Y19" s="150" t="str">
        <f aca="false">IF((DASHBOARD!$M$1+INT((COLUMN()-4)/3))=INT($B$19),"◆ "&amp;TEXT($B$19,"D-MMM"),"")</f>
        <v/>
      </c>
      <c r="Z19" s="142"/>
      <c r="AA19" s="143"/>
      <c r="AB19" s="150" t="str">
        <f aca="false">IF((DASHBOARD!$M$1+INT((COLUMN()-4)/3))=INT($B$19),"◆ "&amp;TEXT($B$19,"D-MMM"),"")</f>
        <v/>
      </c>
      <c r="AC19" s="142"/>
      <c r="AD19" s="143"/>
      <c r="AE19" s="150" t="str">
        <f aca="false">IF((DASHBOARD!$M$1+INT((COLUMN()-4)/3))=INT($B$19),"◆ "&amp;TEXT($B$19,"D-MMM"),"")</f>
        <v/>
      </c>
      <c r="AF19" s="142"/>
      <c r="AG19" s="143"/>
      <c r="AH19" s="150" t="str">
        <f aca="false">IF((DASHBOARD!$M$1+INT((COLUMN()-4)/3))=INT($B$19),"◆ "&amp;TEXT($B$19,"D-MMM"),"")</f>
        <v/>
      </c>
      <c r="AI19" s="142"/>
      <c r="AJ19" s="143"/>
      <c r="AK19" s="150" t="str">
        <f aca="false">IF((DASHBOARD!$M$1+INT((COLUMN()-4)/3))=INT($B$19),"◆ "&amp;TEXT($B$19,"D-MMM"),"")</f>
        <v/>
      </c>
      <c r="AL19" s="142"/>
      <c r="AM19" s="143"/>
      <c r="AN19" s="150" t="str">
        <f aca="false">IF((DASHBOARD!$M$1+INT((COLUMN()-4)/3))=INT($B$19),"◆ "&amp;TEXT($B$19,"D-MMM"),"")</f>
        <v/>
      </c>
      <c r="AO19" s="142"/>
      <c r="AP19" s="143"/>
      <c r="AQ19" s="150" t="str">
        <f aca="false">IF((DASHBOARD!$M$1+INT((COLUMN()-4)/3))=INT($B$19),"◆ "&amp;TEXT($B$19,"D-MMM"),"")</f>
        <v/>
      </c>
      <c r="AR19" s="142"/>
      <c r="AS19" s="143"/>
      <c r="AT19" s="150" t="str">
        <f aca="false">IF((DASHBOARD!$M$1+INT((COLUMN()-4)/3))=INT($B$19),"◆ "&amp;TEXT($B$19,"D-MMM"),"")</f>
        <v/>
      </c>
      <c r="AU19" s="142"/>
      <c r="AV19" s="143"/>
      <c r="AW19" s="150" t="str">
        <f aca="false">IF((DASHBOARD!$M$1+INT((COLUMN()-4)/3))=INT($B$19),"◆ "&amp;TEXT($B$19,"D-MMM"),"")</f>
        <v/>
      </c>
      <c r="AX19" s="142"/>
      <c r="AY19" s="143"/>
      <c r="AZ19" s="150" t="str">
        <f aca="false">IF((DASHBOARD!$M$1+INT((COLUMN()-4)/3))=INT($B$19),"◆ "&amp;TEXT($B$19,"D-MMM"),"")</f>
        <v/>
      </c>
      <c r="BA19" s="142"/>
      <c r="BB19" s="143"/>
      <c r="BC19" s="150" t="str">
        <f aca="false">IF((DASHBOARD!$M$1+INT((COLUMN()-4)/3))=INT($B$19),"◆ "&amp;TEXT($B$19,"D-MMM"),"")</f>
        <v>◆ 4-Aug</v>
      </c>
      <c r="BD19" s="142"/>
      <c r="BE19" s="143"/>
      <c r="BF19" s="150" t="str">
        <f aca="false">IF((DASHBOARD!$M$1+INT((COLUMN()-4)/3))=INT($B$19),"◆ "&amp;TEXT($B$19,"D-MMM"),"")</f>
        <v/>
      </c>
      <c r="BG19" s="142"/>
      <c r="BH19" s="143"/>
      <c r="BI19" s="150" t="str">
        <f aca="false">IF((DASHBOARD!$M$1+INT((COLUMN()-4)/3))=INT($B$19),"◆ "&amp;TEXT($B$19,"D-MMM"),"")</f>
        <v/>
      </c>
      <c r="BJ19" s="142"/>
      <c r="BK19" s="143"/>
      <c r="BL19" s="150" t="str">
        <f aca="false">IF((DASHBOARD!$M$1+INT((COLUMN()-4)/3))=INT($B$19),"◆ "&amp;TEXT($B$19,"D-MMM"),"")</f>
        <v/>
      </c>
      <c r="BM19" s="142"/>
      <c r="BN19" s="143"/>
      <c r="BO19" s="150" t="str">
        <f aca="false">IF((DASHBOARD!$M$1+INT((COLUMN()-4)/3))=INT($B$19),"◆ "&amp;TEXT($B$19,"D-MMM"),"")</f>
        <v/>
      </c>
      <c r="BP19" s="142"/>
      <c r="BQ19" s="143"/>
      <c r="BR19" s="150" t="str">
        <f aca="false">IF((DASHBOARD!$M$1+INT((COLUMN()-4)/3))=INT($B$19),"◆ "&amp;TEXT($B$19,"D-MMM"),"")</f>
        <v/>
      </c>
      <c r="BS19" s="142"/>
      <c r="BT19" s="143"/>
      <c r="BU19" s="150" t="str">
        <f aca="false">IF((DASHBOARD!$M$1+INT((COLUMN()-4)/3))=INT($B$19),"◆ "&amp;TEXT($B$19,"D-MMM"),"")</f>
        <v/>
      </c>
      <c r="BV19" s="142"/>
      <c r="BW19" s="143"/>
      <c r="BX19" s="150" t="str">
        <f aca="false">IF((DASHBOARD!$M$1+INT((COLUMN()-4)/3))=INT($B$19),"◆ "&amp;TEXT($B$19,"D-MMM"),"")</f>
        <v/>
      </c>
      <c r="BY19" s="142"/>
      <c r="BZ19" s="143"/>
      <c r="CA19" s="150" t="str">
        <f aca="false">IF((DASHBOARD!$M$1+INT((COLUMN()-4)/3))=INT($B$19),"◆ "&amp;TEXT($B$19,"D-MMM"),"")</f>
        <v/>
      </c>
      <c r="CB19" s="142"/>
      <c r="CC19" s="143"/>
      <c r="CD19" s="150" t="str">
        <f aca="false">IF((DASHBOARD!$M$1+INT((COLUMN()-4)/3))=INT($B$19),"◆ "&amp;TEXT($B$19,"D-MMM"),"")</f>
        <v/>
      </c>
      <c r="CE19" s="142"/>
      <c r="CF19" s="143"/>
      <c r="CG19" s="150" t="str">
        <f aca="false">IF((DASHBOARD!$M$1+INT((COLUMN()-4)/3))=INT($B$19),"◆ "&amp;TEXT($B$19,"D-MMM"),"")</f>
        <v/>
      </c>
      <c r="CH19" s="142"/>
      <c r="CI19" s="143"/>
      <c r="CJ19" s="150" t="str">
        <f aca="false">IF((DASHBOARD!$M$1+INT((COLUMN()-4)/3))=INT($B$19),"◆ "&amp;TEXT($B$19,"D-MMM"),"")</f>
        <v/>
      </c>
      <c r="CK19" s="142"/>
      <c r="CL19" s="143"/>
      <c r="CM19" s="150" t="str">
        <f aca="false">IF((DASHBOARD!$M$1+INT((COLUMN()-4)/3))=INT($B$19),"◆ "&amp;TEXT($B$19,"D-MMM"),"")</f>
        <v/>
      </c>
      <c r="CN19" s="142"/>
      <c r="CO19" s="143"/>
      <c r="CP19" s="150" t="str">
        <f aca="false">IF((DASHBOARD!$M$1+INT((COLUMN()-4)/3))=INT($B$19),"◆ "&amp;TEXT($B$19,"D-MMM"),"")</f>
        <v/>
      </c>
      <c r="CQ19" s="142"/>
      <c r="CR19" s="143"/>
      <c r="CS19" s="150" t="str">
        <f aca="false">IF((DASHBOARD!$M$1+INT((COLUMN()-4)/3))=INT($B$19),"◆ "&amp;TEXT($B$19,"D-MMM"),"")</f>
        <v/>
      </c>
      <c r="CT19" s="142"/>
      <c r="CU19" s="143"/>
      <c r="CV19" s="150" t="str">
        <f aca="false">IF((DASHBOARD!$M$1+INT((COLUMN()-4)/3))=INT($B$19),"◆ "&amp;TEXT($B$19,"D-MMM"),"")</f>
        <v/>
      </c>
      <c r="CW19" s="142"/>
      <c r="CX19" s="143"/>
      <c r="CY19" s="150" t="str">
        <f aca="false">IF((DASHBOARD!$M$1+INT((COLUMN()-4)/3))=INT($B$19),"◆ "&amp;TEXT($B$19,"D-MMM"),"")</f>
        <v/>
      </c>
      <c r="CZ19" s="142"/>
      <c r="DA19" s="143"/>
      <c r="DB19" s="150" t="str">
        <f aca="false">IF((DASHBOARD!$M$1+INT((COLUMN()-4)/3))=INT($B$19),"◆ "&amp;TEXT($B$19,"D-MMM"),"")</f>
        <v/>
      </c>
      <c r="DC19" s="142"/>
      <c r="DD19" s="143"/>
      <c r="DE19" s="150" t="str">
        <f aca="false">IF((DASHBOARD!$M$1+INT((COLUMN()-4)/3))=INT($B$19),"◆ "&amp;TEXT($B$19,"D-MMM"),"")</f>
        <v/>
      </c>
      <c r="DF19" s="142"/>
      <c r="DG19" s="143"/>
      <c r="DH19" s="150" t="str">
        <f aca="false">IF((DASHBOARD!$M$1+INT((COLUMN()-4)/3))=INT($B$19),"◆ "&amp;TEXT($B$19,"D-MMM"),"")</f>
        <v/>
      </c>
      <c r="DI19" s="142"/>
      <c r="DJ19" s="143"/>
      <c r="DK19" s="150" t="str">
        <f aca="false">IF((DASHBOARD!$M$1+INT((COLUMN()-4)/3))=INT($B$19),"◆ "&amp;TEXT($B$19,"D-MMM"),"")</f>
        <v/>
      </c>
      <c r="DL19" s="142"/>
      <c r="DM19" s="143"/>
      <c r="DN19" s="150" t="str">
        <f aca="false">IF((DASHBOARD!$M$1+INT((COLUMN()-4)/3))=INT($B$19),"◆ "&amp;TEXT($B$19,"D-MMM"),"")</f>
        <v/>
      </c>
      <c r="DO19" s="142"/>
      <c r="DP19" s="143"/>
      <c r="DQ19" s="150" t="str">
        <f aca="false">IF((DASHBOARD!$M$1+INT((COLUMN()-4)/3))=INT($B$19),"◆ "&amp;TEXT($B$19,"D-MMM"),"")</f>
        <v/>
      </c>
      <c r="DR19" s="142"/>
      <c r="DS19" s="143"/>
      <c r="DT19" s="150" t="str">
        <f aca="false">IF((DASHBOARD!$M$1+INT((COLUMN()-4)/3))=INT($B$19),"◆ "&amp;TEXT($B$19,"D-MMM"),"")</f>
        <v/>
      </c>
      <c r="DU19" s="142"/>
      <c r="DV19" s="143"/>
      <c r="DW19" s="150" t="str">
        <f aca="false">IF((DASHBOARD!$M$1+INT((COLUMN()-4)/3))=INT($B$19),"◆ "&amp;TEXT($B$19,"D-MMM"),"")</f>
        <v/>
      </c>
      <c r="DX19" s="142"/>
      <c r="DY19" s="143"/>
      <c r="DZ19" s="150" t="str">
        <f aca="false">IF((DASHBOARD!$M$1+INT((COLUMN()-4)/3))=INT($B$19),"◆ "&amp;TEXT($B$19,"D-MMM"),"")</f>
        <v/>
      </c>
      <c r="EA19" s="142"/>
      <c r="EB19" s="143"/>
      <c r="EC19" s="150" t="str">
        <f aca="false">IF((DASHBOARD!$M$1+INT((COLUMN()-4)/3))=INT($B$19),"◆ "&amp;TEXT($B$19,"D-MMM"),"")</f>
        <v/>
      </c>
      <c r="ED19" s="142"/>
      <c r="EE19" s="143"/>
      <c r="EF19" s="150" t="str">
        <f aca="false">IF((DASHBOARD!$M$1+INT((COLUMN()-4)/3))=INT($B$19),"◆ "&amp;TEXT($B$19,"D-MMM"),"")</f>
        <v/>
      </c>
      <c r="EG19" s="142"/>
      <c r="EH19" s="143"/>
      <c r="EI19" s="150" t="str">
        <f aca="false">IF((DASHBOARD!$M$1+INT((COLUMN()-4)/3))=INT($B$19),"◆ "&amp;TEXT($B$19,"D-MMM"),"")</f>
        <v/>
      </c>
      <c r="EJ19" s="142"/>
      <c r="EK19" s="143"/>
      <c r="EL19" s="150" t="str">
        <f aca="false">IF((DASHBOARD!$M$1+INT((COLUMN()-4)/3))=INT($B$19),"◆ "&amp;TEXT($B$19,"D-MMM"),"")</f>
        <v/>
      </c>
      <c r="EM19" s="142"/>
      <c r="EN19" s="143"/>
      <c r="EO19" s="150" t="str">
        <f aca="false">IF((DASHBOARD!$M$1+INT((COLUMN()-4)/3))=INT($B$19),"◆ "&amp;TEXT($B$19,"D-MMM"),"")</f>
        <v/>
      </c>
      <c r="EP19" s="142"/>
      <c r="EQ19" s="143"/>
      <c r="ER19" s="150" t="str">
        <f aca="false">IF((DASHBOARD!$M$1+INT((COLUMN()-4)/3))=INT($B$19),"◆ "&amp;TEXT($B$19,"D-MMM"),"")</f>
        <v/>
      </c>
      <c r="ES19" s="142"/>
      <c r="ET19" s="143"/>
      <c r="EU19" s="150" t="str">
        <f aca="false">IF((DASHBOARD!$M$1+INT((COLUMN()-4)/3))=INT($B$19),"◆ "&amp;TEXT($B$19,"D-MMM"),"")</f>
        <v/>
      </c>
      <c r="EV19" s="142"/>
      <c r="EW19" s="143"/>
    </row>
    <row r="20" customFormat="false" ht="15" hidden="false" customHeight="true" outlineLevel="0" collapsed="false">
      <c r="A20" s="141" t="s">
        <v>1235</v>
      </c>
      <c r="B20" s="141"/>
      <c r="C20" s="141"/>
      <c r="D20" s="142"/>
      <c r="E20" s="142"/>
      <c r="F20" s="143"/>
      <c r="G20" s="142"/>
      <c r="H20" s="142"/>
      <c r="I20" s="143"/>
      <c r="J20" s="142"/>
      <c r="K20" s="142"/>
      <c r="L20" s="143"/>
      <c r="M20" s="142"/>
      <c r="N20" s="142"/>
      <c r="O20" s="143"/>
      <c r="P20" s="142"/>
      <c r="Q20" s="142"/>
      <c r="R20" s="143"/>
      <c r="S20" s="142"/>
      <c r="T20" s="142"/>
      <c r="U20" s="143"/>
      <c r="V20" s="142"/>
      <c r="W20" s="142"/>
      <c r="X20" s="143"/>
      <c r="Y20" s="142"/>
      <c r="Z20" s="142"/>
      <c r="AA20" s="143"/>
      <c r="AB20" s="142"/>
      <c r="AC20" s="142"/>
      <c r="AD20" s="143"/>
      <c r="AE20" s="142"/>
      <c r="AF20" s="142"/>
      <c r="AG20" s="143"/>
      <c r="AH20" s="142"/>
      <c r="AI20" s="142"/>
      <c r="AJ20" s="143"/>
      <c r="AK20" s="142"/>
      <c r="AL20" s="142"/>
      <c r="AM20" s="143"/>
      <c r="AN20" s="142"/>
      <c r="AO20" s="142"/>
      <c r="AP20" s="143"/>
      <c r="AQ20" s="142"/>
      <c r="AR20" s="142"/>
      <c r="AS20" s="143"/>
      <c r="AT20" s="142"/>
      <c r="AU20" s="142"/>
      <c r="AV20" s="143"/>
      <c r="AW20" s="142"/>
      <c r="AX20" s="142"/>
      <c r="AY20" s="143"/>
      <c r="AZ20" s="142"/>
      <c r="BA20" s="142"/>
      <c r="BB20" s="143"/>
      <c r="BC20" s="142"/>
      <c r="BD20" s="142"/>
      <c r="BE20" s="143"/>
      <c r="BF20" s="142"/>
      <c r="BG20" s="142"/>
      <c r="BH20" s="143"/>
      <c r="BI20" s="142"/>
      <c r="BJ20" s="142"/>
      <c r="BK20" s="143"/>
      <c r="BL20" s="142"/>
      <c r="BM20" s="142"/>
      <c r="BN20" s="143"/>
      <c r="BO20" s="142"/>
      <c r="BP20" s="142"/>
      <c r="BQ20" s="143"/>
      <c r="BR20" s="142"/>
      <c r="BS20" s="142"/>
      <c r="BT20" s="143"/>
      <c r="BU20" s="142"/>
      <c r="BV20" s="142"/>
      <c r="BW20" s="143"/>
      <c r="BX20" s="142"/>
      <c r="BY20" s="142"/>
      <c r="BZ20" s="143"/>
      <c r="CA20" s="142"/>
      <c r="CB20" s="142"/>
      <c r="CC20" s="143"/>
      <c r="CD20" s="142"/>
      <c r="CE20" s="142"/>
      <c r="CF20" s="143"/>
      <c r="CG20" s="142"/>
      <c r="CH20" s="142"/>
      <c r="CI20" s="143"/>
      <c r="CJ20" s="142"/>
      <c r="CK20" s="142"/>
      <c r="CL20" s="143"/>
      <c r="CM20" s="142"/>
      <c r="CN20" s="142"/>
      <c r="CO20" s="143"/>
      <c r="CP20" s="142"/>
      <c r="CQ20" s="142"/>
      <c r="CR20" s="143"/>
      <c r="CS20" s="142"/>
      <c r="CT20" s="142"/>
      <c r="CU20" s="143"/>
      <c r="CV20" s="142"/>
      <c r="CW20" s="142"/>
      <c r="CX20" s="143"/>
      <c r="CY20" s="142"/>
      <c r="CZ20" s="142"/>
      <c r="DA20" s="143"/>
      <c r="DB20" s="142"/>
      <c r="DC20" s="142"/>
      <c r="DD20" s="143"/>
      <c r="DE20" s="142"/>
      <c r="DF20" s="142"/>
      <c r="DG20" s="143"/>
      <c r="DH20" s="142"/>
      <c r="DI20" s="142"/>
      <c r="DJ20" s="143"/>
      <c r="DK20" s="142"/>
      <c r="DL20" s="142"/>
      <c r="DM20" s="143"/>
      <c r="DN20" s="142"/>
      <c r="DO20" s="142"/>
      <c r="DP20" s="143"/>
      <c r="DQ20" s="142"/>
      <c r="DR20" s="142"/>
      <c r="DS20" s="143"/>
      <c r="DT20" s="142"/>
      <c r="DU20" s="142"/>
      <c r="DV20" s="143"/>
      <c r="DW20" s="142"/>
      <c r="DX20" s="142"/>
      <c r="DY20" s="143"/>
      <c r="DZ20" s="142"/>
      <c r="EA20" s="142"/>
      <c r="EB20" s="143"/>
      <c r="EC20" s="142"/>
      <c r="ED20" s="142"/>
      <c r="EE20" s="143"/>
      <c r="EF20" s="142"/>
      <c r="EG20" s="142"/>
      <c r="EH20" s="143"/>
      <c r="EI20" s="142"/>
      <c r="EJ20" s="142"/>
      <c r="EK20" s="143"/>
      <c r="EL20" s="142"/>
      <c r="EM20" s="142"/>
      <c r="EN20" s="143"/>
      <c r="EO20" s="142"/>
      <c r="EP20" s="142"/>
      <c r="EQ20" s="143"/>
      <c r="ER20" s="142"/>
      <c r="ES20" s="142"/>
      <c r="ET20" s="143"/>
      <c r="EU20" s="142"/>
      <c r="EV20" s="142"/>
      <c r="EW20" s="143"/>
    </row>
    <row r="21" customFormat="false" ht="15" hidden="false" customHeight="true" outlineLevel="0" collapsed="false">
      <c r="A21" s="144" t="s">
        <v>1236</v>
      </c>
      <c r="B21" s="145" t="n">
        <v>46221.9583333333</v>
      </c>
      <c r="C21" s="145" t="n">
        <v>46253</v>
      </c>
      <c r="D21" s="142"/>
      <c r="E21" s="142"/>
      <c r="F21" s="143"/>
      <c r="G21" s="142"/>
      <c r="H21" s="142"/>
      <c r="I21" s="143"/>
      <c r="J21" s="142"/>
      <c r="K21" s="142"/>
      <c r="L21" s="143"/>
      <c r="M21" s="142"/>
      <c r="N21" s="142"/>
      <c r="O21" s="143"/>
      <c r="P21" s="142"/>
      <c r="Q21" s="142"/>
      <c r="R21" s="143"/>
      <c r="S21" s="142"/>
      <c r="T21" s="142"/>
      <c r="U21" s="143"/>
      <c r="V21" s="142"/>
      <c r="W21" s="142"/>
      <c r="X21" s="143"/>
      <c r="Y21" s="142"/>
      <c r="Z21" s="142"/>
      <c r="AA21" s="143"/>
      <c r="AB21" s="142"/>
      <c r="AC21" s="142"/>
      <c r="AD21" s="143"/>
      <c r="AE21" s="142"/>
      <c r="AF21" s="142"/>
      <c r="AG21" s="143"/>
      <c r="AH21" s="142"/>
      <c r="AI21" s="142"/>
      <c r="AJ21" s="143"/>
      <c r="AK21" s="142"/>
      <c r="AL21" s="142"/>
      <c r="AM21" s="143"/>
      <c r="AN21" s="142"/>
      <c r="AO21" s="142"/>
      <c r="AP21" s="143"/>
      <c r="AQ21" s="142"/>
      <c r="AR21" s="142"/>
      <c r="AS21" s="143"/>
      <c r="AT21" s="142"/>
      <c r="AU21" s="142"/>
      <c r="AV21" s="143"/>
      <c r="AW21" s="142"/>
      <c r="AX21" s="142"/>
      <c r="AY21" s="143"/>
      <c r="AZ21" s="142"/>
      <c r="BA21" s="142"/>
      <c r="BB21" s="143"/>
      <c r="BC21" s="142"/>
      <c r="BD21" s="142"/>
      <c r="BE21" s="143"/>
      <c r="BF21" s="142"/>
      <c r="BG21" s="142"/>
      <c r="BH21" s="143"/>
      <c r="BI21" s="142"/>
      <c r="BJ21" s="142"/>
      <c r="BK21" s="143"/>
      <c r="BL21" s="142"/>
      <c r="BM21" s="142"/>
      <c r="BN21" s="143"/>
      <c r="BO21" s="142"/>
      <c r="BP21" s="142"/>
      <c r="BQ21" s="143"/>
      <c r="BR21" s="142"/>
      <c r="BS21" s="142"/>
      <c r="BT21" s="143"/>
      <c r="BU21" s="142"/>
      <c r="BV21" s="142"/>
      <c r="BW21" s="143"/>
      <c r="BX21" s="142"/>
      <c r="BY21" s="142"/>
      <c r="BZ21" s="143"/>
      <c r="CA21" s="142"/>
      <c r="CB21" s="142"/>
      <c r="CC21" s="143"/>
      <c r="CD21" s="142"/>
      <c r="CE21" s="142"/>
      <c r="CF21" s="143"/>
      <c r="CG21" s="142"/>
      <c r="CH21" s="142"/>
      <c r="CI21" s="143"/>
      <c r="CJ21" s="142"/>
      <c r="CK21" s="142"/>
      <c r="CL21" s="143"/>
      <c r="CM21" s="142"/>
      <c r="CN21" s="142"/>
      <c r="CO21" s="143"/>
      <c r="CP21" s="142"/>
      <c r="CQ21" s="142"/>
      <c r="CR21" s="143"/>
      <c r="CS21" s="142"/>
      <c r="CT21" s="142"/>
      <c r="CU21" s="143"/>
      <c r="CV21" s="142" t="s">
        <v>1237</v>
      </c>
      <c r="CW21" s="142"/>
      <c r="CX21" s="143"/>
      <c r="CY21" s="142"/>
      <c r="CZ21" s="142"/>
      <c r="DA21" s="143"/>
      <c r="DB21" s="142"/>
      <c r="DC21" s="142"/>
      <c r="DD21" s="143"/>
      <c r="DE21" s="142"/>
      <c r="DF21" s="142"/>
      <c r="DG21" s="143"/>
      <c r="DH21" s="142"/>
      <c r="DI21" s="142"/>
      <c r="DJ21" s="143"/>
      <c r="DK21" s="142"/>
      <c r="DL21" s="142"/>
      <c r="DM21" s="143"/>
      <c r="DN21" s="142"/>
      <c r="DO21" s="142"/>
      <c r="DP21" s="143"/>
      <c r="DQ21" s="142"/>
      <c r="DR21" s="142"/>
      <c r="DS21" s="143"/>
      <c r="DT21" s="142"/>
      <c r="DU21" s="142"/>
      <c r="DV21" s="143"/>
      <c r="DW21" s="142"/>
      <c r="DX21" s="142"/>
      <c r="DY21" s="143"/>
      <c r="DZ21" s="142"/>
      <c r="EA21" s="142"/>
      <c r="EB21" s="143"/>
      <c r="EC21" s="142"/>
      <c r="ED21" s="142"/>
      <c r="EE21" s="143"/>
      <c r="EF21" s="142"/>
      <c r="EG21" s="142"/>
      <c r="EH21" s="143"/>
      <c r="EI21" s="142"/>
      <c r="EJ21" s="142"/>
      <c r="EK21" s="143"/>
      <c r="EL21" s="142"/>
      <c r="EM21" s="142"/>
      <c r="EN21" s="143"/>
      <c r="EO21" s="142"/>
      <c r="EP21" s="142"/>
      <c r="EQ21" s="143"/>
      <c r="ER21" s="142"/>
      <c r="ES21" s="142"/>
      <c r="ET21" s="143"/>
      <c r="EU21" s="142"/>
      <c r="EV21" s="142"/>
      <c r="EW21" s="143"/>
    </row>
    <row r="22" customFormat="false" ht="15" hidden="false" customHeight="true" outlineLevel="0" collapsed="false">
      <c r="A22" s="144" t="s">
        <v>1238</v>
      </c>
      <c r="B22" s="145" t="n">
        <v>46228</v>
      </c>
      <c r="C22" s="145" t="n">
        <v>46242</v>
      </c>
      <c r="D22" s="142"/>
      <c r="E22" s="142"/>
      <c r="F22" s="143"/>
      <c r="G22" s="142"/>
      <c r="H22" s="142"/>
      <c r="I22" s="143"/>
      <c r="J22" s="142"/>
      <c r="K22" s="142"/>
      <c r="L22" s="143"/>
      <c r="M22" s="142"/>
      <c r="N22" s="142"/>
      <c r="O22" s="143"/>
      <c r="P22" s="142"/>
      <c r="Q22" s="142"/>
      <c r="R22" s="143"/>
      <c r="S22" s="142"/>
      <c r="T22" s="142"/>
      <c r="U22" s="143"/>
      <c r="V22" s="142"/>
      <c r="W22" s="142"/>
      <c r="X22" s="143"/>
      <c r="Y22" s="142"/>
      <c r="Z22" s="142"/>
      <c r="AA22" s="143"/>
      <c r="AB22" s="142"/>
      <c r="AC22" s="142"/>
      <c r="AD22" s="143"/>
      <c r="AE22" s="142"/>
      <c r="AF22" s="142"/>
      <c r="AG22" s="143"/>
      <c r="AH22" s="142"/>
      <c r="AI22" s="142"/>
      <c r="AJ22" s="143"/>
      <c r="AK22" s="142"/>
      <c r="AL22" s="142"/>
      <c r="AM22" s="143"/>
      <c r="AN22" s="142"/>
      <c r="AO22" s="142"/>
      <c r="AP22" s="143"/>
      <c r="AQ22" s="142"/>
      <c r="AR22" s="142"/>
      <c r="AS22" s="143"/>
      <c r="AT22" s="142"/>
      <c r="AU22" s="142"/>
      <c r="AV22" s="143"/>
      <c r="AW22" s="142"/>
      <c r="AX22" s="142"/>
      <c r="AY22" s="143"/>
      <c r="AZ22" s="142"/>
      <c r="BA22" s="142"/>
      <c r="BB22" s="143"/>
      <c r="BC22" s="142"/>
      <c r="BD22" s="142"/>
      <c r="BE22" s="143"/>
      <c r="BF22" s="142"/>
      <c r="BG22" s="142"/>
      <c r="BH22" s="143"/>
      <c r="BI22" s="142"/>
      <c r="BJ22" s="142"/>
      <c r="BK22" s="143"/>
      <c r="BL22" s="142"/>
      <c r="BM22" s="142"/>
      <c r="BN22" s="143"/>
      <c r="BO22" s="142" t="s">
        <v>1239</v>
      </c>
      <c r="BP22" s="142"/>
      <c r="BQ22" s="143"/>
      <c r="BR22" s="142"/>
      <c r="BS22" s="142"/>
      <c r="BT22" s="143"/>
      <c r="BU22" s="142"/>
      <c r="BV22" s="142"/>
      <c r="BW22" s="143"/>
      <c r="BX22" s="142"/>
      <c r="BY22" s="142"/>
      <c r="BZ22" s="143"/>
      <c r="CA22" s="142"/>
      <c r="CB22" s="142"/>
      <c r="CC22" s="143"/>
      <c r="CD22" s="142"/>
      <c r="CE22" s="142"/>
      <c r="CF22" s="143"/>
      <c r="CG22" s="142"/>
      <c r="CH22" s="142"/>
      <c r="CI22" s="143"/>
      <c r="CJ22" s="142"/>
      <c r="CK22" s="142"/>
      <c r="CL22" s="143"/>
      <c r="CM22" s="142"/>
      <c r="CN22" s="142"/>
      <c r="CO22" s="143"/>
      <c r="CP22" s="142"/>
      <c r="CQ22" s="142"/>
      <c r="CR22" s="143"/>
      <c r="CS22" s="142"/>
      <c r="CT22" s="142"/>
      <c r="CU22" s="143"/>
      <c r="CV22" s="142"/>
      <c r="CW22" s="142"/>
      <c r="CX22" s="143"/>
      <c r="CY22" s="142"/>
      <c r="CZ22" s="142"/>
      <c r="DA22" s="143"/>
      <c r="DB22" s="142"/>
      <c r="DC22" s="142"/>
      <c r="DD22" s="143"/>
      <c r="DE22" s="142"/>
      <c r="DF22" s="142"/>
      <c r="DG22" s="143"/>
      <c r="DH22" s="142"/>
      <c r="DI22" s="142"/>
      <c r="DJ22" s="143"/>
      <c r="DK22" s="142"/>
      <c r="DL22" s="142"/>
      <c r="DM22" s="143"/>
      <c r="DN22" s="142"/>
      <c r="DO22" s="142"/>
      <c r="DP22" s="143"/>
      <c r="DQ22" s="142"/>
      <c r="DR22" s="142"/>
      <c r="DS22" s="143"/>
      <c r="DT22" s="142"/>
      <c r="DU22" s="142"/>
      <c r="DV22" s="143"/>
      <c r="DW22" s="142"/>
      <c r="DX22" s="142"/>
      <c r="DY22" s="143"/>
      <c r="DZ22" s="142"/>
      <c r="EA22" s="142"/>
      <c r="EB22" s="143"/>
      <c r="EC22" s="142"/>
      <c r="ED22" s="142"/>
      <c r="EE22" s="143"/>
      <c r="EF22" s="142"/>
      <c r="EG22" s="142"/>
      <c r="EH22" s="143"/>
      <c r="EI22" s="142"/>
      <c r="EJ22" s="142"/>
      <c r="EK22" s="143"/>
      <c r="EL22" s="142"/>
      <c r="EM22" s="142"/>
      <c r="EN22" s="143"/>
      <c r="EO22" s="142"/>
      <c r="EP22" s="142"/>
      <c r="EQ22" s="143"/>
      <c r="ER22" s="142"/>
      <c r="ES22" s="142"/>
      <c r="ET22" s="143"/>
      <c r="EU22" s="142"/>
      <c r="EV22" s="142"/>
      <c r="EW22" s="143"/>
    </row>
    <row r="23" customFormat="false" ht="15" hidden="false" customHeight="true" outlineLevel="0" collapsed="false">
      <c r="A23" s="144" t="s">
        <v>1240</v>
      </c>
      <c r="B23" s="145" t="n">
        <v>46229</v>
      </c>
      <c r="C23" s="145" t="n">
        <v>46239</v>
      </c>
      <c r="D23" s="142"/>
      <c r="E23" s="142"/>
      <c r="F23" s="143"/>
      <c r="G23" s="142"/>
      <c r="H23" s="142"/>
      <c r="I23" s="143"/>
      <c r="J23" s="142"/>
      <c r="K23" s="142"/>
      <c r="L23" s="143"/>
      <c r="M23" s="142"/>
      <c r="N23" s="142"/>
      <c r="O23" s="143"/>
      <c r="P23" s="142"/>
      <c r="Q23" s="142"/>
      <c r="R23" s="143"/>
      <c r="S23" s="142"/>
      <c r="T23" s="142"/>
      <c r="U23" s="143"/>
      <c r="V23" s="142"/>
      <c r="W23" s="142"/>
      <c r="X23" s="143"/>
      <c r="Y23" s="142"/>
      <c r="Z23" s="142"/>
      <c r="AA23" s="143"/>
      <c r="AB23" s="142"/>
      <c r="AC23" s="142"/>
      <c r="AD23" s="143"/>
      <c r="AE23" s="142"/>
      <c r="AF23" s="142"/>
      <c r="AG23" s="143"/>
      <c r="AH23" s="142"/>
      <c r="AI23" s="142"/>
      <c r="AJ23" s="143"/>
      <c r="AK23" s="142"/>
      <c r="AL23" s="142"/>
      <c r="AM23" s="143"/>
      <c r="AN23" s="142"/>
      <c r="AO23" s="142"/>
      <c r="AP23" s="143"/>
      <c r="AQ23" s="142"/>
      <c r="AR23" s="142"/>
      <c r="AS23" s="143"/>
      <c r="AT23" s="142"/>
      <c r="AU23" s="142"/>
      <c r="AV23" s="143"/>
      <c r="AW23" s="142"/>
      <c r="AX23" s="142"/>
      <c r="AY23" s="143"/>
      <c r="AZ23" s="142"/>
      <c r="BA23" s="142"/>
      <c r="BB23" s="143"/>
      <c r="BC23" s="142"/>
      <c r="BD23" s="142"/>
      <c r="BE23" s="143"/>
      <c r="BF23" s="142" t="s">
        <v>1241</v>
      </c>
      <c r="BG23" s="142"/>
      <c r="BH23" s="143"/>
      <c r="BI23" s="142"/>
      <c r="BJ23" s="142"/>
      <c r="BK23" s="143"/>
      <c r="BL23" s="142"/>
      <c r="BM23" s="142"/>
      <c r="BN23" s="143"/>
      <c r="BO23" s="142"/>
      <c r="BP23" s="142"/>
      <c r="BQ23" s="143"/>
      <c r="BR23" s="142"/>
      <c r="BS23" s="142"/>
      <c r="BT23" s="143"/>
      <c r="BU23" s="142"/>
      <c r="BV23" s="142"/>
      <c r="BW23" s="143"/>
      <c r="BX23" s="142"/>
      <c r="BY23" s="142"/>
      <c r="BZ23" s="143"/>
      <c r="CA23" s="142"/>
      <c r="CB23" s="142"/>
      <c r="CC23" s="143"/>
      <c r="CD23" s="142"/>
      <c r="CE23" s="142"/>
      <c r="CF23" s="143"/>
      <c r="CG23" s="142"/>
      <c r="CH23" s="142"/>
      <c r="CI23" s="143"/>
      <c r="CJ23" s="142"/>
      <c r="CK23" s="142"/>
      <c r="CL23" s="143"/>
      <c r="CM23" s="142"/>
      <c r="CN23" s="142"/>
      <c r="CO23" s="143"/>
      <c r="CP23" s="142"/>
      <c r="CQ23" s="142"/>
      <c r="CR23" s="143"/>
      <c r="CS23" s="142"/>
      <c r="CT23" s="142"/>
      <c r="CU23" s="143"/>
      <c r="CV23" s="142"/>
      <c r="CW23" s="142"/>
      <c r="CX23" s="143"/>
      <c r="CY23" s="142"/>
      <c r="CZ23" s="142"/>
      <c r="DA23" s="143"/>
      <c r="DB23" s="142"/>
      <c r="DC23" s="142"/>
      <c r="DD23" s="143"/>
      <c r="DE23" s="142"/>
      <c r="DF23" s="142"/>
      <c r="DG23" s="143"/>
      <c r="DH23" s="142"/>
      <c r="DI23" s="142"/>
      <c r="DJ23" s="143"/>
      <c r="DK23" s="142"/>
      <c r="DL23" s="142"/>
      <c r="DM23" s="143"/>
      <c r="DN23" s="142"/>
      <c r="DO23" s="142"/>
      <c r="DP23" s="143"/>
      <c r="DQ23" s="142"/>
      <c r="DR23" s="142"/>
      <c r="DS23" s="143"/>
      <c r="DT23" s="142"/>
      <c r="DU23" s="142"/>
      <c r="DV23" s="143"/>
      <c r="DW23" s="142"/>
      <c r="DX23" s="142"/>
      <c r="DY23" s="143"/>
      <c r="DZ23" s="142"/>
      <c r="EA23" s="142"/>
      <c r="EB23" s="143"/>
      <c r="EC23" s="142"/>
      <c r="ED23" s="142"/>
      <c r="EE23" s="143"/>
      <c r="EF23" s="142"/>
      <c r="EG23" s="142"/>
      <c r="EH23" s="143"/>
      <c r="EI23" s="142"/>
      <c r="EJ23" s="142"/>
      <c r="EK23" s="143"/>
      <c r="EL23" s="142"/>
      <c r="EM23" s="142"/>
      <c r="EN23" s="143"/>
      <c r="EO23" s="142"/>
      <c r="EP23" s="142"/>
      <c r="EQ23" s="143"/>
      <c r="ER23" s="142"/>
      <c r="ES23" s="142"/>
      <c r="ET23" s="143"/>
      <c r="EU23" s="142"/>
      <c r="EV23" s="142"/>
      <c r="EW23" s="143"/>
    </row>
    <row r="24" customFormat="false" ht="15" hidden="true" customHeight="true" outlineLevel="0" collapsed="false">
      <c r="A24" s="144"/>
      <c r="B24" s="145"/>
      <c r="C24" s="145"/>
      <c r="D24" s="142"/>
      <c r="E24" s="142"/>
      <c r="F24" s="143"/>
      <c r="G24" s="142"/>
      <c r="H24" s="142"/>
      <c r="I24" s="143"/>
      <c r="J24" s="142"/>
      <c r="K24" s="142"/>
      <c r="L24" s="143"/>
      <c r="M24" s="142"/>
      <c r="N24" s="142"/>
      <c r="O24" s="143"/>
      <c r="P24" s="142"/>
      <c r="Q24" s="142"/>
      <c r="R24" s="143"/>
      <c r="S24" s="142"/>
      <c r="T24" s="142"/>
      <c r="U24" s="143"/>
      <c r="V24" s="142"/>
      <c r="W24" s="142"/>
      <c r="X24" s="143"/>
      <c r="Y24" s="142"/>
      <c r="Z24" s="142"/>
      <c r="AA24" s="143"/>
      <c r="AB24" s="142"/>
      <c r="AC24" s="142"/>
      <c r="AD24" s="143"/>
      <c r="AE24" s="142"/>
      <c r="AF24" s="142"/>
      <c r="AG24" s="143"/>
      <c r="AH24" s="142"/>
      <c r="AI24" s="142"/>
      <c r="AJ24" s="143"/>
      <c r="AK24" s="142"/>
      <c r="AL24" s="142"/>
      <c r="AM24" s="143"/>
      <c r="AN24" s="142"/>
      <c r="AO24" s="142"/>
      <c r="AP24" s="143"/>
      <c r="AQ24" s="142"/>
      <c r="AR24" s="142"/>
      <c r="AS24" s="143"/>
      <c r="AT24" s="142"/>
      <c r="AU24" s="142"/>
      <c r="AV24" s="143"/>
      <c r="AW24" s="142"/>
      <c r="AX24" s="142"/>
      <c r="AY24" s="143"/>
      <c r="AZ24" s="142"/>
      <c r="BA24" s="142"/>
      <c r="BB24" s="143"/>
      <c r="BC24" s="142"/>
      <c r="BD24" s="142"/>
      <c r="BE24" s="143"/>
      <c r="BF24" s="142"/>
      <c r="BG24" s="142"/>
      <c r="BH24" s="143"/>
      <c r="BI24" s="142"/>
      <c r="BJ24" s="142"/>
      <c r="BK24" s="143"/>
      <c r="BL24" s="142"/>
      <c r="BM24" s="142"/>
      <c r="BN24" s="143"/>
      <c r="BO24" s="142"/>
      <c r="BP24" s="142"/>
      <c r="BQ24" s="143"/>
      <c r="BR24" s="142"/>
      <c r="BS24" s="142"/>
      <c r="BT24" s="143"/>
      <c r="BU24" s="142"/>
      <c r="BV24" s="142"/>
      <c r="BW24" s="143"/>
      <c r="BX24" s="142"/>
      <c r="BY24" s="142"/>
      <c r="BZ24" s="143"/>
      <c r="CA24" s="142"/>
      <c r="CB24" s="142"/>
      <c r="CC24" s="143"/>
      <c r="CD24" s="142"/>
      <c r="CE24" s="142"/>
      <c r="CF24" s="143"/>
      <c r="CG24" s="142"/>
      <c r="CH24" s="142"/>
      <c r="CI24" s="143"/>
      <c r="CJ24" s="142"/>
      <c r="CK24" s="142"/>
      <c r="CL24" s="143"/>
      <c r="CM24" s="142"/>
      <c r="CN24" s="142"/>
      <c r="CO24" s="143"/>
      <c r="CP24" s="142"/>
      <c r="CQ24" s="142"/>
      <c r="CR24" s="143"/>
      <c r="CS24" s="142"/>
      <c r="CT24" s="142"/>
      <c r="CU24" s="143"/>
      <c r="CV24" s="142"/>
      <c r="CW24" s="142"/>
      <c r="CX24" s="143"/>
      <c r="CY24" s="142"/>
      <c r="CZ24" s="142"/>
      <c r="DA24" s="143"/>
      <c r="DB24" s="142"/>
      <c r="DC24" s="142"/>
      <c r="DD24" s="143"/>
      <c r="DE24" s="142"/>
      <c r="DF24" s="142"/>
      <c r="DG24" s="143"/>
      <c r="DH24" s="142"/>
      <c r="DI24" s="142"/>
      <c r="DJ24" s="143"/>
      <c r="DK24" s="142"/>
      <c r="DL24" s="142"/>
      <c r="DM24" s="143"/>
      <c r="DN24" s="142"/>
      <c r="DO24" s="142"/>
      <c r="DP24" s="143"/>
      <c r="DQ24" s="142"/>
      <c r="DR24" s="142"/>
      <c r="DS24" s="143"/>
      <c r="DT24" s="142"/>
      <c r="DU24" s="142"/>
      <c r="DV24" s="143"/>
      <c r="DW24" s="142"/>
      <c r="DX24" s="142"/>
      <c r="DY24" s="143"/>
      <c r="DZ24" s="142"/>
      <c r="EA24" s="142"/>
      <c r="EB24" s="143"/>
      <c r="EC24" s="142"/>
      <c r="ED24" s="142"/>
      <c r="EE24" s="143"/>
      <c r="EF24" s="142"/>
      <c r="EG24" s="142"/>
      <c r="EH24" s="143"/>
      <c r="EI24" s="142"/>
      <c r="EJ24" s="142"/>
      <c r="EK24" s="143"/>
      <c r="EL24" s="142"/>
      <c r="EM24" s="142"/>
      <c r="EN24" s="143"/>
      <c r="EO24" s="142"/>
      <c r="EP24" s="142"/>
      <c r="EQ24" s="143"/>
      <c r="ER24" s="142"/>
      <c r="ES24" s="142"/>
      <c r="ET24" s="143"/>
      <c r="EU24" s="142"/>
      <c r="EV24" s="142"/>
      <c r="EW24" s="143"/>
    </row>
    <row r="25" customFormat="false" ht="15" hidden="false" customHeight="true" outlineLevel="0" collapsed="false">
      <c r="A25" s="148" t="s">
        <v>1242</v>
      </c>
      <c r="B25" s="149" t="n">
        <v>46244</v>
      </c>
      <c r="C25" s="149"/>
      <c r="D25" s="150" t="str">
        <f aca="false">IF((DASHBOARD!$M$1+INT((COLUMN()-4)/3))=INT($B$25),"◆ "&amp;TEXT($B$25,"D-MMM"),"")</f>
        <v/>
      </c>
      <c r="E25" s="142"/>
      <c r="F25" s="143"/>
      <c r="G25" s="150" t="str">
        <f aca="false">IF((DASHBOARD!$M$1+INT((COLUMN()-4)/3))=INT($B$25),"◆ "&amp;TEXT($B$25,"D-MMM"),"")</f>
        <v/>
      </c>
      <c r="H25" s="142"/>
      <c r="I25" s="143"/>
      <c r="J25" s="150" t="str">
        <f aca="false">IF((DASHBOARD!$M$1+INT((COLUMN()-4)/3))=INT($B$25),"◆ "&amp;TEXT($B$25,"D-MMM"),"")</f>
        <v/>
      </c>
      <c r="K25" s="142"/>
      <c r="L25" s="143"/>
      <c r="M25" s="150" t="str">
        <f aca="false">IF((DASHBOARD!$M$1+INT((COLUMN()-4)/3))=INT($B$25),"◆ "&amp;TEXT($B$25,"D-MMM"),"")</f>
        <v/>
      </c>
      <c r="N25" s="142"/>
      <c r="O25" s="143"/>
      <c r="P25" s="150" t="str">
        <f aca="false">IF((DASHBOARD!$M$1+INT((COLUMN()-4)/3))=INT($B$25),"◆ "&amp;TEXT($B$25,"D-MMM"),"")</f>
        <v/>
      </c>
      <c r="Q25" s="142"/>
      <c r="R25" s="143"/>
      <c r="S25" s="150" t="str">
        <f aca="false">IF((DASHBOARD!$M$1+INT((COLUMN()-4)/3))=INT($B$25),"◆ "&amp;TEXT($B$25,"D-MMM"),"")</f>
        <v/>
      </c>
      <c r="T25" s="142"/>
      <c r="U25" s="143"/>
      <c r="V25" s="150" t="str">
        <f aca="false">IF((DASHBOARD!$M$1+INT((COLUMN()-4)/3))=INT($B$25),"◆ "&amp;TEXT($B$25,"D-MMM"),"")</f>
        <v/>
      </c>
      <c r="W25" s="142"/>
      <c r="X25" s="143"/>
      <c r="Y25" s="150" t="str">
        <f aca="false">IF((DASHBOARD!$M$1+INT((COLUMN()-4)/3))=INT($B$25),"◆ "&amp;TEXT($B$25,"D-MMM"),"")</f>
        <v/>
      </c>
      <c r="Z25" s="142"/>
      <c r="AA25" s="143"/>
      <c r="AB25" s="150" t="str">
        <f aca="false">IF((DASHBOARD!$M$1+INT((COLUMN()-4)/3))=INT($B$25),"◆ "&amp;TEXT($B$25,"D-MMM"),"")</f>
        <v/>
      </c>
      <c r="AC25" s="142"/>
      <c r="AD25" s="143"/>
      <c r="AE25" s="150" t="str">
        <f aca="false">IF((DASHBOARD!$M$1+INT((COLUMN()-4)/3))=INT($B$25),"◆ "&amp;TEXT($B$25,"D-MMM"),"")</f>
        <v/>
      </c>
      <c r="AF25" s="142"/>
      <c r="AG25" s="143"/>
      <c r="AH25" s="150" t="str">
        <f aca="false">IF((DASHBOARD!$M$1+INT((COLUMN()-4)/3))=INT($B$25),"◆ "&amp;TEXT($B$25,"D-MMM"),"")</f>
        <v/>
      </c>
      <c r="AI25" s="142"/>
      <c r="AJ25" s="143"/>
      <c r="AK25" s="150" t="str">
        <f aca="false">IF((DASHBOARD!$M$1+INT((COLUMN()-4)/3))=INT($B$25),"◆ "&amp;TEXT($B$25,"D-MMM"),"")</f>
        <v/>
      </c>
      <c r="AL25" s="142"/>
      <c r="AM25" s="143"/>
      <c r="AN25" s="150" t="str">
        <f aca="false">IF((DASHBOARD!$M$1+INT((COLUMN()-4)/3))=INT($B$25),"◆ "&amp;TEXT($B$25,"D-MMM"),"")</f>
        <v/>
      </c>
      <c r="AO25" s="142"/>
      <c r="AP25" s="143"/>
      <c r="AQ25" s="150" t="str">
        <f aca="false">IF((DASHBOARD!$M$1+INT((COLUMN()-4)/3))=INT($B$25),"◆ "&amp;TEXT($B$25,"D-MMM"),"")</f>
        <v/>
      </c>
      <c r="AR25" s="142"/>
      <c r="AS25" s="143"/>
      <c r="AT25" s="150" t="str">
        <f aca="false">IF((DASHBOARD!$M$1+INT((COLUMN()-4)/3))=INT($B$25),"◆ "&amp;TEXT($B$25,"D-MMM"),"")</f>
        <v/>
      </c>
      <c r="AU25" s="142"/>
      <c r="AV25" s="143"/>
      <c r="AW25" s="150" t="str">
        <f aca="false">IF((DASHBOARD!$M$1+INT((COLUMN()-4)/3))=INT($B$25),"◆ "&amp;TEXT($B$25,"D-MMM"),"")</f>
        <v/>
      </c>
      <c r="AX25" s="142"/>
      <c r="AY25" s="143"/>
      <c r="AZ25" s="150" t="str">
        <f aca="false">IF((DASHBOARD!$M$1+INT((COLUMN()-4)/3))=INT($B$25),"◆ "&amp;TEXT($B$25,"D-MMM"),"")</f>
        <v/>
      </c>
      <c r="BA25" s="142"/>
      <c r="BB25" s="143"/>
      <c r="BC25" s="150" t="str">
        <f aca="false">IF((DASHBOARD!$M$1+INT((COLUMN()-4)/3))=INT($B$25),"◆ "&amp;TEXT($B$25,"D-MMM"),"")</f>
        <v/>
      </c>
      <c r="BD25" s="142"/>
      <c r="BE25" s="143"/>
      <c r="BF25" s="150" t="str">
        <f aca="false">IF((DASHBOARD!$M$1+INT((COLUMN()-4)/3))=INT($B$25),"◆ "&amp;TEXT($B$25,"D-MMM"),"")</f>
        <v/>
      </c>
      <c r="BG25" s="142"/>
      <c r="BH25" s="143"/>
      <c r="BI25" s="150" t="str">
        <f aca="false">IF((DASHBOARD!$M$1+INT((COLUMN()-4)/3))=INT($B$25),"◆ "&amp;TEXT($B$25,"D-MMM"),"")</f>
        <v/>
      </c>
      <c r="BJ25" s="142"/>
      <c r="BK25" s="143"/>
      <c r="BL25" s="150" t="str">
        <f aca="false">IF((DASHBOARD!$M$1+INT((COLUMN()-4)/3))=INT($B$25),"◆ "&amp;TEXT($B$25,"D-MMM"),"")</f>
        <v/>
      </c>
      <c r="BM25" s="142"/>
      <c r="BN25" s="143"/>
      <c r="BO25" s="150" t="str">
        <f aca="false">IF((DASHBOARD!$M$1+INT((COLUMN()-4)/3))=INT($B$25),"◆ "&amp;TEXT($B$25,"D-MMM"),"")</f>
        <v/>
      </c>
      <c r="BP25" s="142"/>
      <c r="BQ25" s="143"/>
      <c r="BR25" s="150" t="str">
        <f aca="false">IF((DASHBOARD!$M$1+INT((COLUMN()-4)/3))=INT($B$25),"◆ "&amp;TEXT($B$25,"D-MMM"),"")</f>
        <v/>
      </c>
      <c r="BS25" s="142"/>
      <c r="BT25" s="143"/>
      <c r="BU25" s="150" t="str">
        <f aca="false">IF((DASHBOARD!$M$1+INT((COLUMN()-4)/3))=INT($B$25),"◆ "&amp;TEXT($B$25,"D-MMM"),"")</f>
        <v>◆ 10-Aug</v>
      </c>
      <c r="BV25" s="142"/>
      <c r="BW25" s="143"/>
      <c r="BX25" s="150" t="str">
        <f aca="false">IF((DASHBOARD!$M$1+INT((COLUMN()-4)/3))=INT($B$25),"◆ "&amp;TEXT($B$25,"D-MMM"),"")</f>
        <v/>
      </c>
      <c r="BY25" s="142"/>
      <c r="BZ25" s="143"/>
      <c r="CA25" s="150" t="str">
        <f aca="false">IF((DASHBOARD!$M$1+INT((COLUMN()-4)/3))=INT($B$25),"◆ "&amp;TEXT($B$25,"D-MMM"),"")</f>
        <v/>
      </c>
      <c r="CB25" s="142"/>
      <c r="CC25" s="143"/>
      <c r="CD25" s="150" t="str">
        <f aca="false">IF((DASHBOARD!$M$1+INT((COLUMN()-4)/3))=INT($B$25),"◆ "&amp;TEXT($B$25,"D-MMM"),"")</f>
        <v/>
      </c>
      <c r="CE25" s="142"/>
      <c r="CF25" s="143"/>
      <c r="CG25" s="150" t="str">
        <f aca="false">IF((DASHBOARD!$M$1+INT((COLUMN()-4)/3))=INT($B$25),"◆ "&amp;TEXT($B$25,"D-MMM"),"")</f>
        <v/>
      </c>
      <c r="CH25" s="142"/>
      <c r="CI25" s="143"/>
      <c r="CJ25" s="150" t="str">
        <f aca="false">IF((DASHBOARD!$M$1+INT((COLUMN()-4)/3))=INT($B$25),"◆ "&amp;TEXT($B$25,"D-MMM"),"")</f>
        <v/>
      </c>
      <c r="CK25" s="142"/>
      <c r="CL25" s="143"/>
      <c r="CM25" s="150" t="str">
        <f aca="false">IF((DASHBOARD!$M$1+INT((COLUMN()-4)/3))=INT($B$25),"◆ "&amp;TEXT($B$25,"D-MMM"),"")</f>
        <v/>
      </c>
      <c r="CN25" s="142"/>
      <c r="CO25" s="143"/>
      <c r="CP25" s="150" t="str">
        <f aca="false">IF((DASHBOARD!$M$1+INT((COLUMN()-4)/3))=INT($B$25),"◆ "&amp;TEXT($B$25,"D-MMM"),"")</f>
        <v/>
      </c>
      <c r="CQ25" s="142"/>
      <c r="CR25" s="143"/>
      <c r="CS25" s="150" t="str">
        <f aca="false">IF((DASHBOARD!$M$1+INT((COLUMN()-4)/3))=INT($B$25),"◆ "&amp;TEXT($B$25,"D-MMM"),"")</f>
        <v/>
      </c>
      <c r="CT25" s="142"/>
      <c r="CU25" s="143"/>
      <c r="CV25" s="150" t="str">
        <f aca="false">IF((DASHBOARD!$M$1+INT((COLUMN()-4)/3))=INT($B$25),"◆ "&amp;TEXT($B$25,"D-MMM"),"")</f>
        <v/>
      </c>
      <c r="CW25" s="142"/>
      <c r="CX25" s="143"/>
      <c r="CY25" s="150" t="str">
        <f aca="false">IF((DASHBOARD!$M$1+INT((COLUMN()-4)/3))=INT($B$25),"◆ "&amp;TEXT($B$25,"D-MMM"),"")</f>
        <v/>
      </c>
      <c r="CZ25" s="142"/>
      <c r="DA25" s="143"/>
      <c r="DB25" s="150" t="str">
        <f aca="false">IF((DASHBOARD!$M$1+INT((COLUMN()-4)/3))=INT($B$25),"◆ "&amp;TEXT($B$25,"D-MMM"),"")</f>
        <v/>
      </c>
      <c r="DC25" s="142"/>
      <c r="DD25" s="143"/>
      <c r="DE25" s="150" t="str">
        <f aca="false">IF((DASHBOARD!$M$1+INT((COLUMN()-4)/3))=INT($B$25),"◆ "&amp;TEXT($B$25,"D-MMM"),"")</f>
        <v/>
      </c>
      <c r="DF25" s="142"/>
      <c r="DG25" s="143"/>
      <c r="DH25" s="150" t="str">
        <f aca="false">IF((DASHBOARD!$M$1+INT((COLUMN()-4)/3))=INT($B$25),"◆ "&amp;TEXT($B$25,"D-MMM"),"")</f>
        <v/>
      </c>
      <c r="DI25" s="142"/>
      <c r="DJ25" s="143"/>
      <c r="DK25" s="150" t="str">
        <f aca="false">IF((DASHBOARD!$M$1+INT((COLUMN()-4)/3))=INT($B$25),"◆ "&amp;TEXT($B$25,"D-MMM"),"")</f>
        <v/>
      </c>
      <c r="DL25" s="142"/>
      <c r="DM25" s="143"/>
      <c r="DN25" s="150" t="str">
        <f aca="false">IF((DASHBOARD!$M$1+INT((COLUMN()-4)/3))=INT($B$25),"◆ "&amp;TEXT($B$25,"D-MMM"),"")</f>
        <v/>
      </c>
      <c r="DO25" s="142"/>
      <c r="DP25" s="143"/>
      <c r="DQ25" s="150" t="str">
        <f aca="false">IF((DASHBOARD!$M$1+INT((COLUMN()-4)/3))=INT($B$25),"◆ "&amp;TEXT($B$25,"D-MMM"),"")</f>
        <v/>
      </c>
      <c r="DR25" s="142"/>
      <c r="DS25" s="143"/>
      <c r="DT25" s="150" t="str">
        <f aca="false">IF((DASHBOARD!$M$1+INT((COLUMN()-4)/3))=INT($B$25),"◆ "&amp;TEXT($B$25,"D-MMM"),"")</f>
        <v/>
      </c>
      <c r="DU25" s="142"/>
      <c r="DV25" s="143"/>
      <c r="DW25" s="150" t="str">
        <f aca="false">IF((DASHBOARD!$M$1+INT((COLUMN()-4)/3))=INT($B$25),"◆ "&amp;TEXT($B$25,"D-MMM"),"")</f>
        <v/>
      </c>
      <c r="DX25" s="142"/>
      <c r="DY25" s="143"/>
      <c r="DZ25" s="150" t="str">
        <f aca="false">IF((DASHBOARD!$M$1+INT((COLUMN()-4)/3))=INT($B$25),"◆ "&amp;TEXT($B$25,"D-MMM"),"")</f>
        <v/>
      </c>
      <c r="EA25" s="142"/>
      <c r="EB25" s="143"/>
      <c r="EC25" s="150" t="str">
        <f aca="false">IF((DASHBOARD!$M$1+INT((COLUMN()-4)/3))=INT($B$25),"◆ "&amp;TEXT($B$25,"D-MMM"),"")</f>
        <v/>
      </c>
      <c r="ED25" s="142"/>
      <c r="EE25" s="143"/>
      <c r="EF25" s="150" t="str">
        <f aca="false">IF((DASHBOARD!$M$1+INT((COLUMN()-4)/3))=INT($B$25),"◆ "&amp;TEXT($B$25,"D-MMM"),"")</f>
        <v/>
      </c>
      <c r="EG25" s="142"/>
      <c r="EH25" s="143"/>
      <c r="EI25" s="150" t="str">
        <f aca="false">IF((DASHBOARD!$M$1+INT((COLUMN()-4)/3))=INT($B$25),"◆ "&amp;TEXT($B$25,"D-MMM"),"")</f>
        <v/>
      </c>
      <c r="EJ25" s="142"/>
      <c r="EK25" s="143"/>
      <c r="EL25" s="150" t="str">
        <f aca="false">IF((DASHBOARD!$M$1+INT((COLUMN()-4)/3))=INT($B$25),"◆ "&amp;TEXT($B$25,"D-MMM"),"")</f>
        <v/>
      </c>
      <c r="EM25" s="142"/>
      <c r="EN25" s="143"/>
      <c r="EO25" s="150" t="str">
        <f aca="false">IF((DASHBOARD!$M$1+INT((COLUMN()-4)/3))=INT($B$25),"◆ "&amp;TEXT($B$25,"D-MMM"),"")</f>
        <v/>
      </c>
      <c r="EP25" s="142"/>
      <c r="EQ25" s="143"/>
      <c r="ER25" s="150" t="str">
        <f aca="false">IF((DASHBOARD!$M$1+INT((COLUMN()-4)/3))=INT($B$25),"◆ "&amp;TEXT($B$25,"D-MMM"),"")</f>
        <v/>
      </c>
      <c r="ES25" s="142"/>
      <c r="ET25" s="143"/>
      <c r="EU25" s="150" t="str">
        <f aca="false">IF((DASHBOARD!$M$1+INT((COLUMN()-4)/3))=INT($B$25),"◆ "&amp;TEXT($B$25,"D-MMM"),"")</f>
        <v/>
      </c>
      <c r="EV25" s="142"/>
      <c r="EW25" s="143"/>
    </row>
    <row r="26" customFormat="false" ht="15" hidden="false" customHeight="true" outlineLevel="0" collapsed="false">
      <c r="A26" s="141" t="s">
        <v>1243</v>
      </c>
      <c r="B26" s="141"/>
      <c r="C26" s="141"/>
      <c r="D26" s="142"/>
      <c r="E26" s="142"/>
      <c r="F26" s="143"/>
      <c r="G26" s="142"/>
      <c r="H26" s="142"/>
      <c r="I26" s="143"/>
      <c r="J26" s="142"/>
      <c r="K26" s="142"/>
      <c r="L26" s="143"/>
      <c r="M26" s="142"/>
      <c r="N26" s="142"/>
      <c r="O26" s="143"/>
      <c r="P26" s="142"/>
      <c r="Q26" s="142"/>
      <c r="R26" s="143"/>
      <c r="S26" s="142"/>
      <c r="T26" s="142"/>
      <c r="U26" s="143"/>
      <c r="V26" s="142"/>
      <c r="W26" s="142"/>
      <c r="X26" s="143"/>
      <c r="Y26" s="142"/>
      <c r="Z26" s="142"/>
      <c r="AA26" s="143"/>
      <c r="AB26" s="142"/>
      <c r="AC26" s="142"/>
      <c r="AD26" s="143"/>
      <c r="AE26" s="142"/>
      <c r="AF26" s="142"/>
      <c r="AG26" s="143"/>
      <c r="AH26" s="142"/>
      <c r="AI26" s="142"/>
      <c r="AJ26" s="143"/>
      <c r="AK26" s="142"/>
      <c r="AL26" s="142"/>
      <c r="AM26" s="143"/>
      <c r="AN26" s="142"/>
      <c r="AO26" s="142"/>
      <c r="AP26" s="143"/>
      <c r="AQ26" s="142"/>
      <c r="AR26" s="142"/>
      <c r="AS26" s="143"/>
      <c r="AT26" s="142"/>
      <c r="AU26" s="142"/>
      <c r="AV26" s="143"/>
      <c r="AW26" s="142"/>
      <c r="AX26" s="142"/>
      <c r="AY26" s="143"/>
      <c r="AZ26" s="142"/>
      <c r="BA26" s="142"/>
      <c r="BB26" s="143"/>
      <c r="BC26" s="142"/>
      <c r="BD26" s="142"/>
      <c r="BE26" s="143"/>
      <c r="BF26" s="142"/>
      <c r="BG26" s="142"/>
      <c r="BH26" s="143"/>
      <c r="BI26" s="142"/>
      <c r="BJ26" s="142"/>
      <c r="BK26" s="143"/>
      <c r="BL26" s="142"/>
      <c r="BM26" s="142"/>
      <c r="BN26" s="143"/>
      <c r="BO26" s="142"/>
      <c r="BP26" s="142"/>
      <c r="BQ26" s="143"/>
      <c r="BR26" s="142"/>
      <c r="BS26" s="142"/>
      <c r="BT26" s="143"/>
      <c r="BU26" s="142"/>
      <c r="BV26" s="142"/>
      <c r="BW26" s="143"/>
      <c r="BX26" s="142"/>
      <c r="BY26" s="142"/>
      <c r="BZ26" s="143"/>
      <c r="CA26" s="142"/>
      <c r="CB26" s="142"/>
      <c r="CC26" s="143"/>
      <c r="CD26" s="142"/>
      <c r="CE26" s="142"/>
      <c r="CF26" s="143"/>
      <c r="CG26" s="142"/>
      <c r="CH26" s="142"/>
      <c r="CI26" s="143"/>
      <c r="CJ26" s="142"/>
      <c r="CK26" s="142"/>
      <c r="CL26" s="143"/>
      <c r="CM26" s="142"/>
      <c r="CN26" s="142"/>
      <c r="CO26" s="143"/>
      <c r="CP26" s="142"/>
      <c r="CQ26" s="142"/>
      <c r="CR26" s="143"/>
      <c r="CS26" s="142"/>
      <c r="CT26" s="142"/>
      <c r="CU26" s="143"/>
      <c r="CV26" s="142"/>
      <c r="CW26" s="142"/>
      <c r="CX26" s="143"/>
      <c r="CY26" s="142"/>
      <c r="CZ26" s="142"/>
      <c r="DA26" s="143"/>
      <c r="DB26" s="142"/>
      <c r="DC26" s="142"/>
      <c r="DD26" s="143"/>
      <c r="DE26" s="142"/>
      <c r="DF26" s="142"/>
      <c r="DG26" s="143"/>
      <c r="DH26" s="142"/>
      <c r="DI26" s="142"/>
      <c r="DJ26" s="143"/>
      <c r="DK26" s="142"/>
      <c r="DL26" s="142"/>
      <c r="DM26" s="143"/>
      <c r="DN26" s="142"/>
      <c r="DO26" s="142"/>
      <c r="DP26" s="143"/>
      <c r="DQ26" s="142"/>
      <c r="DR26" s="142"/>
      <c r="DS26" s="143"/>
      <c r="DT26" s="142"/>
      <c r="DU26" s="142"/>
      <c r="DV26" s="143"/>
      <c r="DW26" s="142"/>
      <c r="DX26" s="142"/>
      <c r="DY26" s="143"/>
      <c r="DZ26" s="142"/>
      <c r="EA26" s="142"/>
      <c r="EB26" s="143"/>
      <c r="EC26" s="142"/>
      <c r="ED26" s="142"/>
      <c r="EE26" s="143"/>
      <c r="EF26" s="142"/>
      <c r="EG26" s="142"/>
      <c r="EH26" s="143"/>
      <c r="EI26" s="142"/>
      <c r="EJ26" s="142"/>
      <c r="EK26" s="143"/>
      <c r="EL26" s="142"/>
      <c r="EM26" s="142"/>
      <c r="EN26" s="143"/>
      <c r="EO26" s="142"/>
      <c r="EP26" s="142"/>
      <c r="EQ26" s="143"/>
      <c r="ER26" s="142"/>
      <c r="ES26" s="142"/>
      <c r="ET26" s="143"/>
      <c r="EU26" s="142"/>
      <c r="EV26" s="142"/>
      <c r="EW26" s="143"/>
    </row>
    <row r="27" customFormat="false" ht="15" hidden="true" customHeight="true" outlineLevel="0" collapsed="false">
      <c r="A27" s="144" t="s">
        <v>1244</v>
      </c>
      <c r="B27" s="145"/>
      <c r="C27" s="145"/>
      <c r="D27" s="142"/>
      <c r="E27" s="142"/>
      <c r="F27" s="143"/>
      <c r="G27" s="142"/>
      <c r="H27" s="142"/>
      <c r="I27" s="143"/>
      <c r="J27" s="142"/>
      <c r="K27" s="142"/>
      <c r="L27" s="143"/>
      <c r="M27" s="142"/>
      <c r="N27" s="142"/>
      <c r="O27" s="143"/>
      <c r="P27" s="142"/>
      <c r="Q27" s="142"/>
      <c r="R27" s="143"/>
      <c r="S27" s="142"/>
      <c r="T27" s="142"/>
      <c r="U27" s="143"/>
      <c r="V27" s="142"/>
      <c r="W27" s="142"/>
      <c r="X27" s="143"/>
      <c r="Y27" s="142"/>
      <c r="Z27" s="142"/>
      <c r="AA27" s="143"/>
      <c r="AB27" s="142"/>
      <c r="AC27" s="142"/>
      <c r="AD27" s="143"/>
      <c r="AE27" s="142"/>
      <c r="AF27" s="142"/>
      <c r="AG27" s="143"/>
      <c r="AH27" s="142"/>
      <c r="AI27" s="142"/>
      <c r="AJ27" s="143"/>
      <c r="AK27" s="142"/>
      <c r="AL27" s="142"/>
      <c r="AM27" s="143"/>
      <c r="AN27" s="142"/>
      <c r="AO27" s="142"/>
      <c r="AP27" s="143"/>
      <c r="AQ27" s="142"/>
      <c r="AR27" s="142"/>
      <c r="AS27" s="143"/>
      <c r="AT27" s="142"/>
      <c r="AU27" s="142"/>
      <c r="AV27" s="143"/>
      <c r="AW27" s="142"/>
      <c r="AX27" s="142"/>
      <c r="AY27" s="143"/>
      <c r="AZ27" s="142"/>
      <c r="BA27" s="142"/>
      <c r="BB27" s="143"/>
      <c r="BC27" s="142"/>
      <c r="BD27" s="142"/>
      <c r="BE27" s="143"/>
      <c r="BF27" s="142"/>
      <c r="BG27" s="142"/>
      <c r="BH27" s="143"/>
      <c r="BI27" s="142"/>
      <c r="BJ27" s="142"/>
      <c r="BK27" s="143"/>
      <c r="BL27" s="142"/>
      <c r="BM27" s="142"/>
      <c r="BN27" s="143"/>
      <c r="BO27" s="142"/>
      <c r="BP27" s="142"/>
      <c r="BQ27" s="143"/>
      <c r="BR27" s="142"/>
      <c r="BS27" s="142"/>
      <c r="BT27" s="143"/>
      <c r="BU27" s="142"/>
      <c r="BV27" s="142"/>
      <c r="BW27" s="143"/>
      <c r="BX27" s="142"/>
      <c r="BY27" s="142"/>
      <c r="BZ27" s="143"/>
      <c r="CA27" s="142"/>
      <c r="CB27" s="142"/>
      <c r="CC27" s="143"/>
      <c r="CD27" s="142"/>
      <c r="CE27" s="142"/>
      <c r="CF27" s="143"/>
      <c r="CG27" s="142"/>
      <c r="CH27" s="142"/>
      <c r="CI27" s="143"/>
      <c r="CJ27" s="142"/>
      <c r="CK27" s="142"/>
      <c r="CL27" s="143"/>
      <c r="CM27" s="142"/>
      <c r="CN27" s="142"/>
      <c r="CO27" s="143"/>
      <c r="CP27" s="142"/>
      <c r="CQ27" s="142"/>
      <c r="CR27" s="143"/>
      <c r="CS27" s="142"/>
      <c r="CT27" s="142"/>
      <c r="CU27" s="143"/>
      <c r="CV27" s="142"/>
      <c r="CW27" s="142"/>
      <c r="CX27" s="143"/>
      <c r="CY27" s="142"/>
      <c r="CZ27" s="142"/>
      <c r="DA27" s="143"/>
      <c r="DB27" s="142"/>
      <c r="DC27" s="142"/>
      <c r="DD27" s="143"/>
      <c r="DE27" s="142"/>
      <c r="DF27" s="142"/>
      <c r="DG27" s="143"/>
      <c r="DH27" s="142"/>
      <c r="DI27" s="142"/>
      <c r="DJ27" s="143"/>
      <c r="DK27" s="142"/>
      <c r="DL27" s="142"/>
      <c r="DM27" s="143"/>
      <c r="DN27" s="142"/>
      <c r="DO27" s="142"/>
      <c r="DP27" s="143"/>
      <c r="DQ27" s="142"/>
      <c r="DR27" s="142"/>
      <c r="DS27" s="143"/>
      <c r="DT27" s="142"/>
      <c r="DU27" s="142"/>
      <c r="DV27" s="143"/>
      <c r="DW27" s="142"/>
      <c r="DX27" s="142"/>
      <c r="DY27" s="143"/>
      <c r="DZ27" s="142"/>
      <c r="EA27" s="142"/>
      <c r="EB27" s="143"/>
      <c r="EC27" s="142"/>
      <c r="ED27" s="142"/>
      <c r="EE27" s="143"/>
      <c r="EF27" s="142"/>
      <c r="EG27" s="142"/>
      <c r="EH27" s="143"/>
      <c r="EI27" s="142"/>
      <c r="EJ27" s="142"/>
      <c r="EK27" s="143"/>
      <c r="EL27" s="142"/>
      <c r="EM27" s="142"/>
      <c r="EN27" s="143"/>
      <c r="EO27" s="142"/>
      <c r="EP27" s="142"/>
      <c r="EQ27" s="143"/>
      <c r="ER27" s="142"/>
      <c r="ES27" s="142"/>
      <c r="ET27" s="143"/>
      <c r="EU27" s="142"/>
      <c r="EV27" s="142"/>
      <c r="EW27" s="143"/>
    </row>
    <row r="28" customFormat="false" ht="15" hidden="false" customHeight="true" outlineLevel="0" collapsed="false">
      <c r="A28" s="144" t="s">
        <v>1245</v>
      </c>
      <c r="B28" s="145" t="n">
        <v>46248</v>
      </c>
      <c r="C28" s="145" t="n">
        <v>46253</v>
      </c>
      <c r="D28" s="142"/>
      <c r="E28" s="142"/>
      <c r="F28" s="143"/>
      <c r="G28" s="142"/>
      <c r="H28" s="142"/>
      <c r="I28" s="143"/>
      <c r="J28" s="142"/>
      <c r="K28" s="142"/>
      <c r="L28" s="143"/>
      <c r="M28" s="142"/>
      <c r="N28" s="142"/>
      <c r="O28" s="143"/>
      <c r="P28" s="142"/>
      <c r="Q28" s="142"/>
      <c r="R28" s="143"/>
      <c r="S28" s="142"/>
      <c r="T28" s="142"/>
      <c r="U28" s="143"/>
      <c r="V28" s="142"/>
      <c r="W28" s="142"/>
      <c r="X28" s="143"/>
      <c r="Y28" s="142"/>
      <c r="Z28" s="142"/>
      <c r="AA28" s="143"/>
      <c r="AB28" s="142"/>
      <c r="AC28" s="142"/>
      <c r="AD28" s="143"/>
      <c r="AE28" s="142"/>
      <c r="AF28" s="142"/>
      <c r="AG28" s="143"/>
      <c r="AH28" s="142"/>
      <c r="AI28" s="142"/>
      <c r="AJ28" s="143"/>
      <c r="AK28" s="142"/>
      <c r="AL28" s="142"/>
      <c r="AM28" s="143"/>
      <c r="AN28" s="142"/>
      <c r="AO28" s="142"/>
      <c r="AP28" s="143"/>
      <c r="AQ28" s="142"/>
      <c r="AR28" s="142"/>
      <c r="AS28" s="143"/>
      <c r="AT28" s="142"/>
      <c r="AU28" s="142"/>
      <c r="AV28" s="143"/>
      <c r="AW28" s="142"/>
      <c r="AX28" s="142"/>
      <c r="AY28" s="143"/>
      <c r="AZ28" s="142"/>
      <c r="BA28" s="142"/>
      <c r="BB28" s="143"/>
      <c r="BC28" s="142"/>
      <c r="BD28" s="142"/>
      <c r="BE28" s="143"/>
      <c r="BF28" s="142"/>
      <c r="BG28" s="142"/>
      <c r="BH28" s="143"/>
      <c r="BI28" s="142"/>
      <c r="BJ28" s="142"/>
      <c r="BK28" s="143"/>
      <c r="BL28" s="142"/>
      <c r="BM28" s="142"/>
      <c r="BN28" s="143"/>
      <c r="BO28" s="142"/>
      <c r="BP28" s="142"/>
      <c r="BQ28" s="143"/>
      <c r="BR28" s="142"/>
      <c r="BS28" s="142"/>
      <c r="BT28" s="143"/>
      <c r="BU28" s="142"/>
      <c r="BV28" s="142"/>
      <c r="BW28" s="143"/>
      <c r="BX28" s="142"/>
      <c r="BY28" s="142"/>
      <c r="BZ28" s="143"/>
      <c r="CA28" s="142"/>
      <c r="CB28" s="142"/>
      <c r="CC28" s="143"/>
      <c r="CD28" s="142"/>
      <c r="CE28" s="142"/>
      <c r="CF28" s="143"/>
      <c r="CG28" s="142"/>
      <c r="CH28" s="142"/>
      <c r="CI28" s="143"/>
      <c r="CJ28" s="142"/>
      <c r="CK28" s="142"/>
      <c r="CL28" s="143"/>
      <c r="CM28" s="142"/>
      <c r="CN28" s="142"/>
      <c r="CO28" s="143"/>
      <c r="CP28" s="142"/>
      <c r="CQ28" s="142"/>
      <c r="CR28" s="143"/>
      <c r="CS28" s="142"/>
      <c r="CT28" s="142"/>
      <c r="CU28" s="143"/>
      <c r="CV28" s="142" t="s">
        <v>1237</v>
      </c>
      <c r="CW28" s="142"/>
      <c r="CX28" s="143"/>
      <c r="CY28" s="142"/>
      <c r="CZ28" s="142"/>
      <c r="DA28" s="143"/>
      <c r="DB28" s="142"/>
      <c r="DC28" s="142"/>
      <c r="DD28" s="143"/>
      <c r="DE28" s="142"/>
      <c r="DF28" s="142"/>
      <c r="DG28" s="143"/>
      <c r="DH28" s="142"/>
      <c r="DI28" s="142"/>
      <c r="DJ28" s="143"/>
      <c r="DK28" s="142"/>
      <c r="DL28" s="142"/>
      <c r="DM28" s="143"/>
      <c r="DN28" s="142"/>
      <c r="DO28" s="142"/>
      <c r="DP28" s="143"/>
      <c r="DQ28" s="142"/>
      <c r="DR28" s="142"/>
      <c r="DS28" s="143"/>
      <c r="DT28" s="142"/>
      <c r="DU28" s="142"/>
      <c r="DV28" s="143"/>
      <c r="DW28" s="142"/>
      <c r="DX28" s="142"/>
      <c r="DY28" s="143"/>
      <c r="DZ28" s="142"/>
      <c r="EA28" s="142"/>
      <c r="EB28" s="143"/>
      <c r="EC28" s="142"/>
      <c r="ED28" s="142"/>
      <c r="EE28" s="143"/>
      <c r="EF28" s="142"/>
      <c r="EG28" s="142"/>
      <c r="EH28" s="143"/>
      <c r="EI28" s="142"/>
      <c r="EJ28" s="142"/>
      <c r="EK28" s="143"/>
      <c r="EL28" s="142"/>
      <c r="EM28" s="142"/>
      <c r="EN28" s="143"/>
      <c r="EO28" s="142"/>
      <c r="EP28" s="142"/>
      <c r="EQ28" s="143"/>
      <c r="ER28" s="142"/>
      <c r="ES28" s="142"/>
      <c r="ET28" s="143"/>
      <c r="EU28" s="142"/>
      <c r="EV28" s="142"/>
      <c r="EW28" s="143"/>
    </row>
    <row r="29" customFormat="false" ht="15" hidden="true" customHeight="true" outlineLevel="0" collapsed="false">
      <c r="A29" s="144" t="s">
        <v>1246</v>
      </c>
      <c r="B29" s="145"/>
      <c r="C29" s="145"/>
      <c r="D29" s="142"/>
      <c r="E29" s="142"/>
      <c r="F29" s="143"/>
      <c r="G29" s="142"/>
      <c r="H29" s="142"/>
      <c r="I29" s="143"/>
      <c r="J29" s="142"/>
      <c r="K29" s="142"/>
      <c r="L29" s="143"/>
      <c r="M29" s="142"/>
      <c r="N29" s="142"/>
      <c r="O29" s="143"/>
      <c r="P29" s="142"/>
      <c r="Q29" s="142"/>
      <c r="R29" s="143"/>
      <c r="S29" s="142"/>
      <c r="T29" s="142"/>
      <c r="U29" s="143"/>
      <c r="V29" s="142"/>
      <c r="W29" s="142"/>
      <c r="X29" s="143"/>
      <c r="Y29" s="142"/>
      <c r="Z29" s="142"/>
      <c r="AA29" s="143"/>
      <c r="AB29" s="142"/>
      <c r="AC29" s="142"/>
      <c r="AD29" s="143"/>
      <c r="AE29" s="142"/>
      <c r="AF29" s="142"/>
      <c r="AG29" s="143"/>
      <c r="AH29" s="142"/>
      <c r="AI29" s="142"/>
      <c r="AJ29" s="143"/>
      <c r="AK29" s="142"/>
      <c r="AL29" s="142"/>
      <c r="AM29" s="143"/>
      <c r="AN29" s="142"/>
      <c r="AO29" s="142"/>
      <c r="AP29" s="143"/>
      <c r="AQ29" s="142"/>
      <c r="AR29" s="142"/>
      <c r="AS29" s="143"/>
      <c r="AT29" s="142"/>
      <c r="AU29" s="142"/>
      <c r="AV29" s="143"/>
      <c r="AW29" s="142"/>
      <c r="AX29" s="142"/>
      <c r="AY29" s="143"/>
      <c r="AZ29" s="142"/>
      <c r="BA29" s="142"/>
      <c r="BB29" s="143"/>
      <c r="BC29" s="142"/>
      <c r="BD29" s="142"/>
      <c r="BE29" s="143"/>
      <c r="BF29" s="142"/>
      <c r="BG29" s="142"/>
      <c r="BH29" s="143"/>
      <c r="BI29" s="142"/>
      <c r="BJ29" s="142"/>
      <c r="BK29" s="143"/>
      <c r="BL29" s="142"/>
      <c r="BM29" s="142"/>
      <c r="BN29" s="143"/>
      <c r="BO29" s="142"/>
      <c r="BP29" s="142"/>
      <c r="BQ29" s="143"/>
      <c r="BR29" s="142"/>
      <c r="BS29" s="142"/>
      <c r="BT29" s="143"/>
      <c r="BU29" s="142"/>
      <c r="BV29" s="142"/>
      <c r="BW29" s="143"/>
      <c r="BX29" s="142"/>
      <c r="BY29" s="142"/>
      <c r="BZ29" s="143"/>
      <c r="CA29" s="142"/>
      <c r="CB29" s="142"/>
      <c r="CC29" s="143"/>
      <c r="CD29" s="142"/>
      <c r="CE29" s="142"/>
      <c r="CF29" s="143"/>
      <c r="CG29" s="142"/>
      <c r="CH29" s="142"/>
      <c r="CI29" s="143"/>
      <c r="CJ29" s="142"/>
      <c r="CK29" s="142"/>
      <c r="CL29" s="143"/>
      <c r="CM29" s="142"/>
      <c r="CN29" s="142"/>
      <c r="CO29" s="143"/>
      <c r="CP29" s="142"/>
      <c r="CQ29" s="142"/>
      <c r="CR29" s="143"/>
      <c r="CS29" s="142"/>
      <c r="CT29" s="142"/>
      <c r="CU29" s="143"/>
      <c r="CV29" s="142"/>
      <c r="CW29" s="142"/>
      <c r="CX29" s="143"/>
      <c r="CY29" s="142"/>
      <c r="CZ29" s="142"/>
      <c r="DA29" s="143"/>
      <c r="DB29" s="142"/>
      <c r="DC29" s="142"/>
      <c r="DD29" s="143"/>
      <c r="DE29" s="142"/>
      <c r="DF29" s="142"/>
      <c r="DG29" s="143"/>
      <c r="DH29" s="142"/>
      <c r="DI29" s="142"/>
      <c r="DJ29" s="143"/>
      <c r="DK29" s="142"/>
      <c r="DL29" s="142"/>
      <c r="DM29" s="143"/>
      <c r="DN29" s="142"/>
      <c r="DO29" s="142"/>
      <c r="DP29" s="143"/>
      <c r="DQ29" s="142"/>
      <c r="DR29" s="142"/>
      <c r="DS29" s="143"/>
      <c r="DT29" s="142"/>
      <c r="DU29" s="142"/>
      <c r="DV29" s="143"/>
      <c r="DW29" s="142"/>
      <c r="DX29" s="142"/>
      <c r="DY29" s="143"/>
      <c r="DZ29" s="142"/>
      <c r="EA29" s="142"/>
      <c r="EB29" s="143"/>
      <c r="EC29" s="142"/>
      <c r="ED29" s="142"/>
      <c r="EE29" s="143"/>
      <c r="EF29" s="142"/>
      <c r="EG29" s="142"/>
      <c r="EH29" s="143"/>
      <c r="EI29" s="142"/>
      <c r="EJ29" s="142"/>
      <c r="EK29" s="143"/>
      <c r="EL29" s="142"/>
      <c r="EM29" s="142"/>
      <c r="EN29" s="143"/>
      <c r="EO29" s="142"/>
      <c r="EP29" s="142"/>
      <c r="EQ29" s="143"/>
      <c r="ER29" s="142"/>
      <c r="ES29" s="142"/>
      <c r="ET29" s="143"/>
      <c r="EU29" s="142"/>
      <c r="EV29" s="142"/>
      <c r="EW29" s="143"/>
    </row>
    <row r="30" customFormat="false" ht="15" hidden="true" customHeight="true" outlineLevel="0" collapsed="false">
      <c r="A30" s="144" t="s">
        <v>1247</v>
      </c>
      <c r="B30" s="145"/>
      <c r="C30" s="145"/>
      <c r="D30" s="142"/>
      <c r="E30" s="142"/>
      <c r="F30" s="143"/>
      <c r="G30" s="142"/>
      <c r="H30" s="142"/>
      <c r="I30" s="143"/>
      <c r="J30" s="142"/>
      <c r="K30" s="142"/>
      <c r="L30" s="143"/>
      <c r="M30" s="142"/>
      <c r="N30" s="142"/>
      <c r="O30" s="143"/>
      <c r="P30" s="142"/>
      <c r="Q30" s="142"/>
      <c r="R30" s="143"/>
      <c r="S30" s="142"/>
      <c r="T30" s="142"/>
      <c r="U30" s="143"/>
      <c r="V30" s="142"/>
      <c r="W30" s="142"/>
      <c r="X30" s="143"/>
      <c r="Y30" s="142"/>
      <c r="Z30" s="142"/>
      <c r="AA30" s="143"/>
      <c r="AB30" s="142"/>
      <c r="AC30" s="142"/>
      <c r="AD30" s="143"/>
      <c r="AE30" s="142"/>
      <c r="AF30" s="142"/>
      <c r="AG30" s="143"/>
      <c r="AH30" s="142"/>
      <c r="AI30" s="142"/>
      <c r="AJ30" s="143"/>
      <c r="AK30" s="142"/>
      <c r="AL30" s="142"/>
      <c r="AM30" s="143"/>
      <c r="AN30" s="142"/>
      <c r="AO30" s="142"/>
      <c r="AP30" s="143"/>
      <c r="AQ30" s="142"/>
      <c r="AR30" s="142"/>
      <c r="AS30" s="143"/>
      <c r="AT30" s="142"/>
      <c r="AU30" s="142"/>
      <c r="AV30" s="143"/>
      <c r="AW30" s="142"/>
      <c r="AX30" s="142"/>
      <c r="AY30" s="143"/>
      <c r="AZ30" s="142"/>
      <c r="BA30" s="142"/>
      <c r="BB30" s="143"/>
      <c r="BC30" s="142"/>
      <c r="BD30" s="142"/>
      <c r="BE30" s="143"/>
      <c r="BF30" s="142"/>
      <c r="BG30" s="142"/>
      <c r="BH30" s="143"/>
      <c r="BI30" s="142"/>
      <c r="BJ30" s="142"/>
      <c r="BK30" s="143"/>
      <c r="BL30" s="142"/>
      <c r="BM30" s="142"/>
      <c r="BN30" s="143"/>
      <c r="BO30" s="142"/>
      <c r="BP30" s="142"/>
      <c r="BQ30" s="143"/>
      <c r="BR30" s="142"/>
      <c r="BS30" s="142"/>
      <c r="BT30" s="143"/>
      <c r="BU30" s="142"/>
      <c r="BV30" s="142"/>
      <c r="BW30" s="143"/>
      <c r="BX30" s="142"/>
      <c r="BY30" s="142"/>
      <c r="BZ30" s="143"/>
      <c r="CA30" s="142"/>
      <c r="CB30" s="142"/>
      <c r="CC30" s="143"/>
      <c r="CD30" s="142"/>
      <c r="CE30" s="142"/>
      <c r="CF30" s="143"/>
      <c r="CG30" s="142"/>
      <c r="CH30" s="142"/>
      <c r="CI30" s="143"/>
      <c r="CJ30" s="142"/>
      <c r="CK30" s="142"/>
      <c r="CL30" s="143"/>
      <c r="CM30" s="142"/>
      <c r="CN30" s="142"/>
      <c r="CO30" s="143"/>
      <c r="CP30" s="142"/>
      <c r="CQ30" s="142"/>
      <c r="CR30" s="143"/>
      <c r="CS30" s="142"/>
      <c r="CT30" s="142"/>
      <c r="CU30" s="143"/>
      <c r="CV30" s="142"/>
      <c r="CW30" s="142"/>
      <c r="CX30" s="143"/>
      <c r="CY30" s="142"/>
      <c r="CZ30" s="142"/>
      <c r="DA30" s="143"/>
      <c r="DB30" s="142"/>
      <c r="DC30" s="142"/>
      <c r="DD30" s="143"/>
      <c r="DE30" s="142"/>
      <c r="DF30" s="142"/>
      <c r="DG30" s="143"/>
      <c r="DH30" s="142"/>
      <c r="DI30" s="142"/>
      <c r="DJ30" s="143"/>
      <c r="DK30" s="142"/>
      <c r="DL30" s="142"/>
      <c r="DM30" s="143"/>
      <c r="DN30" s="142"/>
      <c r="DO30" s="142"/>
      <c r="DP30" s="143"/>
      <c r="DQ30" s="142"/>
      <c r="DR30" s="142"/>
      <c r="DS30" s="143"/>
      <c r="DT30" s="142"/>
      <c r="DU30" s="142"/>
      <c r="DV30" s="143"/>
      <c r="DW30" s="142"/>
      <c r="DX30" s="142"/>
      <c r="DY30" s="143"/>
      <c r="DZ30" s="142"/>
      <c r="EA30" s="142"/>
      <c r="EB30" s="143"/>
      <c r="EC30" s="142"/>
      <c r="ED30" s="142"/>
      <c r="EE30" s="143"/>
      <c r="EF30" s="142"/>
      <c r="EG30" s="142"/>
      <c r="EH30" s="143"/>
      <c r="EI30" s="142"/>
      <c r="EJ30" s="142"/>
      <c r="EK30" s="143"/>
      <c r="EL30" s="142"/>
      <c r="EM30" s="142"/>
      <c r="EN30" s="143"/>
      <c r="EO30" s="142"/>
      <c r="EP30" s="142"/>
      <c r="EQ30" s="143"/>
      <c r="ER30" s="142"/>
      <c r="ES30" s="142"/>
      <c r="ET30" s="143"/>
      <c r="EU30" s="142"/>
      <c r="EV30" s="142"/>
      <c r="EW30" s="143"/>
    </row>
    <row r="31" customFormat="false" ht="15" hidden="true" customHeight="true" outlineLevel="0" collapsed="false">
      <c r="A31" s="144" t="s">
        <v>1248</v>
      </c>
      <c r="B31" s="145"/>
      <c r="C31" s="145"/>
      <c r="D31" s="142"/>
      <c r="E31" s="142"/>
      <c r="F31" s="143"/>
      <c r="G31" s="142"/>
      <c r="H31" s="142"/>
      <c r="I31" s="143"/>
      <c r="J31" s="142"/>
      <c r="K31" s="142"/>
      <c r="L31" s="143"/>
      <c r="M31" s="142"/>
      <c r="N31" s="142"/>
      <c r="O31" s="143"/>
      <c r="P31" s="142"/>
      <c r="Q31" s="142"/>
      <c r="R31" s="143"/>
      <c r="S31" s="142"/>
      <c r="T31" s="142"/>
      <c r="U31" s="143"/>
      <c r="V31" s="142"/>
      <c r="W31" s="142"/>
      <c r="X31" s="143"/>
      <c r="Y31" s="142"/>
      <c r="Z31" s="142"/>
      <c r="AA31" s="143"/>
      <c r="AB31" s="142"/>
      <c r="AC31" s="142"/>
      <c r="AD31" s="143"/>
      <c r="AE31" s="142"/>
      <c r="AF31" s="142"/>
      <c r="AG31" s="143"/>
      <c r="AH31" s="142"/>
      <c r="AI31" s="142"/>
      <c r="AJ31" s="143"/>
      <c r="AK31" s="142"/>
      <c r="AL31" s="142"/>
      <c r="AM31" s="143"/>
      <c r="AN31" s="142"/>
      <c r="AO31" s="142"/>
      <c r="AP31" s="143"/>
      <c r="AQ31" s="142"/>
      <c r="AR31" s="142"/>
      <c r="AS31" s="143"/>
      <c r="AT31" s="142"/>
      <c r="AU31" s="142"/>
      <c r="AV31" s="143"/>
      <c r="AW31" s="142"/>
      <c r="AX31" s="142"/>
      <c r="AY31" s="143"/>
      <c r="AZ31" s="142"/>
      <c r="BA31" s="142"/>
      <c r="BB31" s="143"/>
      <c r="BC31" s="142"/>
      <c r="BD31" s="142"/>
      <c r="BE31" s="143"/>
      <c r="BF31" s="142"/>
      <c r="BG31" s="142"/>
      <c r="BH31" s="143"/>
      <c r="BI31" s="142"/>
      <c r="BJ31" s="142"/>
      <c r="BK31" s="143"/>
      <c r="BL31" s="142"/>
      <c r="BM31" s="142"/>
      <c r="BN31" s="143"/>
      <c r="BO31" s="142"/>
      <c r="BP31" s="142"/>
      <c r="BQ31" s="143"/>
      <c r="BR31" s="142"/>
      <c r="BS31" s="142"/>
      <c r="BT31" s="143"/>
      <c r="BU31" s="142"/>
      <c r="BV31" s="142"/>
      <c r="BW31" s="143"/>
      <c r="BX31" s="142"/>
      <c r="BY31" s="142"/>
      <c r="BZ31" s="143"/>
      <c r="CA31" s="142"/>
      <c r="CB31" s="142"/>
      <c r="CC31" s="143"/>
      <c r="CD31" s="142"/>
      <c r="CE31" s="142"/>
      <c r="CF31" s="143"/>
      <c r="CG31" s="142"/>
      <c r="CH31" s="142"/>
      <c r="CI31" s="143"/>
      <c r="CJ31" s="142"/>
      <c r="CK31" s="142"/>
      <c r="CL31" s="143"/>
      <c r="CM31" s="142"/>
      <c r="CN31" s="142"/>
      <c r="CO31" s="143"/>
      <c r="CP31" s="142"/>
      <c r="CQ31" s="142"/>
      <c r="CR31" s="143"/>
      <c r="CS31" s="142"/>
      <c r="CT31" s="142"/>
      <c r="CU31" s="143"/>
      <c r="CV31" s="142"/>
      <c r="CW31" s="142"/>
      <c r="CX31" s="143"/>
      <c r="CY31" s="142"/>
      <c r="CZ31" s="142"/>
      <c r="DA31" s="143"/>
      <c r="DB31" s="142"/>
      <c r="DC31" s="142"/>
      <c r="DD31" s="143"/>
      <c r="DE31" s="142"/>
      <c r="DF31" s="142"/>
      <c r="DG31" s="143"/>
      <c r="DH31" s="142"/>
      <c r="DI31" s="142"/>
      <c r="DJ31" s="143"/>
      <c r="DK31" s="142"/>
      <c r="DL31" s="142"/>
      <c r="DM31" s="143"/>
      <c r="DN31" s="142"/>
      <c r="DO31" s="142"/>
      <c r="DP31" s="143"/>
      <c r="DQ31" s="142"/>
      <c r="DR31" s="142"/>
      <c r="DS31" s="143"/>
      <c r="DT31" s="142"/>
      <c r="DU31" s="142"/>
      <c r="DV31" s="143"/>
      <c r="DW31" s="142"/>
      <c r="DX31" s="142"/>
      <c r="DY31" s="143"/>
      <c r="DZ31" s="142"/>
      <c r="EA31" s="142"/>
      <c r="EB31" s="143"/>
      <c r="EC31" s="142"/>
      <c r="ED31" s="142"/>
      <c r="EE31" s="143"/>
      <c r="EF31" s="142"/>
      <c r="EG31" s="142"/>
      <c r="EH31" s="143"/>
      <c r="EI31" s="142"/>
      <c r="EJ31" s="142"/>
      <c r="EK31" s="143"/>
      <c r="EL31" s="142"/>
      <c r="EM31" s="142"/>
      <c r="EN31" s="143"/>
      <c r="EO31" s="142"/>
      <c r="EP31" s="142"/>
      <c r="EQ31" s="143"/>
      <c r="ER31" s="142"/>
      <c r="ES31" s="142"/>
      <c r="ET31" s="143"/>
      <c r="EU31" s="142"/>
      <c r="EV31" s="142"/>
      <c r="EW31" s="143"/>
    </row>
    <row r="32" customFormat="false" ht="15" hidden="false" customHeight="true" outlineLevel="0" collapsed="false">
      <c r="A32" s="144" t="s">
        <v>1249</v>
      </c>
      <c r="B32" s="145" t="n">
        <v>46251</v>
      </c>
      <c r="C32" s="145" t="n">
        <v>46253</v>
      </c>
      <c r="D32" s="142"/>
      <c r="E32" s="142"/>
      <c r="F32" s="143"/>
      <c r="G32" s="142"/>
      <c r="H32" s="142"/>
      <c r="I32" s="143"/>
      <c r="J32" s="142"/>
      <c r="K32" s="142"/>
      <c r="L32" s="143"/>
      <c r="M32" s="142"/>
      <c r="N32" s="142"/>
      <c r="O32" s="143"/>
      <c r="P32" s="142"/>
      <c r="Q32" s="142"/>
      <c r="R32" s="143"/>
      <c r="S32" s="142"/>
      <c r="T32" s="142"/>
      <c r="U32" s="143"/>
      <c r="V32" s="142"/>
      <c r="W32" s="142"/>
      <c r="X32" s="143"/>
      <c r="Y32" s="142"/>
      <c r="Z32" s="142"/>
      <c r="AA32" s="143"/>
      <c r="AB32" s="142"/>
      <c r="AC32" s="142"/>
      <c r="AD32" s="143"/>
      <c r="AE32" s="142"/>
      <c r="AF32" s="142"/>
      <c r="AG32" s="143"/>
      <c r="AH32" s="142"/>
      <c r="AI32" s="142"/>
      <c r="AJ32" s="143"/>
      <c r="AK32" s="142"/>
      <c r="AL32" s="142"/>
      <c r="AM32" s="143"/>
      <c r="AN32" s="142"/>
      <c r="AO32" s="142"/>
      <c r="AP32" s="143"/>
      <c r="AQ32" s="142"/>
      <c r="AR32" s="142"/>
      <c r="AS32" s="143"/>
      <c r="AT32" s="142"/>
      <c r="AU32" s="142"/>
      <c r="AV32" s="143"/>
      <c r="AW32" s="142"/>
      <c r="AX32" s="142"/>
      <c r="AY32" s="143"/>
      <c r="AZ32" s="142"/>
      <c r="BA32" s="142"/>
      <c r="BB32" s="143"/>
      <c r="BC32" s="142"/>
      <c r="BD32" s="142"/>
      <c r="BE32" s="143"/>
      <c r="BF32" s="142"/>
      <c r="BG32" s="142"/>
      <c r="BH32" s="143"/>
      <c r="BI32" s="142"/>
      <c r="BJ32" s="142"/>
      <c r="BK32" s="143"/>
      <c r="BL32" s="142"/>
      <c r="BM32" s="142"/>
      <c r="BN32" s="143"/>
      <c r="BO32" s="142"/>
      <c r="BP32" s="142"/>
      <c r="BQ32" s="143"/>
      <c r="BR32" s="142"/>
      <c r="BS32" s="142"/>
      <c r="BT32" s="143"/>
      <c r="BU32" s="142"/>
      <c r="BV32" s="142"/>
      <c r="BW32" s="143"/>
      <c r="BX32" s="142"/>
      <c r="BY32" s="142"/>
      <c r="BZ32" s="143"/>
      <c r="CA32" s="142"/>
      <c r="CB32" s="142"/>
      <c r="CC32" s="143"/>
      <c r="CD32" s="142"/>
      <c r="CE32" s="142"/>
      <c r="CF32" s="143"/>
      <c r="CG32" s="142"/>
      <c r="CH32" s="142"/>
      <c r="CI32" s="143"/>
      <c r="CJ32" s="142"/>
      <c r="CK32" s="142"/>
      <c r="CL32" s="143"/>
      <c r="CM32" s="142"/>
      <c r="CN32" s="142"/>
      <c r="CO32" s="143"/>
      <c r="CP32" s="142"/>
      <c r="CQ32" s="142"/>
      <c r="CR32" s="143"/>
      <c r="CS32" s="142"/>
      <c r="CT32" s="142"/>
      <c r="CU32" s="143"/>
      <c r="CV32" s="142" t="s">
        <v>1237</v>
      </c>
      <c r="CW32" s="142"/>
      <c r="CX32" s="143"/>
      <c r="CY32" s="142"/>
      <c r="CZ32" s="142"/>
      <c r="DA32" s="143"/>
      <c r="DB32" s="142"/>
      <c r="DC32" s="142"/>
      <c r="DD32" s="143"/>
      <c r="DE32" s="142"/>
      <c r="DF32" s="142"/>
      <c r="DG32" s="143"/>
      <c r="DH32" s="142"/>
      <c r="DI32" s="142"/>
      <c r="DJ32" s="143"/>
      <c r="DK32" s="142"/>
      <c r="DL32" s="142"/>
      <c r="DM32" s="143"/>
      <c r="DN32" s="142"/>
      <c r="DO32" s="142"/>
      <c r="DP32" s="143"/>
      <c r="DQ32" s="142"/>
      <c r="DR32" s="142"/>
      <c r="DS32" s="143"/>
      <c r="DT32" s="142"/>
      <c r="DU32" s="142"/>
      <c r="DV32" s="143"/>
      <c r="DW32" s="142"/>
      <c r="DX32" s="142"/>
      <c r="DY32" s="143"/>
      <c r="DZ32" s="142"/>
      <c r="EA32" s="142"/>
      <c r="EB32" s="143"/>
      <c r="EC32" s="142"/>
      <c r="ED32" s="142"/>
      <c r="EE32" s="143"/>
      <c r="EF32" s="142"/>
      <c r="EG32" s="142"/>
      <c r="EH32" s="143"/>
      <c r="EI32" s="142"/>
      <c r="EJ32" s="142"/>
      <c r="EK32" s="143"/>
      <c r="EL32" s="142"/>
      <c r="EM32" s="142"/>
      <c r="EN32" s="143"/>
      <c r="EO32" s="142"/>
      <c r="EP32" s="142"/>
      <c r="EQ32" s="143"/>
      <c r="ER32" s="142"/>
      <c r="ES32" s="142"/>
      <c r="ET32" s="143"/>
      <c r="EU32" s="142"/>
      <c r="EV32" s="142"/>
      <c r="EW32" s="143"/>
    </row>
    <row r="33" customFormat="false" ht="15" hidden="false" customHeight="true" outlineLevel="0" collapsed="false">
      <c r="A33" s="144" t="s">
        <v>1250</v>
      </c>
      <c r="B33" s="145" t="n">
        <v>46254</v>
      </c>
      <c r="C33" s="145"/>
      <c r="D33" s="142"/>
      <c r="E33" s="142"/>
      <c r="F33" s="143"/>
      <c r="G33" s="142"/>
      <c r="H33" s="142"/>
      <c r="I33" s="143"/>
      <c r="J33" s="142"/>
      <c r="K33" s="142"/>
      <c r="L33" s="143"/>
      <c r="M33" s="142"/>
      <c r="N33" s="142"/>
      <c r="O33" s="143"/>
      <c r="P33" s="142"/>
      <c r="Q33" s="142"/>
      <c r="R33" s="143"/>
      <c r="S33" s="142"/>
      <c r="T33" s="142"/>
      <c r="U33" s="143"/>
      <c r="V33" s="142"/>
      <c r="W33" s="142"/>
      <c r="X33" s="143"/>
      <c r="Y33" s="142"/>
      <c r="Z33" s="142"/>
      <c r="AA33" s="143"/>
      <c r="AB33" s="142"/>
      <c r="AC33" s="142"/>
      <c r="AD33" s="143"/>
      <c r="AE33" s="142"/>
      <c r="AF33" s="142"/>
      <c r="AG33" s="143"/>
      <c r="AH33" s="142"/>
      <c r="AI33" s="142"/>
      <c r="AJ33" s="143"/>
      <c r="AK33" s="142"/>
      <c r="AL33" s="142"/>
      <c r="AM33" s="143"/>
      <c r="AN33" s="142"/>
      <c r="AO33" s="142"/>
      <c r="AP33" s="143"/>
      <c r="AQ33" s="142"/>
      <c r="AR33" s="142"/>
      <c r="AS33" s="143"/>
      <c r="AT33" s="142"/>
      <c r="AU33" s="142"/>
      <c r="AV33" s="143"/>
      <c r="AW33" s="142"/>
      <c r="AX33" s="142"/>
      <c r="AY33" s="143"/>
      <c r="AZ33" s="142"/>
      <c r="BA33" s="142"/>
      <c r="BB33" s="143"/>
      <c r="BC33" s="142"/>
      <c r="BD33" s="142"/>
      <c r="BE33" s="143"/>
      <c r="BF33" s="142"/>
      <c r="BG33" s="142"/>
      <c r="BH33" s="143"/>
      <c r="BI33" s="142"/>
      <c r="BJ33" s="142"/>
      <c r="BK33" s="143"/>
      <c r="BL33" s="142"/>
      <c r="BM33" s="142"/>
      <c r="BN33" s="143"/>
      <c r="BO33" s="142"/>
      <c r="BP33" s="142"/>
      <c r="BQ33" s="143"/>
      <c r="BR33" s="142"/>
      <c r="BS33" s="142"/>
      <c r="BT33" s="143"/>
      <c r="BU33" s="142"/>
      <c r="BV33" s="142"/>
      <c r="BW33" s="143"/>
      <c r="BX33" s="142"/>
      <c r="BY33" s="142"/>
      <c r="BZ33" s="143"/>
      <c r="CA33" s="142"/>
      <c r="CB33" s="142"/>
      <c r="CC33" s="143"/>
      <c r="CD33" s="142"/>
      <c r="CE33" s="142"/>
      <c r="CF33" s="143"/>
      <c r="CG33" s="142"/>
      <c r="CH33" s="142"/>
      <c r="CI33" s="143"/>
      <c r="CJ33" s="142"/>
      <c r="CK33" s="142"/>
      <c r="CL33" s="143"/>
      <c r="CM33" s="142"/>
      <c r="CN33" s="142"/>
      <c r="CO33" s="143"/>
      <c r="CP33" s="142"/>
      <c r="CQ33" s="142"/>
      <c r="CR33" s="143"/>
      <c r="CS33" s="142"/>
      <c r="CT33" s="142"/>
      <c r="CU33" s="143"/>
      <c r="CV33" s="142"/>
      <c r="CW33" s="142"/>
      <c r="CX33" s="143"/>
      <c r="CY33" s="142" t="s">
        <v>1251</v>
      </c>
      <c r="CZ33" s="142"/>
      <c r="DA33" s="143"/>
      <c r="DB33" s="142"/>
      <c r="DC33" s="142"/>
      <c r="DD33" s="143"/>
      <c r="DE33" s="142"/>
      <c r="DF33" s="142"/>
      <c r="DG33" s="143"/>
      <c r="DH33" s="142"/>
      <c r="DI33" s="142"/>
      <c r="DJ33" s="143"/>
      <c r="DK33" s="142"/>
      <c r="DL33" s="142"/>
      <c r="DM33" s="143"/>
      <c r="DN33" s="142"/>
      <c r="DO33" s="142"/>
      <c r="DP33" s="143"/>
      <c r="DQ33" s="142"/>
      <c r="DR33" s="142"/>
      <c r="DS33" s="143"/>
      <c r="DT33" s="142"/>
      <c r="DU33" s="142"/>
      <c r="DV33" s="143"/>
      <c r="DW33" s="142"/>
      <c r="DX33" s="142"/>
      <c r="DY33" s="143"/>
      <c r="DZ33" s="142"/>
      <c r="EA33" s="142"/>
      <c r="EB33" s="143"/>
      <c r="EC33" s="142"/>
      <c r="ED33" s="142"/>
      <c r="EE33" s="143"/>
      <c r="EF33" s="142"/>
      <c r="EG33" s="142"/>
      <c r="EH33" s="143"/>
      <c r="EI33" s="142"/>
      <c r="EJ33" s="142"/>
      <c r="EK33" s="143"/>
      <c r="EL33" s="142"/>
      <c r="EM33" s="142"/>
      <c r="EN33" s="143"/>
      <c r="EO33" s="142"/>
      <c r="EP33" s="142"/>
      <c r="EQ33" s="143"/>
      <c r="ER33" s="142"/>
      <c r="ES33" s="142"/>
      <c r="ET33" s="143"/>
      <c r="EU33" s="142"/>
      <c r="EV33" s="142"/>
      <c r="EW33" s="143"/>
    </row>
    <row r="34" customFormat="false" ht="15" hidden="false" customHeight="true" outlineLevel="0" collapsed="false">
      <c r="A34" s="144" t="s">
        <v>1252</v>
      </c>
      <c r="B34" s="145" t="n">
        <v>46255</v>
      </c>
      <c r="C34" s="145"/>
      <c r="D34" s="142"/>
      <c r="E34" s="142"/>
      <c r="F34" s="143"/>
      <c r="G34" s="142"/>
      <c r="H34" s="142"/>
      <c r="I34" s="143"/>
      <c r="J34" s="142"/>
      <c r="K34" s="142"/>
      <c r="L34" s="143"/>
      <c r="M34" s="142"/>
      <c r="N34" s="142"/>
      <c r="O34" s="143"/>
      <c r="P34" s="142"/>
      <c r="Q34" s="142"/>
      <c r="R34" s="143"/>
      <c r="S34" s="142"/>
      <c r="T34" s="142"/>
      <c r="U34" s="143"/>
      <c r="V34" s="142"/>
      <c r="W34" s="142"/>
      <c r="X34" s="143"/>
      <c r="Y34" s="142"/>
      <c r="Z34" s="142"/>
      <c r="AA34" s="143"/>
      <c r="AB34" s="142"/>
      <c r="AC34" s="142"/>
      <c r="AD34" s="143"/>
      <c r="AE34" s="142"/>
      <c r="AF34" s="142"/>
      <c r="AG34" s="143"/>
      <c r="AH34" s="142"/>
      <c r="AI34" s="142"/>
      <c r="AJ34" s="143"/>
      <c r="AK34" s="142"/>
      <c r="AL34" s="142"/>
      <c r="AM34" s="143"/>
      <c r="AN34" s="142"/>
      <c r="AO34" s="142"/>
      <c r="AP34" s="143"/>
      <c r="AQ34" s="142"/>
      <c r="AR34" s="142"/>
      <c r="AS34" s="143"/>
      <c r="AT34" s="142"/>
      <c r="AU34" s="142"/>
      <c r="AV34" s="143"/>
      <c r="AW34" s="142"/>
      <c r="AX34" s="142"/>
      <c r="AY34" s="143"/>
      <c r="AZ34" s="142"/>
      <c r="BA34" s="142"/>
      <c r="BB34" s="143"/>
      <c r="BC34" s="142"/>
      <c r="BD34" s="142"/>
      <c r="BE34" s="143"/>
      <c r="BF34" s="142"/>
      <c r="BG34" s="142"/>
      <c r="BH34" s="143"/>
      <c r="BI34" s="142"/>
      <c r="BJ34" s="142"/>
      <c r="BK34" s="143"/>
      <c r="BL34" s="142"/>
      <c r="BM34" s="142"/>
      <c r="BN34" s="143"/>
      <c r="BO34" s="142"/>
      <c r="BP34" s="142"/>
      <c r="BQ34" s="143"/>
      <c r="BR34" s="142"/>
      <c r="BS34" s="142"/>
      <c r="BT34" s="143"/>
      <c r="BU34" s="142"/>
      <c r="BV34" s="142"/>
      <c r="BW34" s="143"/>
      <c r="BX34" s="142"/>
      <c r="BY34" s="142"/>
      <c r="BZ34" s="143"/>
      <c r="CA34" s="142"/>
      <c r="CB34" s="142"/>
      <c r="CC34" s="143"/>
      <c r="CD34" s="142"/>
      <c r="CE34" s="142"/>
      <c r="CF34" s="143"/>
      <c r="CG34" s="142"/>
      <c r="CH34" s="142"/>
      <c r="CI34" s="143"/>
      <c r="CJ34" s="142"/>
      <c r="CK34" s="142"/>
      <c r="CL34" s="143"/>
      <c r="CM34" s="142"/>
      <c r="CN34" s="142"/>
      <c r="CO34" s="143"/>
      <c r="CP34" s="142"/>
      <c r="CQ34" s="142"/>
      <c r="CR34" s="143"/>
      <c r="CS34" s="142"/>
      <c r="CT34" s="142"/>
      <c r="CU34" s="143"/>
      <c r="CV34" s="142"/>
      <c r="CW34" s="142"/>
      <c r="CX34" s="143"/>
      <c r="CY34" s="142"/>
      <c r="CZ34" s="142"/>
      <c r="DA34" s="143"/>
      <c r="DB34" s="142" t="s">
        <v>1253</v>
      </c>
      <c r="DC34" s="142"/>
      <c r="DD34" s="143"/>
      <c r="DE34" s="142"/>
      <c r="DF34" s="142"/>
      <c r="DG34" s="143"/>
      <c r="DH34" s="142"/>
      <c r="DI34" s="142"/>
      <c r="DJ34" s="143"/>
      <c r="DK34" s="142"/>
      <c r="DL34" s="142"/>
      <c r="DM34" s="143"/>
      <c r="DN34" s="142"/>
      <c r="DO34" s="142"/>
      <c r="DP34" s="143"/>
      <c r="DQ34" s="142"/>
      <c r="DR34" s="142"/>
      <c r="DS34" s="143"/>
      <c r="DT34" s="142"/>
      <c r="DU34" s="142"/>
      <c r="DV34" s="143"/>
      <c r="DW34" s="142"/>
      <c r="DX34" s="142"/>
      <c r="DY34" s="143"/>
      <c r="DZ34" s="142"/>
      <c r="EA34" s="142"/>
      <c r="EB34" s="143"/>
      <c r="EC34" s="142"/>
      <c r="ED34" s="142"/>
      <c r="EE34" s="143"/>
      <c r="EF34" s="142"/>
      <c r="EG34" s="142"/>
      <c r="EH34" s="143"/>
      <c r="EI34" s="142"/>
      <c r="EJ34" s="142"/>
      <c r="EK34" s="143"/>
      <c r="EL34" s="142"/>
      <c r="EM34" s="142"/>
      <c r="EN34" s="143"/>
      <c r="EO34" s="142"/>
      <c r="EP34" s="142"/>
      <c r="EQ34" s="143"/>
      <c r="ER34" s="142"/>
      <c r="ES34" s="142"/>
      <c r="ET34" s="143"/>
      <c r="EU34" s="142"/>
      <c r="EV34" s="142"/>
      <c r="EW34" s="143"/>
    </row>
    <row r="35" customFormat="false" ht="15" hidden="false" customHeight="true" outlineLevel="0" collapsed="false">
      <c r="A35" s="144" t="s">
        <v>1254</v>
      </c>
      <c r="B35" s="145" t="n">
        <v>46256</v>
      </c>
      <c r="C35" s="145"/>
      <c r="D35" s="142"/>
      <c r="E35" s="142"/>
      <c r="F35" s="143"/>
      <c r="G35" s="142"/>
      <c r="H35" s="142"/>
      <c r="I35" s="143"/>
      <c r="J35" s="142"/>
      <c r="K35" s="142"/>
      <c r="L35" s="143"/>
      <c r="M35" s="142"/>
      <c r="N35" s="142"/>
      <c r="O35" s="143"/>
      <c r="P35" s="142"/>
      <c r="Q35" s="142"/>
      <c r="R35" s="143"/>
      <c r="S35" s="142"/>
      <c r="T35" s="142"/>
      <c r="U35" s="143"/>
      <c r="V35" s="142"/>
      <c r="W35" s="142"/>
      <c r="X35" s="143"/>
      <c r="Y35" s="142"/>
      <c r="Z35" s="142"/>
      <c r="AA35" s="143"/>
      <c r="AB35" s="142"/>
      <c r="AC35" s="142"/>
      <c r="AD35" s="143"/>
      <c r="AE35" s="142"/>
      <c r="AF35" s="142"/>
      <c r="AG35" s="143"/>
      <c r="AH35" s="142"/>
      <c r="AI35" s="142"/>
      <c r="AJ35" s="143"/>
      <c r="AK35" s="142"/>
      <c r="AL35" s="142"/>
      <c r="AM35" s="143"/>
      <c r="AN35" s="142"/>
      <c r="AO35" s="142"/>
      <c r="AP35" s="143"/>
      <c r="AQ35" s="142"/>
      <c r="AR35" s="142"/>
      <c r="AS35" s="143"/>
      <c r="AT35" s="142"/>
      <c r="AU35" s="142"/>
      <c r="AV35" s="143"/>
      <c r="AW35" s="142"/>
      <c r="AX35" s="142"/>
      <c r="AY35" s="143"/>
      <c r="AZ35" s="142"/>
      <c r="BA35" s="142"/>
      <c r="BB35" s="143"/>
      <c r="BC35" s="142"/>
      <c r="BD35" s="142"/>
      <c r="BE35" s="143"/>
      <c r="BF35" s="142"/>
      <c r="BG35" s="142"/>
      <c r="BH35" s="143"/>
      <c r="BI35" s="142"/>
      <c r="BJ35" s="142"/>
      <c r="BK35" s="143"/>
      <c r="BL35" s="142"/>
      <c r="BM35" s="142"/>
      <c r="BN35" s="143"/>
      <c r="BO35" s="142"/>
      <c r="BP35" s="142"/>
      <c r="BQ35" s="143"/>
      <c r="BR35" s="142"/>
      <c r="BS35" s="142"/>
      <c r="BT35" s="143"/>
      <c r="BU35" s="142"/>
      <c r="BV35" s="142"/>
      <c r="BW35" s="143"/>
      <c r="BX35" s="142"/>
      <c r="BY35" s="142"/>
      <c r="BZ35" s="143"/>
      <c r="CA35" s="142"/>
      <c r="CB35" s="142"/>
      <c r="CC35" s="143"/>
      <c r="CD35" s="142"/>
      <c r="CE35" s="142"/>
      <c r="CF35" s="143"/>
      <c r="CG35" s="142"/>
      <c r="CH35" s="142"/>
      <c r="CI35" s="143"/>
      <c r="CJ35" s="142"/>
      <c r="CK35" s="142"/>
      <c r="CL35" s="143"/>
      <c r="CM35" s="142"/>
      <c r="CN35" s="142"/>
      <c r="CO35" s="143"/>
      <c r="CP35" s="142"/>
      <c r="CQ35" s="142"/>
      <c r="CR35" s="143"/>
      <c r="CS35" s="142"/>
      <c r="CT35" s="142"/>
      <c r="CU35" s="143"/>
      <c r="CV35" s="142"/>
      <c r="CW35" s="142"/>
      <c r="CX35" s="143"/>
      <c r="CY35" s="142"/>
      <c r="CZ35" s="142"/>
      <c r="DA35" s="143"/>
      <c r="DB35" s="142"/>
      <c r="DC35" s="142"/>
      <c r="DD35" s="143"/>
      <c r="DE35" s="142" t="s">
        <v>1255</v>
      </c>
      <c r="DF35" s="142"/>
      <c r="DG35" s="143"/>
      <c r="DH35" s="142"/>
      <c r="DI35" s="142"/>
      <c r="DJ35" s="143"/>
      <c r="DK35" s="142"/>
      <c r="DL35" s="142"/>
      <c r="DM35" s="143"/>
      <c r="DN35" s="142"/>
      <c r="DO35" s="142"/>
      <c r="DP35" s="143"/>
      <c r="DQ35" s="142"/>
      <c r="DR35" s="142"/>
      <c r="DS35" s="143"/>
      <c r="DT35" s="142"/>
      <c r="DU35" s="142"/>
      <c r="DV35" s="143"/>
      <c r="DW35" s="142"/>
      <c r="DX35" s="142"/>
      <c r="DY35" s="143"/>
      <c r="DZ35" s="142"/>
      <c r="EA35" s="142"/>
      <c r="EB35" s="143"/>
      <c r="EC35" s="142"/>
      <c r="ED35" s="142"/>
      <c r="EE35" s="143"/>
      <c r="EF35" s="142"/>
      <c r="EG35" s="142"/>
      <c r="EH35" s="143"/>
      <c r="EI35" s="142"/>
      <c r="EJ35" s="142"/>
      <c r="EK35" s="143"/>
      <c r="EL35" s="142"/>
      <c r="EM35" s="142"/>
      <c r="EN35" s="143"/>
      <c r="EO35" s="142"/>
      <c r="EP35" s="142"/>
      <c r="EQ35" s="143"/>
      <c r="ER35" s="142"/>
      <c r="ES35" s="142"/>
      <c r="ET35" s="143"/>
      <c r="EU35" s="142"/>
      <c r="EV35" s="142"/>
      <c r="EW35" s="143"/>
    </row>
    <row r="36" customFormat="false" ht="15" hidden="false" customHeight="true" outlineLevel="0" collapsed="false">
      <c r="A36" s="141" t="s">
        <v>1256</v>
      </c>
      <c r="B36" s="141"/>
      <c r="C36" s="141"/>
      <c r="D36" s="142"/>
      <c r="E36" s="142"/>
      <c r="F36" s="143"/>
      <c r="G36" s="142"/>
      <c r="H36" s="142"/>
      <c r="I36" s="143"/>
      <c r="J36" s="142"/>
      <c r="K36" s="142"/>
      <c r="L36" s="143"/>
      <c r="M36" s="142"/>
      <c r="N36" s="142"/>
      <c r="O36" s="143"/>
      <c r="P36" s="142"/>
      <c r="Q36" s="142"/>
      <c r="R36" s="143"/>
      <c r="S36" s="142"/>
      <c r="T36" s="142"/>
      <c r="U36" s="143"/>
      <c r="V36" s="142"/>
      <c r="W36" s="142"/>
      <c r="X36" s="143"/>
      <c r="Y36" s="142"/>
      <c r="Z36" s="142"/>
      <c r="AA36" s="143"/>
      <c r="AB36" s="142"/>
      <c r="AC36" s="142"/>
      <c r="AD36" s="143"/>
      <c r="AE36" s="142"/>
      <c r="AF36" s="142"/>
      <c r="AG36" s="143"/>
      <c r="AH36" s="142"/>
      <c r="AI36" s="142"/>
      <c r="AJ36" s="143"/>
      <c r="AK36" s="142"/>
      <c r="AL36" s="142"/>
      <c r="AM36" s="143"/>
      <c r="AN36" s="142"/>
      <c r="AO36" s="142"/>
      <c r="AP36" s="143"/>
      <c r="AQ36" s="142"/>
      <c r="AR36" s="142"/>
      <c r="AS36" s="143"/>
      <c r="AT36" s="142"/>
      <c r="AU36" s="142"/>
      <c r="AV36" s="143"/>
      <c r="AW36" s="142"/>
      <c r="AX36" s="142"/>
      <c r="AY36" s="143"/>
      <c r="AZ36" s="142"/>
      <c r="BA36" s="142"/>
      <c r="BB36" s="143"/>
      <c r="BC36" s="142"/>
      <c r="BD36" s="142"/>
      <c r="BE36" s="143"/>
      <c r="BF36" s="142"/>
      <c r="BG36" s="142"/>
      <c r="BH36" s="143"/>
      <c r="BI36" s="142"/>
      <c r="BJ36" s="142"/>
      <c r="BK36" s="143"/>
      <c r="BL36" s="142"/>
      <c r="BM36" s="142"/>
      <c r="BN36" s="143"/>
      <c r="BO36" s="142"/>
      <c r="BP36" s="142"/>
      <c r="BQ36" s="143"/>
      <c r="BR36" s="142"/>
      <c r="BS36" s="142"/>
      <c r="BT36" s="143"/>
      <c r="BU36" s="142"/>
      <c r="BV36" s="142"/>
      <c r="BW36" s="143"/>
      <c r="BX36" s="142"/>
      <c r="BY36" s="142"/>
      <c r="BZ36" s="143"/>
      <c r="CA36" s="142"/>
      <c r="CB36" s="142"/>
      <c r="CC36" s="143"/>
      <c r="CD36" s="142"/>
      <c r="CE36" s="142"/>
      <c r="CF36" s="143"/>
      <c r="CG36" s="142"/>
      <c r="CH36" s="142"/>
      <c r="CI36" s="143"/>
      <c r="CJ36" s="142"/>
      <c r="CK36" s="142"/>
      <c r="CL36" s="143"/>
      <c r="CM36" s="142"/>
      <c r="CN36" s="142"/>
      <c r="CO36" s="143"/>
      <c r="CP36" s="142"/>
      <c r="CQ36" s="142"/>
      <c r="CR36" s="143"/>
      <c r="CS36" s="142"/>
      <c r="CT36" s="142"/>
      <c r="CU36" s="143"/>
      <c r="CV36" s="142"/>
      <c r="CW36" s="142"/>
      <c r="CX36" s="143"/>
      <c r="CY36" s="142"/>
      <c r="CZ36" s="142"/>
      <c r="DA36" s="143"/>
      <c r="DB36" s="142"/>
      <c r="DC36" s="142"/>
      <c r="DD36" s="143"/>
      <c r="DE36" s="142"/>
      <c r="DF36" s="142"/>
      <c r="DG36" s="143"/>
      <c r="DH36" s="142"/>
      <c r="DI36" s="142"/>
      <c r="DJ36" s="143"/>
      <c r="DK36" s="142"/>
      <c r="DL36" s="142"/>
      <c r="DM36" s="143"/>
      <c r="DN36" s="142"/>
      <c r="DO36" s="142"/>
      <c r="DP36" s="143"/>
      <c r="DQ36" s="142"/>
      <c r="DR36" s="142"/>
      <c r="DS36" s="143"/>
      <c r="DT36" s="142"/>
      <c r="DU36" s="142"/>
      <c r="DV36" s="143"/>
      <c r="DW36" s="142"/>
      <c r="DX36" s="142"/>
      <c r="DY36" s="143"/>
      <c r="DZ36" s="142"/>
      <c r="EA36" s="142"/>
      <c r="EB36" s="143"/>
      <c r="EC36" s="142"/>
      <c r="ED36" s="142"/>
      <c r="EE36" s="143"/>
      <c r="EF36" s="142"/>
      <c r="EG36" s="142"/>
      <c r="EH36" s="143"/>
      <c r="EI36" s="142"/>
      <c r="EJ36" s="142"/>
      <c r="EK36" s="143"/>
      <c r="EL36" s="142"/>
      <c r="EM36" s="142"/>
      <c r="EN36" s="143"/>
      <c r="EO36" s="142"/>
      <c r="EP36" s="142"/>
      <c r="EQ36" s="143"/>
      <c r="ER36" s="142"/>
      <c r="ES36" s="142"/>
      <c r="ET36" s="143"/>
      <c r="EU36" s="142"/>
      <c r="EV36" s="142"/>
      <c r="EW36" s="143"/>
    </row>
    <row r="37" customFormat="false" ht="15" hidden="false" customHeight="true" outlineLevel="0" collapsed="false">
      <c r="A37" s="144" t="s">
        <v>1257</v>
      </c>
      <c r="B37" s="145" t="n">
        <v>46257</v>
      </c>
      <c r="C37" s="145" t="n">
        <v>46258</v>
      </c>
      <c r="D37" s="142"/>
      <c r="E37" s="142"/>
      <c r="F37" s="143"/>
      <c r="G37" s="142"/>
      <c r="H37" s="142"/>
      <c r="I37" s="143"/>
      <c r="J37" s="142"/>
      <c r="K37" s="142"/>
      <c r="L37" s="143"/>
      <c r="M37" s="142"/>
      <c r="N37" s="142"/>
      <c r="O37" s="143"/>
      <c r="P37" s="142"/>
      <c r="Q37" s="142"/>
      <c r="R37" s="143"/>
      <c r="S37" s="142"/>
      <c r="T37" s="142"/>
      <c r="U37" s="143"/>
      <c r="V37" s="142"/>
      <c r="W37" s="142"/>
      <c r="X37" s="143"/>
      <c r="Y37" s="142"/>
      <c r="Z37" s="142"/>
      <c r="AA37" s="143"/>
      <c r="AB37" s="142"/>
      <c r="AC37" s="142"/>
      <c r="AD37" s="143"/>
      <c r="AE37" s="142"/>
      <c r="AF37" s="142"/>
      <c r="AG37" s="143"/>
      <c r="AH37" s="142"/>
      <c r="AI37" s="142"/>
      <c r="AJ37" s="143"/>
      <c r="AK37" s="142"/>
      <c r="AL37" s="142"/>
      <c r="AM37" s="143"/>
      <c r="AN37" s="142"/>
      <c r="AO37" s="142"/>
      <c r="AP37" s="143"/>
      <c r="AQ37" s="142"/>
      <c r="AR37" s="142"/>
      <c r="AS37" s="143"/>
      <c r="AT37" s="142"/>
      <c r="AU37" s="142"/>
      <c r="AV37" s="143"/>
      <c r="AW37" s="142"/>
      <c r="AX37" s="142"/>
      <c r="AY37" s="143"/>
      <c r="AZ37" s="142"/>
      <c r="BA37" s="142"/>
      <c r="BB37" s="143"/>
      <c r="BC37" s="142"/>
      <c r="BD37" s="142"/>
      <c r="BE37" s="143"/>
      <c r="BF37" s="142"/>
      <c r="BG37" s="142"/>
      <c r="BH37" s="143"/>
      <c r="BI37" s="142"/>
      <c r="BJ37" s="142"/>
      <c r="BK37" s="143"/>
      <c r="BL37" s="142"/>
      <c r="BM37" s="142"/>
      <c r="BN37" s="143"/>
      <c r="BO37" s="142"/>
      <c r="BP37" s="142"/>
      <c r="BQ37" s="143"/>
      <c r="BR37" s="142"/>
      <c r="BS37" s="142"/>
      <c r="BT37" s="143"/>
      <c r="BU37" s="142"/>
      <c r="BV37" s="142"/>
      <c r="BW37" s="143"/>
      <c r="BX37" s="142"/>
      <c r="BY37" s="142"/>
      <c r="BZ37" s="143"/>
      <c r="CA37" s="142"/>
      <c r="CB37" s="142"/>
      <c r="CC37" s="143"/>
      <c r="CD37" s="142"/>
      <c r="CE37" s="142"/>
      <c r="CF37" s="143"/>
      <c r="CG37" s="142"/>
      <c r="CH37" s="142"/>
      <c r="CI37" s="143"/>
      <c r="CJ37" s="142"/>
      <c r="CK37" s="142"/>
      <c r="CL37" s="143"/>
      <c r="CM37" s="142"/>
      <c r="CN37" s="142"/>
      <c r="CO37" s="143"/>
      <c r="CP37" s="142"/>
      <c r="CQ37" s="142"/>
      <c r="CR37" s="143"/>
      <c r="CS37" s="142"/>
      <c r="CT37" s="142"/>
      <c r="CU37" s="143"/>
      <c r="CV37" s="142"/>
      <c r="CW37" s="142"/>
      <c r="CX37" s="143"/>
      <c r="CY37" s="142"/>
      <c r="CZ37" s="142"/>
      <c r="DA37" s="143"/>
      <c r="DB37" s="142"/>
      <c r="DC37" s="142"/>
      <c r="DD37" s="143"/>
      <c r="DE37" s="142"/>
      <c r="DF37" s="142"/>
      <c r="DG37" s="143"/>
      <c r="DH37" s="142"/>
      <c r="DI37" s="142"/>
      <c r="DJ37" s="143"/>
      <c r="DK37" s="142" t="s">
        <v>1258</v>
      </c>
      <c r="DL37" s="142"/>
      <c r="DM37" s="143"/>
      <c r="DN37" s="142"/>
      <c r="DO37" s="142"/>
      <c r="DP37" s="143"/>
      <c r="DQ37" s="142"/>
      <c r="DR37" s="142"/>
      <c r="DS37" s="143"/>
      <c r="DT37" s="142"/>
      <c r="DU37" s="142"/>
      <c r="DV37" s="143"/>
      <c r="DW37" s="142"/>
      <c r="DX37" s="142"/>
      <c r="DY37" s="143"/>
      <c r="DZ37" s="142"/>
      <c r="EA37" s="142"/>
      <c r="EB37" s="143"/>
      <c r="EC37" s="142"/>
      <c r="ED37" s="142"/>
      <c r="EE37" s="143"/>
      <c r="EF37" s="142"/>
      <c r="EG37" s="142"/>
      <c r="EH37" s="143"/>
      <c r="EI37" s="142"/>
      <c r="EJ37" s="142"/>
      <c r="EK37" s="143"/>
      <c r="EL37" s="142"/>
      <c r="EM37" s="142"/>
      <c r="EN37" s="143"/>
      <c r="EO37" s="142"/>
      <c r="EP37" s="142"/>
      <c r="EQ37" s="143"/>
      <c r="ER37" s="142"/>
      <c r="ES37" s="142"/>
      <c r="ET37" s="143"/>
      <c r="EU37" s="142"/>
      <c r="EV37" s="142"/>
      <c r="EW37" s="143"/>
    </row>
    <row r="38" customFormat="false" ht="15" hidden="false" customHeight="true" outlineLevel="0" collapsed="false">
      <c r="A38" s="151" t="s">
        <v>1259</v>
      </c>
      <c r="B38" s="152" t="n">
        <v>46258</v>
      </c>
      <c r="C38" s="152"/>
      <c r="D38" s="153"/>
      <c r="E38" s="153"/>
      <c r="F38" s="154"/>
      <c r="G38" s="153"/>
      <c r="H38" s="153"/>
      <c r="I38" s="154"/>
      <c r="J38" s="153"/>
      <c r="K38" s="153"/>
      <c r="L38" s="154"/>
      <c r="M38" s="153"/>
      <c r="N38" s="153"/>
      <c r="O38" s="154"/>
      <c r="P38" s="153"/>
      <c r="Q38" s="153"/>
      <c r="R38" s="154"/>
      <c r="S38" s="153"/>
      <c r="T38" s="153"/>
      <c r="U38" s="154"/>
      <c r="V38" s="153"/>
      <c r="W38" s="153"/>
      <c r="X38" s="154"/>
      <c r="Y38" s="153"/>
      <c r="Z38" s="153"/>
      <c r="AA38" s="154"/>
      <c r="AB38" s="153"/>
      <c r="AC38" s="153"/>
      <c r="AD38" s="154"/>
      <c r="AE38" s="153"/>
      <c r="AF38" s="153"/>
      <c r="AG38" s="154"/>
      <c r="AH38" s="153"/>
      <c r="AI38" s="153"/>
      <c r="AJ38" s="154"/>
      <c r="AK38" s="153"/>
      <c r="AL38" s="153"/>
      <c r="AM38" s="154"/>
      <c r="AN38" s="153"/>
      <c r="AO38" s="153"/>
      <c r="AP38" s="154"/>
      <c r="AQ38" s="153"/>
      <c r="AR38" s="153"/>
      <c r="AS38" s="154"/>
      <c r="AT38" s="153"/>
      <c r="AU38" s="153"/>
      <c r="AV38" s="154"/>
      <c r="AW38" s="153"/>
      <c r="AX38" s="153"/>
      <c r="AY38" s="154"/>
      <c r="AZ38" s="153"/>
      <c r="BA38" s="153"/>
      <c r="BB38" s="154"/>
      <c r="BC38" s="153"/>
      <c r="BD38" s="153"/>
      <c r="BE38" s="154"/>
      <c r="BF38" s="153"/>
      <c r="BG38" s="153"/>
      <c r="BH38" s="154"/>
      <c r="BI38" s="153"/>
      <c r="BJ38" s="153"/>
      <c r="BK38" s="154"/>
      <c r="BL38" s="153"/>
      <c r="BM38" s="153"/>
      <c r="BN38" s="154"/>
      <c r="BO38" s="153"/>
      <c r="BP38" s="153"/>
      <c r="BQ38" s="154"/>
      <c r="BR38" s="153"/>
      <c r="BS38" s="153"/>
      <c r="BT38" s="154"/>
      <c r="BU38" s="153"/>
      <c r="BV38" s="153"/>
      <c r="BW38" s="154"/>
      <c r="BX38" s="153"/>
      <c r="BY38" s="153"/>
      <c r="BZ38" s="154"/>
      <c r="CA38" s="153"/>
      <c r="CB38" s="153"/>
      <c r="CC38" s="154"/>
      <c r="CD38" s="153"/>
      <c r="CE38" s="153"/>
      <c r="CF38" s="154"/>
      <c r="CG38" s="153"/>
      <c r="CH38" s="153"/>
      <c r="CI38" s="154"/>
      <c r="CJ38" s="153"/>
      <c r="CK38" s="153"/>
      <c r="CL38" s="154"/>
      <c r="CM38" s="153"/>
      <c r="CN38" s="153"/>
      <c r="CO38" s="154"/>
      <c r="CP38" s="153"/>
      <c r="CQ38" s="153"/>
      <c r="CR38" s="154"/>
      <c r="CS38" s="153"/>
      <c r="CT38" s="153"/>
      <c r="CU38" s="154"/>
      <c r="CV38" s="153"/>
      <c r="CW38" s="153"/>
      <c r="CX38" s="154"/>
      <c r="CY38" s="153"/>
      <c r="CZ38" s="153"/>
      <c r="DA38" s="154"/>
      <c r="DB38" s="153"/>
      <c r="DC38" s="153"/>
      <c r="DD38" s="154"/>
      <c r="DE38" s="153"/>
      <c r="DF38" s="153"/>
      <c r="DG38" s="154"/>
      <c r="DH38" s="153"/>
      <c r="DI38" s="153"/>
      <c r="DJ38" s="154"/>
      <c r="DK38" s="153" t="s">
        <v>1258</v>
      </c>
      <c r="DL38" s="153"/>
      <c r="DM38" s="154"/>
      <c r="DN38" s="153"/>
      <c r="DO38" s="153"/>
      <c r="DP38" s="154"/>
      <c r="DQ38" s="153"/>
      <c r="DR38" s="153"/>
      <c r="DS38" s="154"/>
      <c r="DT38" s="153"/>
      <c r="DU38" s="153"/>
      <c r="DV38" s="154"/>
      <c r="DW38" s="153"/>
      <c r="DX38" s="153"/>
      <c r="DY38" s="154"/>
      <c r="DZ38" s="153"/>
      <c r="EA38" s="153"/>
      <c r="EB38" s="154"/>
      <c r="EC38" s="153"/>
      <c r="ED38" s="153"/>
      <c r="EE38" s="154"/>
      <c r="EF38" s="153"/>
      <c r="EG38" s="153"/>
      <c r="EH38" s="154"/>
      <c r="EI38" s="153"/>
      <c r="EJ38" s="153"/>
      <c r="EK38" s="154"/>
      <c r="EL38" s="153"/>
      <c r="EM38" s="153"/>
      <c r="EN38" s="154"/>
      <c r="EO38" s="153"/>
      <c r="EP38" s="153"/>
      <c r="EQ38" s="154"/>
      <c r="ER38" s="153"/>
      <c r="ES38" s="153"/>
      <c r="ET38" s="154"/>
      <c r="EU38" s="153"/>
      <c r="EV38" s="153"/>
      <c r="EW38" s="154"/>
    </row>
    <row r="40" customFormat="false" ht="15.75" hidden="false" customHeight="true" outlineLevel="0" collapsed="false">
      <c r="A40" s="51" t="s">
        <v>1260</v>
      </c>
      <c r="B40" s="51"/>
      <c r="C40" s="51"/>
    </row>
    <row r="41" customFormat="false" ht="14.25" hidden="false" customHeight="true" outlineLevel="0" collapsed="false">
      <c r="A41" s="155" t="s">
        <v>1261</v>
      </c>
      <c r="B41" s="156" t="n">
        <f aca="false">IF($B$19="","",$B$19)</f>
        <v>46238</v>
      </c>
      <c r="C41" s="156"/>
      <c r="D41" s="157" t="n">
        <f aca="true">IF(AND(ISNUMBER($B41),$B41&gt;=TODAY()),$B41,9^9)</f>
        <v>387420489</v>
      </c>
    </row>
    <row r="42" customFormat="false" ht="14.25" hidden="false" customHeight="true" outlineLevel="0" collapsed="false">
      <c r="A42" s="158" t="s">
        <v>1262</v>
      </c>
      <c r="B42" s="159" t="n">
        <f aca="false">IF($B$23="","",$B$23)</f>
        <v>46229</v>
      </c>
      <c r="C42" s="159"/>
      <c r="D42" s="157" t="n">
        <f aca="true">IF(AND(ISNUMBER($B42),$B42&gt;=TODAY()),$B42,9^9)</f>
        <v>387420489</v>
      </c>
    </row>
    <row r="43" customFormat="false" ht="14.25" hidden="false" customHeight="true" outlineLevel="0" collapsed="false">
      <c r="A43" s="155" t="s">
        <v>1263</v>
      </c>
      <c r="B43" s="156" t="n">
        <f aca="false">IF($C$23="","",$C$23)</f>
        <v>46239</v>
      </c>
      <c r="C43" s="156"/>
      <c r="D43" s="157" t="n">
        <f aca="true">IF(AND(ISNUMBER($B43),$B43&gt;=TODAY()),$B43,9^9)</f>
        <v>387420489</v>
      </c>
    </row>
    <row r="44" customFormat="false" ht="14.25" hidden="false" customHeight="true" outlineLevel="0" collapsed="false">
      <c r="A44" s="158" t="s">
        <v>1264</v>
      </c>
      <c r="B44" s="159" t="n">
        <f aca="false">IF($B$18="","",$B$18)</f>
        <v>46229</v>
      </c>
      <c r="C44" s="159"/>
      <c r="D44" s="157" t="n">
        <f aca="true">IF(AND(ISNUMBER($B44),$B44&gt;=TODAY()),$B44,9^9)</f>
        <v>387420489</v>
      </c>
    </row>
    <row r="45" customFormat="false" ht="14.25" hidden="false" customHeight="true" outlineLevel="0" collapsed="false">
      <c r="A45" s="155" t="s">
        <v>1265</v>
      </c>
      <c r="B45" s="156" t="n">
        <f aca="false">IF($C$18="","",$C$18)</f>
        <v>46236</v>
      </c>
      <c r="C45" s="156"/>
      <c r="D45" s="157" t="n">
        <f aca="true">IF(AND(ISNUMBER($B45),$B45&gt;=TODAY()),$B45,9^9)</f>
        <v>387420489</v>
      </c>
    </row>
    <row r="46" customFormat="false" ht="14.25" hidden="false" customHeight="true" outlineLevel="0" collapsed="false">
      <c r="A46" s="158" t="s">
        <v>1266</v>
      </c>
      <c r="B46" s="159" t="n">
        <f aca="false">IF($C$28="","",$C$28)</f>
        <v>46253</v>
      </c>
      <c r="C46" s="159"/>
      <c r="D46" s="157" t="n">
        <f aca="true">IF(AND(ISNUMBER($B46),$B46&gt;=TODAY()),$B46,9^9)</f>
        <v>387420489</v>
      </c>
    </row>
    <row r="47" customFormat="false" ht="14.25" hidden="false" customHeight="true" outlineLevel="0" collapsed="false">
      <c r="A47" s="155" t="s">
        <v>1267</v>
      </c>
      <c r="B47" s="156" t="n">
        <f aca="false">IF($B$37="","",$B$37)</f>
        <v>46257</v>
      </c>
      <c r="C47" s="156"/>
      <c r="D47" s="157" t="n">
        <f aca="true">IF(AND(ISNUMBER($B47),$B47&gt;=TODAY()),$B47,9^9)</f>
        <v>387420489</v>
      </c>
    </row>
    <row r="48" customFormat="false" ht="14.25" hidden="false" customHeight="true" outlineLevel="0" collapsed="false">
      <c r="A48" s="158" t="s">
        <v>1268</v>
      </c>
      <c r="B48" s="159" t="n">
        <f aca="false">IF($B$38="","",$B$38)</f>
        <v>46258</v>
      </c>
      <c r="C48" s="159"/>
      <c r="D48" s="157" t="n">
        <f aca="true">IF(AND(ISNUMBER($B48),$B48&gt;=TODAY()),$B48,9^9)</f>
        <v>387420489</v>
      </c>
    </row>
  </sheetData>
  <mergeCells count="132">
    <mergeCell ref="A1:C2"/>
    <mergeCell ref="D1:AP2"/>
    <mergeCell ref="AQ1:EW2"/>
    <mergeCell ref="A3:A5"/>
    <mergeCell ref="B3:B5"/>
    <mergeCell ref="C3:C5"/>
    <mergeCell ref="D3:F3"/>
    <mergeCell ref="G3:I3"/>
    <mergeCell ref="J3:L3"/>
    <mergeCell ref="M3:O3"/>
    <mergeCell ref="P3:R3"/>
    <mergeCell ref="S3:U3"/>
    <mergeCell ref="V3:X3"/>
    <mergeCell ref="Y3:AA3"/>
    <mergeCell ref="AB3:AD3"/>
    <mergeCell ref="AE3:AG3"/>
    <mergeCell ref="AH3:AJ3"/>
    <mergeCell ref="AK3:AM3"/>
    <mergeCell ref="AN3:AP3"/>
    <mergeCell ref="AQ3:AS3"/>
    <mergeCell ref="AT3:AV3"/>
    <mergeCell ref="AW3:AY3"/>
    <mergeCell ref="AZ3:BB3"/>
    <mergeCell ref="BC3:BE3"/>
    <mergeCell ref="BF3:BH3"/>
    <mergeCell ref="BI3:BK3"/>
    <mergeCell ref="BL3:BN3"/>
    <mergeCell ref="BO3:BQ3"/>
    <mergeCell ref="BR3:BT3"/>
    <mergeCell ref="BU3:BW3"/>
    <mergeCell ref="BX3:BZ3"/>
    <mergeCell ref="CA3:CC3"/>
    <mergeCell ref="CD3:CF3"/>
    <mergeCell ref="CG3:CI3"/>
    <mergeCell ref="CJ3:CL3"/>
    <mergeCell ref="CM3:CO3"/>
    <mergeCell ref="CP3:CR3"/>
    <mergeCell ref="CS3:CU3"/>
    <mergeCell ref="CV3:CX3"/>
    <mergeCell ref="CY3:DA3"/>
    <mergeCell ref="DB3:DD3"/>
    <mergeCell ref="DE3:DG3"/>
    <mergeCell ref="DH3:DJ3"/>
    <mergeCell ref="DK3:DM3"/>
    <mergeCell ref="DN3:DP3"/>
    <mergeCell ref="DQ3:DS3"/>
    <mergeCell ref="DT3:DV3"/>
    <mergeCell ref="DW3:DY3"/>
    <mergeCell ref="DZ3:EB3"/>
    <mergeCell ref="EC3:EE3"/>
    <mergeCell ref="EF3:EH3"/>
    <mergeCell ref="EI3:EK3"/>
    <mergeCell ref="EL3:EN3"/>
    <mergeCell ref="EO3:EQ3"/>
    <mergeCell ref="ER3:ET3"/>
    <mergeCell ref="EU3:EW3"/>
    <mergeCell ref="D4:F4"/>
    <mergeCell ref="G4:I4"/>
    <mergeCell ref="J4:L4"/>
    <mergeCell ref="M4:O4"/>
    <mergeCell ref="P4:R4"/>
    <mergeCell ref="S4:U4"/>
    <mergeCell ref="V4:X4"/>
    <mergeCell ref="Y4:AA4"/>
    <mergeCell ref="AB4:AD4"/>
    <mergeCell ref="AE4:AG4"/>
    <mergeCell ref="AH4:AJ4"/>
    <mergeCell ref="AK4:AM4"/>
    <mergeCell ref="AN4:AP4"/>
    <mergeCell ref="AQ4:AS4"/>
    <mergeCell ref="AT4:AV4"/>
    <mergeCell ref="AW4:AY4"/>
    <mergeCell ref="AZ4:BB4"/>
    <mergeCell ref="BC4:BE4"/>
    <mergeCell ref="BF4:BH4"/>
    <mergeCell ref="BI4:BK4"/>
    <mergeCell ref="BL4:BN4"/>
    <mergeCell ref="BO4:BQ4"/>
    <mergeCell ref="BR4:BT4"/>
    <mergeCell ref="BU4:BW4"/>
    <mergeCell ref="BX4:BZ4"/>
    <mergeCell ref="CA4:CC4"/>
    <mergeCell ref="CD4:CF4"/>
    <mergeCell ref="CG4:CI4"/>
    <mergeCell ref="CJ4:CL4"/>
    <mergeCell ref="CM4:CO4"/>
    <mergeCell ref="CP4:CR4"/>
    <mergeCell ref="CS4:CU4"/>
    <mergeCell ref="CV4:CX4"/>
    <mergeCell ref="CY4:DA4"/>
    <mergeCell ref="DB4:DD4"/>
    <mergeCell ref="DE4:DG4"/>
    <mergeCell ref="DH4:DJ4"/>
    <mergeCell ref="DK4:DM4"/>
    <mergeCell ref="DN4:DP4"/>
    <mergeCell ref="DQ4:DS4"/>
    <mergeCell ref="DT4:DV4"/>
    <mergeCell ref="DW4:DY4"/>
    <mergeCell ref="DZ4:EB4"/>
    <mergeCell ref="EC4:EE4"/>
    <mergeCell ref="EF4:EH4"/>
    <mergeCell ref="EI4:EK4"/>
    <mergeCell ref="EL4:EN4"/>
    <mergeCell ref="EO4:EQ4"/>
    <mergeCell ref="ER4:ET4"/>
    <mergeCell ref="EU4:EW4"/>
    <mergeCell ref="A6:C6"/>
    <mergeCell ref="B7:C7"/>
    <mergeCell ref="B8:C8"/>
    <mergeCell ref="B12:C12"/>
    <mergeCell ref="A13:C13"/>
    <mergeCell ref="B14:C14"/>
    <mergeCell ref="BF14:BG14"/>
    <mergeCell ref="BF17:BG17"/>
    <mergeCell ref="B19:C19"/>
    <mergeCell ref="A20:C20"/>
    <mergeCell ref="B25:C25"/>
    <mergeCell ref="A26:C26"/>
    <mergeCell ref="B33:C33"/>
    <mergeCell ref="B34:C34"/>
    <mergeCell ref="B35:C35"/>
    <mergeCell ref="A36:C36"/>
    <mergeCell ref="B38:C38"/>
    <mergeCell ref="A40:C40"/>
    <mergeCell ref="B41:C41"/>
    <mergeCell ref="B42:C42"/>
    <mergeCell ref="B43:C43"/>
    <mergeCell ref="B44:C44"/>
    <mergeCell ref="B45:C45"/>
    <mergeCell ref="B46:C46"/>
    <mergeCell ref="B47:C47"/>
    <mergeCell ref="B48:C48"/>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K5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G8" activeCellId="0" sqref="G8"/>
    </sheetView>
  </sheetViews>
  <sheetFormatPr defaultColWidth="8.6796875" defaultRowHeight="14.25" zeroHeight="false" outlineLevelRow="0" outlineLevelCol="0"/>
  <cols>
    <col collapsed="false" customWidth="true" hidden="false" outlineLevel="0" max="1" min="1" style="1" width="5"/>
    <col collapsed="false" customWidth="true" hidden="false" outlineLevel="0" max="2" min="2" style="1" width="10"/>
    <col collapsed="false" customWidth="true" hidden="false" outlineLevel="0" max="4" min="3" style="1" width="16"/>
    <col collapsed="false" customWidth="true" hidden="false" outlineLevel="0" max="5" min="5" style="1" width="58"/>
    <col collapsed="false" customWidth="true" hidden="false" outlineLevel="0" max="6" min="6" style="1" width="28"/>
    <col collapsed="false" customWidth="true" hidden="false" outlineLevel="0" max="7" min="7" style="1" width="44"/>
    <col collapsed="false" customWidth="true" hidden="true" outlineLevel="0" max="8" min="8" style="1" width="12"/>
    <col collapsed="false" customWidth="true" hidden="false" outlineLevel="0" max="9" min="9" style="1" width="12"/>
    <col collapsed="false" customWidth="true" hidden="false" outlineLevel="0" max="10" min="10" style="1" width="14"/>
    <col collapsed="false" customWidth="true" hidden="false" outlineLevel="0" max="11" min="11" style="1" width="7"/>
  </cols>
  <sheetData>
    <row r="1" customFormat="false" ht="33.75" hidden="false" customHeight="true" outlineLevel="0" collapsed="false">
      <c r="A1" s="160" t="s">
        <v>1269</v>
      </c>
      <c r="B1" s="160"/>
      <c r="C1" s="160"/>
      <c r="D1" s="160"/>
      <c r="E1" s="160"/>
      <c r="F1" s="160"/>
      <c r="G1" s="160"/>
      <c r="H1" s="160"/>
      <c r="I1" s="160"/>
      <c r="J1" s="160"/>
      <c r="K1" s="160"/>
    </row>
    <row r="2" customFormat="false" ht="15.75" hidden="false" customHeight="true" outlineLevel="0" collapsed="false">
      <c r="A2" s="161" t="s">
        <v>1270</v>
      </c>
      <c r="B2" s="161"/>
      <c r="C2" s="161"/>
      <c r="D2" s="161"/>
      <c r="E2" s="161"/>
      <c r="F2" s="161"/>
      <c r="G2" s="161"/>
      <c r="H2" s="161"/>
      <c r="I2" s="161"/>
      <c r="J2" s="161"/>
      <c r="K2" s="161"/>
    </row>
    <row r="3" customFormat="false" ht="27.75" hidden="false" customHeight="true" outlineLevel="0" collapsed="false">
      <c r="A3" s="162" t="s">
        <v>1145</v>
      </c>
      <c r="B3" s="162" t="s">
        <v>1271</v>
      </c>
      <c r="C3" s="162" t="s">
        <v>4</v>
      </c>
      <c r="D3" s="162" t="s">
        <v>1272</v>
      </c>
      <c r="E3" s="162" t="s">
        <v>1273</v>
      </c>
      <c r="F3" s="162" t="s">
        <v>9</v>
      </c>
      <c r="G3" s="162" t="s">
        <v>1274</v>
      </c>
      <c r="H3" s="162" t="s">
        <v>1275</v>
      </c>
      <c r="I3" s="162" t="s">
        <v>1276</v>
      </c>
      <c r="J3" s="162" t="s">
        <v>1277</v>
      </c>
      <c r="K3" s="162" t="s">
        <v>1151</v>
      </c>
    </row>
    <row r="4" customFormat="false" ht="48" hidden="false" customHeight="true" outlineLevel="0" collapsed="false">
      <c r="A4" s="163" t="n">
        <f aca="false">IF(COUNTA(B4:G4)&gt;0,ROW()-3,"")</f>
        <v>1</v>
      </c>
      <c r="B4" s="164" t="n">
        <v>30001575</v>
      </c>
      <c r="C4" s="165" t="s">
        <v>49</v>
      </c>
      <c r="D4" s="166" t="s">
        <v>1278</v>
      </c>
      <c r="E4" s="167" t="s">
        <v>1279</v>
      </c>
      <c r="F4" s="165" t="s">
        <v>1280</v>
      </c>
      <c r="G4" s="168" t="s">
        <v>1281</v>
      </c>
      <c r="H4" s="169" t="s">
        <v>1282</v>
      </c>
      <c r="I4" s="170"/>
      <c r="J4" s="170"/>
      <c r="K4" s="170"/>
    </row>
    <row r="5" customFormat="false" ht="60" hidden="false" customHeight="true" outlineLevel="0" collapsed="false">
      <c r="A5" s="163" t="n">
        <f aca="false">IF(COUNTA(B5:G5)&gt;0,ROW()-3,"")</f>
        <v>2</v>
      </c>
      <c r="B5" s="171" t="n">
        <v>30001575</v>
      </c>
      <c r="C5" s="172" t="s">
        <v>49</v>
      </c>
      <c r="D5" s="173" t="s">
        <v>1283</v>
      </c>
      <c r="E5" s="174" t="s">
        <v>1284</v>
      </c>
      <c r="F5" s="172" t="s">
        <v>1280</v>
      </c>
      <c r="G5" s="168" t="s">
        <v>1285</v>
      </c>
      <c r="H5" s="169" t="s">
        <v>1282</v>
      </c>
      <c r="I5" s="170"/>
      <c r="J5" s="170"/>
      <c r="K5" s="170"/>
    </row>
    <row r="6" customFormat="false" ht="30" hidden="false" customHeight="true" outlineLevel="0" collapsed="false">
      <c r="A6" s="163" t="n">
        <f aca="false">IF(COUNTA(B6:G6)&gt;0,ROW()-3,"")</f>
        <v>3</v>
      </c>
      <c r="B6" s="171" t="n">
        <v>30001575</v>
      </c>
      <c r="C6" s="172" t="s">
        <v>49</v>
      </c>
      <c r="D6" s="173" t="s">
        <v>1286</v>
      </c>
      <c r="E6" s="174" t="s">
        <v>1287</v>
      </c>
      <c r="F6" s="172" t="s">
        <v>1280</v>
      </c>
      <c r="G6" s="168" t="s">
        <v>1288</v>
      </c>
      <c r="H6" s="169" t="s">
        <v>1282</v>
      </c>
      <c r="I6" s="170"/>
      <c r="J6" s="170"/>
      <c r="K6" s="170"/>
    </row>
    <row r="7" customFormat="false" ht="30" hidden="false" customHeight="true" outlineLevel="0" collapsed="false">
      <c r="A7" s="163" t="n">
        <f aca="false">IF(COUNTA(B7:G7)&gt;0,ROW()-3,"")</f>
        <v>4</v>
      </c>
      <c r="B7" s="171" t="n">
        <v>30001575</v>
      </c>
      <c r="C7" s="172" t="s">
        <v>49</v>
      </c>
      <c r="D7" s="173" t="s">
        <v>1289</v>
      </c>
      <c r="E7" s="174" t="s">
        <v>1290</v>
      </c>
      <c r="F7" s="172" t="s">
        <v>1280</v>
      </c>
      <c r="G7" s="168" t="s">
        <v>1291</v>
      </c>
      <c r="H7" s="169" t="s">
        <v>1282</v>
      </c>
      <c r="I7" s="170"/>
      <c r="J7" s="170"/>
      <c r="K7" s="170"/>
    </row>
    <row r="8" customFormat="false" ht="36" hidden="false" customHeight="true" outlineLevel="0" collapsed="false">
      <c r="A8" s="163" t="n">
        <f aca="false">IF(COUNTA(B8:G8)&gt;0,ROW()-3,"")</f>
        <v>5</v>
      </c>
      <c r="B8" s="171" t="n">
        <v>30001575</v>
      </c>
      <c r="C8" s="172" t="s">
        <v>49</v>
      </c>
      <c r="D8" s="173" t="s">
        <v>1292</v>
      </c>
      <c r="E8" s="174" t="s">
        <v>1293</v>
      </c>
      <c r="F8" s="172" t="s">
        <v>1280</v>
      </c>
      <c r="G8" s="168" t="s">
        <v>1294</v>
      </c>
      <c r="H8" s="169" t="s">
        <v>1282</v>
      </c>
      <c r="I8" s="170"/>
      <c r="J8" s="170"/>
      <c r="K8" s="170"/>
    </row>
    <row r="9" customFormat="false" ht="36" hidden="false" customHeight="true" outlineLevel="0" collapsed="false">
      <c r="A9" s="163" t="n">
        <f aca="false">IF(COUNTA(B9:G9)&gt;0,ROW()-3,"")</f>
        <v>6</v>
      </c>
      <c r="B9" s="171" t="n">
        <v>30001575</v>
      </c>
      <c r="C9" s="172" t="s">
        <v>49</v>
      </c>
      <c r="D9" s="173" t="s">
        <v>1295</v>
      </c>
      <c r="E9" s="174" t="s">
        <v>1296</v>
      </c>
      <c r="F9" s="172" t="s">
        <v>1280</v>
      </c>
      <c r="G9" s="168" t="s">
        <v>1297</v>
      </c>
      <c r="H9" s="169" t="s">
        <v>1282</v>
      </c>
      <c r="I9" s="170"/>
      <c r="J9" s="170"/>
      <c r="K9" s="170"/>
    </row>
    <row r="10" customFormat="false" ht="30" hidden="false" customHeight="true" outlineLevel="0" collapsed="false">
      <c r="A10" s="163" t="n">
        <f aca="false">IF(COUNTA(B10:G10)&gt;0,ROW()-3,"")</f>
        <v>7</v>
      </c>
      <c r="B10" s="171" t="n">
        <v>30001575</v>
      </c>
      <c r="C10" s="172" t="s">
        <v>49</v>
      </c>
      <c r="D10" s="173" t="s">
        <v>1298</v>
      </c>
      <c r="E10" s="174" t="s">
        <v>1299</v>
      </c>
      <c r="F10" s="172" t="s">
        <v>1280</v>
      </c>
      <c r="G10" s="168" t="s">
        <v>1300</v>
      </c>
      <c r="H10" s="169" t="s">
        <v>1282</v>
      </c>
      <c r="I10" s="170"/>
      <c r="J10" s="170"/>
      <c r="K10" s="170"/>
    </row>
    <row r="11" customFormat="false" ht="60" hidden="false" customHeight="true" outlineLevel="0" collapsed="false">
      <c r="A11" s="163" t="n">
        <f aca="false">IF(COUNTA(B11:G11)&gt;0,ROW()-3,"")</f>
        <v>8</v>
      </c>
      <c r="B11" s="171" t="n">
        <v>30001575</v>
      </c>
      <c r="C11" s="172" t="s">
        <v>49</v>
      </c>
      <c r="D11" s="173" t="s">
        <v>1301</v>
      </c>
      <c r="E11" s="174" t="s">
        <v>1302</v>
      </c>
      <c r="F11" s="172" t="s">
        <v>1280</v>
      </c>
      <c r="G11" s="168" t="s">
        <v>1303</v>
      </c>
      <c r="H11" s="169" t="s">
        <v>1282</v>
      </c>
      <c r="I11" s="170"/>
      <c r="J11" s="170"/>
      <c r="K11" s="170"/>
    </row>
    <row r="12" customFormat="false" ht="90" hidden="false" customHeight="true" outlineLevel="0" collapsed="false">
      <c r="A12" s="163" t="n">
        <f aca="false">IF(COUNTA(B12:G12)&gt;0,ROW()-3,"")</f>
        <v>9</v>
      </c>
      <c r="B12" s="171" t="n">
        <v>30001575</v>
      </c>
      <c r="C12" s="172" t="s">
        <v>49</v>
      </c>
      <c r="D12" s="173" t="s">
        <v>1304</v>
      </c>
      <c r="E12" s="174" t="s">
        <v>1305</v>
      </c>
      <c r="F12" s="172" t="s">
        <v>1280</v>
      </c>
      <c r="G12" s="168" t="s">
        <v>1306</v>
      </c>
      <c r="H12" s="169" t="s">
        <v>1282</v>
      </c>
      <c r="I12" s="170"/>
      <c r="J12" s="170"/>
      <c r="K12" s="170"/>
    </row>
    <row r="13" customFormat="false" ht="90" hidden="false" customHeight="true" outlineLevel="0" collapsed="false">
      <c r="A13" s="163" t="n">
        <f aca="false">IF(COUNTA(B13:G13)&gt;0,ROW()-3,"")</f>
        <v>10</v>
      </c>
      <c r="B13" s="171" t="n">
        <v>30001575</v>
      </c>
      <c r="C13" s="172" t="s">
        <v>49</v>
      </c>
      <c r="D13" s="173" t="s">
        <v>1304</v>
      </c>
      <c r="E13" s="174" t="s">
        <v>1305</v>
      </c>
      <c r="F13" s="172" t="s">
        <v>1280</v>
      </c>
      <c r="G13" s="168" t="s">
        <v>1307</v>
      </c>
      <c r="H13" s="169" t="s">
        <v>1282</v>
      </c>
      <c r="I13" s="170"/>
      <c r="J13" s="170"/>
      <c r="K13" s="170"/>
    </row>
    <row r="14" customFormat="false" ht="30" hidden="false" customHeight="true" outlineLevel="0" collapsed="false">
      <c r="A14" s="163" t="n">
        <f aca="false">IF(COUNTA(B14:G14)&gt;0,ROW()-3,"")</f>
        <v>11</v>
      </c>
      <c r="B14" s="171" t="n">
        <v>30001575</v>
      </c>
      <c r="C14" s="172" t="s">
        <v>49</v>
      </c>
      <c r="D14" s="173" t="s">
        <v>1308</v>
      </c>
      <c r="E14" s="174" t="s">
        <v>1309</v>
      </c>
      <c r="F14" s="172" t="s">
        <v>1280</v>
      </c>
      <c r="G14" s="168" t="s">
        <v>1310</v>
      </c>
      <c r="H14" s="169" t="s">
        <v>1282</v>
      </c>
      <c r="I14" s="170"/>
      <c r="J14" s="170"/>
      <c r="K14" s="170"/>
    </row>
    <row r="15" customFormat="false" ht="48" hidden="false" customHeight="true" outlineLevel="0" collapsed="false">
      <c r="A15" s="163" t="n">
        <f aca="false">IF(COUNTA(B15:G15)&gt;0,ROW()-3,"")</f>
        <v>12</v>
      </c>
      <c r="B15" s="171" t="n">
        <v>30001575</v>
      </c>
      <c r="C15" s="172" t="s">
        <v>49</v>
      </c>
      <c r="D15" s="173" t="s">
        <v>1301</v>
      </c>
      <c r="E15" s="174" t="s">
        <v>1311</v>
      </c>
      <c r="F15" s="172" t="s">
        <v>1280</v>
      </c>
      <c r="G15" s="168" t="s">
        <v>1312</v>
      </c>
      <c r="H15" s="169" t="s">
        <v>1282</v>
      </c>
      <c r="I15" s="170"/>
      <c r="J15" s="170"/>
      <c r="K15" s="170"/>
    </row>
    <row r="16" customFormat="false" ht="30" hidden="false" customHeight="true" outlineLevel="0" collapsed="false">
      <c r="A16" s="163" t="n">
        <f aca="false">IF(COUNTA(B16:G16)&gt;0,ROW()-3,"")</f>
        <v>13</v>
      </c>
      <c r="B16" s="171" t="n">
        <v>30001575</v>
      </c>
      <c r="C16" s="172" t="s">
        <v>49</v>
      </c>
      <c r="D16" s="173" t="s">
        <v>1308</v>
      </c>
      <c r="E16" s="174" t="s">
        <v>1313</v>
      </c>
      <c r="F16" s="172" t="s">
        <v>1280</v>
      </c>
      <c r="G16" s="168" t="s">
        <v>1314</v>
      </c>
      <c r="H16" s="169" t="s">
        <v>1282</v>
      </c>
      <c r="I16" s="170"/>
      <c r="J16" s="170"/>
      <c r="K16" s="170"/>
    </row>
    <row r="17" customFormat="false" ht="30" hidden="false" customHeight="true" outlineLevel="0" collapsed="false">
      <c r="A17" s="163" t="n">
        <f aca="false">IF(COUNTA(B17:G17)&gt;0,ROW()-3,"")</f>
        <v>14</v>
      </c>
      <c r="B17" s="171" t="n">
        <v>30001575</v>
      </c>
      <c r="C17" s="172" t="s">
        <v>49</v>
      </c>
      <c r="D17" s="173" t="s">
        <v>1315</v>
      </c>
      <c r="E17" s="174" t="s">
        <v>1316</v>
      </c>
      <c r="F17" s="172" t="s">
        <v>1280</v>
      </c>
      <c r="G17" s="168" t="s">
        <v>1317</v>
      </c>
      <c r="H17" s="169" t="s">
        <v>1282</v>
      </c>
      <c r="I17" s="170"/>
      <c r="J17" s="170"/>
      <c r="K17" s="170"/>
    </row>
    <row r="18" customFormat="false" ht="60" hidden="false" customHeight="true" outlineLevel="0" collapsed="false">
      <c r="A18" s="163" t="n">
        <f aca="false">IF(COUNTA(B18:G18)&gt;0,ROW()-3,"")</f>
        <v>15</v>
      </c>
      <c r="B18" s="171" t="n">
        <v>30001575</v>
      </c>
      <c r="C18" s="172" t="s">
        <v>49</v>
      </c>
      <c r="D18" s="173" t="s">
        <v>1315</v>
      </c>
      <c r="E18" s="174" t="s">
        <v>1318</v>
      </c>
      <c r="F18" s="172" t="s">
        <v>1280</v>
      </c>
      <c r="G18" s="168" t="s">
        <v>1319</v>
      </c>
      <c r="H18" s="169" t="s">
        <v>1282</v>
      </c>
      <c r="I18" s="170"/>
      <c r="J18" s="170"/>
      <c r="K18" s="170"/>
    </row>
    <row r="19" customFormat="false" ht="15" hidden="false" customHeight="true" outlineLevel="0" collapsed="false">
      <c r="A19" s="163" t="n">
        <f aca="false">IF(COUNTA(B19:G19)&gt;0,ROW()-3,"")</f>
        <v>16</v>
      </c>
      <c r="B19" s="171" t="n">
        <v>30001575</v>
      </c>
      <c r="C19" s="172" t="s">
        <v>49</v>
      </c>
      <c r="D19" s="173" t="s">
        <v>1301</v>
      </c>
      <c r="E19" s="174" t="s">
        <v>1320</v>
      </c>
      <c r="F19" s="172" t="s">
        <v>1280</v>
      </c>
      <c r="G19" s="168" t="s">
        <v>1321</v>
      </c>
      <c r="H19" s="169" t="s">
        <v>1282</v>
      </c>
      <c r="I19" s="170"/>
      <c r="J19" s="170"/>
      <c r="K19" s="170"/>
    </row>
    <row r="20" customFormat="false" ht="15" hidden="false" customHeight="true" outlineLevel="0" collapsed="false">
      <c r="A20" s="163" t="n">
        <f aca="false">IF(COUNTA(B20:G20)&gt;0,ROW()-3,"")</f>
        <v>17</v>
      </c>
      <c r="B20" s="171" t="n">
        <v>30001575</v>
      </c>
      <c r="C20" s="172" t="s">
        <v>49</v>
      </c>
      <c r="D20" s="173" t="s">
        <v>1301</v>
      </c>
      <c r="E20" s="174" t="s">
        <v>1322</v>
      </c>
      <c r="F20" s="172" t="s">
        <v>1280</v>
      </c>
      <c r="G20" s="168" t="s">
        <v>1323</v>
      </c>
      <c r="H20" s="169" t="s">
        <v>1282</v>
      </c>
      <c r="I20" s="170"/>
      <c r="J20" s="170"/>
      <c r="K20" s="170"/>
    </row>
    <row r="21" customFormat="false" ht="15" hidden="false" customHeight="true" outlineLevel="0" collapsed="false">
      <c r="A21" s="163" t="n">
        <f aca="false">IF(COUNTA(B21:G21)&gt;0,ROW()-3,"")</f>
        <v>18</v>
      </c>
      <c r="B21" s="171" t="n">
        <v>30001575</v>
      </c>
      <c r="C21" s="172" t="s">
        <v>49</v>
      </c>
      <c r="D21" s="173" t="s">
        <v>1308</v>
      </c>
      <c r="E21" s="174" t="s">
        <v>1324</v>
      </c>
      <c r="F21" s="172" t="s">
        <v>1280</v>
      </c>
      <c r="G21" s="168" t="s">
        <v>1325</v>
      </c>
      <c r="H21" s="169" t="s">
        <v>1282</v>
      </c>
      <c r="I21" s="170"/>
      <c r="J21" s="170"/>
      <c r="K21" s="170"/>
    </row>
    <row r="22" customFormat="false" ht="15" hidden="false" customHeight="true" outlineLevel="0" collapsed="false">
      <c r="A22" s="163" t="n">
        <f aca="false">IF(COUNTA(B22:G22)&gt;0,ROW()-3,"")</f>
        <v>19</v>
      </c>
      <c r="B22" s="171" t="n">
        <v>30001575</v>
      </c>
      <c r="C22" s="172" t="s">
        <v>49</v>
      </c>
      <c r="D22" s="173" t="s">
        <v>1301</v>
      </c>
      <c r="E22" s="174" t="s">
        <v>1326</v>
      </c>
      <c r="F22" s="172" t="s">
        <v>1280</v>
      </c>
      <c r="G22" s="168" t="s">
        <v>1327</v>
      </c>
      <c r="H22" s="169" t="s">
        <v>1282</v>
      </c>
      <c r="I22" s="170"/>
      <c r="J22" s="170"/>
      <c r="K22" s="170"/>
    </row>
    <row r="23" customFormat="false" ht="30" hidden="false" customHeight="true" outlineLevel="0" collapsed="false">
      <c r="A23" s="163" t="n">
        <f aca="false">IF(COUNTA(B23:G23)&gt;0,ROW()-3,"")</f>
        <v>20</v>
      </c>
      <c r="B23" s="171" t="n">
        <v>30001575</v>
      </c>
      <c r="C23" s="172" t="s">
        <v>49</v>
      </c>
      <c r="D23" s="173" t="s">
        <v>1308</v>
      </c>
      <c r="E23" s="174" t="s">
        <v>1328</v>
      </c>
      <c r="F23" s="172" t="s">
        <v>1280</v>
      </c>
      <c r="G23" s="168" t="s">
        <v>1329</v>
      </c>
      <c r="H23" s="169" t="s">
        <v>1282</v>
      </c>
      <c r="I23" s="170"/>
      <c r="J23" s="170"/>
      <c r="K23" s="170"/>
    </row>
    <row r="24" customFormat="false" ht="15" hidden="false" customHeight="true" outlineLevel="0" collapsed="false">
      <c r="A24" s="163" t="n">
        <f aca="false">IF(COUNTA(B24:G24)&gt;0,ROW()-3,"")</f>
        <v>21</v>
      </c>
      <c r="B24" s="171" t="n">
        <v>30001575</v>
      </c>
      <c r="C24" s="172" t="s">
        <v>49</v>
      </c>
      <c r="D24" s="173" t="s">
        <v>1308</v>
      </c>
      <c r="E24" s="174" t="s">
        <v>1330</v>
      </c>
      <c r="F24" s="172" t="s">
        <v>1280</v>
      </c>
      <c r="G24" s="168" t="s">
        <v>1331</v>
      </c>
      <c r="H24" s="169" t="s">
        <v>1282</v>
      </c>
      <c r="I24" s="170"/>
      <c r="J24" s="170"/>
      <c r="K24" s="170"/>
    </row>
    <row r="25" customFormat="false" ht="30" hidden="false" customHeight="true" outlineLevel="0" collapsed="false">
      <c r="A25" s="163" t="n">
        <f aca="false">IF(COUNTA(B25:G25)&gt;0,ROW()-3,"")</f>
        <v>22</v>
      </c>
      <c r="B25" s="171" t="n">
        <v>30001575</v>
      </c>
      <c r="C25" s="172" t="s">
        <v>49</v>
      </c>
      <c r="D25" s="173" t="s">
        <v>1308</v>
      </c>
      <c r="E25" s="174" t="s">
        <v>1332</v>
      </c>
      <c r="F25" s="172" t="s">
        <v>1280</v>
      </c>
      <c r="G25" s="168" t="s">
        <v>1333</v>
      </c>
      <c r="H25" s="169" t="s">
        <v>1282</v>
      </c>
      <c r="I25" s="170"/>
      <c r="J25" s="170"/>
      <c r="K25" s="170"/>
    </row>
    <row r="26" customFormat="false" ht="30" hidden="false" customHeight="true" outlineLevel="0" collapsed="false">
      <c r="A26" s="163" t="n">
        <f aca="false">IF(COUNTA(B26:G26)&gt;0,ROW()-3,"")</f>
        <v>23</v>
      </c>
      <c r="B26" s="171" t="n">
        <v>30001575</v>
      </c>
      <c r="C26" s="172" t="s">
        <v>49</v>
      </c>
      <c r="D26" s="173" t="s">
        <v>1334</v>
      </c>
      <c r="E26" s="174" t="s">
        <v>1335</v>
      </c>
      <c r="F26" s="172" t="s">
        <v>1280</v>
      </c>
      <c r="G26" s="168" t="s">
        <v>1336</v>
      </c>
      <c r="H26" s="169" t="s">
        <v>1282</v>
      </c>
      <c r="I26" s="170"/>
      <c r="J26" s="170"/>
      <c r="K26" s="170"/>
    </row>
    <row r="27" customFormat="false" ht="30" hidden="false" customHeight="true" outlineLevel="0" collapsed="false">
      <c r="A27" s="163" t="n">
        <f aca="false">IF(COUNTA(B27:G27)&gt;0,ROW()-3,"")</f>
        <v>24</v>
      </c>
      <c r="B27" s="171" t="n">
        <v>30001575</v>
      </c>
      <c r="C27" s="172" t="s">
        <v>49</v>
      </c>
      <c r="D27" s="173" t="s">
        <v>1334</v>
      </c>
      <c r="E27" s="174" t="s">
        <v>1337</v>
      </c>
      <c r="F27" s="172" t="s">
        <v>1280</v>
      </c>
      <c r="G27" s="168" t="s">
        <v>1338</v>
      </c>
      <c r="H27" s="169" t="s">
        <v>1282</v>
      </c>
      <c r="I27" s="170"/>
      <c r="J27" s="170"/>
      <c r="K27" s="170"/>
    </row>
    <row r="28" customFormat="false" ht="24" hidden="false" customHeight="true" outlineLevel="0" collapsed="false">
      <c r="A28" s="163" t="n">
        <f aca="false">IF(COUNTA(B28:G28)&gt;0,ROW()-3,"")</f>
        <v>25</v>
      </c>
      <c r="B28" s="171" t="n">
        <v>30001575</v>
      </c>
      <c r="C28" s="172" t="s">
        <v>49</v>
      </c>
      <c r="D28" s="173" t="s">
        <v>1339</v>
      </c>
      <c r="E28" s="174" t="s">
        <v>1340</v>
      </c>
      <c r="F28" s="172" t="s">
        <v>1280</v>
      </c>
      <c r="G28" s="168" t="s">
        <v>1341</v>
      </c>
      <c r="H28" s="169" t="s">
        <v>1282</v>
      </c>
      <c r="I28" s="170"/>
      <c r="J28" s="170"/>
      <c r="K28" s="170"/>
    </row>
    <row r="29" customFormat="false" ht="48" hidden="false" customHeight="true" outlineLevel="0" collapsed="false">
      <c r="A29" s="163" t="n">
        <f aca="false">IF(COUNTA(B29:G29)&gt;0,ROW()-3,"")</f>
        <v>26</v>
      </c>
      <c r="B29" s="171" t="n">
        <v>30001575</v>
      </c>
      <c r="C29" s="172" t="s">
        <v>49</v>
      </c>
      <c r="D29" s="173" t="s">
        <v>1334</v>
      </c>
      <c r="E29" s="174" t="s">
        <v>1342</v>
      </c>
      <c r="F29" s="172" t="s">
        <v>1280</v>
      </c>
      <c r="G29" s="168" t="s">
        <v>1343</v>
      </c>
      <c r="H29" s="169" t="s">
        <v>1282</v>
      </c>
      <c r="I29" s="170"/>
      <c r="J29" s="170"/>
      <c r="K29" s="170"/>
    </row>
    <row r="30" customFormat="false" ht="48" hidden="false" customHeight="true" outlineLevel="0" collapsed="false">
      <c r="A30" s="163" t="n">
        <f aca="false">IF(COUNTA(B30:G30)&gt;0,ROW()-3,"")</f>
        <v>27</v>
      </c>
      <c r="B30" s="171" t="n">
        <v>30001575</v>
      </c>
      <c r="C30" s="172" t="s">
        <v>49</v>
      </c>
      <c r="D30" s="173" t="s">
        <v>1334</v>
      </c>
      <c r="E30" s="174" t="s">
        <v>1344</v>
      </c>
      <c r="F30" s="172" t="s">
        <v>1280</v>
      </c>
      <c r="G30" s="168" t="s">
        <v>1345</v>
      </c>
      <c r="H30" s="169" t="s">
        <v>1282</v>
      </c>
      <c r="I30" s="170"/>
      <c r="J30" s="170"/>
      <c r="K30" s="170"/>
    </row>
    <row r="31" customFormat="false" ht="36" hidden="false" customHeight="true" outlineLevel="0" collapsed="false">
      <c r="A31" s="163" t="n">
        <f aca="false">IF(COUNTA(B31:G31)&gt;0,ROW()-3,"")</f>
        <v>28</v>
      </c>
      <c r="B31" s="171" t="n">
        <v>30001575</v>
      </c>
      <c r="C31" s="172" t="s">
        <v>49</v>
      </c>
      <c r="D31" s="173" t="s">
        <v>1339</v>
      </c>
      <c r="E31" s="174" t="s">
        <v>1346</v>
      </c>
      <c r="F31" s="172" t="s">
        <v>1280</v>
      </c>
      <c r="G31" s="168" t="s">
        <v>1347</v>
      </c>
      <c r="H31" s="169" t="s">
        <v>1282</v>
      </c>
      <c r="I31" s="170"/>
      <c r="J31" s="170"/>
      <c r="K31" s="170"/>
    </row>
    <row r="32" customFormat="false" ht="30" hidden="false" customHeight="true" outlineLevel="0" collapsed="false">
      <c r="A32" s="163" t="n">
        <f aca="false">IF(COUNTA(B32:G32)&gt;0,ROW()-3,"")</f>
        <v>29</v>
      </c>
      <c r="B32" s="171" t="n">
        <v>30001575</v>
      </c>
      <c r="C32" s="172" t="s">
        <v>49</v>
      </c>
      <c r="D32" s="173" t="s">
        <v>1339</v>
      </c>
      <c r="E32" s="174" t="s">
        <v>1348</v>
      </c>
      <c r="F32" s="172" t="s">
        <v>1280</v>
      </c>
      <c r="G32" s="168" t="s">
        <v>1349</v>
      </c>
      <c r="H32" s="169" t="s">
        <v>1282</v>
      </c>
      <c r="I32" s="170"/>
      <c r="J32" s="170"/>
      <c r="K32" s="170"/>
    </row>
    <row r="33" customFormat="false" ht="30" hidden="false" customHeight="true" outlineLevel="0" collapsed="false">
      <c r="A33" s="163" t="n">
        <f aca="false">IF(COUNTA(B33:G33)&gt;0,ROW()-3,"")</f>
        <v>30</v>
      </c>
      <c r="B33" s="171" t="n">
        <v>30001575</v>
      </c>
      <c r="C33" s="172" t="s">
        <v>49</v>
      </c>
      <c r="D33" s="173" t="s">
        <v>1339</v>
      </c>
      <c r="E33" s="174" t="s">
        <v>1350</v>
      </c>
      <c r="F33" s="172" t="s">
        <v>1280</v>
      </c>
      <c r="G33" s="168" t="s">
        <v>1351</v>
      </c>
      <c r="H33" s="169" t="s">
        <v>1282</v>
      </c>
      <c r="I33" s="170"/>
      <c r="J33" s="170"/>
      <c r="K33" s="170"/>
    </row>
    <row r="34" customFormat="false" ht="30" hidden="false" customHeight="true" outlineLevel="0" collapsed="false">
      <c r="A34" s="163" t="n">
        <f aca="false">IF(COUNTA(B34:G34)&gt;0,ROW()-3,"")</f>
        <v>31</v>
      </c>
      <c r="B34" s="171" t="n">
        <v>30001575</v>
      </c>
      <c r="C34" s="172" t="s">
        <v>49</v>
      </c>
      <c r="D34" s="173" t="s">
        <v>1339</v>
      </c>
      <c r="E34" s="174" t="s">
        <v>1352</v>
      </c>
      <c r="F34" s="172" t="s">
        <v>1280</v>
      </c>
      <c r="G34" s="168" t="s">
        <v>1353</v>
      </c>
      <c r="H34" s="169" t="s">
        <v>1282</v>
      </c>
      <c r="I34" s="170"/>
      <c r="J34" s="170"/>
      <c r="K34" s="170"/>
    </row>
    <row r="35" customFormat="false" ht="30" hidden="false" customHeight="true" outlineLevel="0" collapsed="false">
      <c r="A35" s="163" t="n">
        <f aca="false">IF(COUNTA(B35:G35)&gt;0,ROW()-3,"")</f>
        <v>32</v>
      </c>
      <c r="B35" s="171" t="n">
        <v>30001575</v>
      </c>
      <c r="C35" s="172" t="s">
        <v>49</v>
      </c>
      <c r="D35" s="173" t="s">
        <v>1339</v>
      </c>
      <c r="E35" s="174" t="s">
        <v>1354</v>
      </c>
      <c r="F35" s="172" t="s">
        <v>1280</v>
      </c>
      <c r="G35" s="168" t="s">
        <v>1355</v>
      </c>
      <c r="H35" s="169" t="s">
        <v>1282</v>
      </c>
      <c r="I35" s="170"/>
      <c r="J35" s="170"/>
      <c r="K35" s="170"/>
    </row>
    <row r="36" customFormat="false" ht="15" hidden="false" customHeight="true" outlineLevel="0" collapsed="false">
      <c r="A36" s="163" t="n">
        <f aca="false">IF(COUNTA(B36:G36)&gt;0,ROW()-3,"")</f>
        <v>33</v>
      </c>
      <c r="B36" s="171" t="n">
        <v>30001575</v>
      </c>
      <c r="C36" s="172" t="s">
        <v>49</v>
      </c>
      <c r="D36" s="173" t="s">
        <v>1301</v>
      </c>
      <c r="E36" s="174" t="s">
        <v>1356</v>
      </c>
      <c r="F36" s="172" t="s">
        <v>1280</v>
      </c>
      <c r="G36" s="168" t="s">
        <v>1357</v>
      </c>
      <c r="H36" s="169" t="s">
        <v>1282</v>
      </c>
      <c r="I36" s="170"/>
      <c r="J36" s="170"/>
      <c r="K36" s="170"/>
    </row>
    <row r="37" customFormat="false" ht="15" hidden="false" customHeight="true" outlineLevel="0" collapsed="false">
      <c r="A37" s="163" t="n">
        <f aca="false">IF(COUNTA(B37:G37)&gt;0,ROW()-3,"")</f>
        <v>34</v>
      </c>
      <c r="B37" s="171" t="n">
        <v>30001575</v>
      </c>
      <c r="C37" s="172" t="s">
        <v>49</v>
      </c>
      <c r="D37" s="173" t="s">
        <v>1358</v>
      </c>
      <c r="E37" s="174" t="s">
        <v>1359</v>
      </c>
      <c r="F37" s="172" t="s">
        <v>1280</v>
      </c>
      <c r="G37" s="168" t="s">
        <v>1360</v>
      </c>
      <c r="H37" s="169" t="s">
        <v>1282</v>
      </c>
      <c r="I37" s="170"/>
      <c r="J37" s="170"/>
      <c r="K37" s="170"/>
    </row>
    <row r="38" customFormat="false" ht="15" hidden="false" customHeight="true" outlineLevel="0" collapsed="false">
      <c r="A38" s="163" t="n">
        <f aca="false">IF(COUNTA(B38:G38)&gt;0,ROW()-3,"")</f>
        <v>35</v>
      </c>
      <c r="B38" s="171" t="n">
        <v>30001575</v>
      </c>
      <c r="C38" s="172" t="s">
        <v>49</v>
      </c>
      <c r="D38" s="173" t="s">
        <v>1301</v>
      </c>
      <c r="E38" s="174" t="s">
        <v>1361</v>
      </c>
      <c r="F38" s="172" t="s">
        <v>1280</v>
      </c>
      <c r="G38" s="168" t="s">
        <v>1362</v>
      </c>
      <c r="H38" s="169" t="s">
        <v>1282</v>
      </c>
      <c r="I38" s="170"/>
      <c r="J38" s="170"/>
      <c r="K38" s="170"/>
    </row>
    <row r="39" customFormat="false" ht="15" hidden="false" customHeight="true" outlineLevel="0" collapsed="false">
      <c r="A39" s="163" t="n">
        <f aca="false">IF(COUNTA(B39:G39)&gt;0,ROW()-3,"")</f>
        <v>36</v>
      </c>
      <c r="B39" s="171" t="n">
        <v>30001575</v>
      </c>
      <c r="C39" s="172" t="s">
        <v>49</v>
      </c>
      <c r="D39" s="173" t="s">
        <v>1301</v>
      </c>
      <c r="E39" s="174" t="s">
        <v>1363</v>
      </c>
      <c r="F39" s="172" t="s">
        <v>1280</v>
      </c>
      <c r="G39" s="168" t="s">
        <v>1364</v>
      </c>
      <c r="H39" s="169" t="s">
        <v>1282</v>
      </c>
      <c r="I39" s="170"/>
      <c r="J39" s="170"/>
      <c r="K39" s="170"/>
    </row>
    <row r="40" customFormat="false" ht="15" hidden="false" customHeight="true" outlineLevel="0" collapsed="false">
      <c r="A40" s="163" t="n">
        <f aca="false">IF(COUNTA(B40:G40)&gt;0,ROW()-3,"")</f>
        <v>37</v>
      </c>
      <c r="B40" s="171" t="n">
        <v>30001575</v>
      </c>
      <c r="C40" s="172" t="s">
        <v>49</v>
      </c>
      <c r="D40" s="173" t="s">
        <v>1301</v>
      </c>
      <c r="E40" s="174" t="s">
        <v>1365</v>
      </c>
      <c r="F40" s="172" t="s">
        <v>1280</v>
      </c>
      <c r="G40" s="168" t="s">
        <v>1366</v>
      </c>
      <c r="H40" s="169" t="s">
        <v>1282</v>
      </c>
      <c r="I40" s="170"/>
      <c r="J40" s="170"/>
      <c r="K40" s="170"/>
    </row>
    <row r="41" customFormat="false" ht="15" hidden="false" customHeight="true" outlineLevel="0" collapsed="false">
      <c r="A41" s="163" t="n">
        <f aca="false">IF(COUNTA(B41:G41)&gt;0,ROW()-3,"")</f>
        <v>38</v>
      </c>
      <c r="B41" s="171" t="n">
        <v>30001575</v>
      </c>
      <c r="C41" s="172" t="s">
        <v>49</v>
      </c>
      <c r="D41" s="173" t="s">
        <v>1301</v>
      </c>
      <c r="E41" s="174" t="s">
        <v>1367</v>
      </c>
      <c r="F41" s="172" t="s">
        <v>1280</v>
      </c>
      <c r="G41" s="168" t="s">
        <v>1368</v>
      </c>
      <c r="H41" s="169" t="s">
        <v>1282</v>
      </c>
      <c r="I41" s="170"/>
      <c r="J41" s="170"/>
      <c r="K41" s="170"/>
    </row>
    <row r="42" customFormat="false" ht="30" hidden="false" customHeight="true" outlineLevel="0" collapsed="false">
      <c r="A42" s="163" t="n">
        <f aca="false">IF(COUNTA(B42:G42)&gt;0,ROW()-3,"")</f>
        <v>39</v>
      </c>
      <c r="B42" s="171" t="n">
        <v>30001575</v>
      </c>
      <c r="C42" s="172" t="s">
        <v>49</v>
      </c>
      <c r="D42" s="173" t="s">
        <v>1369</v>
      </c>
      <c r="E42" s="174" t="s">
        <v>1370</v>
      </c>
      <c r="F42" s="172" t="s">
        <v>1280</v>
      </c>
      <c r="G42" s="168" t="s">
        <v>1371</v>
      </c>
      <c r="H42" s="169" t="s">
        <v>1282</v>
      </c>
      <c r="I42" s="170"/>
      <c r="J42" s="170"/>
      <c r="K42" s="170"/>
    </row>
    <row r="43" customFormat="false" ht="15" hidden="false" customHeight="true" outlineLevel="0" collapsed="false">
      <c r="A43" s="163" t="n">
        <f aca="false">IF(COUNTA(B43:G43)&gt;0,ROW()-3,"")</f>
        <v>40</v>
      </c>
      <c r="B43" s="171" t="n">
        <v>30001575</v>
      </c>
      <c r="C43" s="172" t="s">
        <v>49</v>
      </c>
      <c r="D43" s="173" t="s">
        <v>1301</v>
      </c>
      <c r="E43" s="174" t="s">
        <v>1372</v>
      </c>
      <c r="F43" s="172" t="s">
        <v>1280</v>
      </c>
      <c r="G43" s="168" t="s">
        <v>1373</v>
      </c>
      <c r="H43" s="169" t="s">
        <v>1282</v>
      </c>
      <c r="I43" s="170"/>
      <c r="J43" s="170"/>
      <c r="K43" s="170"/>
    </row>
    <row r="44" customFormat="false" ht="15" hidden="false" customHeight="true" outlineLevel="0" collapsed="false">
      <c r="A44" s="163" t="n">
        <f aca="false">IF(COUNTA(B44:G44)&gt;0,ROW()-3,"")</f>
        <v>41</v>
      </c>
      <c r="B44" s="171" t="n">
        <v>30001575</v>
      </c>
      <c r="C44" s="172" t="s">
        <v>49</v>
      </c>
      <c r="D44" s="173" t="s">
        <v>1308</v>
      </c>
      <c r="E44" s="174" t="s">
        <v>1374</v>
      </c>
      <c r="F44" s="172" t="s">
        <v>1280</v>
      </c>
      <c r="G44" s="168" t="s">
        <v>1375</v>
      </c>
      <c r="H44" s="169" t="s">
        <v>1282</v>
      </c>
      <c r="I44" s="170"/>
      <c r="J44" s="170"/>
      <c r="K44" s="170"/>
    </row>
    <row r="45" customFormat="false" ht="15" hidden="false" customHeight="true" outlineLevel="0" collapsed="false">
      <c r="A45" s="163" t="n">
        <f aca="false">IF(COUNTA(B45:G45)&gt;0,ROW()-3,"")</f>
        <v>42</v>
      </c>
      <c r="B45" s="171" t="n">
        <v>30001575</v>
      </c>
      <c r="C45" s="172" t="s">
        <v>49</v>
      </c>
      <c r="D45" s="173" t="s">
        <v>1308</v>
      </c>
      <c r="E45" s="174" t="s">
        <v>1376</v>
      </c>
      <c r="F45" s="172" t="s">
        <v>1280</v>
      </c>
      <c r="G45" s="168" t="s">
        <v>1377</v>
      </c>
      <c r="H45" s="169" t="s">
        <v>1282</v>
      </c>
      <c r="I45" s="170"/>
      <c r="J45" s="170"/>
      <c r="K45" s="170"/>
    </row>
    <row r="46" customFormat="false" ht="15" hidden="false" customHeight="true" outlineLevel="0" collapsed="false">
      <c r="A46" s="163" t="n">
        <f aca="false">IF(COUNTA(B46:G46)&gt;0,ROW()-3,"")</f>
        <v>43</v>
      </c>
      <c r="B46" s="171" t="n">
        <v>30001575</v>
      </c>
      <c r="C46" s="172" t="s">
        <v>49</v>
      </c>
      <c r="D46" s="173" t="s">
        <v>1308</v>
      </c>
      <c r="E46" s="174" t="s">
        <v>1378</v>
      </c>
      <c r="F46" s="172" t="s">
        <v>1280</v>
      </c>
      <c r="G46" s="168" t="s">
        <v>1379</v>
      </c>
      <c r="H46" s="169" t="s">
        <v>1282</v>
      </c>
      <c r="I46" s="170"/>
      <c r="J46" s="170"/>
      <c r="K46" s="170"/>
    </row>
    <row r="47" customFormat="false" ht="15" hidden="false" customHeight="true" outlineLevel="0" collapsed="false">
      <c r="A47" s="163" t="n">
        <f aca="false">IF(COUNTA(B47:G47)&gt;0,ROW()-3,"")</f>
        <v>44</v>
      </c>
      <c r="B47" s="171" t="n">
        <v>30001575</v>
      </c>
      <c r="C47" s="172" t="s">
        <v>49</v>
      </c>
      <c r="D47" s="173" t="s">
        <v>1308</v>
      </c>
      <c r="E47" s="174" t="s">
        <v>1380</v>
      </c>
      <c r="F47" s="172" t="s">
        <v>1280</v>
      </c>
      <c r="G47" s="168" t="s">
        <v>1381</v>
      </c>
      <c r="H47" s="169" t="s">
        <v>1282</v>
      </c>
      <c r="I47" s="170"/>
      <c r="J47" s="170"/>
      <c r="K47" s="170"/>
    </row>
    <row r="48" customFormat="false" ht="15" hidden="false" customHeight="true" outlineLevel="0" collapsed="false">
      <c r="A48" s="163" t="n">
        <f aca="false">IF(COUNTA(B48:G48)&gt;0,ROW()-3,"")</f>
        <v>45</v>
      </c>
      <c r="B48" s="171" t="n">
        <v>30001575</v>
      </c>
      <c r="C48" s="172" t="s">
        <v>49</v>
      </c>
      <c r="D48" s="173" t="s">
        <v>1308</v>
      </c>
      <c r="E48" s="174" t="s">
        <v>1382</v>
      </c>
      <c r="F48" s="172" t="s">
        <v>1280</v>
      </c>
      <c r="G48" s="168" t="s">
        <v>1383</v>
      </c>
      <c r="H48" s="169" t="s">
        <v>1282</v>
      </c>
      <c r="I48" s="170"/>
      <c r="J48" s="170"/>
      <c r="K48" s="170"/>
    </row>
    <row r="49" customFormat="false" ht="24" hidden="false" customHeight="true" outlineLevel="0" collapsed="false">
      <c r="A49" s="163" t="n">
        <f aca="false">IF(COUNTA(B49:G49)&gt;0,ROW()-3,"")</f>
        <v>46</v>
      </c>
      <c r="B49" s="171" t="n">
        <v>30001575</v>
      </c>
      <c r="C49" s="172" t="s">
        <v>49</v>
      </c>
      <c r="D49" s="173" t="s">
        <v>1308</v>
      </c>
      <c r="E49" s="174" t="s">
        <v>1384</v>
      </c>
      <c r="F49" s="172" t="s">
        <v>1280</v>
      </c>
      <c r="G49" s="168" t="s">
        <v>1385</v>
      </c>
      <c r="H49" s="169" t="s">
        <v>1282</v>
      </c>
      <c r="I49" s="170"/>
      <c r="J49" s="170"/>
      <c r="K49" s="170"/>
    </row>
    <row r="50" customFormat="false" ht="15" hidden="false" customHeight="true" outlineLevel="0" collapsed="false">
      <c r="A50" s="163" t="n">
        <f aca="false">IF(COUNTA(B50:G50)&gt;0,ROW()-3,"")</f>
        <v>47</v>
      </c>
      <c r="B50" s="171" t="n">
        <v>30004221</v>
      </c>
      <c r="C50" s="172" t="s">
        <v>167</v>
      </c>
      <c r="D50" s="173" t="s">
        <v>1386</v>
      </c>
      <c r="E50" s="174" t="s">
        <v>1387</v>
      </c>
      <c r="F50" s="172" t="s">
        <v>1280</v>
      </c>
      <c r="G50" s="168" t="s">
        <v>1388</v>
      </c>
      <c r="H50" s="169" t="s">
        <v>1282</v>
      </c>
      <c r="I50" s="170"/>
      <c r="J50" s="170"/>
      <c r="K50" s="170"/>
    </row>
    <row r="51" customFormat="false" ht="15" hidden="false" customHeight="true" outlineLevel="0" collapsed="false">
      <c r="A51" s="163" t="n">
        <f aca="false">IF(COUNTA(B51:G51)&gt;0,ROW()-3,"")</f>
        <v>48</v>
      </c>
      <c r="B51" s="171" t="n">
        <v>3004221</v>
      </c>
      <c r="C51" s="172" t="s">
        <v>167</v>
      </c>
      <c r="D51" s="173" t="s">
        <v>1389</v>
      </c>
      <c r="E51" s="174" t="s">
        <v>1387</v>
      </c>
      <c r="F51" s="172" t="s">
        <v>1280</v>
      </c>
      <c r="G51" s="168" t="s">
        <v>1390</v>
      </c>
      <c r="H51" s="169" t="s">
        <v>1282</v>
      </c>
      <c r="I51" s="170"/>
      <c r="J51" s="170"/>
      <c r="K51" s="170"/>
    </row>
    <row r="52" customFormat="false" ht="24" hidden="false" customHeight="true" outlineLevel="0" collapsed="false">
      <c r="A52" s="163" t="n">
        <f aca="false">IF(COUNTA(B52:G52)&gt;0,ROW()-3,"")</f>
        <v>49</v>
      </c>
      <c r="B52" s="171" t="n">
        <v>30004221</v>
      </c>
      <c r="C52" s="172" t="s">
        <v>167</v>
      </c>
      <c r="D52" s="173" t="s">
        <v>1391</v>
      </c>
      <c r="E52" s="174" t="s">
        <v>167</v>
      </c>
      <c r="F52" s="172" t="s">
        <v>1280</v>
      </c>
      <c r="G52" s="168" t="s">
        <v>1392</v>
      </c>
      <c r="H52" s="169" t="s">
        <v>1282</v>
      </c>
      <c r="I52" s="170"/>
      <c r="J52" s="170"/>
      <c r="K52" s="170"/>
    </row>
    <row r="53" customFormat="false" ht="25.5" hidden="false" customHeight="true" outlineLevel="0" collapsed="false">
      <c r="A53" s="163" t="n">
        <f aca="false">IF(COUNTA(B53:G53)&gt;0,ROW()-3,"")</f>
        <v>50</v>
      </c>
      <c r="B53" s="171" t="n">
        <v>30004221</v>
      </c>
      <c r="C53" s="172" t="s">
        <v>34</v>
      </c>
      <c r="D53" s="173" t="s">
        <v>1393</v>
      </c>
      <c r="E53" s="174" t="s">
        <v>1394</v>
      </c>
      <c r="F53" s="172" t="s">
        <v>1280</v>
      </c>
      <c r="G53" s="168" t="s">
        <v>1395</v>
      </c>
      <c r="H53" s="169" t="s">
        <v>1282</v>
      </c>
      <c r="I53" s="170"/>
      <c r="J53" s="170"/>
      <c r="K53" s="170"/>
    </row>
    <row r="54" customFormat="false" ht="36" hidden="false" customHeight="true" outlineLevel="0" collapsed="false">
      <c r="A54" s="163" t="n">
        <f aca="false">IF(COUNTA(B54:G54)&gt;0,ROW()-3,"")</f>
        <v>51</v>
      </c>
      <c r="B54" s="171" t="n">
        <v>30004221</v>
      </c>
      <c r="C54" s="172" t="s">
        <v>167</v>
      </c>
      <c r="D54" s="173" t="s">
        <v>1396</v>
      </c>
      <c r="E54" s="174" t="s">
        <v>167</v>
      </c>
      <c r="F54" s="172" t="s">
        <v>1280</v>
      </c>
      <c r="G54" s="168" t="s">
        <v>1397</v>
      </c>
      <c r="H54" s="169" t="s">
        <v>1282</v>
      </c>
      <c r="I54" s="170"/>
      <c r="J54" s="170"/>
      <c r="K54" s="170"/>
    </row>
    <row r="55" customFormat="false" ht="24" hidden="false" customHeight="true" outlineLevel="0" collapsed="false">
      <c r="A55" s="163" t="n">
        <f aca="false">IF(COUNTA(B55:G55)&gt;0,ROW()-3,"")</f>
        <v>52</v>
      </c>
      <c r="B55" s="171" t="n">
        <v>30004221</v>
      </c>
      <c r="C55" s="172" t="s">
        <v>167</v>
      </c>
      <c r="D55" s="173" t="s">
        <v>1398</v>
      </c>
      <c r="E55" s="174" t="s">
        <v>1399</v>
      </c>
      <c r="F55" s="172" t="s">
        <v>1280</v>
      </c>
      <c r="G55" s="168" t="s">
        <v>1400</v>
      </c>
      <c r="H55" s="169" t="s">
        <v>1282</v>
      </c>
      <c r="I55" s="170"/>
      <c r="J55" s="170"/>
      <c r="K55" s="170"/>
    </row>
    <row r="56" customFormat="false" ht="25.5" hidden="false" customHeight="true" outlineLevel="0" collapsed="false">
      <c r="A56" s="163" t="n">
        <f aca="false">IF(COUNTA(B56:G56)&gt;0,ROW()-3,"")</f>
        <v>53</v>
      </c>
      <c r="B56" s="171" t="n">
        <v>30004221</v>
      </c>
      <c r="C56" s="172" t="s">
        <v>34</v>
      </c>
      <c r="D56" s="173" t="s">
        <v>1401</v>
      </c>
      <c r="E56" s="174" t="s">
        <v>1402</v>
      </c>
      <c r="F56" s="172" t="s">
        <v>1280</v>
      </c>
      <c r="G56" s="168" t="s">
        <v>1403</v>
      </c>
      <c r="H56" s="169" t="s">
        <v>1282</v>
      </c>
      <c r="I56" s="170"/>
      <c r="J56" s="170"/>
      <c r="K56" s="170"/>
    </row>
    <row r="57" customFormat="false" ht="48" hidden="false" customHeight="true" outlineLevel="0" collapsed="false">
      <c r="A57" s="163" t="n">
        <f aca="false">IF(COUNTA(B57:G57)&gt;0,ROW()-3,"")</f>
        <v>54</v>
      </c>
      <c r="B57" s="171" t="n">
        <v>30004221</v>
      </c>
      <c r="C57" s="172" t="s">
        <v>34</v>
      </c>
      <c r="D57" s="173" t="s">
        <v>1404</v>
      </c>
      <c r="E57" s="174" t="s">
        <v>1402</v>
      </c>
      <c r="F57" s="172" t="s">
        <v>1280</v>
      </c>
      <c r="G57" s="168" t="s">
        <v>1405</v>
      </c>
      <c r="H57" s="169" t="s">
        <v>1282</v>
      </c>
      <c r="I57" s="170"/>
      <c r="J57" s="170"/>
      <c r="K57" s="170"/>
    </row>
    <row r="58" customFormat="false" ht="25.5" hidden="false" customHeight="true" outlineLevel="0" collapsed="false">
      <c r="A58" s="163" t="n">
        <f aca="false">IF(COUNTA(B58:G58)&gt;0,ROW()-3,"")</f>
        <v>55</v>
      </c>
      <c r="B58" s="171" t="n">
        <v>30004221</v>
      </c>
      <c r="C58" s="172" t="s">
        <v>34</v>
      </c>
      <c r="D58" s="173" t="s">
        <v>1406</v>
      </c>
      <c r="E58" s="174" t="s">
        <v>1407</v>
      </c>
      <c r="F58" s="172" t="s">
        <v>1280</v>
      </c>
      <c r="G58" s="168" t="s">
        <v>1408</v>
      </c>
      <c r="H58" s="169" t="s">
        <v>1282</v>
      </c>
      <c r="I58" s="170"/>
      <c r="J58" s="170"/>
      <c r="K58" s="170"/>
    </row>
    <row r="59" customFormat="false" ht="25.5" hidden="false" customHeight="true" outlineLevel="0" collapsed="false">
      <c r="A59" s="163" t="n">
        <f aca="false">IF(COUNTA(B59:G59)&gt;0,ROW()-3,"")</f>
        <v>56</v>
      </c>
      <c r="B59" s="171" t="n">
        <v>30004221</v>
      </c>
      <c r="C59" s="172" t="s">
        <v>34</v>
      </c>
      <c r="D59" s="173" t="s">
        <v>1409</v>
      </c>
      <c r="E59" s="174" t="s">
        <v>1407</v>
      </c>
      <c r="F59" s="172" t="s">
        <v>1280</v>
      </c>
      <c r="G59" s="168" t="s">
        <v>1410</v>
      </c>
      <c r="H59" s="169" t="s">
        <v>1282</v>
      </c>
      <c r="I59" s="170"/>
      <c r="J59" s="170"/>
      <c r="K59" s="170"/>
    </row>
    <row r="60" customFormat="false" ht="48" hidden="false" customHeight="true" outlineLevel="0" collapsed="false">
      <c r="A60" s="163" t="n">
        <f aca="false">IF(COUNTA(B60:G60)&gt;0,ROW()-3,"")</f>
        <v>57</v>
      </c>
      <c r="B60" s="171" t="n">
        <v>30004221</v>
      </c>
      <c r="C60" s="172" t="s">
        <v>34</v>
      </c>
      <c r="D60" s="173" t="s">
        <v>1411</v>
      </c>
      <c r="E60" s="174" t="s">
        <v>1412</v>
      </c>
      <c r="F60" s="172" t="s">
        <v>1280</v>
      </c>
      <c r="G60" s="168" t="s">
        <v>1413</v>
      </c>
      <c r="H60" s="169" t="s">
        <v>1282</v>
      </c>
      <c r="I60" s="170"/>
      <c r="J60" s="170"/>
      <c r="K60" s="170"/>
    </row>
    <row r="61" customFormat="false" ht="25.5" hidden="false" customHeight="true" outlineLevel="0" collapsed="false">
      <c r="A61" s="163" t="n">
        <f aca="false">IF(COUNTA(B61:G61)&gt;0,ROW()-3,"")</f>
        <v>58</v>
      </c>
      <c r="B61" s="171" t="n">
        <v>30004221</v>
      </c>
      <c r="C61" s="172" t="s">
        <v>34</v>
      </c>
      <c r="D61" s="173" t="s">
        <v>1414</v>
      </c>
      <c r="E61" s="174" t="s">
        <v>1407</v>
      </c>
      <c r="F61" s="172" t="s">
        <v>1280</v>
      </c>
      <c r="G61" s="168" t="s">
        <v>1415</v>
      </c>
      <c r="H61" s="169" t="s">
        <v>1282</v>
      </c>
      <c r="I61" s="170"/>
      <c r="J61" s="170"/>
      <c r="K61" s="170"/>
    </row>
    <row r="62" customFormat="false" ht="25.5" hidden="false" customHeight="true" outlineLevel="0" collapsed="false">
      <c r="A62" s="163" t="n">
        <f aca="false">IF(COUNTA(B62:G62)&gt;0,ROW()-3,"")</f>
        <v>59</v>
      </c>
      <c r="B62" s="171" t="n">
        <v>30004221</v>
      </c>
      <c r="C62" s="172" t="s">
        <v>34</v>
      </c>
      <c r="D62" s="173" t="s">
        <v>1416</v>
      </c>
      <c r="E62" s="174" t="s">
        <v>1417</v>
      </c>
      <c r="F62" s="172" t="s">
        <v>1280</v>
      </c>
      <c r="G62" s="168" t="s">
        <v>1418</v>
      </c>
      <c r="H62" s="169" t="s">
        <v>1282</v>
      </c>
      <c r="I62" s="170"/>
      <c r="J62" s="170"/>
      <c r="K62" s="170"/>
    </row>
    <row r="63" customFormat="false" ht="24" hidden="false" customHeight="true" outlineLevel="0" collapsed="false">
      <c r="A63" s="163" t="n">
        <f aca="false">IF(COUNTA(B63:G63)&gt;0,ROW()-3,"")</f>
        <v>60</v>
      </c>
      <c r="B63" s="171" t="n">
        <v>30004221</v>
      </c>
      <c r="C63" s="172" t="s">
        <v>167</v>
      </c>
      <c r="D63" s="173" t="s">
        <v>1419</v>
      </c>
      <c r="E63" s="174" t="s">
        <v>1420</v>
      </c>
      <c r="F63" s="172" t="s">
        <v>1280</v>
      </c>
      <c r="G63" s="168" t="s">
        <v>1421</v>
      </c>
      <c r="H63" s="169" t="s">
        <v>1282</v>
      </c>
      <c r="I63" s="170"/>
      <c r="J63" s="170"/>
      <c r="K63" s="170"/>
    </row>
    <row r="64" customFormat="false" ht="36" hidden="false" customHeight="true" outlineLevel="0" collapsed="false">
      <c r="A64" s="163" t="n">
        <f aca="false">IF(COUNTA(B64:G64)&gt;0,ROW()-3,"")</f>
        <v>61</v>
      </c>
      <c r="B64" s="171" t="n">
        <v>30004221</v>
      </c>
      <c r="C64" s="172" t="s">
        <v>34</v>
      </c>
      <c r="D64" s="173" t="s">
        <v>1422</v>
      </c>
      <c r="E64" s="174" t="s">
        <v>1423</v>
      </c>
      <c r="F64" s="172" t="s">
        <v>1280</v>
      </c>
      <c r="G64" s="168" t="s">
        <v>1424</v>
      </c>
      <c r="H64" s="169" t="s">
        <v>1282</v>
      </c>
      <c r="I64" s="170"/>
      <c r="J64" s="170"/>
      <c r="K64" s="170"/>
    </row>
    <row r="65" customFormat="false" ht="24" hidden="false" customHeight="true" outlineLevel="0" collapsed="false">
      <c r="A65" s="163" t="n">
        <f aca="false">IF(COUNTA(B65:G65)&gt;0,ROW()-3,"")</f>
        <v>62</v>
      </c>
      <c r="B65" s="171" t="n">
        <v>30004221</v>
      </c>
      <c r="C65" s="172" t="s">
        <v>167</v>
      </c>
      <c r="D65" s="173" t="s">
        <v>1425</v>
      </c>
      <c r="E65" s="174" t="s">
        <v>1426</v>
      </c>
      <c r="F65" s="172" t="s">
        <v>1280</v>
      </c>
      <c r="G65" s="168" t="s">
        <v>1427</v>
      </c>
      <c r="H65" s="169" t="s">
        <v>1282</v>
      </c>
      <c r="I65" s="170"/>
      <c r="J65" s="170"/>
      <c r="K65" s="170"/>
    </row>
    <row r="66" customFormat="false" ht="25.5" hidden="false" customHeight="true" outlineLevel="0" collapsed="false">
      <c r="A66" s="163" t="n">
        <f aca="false">IF(COUNTA(B66:G66)&gt;0,ROW()-3,"")</f>
        <v>63</v>
      </c>
      <c r="B66" s="171" t="n">
        <v>30004221</v>
      </c>
      <c r="C66" s="172" t="s">
        <v>34</v>
      </c>
      <c r="D66" s="173" t="s">
        <v>1428</v>
      </c>
      <c r="E66" s="174" t="s">
        <v>1407</v>
      </c>
      <c r="F66" s="172" t="s">
        <v>1280</v>
      </c>
      <c r="G66" s="168" t="s">
        <v>1429</v>
      </c>
      <c r="H66" s="169" t="s">
        <v>1282</v>
      </c>
      <c r="I66" s="170"/>
      <c r="J66" s="170"/>
      <c r="K66" s="170"/>
    </row>
    <row r="67" customFormat="false" ht="25.5" hidden="false" customHeight="true" outlineLevel="0" collapsed="false">
      <c r="A67" s="163" t="n">
        <f aca="false">IF(COUNTA(B67:G67)&gt;0,ROW()-3,"")</f>
        <v>64</v>
      </c>
      <c r="B67" s="171" t="n">
        <v>30004221</v>
      </c>
      <c r="C67" s="172" t="s">
        <v>167</v>
      </c>
      <c r="D67" s="173" t="s">
        <v>1430</v>
      </c>
      <c r="E67" s="174" t="s">
        <v>167</v>
      </c>
      <c r="F67" s="172" t="s">
        <v>1280</v>
      </c>
      <c r="G67" s="168" t="s">
        <v>1431</v>
      </c>
      <c r="H67" s="169" t="s">
        <v>1282</v>
      </c>
      <c r="I67" s="170"/>
      <c r="J67" s="170"/>
      <c r="K67" s="170"/>
    </row>
    <row r="68" customFormat="false" ht="25.5" hidden="false" customHeight="true" outlineLevel="0" collapsed="false">
      <c r="A68" s="163" t="n">
        <f aca="false">IF(COUNTA(B68:G68)&gt;0,ROW()-3,"")</f>
        <v>65</v>
      </c>
      <c r="B68" s="171" t="n">
        <v>30004221</v>
      </c>
      <c r="C68" s="172" t="s">
        <v>34</v>
      </c>
      <c r="D68" s="173" t="s">
        <v>1432</v>
      </c>
      <c r="E68" s="174" t="s">
        <v>1407</v>
      </c>
      <c r="F68" s="172" t="s">
        <v>1280</v>
      </c>
      <c r="G68" s="168" t="s">
        <v>1433</v>
      </c>
      <c r="H68" s="169" t="s">
        <v>1282</v>
      </c>
      <c r="I68" s="170"/>
      <c r="J68" s="170"/>
      <c r="K68" s="170"/>
    </row>
    <row r="69" customFormat="false" ht="25.5" hidden="false" customHeight="true" outlineLevel="0" collapsed="false">
      <c r="A69" s="163" t="n">
        <f aca="false">IF(COUNTA(B69:G69)&gt;0,ROW()-3,"")</f>
        <v>66</v>
      </c>
      <c r="B69" s="171" t="n">
        <v>30004221</v>
      </c>
      <c r="C69" s="172" t="s">
        <v>34</v>
      </c>
      <c r="D69" s="173" t="s">
        <v>1434</v>
      </c>
      <c r="E69" s="174" t="s">
        <v>1407</v>
      </c>
      <c r="F69" s="172" t="s">
        <v>1280</v>
      </c>
      <c r="G69" s="168" t="s">
        <v>1435</v>
      </c>
      <c r="H69" s="169" t="s">
        <v>1282</v>
      </c>
      <c r="I69" s="170"/>
      <c r="J69" s="170"/>
      <c r="K69" s="170"/>
    </row>
    <row r="70" customFormat="false" ht="15" hidden="false" customHeight="true" outlineLevel="0" collapsed="false">
      <c r="A70" s="163" t="n">
        <f aca="false">IF(COUNTA(B70:G70)&gt;0,ROW()-3,"")</f>
        <v>67</v>
      </c>
      <c r="B70" s="171" t="n">
        <v>30004221</v>
      </c>
      <c r="C70" s="172" t="s">
        <v>167</v>
      </c>
      <c r="D70" s="173" t="s">
        <v>1434</v>
      </c>
      <c r="E70" s="174" t="s">
        <v>167</v>
      </c>
      <c r="F70" s="172" t="s">
        <v>1280</v>
      </c>
      <c r="G70" s="168" t="s">
        <v>1436</v>
      </c>
      <c r="H70" s="169" t="s">
        <v>1282</v>
      </c>
      <c r="I70" s="170"/>
      <c r="J70" s="170"/>
      <c r="K70" s="170"/>
    </row>
    <row r="71" customFormat="false" ht="25.5" hidden="false" customHeight="true" outlineLevel="0" collapsed="false">
      <c r="A71" s="163" t="n">
        <f aca="false">IF(COUNTA(B71:G71)&gt;0,ROW()-3,"")</f>
        <v>68</v>
      </c>
      <c r="B71" s="171" t="n">
        <v>30004221</v>
      </c>
      <c r="C71" s="172" t="s">
        <v>34</v>
      </c>
      <c r="D71" s="173" t="s">
        <v>1437</v>
      </c>
      <c r="E71" s="174" t="s">
        <v>1407</v>
      </c>
      <c r="F71" s="172" t="s">
        <v>1280</v>
      </c>
      <c r="G71" s="168" t="s">
        <v>1438</v>
      </c>
      <c r="H71" s="169" t="s">
        <v>1282</v>
      </c>
      <c r="I71" s="170"/>
      <c r="J71" s="170"/>
      <c r="K71" s="170"/>
    </row>
    <row r="72" customFormat="false" ht="24" hidden="false" customHeight="true" outlineLevel="0" collapsed="false">
      <c r="A72" s="163" t="n">
        <f aca="false">IF(COUNTA(B72:G72)&gt;0,ROW()-3,"")</f>
        <v>69</v>
      </c>
      <c r="B72" s="171" t="n">
        <v>30004221</v>
      </c>
      <c r="C72" s="172" t="s">
        <v>167</v>
      </c>
      <c r="D72" s="173" t="s">
        <v>1437</v>
      </c>
      <c r="E72" s="174" t="s">
        <v>1439</v>
      </c>
      <c r="F72" s="172" t="s">
        <v>1280</v>
      </c>
      <c r="G72" s="168" t="s">
        <v>1440</v>
      </c>
      <c r="H72" s="169" t="s">
        <v>1282</v>
      </c>
      <c r="I72" s="170"/>
      <c r="J72" s="170"/>
      <c r="K72" s="170"/>
    </row>
    <row r="73" customFormat="false" ht="15" hidden="false" customHeight="true" outlineLevel="0" collapsed="false">
      <c r="A73" s="163" t="n">
        <f aca="false">IF(COUNTA(B73:G73)&gt;0,ROW()-3,"")</f>
        <v>70</v>
      </c>
      <c r="B73" s="171" t="n">
        <v>30004221</v>
      </c>
      <c r="C73" s="172" t="s">
        <v>167</v>
      </c>
      <c r="D73" s="173" t="s">
        <v>1441</v>
      </c>
      <c r="E73" s="174" t="s">
        <v>167</v>
      </c>
      <c r="F73" s="172" t="s">
        <v>1280</v>
      </c>
      <c r="G73" s="168" t="s">
        <v>1442</v>
      </c>
      <c r="H73" s="169" t="s">
        <v>1282</v>
      </c>
      <c r="I73" s="170"/>
      <c r="J73" s="170"/>
      <c r="K73" s="170"/>
    </row>
    <row r="74" customFormat="false" ht="36" hidden="false" customHeight="true" outlineLevel="0" collapsed="false">
      <c r="A74" s="163" t="n">
        <f aca="false">IF(COUNTA(B74:G74)&gt;0,ROW()-3,"")</f>
        <v>71</v>
      </c>
      <c r="B74" s="171" t="n">
        <v>30004221</v>
      </c>
      <c r="C74" s="172" t="s">
        <v>34</v>
      </c>
      <c r="D74" s="173" t="s">
        <v>1443</v>
      </c>
      <c r="E74" s="174" t="s">
        <v>1412</v>
      </c>
      <c r="F74" s="172" t="s">
        <v>1280</v>
      </c>
      <c r="G74" s="168" t="s">
        <v>1444</v>
      </c>
      <c r="H74" s="169" t="s">
        <v>1282</v>
      </c>
      <c r="I74" s="170"/>
      <c r="J74" s="170"/>
      <c r="K74" s="170"/>
    </row>
    <row r="75" customFormat="false" ht="25.5" hidden="false" customHeight="true" outlineLevel="0" collapsed="false">
      <c r="A75" s="163" t="n">
        <f aca="false">IF(COUNTA(B75:G75)&gt;0,ROW()-3,"")</f>
        <v>72</v>
      </c>
      <c r="B75" s="171" t="n">
        <v>30004221</v>
      </c>
      <c r="C75" s="172" t="s">
        <v>34</v>
      </c>
      <c r="D75" s="173" t="s">
        <v>1445</v>
      </c>
      <c r="E75" s="174" t="s">
        <v>1407</v>
      </c>
      <c r="F75" s="172" t="s">
        <v>1280</v>
      </c>
      <c r="G75" s="168" t="s">
        <v>1446</v>
      </c>
      <c r="H75" s="169" t="s">
        <v>1282</v>
      </c>
      <c r="I75" s="170"/>
      <c r="J75" s="170"/>
      <c r="K75" s="170"/>
    </row>
    <row r="76" customFormat="false" ht="24" hidden="false" customHeight="true" outlineLevel="0" collapsed="false">
      <c r="A76" s="163" t="n">
        <f aca="false">IF(COUNTA(B76:G76)&gt;0,ROW()-3,"")</f>
        <v>73</v>
      </c>
      <c r="B76" s="171" t="n">
        <v>30004221</v>
      </c>
      <c r="C76" s="172" t="s">
        <v>167</v>
      </c>
      <c r="D76" s="173" t="s">
        <v>1447</v>
      </c>
      <c r="E76" s="174" t="s">
        <v>1426</v>
      </c>
      <c r="F76" s="172" t="s">
        <v>1280</v>
      </c>
      <c r="G76" s="168" t="s">
        <v>1448</v>
      </c>
      <c r="H76" s="169" t="s">
        <v>1282</v>
      </c>
      <c r="I76" s="170"/>
      <c r="J76" s="170"/>
      <c r="K76" s="170"/>
    </row>
    <row r="77" customFormat="false" ht="25.5" hidden="false" customHeight="true" outlineLevel="0" collapsed="false">
      <c r="A77" s="163" t="n">
        <f aca="false">IF(COUNTA(B77:G77)&gt;0,ROW()-3,"")</f>
        <v>74</v>
      </c>
      <c r="B77" s="171" t="n">
        <v>30004221</v>
      </c>
      <c r="C77" s="172" t="s">
        <v>34</v>
      </c>
      <c r="D77" s="173" t="s">
        <v>1449</v>
      </c>
      <c r="E77" s="174" t="s">
        <v>1407</v>
      </c>
      <c r="F77" s="172" t="s">
        <v>1280</v>
      </c>
      <c r="G77" s="168" t="s">
        <v>1450</v>
      </c>
      <c r="H77" s="169" t="s">
        <v>1282</v>
      </c>
      <c r="I77" s="170"/>
      <c r="J77" s="170"/>
      <c r="K77" s="170"/>
    </row>
    <row r="78" customFormat="false" ht="36" hidden="false" customHeight="true" outlineLevel="0" collapsed="false">
      <c r="A78" s="163" t="n">
        <f aca="false">IF(COUNTA(B78:G78)&gt;0,ROW()-3,"")</f>
        <v>75</v>
      </c>
      <c r="B78" s="171" t="n">
        <v>30004221</v>
      </c>
      <c r="C78" s="172" t="s">
        <v>34</v>
      </c>
      <c r="D78" s="173" t="s">
        <v>1451</v>
      </c>
      <c r="E78" s="174" t="s">
        <v>1452</v>
      </c>
      <c r="F78" s="172" t="s">
        <v>1280</v>
      </c>
      <c r="G78" s="168" t="s">
        <v>1453</v>
      </c>
      <c r="H78" s="169" t="s">
        <v>1282</v>
      </c>
      <c r="I78" s="170"/>
      <c r="J78" s="170"/>
      <c r="K78" s="170"/>
    </row>
    <row r="79" customFormat="false" ht="36" hidden="false" customHeight="true" outlineLevel="0" collapsed="false">
      <c r="A79" s="163" t="n">
        <f aca="false">IF(COUNTA(B79:G79)&gt;0,ROW()-3,"")</f>
        <v>76</v>
      </c>
      <c r="B79" s="171" t="n">
        <v>30004221</v>
      </c>
      <c r="C79" s="172" t="s">
        <v>167</v>
      </c>
      <c r="D79" s="173" t="s">
        <v>1454</v>
      </c>
      <c r="E79" s="174" t="s">
        <v>1426</v>
      </c>
      <c r="F79" s="172" t="s">
        <v>1280</v>
      </c>
      <c r="G79" s="168" t="s">
        <v>1455</v>
      </c>
      <c r="H79" s="169" t="s">
        <v>1282</v>
      </c>
      <c r="I79" s="170"/>
      <c r="J79" s="170"/>
      <c r="K79" s="170"/>
    </row>
    <row r="80" customFormat="false" ht="25.5" hidden="false" customHeight="true" outlineLevel="0" collapsed="false">
      <c r="A80" s="163" t="n">
        <f aca="false">IF(COUNTA(B80:G80)&gt;0,ROW()-3,"")</f>
        <v>77</v>
      </c>
      <c r="B80" s="171" t="n">
        <v>30004221</v>
      </c>
      <c r="C80" s="172" t="s">
        <v>34</v>
      </c>
      <c r="D80" s="173" t="s">
        <v>1456</v>
      </c>
      <c r="E80" s="174" t="s">
        <v>1457</v>
      </c>
      <c r="F80" s="172" t="s">
        <v>1280</v>
      </c>
      <c r="G80" s="168" t="s">
        <v>1458</v>
      </c>
      <c r="H80" s="169" t="s">
        <v>1282</v>
      </c>
      <c r="I80" s="170"/>
      <c r="J80" s="170"/>
      <c r="K80" s="170"/>
    </row>
    <row r="81" customFormat="false" ht="25.5" hidden="false" customHeight="true" outlineLevel="0" collapsed="false">
      <c r="A81" s="163" t="n">
        <f aca="false">IF(COUNTA(B81:G81)&gt;0,ROW()-3,"")</f>
        <v>78</v>
      </c>
      <c r="B81" s="171" t="n">
        <v>30004221</v>
      </c>
      <c r="C81" s="172" t="s">
        <v>34</v>
      </c>
      <c r="D81" s="173" t="s">
        <v>1459</v>
      </c>
      <c r="E81" s="174" t="s">
        <v>1460</v>
      </c>
      <c r="F81" s="172" t="s">
        <v>1280</v>
      </c>
      <c r="G81" s="168" t="s">
        <v>1461</v>
      </c>
      <c r="H81" s="169" t="s">
        <v>1282</v>
      </c>
      <c r="I81" s="170"/>
      <c r="J81" s="170"/>
      <c r="K81" s="170"/>
    </row>
    <row r="82" customFormat="false" ht="25.5" hidden="false" customHeight="true" outlineLevel="0" collapsed="false">
      <c r="A82" s="163" t="n">
        <f aca="false">IF(COUNTA(B82:G82)&gt;0,ROW()-3,"")</f>
        <v>79</v>
      </c>
      <c r="B82" s="171" t="n">
        <v>30004221</v>
      </c>
      <c r="C82" s="172" t="s">
        <v>167</v>
      </c>
      <c r="D82" s="173" t="s">
        <v>1462</v>
      </c>
      <c r="E82" s="174" t="s">
        <v>167</v>
      </c>
      <c r="F82" s="172" t="s">
        <v>1280</v>
      </c>
      <c r="G82" s="168" t="s">
        <v>1463</v>
      </c>
      <c r="H82" s="169" t="s">
        <v>1282</v>
      </c>
      <c r="I82" s="170"/>
      <c r="J82" s="170"/>
      <c r="K82" s="170"/>
    </row>
    <row r="83" customFormat="false" ht="36" hidden="false" customHeight="true" outlineLevel="0" collapsed="false">
      <c r="A83" s="163" t="n">
        <f aca="false">IF(COUNTA(B83:G83)&gt;0,ROW()-3,"")</f>
        <v>80</v>
      </c>
      <c r="B83" s="171" t="n">
        <v>30004221</v>
      </c>
      <c r="C83" s="172" t="s">
        <v>167</v>
      </c>
      <c r="D83" s="173" t="s">
        <v>1464</v>
      </c>
      <c r="E83" s="174" t="s">
        <v>1465</v>
      </c>
      <c r="F83" s="172" t="s">
        <v>1280</v>
      </c>
      <c r="G83" s="168" t="s">
        <v>1466</v>
      </c>
      <c r="H83" s="169" t="s">
        <v>1282</v>
      </c>
      <c r="I83" s="170"/>
      <c r="J83" s="170"/>
      <c r="K83" s="170"/>
    </row>
    <row r="84" customFormat="false" ht="25.5" hidden="false" customHeight="true" outlineLevel="0" collapsed="false">
      <c r="A84" s="163" t="n">
        <f aca="false">IF(COUNTA(B84:G84)&gt;0,ROW()-3,"")</f>
        <v>81</v>
      </c>
      <c r="B84" s="171" t="n">
        <v>30004221</v>
      </c>
      <c r="C84" s="172" t="s">
        <v>34</v>
      </c>
      <c r="D84" s="173" t="s">
        <v>1467</v>
      </c>
      <c r="E84" s="174" t="s">
        <v>1402</v>
      </c>
      <c r="F84" s="172" t="s">
        <v>1280</v>
      </c>
      <c r="G84" s="168" t="s">
        <v>1468</v>
      </c>
      <c r="H84" s="169" t="s">
        <v>1282</v>
      </c>
      <c r="I84" s="170"/>
      <c r="J84" s="170"/>
      <c r="K84" s="170"/>
    </row>
    <row r="85" customFormat="false" ht="25.5" hidden="false" customHeight="true" outlineLevel="0" collapsed="false">
      <c r="A85" s="163" t="n">
        <f aca="false">IF(COUNTA(B85:G85)&gt;0,ROW()-3,"")</f>
        <v>82</v>
      </c>
      <c r="B85" s="171" t="n">
        <v>30004221</v>
      </c>
      <c r="C85" s="172" t="s">
        <v>34</v>
      </c>
      <c r="D85" s="173" t="s">
        <v>1467</v>
      </c>
      <c r="E85" s="174" t="s">
        <v>1469</v>
      </c>
      <c r="F85" s="172" t="s">
        <v>1280</v>
      </c>
      <c r="G85" s="168" t="s">
        <v>1470</v>
      </c>
      <c r="H85" s="169" t="s">
        <v>1282</v>
      </c>
      <c r="I85" s="170"/>
      <c r="J85" s="170"/>
      <c r="K85" s="170"/>
    </row>
    <row r="86" customFormat="false" ht="25.5" hidden="false" customHeight="true" outlineLevel="0" collapsed="false">
      <c r="A86" s="163" t="n">
        <f aca="false">IF(COUNTA(B86:G86)&gt;0,ROW()-3,"")</f>
        <v>83</v>
      </c>
      <c r="B86" s="171" t="n">
        <v>30004221</v>
      </c>
      <c r="C86" s="172" t="s">
        <v>34</v>
      </c>
      <c r="D86" s="173" t="s">
        <v>1471</v>
      </c>
      <c r="E86" s="174" t="s">
        <v>1472</v>
      </c>
      <c r="F86" s="172" t="s">
        <v>1280</v>
      </c>
      <c r="G86" s="168" t="s">
        <v>1473</v>
      </c>
      <c r="H86" s="169" t="s">
        <v>1282</v>
      </c>
      <c r="I86" s="170"/>
      <c r="J86" s="170"/>
      <c r="K86" s="170"/>
    </row>
    <row r="87" customFormat="false" ht="15" hidden="false" customHeight="true" outlineLevel="0" collapsed="false">
      <c r="A87" s="163" t="n">
        <f aca="false">IF(COUNTA(B87:G87)&gt;0,ROW()-3,"")</f>
        <v>84</v>
      </c>
      <c r="B87" s="171" t="n">
        <v>30001351</v>
      </c>
      <c r="C87" s="172" t="s">
        <v>67</v>
      </c>
      <c r="D87" s="173" t="s">
        <v>1474</v>
      </c>
      <c r="E87" s="174" t="s">
        <v>1475</v>
      </c>
      <c r="F87" s="172" t="s">
        <v>1280</v>
      </c>
      <c r="G87" s="168" t="s">
        <v>1476</v>
      </c>
      <c r="H87" s="169" t="s">
        <v>1282</v>
      </c>
      <c r="I87" s="170"/>
      <c r="J87" s="170"/>
      <c r="K87" s="170"/>
    </row>
    <row r="88" customFormat="false" ht="25.5" hidden="false" customHeight="true" outlineLevel="0" collapsed="false">
      <c r="A88" s="163" t="n">
        <f aca="false">IF(COUNTA(B88:G88)&gt;0,ROW()-3,"")</f>
        <v>85</v>
      </c>
      <c r="B88" s="171" t="s">
        <v>1477</v>
      </c>
      <c r="C88" s="172" t="s">
        <v>34</v>
      </c>
      <c r="D88" s="173" t="s">
        <v>37</v>
      </c>
      <c r="E88" s="174" t="s">
        <v>1478</v>
      </c>
      <c r="F88" s="172" t="s">
        <v>1280</v>
      </c>
      <c r="G88" s="168" t="s">
        <v>1479</v>
      </c>
      <c r="H88" s="169" t="s">
        <v>1282</v>
      </c>
      <c r="I88" s="170"/>
      <c r="J88" s="170"/>
      <c r="K88" s="170"/>
    </row>
    <row r="89" customFormat="false" ht="25.5" hidden="false" customHeight="true" outlineLevel="0" collapsed="false">
      <c r="A89" s="163" t="n">
        <f aca="false">IF(COUNTA(B89:G89)&gt;0,ROW()-3,"")</f>
        <v>86</v>
      </c>
      <c r="B89" s="171" t="s">
        <v>1477</v>
      </c>
      <c r="C89" s="172" t="s">
        <v>34</v>
      </c>
      <c r="D89" s="173" t="s">
        <v>37</v>
      </c>
      <c r="E89" s="174" t="s">
        <v>1480</v>
      </c>
      <c r="F89" s="172" t="s">
        <v>1280</v>
      </c>
      <c r="G89" s="168" t="s">
        <v>1481</v>
      </c>
      <c r="H89" s="169" t="s">
        <v>1282</v>
      </c>
      <c r="I89" s="170"/>
      <c r="J89" s="170"/>
      <c r="K89" s="170"/>
    </row>
    <row r="90" customFormat="false" ht="25.5" hidden="false" customHeight="true" outlineLevel="0" collapsed="false">
      <c r="A90" s="163" t="n">
        <f aca="false">IF(COUNTA(B90:G90)&gt;0,ROW()-3,"")</f>
        <v>87</v>
      </c>
      <c r="B90" s="171" t="s">
        <v>1477</v>
      </c>
      <c r="C90" s="172" t="s">
        <v>34</v>
      </c>
      <c r="D90" s="173" t="s">
        <v>37</v>
      </c>
      <c r="E90" s="174" t="s">
        <v>1482</v>
      </c>
      <c r="F90" s="172" t="s">
        <v>1280</v>
      </c>
      <c r="G90" s="168" t="s">
        <v>1483</v>
      </c>
      <c r="H90" s="169" t="s">
        <v>1282</v>
      </c>
      <c r="I90" s="170"/>
      <c r="J90" s="170"/>
      <c r="K90" s="170"/>
    </row>
    <row r="91" customFormat="false" ht="25.5" hidden="false" customHeight="true" outlineLevel="0" collapsed="false">
      <c r="A91" s="163" t="n">
        <f aca="false">IF(COUNTA(B91:G91)&gt;0,ROW()-3,"")</f>
        <v>88</v>
      </c>
      <c r="B91" s="171" t="s">
        <v>1477</v>
      </c>
      <c r="C91" s="172" t="s">
        <v>34</v>
      </c>
      <c r="D91" s="173" t="s">
        <v>37</v>
      </c>
      <c r="E91" s="174" t="s">
        <v>1484</v>
      </c>
      <c r="F91" s="172" t="s">
        <v>1280</v>
      </c>
      <c r="G91" s="175" t="s">
        <v>1280</v>
      </c>
      <c r="H91" s="169" t="s">
        <v>1282</v>
      </c>
      <c r="I91" s="170"/>
      <c r="J91" s="170"/>
      <c r="K91" s="170"/>
    </row>
    <row r="92" customFormat="false" ht="25.5" hidden="false" customHeight="true" outlineLevel="0" collapsed="false">
      <c r="A92" s="163" t="n">
        <f aca="false">IF(COUNTA(B92:G92)&gt;0,ROW()-3,"")</f>
        <v>89</v>
      </c>
      <c r="B92" s="171" t="s">
        <v>1477</v>
      </c>
      <c r="C92" s="172" t="s">
        <v>34</v>
      </c>
      <c r="D92" s="173" t="s">
        <v>37</v>
      </c>
      <c r="E92" s="174" t="s">
        <v>1485</v>
      </c>
      <c r="F92" s="172" t="s">
        <v>1280</v>
      </c>
      <c r="G92" s="168" t="s">
        <v>1486</v>
      </c>
      <c r="H92" s="169" t="s">
        <v>1282</v>
      </c>
      <c r="I92" s="170"/>
      <c r="J92" s="170"/>
      <c r="K92" s="170"/>
    </row>
    <row r="93" customFormat="false" ht="25.5" hidden="false" customHeight="true" outlineLevel="0" collapsed="false">
      <c r="A93" s="163" t="n">
        <f aca="false">IF(COUNTA(B93:G93)&gt;0,ROW()-3,"")</f>
        <v>90</v>
      </c>
      <c r="B93" s="171" t="s">
        <v>1477</v>
      </c>
      <c r="C93" s="172" t="s">
        <v>34</v>
      </c>
      <c r="D93" s="173" t="s">
        <v>37</v>
      </c>
      <c r="E93" s="174" t="s">
        <v>1487</v>
      </c>
      <c r="F93" s="172" t="s">
        <v>1280</v>
      </c>
      <c r="G93" s="168" t="s">
        <v>1488</v>
      </c>
      <c r="H93" s="169" t="s">
        <v>1282</v>
      </c>
      <c r="I93" s="170"/>
      <c r="J93" s="170"/>
      <c r="K93" s="170"/>
    </row>
    <row r="94" customFormat="false" ht="25.5" hidden="false" customHeight="true" outlineLevel="0" collapsed="false">
      <c r="A94" s="163" t="n">
        <f aca="false">IF(COUNTA(B94:G94)&gt;0,ROW()-3,"")</f>
        <v>91</v>
      </c>
      <c r="B94" s="171" t="s">
        <v>1477</v>
      </c>
      <c r="C94" s="172" t="s">
        <v>34</v>
      </c>
      <c r="D94" s="173" t="s">
        <v>37</v>
      </c>
      <c r="E94" s="174" t="s">
        <v>1489</v>
      </c>
      <c r="F94" s="172" t="s">
        <v>1280</v>
      </c>
      <c r="G94" s="168" t="s">
        <v>1490</v>
      </c>
      <c r="H94" s="169" t="s">
        <v>1282</v>
      </c>
      <c r="I94" s="170"/>
      <c r="J94" s="170"/>
      <c r="K94" s="170"/>
    </row>
    <row r="95" customFormat="false" ht="25.5" hidden="false" customHeight="true" outlineLevel="0" collapsed="false">
      <c r="A95" s="163" t="n">
        <f aca="false">IF(COUNTA(B95:G95)&gt;0,ROW()-3,"")</f>
        <v>92</v>
      </c>
      <c r="B95" s="171" t="s">
        <v>1477</v>
      </c>
      <c r="C95" s="172" t="s">
        <v>34</v>
      </c>
      <c r="D95" s="173" t="s">
        <v>37</v>
      </c>
      <c r="E95" s="174" t="s">
        <v>1491</v>
      </c>
      <c r="F95" s="172" t="s">
        <v>1280</v>
      </c>
      <c r="G95" s="168" t="s">
        <v>1492</v>
      </c>
      <c r="H95" s="169" t="s">
        <v>1282</v>
      </c>
      <c r="I95" s="170"/>
      <c r="J95" s="170"/>
      <c r="K95" s="170"/>
    </row>
    <row r="96" customFormat="false" ht="25.5" hidden="false" customHeight="true" outlineLevel="0" collapsed="false">
      <c r="A96" s="163" t="n">
        <f aca="false">IF(COUNTA(B96:G96)&gt;0,ROW()-3,"")</f>
        <v>93</v>
      </c>
      <c r="B96" s="171" t="s">
        <v>1477</v>
      </c>
      <c r="C96" s="172" t="s">
        <v>34</v>
      </c>
      <c r="D96" s="173" t="s">
        <v>37</v>
      </c>
      <c r="E96" s="174" t="s">
        <v>1493</v>
      </c>
      <c r="F96" s="172" t="s">
        <v>1280</v>
      </c>
      <c r="G96" s="168" t="s">
        <v>1494</v>
      </c>
      <c r="H96" s="169" t="s">
        <v>1282</v>
      </c>
      <c r="I96" s="170"/>
      <c r="J96" s="170"/>
      <c r="K96" s="170"/>
    </row>
    <row r="97" customFormat="false" ht="25.5" hidden="false" customHeight="true" outlineLevel="0" collapsed="false">
      <c r="A97" s="163" t="n">
        <f aca="false">IF(COUNTA(B97:G97)&gt;0,ROW()-3,"")</f>
        <v>94</v>
      </c>
      <c r="B97" s="171" t="s">
        <v>1477</v>
      </c>
      <c r="C97" s="172" t="s">
        <v>34</v>
      </c>
      <c r="D97" s="173" t="s">
        <v>37</v>
      </c>
      <c r="E97" s="174" t="s">
        <v>1495</v>
      </c>
      <c r="F97" s="172" t="s">
        <v>1280</v>
      </c>
      <c r="G97" s="168" t="s">
        <v>1496</v>
      </c>
      <c r="H97" s="169" t="s">
        <v>1282</v>
      </c>
      <c r="I97" s="170"/>
      <c r="J97" s="170"/>
      <c r="K97" s="170"/>
    </row>
    <row r="98" customFormat="false" ht="25.5" hidden="false" customHeight="true" outlineLevel="0" collapsed="false">
      <c r="A98" s="163" t="n">
        <f aca="false">IF(COUNTA(B98:G98)&gt;0,ROW()-3,"")</f>
        <v>95</v>
      </c>
      <c r="B98" s="171" t="s">
        <v>1477</v>
      </c>
      <c r="C98" s="172" t="s">
        <v>34</v>
      </c>
      <c r="D98" s="173" t="s">
        <v>37</v>
      </c>
      <c r="E98" s="174" t="s">
        <v>1497</v>
      </c>
      <c r="F98" s="172" t="s">
        <v>1280</v>
      </c>
      <c r="G98" s="168" t="s">
        <v>1498</v>
      </c>
      <c r="H98" s="169" t="s">
        <v>1282</v>
      </c>
      <c r="I98" s="170"/>
      <c r="J98" s="170"/>
      <c r="K98" s="170"/>
    </row>
    <row r="99" customFormat="false" ht="25.5" hidden="false" customHeight="true" outlineLevel="0" collapsed="false">
      <c r="A99" s="163" t="n">
        <f aca="false">IF(COUNTA(B99:G99)&gt;0,ROW()-3,"")</f>
        <v>96</v>
      </c>
      <c r="B99" s="171" t="s">
        <v>1477</v>
      </c>
      <c r="C99" s="172" t="s">
        <v>34</v>
      </c>
      <c r="D99" s="173" t="s">
        <v>37</v>
      </c>
      <c r="E99" s="174" t="s">
        <v>1499</v>
      </c>
      <c r="F99" s="172" t="s">
        <v>1280</v>
      </c>
      <c r="G99" s="168" t="s">
        <v>1500</v>
      </c>
      <c r="H99" s="169" t="s">
        <v>1282</v>
      </c>
      <c r="I99" s="170"/>
      <c r="J99" s="170"/>
      <c r="K99" s="170"/>
    </row>
    <row r="100" customFormat="false" ht="25.5" hidden="false" customHeight="true" outlineLevel="0" collapsed="false">
      <c r="A100" s="163" t="n">
        <f aca="false">IF(COUNTA(B100:G100)&gt;0,ROW()-3,"")</f>
        <v>97</v>
      </c>
      <c r="B100" s="171" t="s">
        <v>1477</v>
      </c>
      <c r="C100" s="172" t="s">
        <v>67</v>
      </c>
      <c r="D100" s="173" t="s">
        <v>1501</v>
      </c>
      <c r="E100" s="174" t="s">
        <v>1502</v>
      </c>
      <c r="F100" s="172" t="s">
        <v>1503</v>
      </c>
      <c r="G100" s="168" t="s">
        <v>1504</v>
      </c>
      <c r="H100" s="169" t="s">
        <v>1282</v>
      </c>
      <c r="I100" s="170"/>
      <c r="J100" s="170"/>
      <c r="K100" s="170"/>
    </row>
    <row r="101" customFormat="false" ht="25.5" hidden="false" customHeight="true" outlineLevel="0" collapsed="false">
      <c r="A101" s="163" t="n">
        <f aca="false">IF(COUNTA(B101:G101)&gt;0,ROW()-3,"")</f>
        <v>98</v>
      </c>
      <c r="B101" s="171" t="n">
        <v>30001461</v>
      </c>
      <c r="C101" s="172" t="s">
        <v>34</v>
      </c>
      <c r="D101" s="173" t="s">
        <v>37</v>
      </c>
      <c r="E101" s="174" t="s">
        <v>1505</v>
      </c>
      <c r="F101" s="172" t="s">
        <v>1280</v>
      </c>
      <c r="G101" s="175" t="s">
        <v>1280</v>
      </c>
      <c r="H101" s="169" t="s">
        <v>1282</v>
      </c>
      <c r="I101" s="170"/>
      <c r="J101" s="170"/>
      <c r="K101" s="170"/>
    </row>
    <row r="102" customFormat="false" ht="36" hidden="false" customHeight="true" outlineLevel="0" collapsed="false">
      <c r="A102" s="163" t="n">
        <f aca="false">IF(COUNTA(B102:G102)&gt;0,ROW()-3,"")</f>
        <v>99</v>
      </c>
      <c r="B102" s="171" t="n">
        <v>30001461</v>
      </c>
      <c r="C102" s="172" t="s">
        <v>34</v>
      </c>
      <c r="D102" s="173" t="s">
        <v>37</v>
      </c>
      <c r="E102" s="174" t="s">
        <v>1506</v>
      </c>
      <c r="F102" s="172" t="s">
        <v>1280</v>
      </c>
      <c r="G102" s="168" t="s">
        <v>1507</v>
      </c>
      <c r="H102" s="169" t="s">
        <v>1282</v>
      </c>
      <c r="I102" s="170"/>
      <c r="J102" s="170"/>
      <c r="K102" s="170"/>
    </row>
    <row r="103" customFormat="false" ht="25.5" hidden="false" customHeight="true" outlineLevel="0" collapsed="false">
      <c r="A103" s="163" t="n">
        <f aca="false">IF(COUNTA(B103:G103)&gt;0,ROW()-3,"")</f>
        <v>100</v>
      </c>
      <c r="B103" s="171" t="n">
        <v>30001461</v>
      </c>
      <c r="C103" s="172" t="s">
        <v>34</v>
      </c>
      <c r="D103" s="173" t="s">
        <v>37</v>
      </c>
      <c r="E103" s="174" t="s">
        <v>1508</v>
      </c>
      <c r="F103" s="172" t="s">
        <v>1280</v>
      </c>
      <c r="G103" s="168" t="s">
        <v>1509</v>
      </c>
      <c r="H103" s="169" t="s">
        <v>1282</v>
      </c>
      <c r="I103" s="170"/>
      <c r="J103" s="170"/>
      <c r="K103" s="170"/>
    </row>
    <row r="104" customFormat="false" ht="25.5" hidden="false" customHeight="true" outlineLevel="0" collapsed="false">
      <c r="A104" s="163" t="n">
        <f aca="false">IF(COUNTA(B104:G104)&gt;0,ROW()-3,"")</f>
        <v>101</v>
      </c>
      <c r="B104" s="171" t="n">
        <v>30001461</v>
      </c>
      <c r="C104" s="172" t="s">
        <v>34</v>
      </c>
      <c r="D104" s="173" t="s">
        <v>37</v>
      </c>
      <c r="E104" s="174" t="s">
        <v>1510</v>
      </c>
      <c r="F104" s="172" t="s">
        <v>1280</v>
      </c>
      <c r="G104" s="168" t="s">
        <v>1511</v>
      </c>
      <c r="H104" s="169" t="s">
        <v>1282</v>
      </c>
      <c r="I104" s="170"/>
      <c r="J104" s="170"/>
      <c r="K104" s="170"/>
    </row>
    <row r="105" customFormat="false" ht="25.5" hidden="false" customHeight="true" outlineLevel="0" collapsed="false">
      <c r="A105" s="163" t="n">
        <f aca="false">IF(COUNTA(B105:G105)&gt;0,ROW()-3,"")</f>
        <v>102</v>
      </c>
      <c r="B105" s="171" t="n">
        <v>30001461</v>
      </c>
      <c r="C105" s="172" t="s">
        <v>34</v>
      </c>
      <c r="D105" s="173" t="s">
        <v>37</v>
      </c>
      <c r="E105" s="174" t="s">
        <v>1512</v>
      </c>
      <c r="F105" s="172" t="s">
        <v>1280</v>
      </c>
      <c r="G105" s="168" t="s">
        <v>1513</v>
      </c>
      <c r="H105" s="169" t="s">
        <v>1282</v>
      </c>
      <c r="I105" s="170"/>
      <c r="J105" s="170"/>
      <c r="K105" s="170"/>
    </row>
    <row r="106" customFormat="false" ht="25.5" hidden="false" customHeight="true" outlineLevel="0" collapsed="false">
      <c r="A106" s="163" t="n">
        <f aca="false">IF(COUNTA(B106:G106)&gt;0,ROW()-3,"")</f>
        <v>103</v>
      </c>
      <c r="B106" s="171" t="n">
        <v>30001461</v>
      </c>
      <c r="C106" s="172" t="s">
        <v>34</v>
      </c>
      <c r="D106" s="173" t="s">
        <v>37</v>
      </c>
      <c r="E106" s="174" t="s">
        <v>1514</v>
      </c>
      <c r="F106" s="172" t="s">
        <v>1280</v>
      </c>
      <c r="G106" s="168" t="s">
        <v>1515</v>
      </c>
      <c r="H106" s="169" t="s">
        <v>1282</v>
      </c>
      <c r="I106" s="170"/>
      <c r="J106" s="170"/>
      <c r="K106" s="170"/>
    </row>
    <row r="107" customFormat="false" ht="25.5" hidden="false" customHeight="true" outlineLevel="0" collapsed="false">
      <c r="A107" s="163" t="n">
        <f aca="false">IF(COUNTA(B107:G107)&gt;0,ROW()-3,"")</f>
        <v>104</v>
      </c>
      <c r="B107" s="171" t="n">
        <v>30001461</v>
      </c>
      <c r="C107" s="172" t="s">
        <v>34</v>
      </c>
      <c r="D107" s="173" t="s">
        <v>37</v>
      </c>
      <c r="E107" s="174" t="s">
        <v>1516</v>
      </c>
      <c r="F107" s="172" t="s">
        <v>1280</v>
      </c>
      <c r="G107" s="168" t="s">
        <v>1517</v>
      </c>
      <c r="H107" s="169" t="s">
        <v>1282</v>
      </c>
      <c r="I107" s="170"/>
      <c r="J107" s="170"/>
      <c r="K107" s="170"/>
    </row>
    <row r="108" customFormat="false" ht="30" hidden="false" customHeight="true" outlineLevel="0" collapsed="false">
      <c r="A108" s="163" t="n">
        <f aca="false">IF(COUNTA(B108:G108)&gt;0,ROW()-3,"")</f>
        <v>105</v>
      </c>
      <c r="B108" s="171" t="n">
        <v>30001461</v>
      </c>
      <c r="C108" s="172" t="s">
        <v>34</v>
      </c>
      <c r="D108" s="173" t="s">
        <v>37</v>
      </c>
      <c r="E108" s="174" t="s">
        <v>1518</v>
      </c>
      <c r="F108" s="172" t="s">
        <v>1280</v>
      </c>
      <c r="G108" s="168" t="s">
        <v>1519</v>
      </c>
      <c r="H108" s="169" t="s">
        <v>1282</v>
      </c>
      <c r="I108" s="170"/>
      <c r="J108" s="170"/>
      <c r="K108" s="170"/>
    </row>
    <row r="109" customFormat="false" ht="25.5" hidden="false" customHeight="true" outlineLevel="0" collapsed="false">
      <c r="A109" s="163" t="n">
        <f aca="false">IF(COUNTA(B109:G109)&gt;0,ROW()-3,"")</f>
        <v>106</v>
      </c>
      <c r="B109" s="171" t="n">
        <v>30001461</v>
      </c>
      <c r="C109" s="172" t="s">
        <v>34</v>
      </c>
      <c r="D109" s="173" t="s">
        <v>37</v>
      </c>
      <c r="E109" s="174" t="s">
        <v>1520</v>
      </c>
      <c r="F109" s="172" t="s">
        <v>1280</v>
      </c>
      <c r="G109" s="168" t="s">
        <v>1521</v>
      </c>
      <c r="H109" s="169" t="s">
        <v>1282</v>
      </c>
      <c r="I109" s="170"/>
      <c r="J109" s="170"/>
      <c r="K109" s="170"/>
    </row>
    <row r="110" customFormat="false" ht="25.5" hidden="false" customHeight="true" outlineLevel="0" collapsed="false">
      <c r="A110" s="163" t="n">
        <f aca="false">IF(COUNTA(B110:G110)&gt;0,ROW()-3,"")</f>
        <v>107</v>
      </c>
      <c r="B110" s="171" t="n">
        <v>30001461</v>
      </c>
      <c r="C110" s="172" t="s">
        <v>34</v>
      </c>
      <c r="D110" s="173" t="s">
        <v>37</v>
      </c>
      <c r="E110" s="174" t="s">
        <v>1522</v>
      </c>
      <c r="F110" s="172" t="s">
        <v>1280</v>
      </c>
      <c r="G110" s="168" t="s">
        <v>1523</v>
      </c>
      <c r="H110" s="169" t="s">
        <v>1282</v>
      </c>
      <c r="I110" s="170"/>
      <c r="J110" s="170"/>
      <c r="K110" s="170"/>
    </row>
    <row r="111" customFormat="false" ht="25.5" hidden="false" customHeight="true" outlineLevel="0" collapsed="false">
      <c r="A111" s="163" t="n">
        <f aca="false">IF(COUNTA(B111:G111)&gt;0,ROW()-3,"")</f>
        <v>108</v>
      </c>
      <c r="B111" s="171" t="n">
        <v>30001461</v>
      </c>
      <c r="C111" s="172" t="s">
        <v>34</v>
      </c>
      <c r="D111" s="173" t="s">
        <v>37</v>
      </c>
      <c r="E111" s="174" t="s">
        <v>1524</v>
      </c>
      <c r="F111" s="172" t="s">
        <v>1280</v>
      </c>
      <c r="G111" s="168" t="s">
        <v>1525</v>
      </c>
      <c r="H111" s="169" t="s">
        <v>1282</v>
      </c>
      <c r="I111" s="170"/>
      <c r="J111" s="170"/>
      <c r="K111" s="170"/>
    </row>
    <row r="112" customFormat="false" ht="25.5" hidden="false" customHeight="true" outlineLevel="0" collapsed="false">
      <c r="A112" s="163" t="n">
        <f aca="false">IF(COUNTA(B112:G112)&gt;0,ROW()-3,"")</f>
        <v>109</v>
      </c>
      <c r="B112" s="171" t="n">
        <v>30001461</v>
      </c>
      <c r="C112" s="172" t="s">
        <v>34</v>
      </c>
      <c r="D112" s="173" t="s">
        <v>37</v>
      </c>
      <c r="E112" s="174" t="s">
        <v>1526</v>
      </c>
      <c r="F112" s="172" t="s">
        <v>1280</v>
      </c>
      <c r="G112" s="168" t="s">
        <v>1527</v>
      </c>
      <c r="H112" s="169" t="s">
        <v>1282</v>
      </c>
      <c r="I112" s="170"/>
      <c r="J112" s="170"/>
      <c r="K112" s="170"/>
    </row>
    <row r="113" customFormat="false" ht="25.5" hidden="false" customHeight="true" outlineLevel="0" collapsed="false">
      <c r="A113" s="163" t="n">
        <f aca="false">IF(COUNTA(B113:G113)&gt;0,ROW()-3,"")</f>
        <v>110</v>
      </c>
      <c r="B113" s="171" t="n">
        <v>30001461</v>
      </c>
      <c r="C113" s="172" t="s">
        <v>34</v>
      </c>
      <c r="D113" s="173" t="s">
        <v>37</v>
      </c>
      <c r="E113" s="174" t="s">
        <v>1528</v>
      </c>
      <c r="F113" s="172" t="s">
        <v>1280</v>
      </c>
      <c r="G113" s="175" t="s">
        <v>1280</v>
      </c>
      <c r="H113" s="169" t="s">
        <v>1282</v>
      </c>
      <c r="I113" s="170"/>
      <c r="J113" s="170"/>
      <c r="K113" s="170"/>
    </row>
    <row r="114" customFormat="false" ht="25.5" hidden="false" customHeight="true" outlineLevel="0" collapsed="false">
      <c r="A114" s="163" t="n">
        <f aca="false">IF(COUNTA(B114:G114)&gt;0,ROW()-3,"")</f>
        <v>111</v>
      </c>
      <c r="B114" s="171" t="n">
        <v>30001461</v>
      </c>
      <c r="C114" s="172" t="s">
        <v>34</v>
      </c>
      <c r="D114" s="173" t="s">
        <v>37</v>
      </c>
      <c r="E114" s="174" t="s">
        <v>1529</v>
      </c>
      <c r="F114" s="172" t="s">
        <v>1280</v>
      </c>
      <c r="G114" s="168" t="s">
        <v>1530</v>
      </c>
      <c r="H114" s="169" t="s">
        <v>1282</v>
      </c>
      <c r="I114" s="170"/>
      <c r="J114" s="170"/>
      <c r="K114" s="170"/>
    </row>
    <row r="115" customFormat="false" ht="25.5" hidden="false" customHeight="true" outlineLevel="0" collapsed="false">
      <c r="A115" s="163" t="n">
        <f aca="false">IF(COUNTA(B115:G115)&gt;0,ROW()-3,"")</f>
        <v>112</v>
      </c>
      <c r="B115" s="171" t="n">
        <v>30001461</v>
      </c>
      <c r="C115" s="172" t="s">
        <v>34</v>
      </c>
      <c r="D115" s="173" t="s">
        <v>37</v>
      </c>
      <c r="E115" s="174" t="s">
        <v>1531</v>
      </c>
      <c r="F115" s="172" t="s">
        <v>1280</v>
      </c>
      <c r="G115" s="168" t="s">
        <v>1532</v>
      </c>
      <c r="H115" s="169" t="s">
        <v>1282</v>
      </c>
      <c r="I115" s="170"/>
      <c r="J115" s="170"/>
      <c r="K115" s="170"/>
    </row>
    <row r="116" customFormat="false" ht="25.5" hidden="false" customHeight="true" outlineLevel="0" collapsed="false">
      <c r="A116" s="163" t="n">
        <f aca="false">IF(COUNTA(B116:G116)&gt;0,ROW()-3,"")</f>
        <v>113</v>
      </c>
      <c r="B116" s="171" t="n">
        <v>30001461</v>
      </c>
      <c r="C116" s="172" t="s">
        <v>34</v>
      </c>
      <c r="D116" s="173" t="s">
        <v>37</v>
      </c>
      <c r="E116" s="174" t="s">
        <v>1533</v>
      </c>
      <c r="F116" s="172" t="s">
        <v>1280</v>
      </c>
      <c r="G116" s="168" t="s">
        <v>1534</v>
      </c>
      <c r="H116" s="169" t="s">
        <v>1282</v>
      </c>
      <c r="I116" s="170"/>
      <c r="J116" s="170"/>
      <c r="K116" s="170"/>
    </row>
    <row r="117" customFormat="false" ht="25.5" hidden="false" customHeight="true" outlineLevel="0" collapsed="false">
      <c r="A117" s="163" t="n">
        <f aca="false">IF(COUNTA(B117:G117)&gt;0,ROW()-3,"")</f>
        <v>114</v>
      </c>
      <c r="B117" s="171" t="n">
        <v>30001461</v>
      </c>
      <c r="C117" s="172" t="s">
        <v>34</v>
      </c>
      <c r="D117" s="173" t="s">
        <v>37</v>
      </c>
      <c r="E117" s="174" t="s">
        <v>1535</v>
      </c>
      <c r="F117" s="172" t="s">
        <v>1280</v>
      </c>
      <c r="G117" s="168" t="s">
        <v>1536</v>
      </c>
      <c r="H117" s="169" t="s">
        <v>1282</v>
      </c>
      <c r="I117" s="170"/>
      <c r="J117" s="170"/>
      <c r="K117" s="170"/>
    </row>
    <row r="118" customFormat="false" ht="25.5" hidden="false" customHeight="true" outlineLevel="0" collapsed="false">
      <c r="A118" s="163" t="n">
        <f aca="false">IF(COUNTA(B118:G118)&gt;0,ROW()-3,"")</f>
        <v>115</v>
      </c>
      <c r="B118" s="171" t="n">
        <v>30001461</v>
      </c>
      <c r="C118" s="172" t="s">
        <v>34</v>
      </c>
      <c r="D118" s="173" t="s">
        <v>37</v>
      </c>
      <c r="E118" s="174" t="s">
        <v>1537</v>
      </c>
      <c r="F118" s="172" t="s">
        <v>1280</v>
      </c>
      <c r="G118" s="168" t="s">
        <v>1538</v>
      </c>
      <c r="H118" s="169" t="s">
        <v>1282</v>
      </c>
      <c r="I118" s="170"/>
      <c r="J118" s="170"/>
      <c r="K118" s="170"/>
    </row>
    <row r="119" customFormat="false" ht="25.5" hidden="false" customHeight="true" outlineLevel="0" collapsed="false">
      <c r="A119" s="163" t="n">
        <f aca="false">IF(COUNTA(B119:G119)&gt;0,ROW()-3,"")</f>
        <v>116</v>
      </c>
      <c r="B119" s="171" t="n">
        <v>30001461</v>
      </c>
      <c r="C119" s="172" t="s">
        <v>34</v>
      </c>
      <c r="D119" s="173" t="s">
        <v>37</v>
      </c>
      <c r="E119" s="174" t="s">
        <v>1505</v>
      </c>
      <c r="F119" s="172" t="s">
        <v>1280</v>
      </c>
      <c r="G119" s="168" t="s">
        <v>1539</v>
      </c>
      <c r="H119" s="169" t="s">
        <v>1282</v>
      </c>
      <c r="I119" s="170"/>
      <c r="J119" s="170"/>
      <c r="K119" s="170"/>
    </row>
    <row r="120" customFormat="false" ht="36" hidden="false" customHeight="true" outlineLevel="0" collapsed="false">
      <c r="A120" s="163" t="n">
        <f aca="false">IF(COUNTA(B120:G120)&gt;0,ROW()-3,"")</f>
        <v>117</v>
      </c>
      <c r="B120" s="171" t="n">
        <v>30001461</v>
      </c>
      <c r="C120" s="172" t="s">
        <v>34</v>
      </c>
      <c r="D120" s="173" t="s">
        <v>37</v>
      </c>
      <c r="E120" s="174" t="s">
        <v>1506</v>
      </c>
      <c r="F120" s="172" t="s">
        <v>1280</v>
      </c>
      <c r="G120" s="168" t="s">
        <v>1507</v>
      </c>
      <c r="H120" s="169" t="s">
        <v>1282</v>
      </c>
      <c r="I120" s="170"/>
      <c r="J120" s="170"/>
      <c r="K120" s="170"/>
    </row>
    <row r="121" customFormat="false" ht="25.5" hidden="false" customHeight="true" outlineLevel="0" collapsed="false">
      <c r="A121" s="163" t="n">
        <f aca="false">IF(COUNTA(B121:G121)&gt;0,ROW()-3,"")</f>
        <v>118</v>
      </c>
      <c r="B121" s="171" t="n">
        <v>30001461</v>
      </c>
      <c r="C121" s="172" t="s">
        <v>34</v>
      </c>
      <c r="D121" s="173" t="s">
        <v>37</v>
      </c>
      <c r="E121" s="174" t="s">
        <v>1508</v>
      </c>
      <c r="F121" s="172" t="s">
        <v>1280</v>
      </c>
      <c r="G121" s="168" t="s">
        <v>1509</v>
      </c>
      <c r="H121" s="169" t="s">
        <v>1282</v>
      </c>
      <c r="I121" s="170"/>
      <c r="J121" s="170"/>
      <c r="K121" s="170"/>
    </row>
    <row r="122" customFormat="false" ht="25.5" hidden="false" customHeight="true" outlineLevel="0" collapsed="false">
      <c r="A122" s="163" t="n">
        <f aca="false">IF(COUNTA(B122:G122)&gt;0,ROW()-3,"")</f>
        <v>119</v>
      </c>
      <c r="B122" s="171" t="n">
        <v>30001461</v>
      </c>
      <c r="C122" s="172" t="s">
        <v>34</v>
      </c>
      <c r="D122" s="173" t="s">
        <v>37</v>
      </c>
      <c r="E122" s="174" t="s">
        <v>1510</v>
      </c>
      <c r="F122" s="172" t="s">
        <v>1280</v>
      </c>
      <c r="G122" s="168" t="s">
        <v>1511</v>
      </c>
      <c r="H122" s="169" t="s">
        <v>1282</v>
      </c>
      <c r="I122" s="170"/>
      <c r="J122" s="170"/>
      <c r="K122" s="170"/>
    </row>
    <row r="123" customFormat="false" ht="25.5" hidden="false" customHeight="true" outlineLevel="0" collapsed="false">
      <c r="A123" s="163" t="n">
        <f aca="false">IF(COUNTA(B123:G123)&gt;0,ROW()-3,"")</f>
        <v>120</v>
      </c>
      <c r="B123" s="171" t="n">
        <v>30001461</v>
      </c>
      <c r="C123" s="172" t="s">
        <v>34</v>
      </c>
      <c r="D123" s="173" t="s">
        <v>37</v>
      </c>
      <c r="E123" s="174" t="s">
        <v>1512</v>
      </c>
      <c r="F123" s="172" t="s">
        <v>1280</v>
      </c>
      <c r="G123" s="168" t="s">
        <v>1513</v>
      </c>
      <c r="H123" s="169" t="s">
        <v>1282</v>
      </c>
      <c r="I123" s="170"/>
      <c r="J123" s="170"/>
      <c r="K123" s="170"/>
    </row>
    <row r="124" customFormat="false" ht="25.5" hidden="false" customHeight="true" outlineLevel="0" collapsed="false">
      <c r="A124" s="163" t="n">
        <f aca="false">IF(COUNTA(B124:G124)&gt;0,ROW()-3,"")</f>
        <v>121</v>
      </c>
      <c r="B124" s="171" t="n">
        <v>30001461</v>
      </c>
      <c r="C124" s="172" t="s">
        <v>34</v>
      </c>
      <c r="D124" s="173" t="s">
        <v>37</v>
      </c>
      <c r="E124" s="174" t="s">
        <v>1514</v>
      </c>
      <c r="F124" s="172" t="s">
        <v>1280</v>
      </c>
      <c r="G124" s="168" t="s">
        <v>1515</v>
      </c>
      <c r="H124" s="169" t="s">
        <v>1282</v>
      </c>
      <c r="I124" s="170"/>
      <c r="J124" s="170"/>
      <c r="K124" s="170"/>
    </row>
    <row r="125" customFormat="false" ht="25.5" hidden="false" customHeight="true" outlineLevel="0" collapsed="false">
      <c r="A125" s="163" t="n">
        <f aca="false">IF(COUNTA(B125:G125)&gt;0,ROW()-3,"")</f>
        <v>122</v>
      </c>
      <c r="B125" s="171" t="n">
        <v>30001461</v>
      </c>
      <c r="C125" s="172" t="s">
        <v>34</v>
      </c>
      <c r="D125" s="173" t="s">
        <v>37</v>
      </c>
      <c r="E125" s="174" t="s">
        <v>1516</v>
      </c>
      <c r="F125" s="172" t="s">
        <v>1280</v>
      </c>
      <c r="G125" s="168" t="s">
        <v>1517</v>
      </c>
      <c r="H125" s="169" t="s">
        <v>1282</v>
      </c>
      <c r="I125" s="170"/>
      <c r="J125" s="170"/>
      <c r="K125" s="170"/>
    </row>
    <row r="126" customFormat="false" ht="30" hidden="false" customHeight="true" outlineLevel="0" collapsed="false">
      <c r="A126" s="163" t="n">
        <f aca="false">IF(COUNTA(B126:G126)&gt;0,ROW()-3,"")</f>
        <v>123</v>
      </c>
      <c r="B126" s="171" t="n">
        <v>30001461</v>
      </c>
      <c r="C126" s="172" t="s">
        <v>34</v>
      </c>
      <c r="D126" s="173" t="s">
        <v>37</v>
      </c>
      <c r="E126" s="174" t="s">
        <v>1518</v>
      </c>
      <c r="F126" s="172" t="s">
        <v>1280</v>
      </c>
      <c r="G126" s="168" t="s">
        <v>1519</v>
      </c>
      <c r="H126" s="169" t="s">
        <v>1282</v>
      </c>
      <c r="I126" s="170"/>
      <c r="J126" s="170"/>
      <c r="K126" s="170"/>
    </row>
    <row r="127" customFormat="false" ht="60" hidden="false" customHeight="true" outlineLevel="0" collapsed="false">
      <c r="A127" s="163" t="n">
        <f aca="false">IF(COUNTA(B127:G127)&gt;0,ROW()-3,"")</f>
        <v>124</v>
      </c>
      <c r="B127" s="171" t="n">
        <v>30001351</v>
      </c>
      <c r="C127" s="172" t="s">
        <v>67</v>
      </c>
      <c r="D127" s="173" t="s">
        <v>1540</v>
      </c>
      <c r="E127" s="174" t="s">
        <v>1541</v>
      </c>
      <c r="F127" s="172" t="s">
        <v>1280</v>
      </c>
      <c r="G127" s="168" t="s">
        <v>1542</v>
      </c>
      <c r="H127" s="169" t="s">
        <v>1282</v>
      </c>
      <c r="I127" s="170"/>
      <c r="J127" s="170"/>
      <c r="K127" s="170"/>
    </row>
    <row r="128" customFormat="false" ht="60" hidden="false" customHeight="true" outlineLevel="0" collapsed="false">
      <c r="A128" s="163" t="n">
        <f aca="false">IF(COUNTA(B128:G128)&gt;0,ROW()-3,"")</f>
        <v>125</v>
      </c>
      <c r="B128" s="171" t="n">
        <v>30001351</v>
      </c>
      <c r="C128" s="172" t="s">
        <v>67</v>
      </c>
      <c r="D128" s="173" t="s">
        <v>1540</v>
      </c>
      <c r="E128" s="174" t="s">
        <v>1543</v>
      </c>
      <c r="F128" s="172" t="s">
        <v>1280</v>
      </c>
      <c r="G128" s="168" t="s">
        <v>1544</v>
      </c>
      <c r="H128" s="169" t="s">
        <v>1282</v>
      </c>
      <c r="I128" s="170"/>
      <c r="J128" s="170"/>
      <c r="K128" s="170"/>
    </row>
    <row r="129" customFormat="false" ht="15.75" hidden="false" customHeight="true" outlineLevel="0" collapsed="false">
      <c r="A129" s="163" t="n">
        <f aca="false">IF(COUNTA(B129:G129)&gt;0,ROW()-3,"")</f>
        <v>126</v>
      </c>
      <c r="B129" s="171" t="n">
        <v>30001351</v>
      </c>
      <c r="C129" s="172" t="s">
        <v>67</v>
      </c>
      <c r="D129" s="173" t="s">
        <v>1540</v>
      </c>
      <c r="E129" s="174" t="s">
        <v>1545</v>
      </c>
      <c r="F129" s="172" t="s">
        <v>1280</v>
      </c>
      <c r="G129" s="175" t="s">
        <v>1280</v>
      </c>
      <c r="H129" s="169" t="s">
        <v>1282</v>
      </c>
      <c r="I129" s="170"/>
      <c r="J129" s="170"/>
      <c r="K129" s="170"/>
    </row>
    <row r="130" customFormat="false" ht="15" hidden="false" customHeight="true" outlineLevel="0" collapsed="false">
      <c r="A130" s="163" t="n">
        <f aca="false">IF(COUNTA(B130:G130)&gt;0,ROW()-3,"")</f>
        <v>127</v>
      </c>
      <c r="B130" s="171" t="n">
        <v>30001351</v>
      </c>
      <c r="C130" s="172" t="s">
        <v>67</v>
      </c>
      <c r="D130" s="173" t="s">
        <v>1474</v>
      </c>
      <c r="E130" s="174" t="s">
        <v>1546</v>
      </c>
      <c r="F130" s="172" t="s">
        <v>1280</v>
      </c>
      <c r="G130" s="168" t="s">
        <v>1547</v>
      </c>
      <c r="H130" s="169" t="s">
        <v>1282</v>
      </c>
      <c r="I130" s="170"/>
      <c r="J130" s="170"/>
      <c r="K130" s="170"/>
    </row>
    <row r="131" customFormat="false" ht="15" hidden="false" customHeight="true" outlineLevel="0" collapsed="false">
      <c r="A131" s="163" t="n">
        <f aca="false">IF(COUNTA(B131:G131)&gt;0,ROW()-3,"")</f>
        <v>128</v>
      </c>
      <c r="B131" s="171" t="n">
        <v>30001351</v>
      </c>
      <c r="C131" s="172" t="s">
        <v>67</v>
      </c>
      <c r="D131" s="173" t="s">
        <v>1540</v>
      </c>
      <c r="E131" s="174" t="s">
        <v>1548</v>
      </c>
      <c r="F131" s="172" t="s">
        <v>1280</v>
      </c>
      <c r="G131" s="168" t="s">
        <v>1549</v>
      </c>
      <c r="H131" s="169" t="s">
        <v>1282</v>
      </c>
      <c r="I131" s="170"/>
      <c r="J131" s="170"/>
      <c r="K131" s="170"/>
    </row>
    <row r="132" customFormat="false" ht="60" hidden="false" customHeight="true" outlineLevel="0" collapsed="false">
      <c r="A132" s="163" t="n">
        <f aca="false">IF(COUNTA(B132:G132)&gt;0,ROW()-3,"")</f>
        <v>129</v>
      </c>
      <c r="B132" s="171" t="n">
        <v>30001351</v>
      </c>
      <c r="C132" s="172" t="s">
        <v>67</v>
      </c>
      <c r="D132" s="173" t="s">
        <v>1550</v>
      </c>
      <c r="E132" s="174" t="s">
        <v>1551</v>
      </c>
      <c r="F132" s="172" t="s">
        <v>1280</v>
      </c>
      <c r="G132" s="168" t="s">
        <v>1552</v>
      </c>
      <c r="H132" s="169" t="s">
        <v>1282</v>
      </c>
      <c r="I132" s="170"/>
      <c r="J132" s="170"/>
      <c r="K132" s="170"/>
    </row>
    <row r="133" customFormat="false" ht="24" hidden="false" customHeight="true" outlineLevel="0" collapsed="false">
      <c r="A133" s="163" t="n">
        <f aca="false">IF(COUNTA(B133:G133)&gt;0,ROW()-3,"")</f>
        <v>130</v>
      </c>
      <c r="B133" s="171" t="n">
        <v>30001351</v>
      </c>
      <c r="C133" s="172" t="s">
        <v>67</v>
      </c>
      <c r="D133" s="173" t="s">
        <v>1540</v>
      </c>
      <c r="E133" s="174" t="s">
        <v>1553</v>
      </c>
      <c r="F133" s="172" t="s">
        <v>1280</v>
      </c>
      <c r="G133" s="168" t="s">
        <v>1554</v>
      </c>
      <c r="H133" s="169" t="s">
        <v>1282</v>
      </c>
      <c r="I133" s="170"/>
      <c r="J133" s="170"/>
      <c r="K133" s="170"/>
    </row>
    <row r="134" customFormat="false" ht="60" hidden="false" customHeight="true" outlineLevel="0" collapsed="false">
      <c r="A134" s="163" t="n">
        <f aca="false">IF(COUNTA(B134:G134)&gt;0,ROW()-3,"")</f>
        <v>131</v>
      </c>
      <c r="B134" s="171" t="n">
        <v>30001351</v>
      </c>
      <c r="C134" s="172" t="s">
        <v>67</v>
      </c>
      <c r="D134" s="173" t="s">
        <v>1540</v>
      </c>
      <c r="E134" s="174" t="s">
        <v>1555</v>
      </c>
      <c r="F134" s="172" t="s">
        <v>1280</v>
      </c>
      <c r="G134" s="168" t="s">
        <v>1556</v>
      </c>
      <c r="H134" s="169" t="s">
        <v>1282</v>
      </c>
      <c r="I134" s="170"/>
      <c r="J134" s="170"/>
      <c r="K134" s="170"/>
    </row>
    <row r="135" customFormat="false" ht="48" hidden="false" customHeight="true" outlineLevel="0" collapsed="false">
      <c r="A135" s="163" t="n">
        <f aca="false">IF(COUNTA(B135:G135)&gt;0,ROW()-3,"")</f>
        <v>132</v>
      </c>
      <c r="B135" s="171" t="n">
        <v>30001351</v>
      </c>
      <c r="C135" s="172" t="s">
        <v>67</v>
      </c>
      <c r="D135" s="173" t="s">
        <v>1474</v>
      </c>
      <c r="E135" s="174" t="s">
        <v>1557</v>
      </c>
      <c r="F135" s="172" t="s">
        <v>1280</v>
      </c>
      <c r="G135" s="168" t="s">
        <v>1558</v>
      </c>
      <c r="H135" s="169" t="s">
        <v>1282</v>
      </c>
      <c r="I135" s="170"/>
      <c r="J135" s="170"/>
      <c r="K135" s="170"/>
    </row>
    <row r="136" customFormat="false" ht="24" hidden="false" customHeight="true" outlineLevel="0" collapsed="false">
      <c r="A136" s="163" t="n">
        <f aca="false">IF(COUNTA(B136:G136)&gt;0,ROW()-3,"")</f>
        <v>133</v>
      </c>
      <c r="B136" s="171" t="n">
        <v>30001351</v>
      </c>
      <c r="C136" s="172" t="s">
        <v>67</v>
      </c>
      <c r="D136" s="173" t="s">
        <v>1474</v>
      </c>
      <c r="E136" s="174" t="s">
        <v>1559</v>
      </c>
      <c r="F136" s="172" t="s">
        <v>1280</v>
      </c>
      <c r="G136" s="168" t="s">
        <v>1560</v>
      </c>
      <c r="H136" s="169" t="s">
        <v>1282</v>
      </c>
      <c r="I136" s="170"/>
      <c r="J136" s="170"/>
      <c r="K136" s="170"/>
    </row>
    <row r="137" customFormat="false" ht="25.5" hidden="false" customHeight="true" outlineLevel="0" collapsed="false">
      <c r="A137" s="163" t="n">
        <f aca="false">IF(COUNTA(B137:G137)&gt;0,ROW()-3,"")</f>
        <v>134</v>
      </c>
      <c r="B137" s="171" t="n">
        <v>30001351</v>
      </c>
      <c r="C137" s="172" t="s">
        <v>661</v>
      </c>
      <c r="D137" s="173" t="s">
        <v>1561</v>
      </c>
      <c r="E137" s="174" t="s">
        <v>1562</v>
      </c>
      <c r="F137" s="172" t="s">
        <v>1280</v>
      </c>
      <c r="G137" s="168" t="s">
        <v>1563</v>
      </c>
      <c r="H137" s="169" t="s">
        <v>1282</v>
      </c>
      <c r="I137" s="170"/>
      <c r="J137" s="170"/>
      <c r="K137" s="170"/>
    </row>
    <row r="138" customFormat="false" ht="30" hidden="false" customHeight="true" outlineLevel="0" collapsed="false">
      <c r="A138" s="163" t="n">
        <f aca="false">IF(COUNTA(B138:G138)&gt;0,ROW()-3,"")</f>
        <v>135</v>
      </c>
      <c r="B138" s="171" t="n">
        <v>30001351</v>
      </c>
      <c r="C138" s="172" t="s">
        <v>67</v>
      </c>
      <c r="D138" s="173" t="s">
        <v>1550</v>
      </c>
      <c r="E138" s="174" t="s">
        <v>1564</v>
      </c>
      <c r="F138" s="172" t="s">
        <v>1280</v>
      </c>
      <c r="G138" s="175" t="s">
        <v>1280</v>
      </c>
      <c r="H138" s="169" t="s">
        <v>1282</v>
      </c>
      <c r="I138" s="170"/>
      <c r="J138" s="170"/>
      <c r="K138" s="170"/>
    </row>
    <row r="139" customFormat="false" ht="30" hidden="false" customHeight="true" outlineLevel="0" collapsed="false">
      <c r="A139" s="163" t="n">
        <f aca="false">IF(COUNTA(B139:G139)&gt;0,ROW()-3,"")</f>
        <v>136</v>
      </c>
      <c r="B139" s="171" t="n">
        <v>30001351</v>
      </c>
      <c r="C139" s="172" t="s">
        <v>67</v>
      </c>
      <c r="D139" s="173" t="s">
        <v>1540</v>
      </c>
      <c r="E139" s="174" t="s">
        <v>1565</v>
      </c>
      <c r="F139" s="172" t="s">
        <v>1280</v>
      </c>
      <c r="G139" s="168" t="s">
        <v>1566</v>
      </c>
      <c r="H139" s="169" t="s">
        <v>1282</v>
      </c>
      <c r="I139" s="170"/>
      <c r="J139" s="170"/>
      <c r="K139" s="170"/>
    </row>
    <row r="140" customFormat="false" ht="15" hidden="false" customHeight="true" outlineLevel="0" collapsed="false">
      <c r="A140" s="163" t="n">
        <f aca="false">IF(COUNTA(B140:G140)&gt;0,ROW()-3,"")</f>
        <v>137</v>
      </c>
      <c r="B140" s="171" t="n">
        <v>30001351</v>
      </c>
      <c r="C140" s="172" t="s">
        <v>67</v>
      </c>
      <c r="D140" s="173" t="s">
        <v>1474</v>
      </c>
      <c r="E140" s="174" t="s">
        <v>1567</v>
      </c>
      <c r="F140" s="172" t="s">
        <v>1280</v>
      </c>
      <c r="G140" s="168" t="s">
        <v>1568</v>
      </c>
      <c r="H140" s="169" t="s">
        <v>1282</v>
      </c>
      <c r="I140" s="170"/>
      <c r="J140" s="170"/>
      <c r="K140" s="170"/>
    </row>
    <row r="141" customFormat="false" ht="15" hidden="false" customHeight="true" outlineLevel="0" collapsed="false">
      <c r="A141" s="163" t="n">
        <f aca="false">IF(COUNTA(B141:G141)&gt;0,ROW()-3,"")</f>
        <v>138</v>
      </c>
      <c r="B141" s="171" t="n">
        <v>30001351</v>
      </c>
      <c r="C141" s="172" t="s">
        <v>67</v>
      </c>
      <c r="D141" s="173" t="s">
        <v>1540</v>
      </c>
      <c r="E141" s="174" t="s">
        <v>1569</v>
      </c>
      <c r="F141" s="172" t="s">
        <v>1280</v>
      </c>
      <c r="G141" s="168" t="s">
        <v>1570</v>
      </c>
      <c r="H141" s="169" t="s">
        <v>1282</v>
      </c>
      <c r="I141" s="170"/>
      <c r="J141" s="170"/>
      <c r="K141" s="170"/>
    </row>
    <row r="142" customFormat="false" ht="36" hidden="false" customHeight="true" outlineLevel="0" collapsed="false">
      <c r="A142" s="163" t="n">
        <f aca="false">IF(COUNTA(B142:G142)&gt;0,ROW()-3,"")</f>
        <v>139</v>
      </c>
      <c r="B142" s="171" t="n">
        <v>30001351</v>
      </c>
      <c r="C142" s="172" t="s">
        <v>67</v>
      </c>
      <c r="D142" s="173" t="s">
        <v>1474</v>
      </c>
      <c r="E142" s="174" t="s">
        <v>1571</v>
      </c>
      <c r="F142" s="172" t="s">
        <v>1280</v>
      </c>
      <c r="G142" s="168" t="s">
        <v>1572</v>
      </c>
      <c r="H142" s="169" t="s">
        <v>1282</v>
      </c>
      <c r="I142" s="170"/>
      <c r="J142" s="170"/>
      <c r="K142" s="170"/>
    </row>
    <row r="143" customFormat="false" ht="15" hidden="false" customHeight="true" outlineLevel="0" collapsed="false">
      <c r="A143" s="163" t="n">
        <f aca="false">IF(COUNTA(B143:G143)&gt;0,ROW()-3,"")</f>
        <v>140</v>
      </c>
      <c r="B143" s="171" t="n">
        <v>30001351</v>
      </c>
      <c r="C143" s="172" t="s">
        <v>67</v>
      </c>
      <c r="D143" s="173" t="s">
        <v>1540</v>
      </c>
      <c r="E143" s="174" t="s">
        <v>1573</v>
      </c>
      <c r="F143" s="172" t="s">
        <v>1280</v>
      </c>
      <c r="G143" s="168" t="s">
        <v>1574</v>
      </c>
      <c r="H143" s="169" t="s">
        <v>1282</v>
      </c>
      <c r="I143" s="170"/>
      <c r="J143" s="170"/>
      <c r="K143" s="170"/>
    </row>
    <row r="144" customFormat="false" ht="15" hidden="false" customHeight="true" outlineLevel="0" collapsed="false">
      <c r="A144" s="163" t="n">
        <f aca="false">IF(COUNTA(B144:G144)&gt;0,ROW()-3,"")</f>
        <v>141</v>
      </c>
      <c r="B144" s="171" t="n">
        <v>30001351</v>
      </c>
      <c r="C144" s="172" t="s">
        <v>67</v>
      </c>
      <c r="D144" s="173" t="s">
        <v>1540</v>
      </c>
      <c r="E144" s="174" t="s">
        <v>1575</v>
      </c>
      <c r="F144" s="172" t="s">
        <v>1280</v>
      </c>
      <c r="G144" s="168" t="s">
        <v>1576</v>
      </c>
      <c r="H144" s="169" t="s">
        <v>1282</v>
      </c>
      <c r="I144" s="170"/>
      <c r="J144" s="170"/>
      <c r="K144" s="170"/>
    </row>
    <row r="145" customFormat="false" ht="24" hidden="false" customHeight="true" outlineLevel="0" collapsed="false">
      <c r="A145" s="163" t="n">
        <f aca="false">IF(COUNTA(B145:G145)&gt;0,ROW()-3,"")</f>
        <v>142</v>
      </c>
      <c r="B145" s="171" t="n">
        <v>30001351</v>
      </c>
      <c r="C145" s="172" t="s">
        <v>67</v>
      </c>
      <c r="D145" s="173" t="s">
        <v>1540</v>
      </c>
      <c r="E145" s="174" t="s">
        <v>1577</v>
      </c>
      <c r="F145" s="172" t="s">
        <v>1280</v>
      </c>
      <c r="G145" s="168" t="s">
        <v>1578</v>
      </c>
      <c r="H145" s="169" t="s">
        <v>1282</v>
      </c>
      <c r="I145" s="170"/>
      <c r="J145" s="170"/>
      <c r="K145" s="170"/>
    </row>
    <row r="146" customFormat="false" ht="48" hidden="false" customHeight="true" outlineLevel="0" collapsed="false">
      <c r="A146" s="163" t="n">
        <f aca="false">IF(COUNTA(B146:G146)&gt;0,ROW()-3,"")</f>
        <v>143</v>
      </c>
      <c r="B146" s="171" t="n">
        <v>3000135</v>
      </c>
      <c r="C146" s="172" t="s">
        <v>67</v>
      </c>
      <c r="D146" s="173" t="s">
        <v>1540</v>
      </c>
      <c r="E146" s="174" t="s">
        <v>1579</v>
      </c>
      <c r="F146" s="172" t="s">
        <v>1280</v>
      </c>
      <c r="G146" s="168" t="s">
        <v>1580</v>
      </c>
      <c r="H146" s="169" t="s">
        <v>1282</v>
      </c>
      <c r="I146" s="170"/>
      <c r="J146" s="170"/>
      <c r="K146" s="170"/>
    </row>
    <row r="147" customFormat="false" ht="36" hidden="false" customHeight="true" outlineLevel="0" collapsed="false">
      <c r="A147" s="163" t="n">
        <f aca="false">IF(COUNTA(B147:G147)&gt;0,ROW()-3,"")</f>
        <v>144</v>
      </c>
      <c r="B147" s="171" t="n">
        <v>3000135</v>
      </c>
      <c r="C147" s="172" t="s">
        <v>67</v>
      </c>
      <c r="D147" s="173" t="s">
        <v>1474</v>
      </c>
      <c r="E147" s="174" t="s">
        <v>1579</v>
      </c>
      <c r="F147" s="172" t="s">
        <v>1280</v>
      </c>
      <c r="G147" s="168" t="s">
        <v>1581</v>
      </c>
      <c r="H147" s="169" t="s">
        <v>1282</v>
      </c>
      <c r="I147" s="170"/>
      <c r="J147" s="170"/>
      <c r="K147" s="170"/>
    </row>
    <row r="148" customFormat="false" ht="48" hidden="false" customHeight="true" outlineLevel="0" collapsed="false">
      <c r="A148" s="163" t="n">
        <f aca="false">IF(COUNTA(B148:G148)&gt;0,ROW()-3,"")</f>
        <v>145</v>
      </c>
      <c r="B148" s="171" t="n">
        <v>30001351</v>
      </c>
      <c r="C148" s="172" t="s">
        <v>67</v>
      </c>
      <c r="D148" s="173" t="s">
        <v>37</v>
      </c>
      <c r="E148" s="174" t="s">
        <v>1582</v>
      </c>
      <c r="F148" s="172" t="s">
        <v>1280</v>
      </c>
      <c r="G148" s="168" t="s">
        <v>1583</v>
      </c>
      <c r="H148" s="169" t="s">
        <v>1282</v>
      </c>
      <c r="I148" s="170"/>
      <c r="J148" s="170"/>
      <c r="K148" s="170"/>
    </row>
    <row r="149" customFormat="false" ht="45" hidden="false" customHeight="true" outlineLevel="0" collapsed="false">
      <c r="A149" s="163" t="n">
        <f aca="false">IF(COUNTA(B149:G149)&gt;0,ROW()-3,"")</f>
        <v>146</v>
      </c>
      <c r="B149" s="171" t="n">
        <v>30001351</v>
      </c>
      <c r="C149" s="172" t="s">
        <v>67</v>
      </c>
      <c r="D149" s="173" t="s">
        <v>1474</v>
      </c>
      <c r="E149" s="174" t="s">
        <v>1584</v>
      </c>
      <c r="F149" s="172" t="s">
        <v>1280</v>
      </c>
      <c r="G149" s="168" t="s">
        <v>1585</v>
      </c>
      <c r="H149" s="169" t="s">
        <v>1282</v>
      </c>
      <c r="I149" s="170"/>
      <c r="J149" s="170"/>
      <c r="K149" s="170"/>
    </row>
    <row r="150" customFormat="false" ht="48" hidden="false" customHeight="true" outlineLevel="0" collapsed="false">
      <c r="A150" s="163" t="n">
        <f aca="false">IF(COUNTA(B150:G150)&gt;0,ROW()-3,"")</f>
        <v>147</v>
      </c>
      <c r="B150" s="171" t="n">
        <v>30001351</v>
      </c>
      <c r="C150" s="172" t="s">
        <v>67</v>
      </c>
      <c r="D150" s="173" t="s">
        <v>1474</v>
      </c>
      <c r="E150" s="174" t="s">
        <v>1586</v>
      </c>
      <c r="F150" s="172" t="s">
        <v>1280</v>
      </c>
      <c r="G150" s="168" t="s">
        <v>1587</v>
      </c>
      <c r="H150" s="169" t="s">
        <v>1282</v>
      </c>
      <c r="I150" s="170"/>
      <c r="J150" s="170"/>
      <c r="K150" s="170"/>
    </row>
    <row r="151" customFormat="false" ht="48" hidden="false" customHeight="true" outlineLevel="0" collapsed="false">
      <c r="A151" s="163" t="n">
        <f aca="false">IF(COUNTA(B151:G151)&gt;0,ROW()-3,"")</f>
        <v>148</v>
      </c>
      <c r="B151" s="171" t="n">
        <v>30001351</v>
      </c>
      <c r="C151" s="172" t="s">
        <v>67</v>
      </c>
      <c r="D151" s="173" t="s">
        <v>1474</v>
      </c>
      <c r="E151" s="174" t="s">
        <v>1588</v>
      </c>
      <c r="F151" s="172" t="s">
        <v>1280</v>
      </c>
      <c r="G151" s="168" t="s">
        <v>1589</v>
      </c>
      <c r="H151" s="169" t="s">
        <v>1282</v>
      </c>
      <c r="I151" s="170"/>
      <c r="J151" s="170"/>
      <c r="K151" s="170"/>
    </row>
    <row r="152" customFormat="false" ht="15" hidden="false" customHeight="true" outlineLevel="0" collapsed="false">
      <c r="A152" s="163" t="n">
        <f aca="false">IF(COUNTA(B152:G152)&gt;0,ROW()-3,"")</f>
        <v>149</v>
      </c>
      <c r="B152" s="171" t="n">
        <v>30001351</v>
      </c>
      <c r="C152" s="172" t="s">
        <v>67</v>
      </c>
      <c r="D152" s="173" t="s">
        <v>1540</v>
      </c>
      <c r="E152" s="174" t="s">
        <v>1590</v>
      </c>
      <c r="F152" s="172" t="s">
        <v>1280</v>
      </c>
      <c r="G152" s="168" t="s">
        <v>1591</v>
      </c>
      <c r="H152" s="169" t="s">
        <v>1282</v>
      </c>
      <c r="I152" s="170"/>
      <c r="J152" s="170"/>
      <c r="K152" s="170"/>
    </row>
    <row r="153" customFormat="false" ht="24" hidden="false" customHeight="true" outlineLevel="0" collapsed="false">
      <c r="A153" s="163" t="n">
        <f aca="false">IF(COUNTA(B153:G153)&gt;0,ROW()-3,"")</f>
        <v>150</v>
      </c>
      <c r="B153" s="171" t="n">
        <v>30001351</v>
      </c>
      <c r="C153" s="172" t="s">
        <v>67</v>
      </c>
      <c r="D153" s="173" t="s">
        <v>1474</v>
      </c>
      <c r="E153" s="174" t="s">
        <v>1592</v>
      </c>
      <c r="F153" s="172" t="s">
        <v>1280</v>
      </c>
      <c r="G153" s="168" t="s">
        <v>1593</v>
      </c>
      <c r="H153" s="169" t="s">
        <v>1282</v>
      </c>
      <c r="I153" s="170"/>
      <c r="J153" s="170"/>
      <c r="K153" s="170"/>
    </row>
    <row r="154" customFormat="false" ht="15" hidden="false" customHeight="true" outlineLevel="0" collapsed="false">
      <c r="A154" s="163" t="n">
        <f aca="false">IF(COUNTA(B154:G154)&gt;0,ROW()-3,"")</f>
        <v>151</v>
      </c>
      <c r="B154" s="171" t="n">
        <v>30001351</v>
      </c>
      <c r="C154" s="172" t="s">
        <v>67</v>
      </c>
      <c r="D154" s="173" t="s">
        <v>1474</v>
      </c>
      <c r="E154" s="174" t="s">
        <v>1594</v>
      </c>
      <c r="F154" s="172" t="s">
        <v>1280</v>
      </c>
      <c r="G154" s="168" t="s">
        <v>1595</v>
      </c>
      <c r="H154" s="169" t="s">
        <v>1282</v>
      </c>
      <c r="I154" s="170"/>
      <c r="J154" s="170"/>
      <c r="K154" s="170"/>
    </row>
    <row r="155" customFormat="false" ht="60" hidden="false" customHeight="true" outlineLevel="0" collapsed="false">
      <c r="A155" s="163" t="n">
        <f aca="false">IF(COUNTA(B155:G155)&gt;0,ROW()-3,"")</f>
        <v>152</v>
      </c>
      <c r="B155" s="171" t="n">
        <v>30001351</v>
      </c>
      <c r="C155" s="172" t="s">
        <v>67</v>
      </c>
      <c r="D155" s="173" t="s">
        <v>1474</v>
      </c>
      <c r="E155" s="174" t="s">
        <v>1596</v>
      </c>
      <c r="F155" s="172" t="s">
        <v>1280</v>
      </c>
      <c r="G155" s="168" t="s">
        <v>1597</v>
      </c>
      <c r="H155" s="169" t="s">
        <v>1282</v>
      </c>
      <c r="I155" s="170"/>
      <c r="J155" s="170"/>
      <c r="K155" s="170"/>
    </row>
    <row r="156" customFormat="false" ht="48" hidden="false" customHeight="true" outlineLevel="0" collapsed="false">
      <c r="A156" s="163" t="n">
        <f aca="false">IF(COUNTA(B156:G156)&gt;0,ROW()-3,"")</f>
        <v>153</v>
      </c>
      <c r="B156" s="171" t="n">
        <v>30001351</v>
      </c>
      <c r="C156" s="172" t="s">
        <v>67</v>
      </c>
      <c r="D156" s="173" t="s">
        <v>1540</v>
      </c>
      <c r="E156" s="174" t="s">
        <v>1598</v>
      </c>
      <c r="F156" s="172" t="s">
        <v>1280</v>
      </c>
      <c r="G156" s="168" t="s">
        <v>1599</v>
      </c>
      <c r="H156" s="169" t="s">
        <v>1282</v>
      </c>
      <c r="I156" s="170"/>
      <c r="J156" s="170"/>
      <c r="K156" s="170"/>
    </row>
    <row r="157" customFormat="false" ht="36" hidden="false" customHeight="true" outlineLevel="0" collapsed="false">
      <c r="A157" s="163" t="n">
        <f aca="false">IF(COUNTA(B157:G157)&gt;0,ROW()-3,"")</f>
        <v>154</v>
      </c>
      <c r="B157" s="171" t="n">
        <v>30001351</v>
      </c>
      <c r="C157" s="172" t="s">
        <v>67</v>
      </c>
      <c r="D157" s="173" t="s">
        <v>1474</v>
      </c>
      <c r="E157" s="174" t="s">
        <v>1600</v>
      </c>
      <c r="F157" s="172" t="s">
        <v>1280</v>
      </c>
      <c r="G157" s="168" t="s">
        <v>1601</v>
      </c>
      <c r="H157" s="169" t="s">
        <v>1282</v>
      </c>
      <c r="I157" s="170"/>
      <c r="J157" s="170"/>
      <c r="K157" s="170"/>
    </row>
    <row r="158" customFormat="false" ht="48" hidden="false" customHeight="true" outlineLevel="0" collapsed="false">
      <c r="A158" s="163" t="n">
        <f aca="false">IF(COUNTA(B158:G158)&gt;0,ROW()-3,"")</f>
        <v>155</v>
      </c>
      <c r="B158" s="171" t="n">
        <v>30001351</v>
      </c>
      <c r="C158" s="172" t="s">
        <v>67</v>
      </c>
      <c r="D158" s="173" t="s">
        <v>1474</v>
      </c>
      <c r="E158" s="174" t="s">
        <v>1602</v>
      </c>
      <c r="F158" s="172" t="s">
        <v>1280</v>
      </c>
      <c r="G158" s="168" t="s">
        <v>1603</v>
      </c>
      <c r="H158" s="169" t="s">
        <v>1282</v>
      </c>
      <c r="I158" s="170"/>
      <c r="J158" s="170"/>
      <c r="K158" s="170"/>
    </row>
    <row r="159" customFormat="false" ht="15" hidden="false" customHeight="true" outlineLevel="0" collapsed="false">
      <c r="A159" s="163" t="n">
        <f aca="false">IF(COUNTA(B159:G159)&gt;0,ROW()-3,"")</f>
        <v>156</v>
      </c>
      <c r="B159" s="171" t="s">
        <v>1477</v>
      </c>
      <c r="C159" s="172" t="s">
        <v>72</v>
      </c>
      <c r="D159" s="173" t="s">
        <v>1604</v>
      </c>
      <c r="E159" s="174" t="s">
        <v>1605</v>
      </c>
      <c r="F159" s="172" t="s">
        <v>1280</v>
      </c>
      <c r="G159" s="168" t="s">
        <v>1606</v>
      </c>
      <c r="H159" s="169" t="s">
        <v>1282</v>
      </c>
      <c r="I159" s="170"/>
      <c r="J159" s="170"/>
      <c r="K159" s="170"/>
    </row>
    <row r="160" customFormat="false" ht="25.5" hidden="false" customHeight="true" outlineLevel="0" collapsed="false">
      <c r="A160" s="163" t="n">
        <f aca="false">IF(COUNTA(B160:G160)&gt;0,ROW()-3,"")</f>
        <v>157</v>
      </c>
      <c r="B160" s="171" t="n">
        <v>30001575</v>
      </c>
      <c r="C160" s="172" t="s">
        <v>661</v>
      </c>
      <c r="D160" s="173" t="s">
        <v>1607</v>
      </c>
      <c r="E160" s="174" t="s">
        <v>1608</v>
      </c>
      <c r="F160" s="172" t="s">
        <v>1280</v>
      </c>
      <c r="G160" s="168" t="s">
        <v>1609</v>
      </c>
      <c r="H160" s="169" t="s">
        <v>1282</v>
      </c>
      <c r="I160" s="170"/>
      <c r="J160" s="170"/>
      <c r="K160" s="170"/>
    </row>
    <row r="161" customFormat="false" ht="15" hidden="false" customHeight="true" outlineLevel="0" collapsed="false">
      <c r="A161" s="163" t="n">
        <f aca="false">IF(COUNTA(B161:G161)&gt;0,ROW()-3,"")</f>
        <v>158</v>
      </c>
      <c r="B161" s="171" t="n">
        <v>30001575</v>
      </c>
      <c r="C161" s="172" t="s">
        <v>72</v>
      </c>
      <c r="D161" s="173" t="s">
        <v>1607</v>
      </c>
      <c r="E161" s="174" t="s">
        <v>1610</v>
      </c>
      <c r="F161" s="172" t="s">
        <v>1280</v>
      </c>
      <c r="G161" s="168" t="s">
        <v>1611</v>
      </c>
      <c r="H161" s="169" t="s">
        <v>1282</v>
      </c>
      <c r="I161" s="170"/>
      <c r="J161" s="170"/>
      <c r="K161" s="170"/>
    </row>
    <row r="162" customFormat="false" ht="25.5" hidden="false" customHeight="true" outlineLevel="0" collapsed="false">
      <c r="A162" s="163" t="n">
        <f aca="false">IF(COUNTA(B162:G162)&gt;0,ROW()-3,"")</f>
        <v>159</v>
      </c>
      <c r="B162" s="171" t="n">
        <v>30001575</v>
      </c>
      <c r="C162" s="172" t="s">
        <v>661</v>
      </c>
      <c r="D162" s="173" t="s">
        <v>1607</v>
      </c>
      <c r="E162" s="174" t="s">
        <v>1608</v>
      </c>
      <c r="F162" s="172" t="s">
        <v>1280</v>
      </c>
      <c r="G162" s="168" t="s">
        <v>1612</v>
      </c>
      <c r="H162" s="169" t="s">
        <v>1282</v>
      </c>
      <c r="I162" s="170"/>
      <c r="J162" s="170"/>
      <c r="K162" s="170"/>
    </row>
    <row r="163" customFormat="false" ht="25.5" hidden="false" customHeight="true" outlineLevel="0" collapsed="false">
      <c r="A163" s="163" t="n">
        <f aca="false">IF(COUNTA(B163:G163)&gt;0,ROW()-3,"")</f>
        <v>160</v>
      </c>
      <c r="B163" s="171" t="n">
        <v>30001575</v>
      </c>
      <c r="C163" s="172" t="s">
        <v>661</v>
      </c>
      <c r="D163" s="173" t="s">
        <v>1607</v>
      </c>
      <c r="E163" s="174" t="s">
        <v>1608</v>
      </c>
      <c r="F163" s="172" t="s">
        <v>1280</v>
      </c>
      <c r="G163" s="168" t="s">
        <v>1613</v>
      </c>
      <c r="H163" s="169" t="s">
        <v>1282</v>
      </c>
      <c r="I163" s="170"/>
      <c r="J163" s="170"/>
      <c r="K163" s="170"/>
    </row>
    <row r="164" customFormat="false" ht="15" hidden="false" customHeight="true" outlineLevel="0" collapsed="false">
      <c r="A164" s="163" t="n">
        <f aca="false">IF(COUNTA(B164:G164)&gt;0,ROW()-3,"")</f>
        <v>161</v>
      </c>
      <c r="B164" s="171" t="n">
        <v>30001575</v>
      </c>
      <c r="C164" s="172" t="s">
        <v>72</v>
      </c>
      <c r="D164" s="173" t="s">
        <v>1607</v>
      </c>
      <c r="E164" s="174" t="s">
        <v>1614</v>
      </c>
      <c r="F164" s="172" t="s">
        <v>1280</v>
      </c>
      <c r="G164" s="168" t="s">
        <v>1615</v>
      </c>
      <c r="H164" s="169" t="s">
        <v>1282</v>
      </c>
      <c r="I164" s="170"/>
      <c r="J164" s="170"/>
      <c r="K164" s="170"/>
    </row>
    <row r="165" customFormat="false" ht="15" hidden="false" customHeight="true" outlineLevel="0" collapsed="false">
      <c r="A165" s="163" t="n">
        <f aca="false">IF(COUNTA(B165:G165)&gt;0,ROW()-3,"")</f>
        <v>162</v>
      </c>
      <c r="B165" s="171" t="n">
        <v>30001575</v>
      </c>
      <c r="C165" s="172" t="s">
        <v>72</v>
      </c>
      <c r="D165" s="173" t="s">
        <v>1607</v>
      </c>
      <c r="E165" s="174" t="s">
        <v>1616</v>
      </c>
      <c r="F165" s="172" t="s">
        <v>1280</v>
      </c>
      <c r="G165" s="168" t="s">
        <v>1617</v>
      </c>
      <c r="H165" s="169" t="s">
        <v>1282</v>
      </c>
      <c r="I165" s="170"/>
      <c r="J165" s="170"/>
      <c r="K165" s="170"/>
    </row>
    <row r="166" customFormat="false" ht="15" hidden="false" customHeight="true" outlineLevel="0" collapsed="false">
      <c r="A166" s="163" t="n">
        <f aca="false">IF(COUNTA(B166:G166)&gt;0,ROW()-3,"")</f>
        <v>163</v>
      </c>
      <c r="B166" s="171" t="n">
        <v>30001575</v>
      </c>
      <c r="C166" s="172" t="s">
        <v>72</v>
      </c>
      <c r="D166" s="173" t="s">
        <v>1607</v>
      </c>
      <c r="E166" s="174" t="s">
        <v>1618</v>
      </c>
      <c r="F166" s="172" t="s">
        <v>1280</v>
      </c>
      <c r="G166" s="168" t="s">
        <v>1619</v>
      </c>
      <c r="H166" s="169" t="s">
        <v>1282</v>
      </c>
      <c r="I166" s="170"/>
      <c r="J166" s="170"/>
      <c r="K166" s="170"/>
    </row>
    <row r="167" customFormat="false" ht="25.5" hidden="false" customHeight="true" outlineLevel="0" collapsed="false">
      <c r="A167" s="163" t="n">
        <f aca="false">IF(COUNTA(B167:G167)&gt;0,ROW()-3,"")</f>
        <v>164</v>
      </c>
      <c r="B167" s="171" t="s">
        <v>1620</v>
      </c>
      <c r="C167" s="172" t="s">
        <v>72</v>
      </c>
      <c r="D167" s="173" t="s">
        <v>1621</v>
      </c>
      <c r="E167" s="174" t="s">
        <v>1622</v>
      </c>
      <c r="F167" s="172" t="s">
        <v>1280</v>
      </c>
      <c r="G167" s="168" t="s">
        <v>1623</v>
      </c>
      <c r="H167" s="169" t="s">
        <v>1282</v>
      </c>
      <c r="I167" s="170"/>
      <c r="J167" s="170"/>
      <c r="K167" s="170"/>
    </row>
    <row r="168" customFormat="false" ht="15" hidden="false" customHeight="true" outlineLevel="0" collapsed="false">
      <c r="A168" s="163" t="n">
        <f aca="false">IF(COUNTA(B168:G168)&gt;0,ROW()-3,"")</f>
        <v>165</v>
      </c>
      <c r="B168" s="171" t="n">
        <v>30001575</v>
      </c>
      <c r="C168" s="172" t="s">
        <v>72</v>
      </c>
      <c r="D168" s="173" t="s">
        <v>1607</v>
      </c>
      <c r="E168" s="174" t="s">
        <v>1624</v>
      </c>
      <c r="F168" s="172" t="s">
        <v>1280</v>
      </c>
      <c r="G168" s="168" t="s">
        <v>1625</v>
      </c>
      <c r="H168" s="169" t="s">
        <v>1282</v>
      </c>
      <c r="I168" s="170"/>
      <c r="J168" s="170"/>
      <c r="K168" s="170"/>
    </row>
    <row r="169" customFormat="false" ht="25.5" hidden="false" customHeight="true" outlineLevel="0" collapsed="false">
      <c r="A169" s="163" t="n">
        <f aca="false">IF(COUNTA(B169:G169)&gt;0,ROW()-3,"")</f>
        <v>166</v>
      </c>
      <c r="B169" s="171" t="s">
        <v>1620</v>
      </c>
      <c r="C169" s="172" t="s">
        <v>72</v>
      </c>
      <c r="D169" s="173" t="s">
        <v>1621</v>
      </c>
      <c r="E169" s="174" t="s">
        <v>1626</v>
      </c>
      <c r="F169" s="172" t="s">
        <v>1280</v>
      </c>
      <c r="G169" s="168" t="s">
        <v>1627</v>
      </c>
      <c r="H169" s="169" t="s">
        <v>1282</v>
      </c>
      <c r="I169" s="170"/>
      <c r="J169" s="170"/>
      <c r="K169" s="170"/>
    </row>
    <row r="170" customFormat="false" ht="15" hidden="false" customHeight="true" outlineLevel="0" collapsed="false">
      <c r="A170" s="163" t="n">
        <f aca="false">IF(COUNTA(B170:G170)&gt;0,ROW()-3,"")</f>
        <v>167</v>
      </c>
      <c r="B170" s="171" t="n">
        <v>30001575</v>
      </c>
      <c r="C170" s="172" t="s">
        <v>72</v>
      </c>
      <c r="D170" s="173" t="s">
        <v>1607</v>
      </c>
      <c r="E170" s="174" t="s">
        <v>1628</v>
      </c>
      <c r="F170" s="172" t="s">
        <v>1280</v>
      </c>
      <c r="G170" s="168" t="s">
        <v>1629</v>
      </c>
      <c r="H170" s="169" t="s">
        <v>1282</v>
      </c>
      <c r="I170" s="170"/>
      <c r="J170" s="170"/>
      <c r="K170" s="170"/>
    </row>
    <row r="171" customFormat="false" ht="25.5" hidden="false" customHeight="true" outlineLevel="0" collapsed="false">
      <c r="A171" s="163" t="n">
        <f aca="false">IF(COUNTA(B171:G171)&gt;0,ROW()-3,"")</f>
        <v>168</v>
      </c>
      <c r="B171" s="171" t="s">
        <v>1620</v>
      </c>
      <c r="C171" s="172" t="s">
        <v>72</v>
      </c>
      <c r="D171" s="173" t="s">
        <v>1621</v>
      </c>
      <c r="E171" s="174" t="s">
        <v>1630</v>
      </c>
      <c r="F171" s="172" t="s">
        <v>1280</v>
      </c>
      <c r="G171" s="168" t="s">
        <v>1631</v>
      </c>
      <c r="H171" s="169" t="s">
        <v>1282</v>
      </c>
      <c r="I171" s="170"/>
      <c r="J171" s="170"/>
      <c r="K171" s="170"/>
    </row>
    <row r="172" customFormat="false" ht="15" hidden="false" customHeight="true" outlineLevel="0" collapsed="false">
      <c r="A172" s="163" t="n">
        <f aca="false">IF(COUNTA(B172:G172)&gt;0,ROW()-3,"")</f>
        <v>169</v>
      </c>
      <c r="B172" s="171" t="n">
        <v>30001575</v>
      </c>
      <c r="C172" s="172" t="s">
        <v>72</v>
      </c>
      <c r="D172" s="173" t="s">
        <v>1607</v>
      </c>
      <c r="E172" s="174" t="s">
        <v>1632</v>
      </c>
      <c r="F172" s="172" t="s">
        <v>1280</v>
      </c>
      <c r="G172" s="168" t="s">
        <v>1633</v>
      </c>
      <c r="H172" s="169" t="s">
        <v>1282</v>
      </c>
      <c r="I172" s="170"/>
      <c r="J172" s="170"/>
      <c r="K172" s="170"/>
    </row>
    <row r="173" customFormat="false" ht="25.5" hidden="false" customHeight="true" outlineLevel="0" collapsed="false">
      <c r="A173" s="163" t="n">
        <f aca="false">IF(COUNTA(B173:G173)&gt;0,ROW()-3,"")</f>
        <v>170</v>
      </c>
      <c r="B173" s="171" t="s">
        <v>1620</v>
      </c>
      <c r="C173" s="172" t="s">
        <v>72</v>
      </c>
      <c r="D173" s="173" t="s">
        <v>1621</v>
      </c>
      <c r="E173" s="174" t="s">
        <v>1634</v>
      </c>
      <c r="F173" s="172" t="s">
        <v>1280</v>
      </c>
      <c r="G173" s="168" t="s">
        <v>1635</v>
      </c>
      <c r="H173" s="169" t="s">
        <v>1282</v>
      </c>
      <c r="I173" s="170"/>
      <c r="J173" s="170"/>
      <c r="K173" s="170"/>
    </row>
    <row r="174" customFormat="false" ht="15" hidden="false" customHeight="true" outlineLevel="0" collapsed="false">
      <c r="A174" s="163" t="n">
        <f aca="false">IF(COUNTA(B174:G174)&gt;0,ROW()-3,"")</f>
        <v>171</v>
      </c>
      <c r="B174" s="171" t="n">
        <v>30001575</v>
      </c>
      <c r="C174" s="172" t="s">
        <v>72</v>
      </c>
      <c r="D174" s="173" t="s">
        <v>1607</v>
      </c>
      <c r="E174" s="174" t="s">
        <v>1636</v>
      </c>
      <c r="F174" s="172" t="s">
        <v>1280</v>
      </c>
      <c r="G174" s="168" t="s">
        <v>1637</v>
      </c>
      <c r="H174" s="169" t="s">
        <v>1282</v>
      </c>
      <c r="I174" s="170"/>
      <c r="J174" s="170"/>
      <c r="K174" s="170"/>
    </row>
    <row r="175" customFormat="false" ht="25.5" hidden="false" customHeight="true" outlineLevel="0" collapsed="false">
      <c r="A175" s="163" t="n">
        <f aca="false">IF(COUNTA(B175:G175)&gt;0,ROW()-3,"")</f>
        <v>172</v>
      </c>
      <c r="B175" s="171" t="s">
        <v>1620</v>
      </c>
      <c r="C175" s="172" t="s">
        <v>72</v>
      </c>
      <c r="D175" s="173" t="s">
        <v>1621</v>
      </c>
      <c r="E175" s="174" t="s">
        <v>1638</v>
      </c>
      <c r="F175" s="172" t="s">
        <v>1280</v>
      </c>
      <c r="G175" s="168" t="s">
        <v>1639</v>
      </c>
      <c r="H175" s="169" t="s">
        <v>1282</v>
      </c>
      <c r="I175" s="170"/>
      <c r="J175" s="170"/>
      <c r="K175" s="170"/>
    </row>
    <row r="176" customFormat="false" ht="15" hidden="false" customHeight="true" outlineLevel="0" collapsed="false">
      <c r="A176" s="163" t="n">
        <f aca="false">IF(COUNTA(B176:G176)&gt;0,ROW()-3,"")</f>
        <v>173</v>
      </c>
      <c r="B176" s="171" t="n">
        <v>30001575</v>
      </c>
      <c r="C176" s="172" t="s">
        <v>72</v>
      </c>
      <c r="D176" s="173" t="s">
        <v>1607</v>
      </c>
      <c r="E176" s="174" t="s">
        <v>1640</v>
      </c>
      <c r="F176" s="172" t="s">
        <v>1280</v>
      </c>
      <c r="G176" s="168" t="s">
        <v>1641</v>
      </c>
      <c r="H176" s="169" t="s">
        <v>1282</v>
      </c>
      <c r="I176" s="170"/>
      <c r="J176" s="170"/>
      <c r="K176" s="170"/>
    </row>
    <row r="177" customFormat="false" ht="25.5" hidden="false" customHeight="true" outlineLevel="0" collapsed="false">
      <c r="A177" s="163" t="n">
        <f aca="false">IF(COUNTA(B177:G177)&gt;0,ROW()-3,"")</f>
        <v>174</v>
      </c>
      <c r="B177" s="171" t="s">
        <v>1620</v>
      </c>
      <c r="C177" s="172" t="s">
        <v>72</v>
      </c>
      <c r="D177" s="173" t="s">
        <v>1621</v>
      </c>
      <c r="E177" s="174" t="s">
        <v>1642</v>
      </c>
      <c r="F177" s="172" t="s">
        <v>1280</v>
      </c>
      <c r="G177" s="168" t="s">
        <v>1643</v>
      </c>
      <c r="H177" s="169" t="s">
        <v>1282</v>
      </c>
      <c r="I177" s="170"/>
      <c r="J177" s="170"/>
      <c r="K177" s="170"/>
    </row>
    <row r="178" customFormat="false" ht="25.5" hidden="false" customHeight="true" outlineLevel="0" collapsed="false">
      <c r="A178" s="163" t="n">
        <f aca="false">IF(COUNTA(B178:G178)&gt;0,ROW()-3,"")</f>
        <v>175</v>
      </c>
      <c r="B178" s="171" t="s">
        <v>1477</v>
      </c>
      <c r="C178" s="172" t="s">
        <v>34</v>
      </c>
      <c r="D178" s="173" t="s">
        <v>37</v>
      </c>
      <c r="E178" s="174" t="s">
        <v>1644</v>
      </c>
      <c r="F178" s="172" t="s">
        <v>1280</v>
      </c>
      <c r="G178" s="168" t="s">
        <v>1645</v>
      </c>
      <c r="H178" s="169" t="s">
        <v>1282</v>
      </c>
      <c r="I178" s="170"/>
      <c r="J178" s="170"/>
      <c r="K178" s="170"/>
    </row>
    <row r="179" customFormat="false" ht="30" hidden="false" customHeight="true" outlineLevel="0" collapsed="false">
      <c r="A179" s="163" t="n">
        <f aca="false">IF(COUNTA(B179:G179)&gt;0,ROW()-3,"")</f>
        <v>176</v>
      </c>
      <c r="B179" s="171" t="s">
        <v>1620</v>
      </c>
      <c r="C179" s="172" t="s">
        <v>72</v>
      </c>
      <c r="D179" s="173" t="s">
        <v>1621</v>
      </c>
      <c r="E179" s="174" t="s">
        <v>1646</v>
      </c>
      <c r="F179" s="172" t="s">
        <v>1280</v>
      </c>
      <c r="G179" s="168" t="s">
        <v>1647</v>
      </c>
      <c r="H179" s="169" t="s">
        <v>1282</v>
      </c>
      <c r="I179" s="170"/>
      <c r="J179" s="170"/>
      <c r="K179" s="170"/>
    </row>
    <row r="180" customFormat="false" ht="15" hidden="false" customHeight="true" outlineLevel="0" collapsed="false">
      <c r="A180" s="163" t="n">
        <f aca="false">IF(COUNTA(B180:G180)&gt;0,ROW()-3,"")</f>
        <v>177</v>
      </c>
      <c r="B180" s="171" t="n">
        <v>30001575</v>
      </c>
      <c r="C180" s="172" t="s">
        <v>72</v>
      </c>
      <c r="D180" s="173" t="s">
        <v>1607</v>
      </c>
      <c r="E180" s="174" t="s">
        <v>1648</v>
      </c>
      <c r="F180" s="172" t="s">
        <v>1280</v>
      </c>
      <c r="G180" s="168" t="s">
        <v>1649</v>
      </c>
      <c r="H180" s="169" t="s">
        <v>1282</v>
      </c>
      <c r="I180" s="170"/>
      <c r="J180" s="170"/>
      <c r="K180" s="170"/>
    </row>
    <row r="181" customFormat="false" ht="15" hidden="false" customHeight="true" outlineLevel="0" collapsed="false">
      <c r="A181" s="163" t="n">
        <f aca="false">IF(COUNTA(B181:G181)&gt;0,ROW()-3,"")</f>
        <v>178</v>
      </c>
      <c r="B181" s="171" t="n">
        <v>30001575</v>
      </c>
      <c r="C181" s="172" t="s">
        <v>72</v>
      </c>
      <c r="D181" s="173" t="s">
        <v>1607</v>
      </c>
      <c r="E181" s="174" t="s">
        <v>1650</v>
      </c>
      <c r="F181" s="172" t="s">
        <v>1280</v>
      </c>
      <c r="G181" s="168" t="s">
        <v>1651</v>
      </c>
      <c r="H181" s="169" t="s">
        <v>1282</v>
      </c>
      <c r="I181" s="170"/>
      <c r="J181" s="170"/>
      <c r="K181" s="170"/>
    </row>
    <row r="182" customFormat="false" ht="15" hidden="false" customHeight="true" outlineLevel="0" collapsed="false">
      <c r="A182" s="163" t="n">
        <f aca="false">IF(COUNTA(B182:G182)&gt;0,ROW()-3,"")</f>
        <v>179</v>
      </c>
      <c r="B182" s="171" t="n">
        <v>30004221</v>
      </c>
      <c r="C182" s="172" t="s">
        <v>67</v>
      </c>
      <c r="D182" s="173" t="s">
        <v>1652</v>
      </c>
      <c r="E182" s="174" t="s">
        <v>1653</v>
      </c>
      <c r="F182" s="172" t="s">
        <v>1280</v>
      </c>
      <c r="G182" s="168" t="s">
        <v>1654</v>
      </c>
      <c r="H182" s="169" t="s">
        <v>1282</v>
      </c>
      <c r="I182" s="170"/>
      <c r="J182" s="170"/>
      <c r="K182" s="170"/>
    </row>
    <row r="183" customFormat="false" ht="25.5" hidden="false" customHeight="true" outlineLevel="0" collapsed="false">
      <c r="A183" s="163" t="n">
        <f aca="false">IF(COUNTA(B183:G183)&gt;0,ROW()-3,"")</f>
        <v>180</v>
      </c>
      <c r="B183" s="171" t="s">
        <v>1620</v>
      </c>
      <c r="C183" s="172" t="s">
        <v>72</v>
      </c>
      <c r="D183" s="173" t="s">
        <v>1621</v>
      </c>
      <c r="E183" s="174" t="s">
        <v>1655</v>
      </c>
      <c r="F183" s="172" t="s">
        <v>1280</v>
      </c>
      <c r="G183" s="168" t="s">
        <v>1656</v>
      </c>
      <c r="H183" s="169" t="s">
        <v>1282</v>
      </c>
      <c r="I183" s="170"/>
      <c r="J183" s="170"/>
      <c r="K183" s="170"/>
    </row>
    <row r="184" customFormat="false" ht="15" hidden="false" customHeight="true" outlineLevel="0" collapsed="false">
      <c r="A184" s="163" t="n">
        <f aca="false">IF(COUNTA(B184:G184)&gt;0,ROW()-3,"")</f>
        <v>181</v>
      </c>
      <c r="B184" s="171" t="n">
        <v>30004221</v>
      </c>
      <c r="C184" s="172" t="s">
        <v>67</v>
      </c>
      <c r="D184" s="173" t="s">
        <v>1652</v>
      </c>
      <c r="E184" s="174" t="s">
        <v>1657</v>
      </c>
      <c r="F184" s="172" t="s">
        <v>1280</v>
      </c>
      <c r="G184" s="168" t="s">
        <v>1658</v>
      </c>
      <c r="H184" s="169" t="s">
        <v>1282</v>
      </c>
      <c r="I184" s="170"/>
      <c r="J184" s="170"/>
      <c r="K184" s="170"/>
    </row>
    <row r="185" customFormat="false" ht="45" hidden="false" customHeight="true" outlineLevel="0" collapsed="false">
      <c r="A185" s="163" t="n">
        <f aca="false">IF(COUNTA(B185:G185)&gt;0,ROW()-3,"")</f>
        <v>182</v>
      </c>
      <c r="B185" s="171" t="n">
        <v>30001575</v>
      </c>
      <c r="C185" s="172" t="s">
        <v>72</v>
      </c>
      <c r="D185" s="173" t="s">
        <v>1607</v>
      </c>
      <c r="E185" s="174" t="s">
        <v>1659</v>
      </c>
      <c r="F185" s="172" t="s">
        <v>1280</v>
      </c>
      <c r="G185" s="168" t="s">
        <v>1660</v>
      </c>
      <c r="H185" s="169" t="s">
        <v>1282</v>
      </c>
      <c r="I185" s="170"/>
      <c r="J185" s="170"/>
      <c r="K185" s="170"/>
    </row>
    <row r="186" customFormat="false" ht="15" hidden="false" customHeight="true" outlineLevel="0" collapsed="false">
      <c r="A186" s="163" t="n">
        <f aca="false">IF(COUNTA(B186:G186)&gt;0,ROW()-3,"")</f>
        <v>183</v>
      </c>
      <c r="B186" s="171" t="n">
        <v>30004221</v>
      </c>
      <c r="C186" s="172" t="s">
        <v>67</v>
      </c>
      <c r="D186" s="173" t="s">
        <v>1652</v>
      </c>
      <c r="E186" s="174" t="s">
        <v>1661</v>
      </c>
      <c r="F186" s="172" t="s">
        <v>1280</v>
      </c>
      <c r="G186" s="168" t="s">
        <v>1662</v>
      </c>
      <c r="H186" s="169" t="s">
        <v>1282</v>
      </c>
      <c r="I186" s="170"/>
      <c r="J186" s="170"/>
      <c r="K186" s="170"/>
    </row>
    <row r="187" customFormat="false" ht="15" hidden="false" customHeight="true" outlineLevel="0" collapsed="false">
      <c r="A187" s="163" t="n">
        <f aca="false">IF(COUNTA(B187:G187)&gt;0,ROW()-3,"")</f>
        <v>184</v>
      </c>
      <c r="B187" s="171" t="n">
        <v>30004221</v>
      </c>
      <c r="C187" s="172" t="s">
        <v>67</v>
      </c>
      <c r="D187" s="173" t="s">
        <v>1652</v>
      </c>
      <c r="E187" s="174" t="s">
        <v>1661</v>
      </c>
      <c r="F187" s="172" t="s">
        <v>1280</v>
      </c>
      <c r="G187" s="168" t="s">
        <v>1663</v>
      </c>
      <c r="H187" s="169" t="s">
        <v>1282</v>
      </c>
      <c r="I187" s="170"/>
      <c r="J187" s="170"/>
      <c r="K187" s="170"/>
    </row>
    <row r="188" customFormat="false" ht="25.5" hidden="false" customHeight="true" outlineLevel="0" collapsed="false">
      <c r="A188" s="163" t="n">
        <f aca="false">IF(COUNTA(B188:G188)&gt;0,ROW()-3,"")</f>
        <v>185</v>
      </c>
      <c r="B188" s="171" t="s">
        <v>1477</v>
      </c>
      <c r="C188" s="172" t="s">
        <v>34</v>
      </c>
      <c r="D188" s="173" t="s">
        <v>37</v>
      </c>
      <c r="E188" s="174" t="s">
        <v>1664</v>
      </c>
      <c r="F188" s="172" t="s">
        <v>1280</v>
      </c>
      <c r="G188" s="168" t="s">
        <v>1665</v>
      </c>
      <c r="H188" s="169" t="s">
        <v>1282</v>
      </c>
      <c r="I188" s="170"/>
      <c r="J188" s="170"/>
      <c r="K188" s="170"/>
    </row>
    <row r="189" customFormat="false" ht="15" hidden="false" customHeight="true" outlineLevel="0" collapsed="false">
      <c r="A189" s="163" t="n">
        <f aca="false">IF(COUNTA(B189:G189)&gt;0,ROW()-3,"")</f>
        <v>186</v>
      </c>
      <c r="B189" s="171" t="n">
        <v>30001575</v>
      </c>
      <c r="C189" s="172" t="s">
        <v>72</v>
      </c>
      <c r="D189" s="173" t="s">
        <v>1607</v>
      </c>
      <c r="E189" s="174" t="s">
        <v>1666</v>
      </c>
      <c r="F189" s="172" t="s">
        <v>1280</v>
      </c>
      <c r="G189" s="168" t="s">
        <v>1667</v>
      </c>
      <c r="H189" s="169" t="s">
        <v>1282</v>
      </c>
      <c r="I189" s="170"/>
      <c r="J189" s="170"/>
      <c r="K189" s="170"/>
    </row>
    <row r="190" customFormat="false" ht="15" hidden="false" customHeight="true" outlineLevel="0" collapsed="false">
      <c r="A190" s="163" t="n">
        <f aca="false">IF(COUNTA(B190:G190)&gt;0,ROW()-3,"")</f>
        <v>187</v>
      </c>
      <c r="B190" s="171" t="n">
        <v>30004221</v>
      </c>
      <c r="C190" s="172" t="s">
        <v>67</v>
      </c>
      <c r="D190" s="173" t="s">
        <v>1652</v>
      </c>
      <c r="E190" s="174" t="s">
        <v>1668</v>
      </c>
      <c r="F190" s="172" t="s">
        <v>1280</v>
      </c>
      <c r="G190" s="168" t="s">
        <v>1669</v>
      </c>
      <c r="H190" s="169" t="s">
        <v>1282</v>
      </c>
      <c r="I190" s="170"/>
      <c r="J190" s="170"/>
      <c r="K190" s="170"/>
    </row>
    <row r="191" customFormat="false" ht="15" hidden="false" customHeight="true" outlineLevel="0" collapsed="false">
      <c r="A191" s="163" t="n">
        <f aca="false">IF(COUNTA(B191:G191)&gt;0,ROW()-3,"")</f>
        <v>188</v>
      </c>
      <c r="B191" s="171" t="n">
        <v>30004221</v>
      </c>
      <c r="C191" s="172" t="s">
        <v>67</v>
      </c>
      <c r="D191" s="173" t="s">
        <v>1652</v>
      </c>
      <c r="E191" s="174" t="s">
        <v>1670</v>
      </c>
      <c r="F191" s="172" t="s">
        <v>1280</v>
      </c>
      <c r="G191" s="168" t="s">
        <v>1671</v>
      </c>
      <c r="H191" s="169" t="s">
        <v>1282</v>
      </c>
      <c r="I191" s="170"/>
      <c r="J191" s="170"/>
      <c r="K191" s="170"/>
    </row>
    <row r="192" customFormat="false" ht="15" hidden="false" customHeight="true" outlineLevel="0" collapsed="false">
      <c r="A192" s="163" t="n">
        <f aca="false">IF(COUNTA(B192:G192)&gt;0,ROW()-3,"")</f>
        <v>189</v>
      </c>
      <c r="B192" s="171" t="n">
        <v>30001575</v>
      </c>
      <c r="C192" s="172" t="s">
        <v>72</v>
      </c>
      <c r="D192" s="173" t="s">
        <v>1607</v>
      </c>
      <c r="E192" s="174" t="s">
        <v>1672</v>
      </c>
      <c r="F192" s="172" t="s">
        <v>1280</v>
      </c>
      <c r="G192" s="168" t="s">
        <v>1673</v>
      </c>
      <c r="H192" s="169" t="s">
        <v>1282</v>
      </c>
      <c r="I192" s="170"/>
      <c r="J192" s="170"/>
      <c r="K192" s="170"/>
    </row>
    <row r="193" customFormat="false" ht="30" hidden="false" customHeight="true" outlineLevel="0" collapsed="false">
      <c r="A193" s="163" t="n">
        <f aca="false">IF(COUNTA(B193:G193)&gt;0,ROW()-3,"")</f>
        <v>190</v>
      </c>
      <c r="B193" s="171" t="s">
        <v>1620</v>
      </c>
      <c r="C193" s="172" t="s">
        <v>72</v>
      </c>
      <c r="D193" s="173" t="s">
        <v>1621</v>
      </c>
      <c r="E193" s="174" t="s">
        <v>1674</v>
      </c>
      <c r="F193" s="172" t="s">
        <v>1280</v>
      </c>
      <c r="G193" s="168" t="s">
        <v>1675</v>
      </c>
      <c r="H193" s="169" t="s">
        <v>1282</v>
      </c>
      <c r="I193" s="170"/>
      <c r="J193" s="170"/>
      <c r="K193" s="170"/>
    </row>
    <row r="194" customFormat="false" ht="15" hidden="false" customHeight="true" outlineLevel="0" collapsed="false">
      <c r="A194" s="163" t="n">
        <f aca="false">IF(COUNTA(B194:G194)&gt;0,ROW()-3,"")</f>
        <v>191</v>
      </c>
      <c r="B194" s="171" t="n">
        <v>30004221</v>
      </c>
      <c r="C194" s="172" t="s">
        <v>67</v>
      </c>
      <c r="D194" s="173" t="s">
        <v>1652</v>
      </c>
      <c r="E194" s="174" t="s">
        <v>1676</v>
      </c>
      <c r="F194" s="172" t="s">
        <v>1280</v>
      </c>
      <c r="G194" s="168" t="s">
        <v>1677</v>
      </c>
      <c r="H194" s="169" t="s">
        <v>1282</v>
      </c>
      <c r="I194" s="170"/>
      <c r="J194" s="170"/>
      <c r="K194" s="170"/>
    </row>
    <row r="195" customFormat="false" ht="25.5" hidden="false" customHeight="true" outlineLevel="0" collapsed="false">
      <c r="A195" s="163" t="n">
        <f aca="false">IF(COUNTA(B195:G195)&gt;0,ROW()-3,"")</f>
        <v>192</v>
      </c>
      <c r="B195" s="171" t="s">
        <v>1477</v>
      </c>
      <c r="C195" s="172" t="s">
        <v>34</v>
      </c>
      <c r="D195" s="173" t="s">
        <v>37</v>
      </c>
      <c r="E195" s="174" t="s">
        <v>1678</v>
      </c>
      <c r="F195" s="172" t="s">
        <v>1280</v>
      </c>
      <c r="G195" s="168" t="s">
        <v>1679</v>
      </c>
      <c r="H195" s="169" t="s">
        <v>1282</v>
      </c>
      <c r="I195" s="170"/>
      <c r="J195" s="170"/>
      <c r="K195" s="170"/>
    </row>
    <row r="196" customFormat="false" ht="15" hidden="false" customHeight="true" outlineLevel="0" collapsed="false">
      <c r="A196" s="163" t="n">
        <f aca="false">IF(COUNTA(B196:G196)&gt;0,ROW()-3,"")</f>
        <v>193</v>
      </c>
      <c r="B196" s="171" t="n">
        <v>30004221</v>
      </c>
      <c r="C196" s="172" t="s">
        <v>67</v>
      </c>
      <c r="D196" s="173" t="s">
        <v>1652</v>
      </c>
      <c r="E196" s="174" t="s">
        <v>1680</v>
      </c>
      <c r="F196" s="172" t="s">
        <v>1280</v>
      </c>
      <c r="G196" s="168" t="s">
        <v>1681</v>
      </c>
      <c r="H196" s="169" t="s">
        <v>1282</v>
      </c>
      <c r="I196" s="170"/>
      <c r="J196" s="170"/>
      <c r="K196" s="170"/>
    </row>
    <row r="197" customFormat="false" ht="15" hidden="false" customHeight="true" outlineLevel="0" collapsed="false">
      <c r="A197" s="163" t="n">
        <f aca="false">IF(COUNTA(B197:G197)&gt;0,ROW()-3,"")</f>
        <v>194</v>
      </c>
      <c r="B197" s="171" t="s">
        <v>1682</v>
      </c>
      <c r="C197" s="172" t="s">
        <v>72</v>
      </c>
      <c r="D197" s="173" t="s">
        <v>1607</v>
      </c>
      <c r="E197" s="174" t="s">
        <v>1672</v>
      </c>
      <c r="F197" s="172" t="s">
        <v>1280</v>
      </c>
      <c r="G197" s="168" t="s">
        <v>1683</v>
      </c>
      <c r="H197" s="169" t="s">
        <v>1282</v>
      </c>
      <c r="I197" s="170"/>
      <c r="J197" s="170"/>
      <c r="K197" s="170"/>
    </row>
    <row r="198" customFormat="false" ht="15" hidden="false" customHeight="true" outlineLevel="0" collapsed="false">
      <c r="A198" s="163" t="n">
        <f aca="false">IF(COUNTA(B198:G198)&gt;0,ROW()-3,"")</f>
        <v>195</v>
      </c>
      <c r="B198" s="171" t="n">
        <v>30004221</v>
      </c>
      <c r="C198" s="172" t="s">
        <v>67</v>
      </c>
      <c r="D198" s="173" t="s">
        <v>1652</v>
      </c>
      <c r="E198" s="174" t="s">
        <v>1680</v>
      </c>
      <c r="F198" s="172" t="s">
        <v>1280</v>
      </c>
      <c r="G198" s="168" t="s">
        <v>1684</v>
      </c>
      <c r="H198" s="169" t="s">
        <v>1282</v>
      </c>
      <c r="I198" s="170"/>
      <c r="J198" s="170"/>
      <c r="K198" s="170"/>
    </row>
    <row r="199" customFormat="false" ht="25.5" hidden="false" customHeight="true" outlineLevel="0" collapsed="false">
      <c r="A199" s="163" t="n">
        <f aca="false">IF(COUNTA(B199:G199)&gt;0,ROW()-3,"")</f>
        <v>196</v>
      </c>
      <c r="B199" s="171" t="s">
        <v>1620</v>
      </c>
      <c r="C199" s="172" t="s">
        <v>72</v>
      </c>
      <c r="D199" s="173" t="s">
        <v>1621</v>
      </c>
      <c r="E199" s="174" t="s">
        <v>1685</v>
      </c>
      <c r="F199" s="172" t="s">
        <v>1280</v>
      </c>
      <c r="G199" s="168" t="s">
        <v>1686</v>
      </c>
      <c r="H199" s="169" t="s">
        <v>1282</v>
      </c>
      <c r="I199" s="170"/>
      <c r="J199" s="170"/>
      <c r="K199" s="170"/>
    </row>
    <row r="200" customFormat="false" ht="15" hidden="false" customHeight="true" outlineLevel="0" collapsed="false">
      <c r="A200" s="163" t="n">
        <f aca="false">IF(COUNTA(B200:G200)&gt;0,ROW()-3,"")</f>
        <v>197</v>
      </c>
      <c r="B200" s="171" t="n">
        <v>30004221</v>
      </c>
      <c r="C200" s="172" t="s">
        <v>67</v>
      </c>
      <c r="D200" s="173" t="s">
        <v>1652</v>
      </c>
      <c r="E200" s="174" t="s">
        <v>1687</v>
      </c>
      <c r="F200" s="172" t="s">
        <v>1280</v>
      </c>
      <c r="G200" s="168" t="s">
        <v>1688</v>
      </c>
      <c r="H200" s="169" t="s">
        <v>1282</v>
      </c>
      <c r="I200" s="170"/>
      <c r="J200" s="170"/>
      <c r="K200" s="170"/>
    </row>
    <row r="201" customFormat="false" ht="15" hidden="false" customHeight="true" outlineLevel="0" collapsed="false">
      <c r="A201" s="163" t="n">
        <f aca="false">IF(COUNTA(B201:G201)&gt;0,ROW()-3,"")</f>
        <v>198</v>
      </c>
      <c r="B201" s="171" t="n">
        <v>30004221</v>
      </c>
      <c r="C201" s="172" t="s">
        <v>67</v>
      </c>
      <c r="D201" s="173" t="s">
        <v>1652</v>
      </c>
      <c r="E201" s="174" t="s">
        <v>1689</v>
      </c>
      <c r="F201" s="172" t="s">
        <v>1280</v>
      </c>
      <c r="G201" s="168" t="s">
        <v>1690</v>
      </c>
      <c r="H201" s="169" t="s">
        <v>1282</v>
      </c>
      <c r="I201" s="170"/>
      <c r="J201" s="170"/>
      <c r="K201" s="170"/>
    </row>
    <row r="202" customFormat="false" ht="25.5" hidden="false" customHeight="true" outlineLevel="0" collapsed="false">
      <c r="A202" s="163" t="n">
        <f aca="false">IF(COUNTA(B202:G202)&gt;0,ROW()-3,"")</f>
        <v>199</v>
      </c>
      <c r="B202" s="171" t="s">
        <v>1620</v>
      </c>
      <c r="C202" s="172" t="s">
        <v>72</v>
      </c>
      <c r="D202" s="173" t="s">
        <v>1621</v>
      </c>
      <c r="E202" s="174" t="s">
        <v>1691</v>
      </c>
      <c r="F202" s="172" t="s">
        <v>1280</v>
      </c>
      <c r="G202" s="168" t="s">
        <v>1692</v>
      </c>
      <c r="H202" s="169" t="s">
        <v>1282</v>
      </c>
      <c r="I202" s="170"/>
      <c r="J202" s="170"/>
      <c r="K202" s="170"/>
    </row>
    <row r="203" customFormat="false" ht="15" hidden="false" customHeight="true" outlineLevel="0" collapsed="false">
      <c r="A203" s="163" t="n">
        <f aca="false">IF(COUNTA(B203:G203)&gt;0,ROW()-3,"")</f>
        <v>200</v>
      </c>
      <c r="B203" s="171" t="n">
        <v>30004221</v>
      </c>
      <c r="C203" s="172" t="s">
        <v>67</v>
      </c>
      <c r="D203" s="173" t="s">
        <v>1652</v>
      </c>
      <c r="E203" s="174" t="s">
        <v>1689</v>
      </c>
      <c r="F203" s="172" t="s">
        <v>1280</v>
      </c>
      <c r="G203" s="168" t="s">
        <v>1693</v>
      </c>
      <c r="H203" s="169" t="s">
        <v>1282</v>
      </c>
      <c r="I203" s="170"/>
      <c r="J203" s="170"/>
      <c r="K203" s="170"/>
    </row>
    <row r="204" customFormat="false" ht="38.25" hidden="false" customHeight="true" outlineLevel="0" collapsed="false">
      <c r="A204" s="163" t="n">
        <f aca="false">IF(COUNTA(B204:G204)&gt;0,ROW()-3,"")</f>
        <v>201</v>
      </c>
      <c r="B204" s="171" t="s">
        <v>1477</v>
      </c>
      <c r="C204" s="172" t="s">
        <v>72</v>
      </c>
      <c r="D204" s="173" t="s">
        <v>1604</v>
      </c>
      <c r="E204" s="174" t="s">
        <v>1694</v>
      </c>
      <c r="F204" s="172" t="s">
        <v>1695</v>
      </c>
      <c r="G204" s="168" t="s">
        <v>1696</v>
      </c>
      <c r="H204" s="169" t="s">
        <v>1282</v>
      </c>
      <c r="I204" s="170"/>
      <c r="J204" s="170"/>
      <c r="K204" s="170"/>
    </row>
    <row r="205" customFormat="false" ht="15" hidden="false" customHeight="true" outlineLevel="0" collapsed="false">
      <c r="A205" s="163" t="n">
        <f aca="false">IF(COUNTA(B205:G205)&gt;0,ROW()-3,"")</f>
        <v>202</v>
      </c>
      <c r="B205" s="171" t="s">
        <v>1477</v>
      </c>
      <c r="C205" s="172" t="s">
        <v>72</v>
      </c>
      <c r="D205" s="173" t="s">
        <v>1604</v>
      </c>
      <c r="E205" s="174" t="s">
        <v>1694</v>
      </c>
      <c r="F205" s="172" t="s">
        <v>1280</v>
      </c>
      <c r="G205" s="168" t="s">
        <v>1697</v>
      </c>
      <c r="H205" s="169" t="s">
        <v>1282</v>
      </c>
      <c r="I205" s="170"/>
      <c r="J205" s="170"/>
      <c r="K205" s="170"/>
    </row>
    <row r="206" customFormat="false" ht="15" hidden="false" customHeight="true" outlineLevel="0" collapsed="false">
      <c r="A206" s="163" t="n">
        <f aca="false">IF(COUNTA(B206:G206)&gt;0,ROW()-3,"")</f>
        <v>203</v>
      </c>
      <c r="B206" s="171" t="s">
        <v>1477</v>
      </c>
      <c r="C206" s="172" t="s">
        <v>72</v>
      </c>
      <c r="D206" s="173" t="s">
        <v>1604</v>
      </c>
      <c r="E206" s="174" t="s">
        <v>1694</v>
      </c>
      <c r="F206" s="172" t="s">
        <v>1280</v>
      </c>
      <c r="G206" s="168" t="s">
        <v>1698</v>
      </c>
      <c r="H206" s="169" t="s">
        <v>1282</v>
      </c>
      <c r="I206" s="170"/>
      <c r="J206" s="170"/>
      <c r="K206" s="170"/>
    </row>
    <row r="207" customFormat="false" ht="15" hidden="false" customHeight="true" outlineLevel="0" collapsed="false">
      <c r="A207" s="163" t="n">
        <f aca="false">IF(COUNTA(B207:G207)&gt;0,ROW()-3,"")</f>
        <v>204</v>
      </c>
      <c r="B207" s="171" t="n">
        <v>30004221</v>
      </c>
      <c r="C207" s="172" t="s">
        <v>67</v>
      </c>
      <c r="D207" s="173" t="s">
        <v>1652</v>
      </c>
      <c r="E207" s="174" t="s">
        <v>1699</v>
      </c>
      <c r="F207" s="172" t="s">
        <v>1280</v>
      </c>
      <c r="G207" s="168" t="s">
        <v>1700</v>
      </c>
      <c r="H207" s="169" t="s">
        <v>1282</v>
      </c>
      <c r="I207" s="170"/>
      <c r="J207" s="170"/>
      <c r="K207" s="170"/>
    </row>
    <row r="208" customFormat="false" ht="15" hidden="false" customHeight="true" outlineLevel="0" collapsed="false">
      <c r="A208" s="163" t="str">
        <f aca="false">IF(COUNTA(B208:G208)&gt;0,ROW()-3,"")</f>
        <v/>
      </c>
      <c r="B208" s="176"/>
      <c r="C208" s="14"/>
      <c r="D208" s="177"/>
      <c r="E208" s="178"/>
      <c r="F208" s="14"/>
      <c r="G208" s="177"/>
      <c r="H208" s="169" t="s">
        <v>1282</v>
      </c>
      <c r="I208" s="170"/>
      <c r="J208" s="170"/>
      <c r="K208" s="170"/>
    </row>
    <row r="209" customFormat="false" ht="15" hidden="false" customHeight="true" outlineLevel="0" collapsed="false">
      <c r="A209" s="163" t="str">
        <f aca="false">IF(COUNTA(B209:G209)&gt;0,ROW()-3,"")</f>
        <v/>
      </c>
      <c r="B209" s="176"/>
      <c r="C209" s="14"/>
      <c r="D209" s="177"/>
      <c r="E209" s="178"/>
      <c r="F209" s="14"/>
      <c r="G209" s="177"/>
      <c r="H209" s="169" t="s">
        <v>1282</v>
      </c>
      <c r="I209" s="170"/>
      <c r="J209" s="170"/>
      <c r="K209" s="170"/>
    </row>
    <row r="210" customFormat="false" ht="15" hidden="false" customHeight="true" outlineLevel="0" collapsed="false">
      <c r="A210" s="163" t="str">
        <f aca="false">IF(COUNTA(B210:G210)&gt;0,ROW()-3,"")</f>
        <v/>
      </c>
      <c r="B210" s="176"/>
      <c r="C210" s="14"/>
      <c r="D210" s="177"/>
      <c r="E210" s="178"/>
      <c r="F210" s="14"/>
      <c r="G210" s="177"/>
      <c r="H210" s="169" t="s">
        <v>1282</v>
      </c>
      <c r="I210" s="170"/>
      <c r="J210" s="170"/>
      <c r="K210" s="170"/>
    </row>
    <row r="211" customFormat="false" ht="15" hidden="false" customHeight="true" outlineLevel="0" collapsed="false">
      <c r="A211" s="163" t="str">
        <f aca="false">IF(COUNTA(B211:G211)&gt;0,ROW()-3,"")</f>
        <v/>
      </c>
      <c r="B211" s="176"/>
      <c r="C211" s="14"/>
      <c r="D211" s="177"/>
      <c r="E211" s="178"/>
      <c r="F211" s="14"/>
      <c r="G211" s="177"/>
      <c r="H211" s="169" t="s">
        <v>1282</v>
      </c>
      <c r="I211" s="170"/>
      <c r="J211" s="170"/>
      <c r="K211" s="170"/>
    </row>
    <row r="212" customFormat="false" ht="15" hidden="false" customHeight="true" outlineLevel="0" collapsed="false">
      <c r="A212" s="163" t="str">
        <f aca="false">IF(COUNTA(B212:G212)&gt;0,ROW()-3,"")</f>
        <v/>
      </c>
      <c r="B212" s="176"/>
      <c r="C212" s="14"/>
      <c r="D212" s="177"/>
      <c r="E212" s="178"/>
      <c r="F212" s="14"/>
      <c r="G212" s="177"/>
      <c r="H212" s="169" t="s">
        <v>1282</v>
      </c>
      <c r="I212" s="170"/>
      <c r="J212" s="170"/>
      <c r="K212" s="170"/>
    </row>
    <row r="213" customFormat="false" ht="15" hidden="false" customHeight="true" outlineLevel="0" collapsed="false">
      <c r="A213" s="163" t="str">
        <f aca="false">IF(COUNTA(B213:G213)&gt;0,ROW()-3,"")</f>
        <v/>
      </c>
      <c r="B213" s="176"/>
      <c r="C213" s="14"/>
      <c r="D213" s="177"/>
      <c r="E213" s="178"/>
      <c r="F213" s="14"/>
      <c r="G213" s="177"/>
      <c r="H213" s="169" t="s">
        <v>1282</v>
      </c>
      <c r="I213" s="170"/>
      <c r="J213" s="170"/>
      <c r="K213" s="170"/>
    </row>
    <row r="214" customFormat="false" ht="15" hidden="false" customHeight="true" outlineLevel="0" collapsed="false">
      <c r="A214" s="163" t="str">
        <f aca="false">IF(COUNTA(B214:G214)&gt;0,ROW()-3,"")</f>
        <v/>
      </c>
      <c r="B214" s="176"/>
      <c r="C214" s="14"/>
      <c r="D214" s="177"/>
      <c r="E214" s="178"/>
      <c r="F214" s="14"/>
      <c r="G214" s="177"/>
      <c r="H214" s="169" t="s">
        <v>1282</v>
      </c>
      <c r="I214" s="170"/>
      <c r="J214" s="170"/>
      <c r="K214" s="170"/>
    </row>
    <row r="215" customFormat="false" ht="15" hidden="false" customHeight="true" outlineLevel="0" collapsed="false">
      <c r="A215" s="163" t="str">
        <f aca="false">IF(COUNTA(B215:G215)&gt;0,ROW()-3,"")</f>
        <v/>
      </c>
      <c r="B215" s="176"/>
      <c r="C215" s="14"/>
      <c r="D215" s="177"/>
      <c r="E215" s="178"/>
      <c r="F215" s="14"/>
      <c r="G215" s="177"/>
      <c r="H215" s="169" t="s">
        <v>1282</v>
      </c>
      <c r="I215" s="170"/>
      <c r="J215" s="170"/>
      <c r="K215" s="170"/>
    </row>
    <row r="216" customFormat="false" ht="15" hidden="false" customHeight="true" outlineLevel="0" collapsed="false">
      <c r="A216" s="163" t="str">
        <f aca="false">IF(COUNTA(B216:G216)&gt;0,ROW()-3,"")</f>
        <v/>
      </c>
      <c r="B216" s="176"/>
      <c r="C216" s="14"/>
      <c r="D216" s="177"/>
      <c r="E216" s="178"/>
      <c r="F216" s="14"/>
      <c r="G216" s="177"/>
      <c r="H216" s="169" t="s">
        <v>1282</v>
      </c>
      <c r="I216" s="170"/>
      <c r="J216" s="170"/>
      <c r="K216" s="170"/>
    </row>
    <row r="217" customFormat="false" ht="15" hidden="false" customHeight="true" outlineLevel="0" collapsed="false">
      <c r="A217" s="163" t="str">
        <f aca="false">IF(COUNTA(B217:G217)&gt;0,ROW()-3,"")</f>
        <v/>
      </c>
      <c r="B217" s="176"/>
      <c r="C217" s="14"/>
      <c r="D217" s="177"/>
      <c r="E217" s="178"/>
      <c r="F217" s="14"/>
      <c r="G217" s="177"/>
      <c r="H217" s="169" t="s">
        <v>1282</v>
      </c>
      <c r="I217" s="170"/>
      <c r="J217" s="170"/>
      <c r="K217" s="170"/>
    </row>
    <row r="218" customFormat="false" ht="15" hidden="false" customHeight="true" outlineLevel="0" collapsed="false">
      <c r="A218" s="163" t="str">
        <f aca="false">IF(COUNTA(B218:G218)&gt;0,ROW()-3,"")</f>
        <v/>
      </c>
      <c r="B218" s="176"/>
      <c r="C218" s="14"/>
      <c r="D218" s="177"/>
      <c r="E218" s="178"/>
      <c r="F218" s="14"/>
      <c r="G218" s="177"/>
      <c r="H218" s="169" t="s">
        <v>1282</v>
      </c>
      <c r="I218" s="170"/>
      <c r="J218" s="170"/>
      <c r="K218" s="170"/>
    </row>
    <row r="219" customFormat="false" ht="15" hidden="false" customHeight="true" outlineLevel="0" collapsed="false">
      <c r="A219" s="163" t="str">
        <f aca="false">IF(COUNTA(B219:G219)&gt;0,ROW()-3,"")</f>
        <v/>
      </c>
      <c r="B219" s="176"/>
      <c r="C219" s="14"/>
      <c r="D219" s="177"/>
      <c r="E219" s="178"/>
      <c r="F219" s="14"/>
      <c r="G219" s="177"/>
      <c r="H219" s="169" t="s">
        <v>1282</v>
      </c>
      <c r="I219" s="170"/>
      <c r="J219" s="170"/>
      <c r="K219" s="170"/>
    </row>
    <row r="220" customFormat="false" ht="15" hidden="false" customHeight="true" outlineLevel="0" collapsed="false">
      <c r="A220" s="163" t="str">
        <f aca="false">IF(COUNTA(B220:G220)&gt;0,ROW()-3,"")</f>
        <v/>
      </c>
      <c r="B220" s="176"/>
      <c r="C220" s="14"/>
      <c r="D220" s="177"/>
      <c r="E220" s="178"/>
      <c r="F220" s="14"/>
      <c r="G220" s="177"/>
      <c r="H220" s="169" t="s">
        <v>1282</v>
      </c>
      <c r="I220" s="170"/>
      <c r="J220" s="170"/>
      <c r="K220" s="170"/>
    </row>
    <row r="221" customFormat="false" ht="15" hidden="false" customHeight="true" outlineLevel="0" collapsed="false">
      <c r="A221" s="163" t="str">
        <f aca="false">IF(COUNTA(B221:G221)&gt;0,ROW()-3,"")</f>
        <v/>
      </c>
      <c r="B221" s="176"/>
      <c r="C221" s="14"/>
      <c r="D221" s="177"/>
      <c r="E221" s="178"/>
      <c r="F221" s="14"/>
      <c r="G221" s="177"/>
      <c r="H221" s="169" t="s">
        <v>1282</v>
      </c>
      <c r="I221" s="170"/>
      <c r="J221" s="170"/>
      <c r="K221" s="170"/>
    </row>
    <row r="222" customFormat="false" ht="15" hidden="false" customHeight="true" outlineLevel="0" collapsed="false">
      <c r="A222" s="163" t="str">
        <f aca="false">IF(COUNTA(B222:G222)&gt;0,ROW()-3,"")</f>
        <v/>
      </c>
      <c r="B222" s="176"/>
      <c r="C222" s="14"/>
      <c r="D222" s="177"/>
      <c r="E222" s="178"/>
      <c r="F222" s="14"/>
      <c r="G222" s="177"/>
      <c r="H222" s="169" t="s">
        <v>1282</v>
      </c>
      <c r="I222" s="170"/>
      <c r="J222" s="170"/>
      <c r="K222" s="170"/>
    </row>
    <row r="223" customFormat="false" ht="15" hidden="false" customHeight="true" outlineLevel="0" collapsed="false">
      <c r="A223" s="163" t="str">
        <f aca="false">IF(COUNTA(B223:G223)&gt;0,ROW()-3,"")</f>
        <v/>
      </c>
      <c r="B223" s="176"/>
      <c r="C223" s="14"/>
      <c r="D223" s="177"/>
      <c r="E223" s="178"/>
      <c r="F223" s="14"/>
      <c r="G223" s="177"/>
      <c r="H223" s="169" t="s">
        <v>1282</v>
      </c>
      <c r="I223" s="170"/>
      <c r="J223" s="170"/>
      <c r="K223" s="170"/>
    </row>
    <row r="224" customFormat="false" ht="15" hidden="false" customHeight="true" outlineLevel="0" collapsed="false">
      <c r="A224" s="163" t="str">
        <f aca="false">IF(COUNTA(B224:G224)&gt;0,ROW()-3,"")</f>
        <v/>
      </c>
      <c r="B224" s="176"/>
      <c r="C224" s="14"/>
      <c r="D224" s="177"/>
      <c r="E224" s="178"/>
      <c r="F224" s="14"/>
      <c r="G224" s="177"/>
      <c r="H224" s="169" t="s">
        <v>1282</v>
      </c>
      <c r="I224" s="170"/>
      <c r="J224" s="170"/>
      <c r="K224" s="170"/>
    </row>
    <row r="225" customFormat="false" ht="15" hidden="false" customHeight="true" outlineLevel="0" collapsed="false">
      <c r="A225" s="163" t="str">
        <f aca="false">IF(COUNTA(B225:G225)&gt;0,ROW()-3,"")</f>
        <v/>
      </c>
      <c r="B225" s="176"/>
      <c r="C225" s="14"/>
      <c r="D225" s="177"/>
      <c r="E225" s="178"/>
      <c r="F225" s="14"/>
      <c r="G225" s="177"/>
      <c r="H225" s="169" t="s">
        <v>1282</v>
      </c>
      <c r="I225" s="170"/>
      <c r="J225" s="170"/>
      <c r="K225" s="170"/>
    </row>
    <row r="226" customFormat="false" ht="15" hidden="false" customHeight="true" outlineLevel="0" collapsed="false">
      <c r="A226" s="163" t="str">
        <f aca="false">IF(COUNTA(B226:G226)&gt;0,ROW()-3,"")</f>
        <v/>
      </c>
      <c r="B226" s="176"/>
      <c r="C226" s="14"/>
      <c r="D226" s="177"/>
      <c r="E226" s="178"/>
      <c r="F226" s="14"/>
      <c r="G226" s="177"/>
      <c r="H226" s="169" t="s">
        <v>1282</v>
      </c>
      <c r="I226" s="170"/>
      <c r="J226" s="170"/>
      <c r="K226" s="170"/>
    </row>
    <row r="227" customFormat="false" ht="15" hidden="false" customHeight="true" outlineLevel="0" collapsed="false">
      <c r="A227" s="163" t="str">
        <f aca="false">IF(COUNTA(B227:G227)&gt;0,ROW()-3,"")</f>
        <v/>
      </c>
      <c r="B227" s="176"/>
      <c r="C227" s="14"/>
      <c r="D227" s="177"/>
      <c r="E227" s="178"/>
      <c r="F227" s="14"/>
      <c r="G227" s="177"/>
      <c r="H227" s="169" t="s">
        <v>1282</v>
      </c>
      <c r="I227" s="170"/>
      <c r="J227" s="170"/>
      <c r="K227" s="170"/>
    </row>
    <row r="228" customFormat="false" ht="15" hidden="false" customHeight="true" outlineLevel="0" collapsed="false">
      <c r="A228" s="163" t="str">
        <f aca="false">IF(COUNTA(B228:G228)&gt;0,ROW()-3,"")</f>
        <v/>
      </c>
      <c r="B228" s="176"/>
      <c r="C228" s="14"/>
      <c r="D228" s="177"/>
      <c r="E228" s="178"/>
      <c r="F228" s="14"/>
      <c r="G228" s="177"/>
      <c r="H228" s="169" t="s">
        <v>1282</v>
      </c>
      <c r="I228" s="170"/>
      <c r="J228" s="170"/>
      <c r="K228" s="170"/>
    </row>
    <row r="229" customFormat="false" ht="15" hidden="false" customHeight="true" outlineLevel="0" collapsed="false">
      <c r="A229" s="163" t="str">
        <f aca="false">IF(COUNTA(B229:G229)&gt;0,ROW()-3,"")</f>
        <v/>
      </c>
      <c r="B229" s="176"/>
      <c r="C229" s="14"/>
      <c r="D229" s="177"/>
      <c r="E229" s="178"/>
      <c r="F229" s="14"/>
      <c r="G229" s="177"/>
      <c r="H229" s="169" t="s">
        <v>1282</v>
      </c>
      <c r="I229" s="170"/>
      <c r="J229" s="170"/>
      <c r="K229" s="170"/>
    </row>
    <row r="230" customFormat="false" ht="15" hidden="false" customHeight="true" outlineLevel="0" collapsed="false">
      <c r="A230" s="163" t="str">
        <f aca="false">IF(COUNTA(B230:G230)&gt;0,ROW()-3,"")</f>
        <v/>
      </c>
      <c r="B230" s="176"/>
      <c r="C230" s="14"/>
      <c r="D230" s="177"/>
      <c r="E230" s="178"/>
      <c r="F230" s="14"/>
      <c r="G230" s="177"/>
      <c r="H230" s="169" t="s">
        <v>1282</v>
      </c>
      <c r="I230" s="170"/>
      <c r="J230" s="170"/>
      <c r="K230" s="170"/>
    </row>
    <row r="231" customFormat="false" ht="15" hidden="false" customHeight="true" outlineLevel="0" collapsed="false">
      <c r="A231" s="163" t="str">
        <f aca="false">IF(COUNTA(B231:G231)&gt;0,ROW()-3,"")</f>
        <v/>
      </c>
      <c r="B231" s="176"/>
      <c r="C231" s="14"/>
      <c r="D231" s="177"/>
      <c r="E231" s="178"/>
      <c r="F231" s="14"/>
      <c r="G231" s="177"/>
      <c r="H231" s="169" t="s">
        <v>1282</v>
      </c>
      <c r="I231" s="170"/>
      <c r="J231" s="170"/>
      <c r="K231" s="170"/>
    </row>
    <row r="232" customFormat="false" ht="15" hidden="false" customHeight="true" outlineLevel="0" collapsed="false">
      <c r="A232" s="163" t="str">
        <f aca="false">IF(COUNTA(B232:G232)&gt;0,ROW()-3,"")</f>
        <v/>
      </c>
      <c r="B232" s="176"/>
      <c r="C232" s="14"/>
      <c r="D232" s="177"/>
      <c r="E232" s="178"/>
      <c r="F232" s="14"/>
      <c r="G232" s="177"/>
      <c r="H232" s="169" t="s">
        <v>1282</v>
      </c>
      <c r="I232" s="170"/>
      <c r="J232" s="170"/>
      <c r="K232" s="170"/>
    </row>
    <row r="233" customFormat="false" ht="15" hidden="false" customHeight="true" outlineLevel="0" collapsed="false">
      <c r="A233" s="163" t="str">
        <f aca="false">IF(COUNTA(B233:G233)&gt;0,ROW()-3,"")</f>
        <v/>
      </c>
      <c r="B233" s="176"/>
      <c r="C233" s="14"/>
      <c r="D233" s="177"/>
      <c r="E233" s="178"/>
      <c r="F233" s="14"/>
      <c r="G233" s="177"/>
      <c r="H233" s="169" t="s">
        <v>1282</v>
      </c>
      <c r="I233" s="170"/>
      <c r="J233" s="170"/>
      <c r="K233" s="170"/>
    </row>
    <row r="234" customFormat="false" ht="15" hidden="false" customHeight="true" outlineLevel="0" collapsed="false">
      <c r="A234" s="163" t="str">
        <f aca="false">IF(COUNTA(B234:G234)&gt;0,ROW()-3,"")</f>
        <v/>
      </c>
      <c r="B234" s="176"/>
      <c r="C234" s="14"/>
      <c r="D234" s="177"/>
      <c r="E234" s="178"/>
      <c r="F234" s="14"/>
      <c r="G234" s="177"/>
      <c r="H234" s="169" t="s">
        <v>1282</v>
      </c>
      <c r="I234" s="170"/>
      <c r="J234" s="170"/>
      <c r="K234" s="170"/>
    </row>
    <row r="235" customFormat="false" ht="15" hidden="false" customHeight="true" outlineLevel="0" collapsed="false">
      <c r="A235" s="163" t="str">
        <f aca="false">IF(COUNTA(B235:G235)&gt;0,ROW()-3,"")</f>
        <v/>
      </c>
      <c r="B235" s="176"/>
      <c r="C235" s="14"/>
      <c r="D235" s="177"/>
      <c r="E235" s="178"/>
      <c r="F235" s="14"/>
      <c r="G235" s="177"/>
      <c r="H235" s="169" t="s">
        <v>1282</v>
      </c>
      <c r="I235" s="170"/>
      <c r="J235" s="170"/>
      <c r="K235" s="170"/>
    </row>
    <row r="236" customFormat="false" ht="15" hidden="false" customHeight="true" outlineLevel="0" collapsed="false">
      <c r="A236" s="163" t="str">
        <f aca="false">IF(COUNTA(B236:G236)&gt;0,ROW()-3,"")</f>
        <v/>
      </c>
      <c r="B236" s="176"/>
      <c r="C236" s="14"/>
      <c r="D236" s="177"/>
      <c r="E236" s="178"/>
      <c r="F236" s="14"/>
      <c r="G236" s="177"/>
      <c r="H236" s="169" t="s">
        <v>1282</v>
      </c>
      <c r="I236" s="170"/>
      <c r="J236" s="170"/>
      <c r="K236" s="170"/>
    </row>
    <row r="237" customFormat="false" ht="15" hidden="false" customHeight="true" outlineLevel="0" collapsed="false">
      <c r="A237" s="163" t="str">
        <f aca="false">IF(COUNTA(B237:G237)&gt;0,ROW()-3,"")</f>
        <v/>
      </c>
      <c r="B237" s="176"/>
      <c r="C237" s="14"/>
      <c r="D237" s="177"/>
      <c r="E237" s="178"/>
      <c r="F237" s="14"/>
      <c r="G237" s="177"/>
      <c r="H237" s="169" t="s">
        <v>1282</v>
      </c>
      <c r="I237" s="170"/>
      <c r="J237" s="170"/>
      <c r="K237" s="170"/>
    </row>
    <row r="238" customFormat="false" ht="15" hidden="false" customHeight="true" outlineLevel="0" collapsed="false">
      <c r="A238" s="163" t="str">
        <f aca="false">IF(COUNTA(B238:G238)&gt;0,ROW()-3,"")</f>
        <v/>
      </c>
      <c r="B238" s="176"/>
      <c r="C238" s="14"/>
      <c r="D238" s="177"/>
      <c r="E238" s="178"/>
      <c r="F238" s="14"/>
      <c r="G238" s="177"/>
      <c r="H238" s="169" t="s">
        <v>1282</v>
      </c>
      <c r="I238" s="170"/>
      <c r="J238" s="170"/>
      <c r="K238" s="170"/>
    </row>
    <row r="239" customFormat="false" ht="15" hidden="false" customHeight="true" outlineLevel="0" collapsed="false">
      <c r="A239" s="163" t="str">
        <f aca="false">IF(COUNTA(B239:G239)&gt;0,ROW()-3,"")</f>
        <v/>
      </c>
      <c r="B239" s="176"/>
      <c r="C239" s="14"/>
      <c r="D239" s="177"/>
      <c r="E239" s="178"/>
      <c r="F239" s="14"/>
      <c r="G239" s="177"/>
      <c r="H239" s="169" t="s">
        <v>1282</v>
      </c>
      <c r="I239" s="170"/>
      <c r="J239" s="170"/>
      <c r="K239" s="170"/>
    </row>
    <row r="240" customFormat="false" ht="15" hidden="false" customHeight="true" outlineLevel="0" collapsed="false">
      <c r="A240" s="163" t="str">
        <f aca="false">IF(COUNTA(B240:G240)&gt;0,ROW()-3,"")</f>
        <v/>
      </c>
      <c r="B240" s="176"/>
      <c r="C240" s="14"/>
      <c r="D240" s="177"/>
      <c r="E240" s="178"/>
      <c r="F240" s="14"/>
      <c r="G240" s="177"/>
      <c r="H240" s="169" t="s">
        <v>1282</v>
      </c>
      <c r="I240" s="170"/>
      <c r="J240" s="170"/>
      <c r="K240" s="170"/>
    </row>
    <row r="241" customFormat="false" ht="15" hidden="false" customHeight="true" outlineLevel="0" collapsed="false">
      <c r="A241" s="163" t="str">
        <f aca="false">IF(COUNTA(B241:G241)&gt;0,ROW()-3,"")</f>
        <v/>
      </c>
      <c r="B241" s="176"/>
      <c r="C241" s="14"/>
      <c r="D241" s="177"/>
      <c r="E241" s="178"/>
      <c r="F241" s="14"/>
      <c r="G241" s="177"/>
      <c r="H241" s="169" t="s">
        <v>1282</v>
      </c>
      <c r="I241" s="170"/>
      <c r="J241" s="170"/>
      <c r="K241" s="170"/>
    </row>
    <row r="242" customFormat="false" ht="15" hidden="false" customHeight="true" outlineLevel="0" collapsed="false">
      <c r="A242" s="163" t="str">
        <f aca="false">IF(COUNTA(B242:G242)&gt;0,ROW()-3,"")</f>
        <v/>
      </c>
      <c r="B242" s="176"/>
      <c r="C242" s="14"/>
      <c r="D242" s="177"/>
      <c r="E242" s="178"/>
      <c r="F242" s="14"/>
      <c r="G242" s="177"/>
      <c r="H242" s="169" t="s">
        <v>1282</v>
      </c>
      <c r="I242" s="170"/>
      <c r="J242" s="170"/>
      <c r="K242" s="170"/>
    </row>
    <row r="243" customFormat="false" ht="15" hidden="false" customHeight="true" outlineLevel="0" collapsed="false">
      <c r="A243" s="163" t="str">
        <f aca="false">IF(COUNTA(B243:G243)&gt;0,ROW()-3,"")</f>
        <v/>
      </c>
      <c r="B243" s="176"/>
      <c r="C243" s="14"/>
      <c r="D243" s="177"/>
      <c r="E243" s="178"/>
      <c r="F243" s="14"/>
      <c r="G243" s="177"/>
      <c r="H243" s="169" t="s">
        <v>1282</v>
      </c>
      <c r="I243" s="170"/>
      <c r="J243" s="170"/>
      <c r="K243" s="170"/>
    </row>
    <row r="244" customFormat="false" ht="15" hidden="false" customHeight="true" outlineLevel="0" collapsed="false">
      <c r="A244" s="163" t="str">
        <f aca="false">IF(COUNTA(B244:G244)&gt;0,ROW()-3,"")</f>
        <v/>
      </c>
      <c r="B244" s="176"/>
      <c r="C244" s="14"/>
      <c r="D244" s="177"/>
      <c r="E244" s="178"/>
      <c r="F244" s="14"/>
      <c r="G244" s="177"/>
      <c r="H244" s="169" t="s">
        <v>1282</v>
      </c>
      <c r="I244" s="170"/>
      <c r="J244" s="170"/>
      <c r="K244" s="170"/>
    </row>
    <row r="245" customFormat="false" ht="15" hidden="false" customHeight="true" outlineLevel="0" collapsed="false">
      <c r="A245" s="163" t="str">
        <f aca="false">IF(COUNTA(B245:G245)&gt;0,ROW()-3,"")</f>
        <v/>
      </c>
      <c r="B245" s="176"/>
      <c r="C245" s="14"/>
      <c r="D245" s="177"/>
      <c r="E245" s="178"/>
      <c r="F245" s="14"/>
      <c r="G245" s="177"/>
      <c r="H245" s="169" t="s">
        <v>1282</v>
      </c>
      <c r="I245" s="170"/>
      <c r="J245" s="170"/>
      <c r="K245" s="170"/>
    </row>
    <row r="246" customFormat="false" ht="15" hidden="false" customHeight="true" outlineLevel="0" collapsed="false">
      <c r="A246" s="163" t="str">
        <f aca="false">IF(COUNTA(B246:G246)&gt;0,ROW()-3,"")</f>
        <v/>
      </c>
      <c r="B246" s="176"/>
      <c r="C246" s="14"/>
      <c r="D246" s="177"/>
      <c r="E246" s="178"/>
      <c r="F246" s="14"/>
      <c r="G246" s="177"/>
      <c r="H246" s="169" t="s">
        <v>1282</v>
      </c>
      <c r="I246" s="170"/>
      <c r="J246" s="170"/>
      <c r="K246" s="170"/>
    </row>
    <row r="247" customFormat="false" ht="15" hidden="false" customHeight="true" outlineLevel="0" collapsed="false">
      <c r="A247" s="163" t="str">
        <f aca="false">IF(COUNTA(B247:G247)&gt;0,ROW()-3,"")</f>
        <v/>
      </c>
      <c r="B247" s="176"/>
      <c r="C247" s="14"/>
      <c r="D247" s="177"/>
      <c r="E247" s="178"/>
      <c r="F247" s="14"/>
      <c r="G247" s="177"/>
      <c r="H247" s="169" t="s">
        <v>1282</v>
      </c>
      <c r="I247" s="170"/>
      <c r="J247" s="170"/>
      <c r="K247" s="170"/>
    </row>
    <row r="248" customFormat="false" ht="15" hidden="false" customHeight="true" outlineLevel="0" collapsed="false">
      <c r="A248" s="163" t="str">
        <f aca="false">IF(COUNTA(B248:G248)&gt;0,ROW()-3,"")</f>
        <v/>
      </c>
      <c r="B248" s="176"/>
      <c r="C248" s="14"/>
      <c r="D248" s="177"/>
      <c r="E248" s="178"/>
      <c r="F248" s="14"/>
      <c r="G248" s="177"/>
      <c r="H248" s="169" t="s">
        <v>1282</v>
      </c>
      <c r="I248" s="170"/>
      <c r="J248" s="170"/>
      <c r="K248" s="170"/>
    </row>
    <row r="249" customFormat="false" ht="15" hidden="false" customHeight="true" outlineLevel="0" collapsed="false">
      <c r="A249" s="163" t="str">
        <f aca="false">IF(COUNTA(B249:G249)&gt;0,ROW()-3,"")</f>
        <v/>
      </c>
      <c r="B249" s="176"/>
      <c r="C249" s="14"/>
      <c r="D249" s="177"/>
      <c r="E249" s="178"/>
      <c r="F249" s="14"/>
      <c r="G249" s="177"/>
      <c r="H249" s="169" t="s">
        <v>1282</v>
      </c>
      <c r="I249" s="170"/>
      <c r="J249" s="170"/>
      <c r="K249" s="170"/>
    </row>
    <row r="250" customFormat="false" ht="15" hidden="false" customHeight="true" outlineLevel="0" collapsed="false">
      <c r="A250" s="163" t="str">
        <f aca="false">IF(COUNTA(B250:G250)&gt;0,ROW()-3,"")</f>
        <v/>
      </c>
      <c r="B250" s="176"/>
      <c r="C250" s="14"/>
      <c r="D250" s="177"/>
      <c r="E250" s="178"/>
      <c r="F250" s="14"/>
      <c r="G250" s="177"/>
      <c r="H250" s="169" t="s">
        <v>1282</v>
      </c>
      <c r="I250" s="170"/>
      <c r="J250" s="170"/>
      <c r="K250" s="170"/>
    </row>
    <row r="251" customFormat="false" ht="15" hidden="false" customHeight="true" outlineLevel="0" collapsed="false">
      <c r="A251" s="163" t="str">
        <f aca="false">IF(COUNTA(B251:G251)&gt;0,ROW()-3,"")</f>
        <v/>
      </c>
      <c r="B251" s="176"/>
      <c r="C251" s="14"/>
      <c r="D251" s="177"/>
      <c r="E251" s="178"/>
      <c r="F251" s="14"/>
      <c r="G251" s="177"/>
      <c r="H251" s="169" t="s">
        <v>1282</v>
      </c>
      <c r="I251" s="170"/>
      <c r="J251" s="170"/>
      <c r="K251" s="170"/>
    </row>
    <row r="252" customFormat="false" ht="15" hidden="false" customHeight="true" outlineLevel="0" collapsed="false">
      <c r="A252" s="163" t="str">
        <f aca="false">IF(COUNTA(B252:G252)&gt;0,ROW()-3,"")</f>
        <v/>
      </c>
      <c r="B252" s="176"/>
      <c r="C252" s="14"/>
      <c r="D252" s="177"/>
      <c r="E252" s="178"/>
      <c r="F252" s="14"/>
      <c r="G252" s="177"/>
      <c r="H252" s="169" t="s">
        <v>1282</v>
      </c>
      <c r="I252" s="170"/>
      <c r="J252" s="170"/>
      <c r="K252" s="170"/>
    </row>
    <row r="253" customFormat="false" ht="15" hidden="false" customHeight="true" outlineLevel="0" collapsed="false">
      <c r="A253" s="163" t="str">
        <f aca="false">IF(COUNTA(B253:G253)&gt;0,ROW()-3,"")</f>
        <v/>
      </c>
      <c r="B253" s="176"/>
      <c r="C253" s="14"/>
      <c r="D253" s="177"/>
      <c r="E253" s="178"/>
      <c r="F253" s="14"/>
      <c r="G253" s="177"/>
      <c r="H253" s="169" t="s">
        <v>1282</v>
      </c>
      <c r="I253" s="170"/>
      <c r="J253" s="170"/>
      <c r="K253" s="170"/>
    </row>
    <row r="254" customFormat="false" ht="15" hidden="false" customHeight="true" outlineLevel="0" collapsed="false">
      <c r="A254" s="163" t="str">
        <f aca="false">IF(COUNTA(B254:G254)&gt;0,ROW()-3,"")</f>
        <v/>
      </c>
      <c r="B254" s="176"/>
      <c r="C254" s="14"/>
      <c r="D254" s="177"/>
      <c r="E254" s="178"/>
      <c r="F254" s="14"/>
      <c r="G254" s="177"/>
      <c r="H254" s="169" t="s">
        <v>1282</v>
      </c>
      <c r="I254" s="170"/>
      <c r="J254" s="170"/>
      <c r="K254" s="170"/>
    </row>
    <row r="255" customFormat="false" ht="15" hidden="false" customHeight="true" outlineLevel="0" collapsed="false">
      <c r="A255" s="163" t="str">
        <f aca="false">IF(COUNTA(B255:G255)&gt;0,ROW()-3,"")</f>
        <v/>
      </c>
      <c r="B255" s="176"/>
      <c r="C255" s="14"/>
      <c r="D255" s="177"/>
      <c r="E255" s="178"/>
      <c r="F255" s="14"/>
      <c r="G255" s="177"/>
      <c r="H255" s="169" t="s">
        <v>1282</v>
      </c>
      <c r="I255" s="170"/>
      <c r="J255" s="170"/>
      <c r="K255" s="170"/>
    </row>
    <row r="256" customFormat="false" ht="15" hidden="false" customHeight="true" outlineLevel="0" collapsed="false">
      <c r="A256" s="163" t="str">
        <f aca="false">IF(COUNTA(B256:G256)&gt;0,ROW()-3,"")</f>
        <v/>
      </c>
      <c r="B256" s="176"/>
      <c r="C256" s="14"/>
      <c r="D256" s="177"/>
      <c r="E256" s="178"/>
      <c r="F256" s="14"/>
      <c r="G256" s="177"/>
      <c r="H256" s="169" t="s">
        <v>1282</v>
      </c>
      <c r="I256" s="170"/>
      <c r="J256" s="170"/>
      <c r="K256" s="170"/>
    </row>
    <row r="257" customFormat="false" ht="15" hidden="false" customHeight="true" outlineLevel="0" collapsed="false">
      <c r="A257" s="163" t="str">
        <f aca="false">IF(COUNTA(B257:G257)&gt;0,ROW()-3,"")</f>
        <v/>
      </c>
      <c r="B257" s="176"/>
      <c r="C257" s="14"/>
      <c r="D257" s="177"/>
      <c r="E257" s="178"/>
      <c r="F257" s="14"/>
      <c r="G257" s="177"/>
      <c r="H257" s="169" t="s">
        <v>1282</v>
      </c>
      <c r="I257" s="170"/>
      <c r="J257" s="170"/>
      <c r="K257" s="170"/>
    </row>
    <row r="258" customFormat="false" ht="15" hidden="false" customHeight="true" outlineLevel="0" collapsed="false">
      <c r="A258" s="163" t="str">
        <f aca="false">IF(COUNTA(B258:G258)&gt;0,ROW()-3,"")</f>
        <v/>
      </c>
      <c r="B258" s="176"/>
      <c r="C258" s="14"/>
      <c r="D258" s="177"/>
      <c r="E258" s="178"/>
      <c r="F258" s="14"/>
      <c r="G258" s="177"/>
      <c r="H258" s="169" t="s">
        <v>1282</v>
      </c>
      <c r="I258" s="170"/>
      <c r="J258" s="170"/>
      <c r="K258" s="170"/>
    </row>
    <row r="259" customFormat="false" ht="15" hidden="false" customHeight="true" outlineLevel="0" collapsed="false">
      <c r="A259" s="163" t="str">
        <f aca="false">IF(COUNTA(B259:G259)&gt;0,ROW()-3,"")</f>
        <v/>
      </c>
      <c r="B259" s="176"/>
      <c r="C259" s="14"/>
      <c r="D259" s="177"/>
      <c r="E259" s="178"/>
      <c r="F259" s="14"/>
      <c r="G259" s="177"/>
      <c r="H259" s="169" t="s">
        <v>1282</v>
      </c>
      <c r="I259" s="170"/>
      <c r="J259" s="170"/>
      <c r="K259" s="170"/>
    </row>
    <row r="260" customFormat="false" ht="15" hidden="false" customHeight="true" outlineLevel="0" collapsed="false">
      <c r="A260" s="163" t="str">
        <f aca="false">IF(COUNTA(B260:G260)&gt;0,ROW()-3,"")</f>
        <v/>
      </c>
      <c r="B260" s="176"/>
      <c r="C260" s="14"/>
      <c r="D260" s="177"/>
      <c r="E260" s="178"/>
      <c r="F260" s="14"/>
      <c r="G260" s="177"/>
      <c r="H260" s="169" t="s">
        <v>1282</v>
      </c>
      <c r="I260" s="170"/>
      <c r="J260" s="170"/>
      <c r="K260" s="170"/>
    </row>
    <row r="261" customFormat="false" ht="15" hidden="false" customHeight="true" outlineLevel="0" collapsed="false">
      <c r="A261" s="163" t="str">
        <f aca="false">IF(COUNTA(B261:G261)&gt;0,ROW()-3,"")</f>
        <v/>
      </c>
      <c r="B261" s="176"/>
      <c r="C261" s="14"/>
      <c r="D261" s="177"/>
      <c r="E261" s="178"/>
      <c r="F261" s="14"/>
      <c r="G261" s="177"/>
      <c r="H261" s="169" t="s">
        <v>1282</v>
      </c>
      <c r="I261" s="170"/>
      <c r="J261" s="170"/>
      <c r="K261" s="170"/>
    </row>
    <row r="262" customFormat="false" ht="15" hidden="false" customHeight="true" outlineLevel="0" collapsed="false">
      <c r="A262" s="163" t="str">
        <f aca="false">IF(COUNTA(B262:G262)&gt;0,ROW()-3,"")</f>
        <v/>
      </c>
      <c r="B262" s="176"/>
      <c r="C262" s="14"/>
      <c r="D262" s="177"/>
      <c r="E262" s="178"/>
      <c r="F262" s="14"/>
      <c r="G262" s="177"/>
      <c r="H262" s="169" t="s">
        <v>1282</v>
      </c>
      <c r="I262" s="170"/>
      <c r="J262" s="170"/>
      <c r="K262" s="170"/>
    </row>
    <row r="263" customFormat="false" ht="15" hidden="false" customHeight="true" outlineLevel="0" collapsed="false">
      <c r="A263" s="163" t="str">
        <f aca="false">IF(COUNTA(B263:G263)&gt;0,ROW()-3,"")</f>
        <v/>
      </c>
      <c r="B263" s="176"/>
      <c r="C263" s="14"/>
      <c r="D263" s="177"/>
      <c r="E263" s="178"/>
      <c r="F263" s="14"/>
      <c r="G263" s="177"/>
      <c r="H263" s="169" t="s">
        <v>1282</v>
      </c>
      <c r="I263" s="170"/>
      <c r="J263" s="170"/>
      <c r="K263" s="170"/>
    </row>
    <row r="264" customFormat="false" ht="15" hidden="false" customHeight="true" outlineLevel="0" collapsed="false">
      <c r="A264" s="163" t="str">
        <f aca="false">IF(COUNTA(B264:G264)&gt;0,ROW()-3,"")</f>
        <v/>
      </c>
      <c r="B264" s="176"/>
      <c r="C264" s="14"/>
      <c r="D264" s="177"/>
      <c r="E264" s="178"/>
      <c r="F264" s="14"/>
      <c r="G264" s="177"/>
      <c r="H264" s="169" t="s">
        <v>1282</v>
      </c>
      <c r="I264" s="170"/>
      <c r="J264" s="170"/>
      <c r="K264" s="170"/>
    </row>
    <row r="265" customFormat="false" ht="15" hidden="false" customHeight="true" outlineLevel="0" collapsed="false">
      <c r="A265" s="163" t="str">
        <f aca="false">IF(COUNTA(B265:G265)&gt;0,ROW()-3,"")</f>
        <v/>
      </c>
      <c r="B265" s="176"/>
      <c r="C265" s="14"/>
      <c r="D265" s="177"/>
      <c r="E265" s="178"/>
      <c r="F265" s="14"/>
      <c r="G265" s="177"/>
      <c r="H265" s="169" t="s">
        <v>1282</v>
      </c>
      <c r="I265" s="170"/>
      <c r="J265" s="170"/>
      <c r="K265" s="170"/>
    </row>
    <row r="266" customFormat="false" ht="15" hidden="false" customHeight="true" outlineLevel="0" collapsed="false">
      <c r="A266" s="163" t="str">
        <f aca="false">IF(COUNTA(B266:G266)&gt;0,ROW()-3,"")</f>
        <v/>
      </c>
      <c r="B266" s="176"/>
      <c r="C266" s="14"/>
      <c r="D266" s="177"/>
      <c r="E266" s="178"/>
      <c r="F266" s="14"/>
      <c r="G266" s="177"/>
      <c r="H266" s="169" t="s">
        <v>1282</v>
      </c>
      <c r="I266" s="170"/>
      <c r="J266" s="170"/>
      <c r="K266" s="170"/>
    </row>
    <row r="267" customFormat="false" ht="15" hidden="false" customHeight="true" outlineLevel="0" collapsed="false">
      <c r="A267" s="163" t="str">
        <f aca="false">IF(COUNTA(B267:G267)&gt;0,ROW()-3,"")</f>
        <v/>
      </c>
      <c r="B267" s="176"/>
      <c r="C267" s="14"/>
      <c r="D267" s="177"/>
      <c r="E267" s="178"/>
      <c r="F267" s="14"/>
      <c r="G267" s="177"/>
      <c r="H267" s="169" t="s">
        <v>1282</v>
      </c>
      <c r="I267" s="170"/>
      <c r="J267" s="170"/>
      <c r="K267" s="170"/>
    </row>
    <row r="268" customFormat="false" ht="15" hidden="false" customHeight="true" outlineLevel="0" collapsed="false">
      <c r="A268" s="163" t="str">
        <f aca="false">IF(COUNTA(B268:G268)&gt;0,ROW()-3,"")</f>
        <v/>
      </c>
      <c r="B268" s="176"/>
      <c r="C268" s="14"/>
      <c r="D268" s="177"/>
      <c r="E268" s="178"/>
      <c r="F268" s="14"/>
      <c r="G268" s="177"/>
      <c r="H268" s="169" t="s">
        <v>1282</v>
      </c>
      <c r="I268" s="170"/>
      <c r="J268" s="170"/>
      <c r="K268" s="170"/>
    </row>
    <row r="269" customFormat="false" ht="15" hidden="false" customHeight="true" outlineLevel="0" collapsed="false">
      <c r="A269" s="163" t="str">
        <f aca="false">IF(COUNTA(B269:G269)&gt;0,ROW()-3,"")</f>
        <v/>
      </c>
      <c r="B269" s="176"/>
      <c r="C269" s="14"/>
      <c r="D269" s="177"/>
      <c r="E269" s="178"/>
      <c r="F269" s="14"/>
      <c r="G269" s="177"/>
      <c r="H269" s="169" t="s">
        <v>1282</v>
      </c>
      <c r="I269" s="170"/>
      <c r="J269" s="170"/>
      <c r="K269" s="170"/>
    </row>
    <row r="270" customFormat="false" ht="15" hidden="false" customHeight="true" outlineLevel="0" collapsed="false">
      <c r="A270" s="163" t="str">
        <f aca="false">IF(COUNTA(B270:G270)&gt;0,ROW()-3,"")</f>
        <v/>
      </c>
      <c r="B270" s="176"/>
      <c r="C270" s="14"/>
      <c r="D270" s="177"/>
      <c r="E270" s="178"/>
      <c r="F270" s="14"/>
      <c r="G270" s="177"/>
      <c r="H270" s="169" t="s">
        <v>1282</v>
      </c>
      <c r="I270" s="170"/>
      <c r="J270" s="170"/>
      <c r="K270" s="170"/>
    </row>
    <row r="271" customFormat="false" ht="15" hidden="false" customHeight="true" outlineLevel="0" collapsed="false">
      <c r="A271" s="163" t="str">
        <f aca="false">IF(COUNTA(B271:G271)&gt;0,ROW()-3,"")</f>
        <v/>
      </c>
      <c r="B271" s="176"/>
      <c r="C271" s="14"/>
      <c r="D271" s="177"/>
      <c r="E271" s="178"/>
      <c r="F271" s="14"/>
      <c r="G271" s="177"/>
      <c r="H271" s="169" t="s">
        <v>1282</v>
      </c>
      <c r="I271" s="170"/>
      <c r="J271" s="170"/>
      <c r="K271" s="170"/>
    </row>
    <row r="272" customFormat="false" ht="15" hidden="false" customHeight="true" outlineLevel="0" collapsed="false">
      <c r="A272" s="163" t="str">
        <f aca="false">IF(COUNTA(B272:G272)&gt;0,ROW()-3,"")</f>
        <v/>
      </c>
      <c r="B272" s="176"/>
      <c r="C272" s="14"/>
      <c r="D272" s="177"/>
      <c r="E272" s="178"/>
      <c r="F272" s="14"/>
      <c r="G272" s="177"/>
      <c r="H272" s="169" t="s">
        <v>1282</v>
      </c>
      <c r="I272" s="170"/>
      <c r="J272" s="170"/>
      <c r="K272" s="170"/>
    </row>
    <row r="273" customFormat="false" ht="15" hidden="false" customHeight="true" outlineLevel="0" collapsed="false">
      <c r="A273" s="163" t="str">
        <f aca="false">IF(COUNTA(B273:G273)&gt;0,ROW()-3,"")</f>
        <v/>
      </c>
      <c r="B273" s="176"/>
      <c r="C273" s="14"/>
      <c r="D273" s="177"/>
      <c r="E273" s="178"/>
      <c r="F273" s="14"/>
      <c r="G273" s="177"/>
      <c r="H273" s="169" t="s">
        <v>1282</v>
      </c>
      <c r="I273" s="170"/>
      <c r="J273" s="170"/>
      <c r="K273" s="170"/>
    </row>
    <row r="274" customFormat="false" ht="15" hidden="false" customHeight="true" outlineLevel="0" collapsed="false">
      <c r="A274" s="163" t="str">
        <f aca="false">IF(COUNTA(B274:G274)&gt;0,ROW()-3,"")</f>
        <v/>
      </c>
      <c r="B274" s="176"/>
      <c r="C274" s="14"/>
      <c r="D274" s="177"/>
      <c r="E274" s="178"/>
      <c r="F274" s="14"/>
      <c r="G274" s="177"/>
      <c r="H274" s="169" t="s">
        <v>1282</v>
      </c>
      <c r="I274" s="170"/>
      <c r="J274" s="170"/>
      <c r="K274" s="170"/>
    </row>
    <row r="275" customFormat="false" ht="15" hidden="false" customHeight="true" outlineLevel="0" collapsed="false">
      <c r="A275" s="163" t="str">
        <f aca="false">IF(COUNTA(B275:G275)&gt;0,ROW()-3,"")</f>
        <v/>
      </c>
      <c r="B275" s="176"/>
      <c r="C275" s="14"/>
      <c r="D275" s="177"/>
      <c r="E275" s="178"/>
      <c r="F275" s="14"/>
      <c r="G275" s="177"/>
      <c r="H275" s="169" t="s">
        <v>1282</v>
      </c>
      <c r="I275" s="170"/>
      <c r="J275" s="170"/>
      <c r="K275" s="170"/>
    </row>
    <row r="276" customFormat="false" ht="15" hidden="false" customHeight="true" outlineLevel="0" collapsed="false">
      <c r="A276" s="163" t="str">
        <f aca="false">IF(COUNTA(B276:G276)&gt;0,ROW()-3,"")</f>
        <v/>
      </c>
      <c r="B276" s="176"/>
      <c r="C276" s="14"/>
      <c r="D276" s="177"/>
      <c r="E276" s="178"/>
      <c r="F276" s="14"/>
      <c r="G276" s="177"/>
      <c r="H276" s="169" t="s">
        <v>1282</v>
      </c>
      <c r="I276" s="170"/>
      <c r="J276" s="170"/>
      <c r="K276" s="170"/>
    </row>
    <row r="277" customFormat="false" ht="15" hidden="false" customHeight="true" outlineLevel="0" collapsed="false">
      <c r="A277" s="163" t="str">
        <f aca="false">IF(COUNTA(B277:G277)&gt;0,ROW()-3,"")</f>
        <v/>
      </c>
      <c r="B277" s="176"/>
      <c r="C277" s="14"/>
      <c r="D277" s="177"/>
      <c r="E277" s="178"/>
      <c r="F277" s="14"/>
      <c r="G277" s="177"/>
      <c r="H277" s="169" t="s">
        <v>1282</v>
      </c>
      <c r="I277" s="170"/>
      <c r="J277" s="170"/>
      <c r="K277" s="170"/>
    </row>
    <row r="278" customFormat="false" ht="15" hidden="false" customHeight="true" outlineLevel="0" collapsed="false">
      <c r="A278" s="163" t="str">
        <f aca="false">IF(COUNTA(B278:G278)&gt;0,ROW()-3,"")</f>
        <v/>
      </c>
      <c r="B278" s="176"/>
      <c r="C278" s="14"/>
      <c r="D278" s="177"/>
      <c r="E278" s="178"/>
      <c r="F278" s="14"/>
      <c r="G278" s="177"/>
      <c r="H278" s="169" t="s">
        <v>1282</v>
      </c>
      <c r="I278" s="170"/>
      <c r="J278" s="170"/>
      <c r="K278" s="170"/>
    </row>
    <row r="279" customFormat="false" ht="15" hidden="false" customHeight="true" outlineLevel="0" collapsed="false">
      <c r="A279" s="163" t="str">
        <f aca="false">IF(COUNTA(B279:G279)&gt;0,ROW()-3,"")</f>
        <v/>
      </c>
      <c r="B279" s="176"/>
      <c r="C279" s="14"/>
      <c r="D279" s="177"/>
      <c r="E279" s="178"/>
      <c r="F279" s="14"/>
      <c r="G279" s="177"/>
      <c r="H279" s="169" t="s">
        <v>1282</v>
      </c>
      <c r="I279" s="170"/>
      <c r="J279" s="170"/>
      <c r="K279" s="170"/>
    </row>
    <row r="280" customFormat="false" ht="15" hidden="false" customHeight="true" outlineLevel="0" collapsed="false">
      <c r="A280" s="163" t="str">
        <f aca="false">IF(COUNTA(B280:G280)&gt;0,ROW()-3,"")</f>
        <v/>
      </c>
      <c r="B280" s="176"/>
      <c r="C280" s="14"/>
      <c r="D280" s="177"/>
      <c r="E280" s="178"/>
      <c r="F280" s="14"/>
      <c r="G280" s="177"/>
      <c r="H280" s="169" t="s">
        <v>1282</v>
      </c>
      <c r="I280" s="170"/>
      <c r="J280" s="170"/>
      <c r="K280" s="170"/>
    </row>
    <row r="281" customFormat="false" ht="15" hidden="false" customHeight="true" outlineLevel="0" collapsed="false">
      <c r="A281" s="163" t="str">
        <f aca="false">IF(COUNTA(B281:G281)&gt;0,ROW()-3,"")</f>
        <v/>
      </c>
      <c r="B281" s="176"/>
      <c r="C281" s="14"/>
      <c r="D281" s="177"/>
      <c r="E281" s="178"/>
      <c r="F281" s="14"/>
      <c r="G281" s="177"/>
      <c r="H281" s="169" t="s">
        <v>1282</v>
      </c>
      <c r="I281" s="170"/>
      <c r="J281" s="170"/>
      <c r="K281" s="170"/>
    </row>
    <row r="282" customFormat="false" ht="15" hidden="false" customHeight="true" outlineLevel="0" collapsed="false">
      <c r="A282" s="163" t="str">
        <f aca="false">IF(COUNTA(B282:G282)&gt;0,ROW()-3,"")</f>
        <v/>
      </c>
      <c r="B282" s="176"/>
      <c r="C282" s="14"/>
      <c r="D282" s="177"/>
      <c r="E282" s="178"/>
      <c r="F282" s="14"/>
      <c r="G282" s="177"/>
      <c r="H282" s="169" t="s">
        <v>1282</v>
      </c>
      <c r="I282" s="170"/>
      <c r="J282" s="170"/>
      <c r="K282" s="170"/>
    </row>
    <row r="283" customFormat="false" ht="15" hidden="false" customHeight="true" outlineLevel="0" collapsed="false">
      <c r="A283" s="163" t="str">
        <f aca="false">IF(COUNTA(B283:G283)&gt;0,ROW()-3,"")</f>
        <v/>
      </c>
      <c r="B283" s="176"/>
      <c r="C283" s="14"/>
      <c r="D283" s="177"/>
      <c r="E283" s="178"/>
      <c r="F283" s="14"/>
      <c r="G283" s="177"/>
      <c r="H283" s="169" t="s">
        <v>1282</v>
      </c>
      <c r="I283" s="170"/>
      <c r="J283" s="170"/>
      <c r="K283" s="170"/>
    </row>
    <row r="284" customFormat="false" ht="15" hidden="false" customHeight="true" outlineLevel="0" collapsed="false">
      <c r="A284" s="163" t="str">
        <f aca="false">IF(COUNTA(B284:G284)&gt;0,ROW()-3,"")</f>
        <v/>
      </c>
      <c r="B284" s="176"/>
      <c r="C284" s="14"/>
      <c r="D284" s="177"/>
      <c r="E284" s="178"/>
      <c r="F284" s="14"/>
      <c r="G284" s="177"/>
      <c r="H284" s="169" t="s">
        <v>1282</v>
      </c>
      <c r="I284" s="170"/>
      <c r="J284" s="170"/>
      <c r="K284" s="170"/>
    </row>
    <row r="285" customFormat="false" ht="15" hidden="false" customHeight="true" outlineLevel="0" collapsed="false">
      <c r="A285" s="163" t="str">
        <f aca="false">IF(COUNTA(B285:G285)&gt;0,ROW()-3,"")</f>
        <v/>
      </c>
      <c r="B285" s="176"/>
      <c r="C285" s="14"/>
      <c r="D285" s="177"/>
      <c r="E285" s="178"/>
      <c r="F285" s="14"/>
      <c r="G285" s="177"/>
      <c r="H285" s="169" t="s">
        <v>1282</v>
      </c>
      <c r="I285" s="170"/>
      <c r="J285" s="170"/>
      <c r="K285" s="170"/>
    </row>
    <row r="286" customFormat="false" ht="15" hidden="false" customHeight="true" outlineLevel="0" collapsed="false">
      <c r="A286" s="163" t="str">
        <f aca="false">IF(COUNTA(B286:G286)&gt;0,ROW()-3,"")</f>
        <v/>
      </c>
      <c r="B286" s="176"/>
      <c r="C286" s="14"/>
      <c r="D286" s="177"/>
      <c r="E286" s="178"/>
      <c r="F286" s="14"/>
      <c r="G286" s="177"/>
      <c r="H286" s="169" t="s">
        <v>1282</v>
      </c>
      <c r="I286" s="170"/>
      <c r="J286" s="170"/>
      <c r="K286" s="170"/>
    </row>
    <row r="287" customFormat="false" ht="15" hidden="false" customHeight="true" outlineLevel="0" collapsed="false">
      <c r="A287" s="163" t="str">
        <f aca="false">IF(COUNTA(B287:G287)&gt;0,ROW()-3,"")</f>
        <v/>
      </c>
      <c r="B287" s="176"/>
      <c r="C287" s="14"/>
      <c r="D287" s="177"/>
      <c r="E287" s="178"/>
      <c r="F287" s="14"/>
      <c r="G287" s="177"/>
      <c r="H287" s="169" t="s">
        <v>1282</v>
      </c>
      <c r="I287" s="170"/>
      <c r="J287" s="170"/>
      <c r="K287" s="170"/>
    </row>
    <row r="288" customFormat="false" ht="15" hidden="false" customHeight="true" outlineLevel="0" collapsed="false">
      <c r="A288" s="163" t="str">
        <f aca="false">IF(COUNTA(B288:G288)&gt;0,ROW()-3,"")</f>
        <v/>
      </c>
      <c r="B288" s="176"/>
      <c r="C288" s="14"/>
      <c r="D288" s="177"/>
      <c r="E288" s="178"/>
      <c r="F288" s="14"/>
      <c r="G288" s="177"/>
      <c r="H288" s="169" t="s">
        <v>1282</v>
      </c>
      <c r="I288" s="170"/>
      <c r="J288" s="170"/>
      <c r="K288" s="170"/>
    </row>
    <row r="289" customFormat="false" ht="15" hidden="false" customHeight="true" outlineLevel="0" collapsed="false">
      <c r="A289" s="163" t="str">
        <f aca="false">IF(COUNTA(B289:G289)&gt;0,ROW()-3,"")</f>
        <v/>
      </c>
      <c r="B289" s="176"/>
      <c r="C289" s="14"/>
      <c r="D289" s="177"/>
      <c r="E289" s="178"/>
      <c r="F289" s="14"/>
      <c r="G289" s="177"/>
      <c r="H289" s="169" t="s">
        <v>1282</v>
      </c>
      <c r="I289" s="170"/>
      <c r="J289" s="170"/>
      <c r="K289" s="170"/>
    </row>
    <row r="290" customFormat="false" ht="15" hidden="false" customHeight="true" outlineLevel="0" collapsed="false">
      <c r="A290" s="163" t="str">
        <f aca="false">IF(COUNTA(B290:G290)&gt;0,ROW()-3,"")</f>
        <v/>
      </c>
      <c r="B290" s="176"/>
      <c r="C290" s="14"/>
      <c r="D290" s="177"/>
      <c r="E290" s="178"/>
      <c r="F290" s="14"/>
      <c r="G290" s="177"/>
      <c r="H290" s="169" t="s">
        <v>1282</v>
      </c>
      <c r="I290" s="170"/>
      <c r="J290" s="170"/>
      <c r="K290" s="170"/>
    </row>
    <row r="291" customFormat="false" ht="15" hidden="false" customHeight="true" outlineLevel="0" collapsed="false">
      <c r="A291" s="163" t="str">
        <f aca="false">IF(COUNTA(B291:G291)&gt;0,ROW()-3,"")</f>
        <v/>
      </c>
      <c r="B291" s="176"/>
      <c r="C291" s="14"/>
      <c r="D291" s="177"/>
      <c r="E291" s="178"/>
      <c r="F291" s="14"/>
      <c r="G291" s="177"/>
      <c r="H291" s="169" t="s">
        <v>1282</v>
      </c>
      <c r="I291" s="170"/>
      <c r="J291" s="170"/>
      <c r="K291" s="170"/>
    </row>
    <row r="292" customFormat="false" ht="15" hidden="false" customHeight="true" outlineLevel="0" collapsed="false">
      <c r="A292" s="163" t="str">
        <f aca="false">IF(COUNTA(B292:G292)&gt;0,ROW()-3,"")</f>
        <v/>
      </c>
      <c r="B292" s="176"/>
      <c r="C292" s="14"/>
      <c r="D292" s="177"/>
      <c r="E292" s="178"/>
      <c r="F292" s="14"/>
      <c r="G292" s="177"/>
      <c r="H292" s="169" t="s">
        <v>1282</v>
      </c>
      <c r="I292" s="170"/>
      <c r="J292" s="170"/>
      <c r="K292" s="170"/>
    </row>
    <row r="293" customFormat="false" ht="15" hidden="false" customHeight="true" outlineLevel="0" collapsed="false">
      <c r="A293" s="163" t="str">
        <f aca="false">IF(COUNTA(B293:G293)&gt;0,ROW()-3,"")</f>
        <v/>
      </c>
      <c r="B293" s="176"/>
      <c r="C293" s="14"/>
      <c r="D293" s="177"/>
      <c r="E293" s="178"/>
      <c r="F293" s="14"/>
      <c r="G293" s="177"/>
      <c r="H293" s="169" t="s">
        <v>1282</v>
      </c>
      <c r="I293" s="170"/>
      <c r="J293" s="170"/>
      <c r="K293" s="170"/>
    </row>
    <row r="294" customFormat="false" ht="15" hidden="false" customHeight="true" outlineLevel="0" collapsed="false">
      <c r="A294" s="163" t="str">
        <f aca="false">IF(COUNTA(B294:G294)&gt;0,ROW()-3,"")</f>
        <v/>
      </c>
      <c r="B294" s="176"/>
      <c r="C294" s="14"/>
      <c r="D294" s="177"/>
      <c r="E294" s="178"/>
      <c r="F294" s="14"/>
      <c r="G294" s="177"/>
      <c r="H294" s="169" t="s">
        <v>1282</v>
      </c>
      <c r="I294" s="170"/>
      <c r="J294" s="170"/>
      <c r="K294" s="170"/>
    </row>
    <row r="295" customFormat="false" ht="15" hidden="false" customHeight="true" outlineLevel="0" collapsed="false">
      <c r="A295" s="163" t="str">
        <f aca="false">IF(COUNTA(B295:G295)&gt;0,ROW()-3,"")</f>
        <v/>
      </c>
      <c r="B295" s="176"/>
      <c r="C295" s="14"/>
      <c r="D295" s="177"/>
      <c r="E295" s="178"/>
      <c r="F295" s="14"/>
      <c r="G295" s="177"/>
      <c r="H295" s="169" t="s">
        <v>1282</v>
      </c>
      <c r="I295" s="170"/>
      <c r="J295" s="170"/>
      <c r="K295" s="170"/>
    </row>
    <row r="296" customFormat="false" ht="15" hidden="false" customHeight="true" outlineLevel="0" collapsed="false">
      <c r="A296" s="163" t="str">
        <f aca="false">IF(COUNTA(B296:G296)&gt;0,ROW()-3,"")</f>
        <v/>
      </c>
      <c r="B296" s="176"/>
      <c r="C296" s="14"/>
      <c r="D296" s="177"/>
      <c r="E296" s="178"/>
      <c r="F296" s="14"/>
      <c r="G296" s="177"/>
      <c r="H296" s="169" t="s">
        <v>1282</v>
      </c>
      <c r="I296" s="170"/>
      <c r="J296" s="170"/>
      <c r="K296" s="170"/>
    </row>
    <row r="297" customFormat="false" ht="15" hidden="false" customHeight="true" outlineLevel="0" collapsed="false">
      <c r="A297" s="163" t="str">
        <f aca="false">IF(COUNTA(B297:G297)&gt;0,ROW()-3,"")</f>
        <v/>
      </c>
      <c r="B297" s="176"/>
      <c r="C297" s="14"/>
      <c r="D297" s="177"/>
      <c r="E297" s="178"/>
      <c r="F297" s="14"/>
      <c r="G297" s="177"/>
      <c r="H297" s="169" t="s">
        <v>1282</v>
      </c>
      <c r="I297" s="170"/>
      <c r="J297" s="170"/>
      <c r="K297" s="170"/>
    </row>
    <row r="298" customFormat="false" ht="15" hidden="false" customHeight="true" outlineLevel="0" collapsed="false">
      <c r="A298" s="163" t="str">
        <f aca="false">IF(COUNTA(B298:G298)&gt;0,ROW()-3,"")</f>
        <v/>
      </c>
      <c r="B298" s="176"/>
      <c r="C298" s="14"/>
      <c r="D298" s="177"/>
      <c r="E298" s="178"/>
      <c r="F298" s="14"/>
      <c r="G298" s="177"/>
      <c r="H298" s="169" t="s">
        <v>1282</v>
      </c>
      <c r="I298" s="170"/>
      <c r="J298" s="170"/>
      <c r="K298" s="170"/>
    </row>
    <row r="299" customFormat="false" ht="15" hidden="false" customHeight="true" outlineLevel="0" collapsed="false">
      <c r="A299" s="163" t="str">
        <f aca="false">IF(COUNTA(B299:G299)&gt;0,ROW()-3,"")</f>
        <v/>
      </c>
      <c r="B299" s="176"/>
      <c r="C299" s="14"/>
      <c r="D299" s="177"/>
      <c r="E299" s="178"/>
      <c r="F299" s="14"/>
      <c r="G299" s="177"/>
      <c r="H299" s="169" t="s">
        <v>1282</v>
      </c>
      <c r="I299" s="170"/>
      <c r="J299" s="170"/>
      <c r="K299" s="170"/>
    </row>
    <row r="300" customFormat="false" ht="15" hidden="false" customHeight="true" outlineLevel="0" collapsed="false">
      <c r="A300" s="163" t="str">
        <f aca="false">IF(COUNTA(B300:G300)&gt;0,ROW()-3,"")</f>
        <v/>
      </c>
      <c r="B300" s="176"/>
      <c r="C300" s="14"/>
      <c r="D300" s="177"/>
      <c r="E300" s="178"/>
      <c r="F300" s="14"/>
      <c r="G300" s="177"/>
      <c r="H300" s="169" t="s">
        <v>1282</v>
      </c>
      <c r="I300" s="170"/>
      <c r="J300" s="170"/>
      <c r="K300" s="170"/>
    </row>
    <row r="301" customFormat="false" ht="15" hidden="false" customHeight="true" outlineLevel="0" collapsed="false">
      <c r="A301" s="163" t="str">
        <f aca="false">IF(COUNTA(B301:G301)&gt;0,ROW()-3,"")</f>
        <v/>
      </c>
      <c r="B301" s="176"/>
      <c r="C301" s="14"/>
      <c r="D301" s="177"/>
      <c r="E301" s="178"/>
      <c r="F301" s="14"/>
      <c r="G301" s="177"/>
      <c r="H301" s="169" t="s">
        <v>1282</v>
      </c>
      <c r="I301" s="170"/>
      <c r="J301" s="170"/>
      <c r="K301" s="170"/>
    </row>
    <row r="302" customFormat="false" ht="15" hidden="false" customHeight="true" outlineLevel="0" collapsed="false">
      <c r="A302" s="163" t="str">
        <f aca="false">IF(COUNTA(B302:G302)&gt;0,ROW()-3,"")</f>
        <v/>
      </c>
      <c r="B302" s="176"/>
      <c r="C302" s="14"/>
      <c r="D302" s="177"/>
      <c r="E302" s="178"/>
      <c r="F302" s="14"/>
      <c r="G302" s="177"/>
      <c r="H302" s="169" t="s">
        <v>1282</v>
      </c>
      <c r="I302" s="170"/>
      <c r="J302" s="170"/>
      <c r="K302" s="170"/>
    </row>
    <row r="303" customFormat="false" ht="15" hidden="false" customHeight="true" outlineLevel="0" collapsed="false">
      <c r="A303" s="163" t="str">
        <f aca="false">IF(COUNTA(B303:G303)&gt;0,ROW()-3,"")</f>
        <v/>
      </c>
      <c r="B303" s="176"/>
      <c r="C303" s="14"/>
      <c r="D303" s="177"/>
      <c r="E303" s="178"/>
      <c r="F303" s="14"/>
      <c r="G303" s="177"/>
      <c r="H303" s="169" t="s">
        <v>1282</v>
      </c>
      <c r="I303" s="170"/>
      <c r="J303" s="170"/>
      <c r="K303" s="170"/>
    </row>
    <row r="304" customFormat="false" ht="15" hidden="false" customHeight="true" outlineLevel="0" collapsed="false">
      <c r="A304" s="163" t="str">
        <f aca="false">IF(COUNTA(B304:G304)&gt;0,ROW()-3,"")</f>
        <v/>
      </c>
      <c r="B304" s="176"/>
      <c r="C304" s="14"/>
      <c r="D304" s="177"/>
      <c r="E304" s="178"/>
      <c r="F304" s="14"/>
      <c r="G304" s="177"/>
      <c r="H304" s="169" t="s">
        <v>1282</v>
      </c>
      <c r="I304" s="170"/>
      <c r="J304" s="170"/>
      <c r="K304" s="170"/>
    </row>
    <row r="305" customFormat="false" ht="15" hidden="false" customHeight="true" outlineLevel="0" collapsed="false">
      <c r="A305" s="163" t="str">
        <f aca="false">IF(COUNTA(B305:G305)&gt;0,ROW()-3,"")</f>
        <v/>
      </c>
      <c r="B305" s="176"/>
      <c r="C305" s="14"/>
      <c r="D305" s="177"/>
      <c r="E305" s="178"/>
      <c r="F305" s="14"/>
      <c r="G305" s="177"/>
      <c r="H305" s="169" t="s">
        <v>1282</v>
      </c>
      <c r="I305" s="170"/>
      <c r="J305" s="170"/>
      <c r="K305" s="170"/>
    </row>
    <row r="306" customFormat="false" ht="15" hidden="false" customHeight="true" outlineLevel="0" collapsed="false">
      <c r="A306" s="163" t="str">
        <f aca="false">IF(COUNTA(B306:G306)&gt;0,ROW()-3,"")</f>
        <v/>
      </c>
      <c r="B306" s="176"/>
      <c r="C306" s="14"/>
      <c r="D306" s="177"/>
      <c r="E306" s="178"/>
      <c r="F306" s="14"/>
      <c r="G306" s="177"/>
      <c r="H306" s="169" t="s">
        <v>1282</v>
      </c>
      <c r="I306" s="170"/>
      <c r="J306" s="170"/>
      <c r="K306" s="170"/>
    </row>
    <row r="307" customFormat="false" ht="15" hidden="false" customHeight="true" outlineLevel="0" collapsed="false">
      <c r="A307" s="163" t="str">
        <f aca="false">IF(COUNTA(B307:G307)&gt;0,ROW()-3,"")</f>
        <v/>
      </c>
      <c r="B307" s="176"/>
      <c r="C307" s="14"/>
      <c r="D307" s="177"/>
      <c r="E307" s="178"/>
      <c r="F307" s="14"/>
      <c r="G307" s="177"/>
      <c r="H307" s="169" t="s">
        <v>1282</v>
      </c>
      <c r="I307" s="170"/>
      <c r="J307" s="170"/>
      <c r="K307" s="170"/>
    </row>
    <row r="308" customFormat="false" ht="15" hidden="false" customHeight="true" outlineLevel="0" collapsed="false">
      <c r="A308" s="163" t="str">
        <f aca="false">IF(COUNTA(B308:G308)&gt;0,ROW()-3,"")</f>
        <v/>
      </c>
      <c r="B308" s="176"/>
      <c r="C308" s="14"/>
      <c r="D308" s="177"/>
      <c r="E308" s="178"/>
      <c r="F308" s="14"/>
      <c r="G308" s="177"/>
      <c r="H308" s="169" t="s">
        <v>1282</v>
      </c>
      <c r="I308" s="170"/>
      <c r="J308" s="170"/>
      <c r="K308" s="170"/>
    </row>
    <row r="309" customFormat="false" ht="15" hidden="false" customHeight="true" outlineLevel="0" collapsed="false">
      <c r="A309" s="163" t="str">
        <f aca="false">IF(COUNTA(B309:G309)&gt;0,ROW()-3,"")</f>
        <v/>
      </c>
      <c r="B309" s="176"/>
      <c r="C309" s="14"/>
      <c r="D309" s="177"/>
      <c r="E309" s="178"/>
      <c r="F309" s="14"/>
      <c r="G309" s="177"/>
      <c r="H309" s="169" t="s">
        <v>1282</v>
      </c>
      <c r="I309" s="170"/>
      <c r="J309" s="170"/>
      <c r="K309" s="170"/>
    </row>
    <row r="310" customFormat="false" ht="15" hidden="false" customHeight="true" outlineLevel="0" collapsed="false">
      <c r="A310" s="163" t="str">
        <f aca="false">IF(COUNTA(B310:G310)&gt;0,ROW()-3,"")</f>
        <v/>
      </c>
      <c r="B310" s="176"/>
      <c r="C310" s="14"/>
      <c r="D310" s="177"/>
      <c r="E310" s="178"/>
      <c r="F310" s="14"/>
      <c r="G310" s="177"/>
      <c r="H310" s="169" t="s">
        <v>1282</v>
      </c>
      <c r="I310" s="170"/>
      <c r="J310" s="170"/>
      <c r="K310" s="170"/>
    </row>
    <row r="311" customFormat="false" ht="15" hidden="false" customHeight="true" outlineLevel="0" collapsed="false">
      <c r="A311" s="163" t="str">
        <f aca="false">IF(COUNTA(B311:G311)&gt;0,ROW()-3,"")</f>
        <v/>
      </c>
      <c r="B311" s="176"/>
      <c r="C311" s="14"/>
      <c r="D311" s="177"/>
      <c r="E311" s="178"/>
      <c r="F311" s="14"/>
      <c r="G311" s="177"/>
      <c r="H311" s="169" t="s">
        <v>1282</v>
      </c>
      <c r="I311" s="170"/>
      <c r="J311" s="170"/>
      <c r="K311" s="170"/>
    </row>
    <row r="312" customFormat="false" ht="15" hidden="false" customHeight="true" outlineLevel="0" collapsed="false">
      <c r="A312" s="163" t="str">
        <f aca="false">IF(COUNTA(B312:G312)&gt;0,ROW()-3,"")</f>
        <v/>
      </c>
      <c r="B312" s="176"/>
      <c r="C312" s="14"/>
      <c r="D312" s="177"/>
      <c r="E312" s="178"/>
      <c r="F312" s="14"/>
      <c r="G312" s="177"/>
      <c r="H312" s="169" t="s">
        <v>1282</v>
      </c>
      <c r="I312" s="170"/>
      <c r="J312" s="170"/>
      <c r="K312" s="170"/>
    </row>
    <row r="313" customFormat="false" ht="15" hidden="false" customHeight="true" outlineLevel="0" collapsed="false">
      <c r="A313" s="163" t="str">
        <f aca="false">IF(COUNTA(B313:G313)&gt;0,ROW()-3,"")</f>
        <v/>
      </c>
      <c r="B313" s="176"/>
      <c r="C313" s="14"/>
      <c r="D313" s="177"/>
      <c r="E313" s="178"/>
      <c r="F313" s="14"/>
      <c r="G313" s="177"/>
      <c r="H313" s="169" t="s">
        <v>1282</v>
      </c>
      <c r="I313" s="170"/>
      <c r="J313" s="170"/>
      <c r="K313" s="170"/>
    </row>
    <row r="314" customFormat="false" ht="15" hidden="false" customHeight="true" outlineLevel="0" collapsed="false">
      <c r="A314" s="163" t="str">
        <f aca="false">IF(COUNTA(B314:G314)&gt;0,ROW()-3,"")</f>
        <v/>
      </c>
      <c r="B314" s="176"/>
      <c r="C314" s="14"/>
      <c r="D314" s="177"/>
      <c r="E314" s="178"/>
      <c r="F314" s="14"/>
      <c r="G314" s="177"/>
      <c r="H314" s="169" t="s">
        <v>1282</v>
      </c>
      <c r="I314" s="170"/>
      <c r="J314" s="170"/>
      <c r="K314" s="170"/>
    </row>
    <row r="315" customFormat="false" ht="15" hidden="false" customHeight="true" outlineLevel="0" collapsed="false">
      <c r="A315" s="163" t="str">
        <f aca="false">IF(COUNTA(B315:G315)&gt;0,ROW()-3,"")</f>
        <v/>
      </c>
      <c r="B315" s="176"/>
      <c r="C315" s="14"/>
      <c r="D315" s="177"/>
      <c r="E315" s="178"/>
      <c r="F315" s="14"/>
      <c r="G315" s="177"/>
      <c r="H315" s="169" t="s">
        <v>1282</v>
      </c>
      <c r="I315" s="170"/>
      <c r="J315" s="170"/>
      <c r="K315" s="170"/>
    </row>
    <row r="316" customFormat="false" ht="15" hidden="false" customHeight="true" outlineLevel="0" collapsed="false">
      <c r="A316" s="163" t="str">
        <f aca="false">IF(COUNTA(B316:G316)&gt;0,ROW()-3,"")</f>
        <v/>
      </c>
      <c r="B316" s="176"/>
      <c r="C316" s="14"/>
      <c r="D316" s="177"/>
      <c r="E316" s="178"/>
      <c r="F316" s="14"/>
      <c r="G316" s="177"/>
      <c r="H316" s="169" t="s">
        <v>1282</v>
      </c>
      <c r="I316" s="170"/>
      <c r="J316" s="170"/>
      <c r="K316" s="170"/>
    </row>
    <row r="317" customFormat="false" ht="15" hidden="false" customHeight="true" outlineLevel="0" collapsed="false">
      <c r="A317" s="163" t="str">
        <f aca="false">IF(COUNTA(B317:G317)&gt;0,ROW()-3,"")</f>
        <v/>
      </c>
      <c r="B317" s="176"/>
      <c r="C317" s="14"/>
      <c r="D317" s="177"/>
      <c r="E317" s="178"/>
      <c r="F317" s="14"/>
      <c r="G317" s="177"/>
      <c r="H317" s="169" t="s">
        <v>1282</v>
      </c>
      <c r="I317" s="170"/>
      <c r="J317" s="170"/>
      <c r="K317" s="170"/>
    </row>
    <row r="318" customFormat="false" ht="15" hidden="false" customHeight="true" outlineLevel="0" collapsed="false">
      <c r="A318" s="163" t="str">
        <f aca="false">IF(COUNTA(B318:G318)&gt;0,ROW()-3,"")</f>
        <v/>
      </c>
      <c r="B318" s="176"/>
      <c r="C318" s="14"/>
      <c r="D318" s="177"/>
      <c r="E318" s="178"/>
      <c r="F318" s="14"/>
      <c r="G318" s="177"/>
      <c r="H318" s="169" t="s">
        <v>1282</v>
      </c>
      <c r="I318" s="170"/>
      <c r="J318" s="170"/>
      <c r="K318" s="170"/>
    </row>
    <row r="319" customFormat="false" ht="15" hidden="false" customHeight="true" outlineLevel="0" collapsed="false">
      <c r="A319" s="163" t="str">
        <f aca="false">IF(COUNTA(B319:G319)&gt;0,ROW()-3,"")</f>
        <v/>
      </c>
      <c r="B319" s="176"/>
      <c r="C319" s="14"/>
      <c r="D319" s="177"/>
      <c r="E319" s="178"/>
      <c r="F319" s="14"/>
      <c r="G319" s="177"/>
      <c r="H319" s="169" t="s">
        <v>1282</v>
      </c>
      <c r="I319" s="170"/>
      <c r="J319" s="170"/>
      <c r="K319" s="170"/>
    </row>
    <row r="320" customFormat="false" ht="15" hidden="false" customHeight="true" outlineLevel="0" collapsed="false">
      <c r="A320" s="163" t="str">
        <f aca="false">IF(COUNTA(B320:G320)&gt;0,ROW()-3,"")</f>
        <v/>
      </c>
      <c r="B320" s="176"/>
      <c r="C320" s="14"/>
      <c r="D320" s="177"/>
      <c r="E320" s="178"/>
      <c r="F320" s="14"/>
      <c r="G320" s="177"/>
      <c r="H320" s="169" t="s">
        <v>1282</v>
      </c>
      <c r="I320" s="170"/>
      <c r="J320" s="170"/>
      <c r="K320" s="170"/>
    </row>
    <row r="321" customFormat="false" ht="15" hidden="false" customHeight="true" outlineLevel="0" collapsed="false">
      <c r="A321" s="163" t="str">
        <f aca="false">IF(COUNTA(B321:G321)&gt;0,ROW()-3,"")</f>
        <v/>
      </c>
      <c r="B321" s="176"/>
      <c r="C321" s="14"/>
      <c r="D321" s="177"/>
      <c r="E321" s="178"/>
      <c r="F321" s="14"/>
      <c r="G321" s="177"/>
      <c r="H321" s="169" t="s">
        <v>1282</v>
      </c>
      <c r="I321" s="170"/>
      <c r="J321" s="170"/>
      <c r="K321" s="170"/>
    </row>
    <row r="322" customFormat="false" ht="15" hidden="false" customHeight="true" outlineLevel="0" collapsed="false">
      <c r="A322" s="163" t="str">
        <f aca="false">IF(COUNTA(B322:G322)&gt;0,ROW()-3,"")</f>
        <v/>
      </c>
      <c r="B322" s="176"/>
      <c r="C322" s="14"/>
      <c r="D322" s="177"/>
      <c r="E322" s="178"/>
      <c r="F322" s="14"/>
      <c r="G322" s="177"/>
      <c r="H322" s="169" t="s">
        <v>1282</v>
      </c>
      <c r="I322" s="170"/>
      <c r="J322" s="170"/>
      <c r="K322" s="170"/>
    </row>
    <row r="323" customFormat="false" ht="15" hidden="false" customHeight="true" outlineLevel="0" collapsed="false">
      <c r="A323" s="163" t="str">
        <f aca="false">IF(COUNTA(B323:G323)&gt;0,ROW()-3,"")</f>
        <v/>
      </c>
      <c r="B323" s="176"/>
      <c r="C323" s="14"/>
      <c r="D323" s="177"/>
      <c r="E323" s="178"/>
      <c r="F323" s="14"/>
      <c r="G323" s="177"/>
      <c r="H323" s="169" t="s">
        <v>1282</v>
      </c>
      <c r="I323" s="170"/>
      <c r="J323" s="170"/>
      <c r="K323" s="170"/>
    </row>
    <row r="324" customFormat="false" ht="15" hidden="false" customHeight="true" outlineLevel="0" collapsed="false">
      <c r="A324" s="163" t="str">
        <f aca="false">IF(COUNTA(B324:G324)&gt;0,ROW()-3,"")</f>
        <v/>
      </c>
      <c r="B324" s="176"/>
      <c r="C324" s="14"/>
      <c r="D324" s="177"/>
      <c r="E324" s="178"/>
      <c r="F324" s="14"/>
      <c r="G324" s="177"/>
      <c r="H324" s="169" t="s">
        <v>1282</v>
      </c>
      <c r="I324" s="170"/>
      <c r="J324" s="170"/>
      <c r="K324" s="170"/>
    </row>
    <row r="325" customFormat="false" ht="15" hidden="false" customHeight="true" outlineLevel="0" collapsed="false">
      <c r="A325" s="163" t="str">
        <f aca="false">IF(COUNTA(B325:G325)&gt;0,ROW()-3,"")</f>
        <v/>
      </c>
      <c r="B325" s="176"/>
      <c r="C325" s="14"/>
      <c r="D325" s="177"/>
      <c r="E325" s="178"/>
      <c r="F325" s="14"/>
      <c r="G325" s="177"/>
      <c r="H325" s="169" t="s">
        <v>1282</v>
      </c>
      <c r="I325" s="170"/>
      <c r="J325" s="170"/>
      <c r="K325" s="170"/>
    </row>
    <row r="326" customFormat="false" ht="15" hidden="false" customHeight="true" outlineLevel="0" collapsed="false">
      <c r="A326" s="163" t="str">
        <f aca="false">IF(COUNTA(B326:G326)&gt;0,ROW()-3,"")</f>
        <v/>
      </c>
      <c r="B326" s="176"/>
      <c r="C326" s="14"/>
      <c r="D326" s="177"/>
      <c r="E326" s="178"/>
      <c r="F326" s="14"/>
      <c r="G326" s="177"/>
      <c r="H326" s="169" t="s">
        <v>1282</v>
      </c>
      <c r="I326" s="170"/>
      <c r="J326" s="170"/>
      <c r="K326" s="170"/>
    </row>
    <row r="327" customFormat="false" ht="15" hidden="false" customHeight="true" outlineLevel="0" collapsed="false">
      <c r="A327" s="163" t="str">
        <f aca="false">IF(COUNTA(B327:G327)&gt;0,ROW()-3,"")</f>
        <v/>
      </c>
      <c r="B327" s="176"/>
      <c r="C327" s="14"/>
      <c r="D327" s="177"/>
      <c r="E327" s="178"/>
      <c r="F327" s="14"/>
      <c r="G327" s="177"/>
      <c r="H327" s="169" t="s">
        <v>1282</v>
      </c>
      <c r="I327" s="170"/>
      <c r="J327" s="170"/>
      <c r="K327" s="170"/>
    </row>
    <row r="328" customFormat="false" ht="15" hidden="false" customHeight="true" outlineLevel="0" collapsed="false">
      <c r="A328" s="163" t="str">
        <f aca="false">IF(COUNTA(B328:G328)&gt;0,ROW()-3,"")</f>
        <v/>
      </c>
      <c r="B328" s="176"/>
      <c r="C328" s="14"/>
      <c r="D328" s="177"/>
      <c r="E328" s="178"/>
      <c r="F328" s="14"/>
      <c r="G328" s="177"/>
      <c r="H328" s="169" t="s">
        <v>1282</v>
      </c>
      <c r="I328" s="170"/>
      <c r="J328" s="170"/>
      <c r="K328" s="170"/>
    </row>
    <row r="329" customFormat="false" ht="15" hidden="false" customHeight="true" outlineLevel="0" collapsed="false">
      <c r="A329" s="163" t="str">
        <f aca="false">IF(COUNTA(B329:G329)&gt;0,ROW()-3,"")</f>
        <v/>
      </c>
      <c r="B329" s="176"/>
      <c r="C329" s="14"/>
      <c r="D329" s="177"/>
      <c r="E329" s="178"/>
      <c r="F329" s="14"/>
      <c r="G329" s="177"/>
      <c r="H329" s="169" t="s">
        <v>1282</v>
      </c>
      <c r="I329" s="170"/>
      <c r="J329" s="170"/>
      <c r="K329" s="170"/>
    </row>
    <row r="330" customFormat="false" ht="15" hidden="false" customHeight="true" outlineLevel="0" collapsed="false">
      <c r="A330" s="163" t="str">
        <f aca="false">IF(COUNTA(B330:G330)&gt;0,ROW()-3,"")</f>
        <v/>
      </c>
      <c r="B330" s="176"/>
      <c r="C330" s="14"/>
      <c r="D330" s="177"/>
      <c r="E330" s="178"/>
      <c r="F330" s="14"/>
      <c r="G330" s="177"/>
      <c r="H330" s="169" t="s">
        <v>1282</v>
      </c>
      <c r="I330" s="170"/>
      <c r="J330" s="170"/>
      <c r="K330" s="170"/>
    </row>
    <row r="331" customFormat="false" ht="15" hidden="false" customHeight="true" outlineLevel="0" collapsed="false">
      <c r="A331" s="163" t="str">
        <f aca="false">IF(COUNTA(B331:G331)&gt;0,ROW()-3,"")</f>
        <v/>
      </c>
      <c r="B331" s="176"/>
      <c r="C331" s="14"/>
      <c r="D331" s="177"/>
      <c r="E331" s="178"/>
      <c r="F331" s="14"/>
      <c r="G331" s="177"/>
      <c r="H331" s="169" t="s">
        <v>1282</v>
      </c>
      <c r="I331" s="170"/>
      <c r="J331" s="170"/>
      <c r="K331" s="170"/>
    </row>
    <row r="332" customFormat="false" ht="15" hidden="false" customHeight="true" outlineLevel="0" collapsed="false">
      <c r="A332" s="163" t="str">
        <f aca="false">IF(COUNTA(B332:G332)&gt;0,ROW()-3,"")</f>
        <v/>
      </c>
      <c r="B332" s="176"/>
      <c r="C332" s="14"/>
      <c r="D332" s="177"/>
      <c r="E332" s="178"/>
      <c r="F332" s="14"/>
      <c r="G332" s="177"/>
      <c r="H332" s="169" t="s">
        <v>1282</v>
      </c>
      <c r="I332" s="170"/>
      <c r="J332" s="170"/>
      <c r="K332" s="170"/>
    </row>
    <row r="333" customFormat="false" ht="15" hidden="false" customHeight="true" outlineLevel="0" collapsed="false">
      <c r="A333" s="163" t="str">
        <f aca="false">IF(COUNTA(B333:G333)&gt;0,ROW()-3,"")</f>
        <v/>
      </c>
      <c r="B333" s="176"/>
      <c r="C333" s="14"/>
      <c r="D333" s="177"/>
      <c r="E333" s="178"/>
      <c r="F333" s="14"/>
      <c r="G333" s="177"/>
      <c r="H333" s="169" t="s">
        <v>1282</v>
      </c>
      <c r="I333" s="170"/>
      <c r="J333" s="170"/>
      <c r="K333" s="170"/>
    </row>
    <row r="334" customFormat="false" ht="15" hidden="false" customHeight="true" outlineLevel="0" collapsed="false">
      <c r="A334" s="163" t="str">
        <f aca="false">IF(COUNTA(B334:G334)&gt;0,ROW()-3,"")</f>
        <v/>
      </c>
      <c r="B334" s="176"/>
      <c r="C334" s="14"/>
      <c r="D334" s="177"/>
      <c r="E334" s="178"/>
      <c r="F334" s="14"/>
      <c r="G334" s="177"/>
      <c r="H334" s="169" t="s">
        <v>1282</v>
      </c>
      <c r="I334" s="170"/>
      <c r="J334" s="170"/>
      <c r="K334" s="170"/>
    </row>
    <row r="335" customFormat="false" ht="15" hidden="false" customHeight="true" outlineLevel="0" collapsed="false">
      <c r="A335" s="163" t="str">
        <f aca="false">IF(COUNTA(B335:G335)&gt;0,ROW()-3,"")</f>
        <v/>
      </c>
      <c r="B335" s="176"/>
      <c r="C335" s="14"/>
      <c r="D335" s="177"/>
      <c r="E335" s="178"/>
      <c r="F335" s="14"/>
      <c r="G335" s="177"/>
      <c r="H335" s="169" t="s">
        <v>1282</v>
      </c>
      <c r="I335" s="170"/>
      <c r="J335" s="170"/>
      <c r="K335" s="170"/>
    </row>
    <row r="336" customFormat="false" ht="15" hidden="false" customHeight="true" outlineLevel="0" collapsed="false">
      <c r="A336" s="163" t="str">
        <f aca="false">IF(COUNTA(B336:G336)&gt;0,ROW()-3,"")</f>
        <v/>
      </c>
      <c r="B336" s="176"/>
      <c r="C336" s="14"/>
      <c r="D336" s="177"/>
      <c r="E336" s="178"/>
      <c r="F336" s="14"/>
      <c r="G336" s="177"/>
      <c r="H336" s="169" t="s">
        <v>1282</v>
      </c>
      <c r="I336" s="170"/>
      <c r="J336" s="170"/>
      <c r="K336" s="170"/>
    </row>
    <row r="337" customFormat="false" ht="15" hidden="false" customHeight="true" outlineLevel="0" collapsed="false">
      <c r="A337" s="163" t="str">
        <f aca="false">IF(COUNTA(B337:G337)&gt;0,ROW()-3,"")</f>
        <v/>
      </c>
      <c r="B337" s="176"/>
      <c r="C337" s="14"/>
      <c r="D337" s="177"/>
      <c r="E337" s="178"/>
      <c r="F337" s="14"/>
      <c r="G337" s="177"/>
      <c r="H337" s="169" t="s">
        <v>1282</v>
      </c>
      <c r="I337" s="170"/>
      <c r="J337" s="170"/>
      <c r="K337" s="170"/>
    </row>
    <row r="338" customFormat="false" ht="15" hidden="false" customHeight="true" outlineLevel="0" collapsed="false">
      <c r="A338" s="163" t="str">
        <f aca="false">IF(COUNTA(B338:G338)&gt;0,ROW()-3,"")</f>
        <v/>
      </c>
      <c r="B338" s="176"/>
      <c r="C338" s="14"/>
      <c r="D338" s="177"/>
      <c r="E338" s="178"/>
      <c r="F338" s="14"/>
      <c r="G338" s="177"/>
      <c r="H338" s="169" t="s">
        <v>1282</v>
      </c>
      <c r="I338" s="170"/>
      <c r="J338" s="170"/>
      <c r="K338" s="170"/>
    </row>
    <row r="339" customFormat="false" ht="15" hidden="false" customHeight="true" outlineLevel="0" collapsed="false">
      <c r="A339" s="163" t="str">
        <f aca="false">IF(COUNTA(B339:G339)&gt;0,ROW()-3,"")</f>
        <v/>
      </c>
      <c r="B339" s="176"/>
      <c r="C339" s="14"/>
      <c r="D339" s="177"/>
      <c r="E339" s="178"/>
      <c r="F339" s="14"/>
      <c r="G339" s="177"/>
      <c r="H339" s="169" t="s">
        <v>1282</v>
      </c>
      <c r="I339" s="170"/>
      <c r="J339" s="170"/>
      <c r="K339" s="170"/>
    </row>
    <row r="340" customFormat="false" ht="15" hidden="false" customHeight="true" outlineLevel="0" collapsed="false">
      <c r="A340" s="163" t="str">
        <f aca="false">IF(COUNTA(B340:G340)&gt;0,ROW()-3,"")</f>
        <v/>
      </c>
      <c r="B340" s="176"/>
      <c r="C340" s="14"/>
      <c r="D340" s="177"/>
      <c r="E340" s="178"/>
      <c r="F340" s="14"/>
      <c r="G340" s="177"/>
      <c r="H340" s="169" t="s">
        <v>1282</v>
      </c>
      <c r="I340" s="170"/>
      <c r="J340" s="170"/>
      <c r="K340" s="170"/>
    </row>
    <row r="341" customFormat="false" ht="15" hidden="false" customHeight="true" outlineLevel="0" collapsed="false">
      <c r="A341" s="163" t="str">
        <f aca="false">IF(COUNTA(B341:G341)&gt;0,ROW()-3,"")</f>
        <v/>
      </c>
      <c r="B341" s="176"/>
      <c r="C341" s="14"/>
      <c r="D341" s="177"/>
      <c r="E341" s="178"/>
      <c r="F341" s="14"/>
      <c r="G341" s="177"/>
      <c r="H341" s="169" t="s">
        <v>1282</v>
      </c>
      <c r="I341" s="170"/>
      <c r="J341" s="170"/>
      <c r="K341" s="170"/>
    </row>
    <row r="342" customFormat="false" ht="15" hidden="false" customHeight="true" outlineLevel="0" collapsed="false">
      <c r="A342" s="163" t="str">
        <f aca="false">IF(COUNTA(B342:G342)&gt;0,ROW()-3,"")</f>
        <v/>
      </c>
      <c r="B342" s="176"/>
      <c r="C342" s="14"/>
      <c r="D342" s="177"/>
      <c r="E342" s="178"/>
      <c r="F342" s="14"/>
      <c r="G342" s="177"/>
      <c r="H342" s="169" t="s">
        <v>1282</v>
      </c>
      <c r="I342" s="170"/>
      <c r="J342" s="170"/>
      <c r="K342" s="170"/>
    </row>
    <row r="343" customFormat="false" ht="15" hidden="false" customHeight="true" outlineLevel="0" collapsed="false">
      <c r="A343" s="163" t="str">
        <f aca="false">IF(COUNTA(B343:G343)&gt;0,ROW()-3,"")</f>
        <v/>
      </c>
      <c r="B343" s="176"/>
      <c r="C343" s="14"/>
      <c r="D343" s="177"/>
      <c r="E343" s="178"/>
      <c r="F343" s="14"/>
      <c r="G343" s="177"/>
      <c r="H343" s="169" t="s">
        <v>1282</v>
      </c>
      <c r="I343" s="170"/>
      <c r="J343" s="170"/>
      <c r="K343" s="170"/>
    </row>
    <row r="344" customFormat="false" ht="15" hidden="false" customHeight="true" outlineLevel="0" collapsed="false">
      <c r="A344" s="163" t="str">
        <f aca="false">IF(COUNTA(B344:G344)&gt;0,ROW()-3,"")</f>
        <v/>
      </c>
      <c r="B344" s="176"/>
      <c r="C344" s="14"/>
      <c r="D344" s="177"/>
      <c r="E344" s="178"/>
      <c r="F344" s="14"/>
      <c r="G344" s="177"/>
      <c r="H344" s="169" t="s">
        <v>1282</v>
      </c>
      <c r="I344" s="170"/>
      <c r="J344" s="170"/>
      <c r="K344" s="170"/>
    </row>
    <row r="345" customFormat="false" ht="15" hidden="false" customHeight="true" outlineLevel="0" collapsed="false">
      <c r="A345" s="163" t="str">
        <f aca="false">IF(COUNTA(B345:G345)&gt;0,ROW()-3,"")</f>
        <v/>
      </c>
      <c r="B345" s="176"/>
      <c r="C345" s="14"/>
      <c r="D345" s="177"/>
      <c r="E345" s="178"/>
      <c r="F345" s="14"/>
      <c r="G345" s="177"/>
      <c r="H345" s="169" t="s">
        <v>1282</v>
      </c>
      <c r="I345" s="170"/>
      <c r="J345" s="170"/>
      <c r="K345" s="170"/>
    </row>
    <row r="346" customFormat="false" ht="15" hidden="false" customHeight="true" outlineLevel="0" collapsed="false">
      <c r="A346" s="163" t="str">
        <f aca="false">IF(COUNTA(B346:G346)&gt;0,ROW()-3,"")</f>
        <v/>
      </c>
      <c r="B346" s="176"/>
      <c r="C346" s="14"/>
      <c r="D346" s="177"/>
      <c r="E346" s="178"/>
      <c r="F346" s="14"/>
      <c r="G346" s="177"/>
      <c r="H346" s="169" t="s">
        <v>1282</v>
      </c>
      <c r="I346" s="170"/>
      <c r="J346" s="170"/>
      <c r="K346" s="170"/>
    </row>
    <row r="347" customFormat="false" ht="15" hidden="false" customHeight="true" outlineLevel="0" collapsed="false">
      <c r="A347" s="163" t="str">
        <f aca="false">IF(COUNTA(B347:G347)&gt;0,ROW()-3,"")</f>
        <v/>
      </c>
      <c r="B347" s="176"/>
      <c r="C347" s="14"/>
      <c r="D347" s="177"/>
      <c r="E347" s="178"/>
      <c r="F347" s="14"/>
      <c r="G347" s="177"/>
      <c r="H347" s="169" t="s">
        <v>1282</v>
      </c>
      <c r="I347" s="170"/>
      <c r="J347" s="170"/>
      <c r="K347" s="170"/>
    </row>
    <row r="348" customFormat="false" ht="15" hidden="false" customHeight="true" outlineLevel="0" collapsed="false">
      <c r="A348" s="163" t="str">
        <f aca="false">IF(COUNTA(B348:G348)&gt;0,ROW()-3,"")</f>
        <v/>
      </c>
      <c r="B348" s="176"/>
      <c r="C348" s="14"/>
      <c r="D348" s="177"/>
      <c r="E348" s="178"/>
      <c r="F348" s="14"/>
      <c r="G348" s="177"/>
      <c r="H348" s="169" t="s">
        <v>1282</v>
      </c>
      <c r="I348" s="170"/>
      <c r="J348" s="170"/>
      <c r="K348" s="170"/>
    </row>
    <row r="349" customFormat="false" ht="15" hidden="false" customHeight="true" outlineLevel="0" collapsed="false">
      <c r="A349" s="163" t="str">
        <f aca="false">IF(COUNTA(B349:G349)&gt;0,ROW()-3,"")</f>
        <v/>
      </c>
      <c r="B349" s="176"/>
      <c r="C349" s="14"/>
      <c r="D349" s="177"/>
      <c r="E349" s="178"/>
      <c r="F349" s="14"/>
      <c r="G349" s="177"/>
      <c r="H349" s="169" t="s">
        <v>1282</v>
      </c>
      <c r="I349" s="170"/>
      <c r="J349" s="170"/>
      <c r="K349" s="170"/>
    </row>
    <row r="350" customFormat="false" ht="15" hidden="false" customHeight="true" outlineLevel="0" collapsed="false">
      <c r="A350" s="163" t="str">
        <f aca="false">IF(COUNTA(B350:G350)&gt;0,ROW()-3,"")</f>
        <v/>
      </c>
      <c r="B350" s="176"/>
      <c r="C350" s="14"/>
      <c r="D350" s="177"/>
      <c r="E350" s="178"/>
      <c r="F350" s="14"/>
      <c r="G350" s="177"/>
      <c r="H350" s="169" t="s">
        <v>1282</v>
      </c>
      <c r="I350" s="170"/>
      <c r="J350" s="170"/>
      <c r="K350" s="170"/>
    </row>
    <row r="351" customFormat="false" ht="15" hidden="false" customHeight="true" outlineLevel="0" collapsed="false">
      <c r="A351" s="163" t="str">
        <f aca="false">IF(COUNTA(B351:G351)&gt;0,ROW()-3,"")</f>
        <v/>
      </c>
      <c r="B351" s="176"/>
      <c r="C351" s="14"/>
      <c r="D351" s="177"/>
      <c r="E351" s="178"/>
      <c r="F351" s="14"/>
      <c r="G351" s="177"/>
      <c r="H351" s="169" t="s">
        <v>1282</v>
      </c>
      <c r="I351" s="170"/>
      <c r="J351" s="170"/>
      <c r="K351" s="170"/>
    </row>
    <row r="352" customFormat="false" ht="15" hidden="false" customHeight="true" outlineLevel="0" collapsed="false">
      <c r="A352" s="163" t="str">
        <f aca="false">IF(COUNTA(B352:G352)&gt;0,ROW()-3,"")</f>
        <v/>
      </c>
      <c r="B352" s="176"/>
      <c r="C352" s="14"/>
      <c r="D352" s="177"/>
      <c r="E352" s="178"/>
      <c r="F352" s="14"/>
      <c r="G352" s="177"/>
      <c r="H352" s="169" t="s">
        <v>1282</v>
      </c>
      <c r="I352" s="170"/>
      <c r="J352" s="170"/>
      <c r="K352" s="170"/>
    </row>
    <row r="353" customFormat="false" ht="15" hidden="false" customHeight="true" outlineLevel="0" collapsed="false">
      <c r="A353" s="163" t="str">
        <f aca="false">IF(COUNTA(B353:G353)&gt;0,ROW()-3,"")</f>
        <v/>
      </c>
      <c r="B353" s="176"/>
      <c r="C353" s="14"/>
      <c r="D353" s="177"/>
      <c r="E353" s="178"/>
      <c r="F353" s="14"/>
      <c r="G353" s="177"/>
      <c r="H353" s="169" t="s">
        <v>1282</v>
      </c>
      <c r="I353" s="170"/>
      <c r="J353" s="170"/>
      <c r="K353" s="170"/>
    </row>
    <row r="354" customFormat="false" ht="15" hidden="false" customHeight="true" outlineLevel="0" collapsed="false">
      <c r="A354" s="163" t="str">
        <f aca="false">IF(COUNTA(B354:G354)&gt;0,ROW()-3,"")</f>
        <v/>
      </c>
      <c r="B354" s="176"/>
      <c r="C354" s="14"/>
      <c r="D354" s="177"/>
      <c r="E354" s="178"/>
      <c r="F354" s="14"/>
      <c r="G354" s="177"/>
      <c r="H354" s="169" t="s">
        <v>1282</v>
      </c>
      <c r="I354" s="170"/>
      <c r="J354" s="170"/>
      <c r="K354" s="170"/>
    </row>
    <row r="355" customFormat="false" ht="15" hidden="false" customHeight="true" outlineLevel="0" collapsed="false">
      <c r="A355" s="163" t="str">
        <f aca="false">IF(COUNTA(B355:G355)&gt;0,ROW()-3,"")</f>
        <v/>
      </c>
      <c r="B355" s="176"/>
      <c r="C355" s="14"/>
      <c r="D355" s="177"/>
      <c r="E355" s="178"/>
      <c r="F355" s="14"/>
      <c r="G355" s="177"/>
      <c r="H355" s="169" t="s">
        <v>1282</v>
      </c>
      <c r="I355" s="170"/>
      <c r="J355" s="170"/>
      <c r="K355" s="170"/>
    </row>
    <row r="356" customFormat="false" ht="15" hidden="false" customHeight="true" outlineLevel="0" collapsed="false">
      <c r="A356" s="163" t="str">
        <f aca="false">IF(COUNTA(B356:G356)&gt;0,ROW()-3,"")</f>
        <v/>
      </c>
      <c r="B356" s="176"/>
      <c r="C356" s="14"/>
      <c r="D356" s="177"/>
      <c r="E356" s="178"/>
      <c r="F356" s="14"/>
      <c r="G356" s="177"/>
      <c r="H356" s="169" t="s">
        <v>1282</v>
      </c>
      <c r="I356" s="170"/>
      <c r="J356" s="170"/>
      <c r="K356" s="170"/>
    </row>
    <row r="357" customFormat="false" ht="15" hidden="false" customHeight="true" outlineLevel="0" collapsed="false">
      <c r="A357" s="163" t="str">
        <f aca="false">IF(COUNTA(B357:G357)&gt;0,ROW()-3,"")</f>
        <v/>
      </c>
      <c r="B357" s="176"/>
      <c r="C357" s="14"/>
      <c r="D357" s="177"/>
      <c r="E357" s="178"/>
      <c r="F357" s="14"/>
      <c r="G357" s="177"/>
      <c r="H357" s="169" t="s">
        <v>1282</v>
      </c>
      <c r="I357" s="170"/>
      <c r="J357" s="170"/>
      <c r="K357" s="170"/>
    </row>
    <row r="358" customFormat="false" ht="15" hidden="false" customHeight="true" outlineLevel="0" collapsed="false">
      <c r="A358" s="163" t="str">
        <f aca="false">IF(COUNTA(B358:G358)&gt;0,ROW()-3,"")</f>
        <v/>
      </c>
      <c r="B358" s="176"/>
      <c r="C358" s="14"/>
      <c r="D358" s="177"/>
      <c r="E358" s="178"/>
      <c r="F358" s="14"/>
      <c r="G358" s="177"/>
      <c r="H358" s="169" t="s">
        <v>1282</v>
      </c>
      <c r="I358" s="170"/>
      <c r="J358" s="170"/>
      <c r="K358" s="170"/>
    </row>
    <row r="359" customFormat="false" ht="15" hidden="false" customHeight="true" outlineLevel="0" collapsed="false">
      <c r="A359" s="163" t="str">
        <f aca="false">IF(COUNTA(B359:G359)&gt;0,ROW()-3,"")</f>
        <v/>
      </c>
      <c r="B359" s="176"/>
      <c r="C359" s="14"/>
      <c r="D359" s="177"/>
      <c r="E359" s="178"/>
      <c r="F359" s="14"/>
      <c r="G359" s="177"/>
      <c r="H359" s="169" t="s">
        <v>1282</v>
      </c>
      <c r="I359" s="170"/>
      <c r="J359" s="170"/>
      <c r="K359" s="170"/>
    </row>
    <row r="360" customFormat="false" ht="15" hidden="false" customHeight="true" outlineLevel="0" collapsed="false">
      <c r="A360" s="163" t="str">
        <f aca="false">IF(COUNTA(B360:G360)&gt;0,ROW()-3,"")</f>
        <v/>
      </c>
      <c r="B360" s="176"/>
      <c r="C360" s="14"/>
      <c r="D360" s="177"/>
      <c r="E360" s="178"/>
      <c r="F360" s="14"/>
      <c r="G360" s="177"/>
      <c r="H360" s="169" t="s">
        <v>1282</v>
      </c>
      <c r="I360" s="170"/>
      <c r="J360" s="170"/>
      <c r="K360" s="170"/>
    </row>
    <row r="361" customFormat="false" ht="15" hidden="false" customHeight="true" outlineLevel="0" collapsed="false">
      <c r="A361" s="163" t="str">
        <f aca="false">IF(COUNTA(B361:G361)&gt;0,ROW()-3,"")</f>
        <v/>
      </c>
      <c r="B361" s="176"/>
      <c r="C361" s="14"/>
      <c r="D361" s="177"/>
      <c r="E361" s="178"/>
      <c r="F361" s="14"/>
      <c r="G361" s="177"/>
      <c r="H361" s="169" t="s">
        <v>1282</v>
      </c>
      <c r="I361" s="170"/>
      <c r="J361" s="170"/>
      <c r="K361" s="170"/>
    </row>
    <row r="362" customFormat="false" ht="15" hidden="false" customHeight="true" outlineLevel="0" collapsed="false">
      <c r="A362" s="163" t="str">
        <f aca="false">IF(COUNTA(B362:G362)&gt;0,ROW()-3,"")</f>
        <v/>
      </c>
      <c r="B362" s="176"/>
      <c r="C362" s="14"/>
      <c r="D362" s="177"/>
      <c r="E362" s="178"/>
      <c r="F362" s="14"/>
      <c r="G362" s="177"/>
      <c r="H362" s="169" t="s">
        <v>1282</v>
      </c>
      <c r="I362" s="170"/>
      <c r="J362" s="170"/>
      <c r="K362" s="170"/>
    </row>
    <row r="363" customFormat="false" ht="15" hidden="false" customHeight="true" outlineLevel="0" collapsed="false">
      <c r="A363" s="163" t="str">
        <f aca="false">IF(COUNTA(B363:G363)&gt;0,ROW()-3,"")</f>
        <v/>
      </c>
      <c r="B363" s="176"/>
      <c r="C363" s="14"/>
      <c r="D363" s="177"/>
      <c r="E363" s="178"/>
      <c r="F363" s="14"/>
      <c r="G363" s="177"/>
      <c r="H363" s="169" t="s">
        <v>1282</v>
      </c>
      <c r="I363" s="170"/>
      <c r="J363" s="170"/>
      <c r="K363" s="170"/>
    </row>
    <row r="364" customFormat="false" ht="15" hidden="false" customHeight="true" outlineLevel="0" collapsed="false">
      <c r="A364" s="163" t="str">
        <f aca="false">IF(COUNTA(B364:G364)&gt;0,ROW()-3,"")</f>
        <v/>
      </c>
      <c r="B364" s="176"/>
      <c r="C364" s="14"/>
      <c r="D364" s="177"/>
      <c r="E364" s="178"/>
      <c r="F364" s="14"/>
      <c r="G364" s="177"/>
      <c r="H364" s="169" t="s">
        <v>1282</v>
      </c>
      <c r="I364" s="170"/>
      <c r="J364" s="170"/>
      <c r="K364" s="170"/>
    </row>
    <row r="365" customFormat="false" ht="15" hidden="false" customHeight="true" outlineLevel="0" collapsed="false">
      <c r="A365" s="163" t="str">
        <f aca="false">IF(COUNTA(B365:G365)&gt;0,ROW()-3,"")</f>
        <v/>
      </c>
      <c r="B365" s="176"/>
      <c r="C365" s="14"/>
      <c r="D365" s="177"/>
      <c r="E365" s="178"/>
      <c r="F365" s="14"/>
      <c r="G365" s="177"/>
      <c r="H365" s="169" t="s">
        <v>1282</v>
      </c>
      <c r="I365" s="170"/>
      <c r="J365" s="170"/>
      <c r="K365" s="170"/>
    </row>
    <row r="366" customFormat="false" ht="15" hidden="false" customHeight="true" outlineLevel="0" collapsed="false">
      <c r="A366" s="163" t="str">
        <f aca="false">IF(COUNTA(B366:G366)&gt;0,ROW()-3,"")</f>
        <v/>
      </c>
      <c r="B366" s="176"/>
      <c r="C366" s="14"/>
      <c r="D366" s="177"/>
      <c r="E366" s="178"/>
      <c r="F366" s="14"/>
      <c r="G366" s="177"/>
      <c r="H366" s="169" t="s">
        <v>1282</v>
      </c>
      <c r="I366" s="170"/>
      <c r="J366" s="170"/>
      <c r="K366" s="170"/>
    </row>
    <row r="367" customFormat="false" ht="15" hidden="false" customHeight="true" outlineLevel="0" collapsed="false">
      <c r="A367" s="163" t="str">
        <f aca="false">IF(COUNTA(B367:G367)&gt;0,ROW()-3,"")</f>
        <v/>
      </c>
      <c r="B367" s="176"/>
      <c r="C367" s="14"/>
      <c r="D367" s="177"/>
      <c r="E367" s="178"/>
      <c r="F367" s="14"/>
      <c r="G367" s="177"/>
      <c r="H367" s="169" t="s">
        <v>1282</v>
      </c>
      <c r="I367" s="170"/>
      <c r="J367" s="170"/>
      <c r="K367" s="170"/>
    </row>
    <row r="368" customFormat="false" ht="15" hidden="false" customHeight="true" outlineLevel="0" collapsed="false">
      <c r="A368" s="163" t="str">
        <f aca="false">IF(COUNTA(B368:G368)&gt;0,ROW()-3,"")</f>
        <v/>
      </c>
      <c r="B368" s="176"/>
      <c r="C368" s="14"/>
      <c r="D368" s="177"/>
      <c r="E368" s="178"/>
      <c r="F368" s="14"/>
      <c r="G368" s="177"/>
      <c r="H368" s="169" t="s">
        <v>1282</v>
      </c>
      <c r="I368" s="170"/>
      <c r="J368" s="170"/>
      <c r="K368" s="170"/>
    </row>
    <row r="369" customFormat="false" ht="15" hidden="false" customHeight="true" outlineLevel="0" collapsed="false">
      <c r="A369" s="163" t="str">
        <f aca="false">IF(COUNTA(B369:G369)&gt;0,ROW()-3,"")</f>
        <v/>
      </c>
      <c r="B369" s="176"/>
      <c r="C369" s="14"/>
      <c r="D369" s="177"/>
      <c r="E369" s="178"/>
      <c r="F369" s="14"/>
      <c r="G369" s="177"/>
      <c r="H369" s="169" t="s">
        <v>1282</v>
      </c>
      <c r="I369" s="170"/>
      <c r="J369" s="170"/>
      <c r="K369" s="170"/>
    </row>
    <row r="370" customFormat="false" ht="15" hidden="false" customHeight="true" outlineLevel="0" collapsed="false">
      <c r="A370" s="163" t="str">
        <f aca="false">IF(COUNTA(B370:G370)&gt;0,ROW()-3,"")</f>
        <v/>
      </c>
      <c r="B370" s="176"/>
      <c r="C370" s="14"/>
      <c r="D370" s="177"/>
      <c r="E370" s="178"/>
      <c r="F370" s="14"/>
      <c r="G370" s="177"/>
      <c r="H370" s="169" t="s">
        <v>1282</v>
      </c>
      <c r="I370" s="170"/>
      <c r="J370" s="170"/>
      <c r="K370" s="170"/>
    </row>
    <row r="371" customFormat="false" ht="15" hidden="false" customHeight="true" outlineLevel="0" collapsed="false">
      <c r="A371" s="163" t="str">
        <f aca="false">IF(COUNTA(B371:G371)&gt;0,ROW()-3,"")</f>
        <v/>
      </c>
      <c r="B371" s="176"/>
      <c r="C371" s="14"/>
      <c r="D371" s="177"/>
      <c r="E371" s="178"/>
      <c r="F371" s="14"/>
      <c r="G371" s="177"/>
      <c r="H371" s="169" t="s">
        <v>1282</v>
      </c>
      <c r="I371" s="170"/>
      <c r="J371" s="170"/>
      <c r="K371" s="170"/>
    </row>
    <row r="372" customFormat="false" ht="15" hidden="false" customHeight="true" outlineLevel="0" collapsed="false">
      <c r="A372" s="163" t="str">
        <f aca="false">IF(COUNTA(B372:G372)&gt;0,ROW()-3,"")</f>
        <v/>
      </c>
      <c r="B372" s="176"/>
      <c r="C372" s="14"/>
      <c r="D372" s="177"/>
      <c r="E372" s="178"/>
      <c r="F372" s="14"/>
      <c r="G372" s="177"/>
      <c r="H372" s="169" t="s">
        <v>1282</v>
      </c>
      <c r="I372" s="170"/>
      <c r="J372" s="170"/>
      <c r="K372" s="170"/>
    </row>
    <row r="373" customFormat="false" ht="15" hidden="false" customHeight="true" outlineLevel="0" collapsed="false">
      <c r="A373" s="163" t="str">
        <f aca="false">IF(COUNTA(B373:G373)&gt;0,ROW()-3,"")</f>
        <v/>
      </c>
      <c r="B373" s="176"/>
      <c r="C373" s="14"/>
      <c r="D373" s="177"/>
      <c r="E373" s="178"/>
      <c r="F373" s="14"/>
      <c r="G373" s="177"/>
      <c r="H373" s="169" t="s">
        <v>1282</v>
      </c>
      <c r="I373" s="170"/>
      <c r="J373" s="170"/>
      <c r="K373" s="170"/>
    </row>
    <row r="374" customFormat="false" ht="15" hidden="false" customHeight="true" outlineLevel="0" collapsed="false">
      <c r="A374" s="163" t="str">
        <f aca="false">IF(COUNTA(B374:G374)&gt;0,ROW()-3,"")</f>
        <v/>
      </c>
      <c r="B374" s="176"/>
      <c r="C374" s="14"/>
      <c r="D374" s="177"/>
      <c r="E374" s="178"/>
      <c r="F374" s="14"/>
      <c r="G374" s="177"/>
      <c r="H374" s="169" t="s">
        <v>1282</v>
      </c>
      <c r="I374" s="170"/>
      <c r="J374" s="170"/>
      <c r="K374" s="170"/>
    </row>
    <row r="375" customFormat="false" ht="15" hidden="false" customHeight="true" outlineLevel="0" collapsed="false">
      <c r="A375" s="163" t="str">
        <f aca="false">IF(COUNTA(B375:G375)&gt;0,ROW()-3,"")</f>
        <v/>
      </c>
      <c r="B375" s="176"/>
      <c r="C375" s="14"/>
      <c r="D375" s="177"/>
      <c r="E375" s="178"/>
      <c r="F375" s="14"/>
      <c r="G375" s="177"/>
      <c r="H375" s="169" t="s">
        <v>1282</v>
      </c>
      <c r="I375" s="170"/>
      <c r="J375" s="170"/>
      <c r="K375" s="170"/>
    </row>
    <row r="376" customFormat="false" ht="15" hidden="false" customHeight="true" outlineLevel="0" collapsed="false">
      <c r="A376" s="163" t="str">
        <f aca="false">IF(COUNTA(B376:G376)&gt;0,ROW()-3,"")</f>
        <v/>
      </c>
      <c r="B376" s="176"/>
      <c r="C376" s="14"/>
      <c r="D376" s="177"/>
      <c r="E376" s="178"/>
      <c r="F376" s="14"/>
      <c r="G376" s="177"/>
      <c r="H376" s="169" t="s">
        <v>1282</v>
      </c>
      <c r="I376" s="170"/>
      <c r="J376" s="170"/>
      <c r="K376" s="170"/>
    </row>
    <row r="377" customFormat="false" ht="15" hidden="false" customHeight="true" outlineLevel="0" collapsed="false">
      <c r="A377" s="163" t="str">
        <f aca="false">IF(COUNTA(B377:G377)&gt;0,ROW()-3,"")</f>
        <v/>
      </c>
      <c r="B377" s="176"/>
      <c r="C377" s="14"/>
      <c r="D377" s="177"/>
      <c r="E377" s="178"/>
      <c r="F377" s="14"/>
      <c r="G377" s="177"/>
      <c r="H377" s="169" t="s">
        <v>1282</v>
      </c>
      <c r="I377" s="170"/>
      <c r="J377" s="170"/>
      <c r="K377" s="170"/>
    </row>
    <row r="378" customFormat="false" ht="15" hidden="false" customHeight="true" outlineLevel="0" collapsed="false">
      <c r="A378" s="163" t="str">
        <f aca="false">IF(COUNTA(B378:G378)&gt;0,ROW()-3,"")</f>
        <v/>
      </c>
      <c r="B378" s="176"/>
      <c r="C378" s="14"/>
      <c r="D378" s="177"/>
      <c r="E378" s="178"/>
      <c r="F378" s="14"/>
      <c r="G378" s="177"/>
      <c r="H378" s="169" t="s">
        <v>1282</v>
      </c>
      <c r="I378" s="170"/>
      <c r="J378" s="170"/>
      <c r="K378" s="170"/>
    </row>
    <row r="379" customFormat="false" ht="15" hidden="false" customHeight="true" outlineLevel="0" collapsed="false">
      <c r="A379" s="163" t="str">
        <f aca="false">IF(COUNTA(B379:G379)&gt;0,ROW()-3,"")</f>
        <v/>
      </c>
      <c r="B379" s="176"/>
      <c r="C379" s="14"/>
      <c r="D379" s="177"/>
      <c r="E379" s="178"/>
      <c r="F379" s="14"/>
      <c r="G379" s="177"/>
      <c r="H379" s="169" t="s">
        <v>1282</v>
      </c>
      <c r="I379" s="170"/>
      <c r="J379" s="170"/>
      <c r="K379" s="170"/>
    </row>
    <row r="380" customFormat="false" ht="15" hidden="false" customHeight="true" outlineLevel="0" collapsed="false">
      <c r="A380" s="163" t="str">
        <f aca="false">IF(COUNTA(B380:G380)&gt;0,ROW()-3,"")</f>
        <v/>
      </c>
      <c r="B380" s="176"/>
      <c r="C380" s="14"/>
      <c r="D380" s="177"/>
      <c r="E380" s="178"/>
      <c r="F380" s="14"/>
      <c r="G380" s="177"/>
      <c r="H380" s="169" t="s">
        <v>1282</v>
      </c>
      <c r="I380" s="170"/>
      <c r="J380" s="170"/>
      <c r="K380" s="170"/>
    </row>
    <row r="381" customFormat="false" ht="15" hidden="false" customHeight="true" outlineLevel="0" collapsed="false">
      <c r="A381" s="163" t="str">
        <f aca="false">IF(COUNTA(B381:G381)&gt;0,ROW()-3,"")</f>
        <v/>
      </c>
      <c r="B381" s="176"/>
      <c r="C381" s="14"/>
      <c r="D381" s="177"/>
      <c r="E381" s="178"/>
      <c r="F381" s="14"/>
      <c r="G381" s="177"/>
      <c r="H381" s="169" t="s">
        <v>1282</v>
      </c>
      <c r="I381" s="170"/>
      <c r="J381" s="170"/>
      <c r="K381" s="170"/>
    </row>
    <row r="382" customFormat="false" ht="15" hidden="false" customHeight="true" outlineLevel="0" collapsed="false">
      <c r="A382" s="163" t="str">
        <f aca="false">IF(COUNTA(B382:G382)&gt;0,ROW()-3,"")</f>
        <v/>
      </c>
      <c r="B382" s="176"/>
      <c r="C382" s="14"/>
      <c r="D382" s="177"/>
      <c r="E382" s="178"/>
      <c r="F382" s="14"/>
      <c r="G382" s="177"/>
      <c r="H382" s="169" t="s">
        <v>1282</v>
      </c>
      <c r="I382" s="170"/>
      <c r="J382" s="170"/>
      <c r="K382" s="170"/>
    </row>
    <row r="383" customFormat="false" ht="15" hidden="false" customHeight="true" outlineLevel="0" collapsed="false">
      <c r="A383" s="163" t="str">
        <f aca="false">IF(COUNTA(B383:G383)&gt;0,ROW()-3,"")</f>
        <v/>
      </c>
      <c r="B383" s="176"/>
      <c r="C383" s="14"/>
      <c r="D383" s="177"/>
      <c r="E383" s="178"/>
      <c r="F383" s="14"/>
      <c r="G383" s="177"/>
      <c r="H383" s="169" t="s">
        <v>1282</v>
      </c>
      <c r="I383" s="170"/>
      <c r="J383" s="170"/>
      <c r="K383" s="170"/>
    </row>
    <row r="384" customFormat="false" ht="15" hidden="false" customHeight="true" outlineLevel="0" collapsed="false">
      <c r="A384" s="163" t="str">
        <f aca="false">IF(COUNTA(B384:G384)&gt;0,ROW()-3,"")</f>
        <v/>
      </c>
      <c r="B384" s="176"/>
      <c r="C384" s="14"/>
      <c r="D384" s="177"/>
      <c r="E384" s="178"/>
      <c r="F384" s="14"/>
      <c r="G384" s="177"/>
      <c r="H384" s="169" t="s">
        <v>1282</v>
      </c>
      <c r="I384" s="170"/>
      <c r="J384" s="170"/>
      <c r="K384" s="170"/>
    </row>
    <row r="385" customFormat="false" ht="15" hidden="false" customHeight="true" outlineLevel="0" collapsed="false">
      <c r="A385" s="163" t="str">
        <f aca="false">IF(COUNTA(B385:G385)&gt;0,ROW()-3,"")</f>
        <v/>
      </c>
      <c r="B385" s="176"/>
      <c r="C385" s="14"/>
      <c r="D385" s="177"/>
      <c r="E385" s="178"/>
      <c r="F385" s="14"/>
      <c r="G385" s="177"/>
      <c r="H385" s="169" t="s">
        <v>1282</v>
      </c>
      <c r="I385" s="170"/>
      <c r="J385" s="170"/>
      <c r="K385" s="170"/>
    </row>
    <row r="386" customFormat="false" ht="15" hidden="false" customHeight="true" outlineLevel="0" collapsed="false">
      <c r="A386" s="163" t="str">
        <f aca="false">IF(COUNTA(B386:G386)&gt;0,ROW()-3,"")</f>
        <v/>
      </c>
      <c r="B386" s="176"/>
      <c r="C386" s="14"/>
      <c r="D386" s="177"/>
      <c r="E386" s="178"/>
      <c r="F386" s="14"/>
      <c r="G386" s="177"/>
      <c r="H386" s="169" t="s">
        <v>1282</v>
      </c>
      <c r="I386" s="170"/>
      <c r="J386" s="170"/>
      <c r="K386" s="170"/>
    </row>
    <row r="387" customFormat="false" ht="15" hidden="false" customHeight="true" outlineLevel="0" collapsed="false">
      <c r="A387" s="163" t="str">
        <f aca="false">IF(COUNTA(B387:G387)&gt;0,ROW()-3,"")</f>
        <v/>
      </c>
      <c r="B387" s="176"/>
      <c r="C387" s="14"/>
      <c r="D387" s="177"/>
      <c r="E387" s="178"/>
      <c r="F387" s="14"/>
      <c r="G387" s="177"/>
      <c r="H387" s="169" t="s">
        <v>1282</v>
      </c>
      <c r="I387" s="170"/>
      <c r="J387" s="170"/>
      <c r="K387" s="170"/>
    </row>
    <row r="388" customFormat="false" ht="15" hidden="false" customHeight="true" outlineLevel="0" collapsed="false">
      <c r="A388" s="163" t="str">
        <f aca="false">IF(COUNTA(B388:G388)&gt;0,ROW()-3,"")</f>
        <v/>
      </c>
      <c r="B388" s="176"/>
      <c r="C388" s="14"/>
      <c r="D388" s="177"/>
      <c r="E388" s="178"/>
      <c r="F388" s="14"/>
      <c r="G388" s="177"/>
      <c r="H388" s="169" t="s">
        <v>1282</v>
      </c>
      <c r="I388" s="170"/>
      <c r="J388" s="170"/>
      <c r="K388" s="170"/>
    </row>
    <row r="389" customFormat="false" ht="15" hidden="false" customHeight="true" outlineLevel="0" collapsed="false">
      <c r="A389" s="163" t="str">
        <f aca="false">IF(COUNTA(B389:G389)&gt;0,ROW()-3,"")</f>
        <v/>
      </c>
      <c r="B389" s="176"/>
      <c r="C389" s="14"/>
      <c r="D389" s="177"/>
      <c r="E389" s="178"/>
      <c r="F389" s="14"/>
      <c r="G389" s="177"/>
      <c r="H389" s="169" t="s">
        <v>1282</v>
      </c>
      <c r="I389" s="170"/>
      <c r="J389" s="170"/>
      <c r="K389" s="170"/>
    </row>
    <row r="390" customFormat="false" ht="15" hidden="false" customHeight="true" outlineLevel="0" collapsed="false">
      <c r="A390" s="163" t="str">
        <f aca="false">IF(COUNTA(B390:G390)&gt;0,ROW()-3,"")</f>
        <v/>
      </c>
      <c r="B390" s="176"/>
      <c r="C390" s="14"/>
      <c r="D390" s="177"/>
      <c r="E390" s="178"/>
      <c r="F390" s="14"/>
      <c r="G390" s="177"/>
      <c r="H390" s="169" t="s">
        <v>1282</v>
      </c>
      <c r="I390" s="170"/>
      <c r="J390" s="170"/>
      <c r="K390" s="170"/>
    </row>
    <row r="391" customFormat="false" ht="15" hidden="false" customHeight="true" outlineLevel="0" collapsed="false">
      <c r="A391" s="163" t="str">
        <f aca="false">IF(COUNTA(B391:G391)&gt;0,ROW()-3,"")</f>
        <v/>
      </c>
      <c r="B391" s="176"/>
      <c r="C391" s="14"/>
      <c r="D391" s="177"/>
      <c r="E391" s="178"/>
      <c r="F391" s="14"/>
      <c r="G391" s="177"/>
      <c r="H391" s="169" t="s">
        <v>1282</v>
      </c>
      <c r="I391" s="170"/>
      <c r="J391" s="170"/>
      <c r="K391" s="170"/>
    </row>
    <row r="392" customFormat="false" ht="15" hidden="false" customHeight="true" outlineLevel="0" collapsed="false">
      <c r="A392" s="163" t="str">
        <f aca="false">IF(COUNTA(B392:G392)&gt;0,ROW()-3,"")</f>
        <v/>
      </c>
      <c r="B392" s="176"/>
      <c r="C392" s="14"/>
      <c r="D392" s="177"/>
      <c r="E392" s="178"/>
      <c r="F392" s="14"/>
      <c r="G392" s="177"/>
      <c r="H392" s="169" t="s">
        <v>1282</v>
      </c>
      <c r="I392" s="170"/>
      <c r="J392" s="170"/>
      <c r="K392" s="170"/>
    </row>
    <row r="393" customFormat="false" ht="15" hidden="false" customHeight="true" outlineLevel="0" collapsed="false">
      <c r="A393" s="163" t="str">
        <f aca="false">IF(COUNTA(B393:G393)&gt;0,ROW()-3,"")</f>
        <v/>
      </c>
      <c r="B393" s="176"/>
      <c r="C393" s="14"/>
      <c r="D393" s="177"/>
      <c r="E393" s="178"/>
      <c r="F393" s="14"/>
      <c r="G393" s="177"/>
      <c r="H393" s="169" t="s">
        <v>1282</v>
      </c>
      <c r="I393" s="170"/>
      <c r="J393" s="170"/>
      <c r="K393" s="170"/>
    </row>
    <row r="394" customFormat="false" ht="15" hidden="false" customHeight="true" outlineLevel="0" collapsed="false">
      <c r="A394" s="163" t="str">
        <f aca="false">IF(COUNTA(B394:G394)&gt;0,ROW()-3,"")</f>
        <v/>
      </c>
      <c r="B394" s="176"/>
      <c r="C394" s="14"/>
      <c r="D394" s="177"/>
      <c r="E394" s="178"/>
      <c r="F394" s="14"/>
      <c r="G394" s="177"/>
      <c r="H394" s="169" t="s">
        <v>1282</v>
      </c>
      <c r="I394" s="170"/>
      <c r="J394" s="170"/>
      <c r="K394" s="170"/>
    </row>
    <row r="395" customFormat="false" ht="15" hidden="false" customHeight="true" outlineLevel="0" collapsed="false">
      <c r="A395" s="163" t="str">
        <f aca="false">IF(COUNTA(B395:G395)&gt;0,ROW()-3,"")</f>
        <v/>
      </c>
      <c r="B395" s="176"/>
      <c r="C395" s="14"/>
      <c r="D395" s="177"/>
      <c r="E395" s="178"/>
      <c r="F395" s="14"/>
      <c r="G395" s="177"/>
      <c r="H395" s="169" t="s">
        <v>1282</v>
      </c>
      <c r="I395" s="170"/>
      <c r="J395" s="170"/>
      <c r="K395" s="170"/>
    </row>
    <row r="396" customFormat="false" ht="15" hidden="false" customHeight="true" outlineLevel="0" collapsed="false">
      <c r="A396" s="163" t="str">
        <f aca="false">IF(COUNTA(B396:G396)&gt;0,ROW()-3,"")</f>
        <v/>
      </c>
      <c r="B396" s="176"/>
      <c r="C396" s="14"/>
      <c r="D396" s="177"/>
      <c r="E396" s="178"/>
      <c r="F396" s="14"/>
      <c r="G396" s="177"/>
      <c r="H396" s="169" t="s">
        <v>1282</v>
      </c>
      <c r="I396" s="170"/>
      <c r="J396" s="170"/>
      <c r="K396" s="170"/>
    </row>
    <row r="397" customFormat="false" ht="15" hidden="false" customHeight="true" outlineLevel="0" collapsed="false">
      <c r="A397" s="163" t="str">
        <f aca="false">IF(COUNTA(B397:G397)&gt;0,ROW()-3,"")</f>
        <v/>
      </c>
      <c r="B397" s="176"/>
      <c r="C397" s="14"/>
      <c r="D397" s="177"/>
      <c r="E397" s="178"/>
      <c r="F397" s="14"/>
      <c r="G397" s="177"/>
      <c r="H397" s="169" t="s">
        <v>1282</v>
      </c>
      <c r="I397" s="170"/>
      <c r="J397" s="170"/>
      <c r="K397" s="170"/>
    </row>
    <row r="398" customFormat="false" ht="15" hidden="false" customHeight="true" outlineLevel="0" collapsed="false">
      <c r="A398" s="163" t="str">
        <f aca="false">IF(COUNTA(B398:G398)&gt;0,ROW()-3,"")</f>
        <v/>
      </c>
      <c r="B398" s="176"/>
      <c r="C398" s="14"/>
      <c r="D398" s="177"/>
      <c r="E398" s="178"/>
      <c r="F398" s="14"/>
      <c r="G398" s="177"/>
      <c r="H398" s="169" t="s">
        <v>1282</v>
      </c>
      <c r="I398" s="170"/>
      <c r="J398" s="170"/>
      <c r="K398" s="170"/>
    </row>
    <row r="399" customFormat="false" ht="15" hidden="false" customHeight="true" outlineLevel="0" collapsed="false">
      <c r="A399" s="163" t="str">
        <f aca="false">IF(COUNTA(B399:G399)&gt;0,ROW()-3,"")</f>
        <v/>
      </c>
      <c r="B399" s="176"/>
      <c r="C399" s="14"/>
      <c r="D399" s="177"/>
      <c r="E399" s="178"/>
      <c r="F399" s="14"/>
      <c r="G399" s="177"/>
      <c r="H399" s="169" t="s">
        <v>1282</v>
      </c>
      <c r="I399" s="170"/>
      <c r="J399" s="170"/>
      <c r="K399" s="170"/>
    </row>
    <row r="400" customFormat="false" ht="15" hidden="false" customHeight="true" outlineLevel="0" collapsed="false">
      <c r="A400" s="163" t="str">
        <f aca="false">IF(COUNTA(B400:G400)&gt;0,ROW()-3,"")</f>
        <v/>
      </c>
      <c r="B400" s="176"/>
      <c r="C400" s="14"/>
      <c r="D400" s="177"/>
      <c r="E400" s="178"/>
      <c r="F400" s="14"/>
      <c r="G400" s="177"/>
      <c r="H400" s="169" t="s">
        <v>1282</v>
      </c>
      <c r="I400" s="170"/>
      <c r="J400" s="170"/>
      <c r="K400" s="170"/>
    </row>
    <row r="401" customFormat="false" ht="15" hidden="false" customHeight="true" outlineLevel="0" collapsed="false">
      <c r="A401" s="163" t="str">
        <f aca="false">IF(COUNTA(B401:G401)&gt;0,ROW()-3,"")</f>
        <v/>
      </c>
      <c r="B401" s="176"/>
      <c r="C401" s="14"/>
      <c r="D401" s="177"/>
      <c r="E401" s="178"/>
      <c r="F401" s="14"/>
      <c r="G401" s="177"/>
      <c r="H401" s="169" t="s">
        <v>1282</v>
      </c>
      <c r="I401" s="170"/>
      <c r="J401" s="170"/>
      <c r="K401" s="170"/>
    </row>
    <row r="402" customFormat="false" ht="15" hidden="false" customHeight="true" outlineLevel="0" collapsed="false">
      <c r="A402" s="163" t="str">
        <f aca="false">IF(COUNTA(B402:G402)&gt;0,ROW()-3,"")</f>
        <v/>
      </c>
      <c r="B402" s="176"/>
      <c r="C402" s="14"/>
      <c r="D402" s="177"/>
      <c r="E402" s="178"/>
      <c r="F402" s="14"/>
      <c r="G402" s="177"/>
      <c r="H402" s="169" t="s">
        <v>1282</v>
      </c>
      <c r="I402" s="170"/>
      <c r="J402" s="170"/>
      <c r="K402" s="170"/>
    </row>
    <row r="403" customFormat="false" ht="15" hidden="false" customHeight="true" outlineLevel="0" collapsed="false">
      <c r="A403" s="163" t="str">
        <f aca="false">IF(COUNTA(B403:G403)&gt;0,ROW()-3,"")</f>
        <v/>
      </c>
      <c r="B403" s="176"/>
      <c r="C403" s="14"/>
      <c r="D403" s="177"/>
      <c r="E403" s="178"/>
      <c r="F403" s="14"/>
      <c r="G403" s="177"/>
      <c r="H403" s="169" t="s">
        <v>1282</v>
      </c>
      <c r="I403" s="170"/>
      <c r="J403" s="170"/>
      <c r="K403" s="170"/>
    </row>
    <row r="404" customFormat="false" ht="15" hidden="false" customHeight="true" outlineLevel="0" collapsed="false">
      <c r="A404" s="163" t="str">
        <f aca="false">IF(COUNTA(B404:G404)&gt;0,ROW()-3,"")</f>
        <v/>
      </c>
      <c r="B404" s="176"/>
      <c r="C404" s="14"/>
      <c r="D404" s="177"/>
      <c r="E404" s="178"/>
      <c r="F404" s="14"/>
      <c r="G404" s="177"/>
      <c r="H404" s="169" t="s">
        <v>1282</v>
      </c>
      <c r="I404" s="170"/>
      <c r="J404" s="170"/>
      <c r="K404" s="170"/>
    </row>
    <row r="405" customFormat="false" ht="15" hidden="false" customHeight="true" outlineLevel="0" collapsed="false">
      <c r="A405" s="163" t="str">
        <f aca="false">IF(COUNTA(B405:G405)&gt;0,ROW()-3,"")</f>
        <v/>
      </c>
      <c r="B405" s="176"/>
      <c r="C405" s="14"/>
      <c r="D405" s="177"/>
      <c r="E405" s="178"/>
      <c r="F405" s="14"/>
      <c r="G405" s="177"/>
      <c r="H405" s="169" t="s">
        <v>1282</v>
      </c>
      <c r="I405" s="170"/>
      <c r="J405" s="170"/>
      <c r="K405" s="170"/>
    </row>
    <row r="406" customFormat="false" ht="15" hidden="false" customHeight="true" outlineLevel="0" collapsed="false">
      <c r="A406" s="163" t="str">
        <f aca="false">IF(COUNTA(B406:G406)&gt;0,ROW()-3,"")</f>
        <v/>
      </c>
      <c r="B406" s="176"/>
      <c r="C406" s="14"/>
      <c r="D406" s="177"/>
      <c r="E406" s="178"/>
      <c r="F406" s="14"/>
      <c r="G406" s="177"/>
      <c r="H406" s="169" t="s">
        <v>1282</v>
      </c>
      <c r="I406" s="170"/>
      <c r="J406" s="170"/>
      <c r="K406" s="170"/>
    </row>
    <row r="407" customFormat="false" ht="15" hidden="false" customHeight="true" outlineLevel="0" collapsed="false">
      <c r="A407" s="163" t="str">
        <f aca="false">IF(COUNTA(B407:G407)&gt;0,ROW()-3,"")</f>
        <v/>
      </c>
      <c r="B407" s="176"/>
      <c r="C407" s="14"/>
      <c r="D407" s="177"/>
      <c r="E407" s="178"/>
      <c r="F407" s="14"/>
      <c r="G407" s="177"/>
      <c r="H407" s="169" t="s">
        <v>1282</v>
      </c>
      <c r="I407" s="170"/>
      <c r="J407" s="170"/>
      <c r="K407" s="170"/>
    </row>
    <row r="408" customFormat="false" ht="15" hidden="false" customHeight="true" outlineLevel="0" collapsed="false">
      <c r="A408" s="163" t="str">
        <f aca="false">IF(COUNTA(B408:G408)&gt;0,ROW()-3,"")</f>
        <v/>
      </c>
      <c r="B408" s="176"/>
      <c r="C408" s="14"/>
      <c r="D408" s="177"/>
      <c r="E408" s="178"/>
      <c r="F408" s="14"/>
      <c r="G408" s="177"/>
      <c r="H408" s="169" t="s">
        <v>1282</v>
      </c>
      <c r="I408" s="170"/>
      <c r="J408" s="170"/>
      <c r="K408" s="170"/>
    </row>
    <row r="409" customFormat="false" ht="15" hidden="false" customHeight="true" outlineLevel="0" collapsed="false">
      <c r="A409" s="163" t="str">
        <f aca="false">IF(COUNTA(B409:G409)&gt;0,ROW()-3,"")</f>
        <v/>
      </c>
      <c r="B409" s="176"/>
      <c r="C409" s="14"/>
      <c r="D409" s="177"/>
      <c r="E409" s="178"/>
      <c r="F409" s="14"/>
      <c r="G409" s="177"/>
      <c r="H409" s="169" t="s">
        <v>1282</v>
      </c>
      <c r="I409" s="170"/>
      <c r="J409" s="170"/>
      <c r="K409" s="170"/>
    </row>
    <row r="410" customFormat="false" ht="15" hidden="false" customHeight="true" outlineLevel="0" collapsed="false">
      <c r="A410" s="163" t="str">
        <f aca="false">IF(COUNTA(B410:G410)&gt;0,ROW()-3,"")</f>
        <v/>
      </c>
      <c r="B410" s="176"/>
      <c r="C410" s="14"/>
      <c r="D410" s="177"/>
      <c r="E410" s="178"/>
      <c r="F410" s="14"/>
      <c r="G410" s="177"/>
      <c r="H410" s="169" t="s">
        <v>1282</v>
      </c>
      <c r="I410" s="170"/>
      <c r="J410" s="170"/>
      <c r="K410" s="170"/>
    </row>
    <row r="411" customFormat="false" ht="15" hidden="false" customHeight="true" outlineLevel="0" collapsed="false">
      <c r="A411" s="163" t="str">
        <f aca="false">IF(COUNTA(B411:G411)&gt;0,ROW()-3,"")</f>
        <v/>
      </c>
      <c r="B411" s="176"/>
      <c r="C411" s="14"/>
      <c r="D411" s="177"/>
      <c r="E411" s="178"/>
      <c r="F411" s="14"/>
      <c r="G411" s="177"/>
      <c r="H411" s="169" t="s">
        <v>1282</v>
      </c>
      <c r="I411" s="170"/>
      <c r="J411" s="170"/>
      <c r="K411" s="170"/>
    </row>
    <row r="412" customFormat="false" ht="15" hidden="false" customHeight="true" outlineLevel="0" collapsed="false">
      <c r="A412" s="163" t="str">
        <f aca="false">IF(COUNTA(B412:G412)&gt;0,ROW()-3,"")</f>
        <v/>
      </c>
      <c r="B412" s="176"/>
      <c r="C412" s="14"/>
      <c r="D412" s="177"/>
      <c r="E412" s="178"/>
      <c r="F412" s="14"/>
      <c r="G412" s="177"/>
      <c r="H412" s="169" t="s">
        <v>1282</v>
      </c>
      <c r="I412" s="170"/>
      <c r="J412" s="170"/>
      <c r="K412" s="170"/>
    </row>
    <row r="413" customFormat="false" ht="15" hidden="false" customHeight="true" outlineLevel="0" collapsed="false">
      <c r="A413" s="163" t="str">
        <f aca="false">IF(COUNTA(B413:G413)&gt;0,ROW()-3,"")</f>
        <v/>
      </c>
      <c r="B413" s="176"/>
      <c r="C413" s="14"/>
      <c r="D413" s="177"/>
      <c r="E413" s="178"/>
      <c r="F413" s="14"/>
      <c r="G413" s="177"/>
      <c r="H413" s="169" t="s">
        <v>1282</v>
      </c>
      <c r="I413" s="170"/>
      <c r="J413" s="170"/>
      <c r="K413" s="170"/>
    </row>
    <row r="414" customFormat="false" ht="15" hidden="false" customHeight="true" outlineLevel="0" collapsed="false">
      <c r="A414" s="163" t="str">
        <f aca="false">IF(COUNTA(B414:G414)&gt;0,ROW()-3,"")</f>
        <v/>
      </c>
      <c r="B414" s="176"/>
      <c r="C414" s="14"/>
      <c r="D414" s="177"/>
      <c r="E414" s="178"/>
      <c r="F414" s="14"/>
      <c r="G414" s="177"/>
      <c r="H414" s="169" t="s">
        <v>1282</v>
      </c>
      <c r="I414" s="170"/>
      <c r="J414" s="170"/>
      <c r="K414" s="170"/>
    </row>
    <row r="415" customFormat="false" ht="15" hidden="false" customHeight="true" outlineLevel="0" collapsed="false">
      <c r="A415" s="163" t="str">
        <f aca="false">IF(COUNTA(B415:G415)&gt;0,ROW()-3,"")</f>
        <v/>
      </c>
      <c r="B415" s="176"/>
      <c r="C415" s="14"/>
      <c r="D415" s="177"/>
      <c r="E415" s="178"/>
      <c r="F415" s="14"/>
      <c r="G415" s="177"/>
      <c r="H415" s="169" t="s">
        <v>1282</v>
      </c>
      <c r="I415" s="170"/>
      <c r="J415" s="170"/>
      <c r="K415" s="170"/>
    </row>
    <row r="416" customFormat="false" ht="15" hidden="false" customHeight="true" outlineLevel="0" collapsed="false">
      <c r="A416" s="163" t="str">
        <f aca="false">IF(COUNTA(B416:G416)&gt;0,ROW()-3,"")</f>
        <v/>
      </c>
      <c r="B416" s="176"/>
      <c r="C416" s="14"/>
      <c r="D416" s="177"/>
      <c r="E416" s="178"/>
      <c r="F416" s="14"/>
      <c r="G416" s="177"/>
      <c r="H416" s="169" t="s">
        <v>1282</v>
      </c>
      <c r="I416" s="170"/>
      <c r="J416" s="170"/>
      <c r="K416" s="170"/>
    </row>
    <row r="417" customFormat="false" ht="15" hidden="false" customHeight="true" outlineLevel="0" collapsed="false">
      <c r="A417" s="163" t="str">
        <f aca="false">IF(COUNTA(B417:G417)&gt;0,ROW()-3,"")</f>
        <v/>
      </c>
      <c r="B417" s="176"/>
      <c r="C417" s="14"/>
      <c r="D417" s="177"/>
      <c r="E417" s="178"/>
      <c r="F417" s="14"/>
      <c r="G417" s="177"/>
      <c r="H417" s="169" t="s">
        <v>1282</v>
      </c>
      <c r="I417" s="170"/>
      <c r="J417" s="170"/>
      <c r="K417" s="170"/>
    </row>
    <row r="418" customFormat="false" ht="15" hidden="false" customHeight="true" outlineLevel="0" collapsed="false">
      <c r="A418" s="163" t="str">
        <f aca="false">IF(COUNTA(B418:G418)&gt;0,ROW()-3,"")</f>
        <v/>
      </c>
      <c r="B418" s="176"/>
      <c r="C418" s="14"/>
      <c r="D418" s="177"/>
      <c r="E418" s="178"/>
      <c r="F418" s="14"/>
      <c r="G418" s="177"/>
      <c r="H418" s="169" t="s">
        <v>1282</v>
      </c>
      <c r="I418" s="170"/>
      <c r="J418" s="170"/>
      <c r="K418" s="170"/>
    </row>
    <row r="419" customFormat="false" ht="15" hidden="false" customHeight="true" outlineLevel="0" collapsed="false">
      <c r="A419" s="163" t="str">
        <f aca="false">IF(COUNTA(B419:G419)&gt;0,ROW()-3,"")</f>
        <v/>
      </c>
      <c r="B419" s="176"/>
      <c r="C419" s="14"/>
      <c r="D419" s="177"/>
      <c r="E419" s="178"/>
      <c r="F419" s="14"/>
      <c r="G419" s="177"/>
      <c r="H419" s="169" t="s">
        <v>1282</v>
      </c>
      <c r="I419" s="170"/>
      <c r="J419" s="170"/>
      <c r="K419" s="170"/>
    </row>
    <row r="420" customFormat="false" ht="15" hidden="false" customHeight="true" outlineLevel="0" collapsed="false">
      <c r="A420" s="163" t="str">
        <f aca="false">IF(COUNTA(B420:G420)&gt;0,ROW()-3,"")</f>
        <v/>
      </c>
      <c r="B420" s="176"/>
      <c r="C420" s="14"/>
      <c r="D420" s="177"/>
      <c r="E420" s="178"/>
      <c r="F420" s="14"/>
      <c r="G420" s="177"/>
      <c r="H420" s="169" t="s">
        <v>1282</v>
      </c>
      <c r="I420" s="170"/>
      <c r="J420" s="170"/>
      <c r="K420" s="170"/>
    </row>
    <row r="421" customFormat="false" ht="15" hidden="false" customHeight="true" outlineLevel="0" collapsed="false">
      <c r="A421" s="163" t="str">
        <f aca="false">IF(COUNTA(B421:G421)&gt;0,ROW()-3,"")</f>
        <v/>
      </c>
      <c r="B421" s="176"/>
      <c r="C421" s="14"/>
      <c r="D421" s="177"/>
      <c r="E421" s="178"/>
      <c r="F421" s="14"/>
      <c r="G421" s="177"/>
      <c r="H421" s="169" t="s">
        <v>1282</v>
      </c>
      <c r="I421" s="170"/>
      <c r="J421" s="170"/>
      <c r="K421" s="170"/>
    </row>
    <row r="422" customFormat="false" ht="15" hidden="false" customHeight="true" outlineLevel="0" collapsed="false">
      <c r="A422" s="163" t="str">
        <f aca="false">IF(COUNTA(B422:G422)&gt;0,ROW()-3,"")</f>
        <v/>
      </c>
      <c r="B422" s="176"/>
      <c r="C422" s="14"/>
      <c r="D422" s="177"/>
      <c r="E422" s="178"/>
      <c r="F422" s="14"/>
      <c r="G422" s="177"/>
      <c r="H422" s="169" t="s">
        <v>1282</v>
      </c>
      <c r="I422" s="170"/>
      <c r="J422" s="170"/>
      <c r="K422" s="170"/>
    </row>
    <row r="423" customFormat="false" ht="15" hidden="false" customHeight="true" outlineLevel="0" collapsed="false">
      <c r="A423" s="163" t="str">
        <f aca="false">IF(COUNTA(B423:G423)&gt;0,ROW()-3,"")</f>
        <v/>
      </c>
      <c r="B423" s="176"/>
      <c r="C423" s="14"/>
      <c r="D423" s="177"/>
      <c r="E423" s="178"/>
      <c r="F423" s="14"/>
      <c r="G423" s="177"/>
      <c r="H423" s="169" t="s">
        <v>1282</v>
      </c>
      <c r="I423" s="170"/>
      <c r="J423" s="170"/>
      <c r="K423" s="170"/>
    </row>
    <row r="424" customFormat="false" ht="15" hidden="false" customHeight="true" outlineLevel="0" collapsed="false">
      <c r="A424" s="163" t="str">
        <f aca="false">IF(COUNTA(B424:G424)&gt;0,ROW()-3,"")</f>
        <v/>
      </c>
      <c r="B424" s="176"/>
      <c r="C424" s="14"/>
      <c r="D424" s="177"/>
      <c r="E424" s="178"/>
      <c r="F424" s="14"/>
      <c r="G424" s="177"/>
      <c r="H424" s="169" t="s">
        <v>1282</v>
      </c>
      <c r="I424" s="170"/>
      <c r="J424" s="170"/>
      <c r="K424" s="170"/>
    </row>
    <row r="425" customFormat="false" ht="15" hidden="false" customHeight="true" outlineLevel="0" collapsed="false">
      <c r="A425" s="163" t="str">
        <f aca="false">IF(COUNTA(B425:G425)&gt;0,ROW()-3,"")</f>
        <v/>
      </c>
      <c r="B425" s="176"/>
      <c r="C425" s="14"/>
      <c r="D425" s="177"/>
      <c r="E425" s="178"/>
      <c r="F425" s="14"/>
      <c r="G425" s="177"/>
      <c r="H425" s="169" t="s">
        <v>1282</v>
      </c>
      <c r="I425" s="170"/>
      <c r="J425" s="170"/>
      <c r="K425" s="170"/>
    </row>
    <row r="426" customFormat="false" ht="15" hidden="false" customHeight="true" outlineLevel="0" collapsed="false">
      <c r="A426" s="163" t="str">
        <f aca="false">IF(COUNTA(B426:G426)&gt;0,ROW()-3,"")</f>
        <v/>
      </c>
      <c r="B426" s="176"/>
      <c r="C426" s="14"/>
      <c r="D426" s="177"/>
      <c r="E426" s="178"/>
      <c r="F426" s="14"/>
      <c r="G426" s="177"/>
      <c r="H426" s="169" t="s">
        <v>1282</v>
      </c>
      <c r="I426" s="170"/>
      <c r="J426" s="170"/>
      <c r="K426" s="170"/>
    </row>
    <row r="427" customFormat="false" ht="15" hidden="false" customHeight="true" outlineLevel="0" collapsed="false">
      <c r="A427" s="163" t="str">
        <f aca="false">IF(COUNTA(B427:G427)&gt;0,ROW()-3,"")</f>
        <v/>
      </c>
      <c r="B427" s="176"/>
      <c r="C427" s="14"/>
      <c r="D427" s="177"/>
      <c r="E427" s="178"/>
      <c r="F427" s="14"/>
      <c r="G427" s="177"/>
      <c r="H427" s="169" t="s">
        <v>1282</v>
      </c>
      <c r="I427" s="170"/>
      <c r="J427" s="170"/>
      <c r="K427" s="170"/>
    </row>
    <row r="428" customFormat="false" ht="15" hidden="false" customHeight="true" outlineLevel="0" collapsed="false">
      <c r="A428" s="163" t="str">
        <f aca="false">IF(COUNTA(B428:G428)&gt;0,ROW()-3,"")</f>
        <v/>
      </c>
      <c r="B428" s="176"/>
      <c r="C428" s="14"/>
      <c r="D428" s="177"/>
      <c r="E428" s="178"/>
      <c r="F428" s="14"/>
      <c r="G428" s="177"/>
      <c r="H428" s="169" t="s">
        <v>1282</v>
      </c>
      <c r="I428" s="170"/>
      <c r="J428" s="170"/>
      <c r="K428" s="170"/>
    </row>
    <row r="429" customFormat="false" ht="15" hidden="false" customHeight="true" outlineLevel="0" collapsed="false">
      <c r="A429" s="163" t="str">
        <f aca="false">IF(COUNTA(B429:G429)&gt;0,ROW()-3,"")</f>
        <v/>
      </c>
      <c r="B429" s="176"/>
      <c r="C429" s="14"/>
      <c r="D429" s="177"/>
      <c r="E429" s="178"/>
      <c r="F429" s="14"/>
      <c r="G429" s="177"/>
      <c r="H429" s="169" t="s">
        <v>1282</v>
      </c>
      <c r="I429" s="170"/>
      <c r="J429" s="170"/>
      <c r="K429" s="170"/>
    </row>
    <row r="430" customFormat="false" ht="15" hidden="false" customHeight="true" outlineLevel="0" collapsed="false">
      <c r="A430" s="163" t="str">
        <f aca="false">IF(COUNTA(B430:G430)&gt;0,ROW()-3,"")</f>
        <v/>
      </c>
      <c r="B430" s="176"/>
      <c r="C430" s="14"/>
      <c r="D430" s="177"/>
      <c r="E430" s="178"/>
      <c r="F430" s="14"/>
      <c r="G430" s="177"/>
      <c r="H430" s="169" t="s">
        <v>1282</v>
      </c>
      <c r="I430" s="170"/>
      <c r="J430" s="170"/>
      <c r="K430" s="170"/>
    </row>
    <row r="431" customFormat="false" ht="15" hidden="false" customHeight="true" outlineLevel="0" collapsed="false">
      <c r="A431" s="163" t="str">
        <f aca="false">IF(COUNTA(B431:G431)&gt;0,ROW()-3,"")</f>
        <v/>
      </c>
      <c r="B431" s="176"/>
      <c r="C431" s="14"/>
      <c r="D431" s="177"/>
      <c r="E431" s="178"/>
      <c r="F431" s="14"/>
      <c r="G431" s="177"/>
      <c r="H431" s="169" t="s">
        <v>1282</v>
      </c>
      <c r="I431" s="170"/>
      <c r="J431" s="170"/>
      <c r="K431" s="170"/>
    </row>
    <row r="432" customFormat="false" ht="15" hidden="false" customHeight="true" outlineLevel="0" collapsed="false">
      <c r="A432" s="163" t="str">
        <f aca="false">IF(COUNTA(B432:G432)&gt;0,ROW()-3,"")</f>
        <v/>
      </c>
      <c r="B432" s="176"/>
      <c r="C432" s="14"/>
      <c r="D432" s="177"/>
      <c r="E432" s="178"/>
      <c r="F432" s="14"/>
      <c r="G432" s="177"/>
      <c r="H432" s="169" t="s">
        <v>1282</v>
      </c>
      <c r="I432" s="170"/>
      <c r="J432" s="170"/>
      <c r="K432" s="170"/>
    </row>
    <row r="433" customFormat="false" ht="15" hidden="false" customHeight="true" outlineLevel="0" collapsed="false">
      <c r="A433" s="163" t="str">
        <f aca="false">IF(COUNTA(B433:G433)&gt;0,ROW()-3,"")</f>
        <v/>
      </c>
      <c r="B433" s="176"/>
      <c r="C433" s="14"/>
      <c r="D433" s="177"/>
      <c r="E433" s="178"/>
      <c r="F433" s="14"/>
      <c r="G433" s="177"/>
      <c r="H433" s="169" t="s">
        <v>1282</v>
      </c>
      <c r="I433" s="170"/>
      <c r="J433" s="170"/>
      <c r="K433" s="170"/>
    </row>
    <row r="434" customFormat="false" ht="15" hidden="false" customHeight="true" outlineLevel="0" collapsed="false">
      <c r="A434" s="163" t="str">
        <f aca="false">IF(COUNTA(B434:G434)&gt;0,ROW()-3,"")</f>
        <v/>
      </c>
      <c r="B434" s="176"/>
      <c r="C434" s="14"/>
      <c r="D434" s="177"/>
      <c r="E434" s="178"/>
      <c r="F434" s="14"/>
      <c r="G434" s="177"/>
      <c r="H434" s="169" t="s">
        <v>1282</v>
      </c>
      <c r="I434" s="170"/>
      <c r="J434" s="170"/>
      <c r="K434" s="170"/>
    </row>
    <row r="435" customFormat="false" ht="15" hidden="false" customHeight="true" outlineLevel="0" collapsed="false">
      <c r="A435" s="163" t="str">
        <f aca="false">IF(COUNTA(B435:G435)&gt;0,ROW()-3,"")</f>
        <v/>
      </c>
      <c r="B435" s="176"/>
      <c r="C435" s="14"/>
      <c r="D435" s="177"/>
      <c r="E435" s="178"/>
      <c r="F435" s="14"/>
      <c r="G435" s="177"/>
      <c r="H435" s="169" t="s">
        <v>1282</v>
      </c>
      <c r="I435" s="170"/>
      <c r="J435" s="170"/>
      <c r="K435" s="170"/>
    </row>
    <row r="436" customFormat="false" ht="15" hidden="false" customHeight="true" outlineLevel="0" collapsed="false">
      <c r="A436" s="163" t="str">
        <f aca="false">IF(COUNTA(B436:G436)&gt;0,ROW()-3,"")</f>
        <v/>
      </c>
      <c r="B436" s="176"/>
      <c r="C436" s="14"/>
      <c r="D436" s="177"/>
      <c r="E436" s="178"/>
      <c r="F436" s="14"/>
      <c r="G436" s="177"/>
      <c r="H436" s="169" t="s">
        <v>1282</v>
      </c>
      <c r="I436" s="170"/>
      <c r="J436" s="170"/>
      <c r="K436" s="170"/>
    </row>
    <row r="437" customFormat="false" ht="15" hidden="false" customHeight="true" outlineLevel="0" collapsed="false">
      <c r="A437" s="163" t="str">
        <f aca="false">IF(COUNTA(B437:G437)&gt;0,ROW()-3,"")</f>
        <v/>
      </c>
      <c r="B437" s="176"/>
      <c r="C437" s="14"/>
      <c r="D437" s="177"/>
      <c r="E437" s="178"/>
      <c r="F437" s="14"/>
      <c r="G437" s="177"/>
      <c r="H437" s="169" t="s">
        <v>1282</v>
      </c>
      <c r="I437" s="170"/>
      <c r="J437" s="170"/>
      <c r="K437" s="170"/>
    </row>
    <row r="438" customFormat="false" ht="15" hidden="false" customHeight="true" outlineLevel="0" collapsed="false">
      <c r="A438" s="163" t="str">
        <f aca="false">IF(COUNTA(B438:G438)&gt;0,ROW()-3,"")</f>
        <v/>
      </c>
      <c r="B438" s="176"/>
      <c r="C438" s="14"/>
      <c r="D438" s="177"/>
      <c r="E438" s="178"/>
      <c r="F438" s="14"/>
      <c r="G438" s="177"/>
      <c r="H438" s="169" t="s">
        <v>1282</v>
      </c>
      <c r="I438" s="170"/>
      <c r="J438" s="170"/>
      <c r="K438" s="170"/>
    </row>
    <row r="439" customFormat="false" ht="15" hidden="false" customHeight="true" outlineLevel="0" collapsed="false">
      <c r="A439" s="163" t="str">
        <f aca="false">IF(COUNTA(B439:G439)&gt;0,ROW()-3,"")</f>
        <v/>
      </c>
      <c r="B439" s="176"/>
      <c r="C439" s="14"/>
      <c r="D439" s="177"/>
      <c r="E439" s="178"/>
      <c r="F439" s="14"/>
      <c r="G439" s="177"/>
      <c r="H439" s="169" t="s">
        <v>1282</v>
      </c>
      <c r="I439" s="170"/>
      <c r="J439" s="170"/>
      <c r="K439" s="170"/>
    </row>
    <row r="440" customFormat="false" ht="15" hidden="false" customHeight="true" outlineLevel="0" collapsed="false">
      <c r="A440" s="163" t="str">
        <f aca="false">IF(COUNTA(B440:G440)&gt;0,ROW()-3,"")</f>
        <v/>
      </c>
      <c r="B440" s="176"/>
      <c r="C440" s="14"/>
      <c r="D440" s="177"/>
      <c r="E440" s="178"/>
      <c r="F440" s="14"/>
      <c r="G440" s="177"/>
      <c r="H440" s="169" t="s">
        <v>1282</v>
      </c>
      <c r="I440" s="170"/>
      <c r="J440" s="170"/>
      <c r="K440" s="170"/>
    </row>
    <row r="441" customFormat="false" ht="15" hidden="false" customHeight="true" outlineLevel="0" collapsed="false">
      <c r="A441" s="163" t="str">
        <f aca="false">IF(COUNTA(B441:G441)&gt;0,ROW()-3,"")</f>
        <v/>
      </c>
      <c r="B441" s="176"/>
      <c r="C441" s="14"/>
      <c r="D441" s="177"/>
      <c r="E441" s="178"/>
      <c r="F441" s="14"/>
      <c r="G441" s="177"/>
      <c r="H441" s="169" t="s">
        <v>1282</v>
      </c>
      <c r="I441" s="170"/>
      <c r="J441" s="170"/>
      <c r="K441" s="170"/>
    </row>
    <row r="442" customFormat="false" ht="15" hidden="false" customHeight="true" outlineLevel="0" collapsed="false">
      <c r="A442" s="163" t="str">
        <f aca="false">IF(COUNTA(B442:G442)&gt;0,ROW()-3,"")</f>
        <v/>
      </c>
      <c r="B442" s="176"/>
      <c r="C442" s="14"/>
      <c r="D442" s="177"/>
      <c r="E442" s="178"/>
      <c r="F442" s="14"/>
      <c r="G442" s="177"/>
      <c r="H442" s="169" t="s">
        <v>1282</v>
      </c>
      <c r="I442" s="170"/>
      <c r="J442" s="170"/>
      <c r="K442" s="170"/>
    </row>
    <row r="443" customFormat="false" ht="15" hidden="false" customHeight="true" outlineLevel="0" collapsed="false">
      <c r="A443" s="163" t="str">
        <f aca="false">IF(COUNTA(B443:G443)&gt;0,ROW()-3,"")</f>
        <v/>
      </c>
      <c r="B443" s="176"/>
      <c r="C443" s="14"/>
      <c r="D443" s="177"/>
      <c r="E443" s="178"/>
      <c r="F443" s="14"/>
      <c r="G443" s="177"/>
      <c r="H443" s="169" t="s">
        <v>1282</v>
      </c>
      <c r="I443" s="170"/>
      <c r="J443" s="170"/>
      <c r="K443" s="170"/>
    </row>
    <row r="444" customFormat="false" ht="15" hidden="false" customHeight="true" outlineLevel="0" collapsed="false">
      <c r="A444" s="163" t="str">
        <f aca="false">IF(COUNTA(B444:G444)&gt;0,ROW()-3,"")</f>
        <v/>
      </c>
      <c r="B444" s="176"/>
      <c r="C444" s="14"/>
      <c r="D444" s="177"/>
      <c r="E444" s="178"/>
      <c r="F444" s="14"/>
      <c r="G444" s="177"/>
      <c r="H444" s="169" t="s">
        <v>1282</v>
      </c>
      <c r="I444" s="170"/>
      <c r="J444" s="170"/>
      <c r="K444" s="170"/>
    </row>
    <row r="445" customFormat="false" ht="15" hidden="false" customHeight="true" outlineLevel="0" collapsed="false">
      <c r="A445" s="163" t="str">
        <f aca="false">IF(COUNTA(B445:G445)&gt;0,ROW()-3,"")</f>
        <v/>
      </c>
      <c r="B445" s="176"/>
      <c r="C445" s="14"/>
      <c r="D445" s="177"/>
      <c r="E445" s="178"/>
      <c r="F445" s="14"/>
      <c r="G445" s="177"/>
      <c r="H445" s="169" t="s">
        <v>1282</v>
      </c>
      <c r="I445" s="170"/>
      <c r="J445" s="170"/>
      <c r="K445" s="170"/>
    </row>
    <row r="446" customFormat="false" ht="15" hidden="false" customHeight="true" outlineLevel="0" collapsed="false">
      <c r="A446" s="163" t="str">
        <f aca="false">IF(COUNTA(B446:G446)&gt;0,ROW()-3,"")</f>
        <v/>
      </c>
      <c r="B446" s="176"/>
      <c r="C446" s="14"/>
      <c r="D446" s="177"/>
      <c r="E446" s="178"/>
      <c r="F446" s="14"/>
      <c r="G446" s="177"/>
      <c r="H446" s="169" t="s">
        <v>1282</v>
      </c>
      <c r="I446" s="170"/>
      <c r="J446" s="170"/>
      <c r="K446" s="170"/>
    </row>
    <row r="447" customFormat="false" ht="15" hidden="false" customHeight="true" outlineLevel="0" collapsed="false">
      <c r="A447" s="163" t="str">
        <f aca="false">IF(COUNTA(B447:G447)&gt;0,ROW()-3,"")</f>
        <v/>
      </c>
      <c r="B447" s="176"/>
      <c r="C447" s="14"/>
      <c r="D447" s="177"/>
      <c r="E447" s="178"/>
      <c r="F447" s="14"/>
      <c r="G447" s="177"/>
      <c r="H447" s="169" t="s">
        <v>1282</v>
      </c>
      <c r="I447" s="170"/>
      <c r="J447" s="170"/>
      <c r="K447" s="170"/>
    </row>
    <row r="448" customFormat="false" ht="15" hidden="false" customHeight="true" outlineLevel="0" collapsed="false">
      <c r="A448" s="163" t="str">
        <f aca="false">IF(COUNTA(B448:G448)&gt;0,ROW()-3,"")</f>
        <v/>
      </c>
      <c r="B448" s="176"/>
      <c r="C448" s="14"/>
      <c r="D448" s="177"/>
      <c r="E448" s="178"/>
      <c r="F448" s="14"/>
      <c r="G448" s="177"/>
      <c r="H448" s="169" t="s">
        <v>1282</v>
      </c>
      <c r="I448" s="170"/>
      <c r="J448" s="170"/>
      <c r="K448" s="170"/>
    </row>
    <row r="449" customFormat="false" ht="15" hidden="false" customHeight="true" outlineLevel="0" collapsed="false">
      <c r="A449" s="163" t="str">
        <f aca="false">IF(COUNTA(B449:G449)&gt;0,ROW()-3,"")</f>
        <v/>
      </c>
      <c r="B449" s="176"/>
      <c r="C449" s="14"/>
      <c r="D449" s="177"/>
      <c r="E449" s="178"/>
      <c r="F449" s="14"/>
      <c r="G449" s="177"/>
      <c r="H449" s="169" t="s">
        <v>1282</v>
      </c>
      <c r="I449" s="170"/>
      <c r="J449" s="170"/>
      <c r="K449" s="170"/>
    </row>
    <row r="450" customFormat="false" ht="15" hidden="false" customHeight="true" outlineLevel="0" collapsed="false">
      <c r="A450" s="163" t="str">
        <f aca="false">IF(COUNTA(B450:G450)&gt;0,ROW()-3,"")</f>
        <v/>
      </c>
      <c r="B450" s="176"/>
      <c r="C450" s="14"/>
      <c r="D450" s="177"/>
      <c r="E450" s="178"/>
      <c r="F450" s="14"/>
      <c r="G450" s="177"/>
      <c r="H450" s="169" t="s">
        <v>1282</v>
      </c>
      <c r="I450" s="170"/>
      <c r="J450" s="170"/>
      <c r="K450" s="170"/>
    </row>
    <row r="451" customFormat="false" ht="15" hidden="false" customHeight="true" outlineLevel="0" collapsed="false">
      <c r="A451" s="163" t="str">
        <f aca="false">IF(COUNTA(B451:G451)&gt;0,ROW()-3,"")</f>
        <v/>
      </c>
      <c r="B451" s="176"/>
      <c r="C451" s="14"/>
      <c r="D451" s="177"/>
      <c r="E451" s="178"/>
      <c r="F451" s="14"/>
      <c r="G451" s="177"/>
      <c r="H451" s="169" t="s">
        <v>1282</v>
      </c>
      <c r="I451" s="170"/>
      <c r="J451" s="170"/>
      <c r="K451" s="170"/>
    </row>
    <row r="452" customFormat="false" ht="15" hidden="false" customHeight="true" outlineLevel="0" collapsed="false">
      <c r="A452" s="163" t="str">
        <f aca="false">IF(COUNTA(B452:G452)&gt;0,ROW()-3,"")</f>
        <v/>
      </c>
      <c r="B452" s="176"/>
      <c r="C452" s="14"/>
      <c r="D452" s="177"/>
      <c r="E452" s="178"/>
      <c r="F452" s="14"/>
      <c r="G452" s="177"/>
      <c r="H452" s="169" t="s">
        <v>1282</v>
      </c>
      <c r="I452" s="170"/>
      <c r="J452" s="170"/>
      <c r="K452" s="170"/>
    </row>
    <row r="453" customFormat="false" ht="15" hidden="false" customHeight="true" outlineLevel="0" collapsed="false">
      <c r="A453" s="163" t="str">
        <f aca="false">IF(COUNTA(B453:G453)&gt;0,ROW()-3,"")</f>
        <v/>
      </c>
      <c r="B453" s="176"/>
      <c r="C453" s="14"/>
      <c r="D453" s="177"/>
      <c r="E453" s="178"/>
      <c r="F453" s="14"/>
      <c r="G453" s="177"/>
      <c r="H453" s="169" t="s">
        <v>1282</v>
      </c>
      <c r="I453" s="170"/>
      <c r="J453" s="170"/>
      <c r="K453" s="170"/>
    </row>
    <row r="454" customFormat="false" ht="15" hidden="false" customHeight="true" outlineLevel="0" collapsed="false">
      <c r="A454" s="163" t="str">
        <f aca="false">IF(COUNTA(B454:G454)&gt;0,ROW()-3,"")</f>
        <v/>
      </c>
      <c r="B454" s="176"/>
      <c r="C454" s="14"/>
      <c r="D454" s="177"/>
      <c r="E454" s="178"/>
      <c r="F454" s="14"/>
      <c r="G454" s="177"/>
      <c r="H454" s="169" t="s">
        <v>1282</v>
      </c>
      <c r="I454" s="170"/>
      <c r="J454" s="170"/>
      <c r="K454" s="170"/>
    </row>
    <row r="455" customFormat="false" ht="15" hidden="false" customHeight="true" outlineLevel="0" collapsed="false">
      <c r="A455" s="163" t="str">
        <f aca="false">IF(COUNTA(B455:G455)&gt;0,ROW()-3,"")</f>
        <v/>
      </c>
      <c r="B455" s="176"/>
      <c r="C455" s="14"/>
      <c r="D455" s="177"/>
      <c r="E455" s="178"/>
      <c r="F455" s="14"/>
      <c r="G455" s="177"/>
      <c r="H455" s="169" t="s">
        <v>1282</v>
      </c>
      <c r="I455" s="170"/>
      <c r="J455" s="170"/>
      <c r="K455" s="170"/>
    </row>
    <row r="456" customFormat="false" ht="15" hidden="false" customHeight="true" outlineLevel="0" collapsed="false">
      <c r="A456" s="163" t="str">
        <f aca="false">IF(COUNTA(B456:G456)&gt;0,ROW()-3,"")</f>
        <v/>
      </c>
      <c r="B456" s="176"/>
      <c r="C456" s="14"/>
      <c r="D456" s="177"/>
      <c r="E456" s="178"/>
      <c r="F456" s="14"/>
      <c r="G456" s="177"/>
      <c r="H456" s="169" t="s">
        <v>1282</v>
      </c>
      <c r="I456" s="170"/>
      <c r="J456" s="170"/>
      <c r="K456" s="170"/>
    </row>
    <row r="457" customFormat="false" ht="15" hidden="false" customHeight="true" outlineLevel="0" collapsed="false">
      <c r="A457" s="163" t="str">
        <f aca="false">IF(COUNTA(B457:G457)&gt;0,ROW()-3,"")</f>
        <v/>
      </c>
      <c r="B457" s="176"/>
      <c r="C457" s="14"/>
      <c r="D457" s="177"/>
      <c r="E457" s="178"/>
      <c r="F457" s="14"/>
      <c r="G457" s="177"/>
      <c r="H457" s="169" t="s">
        <v>1282</v>
      </c>
      <c r="I457" s="170"/>
      <c r="J457" s="170"/>
      <c r="K457" s="170"/>
    </row>
    <row r="458" customFormat="false" ht="15" hidden="false" customHeight="true" outlineLevel="0" collapsed="false">
      <c r="A458" s="163" t="str">
        <f aca="false">IF(COUNTA(B458:G458)&gt;0,ROW()-3,"")</f>
        <v/>
      </c>
      <c r="B458" s="176"/>
      <c r="C458" s="14"/>
      <c r="D458" s="177"/>
      <c r="E458" s="178"/>
      <c r="F458" s="14"/>
      <c r="G458" s="177"/>
      <c r="H458" s="169" t="s">
        <v>1282</v>
      </c>
      <c r="I458" s="170"/>
      <c r="J458" s="170"/>
      <c r="K458" s="170"/>
    </row>
    <row r="459" customFormat="false" ht="15" hidden="false" customHeight="true" outlineLevel="0" collapsed="false">
      <c r="A459" s="163" t="str">
        <f aca="false">IF(COUNTA(B459:G459)&gt;0,ROW()-3,"")</f>
        <v/>
      </c>
      <c r="B459" s="176"/>
      <c r="C459" s="14"/>
      <c r="D459" s="177"/>
      <c r="E459" s="178"/>
      <c r="F459" s="14"/>
      <c r="G459" s="177"/>
      <c r="H459" s="169" t="s">
        <v>1282</v>
      </c>
      <c r="I459" s="170"/>
      <c r="J459" s="170"/>
      <c r="K459" s="170"/>
    </row>
    <row r="460" customFormat="false" ht="15" hidden="false" customHeight="true" outlineLevel="0" collapsed="false">
      <c r="A460" s="163" t="str">
        <f aca="false">IF(COUNTA(B460:G460)&gt;0,ROW()-3,"")</f>
        <v/>
      </c>
      <c r="B460" s="176"/>
      <c r="C460" s="14"/>
      <c r="D460" s="177"/>
      <c r="E460" s="178"/>
      <c r="F460" s="14"/>
      <c r="G460" s="177"/>
      <c r="H460" s="169" t="s">
        <v>1282</v>
      </c>
      <c r="I460" s="170"/>
      <c r="J460" s="170"/>
      <c r="K460" s="170"/>
    </row>
    <row r="461" customFormat="false" ht="15" hidden="false" customHeight="true" outlineLevel="0" collapsed="false">
      <c r="A461" s="163" t="str">
        <f aca="false">IF(COUNTA(B461:G461)&gt;0,ROW()-3,"")</f>
        <v/>
      </c>
      <c r="B461" s="176"/>
      <c r="C461" s="14"/>
      <c r="D461" s="177"/>
      <c r="E461" s="178"/>
      <c r="F461" s="14"/>
      <c r="G461" s="177"/>
      <c r="H461" s="169" t="s">
        <v>1282</v>
      </c>
      <c r="I461" s="170"/>
      <c r="J461" s="170"/>
      <c r="K461" s="170"/>
    </row>
    <row r="462" customFormat="false" ht="15" hidden="false" customHeight="true" outlineLevel="0" collapsed="false">
      <c r="A462" s="163" t="str">
        <f aca="false">IF(COUNTA(B462:G462)&gt;0,ROW()-3,"")</f>
        <v/>
      </c>
      <c r="B462" s="176"/>
      <c r="C462" s="14"/>
      <c r="D462" s="177"/>
      <c r="E462" s="178"/>
      <c r="F462" s="14"/>
      <c r="G462" s="177"/>
      <c r="H462" s="169" t="s">
        <v>1282</v>
      </c>
      <c r="I462" s="170"/>
      <c r="J462" s="170"/>
      <c r="K462" s="170"/>
    </row>
    <row r="463" customFormat="false" ht="15" hidden="false" customHeight="true" outlineLevel="0" collapsed="false">
      <c r="A463" s="163" t="str">
        <f aca="false">IF(COUNTA(B463:G463)&gt;0,ROW()-3,"")</f>
        <v/>
      </c>
      <c r="B463" s="176"/>
      <c r="C463" s="14"/>
      <c r="D463" s="177"/>
      <c r="E463" s="178"/>
      <c r="F463" s="14"/>
      <c r="G463" s="177"/>
      <c r="H463" s="169" t="s">
        <v>1282</v>
      </c>
      <c r="I463" s="170"/>
      <c r="J463" s="170"/>
      <c r="K463" s="170"/>
    </row>
    <row r="464" customFormat="false" ht="15" hidden="false" customHeight="true" outlineLevel="0" collapsed="false">
      <c r="A464" s="163" t="str">
        <f aca="false">IF(COUNTA(B464:G464)&gt;0,ROW()-3,"")</f>
        <v/>
      </c>
      <c r="B464" s="176"/>
      <c r="C464" s="14"/>
      <c r="D464" s="177"/>
      <c r="E464" s="178"/>
      <c r="F464" s="14"/>
      <c r="G464" s="177"/>
      <c r="H464" s="169" t="s">
        <v>1282</v>
      </c>
      <c r="I464" s="170"/>
      <c r="J464" s="170"/>
      <c r="K464" s="170"/>
    </row>
    <row r="465" customFormat="false" ht="15" hidden="false" customHeight="true" outlineLevel="0" collapsed="false">
      <c r="A465" s="163" t="str">
        <f aca="false">IF(COUNTA(B465:G465)&gt;0,ROW()-3,"")</f>
        <v/>
      </c>
      <c r="B465" s="176"/>
      <c r="C465" s="14"/>
      <c r="D465" s="177"/>
      <c r="E465" s="178"/>
      <c r="F465" s="14"/>
      <c r="G465" s="177"/>
      <c r="H465" s="169" t="s">
        <v>1282</v>
      </c>
      <c r="I465" s="170"/>
      <c r="J465" s="170"/>
      <c r="K465" s="170"/>
    </row>
    <row r="466" customFormat="false" ht="15" hidden="false" customHeight="true" outlineLevel="0" collapsed="false">
      <c r="A466" s="163" t="str">
        <f aca="false">IF(COUNTA(B466:G466)&gt;0,ROW()-3,"")</f>
        <v/>
      </c>
      <c r="B466" s="176"/>
      <c r="C466" s="14"/>
      <c r="D466" s="177"/>
      <c r="E466" s="178"/>
      <c r="F466" s="14"/>
      <c r="G466" s="177"/>
      <c r="H466" s="169" t="s">
        <v>1282</v>
      </c>
      <c r="I466" s="170"/>
      <c r="J466" s="170"/>
      <c r="K466" s="170"/>
    </row>
    <row r="467" customFormat="false" ht="15" hidden="false" customHeight="true" outlineLevel="0" collapsed="false">
      <c r="A467" s="163" t="str">
        <f aca="false">IF(COUNTA(B467:G467)&gt;0,ROW()-3,"")</f>
        <v/>
      </c>
      <c r="B467" s="176"/>
      <c r="C467" s="14"/>
      <c r="D467" s="177"/>
      <c r="E467" s="178"/>
      <c r="F467" s="14"/>
      <c r="G467" s="177"/>
      <c r="H467" s="169" t="s">
        <v>1282</v>
      </c>
      <c r="I467" s="170"/>
      <c r="J467" s="170"/>
      <c r="K467" s="170"/>
    </row>
    <row r="468" customFormat="false" ht="15" hidden="false" customHeight="true" outlineLevel="0" collapsed="false">
      <c r="A468" s="163" t="str">
        <f aca="false">IF(COUNTA(B468:G468)&gt;0,ROW()-3,"")</f>
        <v/>
      </c>
      <c r="B468" s="176"/>
      <c r="C468" s="14"/>
      <c r="D468" s="177"/>
      <c r="E468" s="178"/>
      <c r="F468" s="14"/>
      <c r="G468" s="177"/>
      <c r="H468" s="169" t="s">
        <v>1282</v>
      </c>
      <c r="I468" s="170"/>
      <c r="J468" s="170"/>
      <c r="K468" s="170"/>
    </row>
    <row r="469" customFormat="false" ht="15" hidden="false" customHeight="true" outlineLevel="0" collapsed="false">
      <c r="A469" s="163" t="str">
        <f aca="false">IF(COUNTA(B469:G469)&gt;0,ROW()-3,"")</f>
        <v/>
      </c>
      <c r="B469" s="176"/>
      <c r="C469" s="14"/>
      <c r="D469" s="177"/>
      <c r="E469" s="178"/>
      <c r="F469" s="14"/>
      <c r="G469" s="177"/>
      <c r="H469" s="169" t="s">
        <v>1282</v>
      </c>
      <c r="I469" s="170"/>
      <c r="J469" s="170"/>
      <c r="K469" s="170"/>
    </row>
    <row r="470" customFormat="false" ht="15" hidden="false" customHeight="true" outlineLevel="0" collapsed="false">
      <c r="A470" s="163" t="str">
        <f aca="false">IF(COUNTA(B470:G470)&gt;0,ROW()-3,"")</f>
        <v/>
      </c>
      <c r="B470" s="176"/>
      <c r="C470" s="14"/>
      <c r="D470" s="177"/>
      <c r="E470" s="178"/>
      <c r="F470" s="14"/>
      <c r="G470" s="177"/>
      <c r="H470" s="169" t="s">
        <v>1282</v>
      </c>
      <c r="I470" s="170"/>
      <c r="J470" s="170"/>
      <c r="K470" s="170"/>
    </row>
    <row r="471" customFormat="false" ht="15" hidden="false" customHeight="true" outlineLevel="0" collapsed="false">
      <c r="A471" s="163" t="str">
        <f aca="false">IF(COUNTA(B471:G471)&gt;0,ROW()-3,"")</f>
        <v/>
      </c>
      <c r="B471" s="176"/>
      <c r="C471" s="14"/>
      <c r="D471" s="177"/>
      <c r="E471" s="178"/>
      <c r="F471" s="14"/>
      <c r="G471" s="177"/>
      <c r="H471" s="169" t="s">
        <v>1282</v>
      </c>
      <c r="I471" s="170"/>
      <c r="J471" s="170"/>
      <c r="K471" s="170"/>
    </row>
    <row r="472" customFormat="false" ht="15" hidden="false" customHeight="true" outlineLevel="0" collapsed="false">
      <c r="A472" s="163" t="str">
        <f aca="false">IF(COUNTA(B472:G472)&gt;0,ROW()-3,"")</f>
        <v/>
      </c>
      <c r="B472" s="176"/>
      <c r="C472" s="14"/>
      <c r="D472" s="177"/>
      <c r="E472" s="178"/>
      <c r="F472" s="14"/>
      <c r="G472" s="177"/>
      <c r="H472" s="169" t="s">
        <v>1282</v>
      </c>
      <c r="I472" s="170"/>
      <c r="J472" s="170"/>
      <c r="K472" s="170"/>
    </row>
    <row r="473" customFormat="false" ht="15" hidden="false" customHeight="true" outlineLevel="0" collapsed="false">
      <c r="A473" s="163" t="str">
        <f aca="false">IF(COUNTA(B473:G473)&gt;0,ROW()-3,"")</f>
        <v/>
      </c>
      <c r="B473" s="176"/>
      <c r="C473" s="14"/>
      <c r="D473" s="177"/>
      <c r="E473" s="178"/>
      <c r="F473" s="14"/>
      <c r="G473" s="177"/>
      <c r="H473" s="169" t="s">
        <v>1282</v>
      </c>
      <c r="I473" s="170"/>
      <c r="J473" s="170"/>
      <c r="K473" s="170"/>
    </row>
    <row r="474" customFormat="false" ht="15" hidden="false" customHeight="true" outlineLevel="0" collapsed="false">
      <c r="A474" s="163" t="str">
        <f aca="false">IF(COUNTA(B474:G474)&gt;0,ROW()-3,"")</f>
        <v/>
      </c>
      <c r="B474" s="176"/>
      <c r="C474" s="14"/>
      <c r="D474" s="177"/>
      <c r="E474" s="178"/>
      <c r="F474" s="14"/>
      <c r="G474" s="177"/>
      <c r="H474" s="169" t="s">
        <v>1282</v>
      </c>
      <c r="I474" s="170"/>
      <c r="J474" s="170"/>
      <c r="K474" s="170"/>
    </row>
    <row r="475" customFormat="false" ht="15" hidden="false" customHeight="true" outlineLevel="0" collapsed="false">
      <c r="A475" s="163" t="str">
        <f aca="false">IF(COUNTA(B475:G475)&gt;0,ROW()-3,"")</f>
        <v/>
      </c>
      <c r="B475" s="176"/>
      <c r="C475" s="14"/>
      <c r="D475" s="177"/>
      <c r="E475" s="178"/>
      <c r="F475" s="14"/>
      <c r="G475" s="177"/>
      <c r="H475" s="169" t="s">
        <v>1282</v>
      </c>
      <c r="I475" s="170"/>
      <c r="J475" s="170"/>
      <c r="K475" s="170"/>
    </row>
    <row r="476" customFormat="false" ht="15" hidden="false" customHeight="true" outlineLevel="0" collapsed="false">
      <c r="A476" s="163" t="str">
        <f aca="false">IF(COUNTA(B476:G476)&gt;0,ROW()-3,"")</f>
        <v/>
      </c>
      <c r="B476" s="176"/>
      <c r="C476" s="14"/>
      <c r="D476" s="177"/>
      <c r="E476" s="178"/>
      <c r="F476" s="14"/>
      <c r="G476" s="177"/>
      <c r="H476" s="169" t="s">
        <v>1282</v>
      </c>
      <c r="I476" s="170"/>
      <c r="J476" s="170"/>
      <c r="K476" s="170"/>
    </row>
    <row r="477" customFormat="false" ht="15" hidden="false" customHeight="true" outlineLevel="0" collapsed="false">
      <c r="A477" s="163" t="str">
        <f aca="false">IF(COUNTA(B477:G477)&gt;0,ROW()-3,"")</f>
        <v/>
      </c>
      <c r="B477" s="176"/>
      <c r="C477" s="14"/>
      <c r="D477" s="177"/>
      <c r="E477" s="178"/>
      <c r="F477" s="14"/>
      <c r="G477" s="177"/>
      <c r="H477" s="169" t="s">
        <v>1282</v>
      </c>
      <c r="I477" s="170"/>
      <c r="J477" s="170"/>
      <c r="K477" s="170"/>
    </row>
    <row r="478" customFormat="false" ht="15" hidden="false" customHeight="true" outlineLevel="0" collapsed="false">
      <c r="A478" s="163" t="str">
        <f aca="false">IF(COUNTA(B478:G478)&gt;0,ROW()-3,"")</f>
        <v/>
      </c>
      <c r="B478" s="176"/>
      <c r="C478" s="14"/>
      <c r="D478" s="177"/>
      <c r="E478" s="178"/>
      <c r="F478" s="14"/>
      <c r="G478" s="177"/>
      <c r="H478" s="169" t="s">
        <v>1282</v>
      </c>
      <c r="I478" s="170"/>
      <c r="J478" s="170"/>
      <c r="K478" s="170"/>
    </row>
    <row r="479" customFormat="false" ht="15" hidden="false" customHeight="true" outlineLevel="0" collapsed="false">
      <c r="A479" s="163" t="str">
        <f aca="false">IF(COUNTA(B479:G479)&gt;0,ROW()-3,"")</f>
        <v/>
      </c>
      <c r="B479" s="176"/>
      <c r="C479" s="14"/>
      <c r="D479" s="177"/>
      <c r="E479" s="178"/>
      <c r="F479" s="14"/>
      <c r="G479" s="177"/>
      <c r="H479" s="169" t="s">
        <v>1282</v>
      </c>
      <c r="I479" s="170"/>
      <c r="J479" s="170"/>
      <c r="K479" s="170"/>
    </row>
    <row r="480" customFormat="false" ht="15" hidden="false" customHeight="true" outlineLevel="0" collapsed="false">
      <c r="A480" s="163" t="str">
        <f aca="false">IF(COUNTA(B480:G480)&gt;0,ROW()-3,"")</f>
        <v/>
      </c>
      <c r="B480" s="176"/>
      <c r="C480" s="14"/>
      <c r="D480" s="177"/>
      <c r="E480" s="178"/>
      <c r="F480" s="14"/>
      <c r="G480" s="177"/>
      <c r="H480" s="169" t="s">
        <v>1282</v>
      </c>
      <c r="I480" s="170"/>
      <c r="J480" s="170"/>
      <c r="K480" s="170"/>
    </row>
    <row r="481" customFormat="false" ht="15" hidden="false" customHeight="true" outlineLevel="0" collapsed="false">
      <c r="A481" s="163" t="str">
        <f aca="false">IF(COUNTA(B481:G481)&gt;0,ROW()-3,"")</f>
        <v/>
      </c>
      <c r="B481" s="176"/>
      <c r="C481" s="14"/>
      <c r="D481" s="177"/>
      <c r="E481" s="178"/>
      <c r="F481" s="14"/>
      <c r="G481" s="177"/>
      <c r="H481" s="169" t="s">
        <v>1282</v>
      </c>
      <c r="I481" s="170"/>
      <c r="J481" s="170"/>
      <c r="K481" s="170"/>
    </row>
    <row r="482" customFormat="false" ht="15" hidden="false" customHeight="true" outlineLevel="0" collapsed="false">
      <c r="A482" s="163" t="str">
        <f aca="false">IF(COUNTA(B482:G482)&gt;0,ROW()-3,"")</f>
        <v/>
      </c>
      <c r="B482" s="176"/>
      <c r="C482" s="14"/>
      <c r="D482" s="177"/>
      <c r="E482" s="178"/>
      <c r="F482" s="14"/>
      <c r="G482" s="177"/>
      <c r="H482" s="169" t="s">
        <v>1282</v>
      </c>
      <c r="I482" s="170"/>
      <c r="J482" s="170"/>
      <c r="K482" s="170"/>
    </row>
    <row r="483" customFormat="false" ht="15" hidden="false" customHeight="true" outlineLevel="0" collapsed="false">
      <c r="A483" s="163" t="str">
        <f aca="false">IF(COUNTA(B483:G483)&gt;0,ROW()-3,"")</f>
        <v/>
      </c>
      <c r="B483" s="176"/>
      <c r="C483" s="14"/>
      <c r="D483" s="177"/>
      <c r="E483" s="178"/>
      <c r="F483" s="14"/>
      <c r="G483" s="177"/>
      <c r="H483" s="169" t="s">
        <v>1282</v>
      </c>
      <c r="I483" s="170"/>
      <c r="J483" s="170"/>
      <c r="K483" s="170"/>
    </row>
    <row r="484" customFormat="false" ht="15" hidden="false" customHeight="true" outlineLevel="0" collapsed="false">
      <c r="A484" s="163" t="str">
        <f aca="false">IF(COUNTA(B484:G484)&gt;0,ROW()-3,"")</f>
        <v/>
      </c>
      <c r="B484" s="176"/>
      <c r="C484" s="14"/>
      <c r="D484" s="177"/>
      <c r="E484" s="178"/>
      <c r="F484" s="14"/>
      <c r="G484" s="177"/>
      <c r="H484" s="169" t="s">
        <v>1282</v>
      </c>
      <c r="I484" s="170"/>
      <c r="J484" s="170"/>
      <c r="K484" s="170"/>
    </row>
    <row r="485" customFormat="false" ht="15" hidden="false" customHeight="true" outlineLevel="0" collapsed="false">
      <c r="A485" s="163" t="str">
        <f aca="false">IF(COUNTA(B485:G485)&gt;0,ROW()-3,"")</f>
        <v/>
      </c>
      <c r="B485" s="176"/>
      <c r="C485" s="14"/>
      <c r="D485" s="177"/>
      <c r="E485" s="178"/>
      <c r="F485" s="14"/>
      <c r="G485" s="177"/>
      <c r="H485" s="169" t="s">
        <v>1282</v>
      </c>
      <c r="I485" s="170"/>
      <c r="J485" s="170"/>
      <c r="K485" s="170"/>
    </row>
    <row r="486" customFormat="false" ht="15" hidden="false" customHeight="true" outlineLevel="0" collapsed="false">
      <c r="A486" s="163" t="str">
        <f aca="false">IF(COUNTA(B486:G486)&gt;0,ROW()-3,"")</f>
        <v/>
      </c>
      <c r="B486" s="176"/>
      <c r="C486" s="14"/>
      <c r="D486" s="177"/>
      <c r="E486" s="178"/>
      <c r="F486" s="14"/>
      <c r="G486" s="177"/>
      <c r="H486" s="169" t="s">
        <v>1282</v>
      </c>
      <c r="I486" s="170"/>
      <c r="J486" s="170"/>
      <c r="K486" s="170"/>
    </row>
    <row r="487" customFormat="false" ht="15" hidden="false" customHeight="true" outlineLevel="0" collapsed="false">
      <c r="A487" s="163" t="str">
        <f aca="false">IF(COUNTA(B487:G487)&gt;0,ROW()-3,"")</f>
        <v/>
      </c>
      <c r="B487" s="176"/>
      <c r="C487" s="14"/>
      <c r="D487" s="177"/>
      <c r="E487" s="178"/>
      <c r="F487" s="14"/>
      <c r="G487" s="177"/>
      <c r="H487" s="169" t="s">
        <v>1282</v>
      </c>
      <c r="I487" s="170"/>
      <c r="J487" s="170"/>
      <c r="K487" s="170"/>
    </row>
    <row r="488" customFormat="false" ht="15" hidden="false" customHeight="true" outlineLevel="0" collapsed="false">
      <c r="A488" s="163" t="str">
        <f aca="false">IF(COUNTA(B488:G488)&gt;0,ROW()-3,"")</f>
        <v/>
      </c>
      <c r="B488" s="176"/>
      <c r="C488" s="14"/>
      <c r="D488" s="177"/>
      <c r="E488" s="178"/>
      <c r="F488" s="14"/>
      <c r="G488" s="177"/>
      <c r="H488" s="169" t="s">
        <v>1282</v>
      </c>
      <c r="I488" s="170"/>
      <c r="J488" s="170"/>
      <c r="K488" s="170"/>
    </row>
    <row r="489" customFormat="false" ht="15" hidden="false" customHeight="true" outlineLevel="0" collapsed="false">
      <c r="A489" s="163" t="str">
        <f aca="false">IF(COUNTA(B489:G489)&gt;0,ROW()-3,"")</f>
        <v/>
      </c>
      <c r="B489" s="176"/>
      <c r="C489" s="14"/>
      <c r="D489" s="177"/>
      <c r="E489" s="178"/>
      <c r="F489" s="14"/>
      <c r="G489" s="177"/>
      <c r="H489" s="169" t="s">
        <v>1282</v>
      </c>
      <c r="I489" s="170"/>
      <c r="J489" s="170"/>
      <c r="K489" s="170"/>
    </row>
    <row r="490" customFormat="false" ht="15" hidden="false" customHeight="true" outlineLevel="0" collapsed="false">
      <c r="A490" s="163" t="str">
        <f aca="false">IF(COUNTA(B490:G490)&gt;0,ROW()-3,"")</f>
        <v/>
      </c>
      <c r="B490" s="176"/>
      <c r="C490" s="14"/>
      <c r="D490" s="177"/>
      <c r="E490" s="178"/>
      <c r="F490" s="14"/>
      <c r="G490" s="177"/>
      <c r="H490" s="169" t="s">
        <v>1282</v>
      </c>
      <c r="I490" s="170"/>
      <c r="J490" s="170"/>
      <c r="K490" s="170"/>
    </row>
    <row r="491" customFormat="false" ht="15" hidden="false" customHeight="true" outlineLevel="0" collapsed="false">
      <c r="A491" s="163" t="str">
        <f aca="false">IF(COUNTA(B491:G491)&gt;0,ROW()-3,"")</f>
        <v/>
      </c>
      <c r="B491" s="176"/>
      <c r="C491" s="14"/>
      <c r="D491" s="177"/>
      <c r="E491" s="178"/>
      <c r="F491" s="14"/>
      <c r="G491" s="177"/>
      <c r="H491" s="169" t="s">
        <v>1282</v>
      </c>
      <c r="I491" s="170"/>
      <c r="J491" s="170"/>
      <c r="K491" s="170"/>
    </row>
    <row r="492" customFormat="false" ht="15" hidden="false" customHeight="true" outlineLevel="0" collapsed="false">
      <c r="A492" s="163" t="str">
        <f aca="false">IF(COUNTA(B492:G492)&gt;0,ROW()-3,"")</f>
        <v/>
      </c>
      <c r="B492" s="176"/>
      <c r="C492" s="14"/>
      <c r="D492" s="177"/>
      <c r="E492" s="178"/>
      <c r="F492" s="14"/>
      <c r="G492" s="177"/>
      <c r="H492" s="169" t="s">
        <v>1282</v>
      </c>
      <c r="I492" s="170"/>
      <c r="J492" s="170"/>
      <c r="K492" s="170"/>
    </row>
    <row r="493" customFormat="false" ht="15" hidden="false" customHeight="true" outlineLevel="0" collapsed="false">
      <c r="A493" s="163" t="str">
        <f aca="false">IF(COUNTA(B493:G493)&gt;0,ROW()-3,"")</f>
        <v/>
      </c>
      <c r="B493" s="176"/>
      <c r="C493" s="14"/>
      <c r="D493" s="177"/>
      <c r="E493" s="178"/>
      <c r="F493" s="14"/>
      <c r="G493" s="177"/>
      <c r="H493" s="169" t="s">
        <v>1282</v>
      </c>
      <c r="I493" s="170"/>
      <c r="J493" s="170"/>
      <c r="K493" s="170"/>
    </row>
    <row r="494" customFormat="false" ht="15" hidden="false" customHeight="true" outlineLevel="0" collapsed="false">
      <c r="A494" s="163" t="str">
        <f aca="false">IF(COUNTA(B494:G494)&gt;0,ROW()-3,"")</f>
        <v/>
      </c>
      <c r="B494" s="176"/>
      <c r="C494" s="14"/>
      <c r="D494" s="177"/>
      <c r="E494" s="178"/>
      <c r="F494" s="14"/>
      <c r="G494" s="177"/>
      <c r="H494" s="169" t="s">
        <v>1282</v>
      </c>
      <c r="I494" s="170"/>
      <c r="J494" s="170"/>
      <c r="K494" s="170"/>
    </row>
    <row r="495" customFormat="false" ht="15" hidden="false" customHeight="true" outlineLevel="0" collapsed="false">
      <c r="A495" s="163" t="str">
        <f aca="false">IF(COUNTA(B495:G495)&gt;0,ROW()-3,"")</f>
        <v/>
      </c>
      <c r="B495" s="176"/>
      <c r="C495" s="14"/>
      <c r="D495" s="177"/>
      <c r="E495" s="178"/>
      <c r="F495" s="14"/>
      <c r="G495" s="177"/>
      <c r="H495" s="169" t="s">
        <v>1282</v>
      </c>
      <c r="I495" s="170"/>
      <c r="J495" s="170"/>
      <c r="K495" s="170"/>
    </row>
    <row r="496" customFormat="false" ht="15" hidden="false" customHeight="true" outlineLevel="0" collapsed="false">
      <c r="A496" s="163" t="str">
        <f aca="false">IF(COUNTA(B496:G496)&gt;0,ROW()-3,"")</f>
        <v/>
      </c>
      <c r="B496" s="176"/>
      <c r="C496" s="14"/>
      <c r="D496" s="177"/>
      <c r="E496" s="178"/>
      <c r="F496" s="14"/>
      <c r="G496" s="177"/>
      <c r="H496" s="169" t="s">
        <v>1282</v>
      </c>
      <c r="I496" s="170"/>
      <c r="J496" s="170"/>
      <c r="K496" s="170"/>
    </row>
    <row r="497" customFormat="false" ht="15" hidden="false" customHeight="true" outlineLevel="0" collapsed="false">
      <c r="A497" s="163" t="str">
        <f aca="false">IF(COUNTA(B497:G497)&gt;0,ROW()-3,"")</f>
        <v/>
      </c>
      <c r="B497" s="176"/>
      <c r="C497" s="14"/>
      <c r="D497" s="177"/>
      <c r="E497" s="178"/>
      <c r="F497" s="14"/>
      <c r="G497" s="177"/>
      <c r="H497" s="169" t="s">
        <v>1282</v>
      </c>
      <c r="I497" s="170"/>
      <c r="J497" s="170"/>
      <c r="K497" s="170"/>
    </row>
    <row r="498" customFormat="false" ht="15" hidden="false" customHeight="true" outlineLevel="0" collapsed="false">
      <c r="A498" s="163" t="str">
        <f aca="false">IF(COUNTA(B498:G498)&gt;0,ROW()-3,"")</f>
        <v/>
      </c>
      <c r="B498" s="176"/>
      <c r="C498" s="14"/>
      <c r="D498" s="177"/>
      <c r="E498" s="178"/>
      <c r="F498" s="14"/>
      <c r="G498" s="177"/>
      <c r="H498" s="169" t="s">
        <v>1282</v>
      </c>
      <c r="I498" s="170"/>
      <c r="J498" s="170"/>
      <c r="K498" s="170"/>
    </row>
    <row r="499" customFormat="false" ht="15" hidden="false" customHeight="true" outlineLevel="0" collapsed="false">
      <c r="A499" s="163" t="str">
        <f aca="false">IF(COUNTA(B499:G499)&gt;0,ROW()-3,"")</f>
        <v/>
      </c>
      <c r="B499" s="176"/>
      <c r="C499" s="14"/>
      <c r="D499" s="177"/>
      <c r="E499" s="178"/>
      <c r="F499" s="14"/>
      <c r="G499" s="177"/>
      <c r="H499" s="169" t="s">
        <v>1282</v>
      </c>
      <c r="I499" s="170"/>
      <c r="J499" s="170"/>
      <c r="K499" s="170"/>
    </row>
    <row r="500" customFormat="false" ht="15" hidden="false" customHeight="true" outlineLevel="0" collapsed="false">
      <c r="A500" s="163" t="str">
        <f aca="false">IF(COUNTA(B500:G500)&gt;0,ROW()-3,"")</f>
        <v/>
      </c>
      <c r="B500" s="176"/>
      <c r="C500" s="14"/>
      <c r="D500" s="177"/>
      <c r="E500" s="178"/>
      <c r="F500" s="14"/>
      <c r="G500" s="177"/>
      <c r="H500" s="169" t="s">
        <v>1282</v>
      </c>
      <c r="I500" s="170"/>
      <c r="J500" s="170"/>
      <c r="K500" s="170"/>
    </row>
    <row r="501" customFormat="false" ht="15" hidden="false" customHeight="true" outlineLevel="0" collapsed="false">
      <c r="A501" s="163" t="str">
        <f aca="false">IF(COUNTA(B501:G501)&gt;0,ROW()-3,"")</f>
        <v/>
      </c>
      <c r="B501" s="176"/>
      <c r="C501" s="14"/>
      <c r="D501" s="177"/>
      <c r="E501" s="178"/>
      <c r="F501" s="14"/>
      <c r="G501" s="177"/>
      <c r="H501" s="169" t="s">
        <v>1282</v>
      </c>
      <c r="I501" s="170"/>
      <c r="J501" s="170"/>
      <c r="K501" s="170"/>
    </row>
    <row r="502" customFormat="false" ht="15" hidden="false" customHeight="true" outlineLevel="0" collapsed="false">
      <c r="A502" s="163" t="str">
        <f aca="false">IF(COUNTA(B502:G502)&gt;0,ROW()-3,"")</f>
        <v/>
      </c>
      <c r="B502" s="176"/>
      <c r="C502" s="14"/>
      <c r="D502" s="177"/>
      <c r="E502" s="178"/>
      <c r="F502" s="14"/>
      <c r="G502" s="177"/>
      <c r="H502" s="169" t="s">
        <v>1282</v>
      </c>
      <c r="I502" s="170"/>
      <c r="J502" s="170"/>
      <c r="K502" s="170"/>
    </row>
    <row r="503" customFormat="false" ht="15" hidden="false" customHeight="true" outlineLevel="0" collapsed="false">
      <c r="A503" s="163" t="str">
        <f aca="false">IF(COUNTA(B503:G503)&gt;0,ROW()-3,"")</f>
        <v/>
      </c>
      <c r="B503" s="176"/>
      <c r="C503" s="14"/>
      <c r="D503" s="177"/>
      <c r="E503" s="178"/>
      <c r="F503" s="14"/>
      <c r="G503" s="177"/>
      <c r="H503" s="169" t="s">
        <v>1282</v>
      </c>
      <c r="I503" s="170"/>
      <c r="J503" s="170"/>
      <c r="K503" s="170"/>
    </row>
  </sheetData>
  <mergeCells count="2">
    <mergeCell ref="A1:K1"/>
    <mergeCell ref="A2:K2"/>
  </mergeCells>
  <conditionalFormatting sqref="H4:H503">
    <cfRule type="cellIs" priority="2" operator="equal" aboveAverage="0" equalAverage="0" bottom="0" percent="0" rank="0" text="" dxfId="126">
      <formula>"Raised"</formula>
    </cfRule>
    <cfRule type="cellIs" priority="3" operator="equal" aboveAverage="0" equalAverage="0" bottom="0" percent="0" rank="0" text="" dxfId="127">
      <formula>"Not Raised"</formula>
    </cfRule>
  </conditionalFormatting>
  <dataValidations count="2">
    <dataValidation allowBlank="true" errorStyle="stop" operator="between" showDropDown="false" showErrorMessage="false" showInputMessage="false" sqref="C208:C503" type="list">
      <formula1>"ACCESS,GENERAL CABIN,GALLEY,LAVATORY,PAX DOORS,F/A SEAT,PAX SEAT,FLIGHT DECK,TEDLAR/SIDEWALL,ACFT GENERAL T/C"</formula1>
      <formula2>0</formula2>
    </dataValidation>
    <dataValidation allowBlank="true" errorStyle="stop" operator="between" showDropDown="false" showErrorMessage="false" showInputMessage="false" sqref="H4:H503" type="list">
      <formula1>"Not Raised,Raised"</formula1>
      <formula2>0</formula2>
    </dataValidation>
  </dataValidations>
  <hyperlinks>
    <hyperlink ref="G4" r:id="rId1" display="https://i.ibb.co/V0S6MWKf/2c0f499aba84.jpg | https://i.ibb.co/DHR2Xff9/e954f2fa6628.jpg | https://i.ibb.co/ymNVHCr5/82edb4a173a1.jpg | https://i.ibb.co/mC61CMhY/2c192cc49cbd.jpg"/>
    <hyperlink ref="G5" r:id="rId2" display="https://i.ibb.co/7JSQz40y/121e4cb35567.jpg | https://i.ibb.co/pStxDjx/5a7078625ab8.jpg | https://i.ibb.co/4ZNPYDdT/bc71fabd91d4.jpg | https://i.ibb.co/7N0t9b8b/c83b27d90ddf.jpg | https://i.ibb.co/FLWyVfps/b7ea655f3e1d.jpg"/>
    <hyperlink ref="G6" r:id="rId3" display="https://i.ibb.co/cKvnQbLQ/d8d90d2d32a4.jpg | https://i.ibb.co/1j6tQkM/d4739312fa3b.jpg"/>
    <hyperlink ref="G7" r:id="rId4" display="https://i.ibb.co/LDKNs53R/60a738aab7c7.jpg | https://i.ibb.co/Kxw7TX6x/cb59ff7813b0.jpg"/>
    <hyperlink ref="G8" r:id="rId5" display="https://i.ibb.co/sdM1bx04/333df573f526.jpg | https://i.ibb.co/PynFbg0/9f4695bb788c.jpg | https://i.ibb.co/BHcr8tYx/4133ee94ebe8.jpg"/>
    <hyperlink ref="G9" r:id="rId6" display="https://i.ibb.co/TdKwHcy/1ffabf0fe14f.jpg | https://i.ibb.co/TDG7VKmF/171a79eb51db.jpg | https://i.ibb.co/Q7WVmGz2/0c91afae6c65.jpg"/>
    <hyperlink ref="G10" r:id="rId7" display="https://i.ibb.co/cc3kMLpK/53b04780be07.jpg | https://i.ibb.co/ZRSZV7zx/23f87b95eb76.jpg"/>
    <hyperlink ref="G11" r:id="rId8" display="https://i.ibb.co/5WPqGk9Z/ff9771b3f85c.jpg | https://i.ibb.co/Xx9XSkkW/a843df085b90.jpg | https://i.ibb.co/gMsCZk8F/1fca9100cc60.jpg | https://i.ibb.co/gbwZJgF0/cf72cec589c0.jpg | https://i.ibb.co/b560yNCb/199686d84502.jpg"/>
    <hyperlink ref="G12" r:id="rId9" display="https://i.ibb.co/LDLC8ZqF/8cf77b6f5530.jpg | https://i.ibb.co/ZRLNXrzt/4800d4fd2aa6.jpg | https://i.ibb.co/xq9k1xMs/262fcf47083b.jpg | https://i.ibb.co/JWDXJzWr/07cf1aaa8eb2.jpg | https://i.ibb.co/Cpr2n0LQ/9d1b84c61530.jpg"/>
    <hyperlink ref="G13" r:id="rId10" display="https://i.ibb.co/1J82sxYH/922b22e2b347.jpg | https://i.ibb.co/SDgWyTVT/871156f4c614.jpg | https://i.ibb.co/vxQ7GXv3/6ebd6ef51764.jpg | https://i.ibb.co/XrmVv1DK/2f46cc33c276.jpg | https://i.ibb.co/bjvdTxyL/3123161a3e72.jpg"/>
    <hyperlink ref="G14" r:id="rId11" display="https://i.ibb.co/Psk4g0Px/1cb054ea4f6a.jpg"/>
    <hyperlink ref="G15" r:id="rId12" display="https://i.ibb.co/WW3Ww89K/4b2a0d6496e6.jpg | https://i.ibb.co/mFXLhmw9/ae9d4313e427.jpg | https://i.ibb.co/ZPMHNRR/47d47cad66a4.jpg | https://i.ibb.co/Rt7R2Wp/40cda1aa9e80.jpg"/>
    <hyperlink ref="G16" r:id="rId13" display="https://i.ibb.co/jptRYwZ/4b75071905d7.jpg"/>
    <hyperlink ref="G17" r:id="rId14" display="https://i.ibb.co/fdQJtVPD/6c5898afedb4.jpg"/>
    <hyperlink ref="G18" r:id="rId15" display="https://i.ibb.co/Q7RmqyDf/fb4466e57942.jpg | https://i.ibb.co/tMSsM8mG/f53be1cf7c3a.jpg | https://i.ibb.co/ynK0c9RY/d0d17dcd9252.jpg | https://i.ibb.co/7JmgMSjk/82bf315c451b.jpg | https://i.ibb.co/qMP5DS22/2df5b79458e4.jpg"/>
    <hyperlink ref="G19" r:id="rId16" display="https://i.ibb.co/QvjZWqKG/59d01c63a2f6.jpg"/>
    <hyperlink ref="G20" r:id="rId17" display="https://i.ibb.co/m19rqHf/b2e4ad62c53d.jpg"/>
    <hyperlink ref="G21" r:id="rId18" display="https://i.ibb.co/yn0yQ4x1/279f1f147658.jpg"/>
    <hyperlink ref="G22" r:id="rId19" display="https://i.ibb.co/2YCfrKVB/556a869cc13b.jpg"/>
    <hyperlink ref="G23" r:id="rId20" display="https://i.ibb.co/cS5D6Psm/243ecd294b1f.jpg"/>
    <hyperlink ref="G24" r:id="rId21" display="https://i.ibb.co/MxQpY4gN/12a5ddc7c3f2.jpg"/>
    <hyperlink ref="G25" r:id="rId22" display="https://i.ibb.co/mVT1jb3q/cc4177051ecc.jpg"/>
    <hyperlink ref="G26" r:id="rId23" display="https://i.ibb.co/CKNQ4z9d/e8e9d04a488b.jpg"/>
    <hyperlink ref="G27" r:id="rId24" display="https://i.ibb.co/Vc777w3c/b0b48c74575e.jpg | https://i.ibb.co/N648M3vP/11c2306341dc.jpg"/>
    <hyperlink ref="G28" r:id="rId25" display="https://i.ibb.co/bq5YNVk/85adca2d030c.jpg | https://i.ibb.co/YFfSdYCR/e6bcb06764ab.jpg"/>
    <hyperlink ref="G29" r:id="rId26" display="https://i.ibb.co/2zzR477/08f76236c977.jpg | https://i.ibb.co/7x7wYdSR/131c64682066.jpg | https://i.ibb.co/qMYS1513/84844b7670b5.jpg | https://i.ibb.co/qY3RKBtm/6270fc2e42b8.jpg"/>
    <hyperlink ref="G30" r:id="rId27" display="https://i.ibb.co/whnh6pLr/6ba11748fd70.jpg | https://i.ibb.co/twRzwJN2/45656291e067.jpg | https://i.ibb.co/SD0SB54n/ec34380d7077.jpg | https://i.ibb.co/ZzK4tJ5X/5cd310c90a79.jpg"/>
    <hyperlink ref="G31" r:id="rId28" display="https://i.ibb.co/0RrZqhPv/83cabfa26e93.jpg | https://i.ibb.co/WW9zMtSJ/2366efe464e8.jpg | https://i.ibb.co/MxcBVKt5/79dd79aa0263.jpg"/>
    <hyperlink ref="G32" r:id="rId29" display="https://i.ibb.co/twwK46n6/a17d41102121.jpg"/>
    <hyperlink ref="G33" r:id="rId30" display="https://i.ibb.co/BVDVySKF/2531c0f00e11.jpg"/>
    <hyperlink ref="G34" r:id="rId31" display="https://i.ibb.co/Lzt9XjGn/c5910b5f05df.jpg | https://i.ibb.co/7JtVCDb1/781b1f4bca16.jpg"/>
    <hyperlink ref="G35" r:id="rId32" display="https://i.ibb.co/QvBqsVrB/62c63eda3c80.jpg | https://i.ibb.co/JRYGm3CY/d71b42254f96.jpg"/>
    <hyperlink ref="G36" r:id="rId33" display="https://i.ibb.co/MkzHWMCN/b7b646fa0e2f.jpg"/>
    <hyperlink ref="G37" r:id="rId34" display="https://i.ibb.co/ch6mpQxv/cfc4cb910db7.jpg"/>
    <hyperlink ref="G38" r:id="rId35" display="https://i.ibb.co/99k4Dq5L/d46c0d84098c.jpg"/>
    <hyperlink ref="G39" r:id="rId36" display="https://i.ibb.co/bgfH9kgk/77a72493a2a9.jpg"/>
    <hyperlink ref="G40" r:id="rId37" display="https://i.ibb.co/yBxP5Z23/e2a71d7eb3ba.jpg"/>
    <hyperlink ref="G41" r:id="rId38" display="https://i.ibb.co/ynphm1Nj/2387e98568d7.jpg"/>
    <hyperlink ref="G42" r:id="rId39" display="https://i.ibb.co/DHn8F1T6/b6651423efea.jpg | https://i.ibb.co/QFJfJ2KN/c02f7ffad194.jpg"/>
    <hyperlink ref="G43" r:id="rId40" display="https://i.ibb.co/2727DJB1/3ae7e496ad10.jpg"/>
    <hyperlink ref="G44" r:id="rId41" display="https://i.ibb.co/FL85fX9x/31b1b21ce9e1.jpg"/>
    <hyperlink ref="G45" r:id="rId42" display="https://i.ibb.co/j97YnJMw/b05e6fe61233.jpg"/>
    <hyperlink ref="G46" r:id="rId43" display="https://i.ibb.co/NgbxRL2N/27e5367d796d.jpg"/>
    <hyperlink ref="G47" r:id="rId44" display="https://i.ibb.co/fGZNDCPk/92ca183952a3.jpg"/>
    <hyperlink ref="G48" r:id="rId45" display="https://i.ibb.co/7HnFvQr/e70e3dd50d94.jpg"/>
    <hyperlink ref="G49" r:id="rId46" display="https://i.ibb.co/0pv4pkLZ/76b22a74ae65.jpg | https://i.ibb.co/21CbSPSV/d84741ae1ef3.jpg"/>
    <hyperlink ref="G50" r:id="rId47" display="https://i.ibb.co/84bDjHc0/d316030718c1.jpg"/>
    <hyperlink ref="G51" r:id="rId48" display="https://i.ibb.co/Dgt4DpFw/4b7c6bdd70a4.jpg"/>
    <hyperlink ref="G52" r:id="rId49" display="https://i.ibb.co/7NZ7NNxR/2857df8c6fa3.jpg | https://i.ibb.co/8DJTWgNL/f95d061a7c01.jpg"/>
    <hyperlink ref="G53" r:id="rId50" display="https://i.ibb.co/5gk4tDhh/13efe7f780ea.jpg"/>
    <hyperlink ref="G54" r:id="rId51" display="https://i.ibb.co/gHscmRs/fd9581d7dfe7.jpg | https://i.ibb.co/nsR0bHvJ/335b2133a087.jpg | https://i.ibb.co/JRWSZJ8s/01331eaab6af.jpg"/>
    <hyperlink ref="G55" r:id="rId52" display="https://i.ibb.co/60GT35SB/a38a518fb250.jpg | https://i.ibb.co/ynxLnqK2/de727618bf77.jpg"/>
    <hyperlink ref="G56" r:id="rId53" display="https://i.ibb.co/WWd398s8/861ceceec6a6.jpg"/>
    <hyperlink ref="G57" r:id="rId54" display="https://i.ibb.co/TMKCr6Qj/75c05868109a.jpg | https://i.ibb.co/nqTKt8Jt/447819849780.jpg | https://i.ibb.co/jPsdRth0/f57ee83007c1.jpg | https://i.ibb.co/XkzS6Vht/04d876ad9637.jpg"/>
    <hyperlink ref="G58" r:id="rId55" display="https://i.ibb.co/KxFSKVX8/9bd40414853c.jpg"/>
    <hyperlink ref="G59" r:id="rId56" display="https://i.ibb.co/vxGt43t7/1459f5f65542.jpg"/>
    <hyperlink ref="G60" r:id="rId57" display="https://i.ibb.co/pr9cnSM0/52e81f995e35.jpg | https://i.ibb.co/jkx1RFmM/58d9c1af3583.jpg | https://i.ibb.co/Z6fbrkNj/3f7e99b85707.jpg | https://i.ibb.co/N27jvxkF/580608c09a1f.jpg"/>
    <hyperlink ref="G61" r:id="rId58" display="https://i.ibb.co/s47XvNd/6cd9ef796bc1.jpg"/>
    <hyperlink ref="G62" r:id="rId59" display="https://i.ibb.co/JFxHNzQs/89805b217683.jpg | https://i.ibb.co/4nhpCV18/8cdef659b359.jpg"/>
    <hyperlink ref="G63" r:id="rId60" display="https://i.ibb.co/DfPjwzRN/496dbf06e75b.jpg | https://i.ibb.co/0jB6qQzf/baab45f12c2c.jpg"/>
    <hyperlink ref="G64" r:id="rId61" display="https://i.ibb.co/d4Fj3bGz/8e7891537bc9.jpg | https://i.ibb.co/qLsSVB96/970630c19e27.jpg | https://i.ibb.co/R4j5mGFJ/ee733396a77e.jpg"/>
    <hyperlink ref="G65" r:id="rId62" display="https://i.ibb.co/Z6vK4Dbz/66cda2b68d8b.jpg | https://i.ibb.co/dJVL0w4T/72a2bfda9aa7.jpg"/>
    <hyperlink ref="G66" r:id="rId63" display="https://i.ibb.co/G4bnFGC2/5206906f3b42.jpg"/>
    <hyperlink ref="G67" r:id="rId64" display="https://i.ibb.co/b5w020G9/b4f5572b1ed9.jpg"/>
    <hyperlink ref="G68" r:id="rId65" display="https://i.ibb.co/JFx8N73m/87766c057487.jpg"/>
    <hyperlink ref="G69" r:id="rId66" display="https://i.ibb.co/XxrgzxPy/1a8cdc94caf7.jpg"/>
    <hyperlink ref="G70" r:id="rId67" display="https://i.ibb.co/1YfKKW0z/f03ad0c350db.jpg"/>
    <hyperlink ref="G71" r:id="rId68" display="https://i.ibb.co/MkR0wtkV/d5324666531f.jpg"/>
    <hyperlink ref="G72" r:id="rId69" display="https://i.ibb.co/LXHbBNCX/ffb1ff765db9.jpg | https://i.ibb.co/tpsftxFz/1d02acd3f358.jpg"/>
    <hyperlink ref="G73" r:id="rId70" display="https://i.ibb.co/k2SrBPM5/11211fd0389f.jpg"/>
    <hyperlink ref="G74" r:id="rId71" display="https://i.ibb.co/zVBk1qwZ/60c33b536f0c.jpg | https://i.ibb.co/mmcTs3N/10eb29f0da42.jpg | https://i.ibb.co/qMdt52kF/47a022d4f459.jpg"/>
    <hyperlink ref="G75" r:id="rId72" display="https://i.ibb.co/B5mscqGS/7e1bf118ed62.jpg | https://i.ibb.co/jZ18LjZW/876650fc0f79.jpg"/>
    <hyperlink ref="G76" r:id="rId73" display="https://i.ibb.co/1f9BYpkC/2e6bef2110c3.jpg | https://i.ibb.co/s9z2nynG/9ec1af033762.jpg"/>
    <hyperlink ref="G77" r:id="rId74" display="https://i.ibb.co/jvyz6t53/fb9fb5fa0ec6.jpg"/>
    <hyperlink ref="G78" r:id="rId75" display="https://i.ibb.co/Mxd7vgYg/9d7c8aab30d2.jpg | https://i.ibb.co/YFKgFHYf/f6c70b3f6822.jpg | https://i.ibb.co/WNBbN3vS/7da76f22d2c1.jpg"/>
    <hyperlink ref="G79" r:id="rId76" display="https://i.ibb.co/6cpzYdWQ/f762fb52f07b.jpg | https://i.ibb.co/9m9CrCqY/f3a8d937fd34.jpg | https://i.ibb.co/qMP99g1S/80fb132c4eab.jpg"/>
    <hyperlink ref="G80" r:id="rId77" display="https://i.ibb.co/DHQ7syLg/73bf486c6e76.jpg"/>
    <hyperlink ref="G81" r:id="rId78" display="https://i.ibb.co/zVHJnzrS/fad54d3429b0.jpg | https://i.ibb.co/bTwrPnN/3037c7e7281d.jpg"/>
    <hyperlink ref="G82" r:id="rId79" display="https://i.ibb.co/gMsyXPqk/34fb9778d954.jpg"/>
    <hyperlink ref="G83" r:id="rId80" display="https://i.ibb.co/s9kX5qNn/17ebc1d5f32c.jpg | https://i.ibb.co/ZRy3r3T4/b7413580da86.jpg | https://i.ibb.co/YFfCwF3B/2aa619eef3ec.jpg"/>
    <hyperlink ref="G84" r:id="rId81" display="https://i.ibb.co/MysFvdJK/7cc994a38d21.jpg"/>
    <hyperlink ref="G85" r:id="rId82" display="https://i.ibb.co/Tx6nqyqM/d58074246362.jpg"/>
    <hyperlink ref="G86" r:id="rId83" display="https://i.ibb.co/Z6n5bDy4/4f4da9bc0de9.jpg"/>
    <hyperlink ref="G87" r:id="rId84" display="https://i.ibb.co/99rtDHqr/38ed67902991.jpg"/>
    <hyperlink ref="G88" r:id="rId85" display="https://i.ibb.co/6cbTrRvm/54a21f4c79cc.jpg"/>
    <hyperlink ref="G89" r:id="rId86" display="https://i.ibb.co/CsQ3bMwb/b65c494a5b4a.jpg"/>
    <hyperlink ref="G90" r:id="rId87" display="https://i.ibb.co/7tGh4dNy/4929a6514712.jpg"/>
    <hyperlink ref="G92" r:id="rId88" display="https://i.ibb.co/MyBC3Y11/aab966f5177d.jpg"/>
    <hyperlink ref="G93" r:id="rId89" display="https://i.ibb.co/whMYr764/9d52359ec6c4.jpg"/>
    <hyperlink ref="G94" r:id="rId90" display="https://i.ibb.co/N6shNgZC/1e25ef869dc1.jpg"/>
    <hyperlink ref="G95" r:id="rId91" display="https://i.ibb.co/DH3JhYzK/8f57d09b687c.jpg"/>
    <hyperlink ref="G96" r:id="rId92" display="https://i.ibb.co/XfCX7R4G/6d09137f212b.jpg"/>
    <hyperlink ref="G97" r:id="rId93" display="https://i.ibb.co/HpVx8KTH/f4db823cd1b0.jpg"/>
    <hyperlink ref="G98" r:id="rId94" display="https://i.ibb.co/h1h3HCjZ/36bcd77b32c6.jpg"/>
    <hyperlink ref="G99" r:id="rId95" display="https://i.ibb.co/23QKr9Nb/a1508e34cfb2.jpg"/>
    <hyperlink ref="G100" r:id="rId96" display="https://i.ibb.co/Mk1Hp0w5/b982e9d22a76.jpg | https://i.ibb.co/fd9GghBj/7a2685e0f0d4.jpg"/>
    <hyperlink ref="G102" r:id="rId97" display="https://i.ibb.co/MyJ6PzQP/729b451d0af7.jpg | https://i.ibb.co/yDBLBFv/6201a108f7f4.jpg | https://i.ibb.co/yc95Kjfd/6e1bda0f3b78.jpg"/>
    <hyperlink ref="G103" r:id="rId98" display="https://i.ibb.co/21WbMzdG/2467fd140f9c.jpg"/>
    <hyperlink ref="G104" r:id="rId99" display="https://i.ibb.co/VWN1MJ2T/2c7c4aaa5233.jpg"/>
    <hyperlink ref="G105" r:id="rId100" display="https://i.ibb.co/8LR8MfdZ/eedf5881277d.jpg"/>
    <hyperlink ref="G106" r:id="rId101" display="https://i.ibb.co/2YkBJbkk/d692b05da1ae.jpg"/>
    <hyperlink ref="G107" r:id="rId102" display="https://i.ibb.co/4R3DG9V4/d02d02819b94.jpg"/>
    <hyperlink ref="G108" r:id="rId103" display="https://i.ibb.co/fzxDQgq6/cebeb219bdfb.jpg"/>
    <hyperlink ref="G109" r:id="rId104" display="https://i.ibb.co/YF7xJhxS/39481d412fba.jpg"/>
    <hyperlink ref="G110" r:id="rId105" display="https://i.ibb.co/sJ5k78Ps/e4e20e5ece6a.jpg | https://i.ibb.co/PsvR868L/4834a4a1a72f.jpg"/>
    <hyperlink ref="G111" r:id="rId106" display="https://i.ibb.co/zVVsHN6Y/57687a50cb99.jpg | https://i.ibb.co/0y76kqMn/fadc4c2fd699.jpg"/>
    <hyperlink ref="G112" r:id="rId107" display="https://i.ibb.co/xS0SyrLw/ae70d27393fb.jpg"/>
    <hyperlink ref="G114" r:id="rId108" display="https://i.ibb.co/jkG28k8W/21d6184cf99f.jpg"/>
    <hyperlink ref="G115" r:id="rId109" display="https://i.ibb.co/n8D75xvm/095e05b24d33.jpg | https://i.ibb.co/fYdpHzhJ/bb386e02592f.jpg"/>
    <hyperlink ref="G116" r:id="rId110" display="https://i.ibb.co/8nNvFF5P/639a7fff4c28.jpg"/>
    <hyperlink ref="G117" r:id="rId111" display="https://i.ibb.co/CpqWvd47/af4e7cff70f5.jpg | https://i.ibb.co/M5pPgBN6/28d7df91ad00.jpg"/>
    <hyperlink ref="G118" r:id="rId112" display="https://i.ibb.co/wFVKWxcS/cbf00f8f6445.jpg"/>
    <hyperlink ref="G119" r:id="rId113" display="https://i.ibb.co/60sfPVRr/60186075a704.jpg | https://i.ibb.co/93cc1GF9/4dcdf9d5b99b.jpg"/>
    <hyperlink ref="G120" r:id="rId114" display="https://i.ibb.co/MyJ6PzQP/729b451d0af7.jpg | https://i.ibb.co/yDBLBFv/6201a108f7f4.jpg | https://i.ibb.co/yc95Kjfd/6e1bda0f3b78.jpg"/>
    <hyperlink ref="G121" r:id="rId115" display="https://i.ibb.co/21WbMzdG/2467fd140f9c.jpg"/>
    <hyperlink ref="G122" r:id="rId116" display="https://i.ibb.co/VWN1MJ2T/2c7c4aaa5233.jpg"/>
    <hyperlink ref="G123" r:id="rId117" display="https://i.ibb.co/8LR8MfdZ/eedf5881277d.jpg"/>
    <hyperlink ref="G124" r:id="rId118" display="https://i.ibb.co/2YkBJbkk/d692b05da1ae.jpg"/>
    <hyperlink ref="G125" r:id="rId119" display="https://i.ibb.co/4R3DG9V4/d02d02819b94.jpg"/>
    <hyperlink ref="G126" r:id="rId120" display="https://i.ibb.co/fzxDQgq6/cebeb219bdfb.jpg"/>
    <hyperlink ref="G127" r:id="rId121" display="https://i.ibb.co/B5wGqg8b/05c759851e6a.jpg | https://i.ibb.co/0SBcPxM/d0fe0c86cc73.jpg | https://i.ibb.co/Zzh6tNqg/c8003db95f6b.jpg | https://i.ibb.co/dJHTS5zW/02434c2a1a46.jpg | https://i.ibb.co/1Gc8Vn6w/8445e1786a22.jpg"/>
    <hyperlink ref="G128" r:id="rId122" display="https://i.ibb.co/wNcdVsC4/eaf4fc008274.jpg | https://i.ibb.co/jBHpz63/4f483308f085.jpg | https://i.ibb.co/bgTBjq7D/3f67223bdf6f.jpg | https://i.ibb.co/KxJmHJFk/2598c7d8cf17.jpg | https://i.ibb.co/9mVkHZnF/466e5f1dd050.jpg"/>
    <hyperlink ref="G130" r:id="rId123" display="https://i.ibb.co/4Lm1wtv/867c68c34f18.jpg"/>
    <hyperlink ref="G131" r:id="rId124" display="https://i.ibb.co/zT3vH0p4/e6d9f4d4ac11.jpg"/>
    <hyperlink ref="G132" r:id="rId125" display="https://i.ibb.co/nNJdmRCv/96dd1fa2af26.jpg | https://i.ibb.co/21ytbYXr/5d8a753ea700.jpg | https://i.ibb.co/rRKxF5JW/88e926d0f82d.jpg | https://i.ibb.co/GQgYY3g5/1e0993637a03.jpg | https://i.ibb.co/DDrsPRXQ/f31a7f3f7057.jpg"/>
    <hyperlink ref="G133" r:id="rId126" display="https://i.ibb.co/fz71QBd6/ef70e2b30651.jpg | https://i.ibb.co/LXknV59C/6c1f8758b8e1.jpg"/>
    <hyperlink ref="G134" r:id="rId127" display="https://i.ibb.co/tMx7gggm/abf525f29670.jpg | https://i.ibb.co/tfjqc3R/7e658c95da4e.jpg | https://i.ibb.co/3GLY3t0/2bd93c46a850.jpg | https://i.ibb.co/zVS1yp8j/b4402a249439.jpg | https://i.ibb.co/PZ7k18RS/dc899058dd70.jpg"/>
    <hyperlink ref="G135" r:id="rId128" display="https://i.ibb.co/v4xSmXy3/6399dadb5905.jpg | https://i.ibb.co/rG61wPKd/653916e35dcf.jpg | https://i.ibb.co/WvPQMy07/759f953cc713.jpg | https://i.ibb.co/sJt0Phch/be223e78ac22.jpg"/>
    <hyperlink ref="G136" r:id="rId129" display="https://i.ibb.co/YF2bZzqj/4edade705ac0.jpg | https://i.ibb.co/HDGNGBBm/258684e06df6.jpg"/>
    <hyperlink ref="G137" r:id="rId130" display="https://i.ibb.co/r2KgdVC9/a159e8a627e7.jpg"/>
    <hyperlink ref="G139" r:id="rId131" display="https://i.ibb.co/sxBDvN6/f0394f506858.jpg"/>
    <hyperlink ref="G140" r:id="rId132" display="https://i.ibb.co/hJH4xjGC/61795342a129.jpg"/>
    <hyperlink ref="G141" r:id="rId133" display="https://i.ibb.co/Ng1Cj1Ry/a8df7cd5de9f.jpg"/>
    <hyperlink ref="G142" r:id="rId134" display="https://i.ibb.co/DDrzbrxn/e9383d640838.jpg | https://i.ibb.co/yF6wHgts/30dffb1e290b.jpg | https://i.ibb.co/xqMc0PLj/66f858a056c9.jpg"/>
    <hyperlink ref="G143" r:id="rId135" display="https://i.ibb.co/9kWd0Ygd/414280c92f37.jpg"/>
    <hyperlink ref="G144" r:id="rId136" display="https://i.ibb.co/0ptc6SZs/17f4fd4318c8.jpg"/>
    <hyperlink ref="G145" r:id="rId137" display="https://i.ibb.co/0RbHPHY1/7582b3829c13.jpg | https://i.ibb.co/hJr7t9fs/ba3a38af79cf.jpg"/>
    <hyperlink ref="G146" r:id="rId138" display="https://i.ibb.co/VYCmtf9Z/6abe906e4af3.jpg | https://i.ibb.co/2Y3KKpV1/59e5075d0501.jpg | https://i.ibb.co/1J6k3yPk/d5840ebc21c2.jpg | https://i.ibb.co/6Rw8RTfY/7762b24e04d3.jpg"/>
    <hyperlink ref="G147" r:id="rId139" display="https://i.ibb.co/KjzGJ0Xy/9b1b750da460.jpg | https://i.ibb.co/MyM5vVmB/a852470e8dbb.jpg | https://i.ibb.co/4ZgC3gmB/759abe156364.jpg"/>
    <hyperlink ref="G148" r:id="rId140" display="https://i.ibb.co/dw8GwPc9/df5693e0c7c3.jpg | https://i.ibb.co/TB4X0Fx0/6d3a18877e78.jpg | https://i.ibb.co/HyQZZNj/bcea8bc38464.jpg | https://i.ibb.co/wZfWmNrz/1d5c4e475c3f.jpg"/>
    <hyperlink ref="G149" r:id="rId141" display="https://i.ibb.co/gbxGx10j/436326e8ca26.jpg | https://i.ibb.co/Kcb49JWf/6224e9593a1f.jpg | https://i.ibb.co/VWQFDgTW/ca59ccfde78b.jpg"/>
    <hyperlink ref="G150" r:id="rId142" display="https://i.ibb.co/gLQ6nDSd/b769ff1bfd36.jpg | https://i.ibb.co/nNH1cJQ9/f7c769cbee80.jpg | https://i.ibb.co/s9KYb1dr/00868dadc0c2.jpg | https://i.ibb.co/ks0kZQLG/c57413dd5305.jpg"/>
    <hyperlink ref="G151" r:id="rId143" display="https://i.ibb.co/Lzm3TnJR/92658f6e75d4.jpg | https://i.ibb.co/mCNXf5rp/a52a43397956.jpg | https://i.ibb.co/gFB6M7h5/82a835276612.jpg | https://i.ibb.co/XxVBz9Ld/48e7b76e0ef3.jpg"/>
    <hyperlink ref="G152" r:id="rId144" display="https://i.ibb.co/cXZtVCQp/2c0239d571ea.jpg"/>
    <hyperlink ref="G153" r:id="rId145" display="https://i.ibb.co/1f9hxr1D/6ca7a14531f6.jpg | https://i.ibb.co/zV6ZZw5x/13d9824beea4.jpg"/>
    <hyperlink ref="G154" r:id="rId146" display="https://i.ibb.co/1tZJf3W4/53e5a708a2d4.jpg"/>
    <hyperlink ref="G155" r:id="rId147" display="https://i.ibb.co/4n4qYJGz/efd0e9731af2.jpg | https://i.ibb.co/Q7Qjv1j8/ba52c090056a.jpg | https://i.ibb.co/0RRgbJkW/212f35865743.jpg | https://i.ibb.co/Txm9wRRW/95294becc7ab.jpg"/>
    <hyperlink ref="G156" r:id="rId148" display="https://i.ibb.co/mVLQTZT0/92cb65565712.jpg | https://i.ibb.co/C3mjqcWV/d651d7657618.jpg | https://i.ibb.co/LXtfJdQf/0ed730f0596f.jpg | https://i.ibb.co/F4vkvcS4/b946e8aeca88.jpg"/>
    <hyperlink ref="G157" r:id="rId149" display="https://i.ibb.co/nMfNwcdf/32b9036c5d18.jpg | https://i.ibb.co/4wbG41pz/21026aa555dd.jpg | https://i.ibb.co/tTGj99Bm/ba2454883359.jpg"/>
    <hyperlink ref="G158" r:id="rId150" display="https://i.ibb.co/JRtKQfZd/9f91d5bfd497.jpg | https://i.ibb.co/rqrBKg3/98ef4f1da09d.jpg | https://i.ibb.co/zhBy211v/b9d94ee34eae.jpg | https://i.ibb.co/4ZxTkFdC/31215b3b3112.jpg"/>
    <hyperlink ref="G159" r:id="rId151" display="https://i.ibb.co/mrs7zTmp/c52f31d1f3b8.jpg"/>
    <hyperlink ref="G160" r:id="rId152" display="https://i.ibb.co/679pj7JW/032df7288717.jpg"/>
    <hyperlink ref="G161" r:id="rId153" display="https://i.ibb.co/Ngv0bRVP/7b3a9bfc0229.jpg"/>
    <hyperlink ref="G162" r:id="rId154" display="https://i.ibb.co/VpQmpzcB/b17035e70c99.jpg"/>
    <hyperlink ref="G163" r:id="rId155" display="https://i.ibb.co/cXtMZ3RX/bf13822f1c96.jpg"/>
    <hyperlink ref="G164" r:id="rId156" display="https://i.ibb.co/sdXx9HRK/d46f55f62cdf.jpg"/>
    <hyperlink ref="G165" r:id="rId157" display="https://i.ibb.co/QFtCs22P/85fa1d71ba6c.jpg"/>
    <hyperlink ref="G166" r:id="rId158" display="https://i.ibb.co/MyW3tbfZ/39e6f301685c.jpg"/>
    <hyperlink ref="G167" r:id="rId159" display="https://i.ibb.co/DPvbPskJ/a5eec72114b7.jpg"/>
    <hyperlink ref="G168" r:id="rId160" display="https://i.ibb.co/QsTz3dx/b985995513df.jpg"/>
    <hyperlink ref="G169" r:id="rId161" display="https://i.ibb.co/LzbTn4hV/ed28575c2735.jpg"/>
    <hyperlink ref="G170" r:id="rId162" display="https://i.ibb.co/LDf8wRbn/a7f8059b557a.jpg"/>
    <hyperlink ref="G171" r:id="rId163" display="https://i.ibb.co/7BNyFqw/36d1b037fee1.jpg"/>
    <hyperlink ref="G172" r:id="rId164" display="https://i.ibb.co/MyJ6LXjg/4dfe707300d1.jpg"/>
    <hyperlink ref="G173" r:id="rId165" display="https://i.ibb.co/JW2R228C/eba7ce9f76a5.jpg"/>
    <hyperlink ref="G174" r:id="rId166" display="https://i.ibb.co/8LwVd5wz/f68bc27804d8.jpg"/>
    <hyperlink ref="G175" r:id="rId167" display="https://i.ibb.co/C3MLn3P8/cff405cd4423.jpg"/>
    <hyperlink ref="G176" r:id="rId168" display="https://i.ibb.co/tPD4wSSp/9f83d948f23d.jpg"/>
    <hyperlink ref="G177" r:id="rId169" display="https://i.ibb.co/M5knjvNc/9510cb84f122.jpg"/>
    <hyperlink ref="G178" r:id="rId170" display="https://i.ibb.co/60Gz6k29/3328e69c9444.jpg | https://i.ibb.co/0RGT38Jd/8765e338d62f.jpg"/>
    <hyperlink ref="G179" r:id="rId171" display="https://i.ibb.co/dsws3TMg/38f1714bbc08.jpg"/>
    <hyperlink ref="G180" r:id="rId172" display="https://i.ibb.co/ksmJKrn8/20c46daad85f.jpg"/>
    <hyperlink ref="G181" r:id="rId173" display="https://i.ibb.co/YHq4VzG/3293f90e6d4d.jpg"/>
    <hyperlink ref="G182" r:id="rId174" display="https://i.ibb.co/kVWQcjfb/d5f59f11d7bc.jpg"/>
    <hyperlink ref="G183" r:id="rId175" display="https://i.ibb.co/QvDBjJcn/175cf909d418.jpg"/>
    <hyperlink ref="G184" r:id="rId176" display="https://i.ibb.co/m59zvPN7/5e2f6f0140ed.jpg"/>
    <hyperlink ref="G185" r:id="rId177" display="https://i.ibb.co/fVwK5hpV/e62262d1273d.jpg"/>
    <hyperlink ref="G186" r:id="rId178" display="https://i.ibb.co/wZmDGvfR/24aebb6aa2a1.jpg"/>
    <hyperlink ref="G187" r:id="rId179" display="https://i.ibb.co/tpN2pRKR/b3f0ac5ce5ce.jpg"/>
    <hyperlink ref="G188" r:id="rId180" display="https://i.ibb.co/twP6KBCh/e364faa0a05f.jpg"/>
    <hyperlink ref="G189" r:id="rId181" display="https://i.ibb.co/TDnbYnNX/55f63537cf11.jpg"/>
    <hyperlink ref="G190" r:id="rId182" display="https://i.ibb.co/c7Nny7d/db493548a3d4.jpg"/>
    <hyperlink ref="G191" r:id="rId183" display="https://i.ibb.co/d4L4K5zx/e8f6ff132221.jpg"/>
    <hyperlink ref="G192" r:id="rId184" display="https://i.ibb.co/fGqg14yW/067d1d7809c1.jpg"/>
    <hyperlink ref="G193" r:id="rId185" display="https://i.ibb.co/HDDtdwV9/68a3f9245b5e.jpg"/>
    <hyperlink ref="G194" r:id="rId186" display="https://i.ibb.co/SLQWPjy/a14a98c66c53.jpg"/>
    <hyperlink ref="G195" r:id="rId187" display="https://i.ibb.co/0V6GVQm8/066e0d014357.jpg"/>
    <hyperlink ref="G196" r:id="rId188" display="https://i.ibb.co/Kc9Fd35s/356548df3adc.jpg"/>
    <hyperlink ref="G197" r:id="rId189" display="https://i.ibb.co/DDqBgTvg/7b6ecc2d3bbf.jpg"/>
    <hyperlink ref="G198" r:id="rId190" display="https://i.ibb.co/mCTwHnj3/54624dc96a6d.jpg"/>
    <hyperlink ref="G199" r:id="rId191" display="https://i.ibb.co/dsVD2ZZq/88efe0eccd42.jpg"/>
    <hyperlink ref="G200" r:id="rId192" display="https://i.ibb.co/k7G8DTb/c9d665999c4c.jpg"/>
    <hyperlink ref="G201" r:id="rId193" display="https://i.ibb.co/5xSg2Szm/6e6f30d0df12.jpg"/>
    <hyperlink ref="G202" r:id="rId194" display="https://i.ibb.co/XfWwM0Mv/e2ba680f0a0e.jpg"/>
    <hyperlink ref="G203" r:id="rId195" display="https://i.ibb.co/SD7njffh/e529b0472fff.jpg"/>
    <hyperlink ref="G204" r:id="rId196" display="https://i.ibb.co/Fk5cH7L1/4b758f3867dc.jpg"/>
    <hyperlink ref="G205" r:id="rId197" display="https://i.ibb.co/N6F8DCXC/d799e52cc3e6.jpg"/>
    <hyperlink ref="G206" r:id="rId198" display="https://i.ibb.co/PvKn3Ttp/de8fc32528dd.jpg"/>
    <hyperlink ref="G207" r:id="rId199" display="https://i.ibb.co/0psLW56P/107710d6bcb3.jpg"/>
  </hyperlinks>
  <printOptions headings="false" gridLines="false" gridLinesSet="true" horizontalCentered="false" verticalCentered="false"/>
  <pageMargins left="0.75" right="0.75" top="1" bottom="1" header="0.511811023622047" footer="0.511811023622047"/>
  <pageSetup paperSize="9" scale="90" fitToWidth="1" fitToHeight="1" pageOrder="downThenOver" orientation="portrait" blackAndWhite="false" draft="false" cellComments="none" horizontalDpi="300" verticalDpi="300" copies="1"/>
  <headerFooter differentFirst="false" differentOddEven="false">
    <oddHeader/>
    <oddFooter/>
  </headerFooter>
  <tableParts>
    <tablePart r:id="rId200"/>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J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11" activeCellId="0" sqref="B11"/>
    </sheetView>
  </sheetViews>
  <sheetFormatPr defaultColWidth="8.6796875" defaultRowHeight="14.25" zeroHeight="false" outlineLevelRow="0" outlineLevelCol="0"/>
  <cols>
    <col collapsed="false" customWidth="true" hidden="false" outlineLevel="0" max="1" min="1" style="1" width="7.29"/>
    <col collapsed="false" customWidth="true" hidden="false" outlineLevel="0" max="2" min="2" style="1" width="60"/>
    <col collapsed="false" customWidth="true" hidden="false" outlineLevel="0" max="3" min="3" style="1" width="12"/>
    <col collapsed="false" customWidth="true" hidden="false" outlineLevel="0" max="4" min="4" style="1" width="16"/>
    <col collapsed="false" customWidth="true" hidden="false" outlineLevel="0" max="5" min="5" style="1" width="18"/>
    <col collapsed="false" customWidth="true" hidden="false" outlineLevel="0" max="6" min="6" style="1" width="15"/>
    <col collapsed="false" customWidth="true" hidden="false" outlineLevel="0" max="7" min="7" style="1" width="13"/>
    <col collapsed="false" customWidth="true" hidden="false" outlineLevel="0" max="8" min="8" style="1" width="18"/>
    <col collapsed="false" customWidth="true" hidden="false" outlineLevel="0" max="9" min="9" style="1" width="13"/>
    <col collapsed="false" customWidth="true" hidden="false" outlineLevel="0" max="10" min="10" style="1" width="40"/>
  </cols>
  <sheetData>
    <row r="1" customFormat="false" ht="33.75" hidden="false" customHeight="true" outlineLevel="0" collapsed="false">
      <c r="A1" s="179" t="s">
        <v>1701</v>
      </c>
      <c r="B1" s="179"/>
      <c r="C1" s="179"/>
      <c r="D1" s="179"/>
      <c r="E1" s="179"/>
      <c r="F1" s="180" t="str">
        <f aca="false">"🔧 "&amp;COUNTIFS(B4:B504,"&lt;&gt;",F4:F504,"Re-Installed")&amp;" / "&amp;COUNTIF(B4:B504,"&lt;&gt;")&amp;" Re-Installed ("&amp;TEXT(IFERROR(COUNTIFS(B4:B504,"&lt;&gt;",F4:F504,"Re-Installed")/COUNTIF(B4:B504,"&lt;&gt;"),0),"0%")&amp;")"</f>
        <v>🔧 0 / 0 Re-Installed (0%)</v>
      </c>
      <c r="G1" s="180"/>
      <c r="H1" s="180"/>
      <c r="I1" s="180"/>
      <c r="J1" s="180"/>
    </row>
    <row r="2" customFormat="false" ht="19.5" hidden="false" customHeight="true" outlineLevel="0" collapsed="false">
      <c r="A2" s="181" t="s">
        <v>1702</v>
      </c>
      <c r="B2" s="181"/>
      <c r="C2" s="181"/>
      <c r="D2" s="181"/>
      <c r="E2" s="181"/>
      <c r="F2" s="182" t="str">
        <f aca="false">"⚠️ Still Open: "&amp;COUNTIFS(B4:B504,"&lt;&gt;",F4:F504,"Open")</f>
        <v>⚠️ Still Open: 0</v>
      </c>
      <c r="G2" s="182"/>
      <c r="H2" s="182"/>
      <c r="I2" s="182"/>
      <c r="J2" s="182"/>
    </row>
    <row r="3" customFormat="false" ht="31.5" hidden="false" customHeight="true" outlineLevel="0" collapsed="false">
      <c r="A3" s="183" t="s">
        <v>3</v>
      </c>
      <c r="B3" s="183" t="s">
        <v>1703</v>
      </c>
      <c r="C3" s="183" t="s">
        <v>11</v>
      </c>
      <c r="D3" s="183" t="s">
        <v>1704</v>
      </c>
      <c r="E3" s="183" t="s">
        <v>1705</v>
      </c>
      <c r="F3" s="183" t="s">
        <v>5</v>
      </c>
      <c r="G3" s="183" t="s">
        <v>1706</v>
      </c>
      <c r="H3" s="183" t="s">
        <v>1707</v>
      </c>
      <c r="I3" s="183" t="s">
        <v>1708</v>
      </c>
      <c r="J3" s="183" t="s">
        <v>9</v>
      </c>
    </row>
    <row r="4" customFormat="false" ht="15" hidden="false" customHeight="true" outlineLevel="0" collapsed="false">
      <c r="A4" s="184"/>
      <c r="B4" s="185"/>
      <c r="C4" s="186"/>
      <c r="D4" s="186"/>
      <c r="E4" s="185"/>
      <c r="F4" s="186"/>
      <c r="G4" s="187"/>
      <c r="H4" s="185"/>
      <c r="I4" s="187"/>
      <c r="J4" s="185"/>
    </row>
    <row r="5" customFormat="false" ht="15" hidden="false" customHeight="true" outlineLevel="0" collapsed="false">
      <c r="A5" s="184"/>
      <c r="B5" s="185"/>
      <c r="C5" s="186"/>
      <c r="D5" s="186"/>
      <c r="E5" s="185"/>
      <c r="F5" s="186"/>
      <c r="G5" s="187"/>
      <c r="H5" s="185"/>
      <c r="I5" s="187"/>
      <c r="J5" s="185"/>
    </row>
    <row r="6" customFormat="false" ht="15" hidden="false" customHeight="true" outlineLevel="0" collapsed="false">
      <c r="A6" s="184"/>
      <c r="B6" s="185"/>
      <c r="C6" s="186"/>
      <c r="D6" s="186"/>
      <c r="E6" s="185"/>
      <c r="F6" s="186"/>
      <c r="G6" s="187"/>
      <c r="H6" s="185"/>
      <c r="I6" s="187"/>
      <c r="J6" s="185"/>
    </row>
    <row r="7" customFormat="false" ht="15" hidden="false" customHeight="true" outlineLevel="0" collapsed="false">
      <c r="A7" s="184"/>
      <c r="B7" s="185"/>
      <c r="C7" s="186"/>
      <c r="D7" s="186"/>
      <c r="E7" s="185"/>
      <c r="F7" s="186"/>
      <c r="G7" s="187"/>
      <c r="H7" s="185"/>
      <c r="I7" s="187"/>
      <c r="J7" s="185"/>
    </row>
    <row r="8" customFormat="false" ht="15" hidden="false" customHeight="true" outlineLevel="0" collapsed="false">
      <c r="A8" s="184" t="str">
        <f aca="false">IF(B8&lt;&gt;"",ROW()-3,"")</f>
        <v/>
      </c>
      <c r="B8" s="185"/>
      <c r="C8" s="186"/>
      <c r="D8" s="186"/>
      <c r="E8" s="185"/>
      <c r="F8" s="186"/>
      <c r="G8" s="187"/>
      <c r="H8" s="185"/>
      <c r="I8" s="187"/>
      <c r="J8" s="185"/>
    </row>
    <row r="9" customFormat="false" ht="15" hidden="false" customHeight="true" outlineLevel="0" collapsed="false">
      <c r="A9" s="184" t="str">
        <f aca="false">IF(B9&lt;&gt;"",ROW()-3,"")</f>
        <v/>
      </c>
      <c r="B9" s="185"/>
      <c r="C9" s="186"/>
      <c r="D9" s="186"/>
      <c r="E9" s="185"/>
      <c r="F9" s="186"/>
      <c r="G9" s="187"/>
      <c r="H9" s="185"/>
      <c r="I9" s="187"/>
      <c r="J9" s="185"/>
    </row>
    <row r="10" customFormat="false" ht="15" hidden="false" customHeight="true" outlineLevel="0" collapsed="false">
      <c r="A10" s="184" t="str">
        <f aca="false">IF(B10&lt;&gt;"",ROW()-3,"")</f>
        <v/>
      </c>
      <c r="B10" s="185"/>
      <c r="C10" s="186"/>
      <c r="D10" s="186"/>
      <c r="E10" s="185"/>
      <c r="F10" s="186"/>
      <c r="G10" s="187"/>
      <c r="H10" s="185"/>
      <c r="I10" s="187"/>
      <c r="J10" s="185"/>
    </row>
    <row r="11" customFormat="false" ht="15" hidden="false" customHeight="true" outlineLevel="0" collapsed="false">
      <c r="A11" s="184" t="str">
        <f aca="false">IF(B11&lt;&gt;"",ROW()-3,"")</f>
        <v/>
      </c>
      <c r="B11" s="185"/>
      <c r="C11" s="186"/>
      <c r="D11" s="186"/>
      <c r="E11" s="185"/>
      <c r="F11" s="186"/>
      <c r="G11" s="187"/>
      <c r="H11" s="185"/>
      <c r="I11" s="187"/>
      <c r="J11" s="185"/>
    </row>
    <row r="12" customFormat="false" ht="15" hidden="false" customHeight="true" outlineLevel="0" collapsed="false">
      <c r="A12" s="184" t="str">
        <f aca="false">IF(B12&lt;&gt;"",ROW()-3,"")</f>
        <v/>
      </c>
      <c r="B12" s="185"/>
      <c r="C12" s="186"/>
      <c r="D12" s="186"/>
      <c r="E12" s="185"/>
      <c r="F12" s="186"/>
      <c r="G12" s="187"/>
      <c r="H12" s="185"/>
      <c r="I12" s="187"/>
      <c r="J12" s="185"/>
    </row>
    <row r="13" customFormat="false" ht="15" hidden="false" customHeight="true" outlineLevel="0" collapsed="false">
      <c r="A13" s="184" t="str">
        <f aca="false">IF(B13&lt;&gt;"",ROW()-3,"")</f>
        <v/>
      </c>
      <c r="B13" s="185"/>
      <c r="C13" s="186"/>
      <c r="D13" s="186"/>
      <c r="E13" s="185"/>
      <c r="F13" s="186"/>
      <c r="G13" s="187"/>
      <c r="H13" s="185"/>
      <c r="I13" s="187"/>
      <c r="J13" s="185"/>
    </row>
    <row r="14" customFormat="false" ht="15" hidden="false" customHeight="true" outlineLevel="0" collapsed="false">
      <c r="A14" s="184" t="str">
        <f aca="false">IF(B14&lt;&gt;"",ROW()-3,"")</f>
        <v/>
      </c>
      <c r="B14" s="185"/>
      <c r="C14" s="186"/>
      <c r="D14" s="186"/>
      <c r="E14" s="185"/>
      <c r="F14" s="186"/>
      <c r="G14" s="187"/>
      <c r="H14" s="185"/>
      <c r="I14" s="187"/>
      <c r="J14" s="185"/>
    </row>
    <row r="15" customFormat="false" ht="15" hidden="false" customHeight="true" outlineLevel="0" collapsed="false">
      <c r="A15" s="184" t="str">
        <f aca="false">IF(B15&lt;&gt;"",ROW()-3,"")</f>
        <v/>
      </c>
      <c r="B15" s="185"/>
      <c r="C15" s="186"/>
      <c r="D15" s="186"/>
      <c r="E15" s="185"/>
      <c r="F15" s="186"/>
      <c r="G15" s="187"/>
      <c r="H15" s="185"/>
      <c r="I15" s="187"/>
      <c r="J15" s="185"/>
    </row>
    <row r="16" customFormat="false" ht="15" hidden="false" customHeight="true" outlineLevel="0" collapsed="false">
      <c r="A16" s="184" t="str">
        <f aca="false">IF(B16&lt;&gt;"",ROW()-3,"")</f>
        <v/>
      </c>
      <c r="B16" s="185"/>
      <c r="C16" s="186"/>
      <c r="D16" s="186"/>
      <c r="E16" s="185"/>
      <c r="F16" s="186"/>
      <c r="G16" s="187"/>
      <c r="H16" s="185"/>
      <c r="I16" s="187"/>
      <c r="J16" s="185"/>
    </row>
    <row r="17" customFormat="false" ht="15" hidden="false" customHeight="true" outlineLevel="0" collapsed="false">
      <c r="A17" s="184" t="str">
        <f aca="false">IF(B17&lt;&gt;"",ROW()-3,"")</f>
        <v/>
      </c>
      <c r="B17" s="185"/>
      <c r="C17" s="186"/>
      <c r="D17" s="186"/>
      <c r="E17" s="185"/>
      <c r="F17" s="186"/>
      <c r="G17" s="187"/>
      <c r="H17" s="185"/>
      <c r="I17" s="187"/>
      <c r="J17" s="185"/>
    </row>
    <row r="18" customFormat="false" ht="15" hidden="false" customHeight="true" outlineLevel="0" collapsed="false">
      <c r="A18" s="184" t="str">
        <f aca="false">IF(B18&lt;&gt;"",ROW()-3,"")</f>
        <v/>
      </c>
      <c r="B18" s="185"/>
      <c r="C18" s="186"/>
      <c r="D18" s="186"/>
      <c r="E18" s="185"/>
      <c r="F18" s="186"/>
      <c r="G18" s="187"/>
      <c r="H18" s="185"/>
      <c r="I18" s="187"/>
      <c r="J18" s="185"/>
    </row>
    <row r="19" customFormat="false" ht="15" hidden="false" customHeight="true" outlineLevel="0" collapsed="false">
      <c r="A19" s="184" t="str">
        <f aca="false">IF(B19&lt;&gt;"",ROW()-3,"")</f>
        <v/>
      </c>
      <c r="B19" s="185"/>
      <c r="C19" s="186"/>
      <c r="D19" s="186"/>
      <c r="E19" s="185"/>
      <c r="F19" s="186"/>
      <c r="G19" s="187"/>
      <c r="H19" s="185"/>
      <c r="I19" s="187"/>
      <c r="J19" s="185"/>
    </row>
    <row r="20" customFormat="false" ht="15" hidden="false" customHeight="true" outlineLevel="0" collapsed="false">
      <c r="A20" s="184" t="str">
        <f aca="false">IF(B20&lt;&gt;"",ROW()-3,"")</f>
        <v/>
      </c>
      <c r="B20" s="185"/>
      <c r="C20" s="186"/>
      <c r="D20" s="186"/>
      <c r="E20" s="185"/>
      <c r="F20" s="186"/>
      <c r="G20" s="187"/>
      <c r="H20" s="185"/>
      <c r="I20" s="187"/>
      <c r="J20" s="185"/>
    </row>
    <row r="21" customFormat="false" ht="15" hidden="false" customHeight="true" outlineLevel="0" collapsed="false">
      <c r="A21" s="184" t="str">
        <f aca="false">IF(B21&lt;&gt;"",ROW()-3,"")</f>
        <v/>
      </c>
      <c r="B21" s="185"/>
      <c r="C21" s="186"/>
      <c r="D21" s="186"/>
      <c r="E21" s="185"/>
      <c r="F21" s="186"/>
      <c r="G21" s="187"/>
      <c r="H21" s="185"/>
      <c r="I21" s="187"/>
      <c r="J21" s="185"/>
    </row>
    <row r="22" customFormat="false" ht="15" hidden="false" customHeight="true" outlineLevel="0" collapsed="false">
      <c r="A22" s="184" t="str">
        <f aca="false">IF(B22&lt;&gt;"",ROW()-3,"")</f>
        <v/>
      </c>
      <c r="B22" s="185"/>
      <c r="C22" s="186"/>
      <c r="D22" s="186"/>
      <c r="E22" s="185"/>
      <c r="F22" s="186"/>
      <c r="G22" s="187"/>
      <c r="H22" s="185"/>
      <c r="I22" s="187"/>
      <c r="J22" s="185"/>
    </row>
    <row r="23" customFormat="false" ht="15" hidden="false" customHeight="true" outlineLevel="0" collapsed="false">
      <c r="A23" s="184" t="str">
        <f aca="false">IF(B23&lt;&gt;"",ROW()-3,"")</f>
        <v/>
      </c>
      <c r="B23" s="185"/>
      <c r="C23" s="186"/>
      <c r="D23" s="186"/>
      <c r="E23" s="185"/>
      <c r="F23" s="186"/>
      <c r="G23" s="187"/>
      <c r="H23" s="185"/>
      <c r="I23" s="187"/>
      <c r="J23" s="185"/>
    </row>
    <row r="24" customFormat="false" ht="15" hidden="false" customHeight="true" outlineLevel="0" collapsed="false">
      <c r="A24" s="184" t="str">
        <f aca="false">IF(B24&lt;&gt;"",ROW()-3,"")</f>
        <v/>
      </c>
      <c r="B24" s="185"/>
      <c r="C24" s="186"/>
      <c r="D24" s="186"/>
      <c r="E24" s="185"/>
      <c r="F24" s="186"/>
      <c r="G24" s="187"/>
      <c r="H24" s="185"/>
      <c r="I24" s="187"/>
      <c r="J24" s="185"/>
    </row>
    <row r="25" customFormat="false" ht="15" hidden="false" customHeight="true" outlineLevel="0" collapsed="false">
      <c r="A25" s="184" t="str">
        <f aca="false">IF(B25&lt;&gt;"",ROW()-3,"")</f>
        <v/>
      </c>
      <c r="B25" s="185"/>
      <c r="C25" s="186"/>
      <c r="D25" s="186"/>
      <c r="E25" s="185"/>
      <c r="F25" s="186"/>
      <c r="G25" s="187"/>
      <c r="H25" s="185"/>
      <c r="I25" s="187"/>
      <c r="J25" s="185"/>
    </row>
    <row r="26" customFormat="false" ht="15" hidden="false" customHeight="true" outlineLevel="0" collapsed="false">
      <c r="A26" s="184" t="str">
        <f aca="false">IF(B26&lt;&gt;"",ROW()-3,"")</f>
        <v/>
      </c>
      <c r="B26" s="185"/>
      <c r="C26" s="186"/>
      <c r="D26" s="186"/>
      <c r="E26" s="185"/>
      <c r="F26" s="186"/>
      <c r="G26" s="187"/>
      <c r="H26" s="185"/>
      <c r="I26" s="187"/>
      <c r="J26" s="185"/>
    </row>
    <row r="27" customFormat="false" ht="15" hidden="false" customHeight="true" outlineLevel="0" collapsed="false">
      <c r="A27" s="184" t="str">
        <f aca="false">IF(B27&lt;&gt;"",ROW()-3,"")</f>
        <v/>
      </c>
      <c r="B27" s="185"/>
      <c r="C27" s="186"/>
      <c r="D27" s="186"/>
      <c r="E27" s="185"/>
      <c r="F27" s="186"/>
      <c r="G27" s="187"/>
      <c r="H27" s="185"/>
      <c r="I27" s="187"/>
      <c r="J27" s="185"/>
    </row>
    <row r="28" customFormat="false" ht="15" hidden="false" customHeight="true" outlineLevel="0" collapsed="false">
      <c r="A28" s="184" t="str">
        <f aca="false">IF(B28&lt;&gt;"",ROW()-3,"")</f>
        <v/>
      </c>
      <c r="B28" s="185"/>
      <c r="C28" s="186"/>
      <c r="D28" s="186"/>
      <c r="E28" s="185"/>
      <c r="F28" s="186"/>
      <c r="G28" s="187"/>
      <c r="H28" s="185"/>
      <c r="I28" s="187"/>
      <c r="J28" s="185"/>
    </row>
    <row r="29" customFormat="false" ht="15" hidden="false" customHeight="true" outlineLevel="0" collapsed="false">
      <c r="A29" s="184" t="str">
        <f aca="false">IF(B29&lt;&gt;"",ROW()-3,"")</f>
        <v/>
      </c>
      <c r="B29" s="185"/>
      <c r="C29" s="186"/>
      <c r="D29" s="186"/>
      <c r="E29" s="185"/>
      <c r="F29" s="186"/>
      <c r="G29" s="187"/>
      <c r="H29" s="185"/>
      <c r="I29" s="187"/>
      <c r="J29" s="185"/>
    </row>
    <row r="30" customFormat="false" ht="15" hidden="false" customHeight="true" outlineLevel="0" collapsed="false">
      <c r="A30" s="184" t="str">
        <f aca="false">IF(B30&lt;&gt;"",ROW()-3,"")</f>
        <v/>
      </c>
      <c r="B30" s="185"/>
      <c r="C30" s="186"/>
      <c r="D30" s="186"/>
      <c r="E30" s="185"/>
      <c r="F30" s="186"/>
      <c r="G30" s="187"/>
      <c r="H30" s="185"/>
      <c r="I30" s="187"/>
      <c r="J30" s="185"/>
    </row>
    <row r="31" customFormat="false" ht="15" hidden="false" customHeight="true" outlineLevel="0" collapsed="false">
      <c r="A31" s="184" t="str">
        <f aca="false">IF(B31&lt;&gt;"",ROW()-3,"")</f>
        <v/>
      </c>
      <c r="B31" s="185"/>
      <c r="C31" s="186"/>
      <c r="D31" s="186"/>
      <c r="E31" s="185"/>
      <c r="F31" s="186"/>
      <c r="G31" s="187"/>
      <c r="H31" s="185"/>
      <c r="I31" s="187"/>
      <c r="J31" s="185"/>
    </row>
    <row r="32" customFormat="false" ht="15" hidden="false" customHeight="true" outlineLevel="0" collapsed="false">
      <c r="A32" s="184" t="str">
        <f aca="false">IF(B32&lt;&gt;"",ROW()-3,"")</f>
        <v/>
      </c>
      <c r="B32" s="185"/>
      <c r="C32" s="186"/>
      <c r="D32" s="186"/>
      <c r="E32" s="185"/>
      <c r="F32" s="186"/>
      <c r="G32" s="187"/>
      <c r="H32" s="185"/>
      <c r="I32" s="187"/>
      <c r="J32" s="185"/>
    </row>
    <row r="33" customFormat="false" ht="15" hidden="false" customHeight="true" outlineLevel="0" collapsed="false">
      <c r="A33" s="184" t="str">
        <f aca="false">IF(B33&lt;&gt;"",ROW()-3,"")</f>
        <v/>
      </c>
      <c r="B33" s="185"/>
      <c r="C33" s="186"/>
      <c r="D33" s="186"/>
      <c r="E33" s="185"/>
      <c r="F33" s="186"/>
      <c r="G33" s="187"/>
      <c r="H33" s="185"/>
      <c r="I33" s="187"/>
      <c r="J33" s="185"/>
    </row>
    <row r="34" customFormat="false" ht="15" hidden="false" customHeight="true" outlineLevel="0" collapsed="false">
      <c r="A34" s="184" t="str">
        <f aca="false">IF(B34&lt;&gt;"",ROW()-3,"")</f>
        <v/>
      </c>
      <c r="B34" s="185"/>
      <c r="C34" s="186"/>
      <c r="D34" s="186"/>
      <c r="E34" s="185"/>
      <c r="F34" s="186"/>
      <c r="G34" s="187"/>
      <c r="H34" s="185"/>
      <c r="I34" s="187"/>
      <c r="J34" s="185"/>
    </row>
    <row r="35" customFormat="false" ht="15" hidden="false" customHeight="true" outlineLevel="0" collapsed="false">
      <c r="A35" s="184" t="str">
        <f aca="false">IF(B35&lt;&gt;"",ROW()-3,"")</f>
        <v/>
      </c>
      <c r="B35" s="185"/>
      <c r="C35" s="186"/>
      <c r="D35" s="186"/>
      <c r="E35" s="185"/>
      <c r="F35" s="186"/>
      <c r="G35" s="187"/>
      <c r="H35" s="185"/>
      <c r="I35" s="187"/>
      <c r="J35" s="185"/>
    </row>
    <row r="36" customFormat="false" ht="15" hidden="false" customHeight="true" outlineLevel="0" collapsed="false">
      <c r="A36" s="184" t="str">
        <f aca="false">IF(B36&lt;&gt;"",ROW()-3,"")</f>
        <v/>
      </c>
      <c r="B36" s="185"/>
      <c r="C36" s="186"/>
      <c r="D36" s="186"/>
      <c r="E36" s="185"/>
      <c r="F36" s="186"/>
      <c r="G36" s="187"/>
      <c r="H36" s="185"/>
      <c r="I36" s="187"/>
      <c r="J36" s="185"/>
    </row>
    <row r="37" customFormat="false" ht="15" hidden="false" customHeight="true" outlineLevel="0" collapsed="false">
      <c r="A37" s="184" t="str">
        <f aca="false">IF(B37&lt;&gt;"",ROW()-3,"")</f>
        <v/>
      </c>
      <c r="B37" s="185"/>
      <c r="C37" s="186"/>
      <c r="D37" s="186"/>
      <c r="E37" s="185"/>
      <c r="F37" s="186"/>
      <c r="G37" s="187"/>
      <c r="H37" s="185"/>
      <c r="I37" s="187"/>
      <c r="J37" s="185"/>
    </row>
    <row r="38" customFormat="false" ht="15" hidden="false" customHeight="true" outlineLevel="0" collapsed="false">
      <c r="A38" s="184"/>
      <c r="B38" s="185"/>
      <c r="C38" s="186"/>
      <c r="D38" s="186"/>
      <c r="E38" s="185"/>
      <c r="F38" s="186"/>
      <c r="G38" s="187"/>
      <c r="H38" s="185"/>
      <c r="I38" s="187"/>
      <c r="J38" s="185"/>
    </row>
    <row r="39" customFormat="false" ht="15" hidden="false" customHeight="true" outlineLevel="0" collapsed="false">
      <c r="A39" s="184" t="str">
        <f aca="false">IF(B39&lt;&gt;"",ROW()-3,"")</f>
        <v/>
      </c>
      <c r="B39" s="185"/>
      <c r="C39" s="186"/>
      <c r="D39" s="186"/>
      <c r="E39" s="185"/>
      <c r="F39" s="186"/>
      <c r="G39" s="187"/>
      <c r="H39" s="185"/>
      <c r="I39" s="187"/>
      <c r="J39" s="185"/>
    </row>
    <row r="40" customFormat="false" ht="15" hidden="false" customHeight="true" outlineLevel="0" collapsed="false">
      <c r="A40" s="184" t="str">
        <f aca="false">IF(B40&lt;&gt;"",ROW()-3,"")</f>
        <v/>
      </c>
      <c r="B40" s="185"/>
      <c r="C40" s="186"/>
      <c r="D40" s="186"/>
      <c r="E40" s="185"/>
      <c r="F40" s="186"/>
      <c r="G40" s="187"/>
      <c r="H40" s="185"/>
      <c r="I40" s="187"/>
      <c r="J40" s="185"/>
    </row>
    <row r="41" customFormat="false" ht="15" hidden="false" customHeight="true" outlineLevel="0" collapsed="false">
      <c r="A41" s="184" t="str">
        <f aca="false">IF(B41&lt;&gt;"",ROW()-3,"")</f>
        <v/>
      </c>
      <c r="B41" s="185"/>
      <c r="C41" s="186"/>
      <c r="D41" s="186"/>
      <c r="E41" s="185"/>
      <c r="F41" s="186"/>
      <c r="G41" s="187"/>
      <c r="H41" s="185"/>
      <c r="I41" s="187"/>
      <c r="J41" s="185"/>
    </row>
    <row r="42" customFormat="false" ht="15" hidden="false" customHeight="true" outlineLevel="0" collapsed="false">
      <c r="A42" s="184" t="str">
        <f aca="false">IF(B42&lt;&gt;"",ROW()-3,"")</f>
        <v/>
      </c>
      <c r="B42" s="185"/>
      <c r="C42" s="186"/>
      <c r="D42" s="186"/>
      <c r="E42" s="185"/>
      <c r="F42" s="186"/>
      <c r="G42" s="187"/>
      <c r="H42" s="185"/>
      <c r="I42" s="187"/>
      <c r="J42" s="185"/>
    </row>
    <row r="43" customFormat="false" ht="15" hidden="false" customHeight="true" outlineLevel="0" collapsed="false">
      <c r="A43" s="184" t="str">
        <f aca="false">IF(B43&lt;&gt;"",ROW()-3,"")</f>
        <v/>
      </c>
      <c r="B43" s="185"/>
      <c r="C43" s="186"/>
      <c r="D43" s="186"/>
      <c r="E43" s="185"/>
      <c r="F43" s="186"/>
      <c r="G43" s="187"/>
      <c r="H43" s="185"/>
      <c r="I43" s="187"/>
      <c r="J43" s="185"/>
    </row>
    <row r="44" customFormat="false" ht="15" hidden="false" customHeight="true" outlineLevel="0" collapsed="false">
      <c r="A44" s="184" t="str">
        <f aca="false">IF(B44&lt;&gt;"",ROW()-3,"")</f>
        <v/>
      </c>
      <c r="B44" s="185"/>
      <c r="C44" s="186"/>
      <c r="D44" s="186"/>
      <c r="E44" s="185"/>
      <c r="F44" s="186"/>
      <c r="G44" s="187"/>
      <c r="H44" s="185"/>
      <c r="I44" s="187"/>
      <c r="J44" s="185"/>
    </row>
    <row r="45" customFormat="false" ht="15" hidden="false" customHeight="true" outlineLevel="0" collapsed="false">
      <c r="A45" s="184" t="str">
        <f aca="false">IF(B45&lt;&gt;"",ROW()-3,"")</f>
        <v/>
      </c>
      <c r="B45" s="185"/>
      <c r="C45" s="186"/>
      <c r="D45" s="186"/>
      <c r="E45" s="185"/>
      <c r="F45" s="186"/>
      <c r="G45" s="187"/>
      <c r="H45" s="185"/>
      <c r="I45" s="187"/>
      <c r="J45" s="185"/>
    </row>
    <row r="46" customFormat="false" ht="15" hidden="false" customHeight="true" outlineLevel="0" collapsed="false">
      <c r="A46" s="184" t="str">
        <f aca="false">IF(B46&lt;&gt;"",ROW()-3,"")</f>
        <v/>
      </c>
      <c r="B46" s="185"/>
      <c r="C46" s="186"/>
      <c r="D46" s="186"/>
      <c r="E46" s="185"/>
      <c r="F46" s="186"/>
      <c r="G46" s="187"/>
      <c r="H46" s="185"/>
      <c r="I46" s="187"/>
      <c r="J46" s="185"/>
    </row>
    <row r="47" customFormat="false" ht="15" hidden="false" customHeight="true" outlineLevel="0" collapsed="false">
      <c r="A47" s="184" t="str">
        <f aca="false">IF(B47&lt;&gt;"",ROW()-3,"")</f>
        <v/>
      </c>
      <c r="B47" s="185"/>
      <c r="C47" s="186"/>
      <c r="D47" s="186"/>
      <c r="E47" s="185"/>
      <c r="F47" s="186"/>
      <c r="G47" s="187"/>
      <c r="H47" s="185"/>
      <c r="I47" s="187"/>
      <c r="J47" s="185"/>
    </row>
    <row r="48" customFormat="false" ht="15" hidden="false" customHeight="true" outlineLevel="0" collapsed="false">
      <c r="A48" s="184" t="str">
        <f aca="false">IF(B48&lt;&gt;"",ROW()-3,"")</f>
        <v/>
      </c>
      <c r="B48" s="185"/>
      <c r="C48" s="186"/>
      <c r="D48" s="186"/>
      <c r="E48" s="185"/>
      <c r="F48" s="186"/>
      <c r="G48" s="187"/>
      <c r="H48" s="185"/>
      <c r="I48" s="187"/>
      <c r="J48" s="185"/>
    </row>
    <row r="49" customFormat="false" ht="15" hidden="false" customHeight="true" outlineLevel="0" collapsed="false">
      <c r="A49" s="184" t="str">
        <f aca="false">IF(B49&lt;&gt;"",ROW()-3,"")</f>
        <v/>
      </c>
      <c r="B49" s="185"/>
      <c r="C49" s="186"/>
      <c r="D49" s="186"/>
      <c r="E49" s="185"/>
      <c r="F49" s="186"/>
      <c r="G49" s="187"/>
      <c r="H49" s="185"/>
      <c r="I49" s="187"/>
      <c r="J49" s="185"/>
    </row>
    <row r="50" customFormat="false" ht="15" hidden="false" customHeight="true" outlineLevel="0" collapsed="false">
      <c r="A50" s="184" t="str">
        <f aca="false">IF(B50&lt;&gt;"",ROW()-3,"")</f>
        <v/>
      </c>
      <c r="B50" s="185"/>
      <c r="C50" s="186"/>
      <c r="D50" s="186"/>
      <c r="E50" s="185"/>
      <c r="F50" s="186"/>
      <c r="G50" s="187"/>
      <c r="H50" s="185"/>
      <c r="I50" s="187"/>
      <c r="J50" s="185"/>
    </row>
    <row r="51" customFormat="false" ht="15" hidden="false" customHeight="true" outlineLevel="0" collapsed="false">
      <c r="A51" s="184" t="str">
        <f aca="false">IF(B51&lt;&gt;"",ROW()-3,"")</f>
        <v/>
      </c>
      <c r="B51" s="185"/>
      <c r="C51" s="186"/>
      <c r="D51" s="186"/>
      <c r="E51" s="185"/>
      <c r="F51" s="186"/>
      <c r="G51" s="187"/>
      <c r="H51" s="185"/>
      <c r="I51" s="187"/>
      <c r="J51" s="185"/>
    </row>
    <row r="52" customFormat="false" ht="15" hidden="false" customHeight="true" outlineLevel="0" collapsed="false">
      <c r="A52" s="184" t="str">
        <f aca="false">IF(B52&lt;&gt;"",ROW()-3,"")</f>
        <v/>
      </c>
      <c r="B52" s="185"/>
      <c r="C52" s="186"/>
      <c r="D52" s="186"/>
      <c r="E52" s="185"/>
      <c r="F52" s="186"/>
      <c r="G52" s="187"/>
      <c r="H52" s="185"/>
      <c r="I52" s="187"/>
      <c r="J52" s="185"/>
    </row>
    <row r="53" customFormat="false" ht="15" hidden="false" customHeight="true" outlineLevel="0" collapsed="false">
      <c r="A53" s="184" t="str">
        <f aca="false">IF(B53&lt;&gt;"",ROW()-3,"")</f>
        <v/>
      </c>
      <c r="B53" s="185"/>
      <c r="C53" s="186"/>
      <c r="D53" s="186"/>
      <c r="E53" s="185"/>
      <c r="F53" s="186"/>
      <c r="G53" s="187"/>
      <c r="H53" s="185"/>
      <c r="I53" s="187"/>
      <c r="J53" s="185"/>
    </row>
    <row r="54" customFormat="false" ht="15" hidden="false" customHeight="true" outlineLevel="0" collapsed="false">
      <c r="A54" s="184" t="str">
        <f aca="false">IF(B54&lt;&gt;"",ROW()-3,"")</f>
        <v/>
      </c>
      <c r="B54" s="185"/>
      <c r="C54" s="186"/>
      <c r="D54" s="186"/>
      <c r="E54" s="185"/>
      <c r="F54" s="186"/>
      <c r="G54" s="187"/>
      <c r="H54" s="185"/>
      <c r="I54" s="187"/>
      <c r="J54" s="185"/>
    </row>
    <row r="55" customFormat="false" ht="15" hidden="false" customHeight="true" outlineLevel="0" collapsed="false">
      <c r="A55" s="184" t="str">
        <f aca="false">IF(B55&lt;&gt;"",ROW()-3,"")</f>
        <v/>
      </c>
      <c r="B55" s="185"/>
      <c r="C55" s="186"/>
      <c r="D55" s="186"/>
      <c r="E55" s="185"/>
      <c r="F55" s="186"/>
      <c r="G55" s="187"/>
      <c r="H55" s="185"/>
      <c r="I55" s="187"/>
      <c r="J55" s="185"/>
    </row>
    <row r="56" customFormat="false" ht="15" hidden="false" customHeight="true" outlineLevel="0" collapsed="false">
      <c r="A56" s="184" t="str">
        <f aca="false">IF(B56&lt;&gt;"",ROW()-3,"")</f>
        <v/>
      </c>
      <c r="B56" s="185"/>
      <c r="C56" s="186"/>
      <c r="D56" s="186"/>
      <c r="E56" s="185"/>
      <c r="F56" s="186"/>
      <c r="G56" s="187"/>
      <c r="H56" s="185"/>
      <c r="I56" s="187"/>
      <c r="J56" s="185"/>
    </row>
    <row r="57" customFormat="false" ht="15" hidden="false" customHeight="true" outlineLevel="0" collapsed="false">
      <c r="A57" s="184" t="str">
        <f aca="false">IF(B57&lt;&gt;"",ROW()-3,"")</f>
        <v/>
      </c>
      <c r="B57" s="185"/>
      <c r="C57" s="186"/>
      <c r="D57" s="186"/>
      <c r="E57" s="185"/>
      <c r="F57" s="186"/>
      <c r="G57" s="187"/>
      <c r="H57" s="185"/>
      <c r="I57" s="187"/>
      <c r="J57" s="185"/>
    </row>
    <row r="58" customFormat="false" ht="15" hidden="false" customHeight="true" outlineLevel="0" collapsed="false">
      <c r="A58" s="184" t="str">
        <f aca="false">IF(B58&lt;&gt;"",ROW()-3,"")</f>
        <v/>
      </c>
      <c r="B58" s="185"/>
      <c r="C58" s="186"/>
      <c r="D58" s="186"/>
      <c r="E58" s="185"/>
      <c r="F58" s="186"/>
      <c r="G58" s="187"/>
      <c r="H58" s="185"/>
      <c r="I58" s="187"/>
      <c r="J58" s="185"/>
    </row>
    <row r="59" customFormat="false" ht="15" hidden="false" customHeight="true" outlineLevel="0" collapsed="false">
      <c r="A59" s="184" t="str">
        <f aca="false">IF(B59&lt;&gt;"",ROW()-3,"")</f>
        <v/>
      </c>
      <c r="B59" s="185"/>
      <c r="C59" s="186"/>
      <c r="D59" s="186"/>
      <c r="E59" s="185"/>
      <c r="F59" s="186"/>
      <c r="G59" s="187"/>
      <c r="H59" s="185"/>
      <c r="I59" s="187"/>
      <c r="J59" s="185"/>
    </row>
    <row r="60" customFormat="false" ht="15" hidden="false" customHeight="true" outlineLevel="0" collapsed="false">
      <c r="A60" s="184" t="str">
        <f aca="false">IF(B60&lt;&gt;"",ROW()-3,"")</f>
        <v/>
      </c>
      <c r="B60" s="185"/>
      <c r="C60" s="186"/>
      <c r="D60" s="186"/>
      <c r="E60" s="185"/>
      <c r="F60" s="186"/>
      <c r="G60" s="187"/>
      <c r="H60" s="185"/>
      <c r="I60" s="187"/>
      <c r="J60" s="185"/>
    </row>
    <row r="61" customFormat="false" ht="15" hidden="false" customHeight="true" outlineLevel="0" collapsed="false">
      <c r="A61" s="184" t="str">
        <f aca="false">IF(B61&lt;&gt;"",ROW()-3,"")</f>
        <v/>
      </c>
      <c r="B61" s="185"/>
      <c r="C61" s="186"/>
      <c r="D61" s="186"/>
      <c r="E61" s="185"/>
      <c r="F61" s="186"/>
      <c r="G61" s="187"/>
      <c r="H61" s="185"/>
      <c r="I61" s="187"/>
      <c r="J61" s="185"/>
    </row>
    <row r="62" customFormat="false" ht="15" hidden="false" customHeight="true" outlineLevel="0" collapsed="false">
      <c r="A62" s="184" t="str">
        <f aca="false">IF(B62&lt;&gt;"",ROW()-3,"")</f>
        <v/>
      </c>
      <c r="B62" s="185"/>
      <c r="C62" s="186"/>
      <c r="D62" s="186"/>
      <c r="E62" s="185"/>
      <c r="F62" s="186"/>
      <c r="G62" s="187"/>
      <c r="H62" s="185"/>
      <c r="I62" s="187"/>
      <c r="J62" s="185"/>
    </row>
    <row r="63" customFormat="false" ht="15" hidden="false" customHeight="true" outlineLevel="0" collapsed="false">
      <c r="A63" s="184" t="str">
        <f aca="false">IF(B63&lt;&gt;"",ROW()-3,"")</f>
        <v/>
      </c>
      <c r="B63" s="185"/>
      <c r="C63" s="186"/>
      <c r="D63" s="186"/>
      <c r="E63" s="185"/>
      <c r="F63" s="186"/>
      <c r="G63" s="187"/>
      <c r="H63" s="185"/>
      <c r="I63" s="187"/>
      <c r="J63" s="185"/>
    </row>
    <row r="64" customFormat="false" ht="15" hidden="false" customHeight="true" outlineLevel="0" collapsed="false">
      <c r="A64" s="184" t="str">
        <f aca="false">IF(B64&lt;&gt;"",ROW()-3,"")</f>
        <v/>
      </c>
      <c r="B64" s="185"/>
      <c r="C64" s="186"/>
      <c r="D64" s="186"/>
      <c r="E64" s="185"/>
      <c r="F64" s="186"/>
      <c r="G64" s="187"/>
      <c r="H64" s="185"/>
      <c r="I64" s="187"/>
      <c r="J64" s="185"/>
    </row>
    <row r="65" customFormat="false" ht="15" hidden="false" customHeight="true" outlineLevel="0" collapsed="false">
      <c r="A65" s="184" t="str">
        <f aca="false">IF(B65&lt;&gt;"",ROW()-3,"")</f>
        <v/>
      </c>
      <c r="B65" s="185"/>
      <c r="C65" s="186"/>
      <c r="D65" s="186"/>
      <c r="E65" s="185"/>
      <c r="F65" s="186"/>
      <c r="G65" s="187"/>
      <c r="H65" s="185"/>
      <c r="I65" s="187"/>
      <c r="J65" s="185"/>
    </row>
    <row r="66" customFormat="false" ht="15" hidden="false" customHeight="true" outlineLevel="0" collapsed="false">
      <c r="A66" s="184" t="str">
        <f aca="false">IF(B66&lt;&gt;"",ROW()-3,"")</f>
        <v/>
      </c>
      <c r="B66" s="185"/>
      <c r="C66" s="186"/>
      <c r="D66" s="186"/>
      <c r="E66" s="185"/>
      <c r="F66" s="186"/>
      <c r="G66" s="187"/>
      <c r="H66" s="185"/>
      <c r="I66" s="187"/>
      <c r="J66" s="185"/>
    </row>
    <row r="67" customFormat="false" ht="15" hidden="false" customHeight="true" outlineLevel="0" collapsed="false">
      <c r="A67" s="184" t="str">
        <f aca="false">IF(B67&lt;&gt;"",ROW()-3,"")</f>
        <v/>
      </c>
      <c r="B67" s="185"/>
      <c r="C67" s="186"/>
      <c r="D67" s="186"/>
      <c r="E67" s="185"/>
      <c r="F67" s="186"/>
      <c r="G67" s="187"/>
      <c r="H67" s="185"/>
      <c r="I67" s="187"/>
      <c r="J67" s="185"/>
    </row>
    <row r="68" customFormat="false" ht="15" hidden="false" customHeight="true" outlineLevel="0" collapsed="false">
      <c r="A68" s="184" t="str">
        <f aca="false">IF(B68&lt;&gt;"",ROW()-3,"")</f>
        <v/>
      </c>
      <c r="B68" s="185"/>
      <c r="C68" s="186"/>
      <c r="D68" s="186"/>
      <c r="E68" s="185"/>
      <c r="F68" s="186"/>
      <c r="G68" s="187"/>
      <c r="H68" s="185"/>
      <c r="I68" s="187"/>
      <c r="J68" s="185"/>
    </row>
    <row r="69" customFormat="false" ht="15" hidden="false" customHeight="true" outlineLevel="0" collapsed="false">
      <c r="A69" s="184" t="str">
        <f aca="false">IF(B69&lt;&gt;"",ROW()-3,"")</f>
        <v/>
      </c>
      <c r="B69" s="185"/>
      <c r="C69" s="186"/>
      <c r="D69" s="186"/>
      <c r="E69" s="185"/>
      <c r="F69" s="186"/>
      <c r="G69" s="187"/>
      <c r="H69" s="185"/>
      <c r="I69" s="187"/>
      <c r="J69" s="185"/>
    </row>
    <row r="70" customFormat="false" ht="15" hidden="false" customHeight="true" outlineLevel="0" collapsed="false">
      <c r="A70" s="184" t="str">
        <f aca="false">IF(B70&lt;&gt;"",ROW()-3,"")</f>
        <v/>
      </c>
      <c r="B70" s="185"/>
      <c r="C70" s="186"/>
      <c r="D70" s="186"/>
      <c r="E70" s="185"/>
      <c r="F70" s="186"/>
      <c r="G70" s="187"/>
      <c r="H70" s="185"/>
      <c r="I70" s="187"/>
      <c r="J70" s="185"/>
    </row>
    <row r="71" customFormat="false" ht="15" hidden="false" customHeight="true" outlineLevel="0" collapsed="false">
      <c r="A71" s="184" t="str">
        <f aca="false">IF(B71&lt;&gt;"",ROW()-3,"")</f>
        <v/>
      </c>
      <c r="B71" s="185"/>
      <c r="C71" s="186"/>
      <c r="D71" s="186"/>
      <c r="E71" s="185"/>
      <c r="F71" s="186"/>
      <c r="G71" s="187"/>
      <c r="H71" s="185"/>
      <c r="I71" s="187"/>
      <c r="J71" s="185"/>
    </row>
    <row r="72" customFormat="false" ht="15" hidden="false" customHeight="true" outlineLevel="0" collapsed="false">
      <c r="A72" s="184" t="str">
        <f aca="false">IF(B72&lt;&gt;"",ROW()-3,"")</f>
        <v/>
      </c>
      <c r="B72" s="185"/>
      <c r="C72" s="186"/>
      <c r="D72" s="186"/>
      <c r="E72" s="185"/>
      <c r="F72" s="186"/>
      <c r="G72" s="187"/>
      <c r="H72" s="185"/>
      <c r="I72" s="187"/>
      <c r="J72" s="185"/>
    </row>
    <row r="73" customFormat="false" ht="15" hidden="false" customHeight="true" outlineLevel="0" collapsed="false">
      <c r="A73" s="184" t="str">
        <f aca="false">IF(B73&lt;&gt;"",ROW()-3,"")</f>
        <v/>
      </c>
      <c r="B73" s="185"/>
      <c r="C73" s="186"/>
      <c r="D73" s="186"/>
      <c r="E73" s="185"/>
      <c r="F73" s="186"/>
      <c r="G73" s="187"/>
      <c r="H73" s="185"/>
      <c r="I73" s="187"/>
      <c r="J73" s="185"/>
    </row>
    <row r="74" customFormat="false" ht="15" hidden="false" customHeight="true" outlineLevel="0" collapsed="false">
      <c r="A74" s="184" t="str">
        <f aca="false">IF(B74&lt;&gt;"",ROW()-3,"")</f>
        <v/>
      </c>
      <c r="B74" s="185"/>
      <c r="C74" s="186"/>
      <c r="D74" s="186"/>
      <c r="E74" s="185"/>
      <c r="F74" s="186"/>
      <c r="G74" s="187"/>
      <c r="H74" s="185"/>
      <c r="I74" s="187"/>
      <c r="J74" s="185"/>
    </row>
    <row r="75" customFormat="false" ht="15" hidden="false" customHeight="true" outlineLevel="0" collapsed="false">
      <c r="A75" s="184" t="str">
        <f aca="false">IF(B75&lt;&gt;"",ROW()-3,"")</f>
        <v/>
      </c>
      <c r="B75" s="185"/>
      <c r="C75" s="186"/>
      <c r="D75" s="186"/>
      <c r="E75" s="185"/>
      <c r="F75" s="186"/>
      <c r="G75" s="187"/>
      <c r="H75" s="185"/>
      <c r="I75" s="187"/>
      <c r="J75" s="185"/>
    </row>
    <row r="76" customFormat="false" ht="15" hidden="false" customHeight="true" outlineLevel="0" collapsed="false">
      <c r="A76" s="184" t="str">
        <f aca="false">IF(B76&lt;&gt;"",ROW()-3,"")</f>
        <v/>
      </c>
      <c r="B76" s="185"/>
      <c r="C76" s="186"/>
      <c r="D76" s="186"/>
      <c r="E76" s="185"/>
      <c r="F76" s="186"/>
      <c r="G76" s="187"/>
      <c r="H76" s="185"/>
      <c r="I76" s="187"/>
      <c r="J76" s="185"/>
    </row>
    <row r="77" customFormat="false" ht="15" hidden="false" customHeight="true" outlineLevel="0" collapsed="false">
      <c r="A77" s="184" t="str">
        <f aca="false">IF(B77&lt;&gt;"",ROW()-3,"")</f>
        <v/>
      </c>
      <c r="B77" s="185"/>
      <c r="C77" s="186"/>
      <c r="D77" s="186"/>
      <c r="E77" s="185"/>
      <c r="F77" s="186"/>
      <c r="G77" s="187"/>
      <c r="H77" s="185"/>
      <c r="I77" s="187"/>
      <c r="J77" s="185"/>
    </row>
    <row r="78" customFormat="false" ht="15" hidden="false" customHeight="true" outlineLevel="0" collapsed="false">
      <c r="A78" s="184" t="str">
        <f aca="false">IF(B78&lt;&gt;"",ROW()-3,"")</f>
        <v/>
      </c>
      <c r="B78" s="185"/>
      <c r="C78" s="186"/>
      <c r="D78" s="186"/>
      <c r="E78" s="185"/>
      <c r="F78" s="186"/>
      <c r="G78" s="187"/>
      <c r="H78" s="185"/>
      <c r="I78" s="187"/>
      <c r="J78" s="185"/>
    </row>
    <row r="79" customFormat="false" ht="15" hidden="false" customHeight="true" outlineLevel="0" collapsed="false">
      <c r="A79" s="184" t="str">
        <f aca="false">IF(B79&lt;&gt;"",ROW()-3,"")</f>
        <v/>
      </c>
      <c r="B79" s="185"/>
      <c r="C79" s="186"/>
      <c r="D79" s="186"/>
      <c r="E79" s="185"/>
      <c r="F79" s="186"/>
      <c r="G79" s="187"/>
      <c r="H79" s="185"/>
      <c r="I79" s="187"/>
      <c r="J79" s="185"/>
    </row>
    <row r="80" customFormat="false" ht="15" hidden="false" customHeight="true" outlineLevel="0" collapsed="false">
      <c r="A80" s="184" t="str">
        <f aca="false">IF(B80&lt;&gt;"",ROW()-3,"")</f>
        <v/>
      </c>
      <c r="B80" s="185"/>
      <c r="C80" s="186"/>
      <c r="D80" s="186"/>
      <c r="E80" s="185"/>
      <c r="F80" s="186"/>
      <c r="G80" s="187"/>
      <c r="H80" s="185"/>
      <c r="I80" s="187"/>
      <c r="J80" s="185"/>
    </row>
    <row r="81" customFormat="false" ht="15" hidden="false" customHeight="true" outlineLevel="0" collapsed="false">
      <c r="A81" s="184" t="str">
        <f aca="false">IF(B81&lt;&gt;"",ROW()-3,"")</f>
        <v/>
      </c>
      <c r="B81" s="185"/>
      <c r="C81" s="186"/>
      <c r="D81" s="186"/>
      <c r="E81" s="185"/>
      <c r="F81" s="186"/>
      <c r="G81" s="187"/>
      <c r="H81" s="185"/>
      <c r="I81" s="187"/>
      <c r="J81" s="185"/>
    </row>
    <row r="82" customFormat="false" ht="15" hidden="false" customHeight="true" outlineLevel="0" collapsed="false">
      <c r="A82" s="184" t="str">
        <f aca="false">IF(B82&lt;&gt;"",ROW()-3,"")</f>
        <v/>
      </c>
      <c r="B82" s="185"/>
      <c r="C82" s="186"/>
      <c r="D82" s="186"/>
      <c r="E82" s="185"/>
      <c r="F82" s="186"/>
      <c r="G82" s="187"/>
      <c r="H82" s="185"/>
      <c r="I82" s="187"/>
      <c r="J82" s="185"/>
    </row>
    <row r="83" customFormat="false" ht="15" hidden="false" customHeight="true" outlineLevel="0" collapsed="false">
      <c r="A83" s="184" t="str">
        <f aca="false">IF(B83&lt;&gt;"",ROW()-3,"")</f>
        <v/>
      </c>
      <c r="B83" s="185"/>
      <c r="C83" s="186"/>
      <c r="D83" s="186"/>
      <c r="E83" s="185"/>
      <c r="F83" s="186"/>
      <c r="G83" s="187"/>
      <c r="H83" s="185"/>
      <c r="I83" s="187"/>
      <c r="J83" s="185"/>
    </row>
    <row r="84" customFormat="false" ht="15" hidden="false" customHeight="true" outlineLevel="0" collapsed="false">
      <c r="A84" s="184" t="str">
        <f aca="false">IF(B84&lt;&gt;"",ROW()-3,"")</f>
        <v/>
      </c>
      <c r="B84" s="185"/>
      <c r="C84" s="186"/>
      <c r="D84" s="186"/>
      <c r="E84" s="185"/>
      <c r="F84" s="186"/>
      <c r="G84" s="187"/>
      <c r="H84" s="185"/>
      <c r="I84" s="187"/>
      <c r="J84" s="185"/>
    </row>
    <row r="85" customFormat="false" ht="15" hidden="false" customHeight="true" outlineLevel="0" collapsed="false">
      <c r="A85" s="184" t="str">
        <f aca="false">IF(B85&lt;&gt;"",ROW()-3,"")</f>
        <v/>
      </c>
      <c r="B85" s="185"/>
      <c r="C85" s="186"/>
      <c r="D85" s="186"/>
      <c r="E85" s="185"/>
      <c r="F85" s="186"/>
      <c r="G85" s="187"/>
      <c r="H85" s="185"/>
      <c r="I85" s="187"/>
      <c r="J85" s="185"/>
    </row>
    <row r="86" customFormat="false" ht="15" hidden="false" customHeight="true" outlineLevel="0" collapsed="false">
      <c r="A86" s="184" t="str">
        <f aca="false">IF(B86&lt;&gt;"",ROW()-3,"")</f>
        <v/>
      </c>
      <c r="B86" s="185"/>
      <c r="C86" s="186"/>
      <c r="D86" s="186"/>
      <c r="E86" s="185"/>
      <c r="F86" s="186"/>
      <c r="G86" s="187"/>
      <c r="H86" s="185"/>
      <c r="I86" s="187"/>
      <c r="J86" s="185"/>
    </row>
    <row r="87" customFormat="false" ht="15" hidden="false" customHeight="true" outlineLevel="0" collapsed="false">
      <c r="A87" s="184" t="str">
        <f aca="false">IF(B87&lt;&gt;"",ROW()-3,"")</f>
        <v/>
      </c>
      <c r="B87" s="185"/>
      <c r="C87" s="186"/>
      <c r="D87" s="186"/>
      <c r="E87" s="185"/>
      <c r="F87" s="186"/>
      <c r="G87" s="187"/>
      <c r="H87" s="185"/>
      <c r="I87" s="187"/>
      <c r="J87" s="185"/>
    </row>
    <row r="88" customFormat="false" ht="15" hidden="false" customHeight="true" outlineLevel="0" collapsed="false">
      <c r="A88" s="184" t="str">
        <f aca="false">IF(B88&lt;&gt;"",ROW()-3,"")</f>
        <v/>
      </c>
      <c r="B88" s="185"/>
      <c r="C88" s="186"/>
      <c r="D88" s="186"/>
      <c r="E88" s="185"/>
      <c r="F88" s="186"/>
      <c r="G88" s="187"/>
      <c r="H88" s="185"/>
      <c r="I88" s="187"/>
      <c r="J88" s="185"/>
    </row>
    <row r="89" customFormat="false" ht="15" hidden="false" customHeight="true" outlineLevel="0" collapsed="false">
      <c r="A89" s="184" t="str">
        <f aca="false">IF(B89&lt;&gt;"",ROW()-3,"")</f>
        <v/>
      </c>
      <c r="B89" s="185"/>
      <c r="C89" s="186"/>
      <c r="D89" s="186"/>
      <c r="E89" s="185"/>
      <c r="F89" s="186"/>
      <c r="G89" s="187"/>
      <c r="H89" s="185"/>
      <c r="I89" s="187"/>
      <c r="J89" s="185"/>
    </row>
    <row r="90" customFormat="false" ht="15" hidden="false" customHeight="true" outlineLevel="0" collapsed="false">
      <c r="A90" s="184" t="str">
        <f aca="false">IF(B90&lt;&gt;"",ROW()-3,"")</f>
        <v/>
      </c>
      <c r="B90" s="185"/>
      <c r="C90" s="186"/>
      <c r="D90" s="186"/>
      <c r="E90" s="185"/>
      <c r="F90" s="186"/>
      <c r="G90" s="187"/>
      <c r="H90" s="185"/>
      <c r="I90" s="187"/>
      <c r="J90" s="185"/>
    </row>
    <row r="91" customFormat="false" ht="15" hidden="false" customHeight="true" outlineLevel="0" collapsed="false">
      <c r="A91" s="184" t="str">
        <f aca="false">IF(B91&lt;&gt;"",ROW()-3,"")</f>
        <v/>
      </c>
      <c r="B91" s="185"/>
      <c r="C91" s="186"/>
      <c r="D91" s="186"/>
      <c r="E91" s="185"/>
      <c r="F91" s="186"/>
      <c r="G91" s="187"/>
      <c r="H91" s="185"/>
      <c r="I91" s="187"/>
      <c r="J91" s="185"/>
    </row>
    <row r="92" customFormat="false" ht="15" hidden="false" customHeight="true" outlineLevel="0" collapsed="false">
      <c r="A92" s="184" t="str">
        <f aca="false">IF(B92&lt;&gt;"",ROW()-3,"")</f>
        <v/>
      </c>
      <c r="B92" s="185"/>
      <c r="C92" s="186"/>
      <c r="D92" s="186"/>
      <c r="E92" s="185"/>
      <c r="F92" s="186"/>
      <c r="G92" s="187"/>
      <c r="H92" s="185"/>
      <c r="I92" s="187"/>
      <c r="J92" s="185"/>
    </row>
    <row r="93" customFormat="false" ht="15" hidden="false" customHeight="true" outlineLevel="0" collapsed="false">
      <c r="A93" s="184" t="str">
        <f aca="false">IF(B93&lt;&gt;"",ROW()-3,"")</f>
        <v/>
      </c>
      <c r="B93" s="185"/>
      <c r="C93" s="186"/>
      <c r="D93" s="186"/>
      <c r="E93" s="185"/>
      <c r="F93" s="186"/>
      <c r="G93" s="187"/>
      <c r="H93" s="185"/>
      <c r="I93" s="187"/>
      <c r="J93" s="185"/>
    </row>
    <row r="94" customFormat="false" ht="15" hidden="false" customHeight="true" outlineLevel="0" collapsed="false">
      <c r="A94" s="184" t="str">
        <f aca="false">IF(B94&lt;&gt;"",ROW()-3,"")</f>
        <v/>
      </c>
      <c r="B94" s="185"/>
      <c r="C94" s="186"/>
      <c r="D94" s="186"/>
      <c r="E94" s="185"/>
      <c r="F94" s="186"/>
      <c r="G94" s="187"/>
      <c r="H94" s="185"/>
      <c r="I94" s="187"/>
      <c r="J94" s="185"/>
    </row>
    <row r="95" customFormat="false" ht="15" hidden="false" customHeight="true" outlineLevel="0" collapsed="false">
      <c r="A95" s="184" t="str">
        <f aca="false">IF(B95&lt;&gt;"",ROW()-3,"")</f>
        <v/>
      </c>
      <c r="B95" s="185"/>
      <c r="C95" s="186"/>
      <c r="D95" s="186"/>
      <c r="E95" s="185"/>
      <c r="F95" s="186"/>
      <c r="G95" s="187"/>
      <c r="H95" s="185"/>
      <c r="I95" s="187"/>
      <c r="J95" s="185"/>
    </row>
    <row r="96" customFormat="false" ht="15" hidden="false" customHeight="true" outlineLevel="0" collapsed="false">
      <c r="A96" s="184" t="str">
        <f aca="false">IF(B96&lt;&gt;"",ROW()-3,"")</f>
        <v/>
      </c>
      <c r="B96" s="185"/>
      <c r="C96" s="186"/>
      <c r="D96" s="186"/>
      <c r="E96" s="185"/>
      <c r="F96" s="186"/>
      <c r="G96" s="187"/>
      <c r="H96" s="185"/>
      <c r="I96" s="187"/>
      <c r="J96" s="185"/>
    </row>
    <row r="97" customFormat="false" ht="15" hidden="false" customHeight="true" outlineLevel="0" collapsed="false">
      <c r="A97" s="184" t="str">
        <f aca="false">IF(B97&lt;&gt;"",ROW()-3,"")</f>
        <v/>
      </c>
      <c r="B97" s="185"/>
      <c r="C97" s="186"/>
      <c r="D97" s="186"/>
      <c r="E97" s="185"/>
      <c r="F97" s="186"/>
      <c r="G97" s="187"/>
      <c r="H97" s="185"/>
      <c r="I97" s="187"/>
      <c r="J97" s="185"/>
    </row>
    <row r="98" customFormat="false" ht="15" hidden="false" customHeight="true" outlineLevel="0" collapsed="false">
      <c r="A98" s="184" t="str">
        <f aca="false">IF(B98&lt;&gt;"",ROW()-3,"")</f>
        <v/>
      </c>
      <c r="B98" s="185"/>
      <c r="C98" s="186"/>
      <c r="D98" s="186"/>
      <c r="E98" s="185"/>
      <c r="F98" s="186"/>
      <c r="G98" s="187"/>
      <c r="H98" s="185"/>
      <c r="I98" s="187"/>
      <c r="J98" s="185"/>
    </row>
    <row r="99" customFormat="false" ht="15" hidden="false" customHeight="true" outlineLevel="0" collapsed="false">
      <c r="A99" s="184" t="str">
        <f aca="false">IF(B99&lt;&gt;"",ROW()-3,"")</f>
        <v/>
      </c>
      <c r="B99" s="185"/>
      <c r="C99" s="186"/>
      <c r="D99" s="186"/>
      <c r="E99" s="185"/>
      <c r="F99" s="186"/>
      <c r="G99" s="187"/>
      <c r="H99" s="185"/>
      <c r="I99" s="187"/>
      <c r="J99" s="185"/>
    </row>
    <row r="100" customFormat="false" ht="15" hidden="false" customHeight="true" outlineLevel="0" collapsed="false">
      <c r="A100" s="184" t="str">
        <f aca="false">IF(B100&lt;&gt;"",ROW()-3,"")</f>
        <v/>
      </c>
      <c r="B100" s="185"/>
      <c r="C100" s="186"/>
      <c r="D100" s="186"/>
      <c r="E100" s="185"/>
      <c r="F100" s="186"/>
      <c r="G100" s="187"/>
      <c r="H100" s="185"/>
      <c r="I100" s="187"/>
      <c r="J100" s="185"/>
    </row>
    <row r="101" customFormat="false" ht="15" hidden="false" customHeight="true" outlineLevel="0" collapsed="false">
      <c r="A101" s="184" t="str">
        <f aca="false">IF(B101&lt;&gt;"",ROW()-3,"")</f>
        <v/>
      </c>
      <c r="B101" s="185"/>
      <c r="C101" s="186"/>
      <c r="D101" s="186"/>
      <c r="E101" s="185"/>
      <c r="F101" s="186"/>
      <c r="G101" s="187"/>
      <c r="H101" s="185"/>
      <c r="I101" s="187"/>
      <c r="J101" s="185"/>
    </row>
    <row r="102" customFormat="false" ht="15" hidden="false" customHeight="true" outlineLevel="0" collapsed="false">
      <c r="A102" s="184" t="str">
        <f aca="false">IF(B102&lt;&gt;"",ROW()-3,"")</f>
        <v/>
      </c>
      <c r="B102" s="185"/>
      <c r="C102" s="186"/>
      <c r="D102" s="186"/>
      <c r="E102" s="185"/>
      <c r="F102" s="186"/>
      <c r="G102" s="187"/>
      <c r="H102" s="185"/>
      <c r="I102" s="187"/>
      <c r="J102" s="185"/>
    </row>
    <row r="103" customFormat="false" ht="15" hidden="false" customHeight="true" outlineLevel="0" collapsed="false">
      <c r="A103" s="184" t="str">
        <f aca="false">IF(B103&lt;&gt;"",ROW()-3,"")</f>
        <v/>
      </c>
      <c r="B103" s="185"/>
      <c r="C103" s="186"/>
      <c r="D103" s="186"/>
      <c r="E103" s="185"/>
      <c r="F103" s="186"/>
      <c r="G103" s="187"/>
      <c r="H103" s="185"/>
      <c r="I103" s="187"/>
      <c r="J103" s="185"/>
    </row>
    <row r="104" customFormat="false" ht="15" hidden="false" customHeight="true" outlineLevel="0" collapsed="false">
      <c r="A104" s="184" t="str">
        <f aca="false">IF(B104&lt;&gt;"",ROW()-3,"")</f>
        <v/>
      </c>
      <c r="B104" s="185"/>
      <c r="C104" s="186"/>
      <c r="D104" s="186"/>
      <c r="E104" s="185"/>
      <c r="F104" s="186"/>
      <c r="G104" s="187"/>
      <c r="H104" s="185"/>
      <c r="I104" s="187"/>
      <c r="J104" s="185"/>
    </row>
    <row r="105" customFormat="false" ht="15" hidden="false" customHeight="true" outlineLevel="0" collapsed="false">
      <c r="A105" s="184" t="str">
        <f aca="false">IF(B105&lt;&gt;"",ROW()-3,"")</f>
        <v/>
      </c>
      <c r="B105" s="185"/>
      <c r="C105" s="186"/>
      <c r="D105" s="186"/>
      <c r="E105" s="185"/>
      <c r="F105" s="186"/>
      <c r="G105" s="187"/>
      <c r="H105" s="185"/>
      <c r="I105" s="187"/>
      <c r="J105" s="185"/>
    </row>
    <row r="106" customFormat="false" ht="15" hidden="false" customHeight="true" outlineLevel="0" collapsed="false">
      <c r="A106" s="184" t="str">
        <f aca="false">IF(B106&lt;&gt;"",ROW()-3,"")</f>
        <v/>
      </c>
      <c r="B106" s="185"/>
      <c r="C106" s="186"/>
      <c r="D106" s="186"/>
      <c r="E106" s="185"/>
      <c r="F106" s="186"/>
      <c r="G106" s="187"/>
      <c r="H106" s="185"/>
      <c r="I106" s="187"/>
      <c r="J106" s="185"/>
    </row>
    <row r="107" customFormat="false" ht="15" hidden="false" customHeight="true" outlineLevel="0" collapsed="false">
      <c r="A107" s="184" t="str">
        <f aca="false">IF(B107&lt;&gt;"",ROW()-3,"")</f>
        <v/>
      </c>
      <c r="B107" s="185"/>
      <c r="C107" s="186"/>
      <c r="D107" s="186"/>
      <c r="E107" s="185"/>
      <c r="F107" s="186"/>
      <c r="G107" s="187"/>
      <c r="H107" s="185"/>
      <c r="I107" s="187"/>
      <c r="J107" s="185"/>
    </row>
    <row r="108" customFormat="false" ht="15" hidden="false" customHeight="true" outlineLevel="0" collapsed="false">
      <c r="A108" s="184" t="str">
        <f aca="false">IF(B108&lt;&gt;"",ROW()-3,"")</f>
        <v/>
      </c>
      <c r="B108" s="185"/>
      <c r="C108" s="186"/>
      <c r="D108" s="186"/>
      <c r="E108" s="185"/>
      <c r="F108" s="186"/>
      <c r="G108" s="187"/>
      <c r="H108" s="185"/>
      <c r="I108" s="187"/>
      <c r="J108" s="185"/>
    </row>
    <row r="109" customFormat="false" ht="15" hidden="false" customHeight="true" outlineLevel="0" collapsed="false">
      <c r="A109" s="184" t="str">
        <f aca="false">IF(B109&lt;&gt;"",ROW()-3,"")</f>
        <v/>
      </c>
      <c r="B109" s="185"/>
      <c r="C109" s="186"/>
      <c r="D109" s="186"/>
      <c r="E109" s="185"/>
      <c r="F109" s="186"/>
      <c r="G109" s="187"/>
      <c r="H109" s="185"/>
      <c r="I109" s="187"/>
      <c r="J109" s="185"/>
    </row>
    <row r="110" customFormat="false" ht="15" hidden="false" customHeight="true" outlineLevel="0" collapsed="false">
      <c r="A110" s="184" t="str">
        <f aca="false">IF(B110&lt;&gt;"",ROW()-3,"")</f>
        <v/>
      </c>
      <c r="B110" s="185"/>
      <c r="C110" s="186"/>
      <c r="D110" s="186"/>
      <c r="E110" s="185"/>
      <c r="F110" s="186"/>
      <c r="G110" s="187"/>
      <c r="H110" s="185"/>
      <c r="I110" s="187"/>
      <c r="J110" s="185"/>
    </row>
    <row r="111" customFormat="false" ht="15" hidden="false" customHeight="true" outlineLevel="0" collapsed="false">
      <c r="A111" s="184" t="str">
        <f aca="false">IF(B111&lt;&gt;"",ROW()-3,"")</f>
        <v/>
      </c>
      <c r="B111" s="185"/>
      <c r="C111" s="186"/>
      <c r="D111" s="186"/>
      <c r="E111" s="185"/>
      <c r="F111" s="186"/>
      <c r="G111" s="187"/>
      <c r="H111" s="185"/>
      <c r="I111" s="187"/>
      <c r="J111" s="185"/>
    </row>
    <row r="112" customFormat="false" ht="15" hidden="false" customHeight="true" outlineLevel="0" collapsed="false">
      <c r="A112" s="184" t="str">
        <f aca="false">IF(B112&lt;&gt;"",ROW()-3,"")</f>
        <v/>
      </c>
      <c r="B112" s="185"/>
      <c r="C112" s="186"/>
      <c r="D112" s="186"/>
      <c r="E112" s="185"/>
      <c r="F112" s="186"/>
      <c r="G112" s="187"/>
      <c r="H112" s="185"/>
      <c r="I112" s="187"/>
      <c r="J112" s="185"/>
    </row>
    <row r="113" customFormat="false" ht="15" hidden="false" customHeight="true" outlineLevel="0" collapsed="false">
      <c r="A113" s="184" t="str">
        <f aca="false">IF(B113&lt;&gt;"",ROW()-3,"")</f>
        <v/>
      </c>
      <c r="B113" s="185"/>
      <c r="C113" s="186"/>
      <c r="D113" s="186"/>
      <c r="E113" s="185"/>
      <c r="F113" s="186"/>
      <c r="G113" s="187"/>
      <c r="H113" s="185"/>
      <c r="I113" s="187"/>
      <c r="J113" s="185"/>
    </row>
    <row r="114" customFormat="false" ht="15" hidden="false" customHeight="true" outlineLevel="0" collapsed="false">
      <c r="A114" s="184" t="str">
        <f aca="false">IF(B114&lt;&gt;"",ROW()-3,"")</f>
        <v/>
      </c>
      <c r="B114" s="185"/>
      <c r="C114" s="186"/>
      <c r="D114" s="186"/>
      <c r="E114" s="185"/>
      <c r="F114" s="186"/>
      <c r="G114" s="187"/>
      <c r="H114" s="185"/>
      <c r="I114" s="187"/>
      <c r="J114" s="185"/>
    </row>
    <row r="115" customFormat="false" ht="15" hidden="false" customHeight="true" outlineLevel="0" collapsed="false">
      <c r="A115" s="184" t="str">
        <f aca="false">IF(B115&lt;&gt;"",ROW()-3,"")</f>
        <v/>
      </c>
      <c r="B115" s="185"/>
      <c r="C115" s="186"/>
      <c r="D115" s="186"/>
      <c r="E115" s="185"/>
      <c r="F115" s="186"/>
      <c r="G115" s="187"/>
      <c r="H115" s="185"/>
      <c r="I115" s="187"/>
      <c r="J115" s="185"/>
    </row>
    <row r="116" customFormat="false" ht="15" hidden="false" customHeight="true" outlineLevel="0" collapsed="false">
      <c r="A116" s="184" t="str">
        <f aca="false">IF(B116&lt;&gt;"",ROW()-3,"")</f>
        <v/>
      </c>
      <c r="B116" s="185"/>
      <c r="C116" s="186"/>
      <c r="D116" s="186"/>
      <c r="E116" s="185"/>
      <c r="F116" s="186"/>
      <c r="G116" s="187"/>
      <c r="H116" s="185"/>
      <c r="I116" s="187"/>
      <c r="J116" s="185"/>
    </row>
    <row r="117" customFormat="false" ht="15" hidden="false" customHeight="true" outlineLevel="0" collapsed="false">
      <c r="A117" s="184" t="str">
        <f aca="false">IF(B117&lt;&gt;"",ROW()-3,"")</f>
        <v/>
      </c>
      <c r="B117" s="185"/>
      <c r="C117" s="186"/>
      <c r="D117" s="186"/>
      <c r="E117" s="185"/>
      <c r="F117" s="186"/>
      <c r="G117" s="187"/>
      <c r="H117" s="185"/>
      <c r="I117" s="187"/>
      <c r="J117" s="185"/>
    </row>
    <row r="118" customFormat="false" ht="15" hidden="false" customHeight="true" outlineLevel="0" collapsed="false">
      <c r="A118" s="184" t="str">
        <f aca="false">IF(B118&lt;&gt;"",ROW()-3,"")</f>
        <v/>
      </c>
      <c r="B118" s="185"/>
      <c r="C118" s="186"/>
      <c r="D118" s="186"/>
      <c r="E118" s="185"/>
      <c r="F118" s="186"/>
      <c r="G118" s="187"/>
      <c r="H118" s="185"/>
      <c r="I118" s="187"/>
      <c r="J118" s="185"/>
    </row>
    <row r="119" customFormat="false" ht="15" hidden="false" customHeight="true" outlineLevel="0" collapsed="false">
      <c r="A119" s="184" t="str">
        <f aca="false">IF(B119&lt;&gt;"",ROW()-3,"")</f>
        <v/>
      </c>
      <c r="B119" s="185"/>
      <c r="C119" s="186"/>
      <c r="D119" s="186"/>
      <c r="E119" s="185"/>
      <c r="F119" s="186"/>
      <c r="G119" s="187"/>
      <c r="H119" s="185"/>
      <c r="I119" s="187"/>
      <c r="J119" s="185"/>
    </row>
    <row r="120" customFormat="false" ht="15" hidden="false" customHeight="true" outlineLevel="0" collapsed="false">
      <c r="A120" s="184" t="str">
        <f aca="false">IF(B120&lt;&gt;"",ROW()-3,"")</f>
        <v/>
      </c>
      <c r="B120" s="185"/>
      <c r="C120" s="186"/>
      <c r="D120" s="186"/>
      <c r="E120" s="185"/>
      <c r="F120" s="186"/>
      <c r="G120" s="187"/>
      <c r="H120" s="185"/>
      <c r="I120" s="187"/>
      <c r="J120" s="185"/>
    </row>
    <row r="121" customFormat="false" ht="15" hidden="false" customHeight="true" outlineLevel="0" collapsed="false">
      <c r="A121" s="184" t="str">
        <f aca="false">IF(B121&lt;&gt;"",ROW()-3,"")</f>
        <v/>
      </c>
      <c r="B121" s="185"/>
      <c r="C121" s="186"/>
      <c r="D121" s="186"/>
      <c r="E121" s="185"/>
      <c r="F121" s="186"/>
      <c r="G121" s="187"/>
      <c r="H121" s="185"/>
      <c r="I121" s="187"/>
      <c r="J121" s="185"/>
    </row>
    <row r="122" customFormat="false" ht="15" hidden="false" customHeight="true" outlineLevel="0" collapsed="false">
      <c r="A122" s="184" t="str">
        <f aca="false">IF(B122&lt;&gt;"",ROW()-3,"")</f>
        <v/>
      </c>
      <c r="B122" s="185"/>
      <c r="C122" s="186"/>
      <c r="D122" s="186"/>
      <c r="E122" s="185"/>
      <c r="F122" s="186"/>
      <c r="G122" s="187"/>
      <c r="H122" s="185"/>
      <c r="I122" s="187"/>
      <c r="J122" s="185"/>
    </row>
    <row r="123" customFormat="false" ht="15" hidden="false" customHeight="true" outlineLevel="0" collapsed="false">
      <c r="A123" s="184" t="str">
        <f aca="false">IF(B123&lt;&gt;"",ROW()-3,"")</f>
        <v/>
      </c>
      <c r="B123" s="185"/>
      <c r="C123" s="186"/>
      <c r="D123" s="186"/>
      <c r="E123" s="185"/>
      <c r="F123" s="186"/>
      <c r="G123" s="187"/>
      <c r="H123" s="185"/>
      <c r="I123" s="187"/>
      <c r="J123" s="185"/>
    </row>
    <row r="124" customFormat="false" ht="15" hidden="false" customHeight="true" outlineLevel="0" collapsed="false">
      <c r="A124" s="184" t="str">
        <f aca="false">IF(B124&lt;&gt;"",ROW()-3,"")</f>
        <v/>
      </c>
      <c r="B124" s="185"/>
      <c r="C124" s="186"/>
      <c r="D124" s="186"/>
      <c r="E124" s="185"/>
      <c r="F124" s="186"/>
      <c r="G124" s="187"/>
      <c r="H124" s="185"/>
      <c r="I124" s="187"/>
      <c r="J124" s="185"/>
    </row>
    <row r="125" customFormat="false" ht="15" hidden="false" customHeight="true" outlineLevel="0" collapsed="false">
      <c r="A125" s="184" t="str">
        <f aca="false">IF(B125&lt;&gt;"",ROW()-3,"")</f>
        <v/>
      </c>
      <c r="B125" s="185"/>
      <c r="C125" s="186"/>
      <c r="D125" s="186"/>
      <c r="E125" s="185"/>
      <c r="F125" s="186"/>
      <c r="G125" s="187"/>
      <c r="H125" s="185"/>
      <c r="I125" s="187"/>
      <c r="J125" s="185"/>
    </row>
    <row r="126" customFormat="false" ht="15" hidden="false" customHeight="true" outlineLevel="0" collapsed="false">
      <c r="A126" s="184" t="str">
        <f aca="false">IF(B126&lt;&gt;"",ROW()-3,"")</f>
        <v/>
      </c>
      <c r="B126" s="185"/>
      <c r="C126" s="186"/>
      <c r="D126" s="186"/>
      <c r="E126" s="185"/>
      <c r="F126" s="186"/>
      <c r="G126" s="187"/>
      <c r="H126" s="185"/>
      <c r="I126" s="187"/>
      <c r="J126" s="185"/>
    </row>
    <row r="127" customFormat="false" ht="15" hidden="false" customHeight="true" outlineLevel="0" collapsed="false">
      <c r="A127" s="184" t="str">
        <f aca="false">IF(B127&lt;&gt;"",ROW()-3,"")</f>
        <v/>
      </c>
      <c r="B127" s="185"/>
      <c r="C127" s="186"/>
      <c r="D127" s="186"/>
      <c r="E127" s="185"/>
      <c r="F127" s="186"/>
      <c r="G127" s="187"/>
      <c r="H127" s="185"/>
      <c r="I127" s="187"/>
      <c r="J127" s="185"/>
    </row>
    <row r="128" customFormat="false" ht="15" hidden="false" customHeight="true" outlineLevel="0" collapsed="false">
      <c r="A128" s="184" t="str">
        <f aca="false">IF(B128&lt;&gt;"",ROW()-3,"")</f>
        <v/>
      </c>
      <c r="B128" s="185"/>
      <c r="C128" s="186"/>
      <c r="D128" s="186"/>
      <c r="E128" s="185"/>
      <c r="F128" s="186"/>
      <c r="G128" s="187"/>
      <c r="H128" s="185"/>
      <c r="I128" s="187"/>
      <c r="J128" s="185"/>
    </row>
    <row r="129" customFormat="false" ht="15" hidden="false" customHeight="true" outlineLevel="0" collapsed="false">
      <c r="A129" s="184" t="str">
        <f aca="false">IF(B129&lt;&gt;"",ROW()-3,"")</f>
        <v/>
      </c>
      <c r="B129" s="185"/>
      <c r="C129" s="186"/>
      <c r="D129" s="186"/>
      <c r="E129" s="185"/>
      <c r="F129" s="186"/>
      <c r="G129" s="187"/>
      <c r="H129" s="185"/>
      <c r="I129" s="187"/>
      <c r="J129" s="185"/>
    </row>
    <row r="130" customFormat="false" ht="15" hidden="false" customHeight="true" outlineLevel="0" collapsed="false">
      <c r="A130" s="184" t="str">
        <f aca="false">IF(B130&lt;&gt;"",ROW()-3,"")</f>
        <v/>
      </c>
      <c r="B130" s="185"/>
      <c r="C130" s="186"/>
      <c r="D130" s="186"/>
      <c r="E130" s="185"/>
      <c r="F130" s="186"/>
      <c r="G130" s="187"/>
      <c r="H130" s="185"/>
      <c r="I130" s="187"/>
      <c r="J130" s="185"/>
    </row>
    <row r="131" customFormat="false" ht="15" hidden="false" customHeight="true" outlineLevel="0" collapsed="false">
      <c r="A131" s="184" t="str">
        <f aca="false">IF(B131&lt;&gt;"",ROW()-3,"")</f>
        <v/>
      </c>
      <c r="B131" s="185"/>
      <c r="C131" s="186"/>
      <c r="D131" s="186"/>
      <c r="E131" s="185"/>
      <c r="F131" s="186"/>
      <c r="G131" s="187"/>
      <c r="H131" s="185"/>
      <c r="I131" s="187"/>
      <c r="J131" s="185"/>
    </row>
    <row r="132" customFormat="false" ht="15" hidden="false" customHeight="true" outlineLevel="0" collapsed="false">
      <c r="A132" s="184" t="str">
        <f aca="false">IF(B132&lt;&gt;"",ROW()-3,"")</f>
        <v/>
      </c>
      <c r="B132" s="185"/>
      <c r="C132" s="186"/>
      <c r="D132" s="186"/>
      <c r="E132" s="185"/>
      <c r="F132" s="186"/>
      <c r="G132" s="187"/>
      <c r="H132" s="185"/>
      <c r="I132" s="187"/>
      <c r="J132" s="185"/>
    </row>
    <row r="133" customFormat="false" ht="15" hidden="false" customHeight="true" outlineLevel="0" collapsed="false">
      <c r="A133" s="184" t="str">
        <f aca="false">IF(B133&lt;&gt;"",ROW()-3,"")</f>
        <v/>
      </c>
      <c r="B133" s="185"/>
      <c r="C133" s="186"/>
      <c r="D133" s="186"/>
      <c r="E133" s="185"/>
      <c r="F133" s="186"/>
      <c r="G133" s="187"/>
      <c r="H133" s="185"/>
      <c r="I133" s="187"/>
      <c r="J133" s="185"/>
    </row>
    <row r="134" customFormat="false" ht="15" hidden="false" customHeight="true" outlineLevel="0" collapsed="false">
      <c r="A134" s="184" t="str">
        <f aca="false">IF(B134&lt;&gt;"",ROW()-3,"")</f>
        <v/>
      </c>
      <c r="B134" s="185"/>
      <c r="C134" s="186"/>
      <c r="D134" s="186"/>
      <c r="E134" s="185"/>
      <c r="F134" s="186"/>
      <c r="G134" s="187"/>
      <c r="H134" s="185"/>
      <c r="I134" s="187"/>
      <c r="J134" s="185"/>
    </row>
    <row r="135" customFormat="false" ht="15" hidden="false" customHeight="true" outlineLevel="0" collapsed="false">
      <c r="A135" s="184" t="str">
        <f aca="false">IF(B135&lt;&gt;"",ROW()-3,"")</f>
        <v/>
      </c>
      <c r="B135" s="185"/>
      <c r="C135" s="186"/>
      <c r="D135" s="186"/>
      <c r="E135" s="185"/>
      <c r="F135" s="186"/>
      <c r="G135" s="187"/>
      <c r="H135" s="185"/>
      <c r="I135" s="187"/>
      <c r="J135" s="185"/>
    </row>
    <row r="136" customFormat="false" ht="15" hidden="false" customHeight="true" outlineLevel="0" collapsed="false">
      <c r="A136" s="184" t="str">
        <f aca="false">IF(B136&lt;&gt;"",ROW()-3,"")</f>
        <v/>
      </c>
      <c r="B136" s="185"/>
      <c r="C136" s="186"/>
      <c r="D136" s="186"/>
      <c r="E136" s="185"/>
      <c r="F136" s="186"/>
      <c r="G136" s="187"/>
      <c r="H136" s="185"/>
      <c r="I136" s="187"/>
      <c r="J136" s="185"/>
    </row>
    <row r="137" customFormat="false" ht="15" hidden="false" customHeight="true" outlineLevel="0" collapsed="false">
      <c r="A137" s="184" t="str">
        <f aca="false">IF(B137&lt;&gt;"",ROW()-3,"")</f>
        <v/>
      </c>
      <c r="B137" s="185"/>
      <c r="C137" s="186"/>
      <c r="D137" s="186"/>
      <c r="E137" s="185"/>
      <c r="F137" s="186"/>
      <c r="G137" s="187"/>
      <c r="H137" s="185"/>
      <c r="I137" s="187"/>
      <c r="J137" s="185"/>
    </row>
    <row r="138" customFormat="false" ht="15" hidden="false" customHeight="true" outlineLevel="0" collapsed="false">
      <c r="A138" s="184" t="str">
        <f aca="false">IF(B138&lt;&gt;"",ROW()-3,"")</f>
        <v/>
      </c>
      <c r="B138" s="185"/>
      <c r="C138" s="186"/>
      <c r="D138" s="186"/>
      <c r="E138" s="185"/>
      <c r="F138" s="186"/>
      <c r="G138" s="187"/>
      <c r="H138" s="185"/>
      <c r="I138" s="187"/>
      <c r="J138" s="185"/>
    </row>
    <row r="139" customFormat="false" ht="15" hidden="false" customHeight="true" outlineLevel="0" collapsed="false">
      <c r="A139" s="184" t="str">
        <f aca="false">IF(B139&lt;&gt;"",ROW()-3,"")</f>
        <v/>
      </c>
      <c r="B139" s="185"/>
      <c r="C139" s="186"/>
      <c r="D139" s="186"/>
      <c r="E139" s="185"/>
      <c r="F139" s="186"/>
      <c r="G139" s="187"/>
      <c r="H139" s="185"/>
      <c r="I139" s="187"/>
      <c r="J139" s="185"/>
    </row>
    <row r="140" customFormat="false" ht="15" hidden="false" customHeight="true" outlineLevel="0" collapsed="false">
      <c r="A140" s="184" t="str">
        <f aca="false">IF(B140&lt;&gt;"",ROW()-3,"")</f>
        <v/>
      </c>
      <c r="B140" s="185"/>
      <c r="C140" s="186"/>
      <c r="D140" s="186"/>
      <c r="E140" s="185"/>
      <c r="F140" s="186"/>
      <c r="G140" s="187"/>
      <c r="H140" s="185"/>
      <c r="I140" s="187"/>
      <c r="J140" s="185"/>
    </row>
    <row r="141" customFormat="false" ht="15" hidden="false" customHeight="true" outlineLevel="0" collapsed="false">
      <c r="A141" s="184" t="str">
        <f aca="false">IF(B141&lt;&gt;"",ROW()-3,"")</f>
        <v/>
      </c>
      <c r="B141" s="185"/>
      <c r="C141" s="186"/>
      <c r="D141" s="186"/>
      <c r="E141" s="185"/>
      <c r="F141" s="186"/>
      <c r="G141" s="187"/>
      <c r="H141" s="185"/>
      <c r="I141" s="187"/>
      <c r="J141" s="185"/>
    </row>
    <row r="142" customFormat="false" ht="15" hidden="false" customHeight="true" outlineLevel="0" collapsed="false">
      <c r="A142" s="184" t="str">
        <f aca="false">IF(B142&lt;&gt;"",ROW()-3,"")</f>
        <v/>
      </c>
      <c r="B142" s="185"/>
      <c r="C142" s="186"/>
      <c r="D142" s="186"/>
      <c r="E142" s="185"/>
      <c r="F142" s="186"/>
      <c r="G142" s="187"/>
      <c r="H142" s="185"/>
      <c r="I142" s="187"/>
      <c r="J142" s="185"/>
    </row>
    <row r="143" customFormat="false" ht="15" hidden="false" customHeight="true" outlineLevel="0" collapsed="false">
      <c r="A143" s="184" t="str">
        <f aca="false">IF(B143&lt;&gt;"",ROW()-3,"")</f>
        <v/>
      </c>
      <c r="B143" s="185"/>
      <c r="C143" s="186"/>
      <c r="D143" s="186"/>
      <c r="E143" s="185"/>
      <c r="F143" s="186"/>
      <c r="G143" s="187"/>
      <c r="H143" s="185"/>
      <c r="I143" s="187"/>
      <c r="J143" s="185"/>
    </row>
    <row r="144" customFormat="false" ht="15" hidden="false" customHeight="true" outlineLevel="0" collapsed="false">
      <c r="A144" s="184" t="str">
        <f aca="false">IF(B144&lt;&gt;"",ROW()-3,"")</f>
        <v/>
      </c>
      <c r="B144" s="185"/>
      <c r="C144" s="186"/>
      <c r="D144" s="186"/>
      <c r="E144" s="185"/>
      <c r="F144" s="186"/>
      <c r="G144" s="187"/>
      <c r="H144" s="185"/>
      <c r="I144" s="187"/>
      <c r="J144" s="185"/>
    </row>
    <row r="145" customFormat="false" ht="15" hidden="false" customHeight="true" outlineLevel="0" collapsed="false">
      <c r="A145" s="184" t="str">
        <f aca="false">IF(B145&lt;&gt;"",ROW()-3,"")</f>
        <v/>
      </c>
      <c r="B145" s="185"/>
      <c r="C145" s="186"/>
      <c r="D145" s="186"/>
      <c r="E145" s="185"/>
      <c r="F145" s="186"/>
      <c r="G145" s="187"/>
      <c r="H145" s="185"/>
      <c r="I145" s="187"/>
      <c r="J145" s="185"/>
    </row>
    <row r="146" customFormat="false" ht="15" hidden="false" customHeight="true" outlineLevel="0" collapsed="false">
      <c r="A146" s="184" t="str">
        <f aca="false">IF(B146&lt;&gt;"",ROW()-3,"")</f>
        <v/>
      </c>
      <c r="B146" s="185"/>
      <c r="C146" s="186"/>
      <c r="D146" s="186"/>
      <c r="E146" s="185"/>
      <c r="F146" s="186"/>
      <c r="G146" s="187"/>
      <c r="H146" s="185"/>
      <c r="I146" s="187"/>
      <c r="J146" s="185"/>
    </row>
    <row r="147" customFormat="false" ht="15" hidden="false" customHeight="true" outlineLevel="0" collapsed="false">
      <c r="A147" s="184" t="str">
        <f aca="false">IF(B147&lt;&gt;"",ROW()-3,"")</f>
        <v/>
      </c>
      <c r="B147" s="185"/>
      <c r="C147" s="186"/>
      <c r="D147" s="186"/>
      <c r="E147" s="185"/>
      <c r="F147" s="186"/>
      <c r="G147" s="187"/>
      <c r="H147" s="185"/>
      <c r="I147" s="187"/>
      <c r="J147" s="185"/>
    </row>
    <row r="148" customFormat="false" ht="15" hidden="false" customHeight="true" outlineLevel="0" collapsed="false">
      <c r="A148" s="184" t="str">
        <f aca="false">IF(B148&lt;&gt;"",ROW()-3,"")</f>
        <v/>
      </c>
      <c r="B148" s="185"/>
      <c r="C148" s="186"/>
      <c r="D148" s="186"/>
      <c r="E148" s="185"/>
      <c r="F148" s="186"/>
      <c r="G148" s="187"/>
      <c r="H148" s="185"/>
      <c r="I148" s="187"/>
      <c r="J148" s="185"/>
    </row>
    <row r="149" customFormat="false" ht="15" hidden="false" customHeight="true" outlineLevel="0" collapsed="false">
      <c r="A149" s="184" t="str">
        <f aca="false">IF(B149&lt;&gt;"",ROW()-3,"")</f>
        <v/>
      </c>
      <c r="B149" s="185"/>
      <c r="C149" s="186"/>
      <c r="D149" s="186"/>
      <c r="E149" s="185"/>
      <c r="F149" s="186"/>
      <c r="G149" s="187"/>
      <c r="H149" s="185"/>
      <c r="I149" s="187"/>
      <c r="J149" s="185"/>
    </row>
    <row r="150" customFormat="false" ht="15" hidden="false" customHeight="true" outlineLevel="0" collapsed="false">
      <c r="A150" s="184" t="str">
        <f aca="false">IF(B150&lt;&gt;"",ROW()-3,"")</f>
        <v/>
      </c>
      <c r="B150" s="185"/>
      <c r="C150" s="186"/>
      <c r="D150" s="186"/>
      <c r="E150" s="185"/>
      <c r="F150" s="186"/>
      <c r="G150" s="187"/>
      <c r="H150" s="185"/>
      <c r="I150" s="187"/>
      <c r="J150" s="185"/>
    </row>
    <row r="151" customFormat="false" ht="15" hidden="false" customHeight="true" outlineLevel="0" collapsed="false">
      <c r="A151" s="184" t="str">
        <f aca="false">IF(B151&lt;&gt;"",ROW()-3,"")</f>
        <v/>
      </c>
      <c r="B151" s="185"/>
      <c r="C151" s="186"/>
      <c r="D151" s="186"/>
      <c r="E151" s="185"/>
      <c r="F151" s="186"/>
      <c r="G151" s="187"/>
      <c r="H151" s="185"/>
      <c r="I151" s="187"/>
      <c r="J151" s="185"/>
    </row>
    <row r="152" customFormat="false" ht="15" hidden="false" customHeight="true" outlineLevel="0" collapsed="false">
      <c r="A152" s="184" t="str">
        <f aca="false">IF(B152&lt;&gt;"",ROW()-3,"")</f>
        <v/>
      </c>
      <c r="B152" s="185"/>
      <c r="C152" s="186"/>
      <c r="D152" s="186"/>
      <c r="E152" s="185"/>
      <c r="F152" s="186"/>
      <c r="G152" s="187"/>
      <c r="H152" s="185"/>
      <c r="I152" s="187"/>
      <c r="J152" s="185"/>
    </row>
    <row r="153" customFormat="false" ht="15" hidden="false" customHeight="true" outlineLevel="0" collapsed="false">
      <c r="A153" s="184" t="str">
        <f aca="false">IF(B153&lt;&gt;"",ROW()-3,"")</f>
        <v/>
      </c>
      <c r="B153" s="185"/>
      <c r="C153" s="186"/>
      <c r="D153" s="186"/>
      <c r="E153" s="185"/>
      <c r="F153" s="186"/>
      <c r="G153" s="187"/>
      <c r="H153" s="185"/>
      <c r="I153" s="187"/>
      <c r="J153" s="185"/>
    </row>
    <row r="154" customFormat="false" ht="15" hidden="false" customHeight="true" outlineLevel="0" collapsed="false">
      <c r="A154" s="184" t="str">
        <f aca="false">IF(B154&lt;&gt;"",ROW()-3,"")</f>
        <v/>
      </c>
      <c r="B154" s="185"/>
      <c r="C154" s="186"/>
      <c r="D154" s="186"/>
      <c r="E154" s="185"/>
      <c r="F154" s="186"/>
      <c r="G154" s="187"/>
      <c r="H154" s="185"/>
      <c r="I154" s="187"/>
      <c r="J154" s="185"/>
    </row>
    <row r="155" customFormat="false" ht="15" hidden="false" customHeight="true" outlineLevel="0" collapsed="false">
      <c r="A155" s="184" t="str">
        <f aca="false">IF(B155&lt;&gt;"",ROW()-3,"")</f>
        <v/>
      </c>
      <c r="B155" s="185"/>
      <c r="C155" s="186"/>
      <c r="D155" s="186"/>
      <c r="E155" s="185"/>
      <c r="F155" s="186"/>
      <c r="G155" s="187"/>
      <c r="H155" s="185"/>
      <c r="I155" s="187"/>
      <c r="J155" s="185"/>
    </row>
    <row r="156" customFormat="false" ht="15" hidden="false" customHeight="true" outlineLevel="0" collapsed="false">
      <c r="A156" s="184" t="str">
        <f aca="false">IF(B156&lt;&gt;"",ROW()-3,"")</f>
        <v/>
      </c>
      <c r="B156" s="185"/>
      <c r="C156" s="186"/>
      <c r="D156" s="186"/>
      <c r="E156" s="185"/>
      <c r="F156" s="186"/>
      <c r="G156" s="187"/>
      <c r="H156" s="185"/>
      <c r="I156" s="187"/>
      <c r="J156" s="185"/>
    </row>
    <row r="157" customFormat="false" ht="15" hidden="false" customHeight="true" outlineLevel="0" collapsed="false">
      <c r="A157" s="184" t="str">
        <f aca="false">IF(B157&lt;&gt;"",ROW()-3,"")</f>
        <v/>
      </c>
      <c r="B157" s="185"/>
      <c r="C157" s="186"/>
      <c r="D157" s="186"/>
      <c r="E157" s="185"/>
      <c r="F157" s="186"/>
      <c r="G157" s="187"/>
      <c r="H157" s="185"/>
      <c r="I157" s="187"/>
      <c r="J157" s="185"/>
    </row>
    <row r="158" customFormat="false" ht="15" hidden="false" customHeight="true" outlineLevel="0" collapsed="false">
      <c r="A158" s="184" t="str">
        <f aca="false">IF(B158&lt;&gt;"",ROW()-3,"")</f>
        <v/>
      </c>
      <c r="B158" s="185"/>
      <c r="C158" s="186"/>
      <c r="D158" s="186"/>
      <c r="E158" s="185"/>
      <c r="F158" s="186"/>
      <c r="G158" s="187"/>
      <c r="H158" s="185"/>
      <c r="I158" s="187"/>
      <c r="J158" s="185"/>
    </row>
    <row r="159" customFormat="false" ht="15" hidden="false" customHeight="true" outlineLevel="0" collapsed="false">
      <c r="A159" s="184" t="str">
        <f aca="false">IF(B159&lt;&gt;"",ROW()-3,"")</f>
        <v/>
      </c>
      <c r="B159" s="185"/>
      <c r="C159" s="186"/>
      <c r="D159" s="186"/>
      <c r="E159" s="185"/>
      <c r="F159" s="186"/>
      <c r="G159" s="187"/>
      <c r="H159" s="185"/>
      <c r="I159" s="187"/>
      <c r="J159" s="185"/>
    </row>
    <row r="160" customFormat="false" ht="15" hidden="false" customHeight="true" outlineLevel="0" collapsed="false">
      <c r="A160" s="184" t="str">
        <f aca="false">IF(B160&lt;&gt;"",ROW()-3,"")</f>
        <v/>
      </c>
      <c r="B160" s="185"/>
      <c r="C160" s="186"/>
      <c r="D160" s="186"/>
      <c r="E160" s="185"/>
      <c r="F160" s="186"/>
      <c r="G160" s="187"/>
      <c r="H160" s="185"/>
      <c r="I160" s="187"/>
      <c r="J160" s="185"/>
    </row>
    <row r="161" customFormat="false" ht="15" hidden="false" customHeight="true" outlineLevel="0" collapsed="false">
      <c r="A161" s="184" t="str">
        <f aca="false">IF(B161&lt;&gt;"",ROW()-3,"")</f>
        <v/>
      </c>
      <c r="B161" s="185"/>
      <c r="C161" s="186"/>
      <c r="D161" s="186"/>
      <c r="E161" s="185"/>
      <c r="F161" s="186"/>
      <c r="G161" s="187"/>
      <c r="H161" s="185"/>
      <c r="I161" s="187"/>
      <c r="J161" s="185"/>
    </row>
    <row r="162" customFormat="false" ht="15" hidden="false" customHeight="true" outlineLevel="0" collapsed="false">
      <c r="A162" s="184" t="str">
        <f aca="false">IF(B162&lt;&gt;"",ROW()-3,"")</f>
        <v/>
      </c>
      <c r="B162" s="185"/>
      <c r="C162" s="186"/>
      <c r="D162" s="186"/>
      <c r="E162" s="185"/>
      <c r="F162" s="186"/>
      <c r="G162" s="187"/>
      <c r="H162" s="185"/>
      <c r="I162" s="187"/>
      <c r="J162" s="185"/>
    </row>
    <row r="163" customFormat="false" ht="15" hidden="false" customHeight="true" outlineLevel="0" collapsed="false">
      <c r="A163" s="184" t="str">
        <f aca="false">IF(B163&lt;&gt;"",ROW()-3,"")</f>
        <v/>
      </c>
      <c r="B163" s="185"/>
      <c r="C163" s="186"/>
      <c r="D163" s="186"/>
      <c r="E163" s="185"/>
      <c r="F163" s="186"/>
      <c r="G163" s="187"/>
      <c r="H163" s="185"/>
      <c r="I163" s="187"/>
      <c r="J163" s="185"/>
    </row>
    <row r="164" customFormat="false" ht="15" hidden="false" customHeight="true" outlineLevel="0" collapsed="false">
      <c r="A164" s="184" t="str">
        <f aca="false">IF(B164&lt;&gt;"",ROW()-3,"")</f>
        <v/>
      </c>
      <c r="B164" s="185"/>
      <c r="C164" s="186"/>
      <c r="D164" s="186"/>
      <c r="E164" s="185"/>
      <c r="F164" s="186"/>
      <c r="G164" s="187"/>
      <c r="H164" s="185"/>
      <c r="I164" s="187"/>
      <c r="J164" s="185"/>
    </row>
    <row r="165" customFormat="false" ht="15" hidden="false" customHeight="true" outlineLevel="0" collapsed="false">
      <c r="A165" s="184" t="str">
        <f aca="false">IF(B165&lt;&gt;"",ROW()-3,"")</f>
        <v/>
      </c>
      <c r="B165" s="185"/>
      <c r="C165" s="186"/>
      <c r="D165" s="186"/>
      <c r="E165" s="185"/>
      <c r="F165" s="186"/>
      <c r="G165" s="187"/>
      <c r="H165" s="185"/>
      <c r="I165" s="187"/>
      <c r="J165" s="185"/>
    </row>
    <row r="166" customFormat="false" ht="15" hidden="false" customHeight="true" outlineLevel="0" collapsed="false">
      <c r="A166" s="184" t="str">
        <f aca="false">IF(B166&lt;&gt;"",ROW()-3,"")</f>
        <v/>
      </c>
      <c r="B166" s="185"/>
      <c r="C166" s="186"/>
      <c r="D166" s="186"/>
      <c r="E166" s="185"/>
      <c r="F166" s="186"/>
      <c r="G166" s="187"/>
      <c r="H166" s="185"/>
      <c r="I166" s="187"/>
      <c r="J166" s="185"/>
    </row>
    <row r="167" customFormat="false" ht="15" hidden="false" customHeight="true" outlineLevel="0" collapsed="false">
      <c r="A167" s="184" t="str">
        <f aca="false">IF(B167&lt;&gt;"",ROW()-3,"")</f>
        <v/>
      </c>
      <c r="B167" s="185"/>
      <c r="C167" s="186"/>
      <c r="D167" s="186"/>
      <c r="E167" s="185"/>
      <c r="F167" s="186"/>
      <c r="G167" s="187"/>
      <c r="H167" s="185"/>
      <c r="I167" s="187"/>
      <c r="J167" s="185"/>
    </row>
    <row r="168" customFormat="false" ht="15" hidden="false" customHeight="true" outlineLevel="0" collapsed="false">
      <c r="A168" s="184" t="str">
        <f aca="false">IF(B168&lt;&gt;"",ROW()-3,"")</f>
        <v/>
      </c>
      <c r="B168" s="185"/>
      <c r="C168" s="186"/>
      <c r="D168" s="186"/>
      <c r="E168" s="185"/>
      <c r="F168" s="186"/>
      <c r="G168" s="187"/>
      <c r="H168" s="185"/>
      <c r="I168" s="187"/>
      <c r="J168" s="185"/>
    </row>
    <row r="169" customFormat="false" ht="15" hidden="false" customHeight="true" outlineLevel="0" collapsed="false">
      <c r="A169" s="184" t="str">
        <f aca="false">IF(B169&lt;&gt;"",ROW()-3,"")</f>
        <v/>
      </c>
      <c r="B169" s="185"/>
      <c r="C169" s="186"/>
      <c r="D169" s="186"/>
      <c r="E169" s="185"/>
      <c r="F169" s="186"/>
      <c r="G169" s="187"/>
      <c r="H169" s="185"/>
      <c r="I169" s="187"/>
      <c r="J169" s="185"/>
    </row>
    <row r="170" customFormat="false" ht="15" hidden="false" customHeight="true" outlineLevel="0" collapsed="false">
      <c r="A170" s="184" t="str">
        <f aca="false">IF(B170&lt;&gt;"",ROW()-3,"")</f>
        <v/>
      </c>
      <c r="B170" s="185"/>
      <c r="C170" s="186"/>
      <c r="D170" s="186"/>
      <c r="E170" s="185"/>
      <c r="F170" s="186"/>
      <c r="G170" s="187"/>
      <c r="H170" s="185"/>
      <c r="I170" s="187"/>
      <c r="J170" s="185"/>
    </row>
    <row r="171" customFormat="false" ht="15" hidden="false" customHeight="true" outlineLevel="0" collapsed="false">
      <c r="A171" s="184" t="str">
        <f aca="false">IF(B171&lt;&gt;"",ROW()-3,"")</f>
        <v/>
      </c>
      <c r="B171" s="185"/>
      <c r="C171" s="186"/>
      <c r="D171" s="186"/>
      <c r="E171" s="185"/>
      <c r="F171" s="186"/>
      <c r="G171" s="187"/>
      <c r="H171" s="185"/>
      <c r="I171" s="187"/>
      <c r="J171" s="185"/>
    </row>
    <row r="172" customFormat="false" ht="15" hidden="false" customHeight="true" outlineLevel="0" collapsed="false">
      <c r="A172" s="184" t="str">
        <f aca="false">IF(B172&lt;&gt;"",ROW()-3,"")</f>
        <v/>
      </c>
      <c r="B172" s="185"/>
      <c r="C172" s="186"/>
      <c r="D172" s="186"/>
      <c r="E172" s="185"/>
      <c r="F172" s="186"/>
      <c r="G172" s="187"/>
      <c r="H172" s="185"/>
      <c r="I172" s="187"/>
      <c r="J172" s="185"/>
    </row>
    <row r="173" customFormat="false" ht="15" hidden="false" customHeight="true" outlineLevel="0" collapsed="false">
      <c r="A173" s="184" t="str">
        <f aca="false">IF(B173&lt;&gt;"",ROW()-3,"")</f>
        <v/>
      </c>
      <c r="B173" s="185"/>
      <c r="C173" s="186"/>
      <c r="D173" s="186"/>
      <c r="E173" s="185"/>
      <c r="F173" s="186"/>
      <c r="G173" s="187"/>
      <c r="H173" s="185"/>
      <c r="I173" s="187"/>
      <c r="J173" s="185"/>
    </row>
    <row r="174" customFormat="false" ht="15" hidden="false" customHeight="true" outlineLevel="0" collapsed="false">
      <c r="A174" s="184" t="str">
        <f aca="false">IF(B174&lt;&gt;"",ROW()-3,"")</f>
        <v/>
      </c>
      <c r="B174" s="185"/>
      <c r="C174" s="186"/>
      <c r="D174" s="186"/>
      <c r="E174" s="185"/>
      <c r="F174" s="186"/>
      <c r="G174" s="187"/>
      <c r="H174" s="185"/>
      <c r="I174" s="187"/>
      <c r="J174" s="185"/>
    </row>
    <row r="175" customFormat="false" ht="15" hidden="false" customHeight="true" outlineLevel="0" collapsed="false">
      <c r="A175" s="184" t="str">
        <f aca="false">IF(B175&lt;&gt;"",ROW()-3,"")</f>
        <v/>
      </c>
      <c r="B175" s="185"/>
      <c r="C175" s="186"/>
      <c r="D175" s="186"/>
      <c r="E175" s="185"/>
      <c r="F175" s="186"/>
      <c r="G175" s="187"/>
      <c r="H175" s="185"/>
      <c r="I175" s="187"/>
      <c r="J175" s="185"/>
    </row>
    <row r="176" customFormat="false" ht="15" hidden="false" customHeight="true" outlineLevel="0" collapsed="false">
      <c r="A176" s="184" t="str">
        <f aca="false">IF(B176&lt;&gt;"",ROW()-3,"")</f>
        <v/>
      </c>
      <c r="B176" s="185"/>
      <c r="C176" s="186"/>
      <c r="D176" s="186"/>
      <c r="E176" s="185"/>
      <c r="F176" s="186"/>
      <c r="G176" s="187"/>
      <c r="H176" s="185"/>
      <c r="I176" s="187"/>
      <c r="J176" s="185"/>
    </row>
    <row r="177" customFormat="false" ht="15" hidden="false" customHeight="true" outlineLevel="0" collapsed="false">
      <c r="A177" s="184" t="str">
        <f aca="false">IF(B177&lt;&gt;"",ROW()-3,"")</f>
        <v/>
      </c>
      <c r="B177" s="185"/>
      <c r="C177" s="186"/>
      <c r="D177" s="186"/>
      <c r="E177" s="185"/>
      <c r="F177" s="186"/>
      <c r="G177" s="187"/>
      <c r="H177" s="185"/>
      <c r="I177" s="187"/>
      <c r="J177" s="185"/>
    </row>
    <row r="178" customFormat="false" ht="15" hidden="false" customHeight="true" outlineLevel="0" collapsed="false">
      <c r="A178" s="184" t="str">
        <f aca="false">IF(B178&lt;&gt;"",ROW()-3,"")</f>
        <v/>
      </c>
      <c r="B178" s="185"/>
      <c r="C178" s="186"/>
      <c r="D178" s="186"/>
      <c r="E178" s="185"/>
      <c r="F178" s="186"/>
      <c r="G178" s="187"/>
      <c r="H178" s="185"/>
      <c r="I178" s="187"/>
      <c r="J178" s="185"/>
    </row>
    <row r="179" customFormat="false" ht="15" hidden="false" customHeight="true" outlineLevel="0" collapsed="false">
      <c r="A179" s="184" t="str">
        <f aca="false">IF(B179&lt;&gt;"",ROW()-3,"")</f>
        <v/>
      </c>
      <c r="B179" s="185"/>
      <c r="C179" s="186"/>
      <c r="D179" s="186"/>
      <c r="E179" s="185"/>
      <c r="F179" s="186"/>
      <c r="G179" s="187"/>
      <c r="H179" s="185"/>
      <c r="I179" s="187"/>
      <c r="J179" s="185"/>
    </row>
    <row r="180" customFormat="false" ht="15" hidden="false" customHeight="true" outlineLevel="0" collapsed="false">
      <c r="A180" s="184" t="str">
        <f aca="false">IF(B180&lt;&gt;"",ROW()-3,"")</f>
        <v/>
      </c>
      <c r="B180" s="185"/>
      <c r="C180" s="186"/>
      <c r="D180" s="186"/>
      <c r="E180" s="185"/>
      <c r="F180" s="186"/>
      <c r="G180" s="187"/>
      <c r="H180" s="185"/>
      <c r="I180" s="187"/>
      <c r="J180" s="185"/>
    </row>
    <row r="181" customFormat="false" ht="15" hidden="false" customHeight="true" outlineLevel="0" collapsed="false">
      <c r="A181" s="184" t="str">
        <f aca="false">IF(B181&lt;&gt;"",ROW()-3,"")</f>
        <v/>
      </c>
      <c r="B181" s="185"/>
      <c r="C181" s="186"/>
      <c r="D181" s="186"/>
      <c r="E181" s="185"/>
      <c r="F181" s="186"/>
      <c r="G181" s="187"/>
      <c r="H181" s="185"/>
      <c r="I181" s="187"/>
      <c r="J181" s="185"/>
    </row>
    <row r="182" customFormat="false" ht="15" hidden="false" customHeight="true" outlineLevel="0" collapsed="false">
      <c r="A182" s="184" t="str">
        <f aca="false">IF(B182&lt;&gt;"",ROW()-3,"")</f>
        <v/>
      </c>
      <c r="B182" s="185"/>
      <c r="C182" s="186"/>
      <c r="D182" s="186"/>
      <c r="E182" s="185"/>
      <c r="F182" s="186"/>
      <c r="G182" s="187"/>
      <c r="H182" s="185"/>
      <c r="I182" s="187"/>
      <c r="J182" s="185"/>
    </row>
    <row r="183" customFormat="false" ht="15" hidden="false" customHeight="true" outlineLevel="0" collapsed="false">
      <c r="A183" s="184" t="str">
        <f aca="false">IF(B183&lt;&gt;"",ROW()-3,"")</f>
        <v/>
      </c>
      <c r="B183" s="185"/>
      <c r="C183" s="186"/>
      <c r="D183" s="186"/>
      <c r="E183" s="185"/>
      <c r="F183" s="186"/>
      <c r="G183" s="187"/>
      <c r="H183" s="185"/>
      <c r="I183" s="187"/>
      <c r="J183" s="185"/>
    </row>
    <row r="184" customFormat="false" ht="15" hidden="false" customHeight="true" outlineLevel="0" collapsed="false">
      <c r="A184" s="184" t="str">
        <f aca="false">IF(B184&lt;&gt;"",ROW()-3,"")</f>
        <v/>
      </c>
      <c r="B184" s="185"/>
      <c r="C184" s="186"/>
      <c r="D184" s="186"/>
      <c r="E184" s="185"/>
      <c r="F184" s="186"/>
      <c r="G184" s="187"/>
      <c r="H184" s="185"/>
      <c r="I184" s="187"/>
      <c r="J184" s="185"/>
    </row>
    <row r="185" customFormat="false" ht="15" hidden="false" customHeight="true" outlineLevel="0" collapsed="false">
      <c r="A185" s="184" t="str">
        <f aca="false">IF(B185&lt;&gt;"",ROW()-3,"")</f>
        <v/>
      </c>
      <c r="B185" s="185"/>
      <c r="C185" s="186"/>
      <c r="D185" s="186"/>
      <c r="E185" s="185"/>
      <c r="F185" s="186"/>
      <c r="G185" s="187"/>
      <c r="H185" s="185"/>
      <c r="I185" s="187"/>
      <c r="J185" s="185"/>
    </row>
    <row r="186" customFormat="false" ht="15" hidden="false" customHeight="true" outlineLevel="0" collapsed="false">
      <c r="A186" s="184" t="str">
        <f aca="false">IF(B186&lt;&gt;"",ROW()-3,"")</f>
        <v/>
      </c>
      <c r="B186" s="185"/>
      <c r="C186" s="186"/>
      <c r="D186" s="186"/>
      <c r="E186" s="185"/>
      <c r="F186" s="186"/>
      <c r="G186" s="187"/>
      <c r="H186" s="185"/>
      <c r="I186" s="187"/>
      <c r="J186" s="185"/>
    </row>
    <row r="187" customFormat="false" ht="15" hidden="false" customHeight="true" outlineLevel="0" collapsed="false">
      <c r="A187" s="184" t="str">
        <f aca="false">IF(B187&lt;&gt;"",ROW()-3,"")</f>
        <v/>
      </c>
      <c r="B187" s="185"/>
      <c r="C187" s="186"/>
      <c r="D187" s="186"/>
      <c r="E187" s="185"/>
      <c r="F187" s="186"/>
      <c r="G187" s="187"/>
      <c r="H187" s="185"/>
      <c r="I187" s="187"/>
      <c r="J187" s="185"/>
    </row>
    <row r="188" customFormat="false" ht="15" hidden="false" customHeight="true" outlineLevel="0" collapsed="false">
      <c r="A188" s="184" t="str">
        <f aca="false">IF(B188&lt;&gt;"",ROW()-3,"")</f>
        <v/>
      </c>
      <c r="B188" s="185"/>
      <c r="C188" s="186"/>
      <c r="D188" s="186"/>
      <c r="E188" s="185"/>
      <c r="F188" s="186"/>
      <c r="G188" s="187"/>
      <c r="H188" s="185"/>
      <c r="I188" s="187"/>
      <c r="J188" s="185"/>
    </row>
    <row r="189" customFormat="false" ht="15" hidden="false" customHeight="true" outlineLevel="0" collapsed="false">
      <c r="A189" s="184" t="str">
        <f aca="false">IF(B189&lt;&gt;"",ROW()-3,"")</f>
        <v/>
      </c>
      <c r="B189" s="185"/>
      <c r="C189" s="186"/>
      <c r="D189" s="186"/>
      <c r="E189" s="185"/>
      <c r="F189" s="186"/>
      <c r="G189" s="187"/>
      <c r="H189" s="185"/>
      <c r="I189" s="187"/>
      <c r="J189" s="185"/>
    </row>
    <row r="190" customFormat="false" ht="15" hidden="false" customHeight="true" outlineLevel="0" collapsed="false">
      <c r="A190" s="184" t="str">
        <f aca="false">IF(B190&lt;&gt;"",ROW()-3,"")</f>
        <v/>
      </c>
      <c r="B190" s="185"/>
      <c r="C190" s="186"/>
      <c r="D190" s="186"/>
      <c r="E190" s="185"/>
      <c r="F190" s="186"/>
      <c r="G190" s="187"/>
      <c r="H190" s="185"/>
      <c r="I190" s="187"/>
      <c r="J190" s="185"/>
    </row>
    <row r="191" customFormat="false" ht="15" hidden="false" customHeight="true" outlineLevel="0" collapsed="false">
      <c r="A191" s="184" t="str">
        <f aca="false">IF(B191&lt;&gt;"",ROW()-3,"")</f>
        <v/>
      </c>
      <c r="B191" s="185"/>
      <c r="C191" s="186"/>
      <c r="D191" s="186"/>
      <c r="E191" s="185"/>
      <c r="F191" s="186"/>
      <c r="G191" s="187"/>
      <c r="H191" s="185"/>
      <c r="I191" s="187"/>
      <c r="J191" s="185"/>
    </row>
    <row r="192" customFormat="false" ht="15" hidden="false" customHeight="true" outlineLevel="0" collapsed="false">
      <c r="A192" s="184" t="str">
        <f aca="false">IF(B192&lt;&gt;"",ROW()-3,"")</f>
        <v/>
      </c>
      <c r="B192" s="185"/>
      <c r="C192" s="186"/>
      <c r="D192" s="186"/>
      <c r="E192" s="185"/>
      <c r="F192" s="186"/>
      <c r="G192" s="187"/>
      <c r="H192" s="185"/>
      <c r="I192" s="187"/>
      <c r="J192" s="185"/>
    </row>
    <row r="193" customFormat="false" ht="15" hidden="false" customHeight="true" outlineLevel="0" collapsed="false">
      <c r="A193" s="184" t="str">
        <f aca="false">IF(B193&lt;&gt;"",ROW()-3,"")</f>
        <v/>
      </c>
      <c r="B193" s="185"/>
      <c r="C193" s="186"/>
      <c r="D193" s="186"/>
      <c r="E193" s="185"/>
      <c r="F193" s="186"/>
      <c r="G193" s="187"/>
      <c r="H193" s="185"/>
      <c r="I193" s="187"/>
      <c r="J193" s="185"/>
    </row>
    <row r="194" customFormat="false" ht="15" hidden="false" customHeight="true" outlineLevel="0" collapsed="false">
      <c r="A194" s="184" t="str">
        <f aca="false">IF(B194&lt;&gt;"",ROW()-3,"")</f>
        <v/>
      </c>
      <c r="B194" s="185"/>
      <c r="C194" s="186"/>
      <c r="D194" s="186"/>
      <c r="E194" s="185"/>
      <c r="F194" s="186"/>
      <c r="G194" s="187"/>
      <c r="H194" s="185"/>
      <c r="I194" s="187"/>
      <c r="J194" s="185"/>
    </row>
    <row r="195" customFormat="false" ht="15" hidden="false" customHeight="true" outlineLevel="0" collapsed="false">
      <c r="A195" s="184" t="str">
        <f aca="false">IF(B195&lt;&gt;"",ROW()-3,"")</f>
        <v/>
      </c>
      <c r="B195" s="185"/>
      <c r="C195" s="186"/>
      <c r="D195" s="186"/>
      <c r="E195" s="185"/>
      <c r="F195" s="186"/>
      <c r="G195" s="187"/>
      <c r="H195" s="185"/>
      <c r="I195" s="187"/>
      <c r="J195" s="185"/>
    </row>
    <row r="196" customFormat="false" ht="15" hidden="false" customHeight="true" outlineLevel="0" collapsed="false">
      <c r="A196" s="184" t="str">
        <f aca="false">IF(B196&lt;&gt;"",ROW()-3,"")</f>
        <v/>
      </c>
      <c r="B196" s="185"/>
      <c r="C196" s="186"/>
      <c r="D196" s="186"/>
      <c r="E196" s="185"/>
      <c r="F196" s="186"/>
      <c r="G196" s="187"/>
      <c r="H196" s="185"/>
      <c r="I196" s="187"/>
      <c r="J196" s="185"/>
    </row>
    <row r="197" customFormat="false" ht="15" hidden="false" customHeight="true" outlineLevel="0" collapsed="false">
      <c r="A197" s="184" t="str">
        <f aca="false">IF(B197&lt;&gt;"",ROW()-3,"")</f>
        <v/>
      </c>
      <c r="B197" s="185"/>
      <c r="C197" s="186"/>
      <c r="D197" s="186"/>
      <c r="E197" s="185"/>
      <c r="F197" s="186"/>
      <c r="G197" s="187"/>
      <c r="H197" s="185"/>
      <c r="I197" s="187"/>
      <c r="J197" s="185"/>
    </row>
    <row r="198" customFormat="false" ht="15" hidden="false" customHeight="true" outlineLevel="0" collapsed="false">
      <c r="A198" s="184" t="str">
        <f aca="false">IF(B198&lt;&gt;"",ROW()-3,"")</f>
        <v/>
      </c>
      <c r="B198" s="185"/>
      <c r="C198" s="186"/>
      <c r="D198" s="186"/>
      <c r="E198" s="185"/>
      <c r="F198" s="186"/>
      <c r="G198" s="187"/>
      <c r="H198" s="185"/>
      <c r="I198" s="187"/>
      <c r="J198" s="185"/>
    </row>
    <row r="199" customFormat="false" ht="15" hidden="false" customHeight="true" outlineLevel="0" collapsed="false">
      <c r="A199" s="184" t="str">
        <f aca="false">IF(B199&lt;&gt;"",ROW()-3,"")</f>
        <v/>
      </c>
      <c r="B199" s="185"/>
      <c r="C199" s="186"/>
      <c r="D199" s="186"/>
      <c r="E199" s="185"/>
      <c r="F199" s="186"/>
      <c r="G199" s="187"/>
      <c r="H199" s="185"/>
      <c r="I199" s="187"/>
      <c r="J199" s="185"/>
    </row>
    <row r="200" customFormat="false" ht="15" hidden="false" customHeight="true" outlineLevel="0" collapsed="false">
      <c r="A200" s="184" t="str">
        <f aca="false">IF(B200&lt;&gt;"",ROW()-3,"")</f>
        <v/>
      </c>
      <c r="B200" s="185"/>
      <c r="C200" s="186"/>
      <c r="D200" s="186"/>
      <c r="E200" s="185"/>
      <c r="F200" s="186"/>
      <c r="G200" s="187"/>
      <c r="H200" s="185"/>
      <c r="I200" s="187"/>
      <c r="J200" s="185"/>
    </row>
    <row r="201" customFormat="false" ht="15" hidden="false" customHeight="true" outlineLevel="0" collapsed="false">
      <c r="A201" s="184" t="str">
        <f aca="false">IF(B201&lt;&gt;"",ROW()-3,"")</f>
        <v/>
      </c>
      <c r="B201" s="185"/>
      <c r="C201" s="186"/>
      <c r="D201" s="186"/>
      <c r="E201" s="185"/>
      <c r="F201" s="186"/>
      <c r="G201" s="187"/>
      <c r="H201" s="185"/>
      <c r="I201" s="187"/>
      <c r="J201" s="185"/>
    </row>
    <row r="202" customFormat="false" ht="15" hidden="false" customHeight="true" outlineLevel="0" collapsed="false">
      <c r="A202" s="184" t="str">
        <f aca="false">IF(B202&lt;&gt;"",ROW()-3,"")</f>
        <v/>
      </c>
      <c r="B202" s="185"/>
      <c r="C202" s="186"/>
      <c r="D202" s="186"/>
      <c r="E202" s="185"/>
      <c r="F202" s="186"/>
      <c r="G202" s="187"/>
      <c r="H202" s="185"/>
      <c r="I202" s="187"/>
      <c r="J202" s="185"/>
    </row>
    <row r="203" customFormat="false" ht="15" hidden="false" customHeight="true" outlineLevel="0" collapsed="false">
      <c r="A203" s="184" t="str">
        <f aca="false">IF(B203&lt;&gt;"",ROW()-3,"")</f>
        <v/>
      </c>
      <c r="B203" s="185"/>
      <c r="C203" s="186"/>
      <c r="D203" s="186"/>
      <c r="E203" s="185"/>
      <c r="F203" s="186"/>
      <c r="G203" s="187"/>
      <c r="H203" s="185"/>
      <c r="I203" s="187"/>
      <c r="J203" s="185"/>
    </row>
    <row r="204" customFormat="false" ht="15" hidden="false" customHeight="true" outlineLevel="0" collapsed="false">
      <c r="A204" s="184" t="str">
        <f aca="false">IF(B204&lt;&gt;"",ROW()-3,"")</f>
        <v/>
      </c>
      <c r="B204" s="185"/>
      <c r="C204" s="186"/>
      <c r="D204" s="186"/>
      <c r="E204" s="185"/>
      <c r="F204" s="186"/>
      <c r="G204" s="187"/>
      <c r="H204" s="185"/>
      <c r="I204" s="187"/>
      <c r="J204" s="185"/>
    </row>
    <row r="205" customFormat="false" ht="15" hidden="false" customHeight="true" outlineLevel="0" collapsed="false">
      <c r="A205" s="184" t="str">
        <f aca="false">IF(B205&lt;&gt;"",ROW()-3,"")</f>
        <v/>
      </c>
      <c r="B205" s="185"/>
      <c r="C205" s="186"/>
      <c r="D205" s="186"/>
      <c r="E205" s="185"/>
      <c r="F205" s="186"/>
      <c r="G205" s="187"/>
      <c r="H205" s="185"/>
      <c r="I205" s="187"/>
      <c r="J205" s="185"/>
    </row>
    <row r="206" customFormat="false" ht="15" hidden="false" customHeight="true" outlineLevel="0" collapsed="false">
      <c r="A206" s="184" t="str">
        <f aca="false">IF(B206&lt;&gt;"",ROW()-3,"")</f>
        <v/>
      </c>
      <c r="B206" s="185"/>
      <c r="C206" s="186"/>
      <c r="D206" s="186"/>
      <c r="E206" s="185"/>
      <c r="F206" s="186"/>
      <c r="G206" s="187"/>
      <c r="H206" s="185"/>
      <c r="I206" s="187"/>
      <c r="J206" s="185"/>
    </row>
    <row r="207" customFormat="false" ht="15" hidden="false" customHeight="true" outlineLevel="0" collapsed="false">
      <c r="A207" s="184" t="str">
        <f aca="false">IF(B207&lt;&gt;"",ROW()-3,"")</f>
        <v/>
      </c>
      <c r="B207" s="185"/>
      <c r="C207" s="186"/>
      <c r="D207" s="186"/>
      <c r="E207" s="185"/>
      <c r="F207" s="186"/>
      <c r="G207" s="187"/>
      <c r="H207" s="185"/>
      <c r="I207" s="187"/>
      <c r="J207" s="185"/>
    </row>
    <row r="208" customFormat="false" ht="15" hidden="false" customHeight="true" outlineLevel="0" collapsed="false">
      <c r="A208" s="184" t="str">
        <f aca="false">IF(B208&lt;&gt;"",ROW()-3,"")</f>
        <v/>
      </c>
      <c r="B208" s="185"/>
      <c r="C208" s="186"/>
      <c r="D208" s="186"/>
      <c r="E208" s="185"/>
      <c r="F208" s="186"/>
      <c r="G208" s="187"/>
      <c r="H208" s="185"/>
      <c r="I208" s="187"/>
      <c r="J208" s="185"/>
    </row>
    <row r="209" customFormat="false" ht="15" hidden="false" customHeight="true" outlineLevel="0" collapsed="false">
      <c r="A209" s="184" t="str">
        <f aca="false">IF(B209&lt;&gt;"",ROW()-3,"")</f>
        <v/>
      </c>
      <c r="B209" s="185"/>
      <c r="C209" s="186"/>
      <c r="D209" s="186"/>
      <c r="E209" s="185"/>
      <c r="F209" s="186"/>
      <c r="G209" s="187"/>
      <c r="H209" s="185"/>
      <c r="I209" s="187"/>
      <c r="J209" s="185"/>
    </row>
    <row r="210" customFormat="false" ht="15" hidden="false" customHeight="true" outlineLevel="0" collapsed="false">
      <c r="A210" s="184" t="str">
        <f aca="false">IF(B210&lt;&gt;"",ROW()-3,"")</f>
        <v/>
      </c>
      <c r="B210" s="185"/>
      <c r="C210" s="186"/>
      <c r="D210" s="186"/>
      <c r="E210" s="185"/>
      <c r="F210" s="186"/>
      <c r="G210" s="187"/>
      <c r="H210" s="185"/>
      <c r="I210" s="187"/>
      <c r="J210" s="185"/>
    </row>
    <row r="211" customFormat="false" ht="15" hidden="false" customHeight="true" outlineLevel="0" collapsed="false">
      <c r="A211" s="184" t="str">
        <f aca="false">IF(B211&lt;&gt;"",ROW()-3,"")</f>
        <v/>
      </c>
      <c r="B211" s="185"/>
      <c r="C211" s="186"/>
      <c r="D211" s="186"/>
      <c r="E211" s="185"/>
      <c r="F211" s="186"/>
      <c r="G211" s="187"/>
      <c r="H211" s="185"/>
      <c r="I211" s="187"/>
      <c r="J211" s="185"/>
    </row>
    <row r="212" customFormat="false" ht="15" hidden="false" customHeight="true" outlineLevel="0" collapsed="false">
      <c r="A212" s="184" t="str">
        <f aca="false">IF(B212&lt;&gt;"",ROW()-3,"")</f>
        <v/>
      </c>
      <c r="B212" s="185"/>
      <c r="C212" s="186"/>
      <c r="D212" s="186"/>
      <c r="E212" s="185"/>
      <c r="F212" s="186"/>
      <c r="G212" s="187"/>
      <c r="H212" s="185"/>
      <c r="I212" s="187"/>
      <c r="J212" s="185"/>
    </row>
    <row r="213" customFormat="false" ht="15" hidden="false" customHeight="true" outlineLevel="0" collapsed="false">
      <c r="A213" s="184" t="str">
        <f aca="false">IF(B213&lt;&gt;"",ROW()-3,"")</f>
        <v/>
      </c>
      <c r="B213" s="185"/>
      <c r="C213" s="186"/>
      <c r="D213" s="186"/>
      <c r="E213" s="185"/>
      <c r="F213" s="186"/>
      <c r="G213" s="187"/>
      <c r="H213" s="185"/>
      <c r="I213" s="187"/>
      <c r="J213" s="185"/>
    </row>
    <row r="214" customFormat="false" ht="15" hidden="false" customHeight="true" outlineLevel="0" collapsed="false">
      <c r="A214" s="184" t="str">
        <f aca="false">IF(B214&lt;&gt;"",ROW()-3,"")</f>
        <v/>
      </c>
      <c r="B214" s="185"/>
      <c r="C214" s="186"/>
      <c r="D214" s="186"/>
      <c r="E214" s="185"/>
      <c r="F214" s="186"/>
      <c r="G214" s="187"/>
      <c r="H214" s="185"/>
      <c r="I214" s="187"/>
      <c r="J214" s="185"/>
    </row>
    <row r="215" customFormat="false" ht="15" hidden="false" customHeight="true" outlineLevel="0" collapsed="false">
      <c r="A215" s="184" t="str">
        <f aca="false">IF(B215&lt;&gt;"",ROW()-3,"")</f>
        <v/>
      </c>
      <c r="B215" s="185"/>
      <c r="C215" s="186"/>
      <c r="D215" s="186"/>
      <c r="E215" s="185"/>
      <c r="F215" s="186"/>
      <c r="G215" s="187"/>
      <c r="H215" s="185"/>
      <c r="I215" s="187"/>
      <c r="J215" s="185"/>
    </row>
    <row r="216" customFormat="false" ht="15" hidden="false" customHeight="true" outlineLevel="0" collapsed="false">
      <c r="A216" s="184" t="str">
        <f aca="false">IF(B216&lt;&gt;"",ROW()-3,"")</f>
        <v/>
      </c>
      <c r="B216" s="185"/>
      <c r="C216" s="186"/>
      <c r="D216" s="186"/>
      <c r="E216" s="185"/>
      <c r="F216" s="186"/>
      <c r="G216" s="187"/>
      <c r="H216" s="185"/>
      <c r="I216" s="187"/>
      <c r="J216" s="185"/>
    </row>
    <row r="217" customFormat="false" ht="15" hidden="false" customHeight="true" outlineLevel="0" collapsed="false">
      <c r="A217" s="184" t="str">
        <f aca="false">IF(B217&lt;&gt;"",ROW()-3,"")</f>
        <v/>
      </c>
      <c r="B217" s="185"/>
      <c r="C217" s="186"/>
      <c r="D217" s="186"/>
      <c r="E217" s="185"/>
      <c r="F217" s="186"/>
      <c r="G217" s="187"/>
      <c r="H217" s="185"/>
      <c r="I217" s="187"/>
      <c r="J217" s="185"/>
    </row>
    <row r="218" customFormat="false" ht="15" hidden="false" customHeight="true" outlineLevel="0" collapsed="false">
      <c r="A218" s="184" t="str">
        <f aca="false">IF(B218&lt;&gt;"",ROW()-3,"")</f>
        <v/>
      </c>
      <c r="B218" s="185"/>
      <c r="C218" s="186"/>
      <c r="D218" s="186"/>
      <c r="E218" s="185"/>
      <c r="F218" s="186"/>
      <c r="G218" s="187"/>
      <c r="H218" s="185"/>
      <c r="I218" s="187"/>
      <c r="J218" s="185"/>
    </row>
    <row r="219" customFormat="false" ht="15" hidden="false" customHeight="true" outlineLevel="0" collapsed="false">
      <c r="A219" s="184" t="str">
        <f aca="false">IF(B219&lt;&gt;"",ROW()-3,"")</f>
        <v/>
      </c>
      <c r="B219" s="185"/>
      <c r="C219" s="186"/>
      <c r="D219" s="186"/>
      <c r="E219" s="185"/>
      <c r="F219" s="186"/>
      <c r="G219" s="187"/>
      <c r="H219" s="185"/>
      <c r="I219" s="187"/>
      <c r="J219" s="185"/>
    </row>
    <row r="220" customFormat="false" ht="15" hidden="false" customHeight="true" outlineLevel="0" collapsed="false">
      <c r="A220" s="184" t="str">
        <f aca="false">IF(B220&lt;&gt;"",ROW()-3,"")</f>
        <v/>
      </c>
      <c r="B220" s="185"/>
      <c r="C220" s="186"/>
      <c r="D220" s="186"/>
      <c r="E220" s="185"/>
      <c r="F220" s="186"/>
      <c r="G220" s="187"/>
      <c r="H220" s="185"/>
      <c r="I220" s="187"/>
      <c r="J220" s="185"/>
    </row>
    <row r="221" customFormat="false" ht="15" hidden="false" customHeight="true" outlineLevel="0" collapsed="false">
      <c r="A221" s="184" t="str">
        <f aca="false">IF(B221&lt;&gt;"",ROW()-3,"")</f>
        <v/>
      </c>
      <c r="B221" s="185"/>
      <c r="C221" s="186"/>
      <c r="D221" s="186"/>
      <c r="E221" s="185"/>
      <c r="F221" s="186"/>
      <c r="G221" s="187"/>
      <c r="H221" s="185"/>
      <c r="I221" s="187"/>
      <c r="J221" s="185"/>
    </row>
    <row r="222" customFormat="false" ht="15" hidden="false" customHeight="true" outlineLevel="0" collapsed="false">
      <c r="A222" s="184" t="str">
        <f aca="false">IF(B222&lt;&gt;"",ROW()-3,"")</f>
        <v/>
      </c>
      <c r="B222" s="185"/>
      <c r="C222" s="186"/>
      <c r="D222" s="186"/>
      <c r="E222" s="185"/>
      <c r="F222" s="186"/>
      <c r="G222" s="187"/>
      <c r="H222" s="185"/>
      <c r="I222" s="187"/>
      <c r="J222" s="185"/>
    </row>
    <row r="223" customFormat="false" ht="15" hidden="false" customHeight="true" outlineLevel="0" collapsed="false">
      <c r="A223" s="184" t="str">
        <f aca="false">IF(B223&lt;&gt;"",ROW()-3,"")</f>
        <v/>
      </c>
      <c r="B223" s="185"/>
      <c r="C223" s="186"/>
      <c r="D223" s="186"/>
      <c r="E223" s="185"/>
      <c r="F223" s="186"/>
      <c r="G223" s="187"/>
      <c r="H223" s="185"/>
      <c r="I223" s="187"/>
      <c r="J223" s="185"/>
    </row>
    <row r="224" customFormat="false" ht="15" hidden="false" customHeight="true" outlineLevel="0" collapsed="false">
      <c r="A224" s="184" t="str">
        <f aca="false">IF(B224&lt;&gt;"",ROW()-3,"")</f>
        <v/>
      </c>
      <c r="B224" s="185"/>
      <c r="C224" s="186"/>
      <c r="D224" s="186"/>
      <c r="E224" s="185"/>
      <c r="F224" s="186"/>
      <c r="G224" s="187"/>
      <c r="H224" s="185"/>
      <c r="I224" s="187"/>
      <c r="J224" s="185"/>
    </row>
    <row r="225" customFormat="false" ht="15" hidden="false" customHeight="true" outlineLevel="0" collapsed="false">
      <c r="A225" s="184" t="str">
        <f aca="false">IF(B225&lt;&gt;"",ROW()-3,"")</f>
        <v/>
      </c>
      <c r="B225" s="185"/>
      <c r="C225" s="186"/>
      <c r="D225" s="186"/>
      <c r="E225" s="185"/>
      <c r="F225" s="186"/>
      <c r="G225" s="187"/>
      <c r="H225" s="185"/>
      <c r="I225" s="187"/>
      <c r="J225" s="185"/>
    </row>
    <row r="226" customFormat="false" ht="15" hidden="false" customHeight="true" outlineLevel="0" collapsed="false">
      <c r="A226" s="184" t="str">
        <f aca="false">IF(B226&lt;&gt;"",ROW()-3,"")</f>
        <v/>
      </c>
      <c r="B226" s="185"/>
      <c r="C226" s="186"/>
      <c r="D226" s="186"/>
      <c r="E226" s="185"/>
      <c r="F226" s="186"/>
      <c r="G226" s="187"/>
      <c r="H226" s="185"/>
      <c r="I226" s="187"/>
      <c r="J226" s="185"/>
    </row>
    <row r="227" customFormat="false" ht="15" hidden="false" customHeight="true" outlineLevel="0" collapsed="false">
      <c r="A227" s="184" t="str">
        <f aca="false">IF(B227&lt;&gt;"",ROW()-3,"")</f>
        <v/>
      </c>
      <c r="B227" s="185"/>
      <c r="C227" s="186"/>
      <c r="D227" s="186"/>
      <c r="E227" s="185"/>
      <c r="F227" s="186"/>
      <c r="G227" s="187"/>
      <c r="H227" s="185"/>
      <c r="I227" s="187"/>
      <c r="J227" s="185"/>
    </row>
    <row r="228" customFormat="false" ht="15" hidden="false" customHeight="true" outlineLevel="0" collapsed="false">
      <c r="A228" s="184" t="str">
        <f aca="false">IF(B228&lt;&gt;"",ROW()-3,"")</f>
        <v/>
      </c>
      <c r="B228" s="185"/>
      <c r="C228" s="186"/>
      <c r="D228" s="186"/>
      <c r="E228" s="185"/>
      <c r="F228" s="186"/>
      <c r="G228" s="187"/>
      <c r="H228" s="185"/>
      <c r="I228" s="187"/>
      <c r="J228" s="185"/>
    </row>
    <row r="229" customFormat="false" ht="15" hidden="false" customHeight="true" outlineLevel="0" collapsed="false">
      <c r="A229" s="184" t="str">
        <f aca="false">IF(B229&lt;&gt;"",ROW()-3,"")</f>
        <v/>
      </c>
      <c r="B229" s="185"/>
      <c r="C229" s="186"/>
      <c r="D229" s="186"/>
      <c r="E229" s="185"/>
      <c r="F229" s="186"/>
      <c r="G229" s="187"/>
      <c r="H229" s="185"/>
      <c r="I229" s="187"/>
      <c r="J229" s="185"/>
    </row>
    <row r="230" customFormat="false" ht="15" hidden="false" customHeight="true" outlineLevel="0" collapsed="false">
      <c r="A230" s="184" t="str">
        <f aca="false">IF(B230&lt;&gt;"",ROW()-3,"")</f>
        <v/>
      </c>
      <c r="B230" s="185"/>
      <c r="C230" s="186"/>
      <c r="D230" s="186"/>
      <c r="E230" s="185"/>
      <c r="F230" s="186"/>
      <c r="G230" s="187"/>
      <c r="H230" s="185"/>
      <c r="I230" s="187"/>
      <c r="J230" s="185"/>
    </row>
    <row r="231" customFormat="false" ht="15" hidden="false" customHeight="true" outlineLevel="0" collapsed="false">
      <c r="A231" s="184" t="str">
        <f aca="false">IF(B231&lt;&gt;"",ROW()-3,"")</f>
        <v/>
      </c>
      <c r="B231" s="185"/>
      <c r="C231" s="186"/>
      <c r="D231" s="186"/>
      <c r="E231" s="185"/>
      <c r="F231" s="186"/>
      <c r="G231" s="187"/>
      <c r="H231" s="185"/>
      <c r="I231" s="187"/>
      <c r="J231" s="185"/>
    </row>
    <row r="232" customFormat="false" ht="15" hidden="false" customHeight="true" outlineLevel="0" collapsed="false">
      <c r="A232" s="184" t="str">
        <f aca="false">IF(B232&lt;&gt;"",ROW()-3,"")</f>
        <v/>
      </c>
      <c r="B232" s="185"/>
      <c r="C232" s="186"/>
      <c r="D232" s="186"/>
      <c r="E232" s="185"/>
      <c r="F232" s="186"/>
      <c r="G232" s="187"/>
      <c r="H232" s="185"/>
      <c r="I232" s="187"/>
      <c r="J232" s="185"/>
    </row>
    <row r="233" customFormat="false" ht="15" hidden="false" customHeight="true" outlineLevel="0" collapsed="false">
      <c r="A233" s="184" t="str">
        <f aca="false">IF(B233&lt;&gt;"",ROW()-3,"")</f>
        <v/>
      </c>
      <c r="B233" s="185"/>
      <c r="C233" s="186"/>
      <c r="D233" s="186"/>
      <c r="E233" s="185"/>
      <c r="F233" s="186"/>
      <c r="G233" s="187"/>
      <c r="H233" s="185"/>
      <c r="I233" s="187"/>
      <c r="J233" s="185"/>
    </row>
    <row r="234" customFormat="false" ht="15" hidden="false" customHeight="true" outlineLevel="0" collapsed="false">
      <c r="A234" s="184" t="str">
        <f aca="false">IF(B234&lt;&gt;"",ROW()-3,"")</f>
        <v/>
      </c>
      <c r="B234" s="185"/>
      <c r="C234" s="186"/>
      <c r="D234" s="186"/>
      <c r="E234" s="185"/>
      <c r="F234" s="186"/>
      <c r="G234" s="187"/>
      <c r="H234" s="185"/>
      <c r="I234" s="187"/>
      <c r="J234" s="185"/>
    </row>
    <row r="235" customFormat="false" ht="15" hidden="false" customHeight="true" outlineLevel="0" collapsed="false">
      <c r="A235" s="184" t="str">
        <f aca="false">IF(B235&lt;&gt;"",ROW()-3,"")</f>
        <v/>
      </c>
      <c r="B235" s="185"/>
      <c r="C235" s="186"/>
      <c r="D235" s="186"/>
      <c r="E235" s="185"/>
      <c r="F235" s="186"/>
      <c r="G235" s="187"/>
      <c r="H235" s="185"/>
      <c r="I235" s="187"/>
      <c r="J235" s="185"/>
    </row>
    <row r="236" customFormat="false" ht="15" hidden="false" customHeight="true" outlineLevel="0" collapsed="false">
      <c r="A236" s="184" t="str">
        <f aca="false">IF(B236&lt;&gt;"",ROW()-3,"")</f>
        <v/>
      </c>
      <c r="B236" s="185"/>
      <c r="C236" s="186"/>
      <c r="D236" s="186"/>
      <c r="E236" s="185"/>
      <c r="F236" s="186"/>
      <c r="G236" s="187"/>
      <c r="H236" s="185"/>
      <c r="I236" s="187"/>
      <c r="J236" s="185"/>
    </row>
    <row r="237" customFormat="false" ht="15" hidden="false" customHeight="true" outlineLevel="0" collapsed="false">
      <c r="A237" s="184" t="str">
        <f aca="false">IF(B237&lt;&gt;"",ROW()-3,"")</f>
        <v/>
      </c>
      <c r="B237" s="185"/>
      <c r="C237" s="186"/>
      <c r="D237" s="186"/>
      <c r="E237" s="185"/>
      <c r="F237" s="186"/>
      <c r="G237" s="187"/>
      <c r="H237" s="185"/>
      <c r="I237" s="187"/>
      <c r="J237" s="185"/>
    </row>
    <row r="238" customFormat="false" ht="15" hidden="false" customHeight="true" outlineLevel="0" collapsed="false">
      <c r="A238" s="184" t="str">
        <f aca="false">IF(B238&lt;&gt;"",ROW()-3,"")</f>
        <v/>
      </c>
      <c r="B238" s="185"/>
      <c r="C238" s="186"/>
      <c r="D238" s="186"/>
      <c r="E238" s="185"/>
      <c r="F238" s="186"/>
      <c r="G238" s="187"/>
      <c r="H238" s="185"/>
      <c r="I238" s="187"/>
      <c r="J238" s="185"/>
    </row>
    <row r="239" customFormat="false" ht="15" hidden="false" customHeight="true" outlineLevel="0" collapsed="false">
      <c r="A239" s="184" t="str">
        <f aca="false">IF(B239&lt;&gt;"",ROW()-3,"")</f>
        <v/>
      </c>
      <c r="B239" s="185"/>
      <c r="C239" s="186"/>
      <c r="D239" s="186"/>
      <c r="E239" s="185"/>
      <c r="F239" s="186"/>
      <c r="G239" s="187"/>
      <c r="H239" s="185"/>
      <c r="I239" s="187"/>
      <c r="J239" s="185"/>
    </row>
    <row r="240" customFormat="false" ht="15" hidden="false" customHeight="true" outlineLevel="0" collapsed="false">
      <c r="A240" s="184" t="str">
        <f aca="false">IF(B240&lt;&gt;"",ROW()-3,"")</f>
        <v/>
      </c>
      <c r="B240" s="185"/>
      <c r="C240" s="186"/>
      <c r="D240" s="186"/>
      <c r="E240" s="185"/>
      <c r="F240" s="186"/>
      <c r="G240" s="187"/>
      <c r="H240" s="185"/>
      <c r="I240" s="187"/>
      <c r="J240" s="185"/>
    </row>
    <row r="241" customFormat="false" ht="15" hidden="false" customHeight="true" outlineLevel="0" collapsed="false">
      <c r="A241" s="184" t="str">
        <f aca="false">IF(B241&lt;&gt;"",ROW()-3,"")</f>
        <v/>
      </c>
      <c r="B241" s="185"/>
      <c r="C241" s="186"/>
      <c r="D241" s="186"/>
      <c r="E241" s="185"/>
      <c r="F241" s="186"/>
      <c r="G241" s="187"/>
      <c r="H241" s="185"/>
      <c r="I241" s="187"/>
      <c r="J241" s="185"/>
    </row>
    <row r="242" customFormat="false" ht="15" hidden="false" customHeight="true" outlineLevel="0" collapsed="false">
      <c r="A242" s="184" t="str">
        <f aca="false">IF(B242&lt;&gt;"",ROW()-3,"")</f>
        <v/>
      </c>
      <c r="B242" s="185"/>
      <c r="C242" s="186"/>
      <c r="D242" s="186"/>
      <c r="E242" s="185"/>
      <c r="F242" s="186"/>
      <c r="G242" s="187"/>
      <c r="H242" s="185"/>
      <c r="I242" s="187"/>
      <c r="J242" s="185"/>
    </row>
    <row r="243" customFormat="false" ht="15" hidden="false" customHeight="true" outlineLevel="0" collapsed="false">
      <c r="A243" s="184" t="str">
        <f aca="false">IF(B243&lt;&gt;"",ROW()-3,"")</f>
        <v/>
      </c>
      <c r="B243" s="185"/>
      <c r="C243" s="186"/>
      <c r="D243" s="186"/>
      <c r="E243" s="185"/>
      <c r="F243" s="186"/>
      <c r="G243" s="187"/>
      <c r="H243" s="185"/>
      <c r="I243" s="187"/>
      <c r="J243" s="185"/>
    </row>
    <row r="244" customFormat="false" ht="15" hidden="false" customHeight="true" outlineLevel="0" collapsed="false">
      <c r="A244" s="184" t="str">
        <f aca="false">IF(B244&lt;&gt;"",ROW()-3,"")</f>
        <v/>
      </c>
      <c r="B244" s="185"/>
      <c r="C244" s="186"/>
      <c r="D244" s="186"/>
      <c r="E244" s="185"/>
      <c r="F244" s="186"/>
      <c r="G244" s="187"/>
      <c r="H244" s="185"/>
      <c r="I244" s="187"/>
      <c r="J244" s="185"/>
    </row>
    <row r="245" customFormat="false" ht="15" hidden="false" customHeight="true" outlineLevel="0" collapsed="false">
      <c r="A245" s="184" t="str">
        <f aca="false">IF(B245&lt;&gt;"",ROW()-3,"")</f>
        <v/>
      </c>
      <c r="B245" s="185"/>
      <c r="C245" s="186"/>
      <c r="D245" s="186"/>
      <c r="E245" s="185"/>
      <c r="F245" s="186"/>
      <c r="G245" s="187"/>
      <c r="H245" s="185"/>
      <c r="I245" s="187"/>
      <c r="J245" s="185"/>
    </row>
    <row r="246" customFormat="false" ht="15" hidden="false" customHeight="true" outlineLevel="0" collapsed="false">
      <c r="A246" s="184" t="str">
        <f aca="false">IF(B246&lt;&gt;"",ROW()-3,"")</f>
        <v/>
      </c>
      <c r="B246" s="185"/>
      <c r="C246" s="186"/>
      <c r="D246" s="186"/>
      <c r="E246" s="185"/>
      <c r="F246" s="186"/>
      <c r="G246" s="187"/>
      <c r="H246" s="185"/>
      <c r="I246" s="187"/>
      <c r="J246" s="185"/>
    </row>
    <row r="247" customFormat="false" ht="15" hidden="false" customHeight="true" outlineLevel="0" collapsed="false">
      <c r="A247" s="184" t="str">
        <f aca="false">IF(B247&lt;&gt;"",ROW()-3,"")</f>
        <v/>
      </c>
      <c r="B247" s="185"/>
      <c r="C247" s="186"/>
      <c r="D247" s="186"/>
      <c r="E247" s="185"/>
      <c r="F247" s="186"/>
      <c r="G247" s="187"/>
      <c r="H247" s="185"/>
      <c r="I247" s="187"/>
      <c r="J247" s="185"/>
    </row>
    <row r="248" customFormat="false" ht="15" hidden="false" customHeight="true" outlineLevel="0" collapsed="false">
      <c r="A248" s="184" t="str">
        <f aca="false">IF(B248&lt;&gt;"",ROW()-3,"")</f>
        <v/>
      </c>
      <c r="B248" s="185"/>
      <c r="C248" s="186"/>
      <c r="D248" s="186"/>
      <c r="E248" s="185"/>
      <c r="F248" s="186"/>
      <c r="G248" s="187"/>
      <c r="H248" s="185"/>
      <c r="I248" s="187"/>
      <c r="J248" s="185"/>
    </row>
    <row r="249" customFormat="false" ht="15" hidden="false" customHeight="true" outlineLevel="0" collapsed="false">
      <c r="A249" s="184" t="str">
        <f aca="false">IF(B249&lt;&gt;"",ROW()-3,"")</f>
        <v/>
      </c>
      <c r="B249" s="185"/>
      <c r="C249" s="186"/>
      <c r="D249" s="186"/>
      <c r="E249" s="185"/>
      <c r="F249" s="186"/>
      <c r="G249" s="187"/>
      <c r="H249" s="185"/>
      <c r="I249" s="187"/>
      <c r="J249" s="185"/>
    </row>
    <row r="250" customFormat="false" ht="15" hidden="false" customHeight="true" outlineLevel="0" collapsed="false">
      <c r="A250" s="184" t="str">
        <f aca="false">IF(B250&lt;&gt;"",ROW()-3,"")</f>
        <v/>
      </c>
      <c r="B250" s="185"/>
      <c r="C250" s="186"/>
      <c r="D250" s="186"/>
      <c r="E250" s="185"/>
      <c r="F250" s="186"/>
      <c r="G250" s="187"/>
      <c r="H250" s="185"/>
      <c r="I250" s="187"/>
      <c r="J250" s="185"/>
    </row>
    <row r="251" customFormat="false" ht="15" hidden="false" customHeight="true" outlineLevel="0" collapsed="false">
      <c r="A251" s="184" t="str">
        <f aca="false">IF(B251&lt;&gt;"",ROW()-3,"")</f>
        <v/>
      </c>
      <c r="B251" s="185"/>
      <c r="C251" s="186"/>
      <c r="D251" s="186"/>
      <c r="E251" s="185"/>
      <c r="F251" s="186"/>
      <c r="G251" s="187"/>
      <c r="H251" s="185"/>
      <c r="I251" s="187"/>
      <c r="J251" s="185"/>
    </row>
    <row r="252" customFormat="false" ht="15" hidden="false" customHeight="true" outlineLevel="0" collapsed="false">
      <c r="A252" s="184" t="str">
        <f aca="false">IF(B252&lt;&gt;"",ROW()-3,"")</f>
        <v/>
      </c>
      <c r="B252" s="185"/>
      <c r="C252" s="186"/>
      <c r="D252" s="186"/>
      <c r="E252" s="185"/>
      <c r="F252" s="186"/>
      <c r="G252" s="187"/>
      <c r="H252" s="185"/>
      <c r="I252" s="187"/>
      <c r="J252" s="185"/>
    </row>
    <row r="253" customFormat="false" ht="15" hidden="false" customHeight="true" outlineLevel="0" collapsed="false">
      <c r="A253" s="184" t="str">
        <f aca="false">IF(B253&lt;&gt;"",ROW()-3,"")</f>
        <v/>
      </c>
      <c r="B253" s="185"/>
      <c r="C253" s="186"/>
      <c r="D253" s="186"/>
      <c r="E253" s="185"/>
      <c r="F253" s="186"/>
      <c r="G253" s="187"/>
      <c r="H253" s="185"/>
      <c r="I253" s="187"/>
      <c r="J253" s="185"/>
    </row>
    <row r="254" customFormat="false" ht="15" hidden="false" customHeight="true" outlineLevel="0" collapsed="false">
      <c r="A254" s="184" t="str">
        <f aca="false">IF(B254&lt;&gt;"",ROW()-3,"")</f>
        <v/>
      </c>
      <c r="B254" s="185"/>
      <c r="C254" s="186"/>
      <c r="D254" s="186"/>
      <c r="E254" s="185"/>
      <c r="F254" s="186"/>
      <c r="G254" s="187"/>
      <c r="H254" s="185"/>
      <c r="I254" s="187"/>
      <c r="J254" s="185"/>
    </row>
    <row r="255" customFormat="false" ht="15" hidden="false" customHeight="true" outlineLevel="0" collapsed="false">
      <c r="A255" s="184" t="str">
        <f aca="false">IF(B255&lt;&gt;"",ROW()-3,"")</f>
        <v/>
      </c>
      <c r="B255" s="185"/>
      <c r="C255" s="186"/>
      <c r="D255" s="186"/>
      <c r="E255" s="185"/>
      <c r="F255" s="186"/>
      <c r="G255" s="187"/>
      <c r="H255" s="185"/>
      <c r="I255" s="187"/>
      <c r="J255" s="185"/>
    </row>
    <row r="256" customFormat="false" ht="15" hidden="false" customHeight="true" outlineLevel="0" collapsed="false">
      <c r="A256" s="184" t="str">
        <f aca="false">IF(B256&lt;&gt;"",ROW()-3,"")</f>
        <v/>
      </c>
      <c r="B256" s="185"/>
      <c r="C256" s="186"/>
      <c r="D256" s="186"/>
      <c r="E256" s="185"/>
      <c r="F256" s="186"/>
      <c r="G256" s="187"/>
      <c r="H256" s="185"/>
      <c r="I256" s="187"/>
      <c r="J256" s="185"/>
    </row>
    <row r="257" customFormat="false" ht="15" hidden="false" customHeight="true" outlineLevel="0" collapsed="false">
      <c r="A257" s="184" t="str">
        <f aca="false">IF(B257&lt;&gt;"",ROW()-3,"")</f>
        <v/>
      </c>
      <c r="B257" s="185"/>
      <c r="C257" s="186"/>
      <c r="D257" s="186"/>
      <c r="E257" s="185"/>
      <c r="F257" s="186"/>
      <c r="G257" s="187"/>
      <c r="H257" s="185"/>
      <c r="I257" s="187"/>
      <c r="J257" s="185"/>
    </row>
    <row r="258" customFormat="false" ht="15" hidden="false" customHeight="true" outlineLevel="0" collapsed="false">
      <c r="A258" s="184" t="str">
        <f aca="false">IF(B258&lt;&gt;"",ROW()-3,"")</f>
        <v/>
      </c>
      <c r="B258" s="185"/>
      <c r="C258" s="186"/>
      <c r="D258" s="186"/>
      <c r="E258" s="185"/>
      <c r="F258" s="186"/>
      <c r="G258" s="187"/>
      <c r="H258" s="185"/>
      <c r="I258" s="187"/>
      <c r="J258" s="185"/>
    </row>
    <row r="259" customFormat="false" ht="15" hidden="false" customHeight="true" outlineLevel="0" collapsed="false">
      <c r="A259" s="184" t="str">
        <f aca="false">IF(B259&lt;&gt;"",ROW()-3,"")</f>
        <v/>
      </c>
      <c r="B259" s="185"/>
      <c r="C259" s="186"/>
      <c r="D259" s="186"/>
      <c r="E259" s="185"/>
      <c r="F259" s="186"/>
      <c r="G259" s="187"/>
      <c r="H259" s="185"/>
      <c r="I259" s="187"/>
      <c r="J259" s="185"/>
    </row>
    <row r="260" customFormat="false" ht="15" hidden="false" customHeight="true" outlineLevel="0" collapsed="false">
      <c r="A260" s="184" t="str">
        <f aca="false">IF(B260&lt;&gt;"",ROW()-3,"")</f>
        <v/>
      </c>
      <c r="B260" s="185"/>
      <c r="C260" s="186"/>
      <c r="D260" s="186"/>
      <c r="E260" s="185"/>
      <c r="F260" s="186"/>
      <c r="G260" s="187"/>
      <c r="H260" s="185"/>
      <c r="I260" s="187"/>
      <c r="J260" s="185"/>
    </row>
    <row r="261" customFormat="false" ht="15" hidden="false" customHeight="true" outlineLevel="0" collapsed="false">
      <c r="A261" s="184" t="str">
        <f aca="false">IF(B261&lt;&gt;"",ROW()-3,"")</f>
        <v/>
      </c>
      <c r="B261" s="185"/>
      <c r="C261" s="186"/>
      <c r="D261" s="186"/>
      <c r="E261" s="185"/>
      <c r="F261" s="186"/>
      <c r="G261" s="187"/>
      <c r="H261" s="185"/>
      <c r="I261" s="187"/>
      <c r="J261" s="185"/>
    </row>
    <row r="262" customFormat="false" ht="15" hidden="false" customHeight="true" outlineLevel="0" collapsed="false">
      <c r="A262" s="184" t="str">
        <f aca="false">IF(B262&lt;&gt;"",ROW()-3,"")</f>
        <v/>
      </c>
      <c r="B262" s="185"/>
      <c r="C262" s="186"/>
      <c r="D262" s="186"/>
      <c r="E262" s="185"/>
      <c r="F262" s="186"/>
      <c r="G262" s="187"/>
      <c r="H262" s="185"/>
      <c r="I262" s="187"/>
      <c r="J262" s="185"/>
    </row>
    <row r="263" customFormat="false" ht="15" hidden="false" customHeight="true" outlineLevel="0" collapsed="false">
      <c r="A263" s="184" t="str">
        <f aca="false">IF(B263&lt;&gt;"",ROW()-3,"")</f>
        <v/>
      </c>
      <c r="B263" s="185"/>
      <c r="C263" s="186"/>
      <c r="D263" s="186"/>
      <c r="E263" s="185"/>
      <c r="F263" s="186"/>
      <c r="G263" s="187"/>
      <c r="H263" s="185"/>
      <c r="I263" s="187"/>
      <c r="J263" s="185"/>
    </row>
    <row r="264" customFormat="false" ht="15" hidden="false" customHeight="true" outlineLevel="0" collapsed="false">
      <c r="A264" s="184" t="str">
        <f aca="false">IF(B264&lt;&gt;"",ROW()-3,"")</f>
        <v/>
      </c>
      <c r="B264" s="185"/>
      <c r="C264" s="186"/>
      <c r="D264" s="186"/>
      <c r="E264" s="185"/>
      <c r="F264" s="186"/>
      <c r="G264" s="187"/>
      <c r="H264" s="185"/>
      <c r="I264" s="187"/>
      <c r="J264" s="185"/>
    </row>
    <row r="265" customFormat="false" ht="15" hidden="false" customHeight="true" outlineLevel="0" collapsed="false">
      <c r="A265" s="184" t="str">
        <f aca="false">IF(B265&lt;&gt;"",ROW()-3,"")</f>
        <v/>
      </c>
      <c r="B265" s="185"/>
      <c r="C265" s="186"/>
      <c r="D265" s="186"/>
      <c r="E265" s="185"/>
      <c r="F265" s="186"/>
      <c r="G265" s="187"/>
      <c r="H265" s="185"/>
      <c r="I265" s="187"/>
      <c r="J265" s="185"/>
    </row>
    <row r="266" customFormat="false" ht="15" hidden="false" customHeight="true" outlineLevel="0" collapsed="false">
      <c r="A266" s="184" t="str">
        <f aca="false">IF(B266&lt;&gt;"",ROW()-3,"")</f>
        <v/>
      </c>
      <c r="B266" s="185"/>
      <c r="C266" s="186"/>
      <c r="D266" s="186"/>
      <c r="E266" s="185"/>
      <c r="F266" s="186"/>
      <c r="G266" s="187"/>
      <c r="H266" s="185"/>
      <c r="I266" s="187"/>
      <c r="J266" s="185"/>
    </row>
    <row r="267" customFormat="false" ht="15" hidden="false" customHeight="true" outlineLevel="0" collapsed="false">
      <c r="A267" s="184" t="str">
        <f aca="false">IF(B267&lt;&gt;"",ROW()-3,"")</f>
        <v/>
      </c>
      <c r="B267" s="185"/>
      <c r="C267" s="186"/>
      <c r="D267" s="186"/>
      <c r="E267" s="185"/>
      <c r="F267" s="186"/>
      <c r="G267" s="187"/>
      <c r="H267" s="185"/>
      <c r="I267" s="187"/>
      <c r="J267" s="185"/>
    </row>
    <row r="268" customFormat="false" ht="15" hidden="false" customHeight="true" outlineLevel="0" collapsed="false">
      <c r="A268" s="184" t="str">
        <f aca="false">IF(B268&lt;&gt;"",ROW()-3,"")</f>
        <v/>
      </c>
      <c r="B268" s="185"/>
      <c r="C268" s="186"/>
      <c r="D268" s="186"/>
      <c r="E268" s="185"/>
      <c r="F268" s="186"/>
      <c r="G268" s="187"/>
      <c r="H268" s="185"/>
      <c r="I268" s="187"/>
      <c r="J268" s="185"/>
    </row>
    <row r="269" customFormat="false" ht="15" hidden="false" customHeight="true" outlineLevel="0" collapsed="false">
      <c r="A269" s="184" t="str">
        <f aca="false">IF(B269&lt;&gt;"",ROW()-3,"")</f>
        <v/>
      </c>
      <c r="B269" s="185"/>
      <c r="C269" s="186"/>
      <c r="D269" s="186"/>
      <c r="E269" s="185"/>
      <c r="F269" s="186"/>
      <c r="G269" s="187"/>
      <c r="H269" s="185"/>
      <c r="I269" s="187"/>
      <c r="J269" s="185"/>
    </row>
    <row r="270" customFormat="false" ht="15" hidden="false" customHeight="true" outlineLevel="0" collapsed="false">
      <c r="A270" s="184" t="str">
        <f aca="false">IF(B270&lt;&gt;"",ROW()-3,"")</f>
        <v/>
      </c>
      <c r="B270" s="185"/>
      <c r="C270" s="186"/>
      <c r="D270" s="186"/>
      <c r="E270" s="185"/>
      <c r="F270" s="186"/>
      <c r="G270" s="187"/>
      <c r="H270" s="185"/>
      <c r="I270" s="187"/>
      <c r="J270" s="185"/>
    </row>
    <row r="271" customFormat="false" ht="15" hidden="false" customHeight="true" outlineLevel="0" collapsed="false">
      <c r="A271" s="184" t="str">
        <f aca="false">IF(B271&lt;&gt;"",ROW()-3,"")</f>
        <v/>
      </c>
      <c r="B271" s="185"/>
      <c r="C271" s="186"/>
      <c r="D271" s="186"/>
      <c r="E271" s="185"/>
      <c r="F271" s="186"/>
      <c r="G271" s="187"/>
      <c r="H271" s="185"/>
      <c r="I271" s="187"/>
      <c r="J271" s="185"/>
    </row>
    <row r="272" customFormat="false" ht="15" hidden="false" customHeight="true" outlineLevel="0" collapsed="false">
      <c r="A272" s="184" t="str">
        <f aca="false">IF(B272&lt;&gt;"",ROW()-3,"")</f>
        <v/>
      </c>
      <c r="B272" s="185"/>
      <c r="C272" s="186"/>
      <c r="D272" s="186"/>
      <c r="E272" s="185"/>
      <c r="F272" s="186"/>
      <c r="G272" s="187"/>
      <c r="H272" s="185"/>
      <c r="I272" s="187"/>
      <c r="J272" s="185"/>
    </row>
    <row r="273" customFormat="false" ht="15" hidden="false" customHeight="true" outlineLevel="0" collapsed="false">
      <c r="A273" s="184" t="str">
        <f aca="false">IF(B273&lt;&gt;"",ROW()-3,"")</f>
        <v/>
      </c>
      <c r="B273" s="185"/>
      <c r="C273" s="186"/>
      <c r="D273" s="186"/>
      <c r="E273" s="185"/>
      <c r="F273" s="186"/>
      <c r="G273" s="187"/>
      <c r="H273" s="185"/>
      <c r="I273" s="187"/>
      <c r="J273" s="185"/>
    </row>
    <row r="274" customFormat="false" ht="15" hidden="false" customHeight="true" outlineLevel="0" collapsed="false">
      <c r="A274" s="184" t="str">
        <f aca="false">IF(B274&lt;&gt;"",ROW()-3,"")</f>
        <v/>
      </c>
      <c r="B274" s="185"/>
      <c r="C274" s="186"/>
      <c r="D274" s="186"/>
      <c r="E274" s="185"/>
      <c r="F274" s="186"/>
      <c r="G274" s="187"/>
      <c r="H274" s="185"/>
      <c r="I274" s="187"/>
      <c r="J274" s="185"/>
    </row>
    <row r="275" customFormat="false" ht="15" hidden="false" customHeight="true" outlineLevel="0" collapsed="false">
      <c r="A275" s="184" t="str">
        <f aca="false">IF(B275&lt;&gt;"",ROW()-3,"")</f>
        <v/>
      </c>
      <c r="B275" s="185"/>
      <c r="C275" s="186"/>
      <c r="D275" s="186"/>
      <c r="E275" s="185"/>
      <c r="F275" s="186"/>
      <c r="G275" s="187"/>
      <c r="H275" s="185"/>
      <c r="I275" s="187"/>
      <c r="J275" s="185"/>
    </row>
    <row r="276" customFormat="false" ht="15" hidden="false" customHeight="true" outlineLevel="0" collapsed="false">
      <c r="A276" s="184" t="str">
        <f aca="false">IF(B276&lt;&gt;"",ROW()-3,"")</f>
        <v/>
      </c>
      <c r="B276" s="185"/>
      <c r="C276" s="186"/>
      <c r="D276" s="186"/>
      <c r="E276" s="185"/>
      <c r="F276" s="186"/>
      <c r="G276" s="187"/>
      <c r="H276" s="185"/>
      <c r="I276" s="187"/>
      <c r="J276" s="185"/>
    </row>
    <row r="277" customFormat="false" ht="15" hidden="false" customHeight="true" outlineLevel="0" collapsed="false">
      <c r="A277" s="184" t="str">
        <f aca="false">IF(B277&lt;&gt;"",ROW()-3,"")</f>
        <v/>
      </c>
      <c r="B277" s="185"/>
      <c r="C277" s="186"/>
      <c r="D277" s="186"/>
      <c r="E277" s="185"/>
      <c r="F277" s="186"/>
      <c r="G277" s="187"/>
      <c r="H277" s="185"/>
      <c r="I277" s="187"/>
      <c r="J277" s="185"/>
    </row>
    <row r="278" customFormat="false" ht="15" hidden="false" customHeight="true" outlineLevel="0" collapsed="false">
      <c r="A278" s="184" t="str">
        <f aca="false">IF(B278&lt;&gt;"",ROW()-3,"")</f>
        <v/>
      </c>
      <c r="B278" s="185"/>
      <c r="C278" s="186"/>
      <c r="D278" s="186"/>
      <c r="E278" s="185"/>
      <c r="F278" s="186"/>
      <c r="G278" s="187"/>
      <c r="H278" s="185"/>
      <c r="I278" s="187"/>
      <c r="J278" s="185"/>
    </row>
    <row r="279" customFormat="false" ht="15" hidden="false" customHeight="true" outlineLevel="0" collapsed="false">
      <c r="A279" s="184" t="str">
        <f aca="false">IF(B279&lt;&gt;"",ROW()-3,"")</f>
        <v/>
      </c>
      <c r="B279" s="185"/>
      <c r="C279" s="186"/>
      <c r="D279" s="186"/>
      <c r="E279" s="185"/>
      <c r="F279" s="186"/>
      <c r="G279" s="187"/>
      <c r="H279" s="185"/>
      <c r="I279" s="187"/>
      <c r="J279" s="185"/>
    </row>
    <row r="280" customFormat="false" ht="15" hidden="false" customHeight="true" outlineLevel="0" collapsed="false">
      <c r="A280" s="184" t="str">
        <f aca="false">IF(B280&lt;&gt;"",ROW()-3,"")</f>
        <v/>
      </c>
      <c r="B280" s="185"/>
      <c r="C280" s="186"/>
      <c r="D280" s="186"/>
      <c r="E280" s="185"/>
      <c r="F280" s="186"/>
      <c r="G280" s="187"/>
      <c r="H280" s="185"/>
      <c r="I280" s="187"/>
      <c r="J280" s="185"/>
    </row>
    <row r="281" customFormat="false" ht="15" hidden="false" customHeight="true" outlineLevel="0" collapsed="false">
      <c r="A281" s="184" t="str">
        <f aca="false">IF(B281&lt;&gt;"",ROW()-3,"")</f>
        <v/>
      </c>
      <c r="B281" s="185"/>
      <c r="C281" s="186"/>
      <c r="D281" s="186"/>
      <c r="E281" s="185"/>
      <c r="F281" s="186"/>
      <c r="G281" s="187"/>
      <c r="H281" s="185"/>
      <c r="I281" s="187"/>
      <c r="J281" s="185"/>
    </row>
    <row r="282" customFormat="false" ht="15" hidden="false" customHeight="true" outlineLevel="0" collapsed="false">
      <c r="A282" s="184" t="str">
        <f aca="false">IF(B282&lt;&gt;"",ROW()-3,"")</f>
        <v/>
      </c>
      <c r="B282" s="185"/>
      <c r="C282" s="186"/>
      <c r="D282" s="186"/>
      <c r="E282" s="185"/>
      <c r="F282" s="186"/>
      <c r="G282" s="187"/>
      <c r="H282" s="185"/>
      <c r="I282" s="187"/>
      <c r="J282" s="185"/>
    </row>
    <row r="283" customFormat="false" ht="15" hidden="false" customHeight="true" outlineLevel="0" collapsed="false">
      <c r="A283" s="184" t="str">
        <f aca="false">IF(B283&lt;&gt;"",ROW()-3,"")</f>
        <v/>
      </c>
      <c r="B283" s="185"/>
      <c r="C283" s="186"/>
      <c r="D283" s="186"/>
      <c r="E283" s="185"/>
      <c r="F283" s="186"/>
      <c r="G283" s="187"/>
      <c r="H283" s="185"/>
      <c r="I283" s="187"/>
      <c r="J283" s="185"/>
    </row>
    <row r="284" customFormat="false" ht="15" hidden="false" customHeight="true" outlineLevel="0" collapsed="false">
      <c r="A284" s="184" t="str">
        <f aca="false">IF(B284&lt;&gt;"",ROW()-3,"")</f>
        <v/>
      </c>
      <c r="B284" s="185"/>
      <c r="C284" s="186"/>
      <c r="D284" s="186"/>
      <c r="E284" s="185"/>
      <c r="F284" s="186"/>
      <c r="G284" s="187"/>
      <c r="H284" s="185"/>
      <c r="I284" s="187"/>
      <c r="J284" s="185"/>
    </row>
    <row r="285" customFormat="false" ht="15" hidden="false" customHeight="true" outlineLevel="0" collapsed="false">
      <c r="A285" s="184" t="str">
        <f aca="false">IF(B285&lt;&gt;"",ROW()-3,"")</f>
        <v/>
      </c>
      <c r="B285" s="185"/>
      <c r="C285" s="186"/>
      <c r="D285" s="186"/>
      <c r="E285" s="185"/>
      <c r="F285" s="186"/>
      <c r="G285" s="187"/>
      <c r="H285" s="185"/>
      <c r="I285" s="187"/>
      <c r="J285" s="185"/>
    </row>
    <row r="286" customFormat="false" ht="15" hidden="false" customHeight="true" outlineLevel="0" collapsed="false">
      <c r="A286" s="184" t="str">
        <f aca="false">IF(B286&lt;&gt;"",ROW()-3,"")</f>
        <v/>
      </c>
      <c r="B286" s="185"/>
      <c r="C286" s="186"/>
      <c r="D286" s="186"/>
      <c r="E286" s="185"/>
      <c r="F286" s="186"/>
      <c r="G286" s="187"/>
      <c r="H286" s="185"/>
      <c r="I286" s="187"/>
      <c r="J286" s="185"/>
    </row>
    <row r="287" customFormat="false" ht="15" hidden="false" customHeight="true" outlineLevel="0" collapsed="false">
      <c r="A287" s="184" t="str">
        <f aca="false">IF(B287&lt;&gt;"",ROW()-3,"")</f>
        <v/>
      </c>
      <c r="B287" s="185"/>
      <c r="C287" s="186"/>
      <c r="D287" s="186"/>
      <c r="E287" s="185"/>
      <c r="F287" s="186"/>
      <c r="G287" s="187"/>
      <c r="H287" s="185"/>
      <c r="I287" s="187"/>
      <c r="J287" s="185"/>
    </row>
    <row r="288" customFormat="false" ht="15" hidden="false" customHeight="true" outlineLevel="0" collapsed="false">
      <c r="A288" s="184" t="str">
        <f aca="false">IF(B288&lt;&gt;"",ROW()-3,"")</f>
        <v/>
      </c>
      <c r="B288" s="185"/>
      <c r="C288" s="186"/>
      <c r="D288" s="186"/>
      <c r="E288" s="185"/>
      <c r="F288" s="186"/>
      <c r="G288" s="187"/>
      <c r="H288" s="185"/>
      <c r="I288" s="187"/>
      <c r="J288" s="185"/>
    </row>
    <row r="289" customFormat="false" ht="15" hidden="false" customHeight="true" outlineLevel="0" collapsed="false">
      <c r="A289" s="184" t="str">
        <f aca="false">IF(B289&lt;&gt;"",ROW()-3,"")</f>
        <v/>
      </c>
      <c r="B289" s="185"/>
      <c r="C289" s="186"/>
      <c r="D289" s="186"/>
      <c r="E289" s="185"/>
      <c r="F289" s="186"/>
      <c r="G289" s="187"/>
      <c r="H289" s="185"/>
      <c r="I289" s="187"/>
      <c r="J289" s="185"/>
    </row>
    <row r="290" customFormat="false" ht="15" hidden="false" customHeight="true" outlineLevel="0" collapsed="false">
      <c r="A290" s="184" t="str">
        <f aca="false">IF(B290&lt;&gt;"",ROW()-3,"")</f>
        <v/>
      </c>
      <c r="B290" s="185"/>
      <c r="C290" s="186"/>
      <c r="D290" s="186"/>
      <c r="E290" s="185"/>
      <c r="F290" s="186"/>
      <c r="G290" s="187"/>
      <c r="H290" s="185"/>
      <c r="I290" s="187"/>
      <c r="J290" s="185"/>
    </row>
    <row r="291" customFormat="false" ht="15" hidden="false" customHeight="true" outlineLevel="0" collapsed="false">
      <c r="A291" s="184" t="str">
        <f aca="false">IF(B291&lt;&gt;"",ROW()-3,"")</f>
        <v/>
      </c>
      <c r="B291" s="185"/>
      <c r="C291" s="186"/>
      <c r="D291" s="186"/>
      <c r="E291" s="185"/>
      <c r="F291" s="186"/>
      <c r="G291" s="187"/>
      <c r="H291" s="185"/>
      <c r="I291" s="187"/>
      <c r="J291" s="185"/>
    </row>
    <row r="292" customFormat="false" ht="15" hidden="false" customHeight="true" outlineLevel="0" collapsed="false">
      <c r="A292" s="184" t="str">
        <f aca="false">IF(B292&lt;&gt;"",ROW()-3,"")</f>
        <v/>
      </c>
      <c r="B292" s="185"/>
      <c r="C292" s="186"/>
      <c r="D292" s="186"/>
      <c r="E292" s="185"/>
      <c r="F292" s="186"/>
      <c r="G292" s="187"/>
      <c r="H292" s="185"/>
      <c r="I292" s="187"/>
      <c r="J292" s="185"/>
    </row>
    <row r="293" customFormat="false" ht="15" hidden="false" customHeight="true" outlineLevel="0" collapsed="false">
      <c r="A293" s="184" t="str">
        <f aca="false">IF(B293&lt;&gt;"",ROW()-3,"")</f>
        <v/>
      </c>
      <c r="B293" s="185"/>
      <c r="C293" s="186"/>
      <c r="D293" s="186"/>
      <c r="E293" s="185"/>
      <c r="F293" s="186"/>
      <c r="G293" s="187"/>
      <c r="H293" s="185"/>
      <c r="I293" s="187"/>
      <c r="J293" s="185"/>
    </row>
    <row r="294" customFormat="false" ht="15" hidden="false" customHeight="true" outlineLevel="0" collapsed="false">
      <c r="A294" s="184" t="str">
        <f aca="false">IF(B294&lt;&gt;"",ROW()-3,"")</f>
        <v/>
      </c>
      <c r="B294" s="185"/>
      <c r="C294" s="186"/>
      <c r="D294" s="186"/>
      <c r="E294" s="185"/>
      <c r="F294" s="186"/>
      <c r="G294" s="187"/>
      <c r="H294" s="185"/>
      <c r="I294" s="187"/>
      <c r="J294" s="185"/>
    </row>
    <row r="295" customFormat="false" ht="15" hidden="false" customHeight="true" outlineLevel="0" collapsed="false">
      <c r="A295" s="184" t="str">
        <f aca="false">IF(B295&lt;&gt;"",ROW()-3,"")</f>
        <v/>
      </c>
      <c r="B295" s="185"/>
      <c r="C295" s="186"/>
      <c r="D295" s="186"/>
      <c r="E295" s="185"/>
      <c r="F295" s="186"/>
      <c r="G295" s="187"/>
      <c r="H295" s="185"/>
      <c r="I295" s="187"/>
      <c r="J295" s="185"/>
    </row>
    <row r="296" customFormat="false" ht="15" hidden="false" customHeight="true" outlineLevel="0" collapsed="false">
      <c r="A296" s="184" t="str">
        <f aca="false">IF(B296&lt;&gt;"",ROW()-3,"")</f>
        <v/>
      </c>
      <c r="B296" s="185"/>
      <c r="C296" s="186"/>
      <c r="D296" s="186"/>
      <c r="E296" s="185"/>
      <c r="F296" s="186"/>
      <c r="G296" s="187"/>
      <c r="H296" s="185"/>
      <c r="I296" s="187"/>
      <c r="J296" s="185"/>
    </row>
    <row r="297" customFormat="false" ht="15" hidden="false" customHeight="true" outlineLevel="0" collapsed="false">
      <c r="A297" s="184" t="str">
        <f aca="false">IF(B297&lt;&gt;"",ROW()-3,"")</f>
        <v/>
      </c>
      <c r="B297" s="185"/>
      <c r="C297" s="186"/>
      <c r="D297" s="186"/>
      <c r="E297" s="185"/>
      <c r="F297" s="186"/>
      <c r="G297" s="187"/>
      <c r="H297" s="185"/>
      <c r="I297" s="187"/>
      <c r="J297" s="185"/>
    </row>
    <row r="298" customFormat="false" ht="15" hidden="false" customHeight="true" outlineLevel="0" collapsed="false">
      <c r="A298" s="184" t="str">
        <f aca="false">IF(B298&lt;&gt;"",ROW()-3,"")</f>
        <v/>
      </c>
      <c r="B298" s="185"/>
      <c r="C298" s="186"/>
      <c r="D298" s="186"/>
      <c r="E298" s="185"/>
      <c r="F298" s="186"/>
      <c r="G298" s="187"/>
      <c r="H298" s="185"/>
      <c r="I298" s="187"/>
      <c r="J298" s="185"/>
    </row>
    <row r="299" customFormat="false" ht="15" hidden="false" customHeight="true" outlineLevel="0" collapsed="false">
      <c r="A299" s="184" t="str">
        <f aca="false">IF(B299&lt;&gt;"",ROW()-3,"")</f>
        <v/>
      </c>
      <c r="B299" s="185"/>
      <c r="C299" s="186"/>
      <c r="D299" s="186"/>
      <c r="E299" s="185"/>
      <c r="F299" s="186"/>
      <c r="G299" s="187"/>
      <c r="H299" s="185"/>
      <c r="I299" s="187"/>
      <c r="J299" s="185"/>
    </row>
    <row r="300" customFormat="false" ht="15" hidden="false" customHeight="true" outlineLevel="0" collapsed="false">
      <c r="A300" s="184" t="str">
        <f aca="false">IF(B300&lt;&gt;"",ROW()-3,"")</f>
        <v/>
      </c>
      <c r="B300" s="185"/>
      <c r="C300" s="186"/>
      <c r="D300" s="186"/>
      <c r="E300" s="185"/>
      <c r="F300" s="186"/>
      <c r="G300" s="187"/>
      <c r="H300" s="185"/>
      <c r="I300" s="187"/>
      <c r="J300" s="185"/>
    </row>
    <row r="301" customFormat="false" ht="15" hidden="false" customHeight="true" outlineLevel="0" collapsed="false">
      <c r="A301" s="184" t="str">
        <f aca="false">IF(B301&lt;&gt;"",ROW()-3,"")</f>
        <v/>
      </c>
      <c r="B301" s="185"/>
      <c r="C301" s="186"/>
      <c r="D301" s="186"/>
      <c r="E301" s="185"/>
      <c r="F301" s="186"/>
      <c r="G301" s="187"/>
      <c r="H301" s="185"/>
      <c r="I301" s="187"/>
      <c r="J301" s="185"/>
    </row>
    <row r="302" customFormat="false" ht="15" hidden="false" customHeight="true" outlineLevel="0" collapsed="false">
      <c r="A302" s="184" t="str">
        <f aca="false">IF(B302&lt;&gt;"",ROW()-3,"")</f>
        <v/>
      </c>
      <c r="B302" s="185"/>
      <c r="C302" s="186"/>
      <c r="D302" s="186"/>
      <c r="E302" s="185"/>
      <c r="F302" s="186"/>
      <c r="G302" s="187"/>
      <c r="H302" s="185"/>
      <c r="I302" s="187"/>
      <c r="J302" s="185"/>
    </row>
    <row r="303" customFormat="false" ht="15" hidden="false" customHeight="true" outlineLevel="0" collapsed="false">
      <c r="A303" s="184" t="str">
        <f aca="false">IF(B303&lt;&gt;"",ROW()-3,"")</f>
        <v/>
      </c>
      <c r="B303" s="185"/>
      <c r="C303" s="186"/>
      <c r="D303" s="186"/>
      <c r="E303" s="185"/>
      <c r="F303" s="186"/>
      <c r="G303" s="187"/>
      <c r="H303" s="185"/>
      <c r="I303" s="187"/>
      <c r="J303" s="185"/>
    </row>
    <row r="304" customFormat="false" ht="15" hidden="false" customHeight="true" outlineLevel="0" collapsed="false">
      <c r="A304" s="184" t="str">
        <f aca="false">IF(B304&lt;&gt;"",ROW()-3,"")</f>
        <v/>
      </c>
      <c r="B304" s="185"/>
      <c r="C304" s="186"/>
      <c r="D304" s="186"/>
      <c r="E304" s="185"/>
      <c r="F304" s="186"/>
      <c r="G304" s="187"/>
      <c r="H304" s="185"/>
      <c r="I304" s="187"/>
      <c r="J304" s="185"/>
    </row>
    <row r="305" customFormat="false" ht="15" hidden="false" customHeight="true" outlineLevel="0" collapsed="false">
      <c r="A305" s="184" t="str">
        <f aca="false">IF(B305&lt;&gt;"",ROW()-3,"")</f>
        <v/>
      </c>
      <c r="B305" s="185"/>
      <c r="C305" s="186"/>
      <c r="D305" s="186"/>
      <c r="E305" s="185"/>
      <c r="F305" s="186"/>
      <c r="G305" s="187"/>
      <c r="H305" s="185"/>
      <c r="I305" s="187"/>
      <c r="J305" s="185"/>
    </row>
    <row r="306" customFormat="false" ht="15" hidden="false" customHeight="true" outlineLevel="0" collapsed="false">
      <c r="A306" s="184" t="str">
        <f aca="false">IF(B306&lt;&gt;"",ROW()-3,"")</f>
        <v/>
      </c>
      <c r="B306" s="185"/>
      <c r="C306" s="186"/>
      <c r="D306" s="186"/>
      <c r="E306" s="185"/>
      <c r="F306" s="186"/>
      <c r="G306" s="187"/>
      <c r="H306" s="185"/>
      <c r="I306" s="187"/>
      <c r="J306" s="185"/>
    </row>
    <row r="307" customFormat="false" ht="15" hidden="false" customHeight="true" outlineLevel="0" collapsed="false">
      <c r="A307" s="184" t="str">
        <f aca="false">IF(B307&lt;&gt;"",ROW()-3,"")</f>
        <v/>
      </c>
      <c r="B307" s="185"/>
      <c r="C307" s="186"/>
      <c r="D307" s="186"/>
      <c r="E307" s="185"/>
      <c r="F307" s="186"/>
      <c r="G307" s="187"/>
      <c r="H307" s="185"/>
      <c r="I307" s="187"/>
      <c r="J307" s="185"/>
    </row>
    <row r="308" customFormat="false" ht="15" hidden="false" customHeight="true" outlineLevel="0" collapsed="false">
      <c r="A308" s="184" t="str">
        <f aca="false">IF(B308&lt;&gt;"",ROW()-3,"")</f>
        <v/>
      </c>
      <c r="B308" s="185"/>
      <c r="C308" s="186"/>
      <c r="D308" s="186"/>
      <c r="E308" s="185"/>
      <c r="F308" s="186"/>
      <c r="G308" s="187"/>
      <c r="H308" s="185"/>
      <c r="I308" s="187"/>
      <c r="J308" s="185"/>
    </row>
    <row r="309" customFormat="false" ht="15" hidden="false" customHeight="true" outlineLevel="0" collapsed="false">
      <c r="A309" s="184" t="str">
        <f aca="false">IF(B309&lt;&gt;"",ROW()-3,"")</f>
        <v/>
      </c>
      <c r="B309" s="185"/>
      <c r="C309" s="186"/>
      <c r="D309" s="186"/>
      <c r="E309" s="185"/>
      <c r="F309" s="186"/>
      <c r="G309" s="187"/>
      <c r="H309" s="185"/>
      <c r="I309" s="187"/>
      <c r="J309" s="185"/>
    </row>
    <row r="310" customFormat="false" ht="15" hidden="false" customHeight="true" outlineLevel="0" collapsed="false">
      <c r="A310" s="184" t="str">
        <f aca="false">IF(B310&lt;&gt;"",ROW()-3,"")</f>
        <v/>
      </c>
      <c r="B310" s="185"/>
      <c r="C310" s="186"/>
      <c r="D310" s="186"/>
      <c r="E310" s="185"/>
      <c r="F310" s="186"/>
      <c r="G310" s="187"/>
      <c r="H310" s="185"/>
      <c r="I310" s="187"/>
      <c r="J310" s="185"/>
    </row>
    <row r="311" customFormat="false" ht="15" hidden="false" customHeight="true" outlineLevel="0" collapsed="false">
      <c r="A311" s="184" t="str">
        <f aca="false">IF(B311&lt;&gt;"",ROW()-3,"")</f>
        <v/>
      </c>
      <c r="B311" s="185"/>
      <c r="C311" s="186"/>
      <c r="D311" s="186"/>
      <c r="E311" s="185"/>
      <c r="F311" s="186"/>
      <c r="G311" s="187"/>
      <c r="H311" s="185"/>
      <c r="I311" s="187"/>
      <c r="J311" s="185"/>
    </row>
    <row r="312" customFormat="false" ht="15" hidden="false" customHeight="true" outlineLevel="0" collapsed="false">
      <c r="A312" s="184" t="str">
        <f aca="false">IF(B312&lt;&gt;"",ROW()-3,"")</f>
        <v/>
      </c>
      <c r="B312" s="185"/>
      <c r="C312" s="186"/>
      <c r="D312" s="186"/>
      <c r="E312" s="185"/>
      <c r="F312" s="186"/>
      <c r="G312" s="187"/>
      <c r="H312" s="185"/>
      <c r="I312" s="187"/>
      <c r="J312" s="185"/>
    </row>
    <row r="313" customFormat="false" ht="15" hidden="false" customHeight="true" outlineLevel="0" collapsed="false">
      <c r="A313" s="184" t="str">
        <f aca="false">IF(B313&lt;&gt;"",ROW()-3,"")</f>
        <v/>
      </c>
      <c r="B313" s="185"/>
      <c r="C313" s="186"/>
      <c r="D313" s="186"/>
      <c r="E313" s="185"/>
      <c r="F313" s="186"/>
      <c r="G313" s="187"/>
      <c r="H313" s="185"/>
      <c r="I313" s="187"/>
      <c r="J313" s="185"/>
    </row>
    <row r="314" customFormat="false" ht="15" hidden="false" customHeight="true" outlineLevel="0" collapsed="false">
      <c r="A314" s="184" t="str">
        <f aca="false">IF(B314&lt;&gt;"",ROW()-3,"")</f>
        <v/>
      </c>
      <c r="B314" s="185"/>
      <c r="C314" s="186"/>
      <c r="D314" s="186"/>
      <c r="E314" s="185"/>
      <c r="F314" s="186"/>
      <c r="G314" s="187"/>
      <c r="H314" s="185"/>
      <c r="I314" s="187"/>
      <c r="J314" s="185"/>
    </row>
    <row r="315" customFormat="false" ht="15" hidden="false" customHeight="true" outlineLevel="0" collapsed="false">
      <c r="A315" s="184" t="str">
        <f aca="false">IF(B315&lt;&gt;"",ROW()-3,"")</f>
        <v/>
      </c>
      <c r="B315" s="185"/>
      <c r="C315" s="186"/>
      <c r="D315" s="186"/>
      <c r="E315" s="185"/>
      <c r="F315" s="186"/>
      <c r="G315" s="187"/>
      <c r="H315" s="185"/>
      <c r="I315" s="187"/>
      <c r="J315" s="185"/>
    </row>
    <row r="316" customFormat="false" ht="15" hidden="false" customHeight="true" outlineLevel="0" collapsed="false">
      <c r="A316" s="184" t="str">
        <f aca="false">IF(B316&lt;&gt;"",ROW()-3,"")</f>
        <v/>
      </c>
      <c r="B316" s="185"/>
      <c r="C316" s="186"/>
      <c r="D316" s="186"/>
      <c r="E316" s="185"/>
      <c r="F316" s="186"/>
      <c r="G316" s="187"/>
      <c r="H316" s="185"/>
      <c r="I316" s="187"/>
      <c r="J316" s="185"/>
    </row>
    <row r="317" customFormat="false" ht="15" hidden="false" customHeight="true" outlineLevel="0" collapsed="false">
      <c r="A317" s="184" t="str">
        <f aca="false">IF(B317&lt;&gt;"",ROW()-3,"")</f>
        <v/>
      </c>
      <c r="B317" s="185"/>
      <c r="C317" s="186"/>
      <c r="D317" s="186"/>
      <c r="E317" s="185"/>
      <c r="F317" s="186"/>
      <c r="G317" s="187"/>
      <c r="H317" s="185"/>
      <c r="I317" s="187"/>
      <c r="J317" s="185"/>
    </row>
    <row r="318" customFormat="false" ht="15" hidden="false" customHeight="true" outlineLevel="0" collapsed="false">
      <c r="A318" s="184" t="str">
        <f aca="false">IF(B318&lt;&gt;"",ROW()-3,"")</f>
        <v/>
      </c>
      <c r="B318" s="185"/>
      <c r="C318" s="186"/>
      <c r="D318" s="186"/>
      <c r="E318" s="185"/>
      <c r="F318" s="186"/>
      <c r="G318" s="187"/>
      <c r="H318" s="185"/>
      <c r="I318" s="187"/>
      <c r="J318" s="185"/>
    </row>
    <row r="319" customFormat="false" ht="15" hidden="false" customHeight="true" outlineLevel="0" collapsed="false">
      <c r="A319" s="184" t="str">
        <f aca="false">IF(B319&lt;&gt;"",ROW()-3,"")</f>
        <v/>
      </c>
      <c r="B319" s="185"/>
      <c r="C319" s="186"/>
      <c r="D319" s="186"/>
      <c r="E319" s="185"/>
      <c r="F319" s="186"/>
      <c r="G319" s="187"/>
      <c r="H319" s="185"/>
      <c r="I319" s="187"/>
      <c r="J319" s="185"/>
    </row>
    <row r="320" customFormat="false" ht="15" hidden="false" customHeight="true" outlineLevel="0" collapsed="false">
      <c r="A320" s="184" t="str">
        <f aca="false">IF(B320&lt;&gt;"",ROW()-3,"")</f>
        <v/>
      </c>
      <c r="B320" s="185"/>
      <c r="C320" s="186"/>
      <c r="D320" s="186"/>
      <c r="E320" s="185"/>
      <c r="F320" s="186"/>
      <c r="G320" s="187"/>
      <c r="H320" s="185"/>
      <c r="I320" s="187"/>
      <c r="J320" s="185"/>
    </row>
    <row r="321" customFormat="false" ht="15" hidden="false" customHeight="true" outlineLevel="0" collapsed="false">
      <c r="A321" s="184" t="str">
        <f aca="false">IF(B321&lt;&gt;"",ROW()-3,"")</f>
        <v/>
      </c>
      <c r="B321" s="185"/>
      <c r="C321" s="186"/>
      <c r="D321" s="186"/>
      <c r="E321" s="185"/>
      <c r="F321" s="186"/>
      <c r="G321" s="187"/>
      <c r="H321" s="185"/>
      <c r="I321" s="187"/>
      <c r="J321" s="185"/>
    </row>
    <row r="322" customFormat="false" ht="15" hidden="false" customHeight="true" outlineLevel="0" collapsed="false">
      <c r="A322" s="184" t="str">
        <f aca="false">IF(B322&lt;&gt;"",ROW()-3,"")</f>
        <v/>
      </c>
      <c r="B322" s="185"/>
      <c r="C322" s="186"/>
      <c r="D322" s="186"/>
      <c r="E322" s="185"/>
      <c r="F322" s="186"/>
      <c r="G322" s="187"/>
      <c r="H322" s="185"/>
      <c r="I322" s="187"/>
      <c r="J322" s="185"/>
    </row>
    <row r="323" customFormat="false" ht="15" hidden="false" customHeight="true" outlineLevel="0" collapsed="false">
      <c r="A323" s="184" t="str">
        <f aca="false">IF(B323&lt;&gt;"",ROW()-3,"")</f>
        <v/>
      </c>
      <c r="B323" s="185"/>
      <c r="C323" s="186"/>
      <c r="D323" s="186"/>
      <c r="E323" s="185"/>
      <c r="F323" s="186"/>
      <c r="G323" s="187"/>
      <c r="H323" s="185"/>
      <c r="I323" s="187"/>
      <c r="J323" s="185"/>
    </row>
    <row r="324" customFormat="false" ht="15" hidden="false" customHeight="true" outlineLevel="0" collapsed="false">
      <c r="A324" s="184" t="str">
        <f aca="false">IF(B324&lt;&gt;"",ROW()-3,"")</f>
        <v/>
      </c>
      <c r="B324" s="185"/>
      <c r="C324" s="186"/>
      <c r="D324" s="186"/>
      <c r="E324" s="185"/>
      <c r="F324" s="186"/>
      <c r="G324" s="187"/>
      <c r="H324" s="185"/>
      <c r="I324" s="187"/>
      <c r="J324" s="185"/>
    </row>
    <row r="325" customFormat="false" ht="15" hidden="false" customHeight="true" outlineLevel="0" collapsed="false">
      <c r="A325" s="184" t="str">
        <f aca="false">IF(B325&lt;&gt;"",ROW()-3,"")</f>
        <v/>
      </c>
      <c r="B325" s="185"/>
      <c r="C325" s="186"/>
      <c r="D325" s="186"/>
      <c r="E325" s="185"/>
      <c r="F325" s="186"/>
      <c r="G325" s="187"/>
      <c r="H325" s="185"/>
      <c r="I325" s="187"/>
      <c r="J325" s="185"/>
    </row>
    <row r="326" customFormat="false" ht="15" hidden="false" customHeight="true" outlineLevel="0" collapsed="false">
      <c r="A326" s="184" t="str">
        <f aca="false">IF(B326&lt;&gt;"",ROW()-3,"")</f>
        <v/>
      </c>
      <c r="B326" s="185"/>
      <c r="C326" s="186"/>
      <c r="D326" s="186"/>
      <c r="E326" s="185"/>
      <c r="F326" s="186"/>
      <c r="G326" s="187"/>
      <c r="H326" s="185"/>
      <c r="I326" s="187"/>
      <c r="J326" s="185"/>
    </row>
    <row r="327" customFormat="false" ht="15" hidden="false" customHeight="true" outlineLevel="0" collapsed="false">
      <c r="A327" s="184" t="str">
        <f aca="false">IF(B327&lt;&gt;"",ROW()-3,"")</f>
        <v/>
      </c>
      <c r="B327" s="185"/>
      <c r="C327" s="186"/>
      <c r="D327" s="186"/>
      <c r="E327" s="185"/>
      <c r="F327" s="186"/>
      <c r="G327" s="187"/>
      <c r="H327" s="185"/>
      <c r="I327" s="187"/>
      <c r="J327" s="185"/>
    </row>
    <row r="328" customFormat="false" ht="15" hidden="false" customHeight="true" outlineLevel="0" collapsed="false">
      <c r="A328" s="184" t="str">
        <f aca="false">IF(B328&lt;&gt;"",ROW()-3,"")</f>
        <v/>
      </c>
      <c r="B328" s="185"/>
      <c r="C328" s="186"/>
      <c r="D328" s="186"/>
      <c r="E328" s="185"/>
      <c r="F328" s="186"/>
      <c r="G328" s="187"/>
      <c r="H328" s="185"/>
      <c r="I328" s="187"/>
      <c r="J328" s="185"/>
    </row>
    <row r="329" customFormat="false" ht="15" hidden="false" customHeight="true" outlineLevel="0" collapsed="false">
      <c r="A329" s="184" t="str">
        <f aca="false">IF(B329&lt;&gt;"",ROW()-3,"")</f>
        <v/>
      </c>
      <c r="B329" s="185"/>
      <c r="C329" s="186"/>
      <c r="D329" s="186"/>
      <c r="E329" s="185"/>
      <c r="F329" s="186"/>
      <c r="G329" s="187"/>
      <c r="H329" s="185"/>
      <c r="I329" s="187"/>
      <c r="J329" s="185"/>
    </row>
    <row r="330" customFormat="false" ht="15" hidden="false" customHeight="true" outlineLevel="0" collapsed="false">
      <c r="A330" s="184" t="str">
        <f aca="false">IF(B330&lt;&gt;"",ROW()-3,"")</f>
        <v/>
      </c>
      <c r="B330" s="185"/>
      <c r="C330" s="186"/>
      <c r="D330" s="186"/>
      <c r="E330" s="185"/>
      <c r="F330" s="186"/>
      <c r="G330" s="187"/>
      <c r="H330" s="185"/>
      <c r="I330" s="187"/>
      <c r="J330" s="185"/>
    </row>
    <row r="331" customFormat="false" ht="15" hidden="false" customHeight="true" outlineLevel="0" collapsed="false">
      <c r="A331" s="184" t="str">
        <f aca="false">IF(B331&lt;&gt;"",ROW()-3,"")</f>
        <v/>
      </c>
      <c r="B331" s="185"/>
      <c r="C331" s="186"/>
      <c r="D331" s="186"/>
      <c r="E331" s="185"/>
      <c r="F331" s="186"/>
      <c r="G331" s="187"/>
      <c r="H331" s="185"/>
      <c r="I331" s="187"/>
      <c r="J331" s="185"/>
    </row>
    <row r="332" customFormat="false" ht="15" hidden="false" customHeight="true" outlineLevel="0" collapsed="false">
      <c r="A332" s="184" t="str">
        <f aca="false">IF(B332&lt;&gt;"",ROW()-3,"")</f>
        <v/>
      </c>
      <c r="B332" s="185"/>
      <c r="C332" s="186"/>
      <c r="D332" s="186"/>
      <c r="E332" s="185"/>
      <c r="F332" s="186"/>
      <c r="G332" s="187"/>
      <c r="H332" s="185"/>
      <c r="I332" s="187"/>
      <c r="J332" s="185"/>
    </row>
    <row r="333" customFormat="false" ht="15" hidden="false" customHeight="true" outlineLevel="0" collapsed="false">
      <c r="A333" s="184" t="str">
        <f aca="false">IF(B333&lt;&gt;"",ROW()-3,"")</f>
        <v/>
      </c>
      <c r="B333" s="185"/>
      <c r="C333" s="186"/>
      <c r="D333" s="186"/>
      <c r="E333" s="185"/>
      <c r="F333" s="186"/>
      <c r="G333" s="187"/>
      <c r="H333" s="185"/>
      <c r="I333" s="187"/>
      <c r="J333" s="185"/>
    </row>
    <row r="334" customFormat="false" ht="15" hidden="false" customHeight="true" outlineLevel="0" collapsed="false">
      <c r="A334" s="184" t="str">
        <f aca="false">IF(B334&lt;&gt;"",ROW()-3,"")</f>
        <v/>
      </c>
      <c r="B334" s="185"/>
      <c r="C334" s="186"/>
      <c r="D334" s="186"/>
      <c r="E334" s="185"/>
      <c r="F334" s="186"/>
      <c r="G334" s="187"/>
      <c r="H334" s="185"/>
      <c r="I334" s="187"/>
      <c r="J334" s="185"/>
    </row>
    <row r="335" customFormat="false" ht="15" hidden="false" customHeight="true" outlineLevel="0" collapsed="false">
      <c r="A335" s="184" t="str">
        <f aca="false">IF(B335&lt;&gt;"",ROW()-3,"")</f>
        <v/>
      </c>
      <c r="B335" s="185"/>
      <c r="C335" s="186"/>
      <c r="D335" s="186"/>
      <c r="E335" s="185"/>
      <c r="F335" s="186"/>
      <c r="G335" s="187"/>
      <c r="H335" s="185"/>
      <c r="I335" s="187"/>
      <c r="J335" s="185"/>
    </row>
    <row r="336" customFormat="false" ht="15" hidden="false" customHeight="true" outlineLevel="0" collapsed="false">
      <c r="A336" s="184" t="str">
        <f aca="false">IF(B336&lt;&gt;"",ROW()-3,"")</f>
        <v/>
      </c>
      <c r="B336" s="185"/>
      <c r="C336" s="186"/>
      <c r="D336" s="186"/>
      <c r="E336" s="185"/>
      <c r="F336" s="186"/>
      <c r="G336" s="187"/>
      <c r="H336" s="185"/>
      <c r="I336" s="187"/>
      <c r="J336" s="185"/>
    </row>
    <row r="337" customFormat="false" ht="15" hidden="false" customHeight="true" outlineLevel="0" collapsed="false">
      <c r="A337" s="184" t="str">
        <f aca="false">IF(B337&lt;&gt;"",ROW()-3,"")</f>
        <v/>
      </c>
      <c r="B337" s="185"/>
      <c r="C337" s="186"/>
      <c r="D337" s="186"/>
      <c r="E337" s="185"/>
      <c r="F337" s="186"/>
      <c r="G337" s="187"/>
      <c r="H337" s="185"/>
      <c r="I337" s="187"/>
      <c r="J337" s="185"/>
    </row>
    <row r="338" customFormat="false" ht="15" hidden="false" customHeight="true" outlineLevel="0" collapsed="false">
      <c r="A338" s="184" t="str">
        <f aca="false">IF(B338&lt;&gt;"",ROW()-3,"")</f>
        <v/>
      </c>
      <c r="B338" s="185"/>
      <c r="C338" s="186"/>
      <c r="D338" s="186"/>
      <c r="E338" s="185"/>
      <c r="F338" s="186"/>
      <c r="G338" s="187"/>
      <c r="H338" s="185"/>
      <c r="I338" s="187"/>
      <c r="J338" s="185"/>
    </row>
    <row r="339" customFormat="false" ht="15" hidden="false" customHeight="true" outlineLevel="0" collapsed="false">
      <c r="A339" s="184" t="str">
        <f aca="false">IF(B339&lt;&gt;"",ROW()-3,"")</f>
        <v/>
      </c>
      <c r="B339" s="185"/>
      <c r="C339" s="186"/>
      <c r="D339" s="186"/>
      <c r="E339" s="185"/>
      <c r="F339" s="186"/>
      <c r="G339" s="187"/>
      <c r="H339" s="185"/>
      <c r="I339" s="187"/>
      <c r="J339" s="185"/>
    </row>
    <row r="340" customFormat="false" ht="15" hidden="false" customHeight="true" outlineLevel="0" collapsed="false">
      <c r="A340" s="184" t="str">
        <f aca="false">IF(B340&lt;&gt;"",ROW()-3,"")</f>
        <v/>
      </c>
      <c r="B340" s="185"/>
      <c r="C340" s="186"/>
      <c r="D340" s="186"/>
      <c r="E340" s="185"/>
      <c r="F340" s="186"/>
      <c r="G340" s="187"/>
      <c r="H340" s="185"/>
      <c r="I340" s="187"/>
      <c r="J340" s="185"/>
    </row>
    <row r="341" customFormat="false" ht="15" hidden="false" customHeight="true" outlineLevel="0" collapsed="false">
      <c r="A341" s="184" t="str">
        <f aca="false">IF(B341&lt;&gt;"",ROW()-3,"")</f>
        <v/>
      </c>
      <c r="B341" s="185"/>
      <c r="C341" s="186"/>
      <c r="D341" s="186"/>
      <c r="E341" s="185"/>
      <c r="F341" s="186"/>
      <c r="G341" s="187"/>
      <c r="H341" s="185"/>
      <c r="I341" s="187"/>
      <c r="J341" s="185"/>
    </row>
    <row r="342" customFormat="false" ht="15" hidden="false" customHeight="true" outlineLevel="0" collapsed="false">
      <c r="A342" s="184" t="str">
        <f aca="false">IF(B342&lt;&gt;"",ROW()-3,"")</f>
        <v/>
      </c>
      <c r="B342" s="185"/>
      <c r="C342" s="186"/>
      <c r="D342" s="186"/>
      <c r="E342" s="185"/>
      <c r="F342" s="186"/>
      <c r="G342" s="187"/>
      <c r="H342" s="185"/>
      <c r="I342" s="187"/>
      <c r="J342" s="185"/>
    </row>
    <row r="343" customFormat="false" ht="15" hidden="false" customHeight="true" outlineLevel="0" collapsed="false">
      <c r="A343" s="184" t="str">
        <f aca="false">IF(B343&lt;&gt;"",ROW()-3,"")</f>
        <v/>
      </c>
      <c r="B343" s="185"/>
      <c r="C343" s="186"/>
      <c r="D343" s="186"/>
      <c r="E343" s="185"/>
      <c r="F343" s="186"/>
      <c r="G343" s="187"/>
      <c r="H343" s="185"/>
      <c r="I343" s="187"/>
      <c r="J343" s="185"/>
    </row>
    <row r="344" customFormat="false" ht="15" hidden="false" customHeight="true" outlineLevel="0" collapsed="false">
      <c r="A344" s="184" t="str">
        <f aca="false">IF(B344&lt;&gt;"",ROW()-3,"")</f>
        <v/>
      </c>
      <c r="B344" s="185"/>
      <c r="C344" s="186"/>
      <c r="D344" s="186"/>
      <c r="E344" s="185"/>
      <c r="F344" s="186"/>
      <c r="G344" s="187"/>
      <c r="H344" s="185"/>
      <c r="I344" s="187"/>
      <c r="J344" s="185"/>
    </row>
    <row r="345" customFormat="false" ht="15" hidden="false" customHeight="true" outlineLevel="0" collapsed="false">
      <c r="A345" s="184" t="str">
        <f aca="false">IF(B345&lt;&gt;"",ROW()-3,"")</f>
        <v/>
      </c>
      <c r="B345" s="185"/>
      <c r="C345" s="186"/>
      <c r="D345" s="186"/>
      <c r="E345" s="185"/>
      <c r="F345" s="186"/>
      <c r="G345" s="187"/>
      <c r="H345" s="185"/>
      <c r="I345" s="187"/>
      <c r="J345" s="185"/>
    </row>
    <row r="346" customFormat="false" ht="15" hidden="false" customHeight="true" outlineLevel="0" collapsed="false">
      <c r="A346" s="184" t="str">
        <f aca="false">IF(B346&lt;&gt;"",ROW()-3,"")</f>
        <v/>
      </c>
      <c r="B346" s="185"/>
      <c r="C346" s="186"/>
      <c r="D346" s="186"/>
      <c r="E346" s="185"/>
      <c r="F346" s="186"/>
      <c r="G346" s="187"/>
      <c r="H346" s="185"/>
      <c r="I346" s="187"/>
      <c r="J346" s="185"/>
    </row>
    <row r="347" customFormat="false" ht="15" hidden="false" customHeight="true" outlineLevel="0" collapsed="false">
      <c r="A347" s="184" t="str">
        <f aca="false">IF(B347&lt;&gt;"",ROW()-3,"")</f>
        <v/>
      </c>
      <c r="B347" s="185"/>
      <c r="C347" s="186"/>
      <c r="D347" s="186"/>
      <c r="E347" s="185"/>
      <c r="F347" s="186"/>
      <c r="G347" s="187"/>
      <c r="H347" s="185"/>
      <c r="I347" s="187"/>
      <c r="J347" s="185"/>
    </row>
    <row r="348" customFormat="false" ht="15" hidden="false" customHeight="true" outlineLevel="0" collapsed="false">
      <c r="A348" s="184" t="str">
        <f aca="false">IF(B348&lt;&gt;"",ROW()-3,"")</f>
        <v/>
      </c>
      <c r="B348" s="185"/>
      <c r="C348" s="186"/>
      <c r="D348" s="186"/>
      <c r="E348" s="185"/>
      <c r="F348" s="186"/>
      <c r="G348" s="187"/>
      <c r="H348" s="185"/>
      <c r="I348" s="187"/>
      <c r="J348" s="185"/>
    </row>
    <row r="349" customFormat="false" ht="15" hidden="false" customHeight="true" outlineLevel="0" collapsed="false">
      <c r="A349" s="184" t="str">
        <f aca="false">IF(B349&lt;&gt;"",ROW()-3,"")</f>
        <v/>
      </c>
      <c r="B349" s="185"/>
      <c r="C349" s="186"/>
      <c r="D349" s="186"/>
      <c r="E349" s="185"/>
      <c r="F349" s="186"/>
      <c r="G349" s="187"/>
      <c r="H349" s="185"/>
      <c r="I349" s="187"/>
      <c r="J349" s="185"/>
    </row>
    <row r="350" customFormat="false" ht="15" hidden="false" customHeight="true" outlineLevel="0" collapsed="false">
      <c r="A350" s="184" t="str">
        <f aca="false">IF(B350&lt;&gt;"",ROW()-3,"")</f>
        <v/>
      </c>
      <c r="B350" s="185"/>
      <c r="C350" s="186"/>
      <c r="D350" s="186"/>
      <c r="E350" s="185"/>
      <c r="F350" s="186"/>
      <c r="G350" s="187"/>
      <c r="H350" s="185"/>
      <c r="I350" s="187"/>
      <c r="J350" s="185"/>
    </row>
    <row r="351" customFormat="false" ht="15" hidden="false" customHeight="true" outlineLevel="0" collapsed="false">
      <c r="A351" s="184" t="str">
        <f aca="false">IF(B351&lt;&gt;"",ROW()-3,"")</f>
        <v/>
      </c>
      <c r="B351" s="185"/>
      <c r="C351" s="186"/>
      <c r="D351" s="186"/>
      <c r="E351" s="185"/>
      <c r="F351" s="186"/>
      <c r="G351" s="187"/>
      <c r="H351" s="185"/>
      <c r="I351" s="187"/>
      <c r="J351" s="185"/>
    </row>
    <row r="352" customFormat="false" ht="15" hidden="false" customHeight="true" outlineLevel="0" collapsed="false">
      <c r="A352" s="184" t="str">
        <f aca="false">IF(B352&lt;&gt;"",ROW()-3,"")</f>
        <v/>
      </c>
      <c r="B352" s="185"/>
      <c r="C352" s="186"/>
      <c r="D352" s="186"/>
      <c r="E352" s="185"/>
      <c r="F352" s="186"/>
      <c r="G352" s="187"/>
      <c r="H352" s="185"/>
      <c r="I352" s="187"/>
      <c r="J352" s="185"/>
    </row>
    <row r="353" customFormat="false" ht="15" hidden="false" customHeight="true" outlineLevel="0" collapsed="false">
      <c r="A353" s="184" t="str">
        <f aca="false">IF(B353&lt;&gt;"",ROW()-3,"")</f>
        <v/>
      </c>
      <c r="B353" s="185"/>
      <c r="C353" s="186"/>
      <c r="D353" s="186"/>
      <c r="E353" s="185"/>
      <c r="F353" s="186"/>
      <c r="G353" s="187"/>
      <c r="H353" s="185"/>
      <c r="I353" s="187"/>
      <c r="J353" s="185"/>
    </row>
    <row r="354" customFormat="false" ht="15" hidden="false" customHeight="true" outlineLevel="0" collapsed="false">
      <c r="A354" s="184" t="str">
        <f aca="false">IF(B354&lt;&gt;"",ROW()-3,"")</f>
        <v/>
      </c>
      <c r="B354" s="185"/>
      <c r="C354" s="186"/>
      <c r="D354" s="186"/>
      <c r="E354" s="185"/>
      <c r="F354" s="186"/>
      <c r="G354" s="187"/>
      <c r="H354" s="185"/>
      <c r="I354" s="187"/>
      <c r="J354" s="185"/>
    </row>
    <row r="355" customFormat="false" ht="15" hidden="false" customHeight="true" outlineLevel="0" collapsed="false">
      <c r="A355" s="184" t="str">
        <f aca="false">IF(B355&lt;&gt;"",ROW()-3,"")</f>
        <v/>
      </c>
      <c r="B355" s="185"/>
      <c r="C355" s="186"/>
      <c r="D355" s="186"/>
      <c r="E355" s="185"/>
      <c r="F355" s="186"/>
      <c r="G355" s="187"/>
      <c r="H355" s="185"/>
      <c r="I355" s="187"/>
      <c r="J355" s="185"/>
    </row>
    <row r="356" customFormat="false" ht="15" hidden="false" customHeight="true" outlineLevel="0" collapsed="false">
      <c r="A356" s="184" t="str">
        <f aca="false">IF(B356&lt;&gt;"",ROW()-3,"")</f>
        <v/>
      </c>
      <c r="B356" s="185"/>
      <c r="C356" s="186"/>
      <c r="D356" s="186"/>
      <c r="E356" s="185"/>
      <c r="F356" s="186"/>
      <c r="G356" s="187"/>
      <c r="H356" s="185"/>
      <c r="I356" s="187"/>
      <c r="J356" s="185"/>
    </row>
    <row r="357" customFormat="false" ht="15" hidden="false" customHeight="true" outlineLevel="0" collapsed="false">
      <c r="A357" s="184" t="str">
        <f aca="false">IF(B357&lt;&gt;"",ROW()-3,"")</f>
        <v/>
      </c>
      <c r="B357" s="185"/>
      <c r="C357" s="186"/>
      <c r="D357" s="186"/>
      <c r="E357" s="185"/>
      <c r="F357" s="186"/>
      <c r="G357" s="187"/>
      <c r="H357" s="185"/>
      <c r="I357" s="187"/>
      <c r="J357" s="185"/>
    </row>
    <row r="358" customFormat="false" ht="15" hidden="false" customHeight="true" outlineLevel="0" collapsed="false">
      <c r="A358" s="184" t="str">
        <f aca="false">IF(B358&lt;&gt;"",ROW()-3,"")</f>
        <v/>
      </c>
      <c r="B358" s="185"/>
      <c r="C358" s="186"/>
      <c r="D358" s="186"/>
      <c r="E358" s="185"/>
      <c r="F358" s="186"/>
      <c r="G358" s="187"/>
      <c r="H358" s="185"/>
      <c r="I358" s="187"/>
      <c r="J358" s="185"/>
    </row>
    <row r="359" customFormat="false" ht="15" hidden="false" customHeight="true" outlineLevel="0" collapsed="false">
      <c r="A359" s="184" t="str">
        <f aca="false">IF(B359&lt;&gt;"",ROW()-3,"")</f>
        <v/>
      </c>
      <c r="B359" s="185"/>
      <c r="C359" s="186"/>
      <c r="D359" s="186"/>
      <c r="E359" s="185"/>
      <c r="F359" s="186"/>
      <c r="G359" s="187"/>
      <c r="H359" s="185"/>
      <c r="I359" s="187"/>
      <c r="J359" s="185"/>
    </row>
    <row r="360" customFormat="false" ht="15" hidden="false" customHeight="true" outlineLevel="0" collapsed="false">
      <c r="A360" s="184" t="str">
        <f aca="false">IF(B360&lt;&gt;"",ROW()-3,"")</f>
        <v/>
      </c>
      <c r="B360" s="185"/>
      <c r="C360" s="186"/>
      <c r="D360" s="186"/>
      <c r="E360" s="185"/>
      <c r="F360" s="186"/>
      <c r="G360" s="187"/>
      <c r="H360" s="185"/>
      <c r="I360" s="187"/>
      <c r="J360" s="185"/>
    </row>
    <row r="361" customFormat="false" ht="15" hidden="false" customHeight="true" outlineLevel="0" collapsed="false">
      <c r="A361" s="184" t="str">
        <f aca="false">IF(B361&lt;&gt;"",ROW()-3,"")</f>
        <v/>
      </c>
      <c r="B361" s="185"/>
      <c r="C361" s="186"/>
      <c r="D361" s="186"/>
      <c r="E361" s="185"/>
      <c r="F361" s="186"/>
      <c r="G361" s="187"/>
      <c r="H361" s="185"/>
      <c r="I361" s="187"/>
      <c r="J361" s="185"/>
    </row>
    <row r="362" customFormat="false" ht="15" hidden="false" customHeight="true" outlineLevel="0" collapsed="false">
      <c r="A362" s="184" t="str">
        <f aca="false">IF(B362&lt;&gt;"",ROW()-3,"")</f>
        <v/>
      </c>
      <c r="B362" s="185"/>
      <c r="C362" s="186"/>
      <c r="D362" s="186"/>
      <c r="E362" s="185"/>
      <c r="F362" s="186"/>
      <c r="G362" s="187"/>
      <c r="H362" s="185"/>
      <c r="I362" s="187"/>
      <c r="J362" s="185"/>
    </row>
    <row r="363" customFormat="false" ht="15" hidden="false" customHeight="true" outlineLevel="0" collapsed="false">
      <c r="A363" s="184" t="str">
        <f aca="false">IF(B363&lt;&gt;"",ROW()-3,"")</f>
        <v/>
      </c>
      <c r="B363" s="185"/>
      <c r="C363" s="186"/>
      <c r="D363" s="186"/>
      <c r="E363" s="185"/>
      <c r="F363" s="186"/>
      <c r="G363" s="187"/>
      <c r="H363" s="185"/>
      <c r="I363" s="187"/>
      <c r="J363" s="185"/>
    </row>
    <row r="364" customFormat="false" ht="15" hidden="false" customHeight="true" outlineLevel="0" collapsed="false">
      <c r="A364" s="184" t="str">
        <f aca="false">IF(B364&lt;&gt;"",ROW()-3,"")</f>
        <v/>
      </c>
      <c r="B364" s="185"/>
      <c r="C364" s="186"/>
      <c r="D364" s="186"/>
      <c r="E364" s="185"/>
      <c r="F364" s="186"/>
      <c r="G364" s="187"/>
      <c r="H364" s="185"/>
      <c r="I364" s="187"/>
      <c r="J364" s="185"/>
    </row>
    <row r="365" customFormat="false" ht="15" hidden="false" customHeight="true" outlineLevel="0" collapsed="false">
      <c r="A365" s="184" t="str">
        <f aca="false">IF(B365&lt;&gt;"",ROW()-3,"")</f>
        <v/>
      </c>
      <c r="B365" s="185"/>
      <c r="C365" s="186"/>
      <c r="D365" s="186"/>
      <c r="E365" s="185"/>
      <c r="F365" s="186"/>
      <c r="G365" s="187"/>
      <c r="H365" s="185"/>
      <c r="I365" s="187"/>
      <c r="J365" s="185"/>
    </row>
    <row r="366" customFormat="false" ht="15" hidden="false" customHeight="true" outlineLevel="0" collapsed="false">
      <c r="A366" s="184" t="str">
        <f aca="false">IF(B366&lt;&gt;"",ROW()-3,"")</f>
        <v/>
      </c>
      <c r="B366" s="185"/>
      <c r="C366" s="186"/>
      <c r="D366" s="186"/>
      <c r="E366" s="185"/>
      <c r="F366" s="186"/>
      <c r="G366" s="187"/>
      <c r="H366" s="185"/>
      <c r="I366" s="187"/>
      <c r="J366" s="185"/>
    </row>
    <row r="367" customFormat="false" ht="15" hidden="false" customHeight="true" outlineLevel="0" collapsed="false">
      <c r="A367" s="184" t="str">
        <f aca="false">IF(B367&lt;&gt;"",ROW()-3,"")</f>
        <v/>
      </c>
      <c r="B367" s="185"/>
      <c r="C367" s="186"/>
      <c r="D367" s="186"/>
      <c r="E367" s="185"/>
      <c r="F367" s="186"/>
      <c r="G367" s="187"/>
      <c r="H367" s="185"/>
      <c r="I367" s="187"/>
      <c r="J367" s="185"/>
    </row>
    <row r="368" customFormat="false" ht="15" hidden="false" customHeight="true" outlineLevel="0" collapsed="false">
      <c r="A368" s="184" t="str">
        <f aca="false">IF(B368&lt;&gt;"",ROW()-3,"")</f>
        <v/>
      </c>
      <c r="B368" s="185"/>
      <c r="C368" s="186"/>
      <c r="D368" s="186"/>
      <c r="E368" s="185"/>
      <c r="F368" s="186"/>
      <c r="G368" s="187"/>
      <c r="H368" s="185"/>
      <c r="I368" s="187"/>
      <c r="J368" s="185"/>
    </row>
    <row r="369" customFormat="false" ht="15" hidden="false" customHeight="true" outlineLevel="0" collapsed="false">
      <c r="A369" s="184" t="str">
        <f aca="false">IF(B369&lt;&gt;"",ROW()-3,"")</f>
        <v/>
      </c>
      <c r="B369" s="185"/>
      <c r="C369" s="186"/>
      <c r="D369" s="186"/>
      <c r="E369" s="185"/>
      <c r="F369" s="186"/>
      <c r="G369" s="187"/>
      <c r="H369" s="185"/>
      <c r="I369" s="187"/>
      <c r="J369" s="185"/>
    </row>
    <row r="370" customFormat="false" ht="15" hidden="false" customHeight="true" outlineLevel="0" collapsed="false">
      <c r="A370" s="184" t="str">
        <f aca="false">IF(B370&lt;&gt;"",ROW()-3,"")</f>
        <v/>
      </c>
      <c r="B370" s="185"/>
      <c r="C370" s="186"/>
      <c r="D370" s="186"/>
      <c r="E370" s="185"/>
      <c r="F370" s="186"/>
      <c r="G370" s="187"/>
      <c r="H370" s="185"/>
      <c r="I370" s="187"/>
      <c r="J370" s="185"/>
    </row>
    <row r="371" customFormat="false" ht="15" hidden="false" customHeight="true" outlineLevel="0" collapsed="false">
      <c r="A371" s="184" t="str">
        <f aca="false">IF(B371&lt;&gt;"",ROW()-3,"")</f>
        <v/>
      </c>
      <c r="B371" s="185"/>
      <c r="C371" s="186"/>
      <c r="D371" s="186"/>
      <c r="E371" s="185"/>
      <c r="F371" s="186"/>
      <c r="G371" s="187"/>
      <c r="H371" s="185"/>
      <c r="I371" s="187"/>
      <c r="J371" s="185"/>
    </row>
    <row r="372" customFormat="false" ht="15" hidden="false" customHeight="true" outlineLevel="0" collapsed="false">
      <c r="A372" s="184" t="str">
        <f aca="false">IF(B372&lt;&gt;"",ROW()-3,"")</f>
        <v/>
      </c>
      <c r="B372" s="185"/>
      <c r="C372" s="186"/>
      <c r="D372" s="186"/>
      <c r="E372" s="185"/>
      <c r="F372" s="186"/>
      <c r="G372" s="187"/>
      <c r="H372" s="185"/>
      <c r="I372" s="187"/>
      <c r="J372" s="185"/>
    </row>
    <row r="373" customFormat="false" ht="15" hidden="false" customHeight="true" outlineLevel="0" collapsed="false">
      <c r="A373" s="184" t="str">
        <f aca="false">IF(B373&lt;&gt;"",ROW()-3,"")</f>
        <v/>
      </c>
      <c r="B373" s="185"/>
      <c r="C373" s="186"/>
      <c r="D373" s="186"/>
      <c r="E373" s="185"/>
      <c r="F373" s="186"/>
      <c r="G373" s="187"/>
      <c r="H373" s="185"/>
      <c r="I373" s="187"/>
      <c r="J373" s="185"/>
    </row>
    <row r="374" customFormat="false" ht="15" hidden="false" customHeight="true" outlineLevel="0" collapsed="false">
      <c r="A374" s="184" t="str">
        <f aca="false">IF(B374&lt;&gt;"",ROW()-3,"")</f>
        <v/>
      </c>
      <c r="B374" s="185"/>
      <c r="C374" s="186"/>
      <c r="D374" s="186"/>
      <c r="E374" s="185"/>
      <c r="F374" s="186"/>
      <c r="G374" s="187"/>
      <c r="H374" s="185"/>
      <c r="I374" s="187"/>
      <c r="J374" s="185"/>
    </row>
    <row r="375" customFormat="false" ht="15" hidden="false" customHeight="true" outlineLevel="0" collapsed="false">
      <c r="A375" s="184" t="str">
        <f aca="false">IF(B375&lt;&gt;"",ROW()-3,"")</f>
        <v/>
      </c>
      <c r="B375" s="185"/>
      <c r="C375" s="186"/>
      <c r="D375" s="186"/>
      <c r="E375" s="185"/>
      <c r="F375" s="186"/>
      <c r="G375" s="187"/>
      <c r="H375" s="185"/>
      <c r="I375" s="187"/>
      <c r="J375" s="185"/>
    </row>
    <row r="376" customFormat="false" ht="15" hidden="false" customHeight="true" outlineLevel="0" collapsed="false">
      <c r="A376" s="184" t="str">
        <f aca="false">IF(B376&lt;&gt;"",ROW()-3,"")</f>
        <v/>
      </c>
      <c r="B376" s="185"/>
      <c r="C376" s="186"/>
      <c r="D376" s="186"/>
      <c r="E376" s="185"/>
      <c r="F376" s="186"/>
      <c r="G376" s="187"/>
      <c r="H376" s="185"/>
      <c r="I376" s="187"/>
      <c r="J376" s="185"/>
    </row>
    <row r="377" customFormat="false" ht="15" hidden="false" customHeight="true" outlineLevel="0" collapsed="false">
      <c r="A377" s="184" t="str">
        <f aca="false">IF(B377&lt;&gt;"",ROW()-3,"")</f>
        <v/>
      </c>
      <c r="B377" s="185"/>
      <c r="C377" s="186"/>
      <c r="D377" s="186"/>
      <c r="E377" s="185"/>
      <c r="F377" s="186"/>
      <c r="G377" s="187"/>
      <c r="H377" s="185"/>
      <c r="I377" s="187"/>
      <c r="J377" s="185"/>
    </row>
    <row r="378" customFormat="false" ht="15" hidden="false" customHeight="true" outlineLevel="0" collapsed="false">
      <c r="A378" s="184" t="str">
        <f aca="false">IF(B378&lt;&gt;"",ROW()-3,"")</f>
        <v/>
      </c>
      <c r="B378" s="185"/>
      <c r="C378" s="186"/>
      <c r="D378" s="186"/>
      <c r="E378" s="185"/>
      <c r="F378" s="186"/>
      <c r="G378" s="187"/>
      <c r="H378" s="185"/>
      <c r="I378" s="187"/>
      <c r="J378" s="185"/>
    </row>
    <row r="379" customFormat="false" ht="15" hidden="false" customHeight="true" outlineLevel="0" collapsed="false">
      <c r="A379" s="184" t="str">
        <f aca="false">IF(B379&lt;&gt;"",ROW()-3,"")</f>
        <v/>
      </c>
      <c r="B379" s="185"/>
      <c r="C379" s="186"/>
      <c r="D379" s="186"/>
      <c r="E379" s="185"/>
      <c r="F379" s="186"/>
      <c r="G379" s="187"/>
      <c r="H379" s="185"/>
      <c r="I379" s="187"/>
      <c r="J379" s="185"/>
    </row>
    <row r="380" customFormat="false" ht="15" hidden="false" customHeight="true" outlineLevel="0" collapsed="false">
      <c r="A380" s="184" t="str">
        <f aca="false">IF(B380&lt;&gt;"",ROW()-3,"")</f>
        <v/>
      </c>
      <c r="B380" s="185"/>
      <c r="C380" s="186"/>
      <c r="D380" s="186"/>
      <c r="E380" s="185"/>
      <c r="F380" s="186"/>
      <c r="G380" s="187"/>
      <c r="H380" s="185"/>
      <c r="I380" s="187"/>
      <c r="J380" s="185"/>
    </row>
    <row r="381" customFormat="false" ht="15" hidden="false" customHeight="true" outlineLevel="0" collapsed="false">
      <c r="A381" s="184" t="str">
        <f aca="false">IF(B381&lt;&gt;"",ROW()-3,"")</f>
        <v/>
      </c>
      <c r="B381" s="185"/>
      <c r="C381" s="186"/>
      <c r="D381" s="186"/>
      <c r="E381" s="185"/>
      <c r="F381" s="186"/>
      <c r="G381" s="187"/>
      <c r="H381" s="185"/>
      <c r="I381" s="187"/>
      <c r="J381" s="185"/>
    </row>
    <row r="382" customFormat="false" ht="15" hidden="false" customHeight="true" outlineLevel="0" collapsed="false">
      <c r="A382" s="184" t="str">
        <f aca="false">IF(B382&lt;&gt;"",ROW()-3,"")</f>
        <v/>
      </c>
      <c r="B382" s="185"/>
      <c r="C382" s="186"/>
      <c r="D382" s="186"/>
      <c r="E382" s="185"/>
      <c r="F382" s="186"/>
      <c r="G382" s="187"/>
      <c r="H382" s="185"/>
      <c r="I382" s="187"/>
      <c r="J382" s="185"/>
    </row>
    <row r="383" customFormat="false" ht="15" hidden="false" customHeight="true" outlineLevel="0" collapsed="false">
      <c r="A383" s="184" t="str">
        <f aca="false">IF(B383&lt;&gt;"",ROW()-3,"")</f>
        <v/>
      </c>
      <c r="B383" s="185"/>
      <c r="C383" s="186"/>
      <c r="D383" s="186"/>
      <c r="E383" s="185"/>
      <c r="F383" s="186"/>
      <c r="G383" s="187"/>
      <c r="H383" s="185"/>
      <c r="I383" s="187"/>
      <c r="J383" s="185"/>
    </row>
    <row r="384" customFormat="false" ht="15" hidden="false" customHeight="true" outlineLevel="0" collapsed="false">
      <c r="A384" s="184" t="str">
        <f aca="false">IF(B384&lt;&gt;"",ROW()-3,"")</f>
        <v/>
      </c>
      <c r="B384" s="185"/>
      <c r="C384" s="186"/>
      <c r="D384" s="186"/>
      <c r="E384" s="185"/>
      <c r="F384" s="186"/>
      <c r="G384" s="187"/>
      <c r="H384" s="185"/>
      <c r="I384" s="187"/>
      <c r="J384" s="185"/>
    </row>
    <row r="385" customFormat="false" ht="15" hidden="false" customHeight="true" outlineLevel="0" collapsed="false">
      <c r="A385" s="184" t="str">
        <f aca="false">IF(B385&lt;&gt;"",ROW()-3,"")</f>
        <v/>
      </c>
      <c r="B385" s="185"/>
      <c r="C385" s="186"/>
      <c r="D385" s="186"/>
      <c r="E385" s="185"/>
      <c r="F385" s="186"/>
      <c r="G385" s="187"/>
      <c r="H385" s="185"/>
      <c r="I385" s="187"/>
      <c r="J385" s="185"/>
    </row>
    <row r="386" customFormat="false" ht="15" hidden="false" customHeight="true" outlineLevel="0" collapsed="false">
      <c r="A386" s="184" t="str">
        <f aca="false">IF(B386&lt;&gt;"",ROW()-3,"")</f>
        <v/>
      </c>
      <c r="B386" s="185"/>
      <c r="C386" s="186"/>
      <c r="D386" s="186"/>
      <c r="E386" s="185"/>
      <c r="F386" s="186"/>
      <c r="G386" s="187"/>
      <c r="H386" s="185"/>
      <c r="I386" s="187"/>
      <c r="J386" s="185"/>
    </row>
    <row r="387" customFormat="false" ht="15" hidden="false" customHeight="true" outlineLevel="0" collapsed="false">
      <c r="A387" s="184" t="str">
        <f aca="false">IF(B387&lt;&gt;"",ROW()-3,"")</f>
        <v/>
      </c>
      <c r="B387" s="185"/>
      <c r="C387" s="186"/>
      <c r="D387" s="186"/>
      <c r="E387" s="185"/>
      <c r="F387" s="186"/>
      <c r="G387" s="187"/>
      <c r="H387" s="185"/>
      <c r="I387" s="187"/>
      <c r="J387" s="185"/>
    </row>
    <row r="388" customFormat="false" ht="15" hidden="false" customHeight="true" outlineLevel="0" collapsed="false">
      <c r="A388" s="184" t="str">
        <f aca="false">IF(B388&lt;&gt;"",ROW()-3,"")</f>
        <v/>
      </c>
      <c r="B388" s="185"/>
      <c r="C388" s="186"/>
      <c r="D388" s="186"/>
      <c r="E388" s="185"/>
      <c r="F388" s="186"/>
      <c r="G388" s="187"/>
      <c r="H388" s="185"/>
      <c r="I388" s="187"/>
      <c r="J388" s="185"/>
    </row>
    <row r="389" customFormat="false" ht="15" hidden="false" customHeight="true" outlineLevel="0" collapsed="false">
      <c r="A389" s="184" t="str">
        <f aca="false">IF(B389&lt;&gt;"",ROW()-3,"")</f>
        <v/>
      </c>
      <c r="B389" s="185"/>
      <c r="C389" s="186"/>
      <c r="D389" s="186"/>
      <c r="E389" s="185"/>
      <c r="F389" s="186"/>
      <c r="G389" s="187"/>
      <c r="H389" s="185"/>
      <c r="I389" s="187"/>
      <c r="J389" s="185"/>
    </row>
    <row r="390" customFormat="false" ht="15" hidden="false" customHeight="true" outlineLevel="0" collapsed="false">
      <c r="A390" s="184" t="str">
        <f aca="false">IF(B390&lt;&gt;"",ROW()-3,"")</f>
        <v/>
      </c>
      <c r="B390" s="185"/>
      <c r="C390" s="186"/>
      <c r="D390" s="186"/>
      <c r="E390" s="185"/>
      <c r="F390" s="186"/>
      <c r="G390" s="187"/>
      <c r="H390" s="185"/>
      <c r="I390" s="187"/>
      <c r="J390" s="185"/>
    </row>
    <row r="391" customFormat="false" ht="15" hidden="false" customHeight="true" outlineLevel="0" collapsed="false">
      <c r="A391" s="184" t="str">
        <f aca="false">IF(B391&lt;&gt;"",ROW()-3,"")</f>
        <v/>
      </c>
      <c r="B391" s="185"/>
      <c r="C391" s="186"/>
      <c r="D391" s="186"/>
      <c r="E391" s="185"/>
      <c r="F391" s="186"/>
      <c r="G391" s="187"/>
      <c r="H391" s="185"/>
      <c r="I391" s="187"/>
      <c r="J391" s="185"/>
    </row>
    <row r="392" customFormat="false" ht="15" hidden="false" customHeight="true" outlineLevel="0" collapsed="false">
      <c r="A392" s="184" t="str">
        <f aca="false">IF(B392&lt;&gt;"",ROW()-3,"")</f>
        <v/>
      </c>
      <c r="B392" s="185"/>
      <c r="C392" s="186"/>
      <c r="D392" s="186"/>
      <c r="E392" s="185"/>
      <c r="F392" s="186"/>
      <c r="G392" s="187"/>
      <c r="H392" s="185"/>
      <c r="I392" s="187"/>
      <c r="J392" s="185"/>
    </row>
    <row r="393" customFormat="false" ht="15" hidden="false" customHeight="true" outlineLevel="0" collapsed="false">
      <c r="A393" s="184" t="str">
        <f aca="false">IF(B393&lt;&gt;"",ROW()-3,"")</f>
        <v/>
      </c>
      <c r="B393" s="185"/>
      <c r="C393" s="186"/>
      <c r="D393" s="186"/>
      <c r="E393" s="185"/>
      <c r="F393" s="186"/>
      <c r="G393" s="187"/>
      <c r="H393" s="185"/>
      <c r="I393" s="187"/>
      <c r="J393" s="185"/>
    </row>
    <row r="394" customFormat="false" ht="15" hidden="false" customHeight="true" outlineLevel="0" collapsed="false">
      <c r="A394" s="184" t="str">
        <f aca="false">IF(B394&lt;&gt;"",ROW()-3,"")</f>
        <v/>
      </c>
      <c r="B394" s="185"/>
      <c r="C394" s="186"/>
      <c r="D394" s="186"/>
      <c r="E394" s="185"/>
      <c r="F394" s="186"/>
      <c r="G394" s="187"/>
      <c r="H394" s="185"/>
      <c r="I394" s="187"/>
      <c r="J394" s="185"/>
    </row>
    <row r="395" customFormat="false" ht="15" hidden="false" customHeight="true" outlineLevel="0" collapsed="false">
      <c r="A395" s="184" t="str">
        <f aca="false">IF(B395&lt;&gt;"",ROW()-3,"")</f>
        <v/>
      </c>
      <c r="B395" s="185"/>
      <c r="C395" s="186"/>
      <c r="D395" s="186"/>
      <c r="E395" s="185"/>
      <c r="F395" s="186"/>
      <c r="G395" s="187"/>
      <c r="H395" s="185"/>
      <c r="I395" s="187"/>
      <c r="J395" s="185"/>
    </row>
    <row r="396" customFormat="false" ht="15" hidden="false" customHeight="true" outlineLevel="0" collapsed="false">
      <c r="A396" s="184" t="str">
        <f aca="false">IF(B396&lt;&gt;"",ROW()-3,"")</f>
        <v/>
      </c>
      <c r="B396" s="185"/>
      <c r="C396" s="186"/>
      <c r="D396" s="186"/>
      <c r="E396" s="185"/>
      <c r="F396" s="186"/>
      <c r="G396" s="187"/>
      <c r="H396" s="185"/>
      <c r="I396" s="187"/>
      <c r="J396" s="185"/>
    </row>
    <row r="397" customFormat="false" ht="15" hidden="false" customHeight="true" outlineLevel="0" collapsed="false">
      <c r="A397" s="184" t="str">
        <f aca="false">IF(B397&lt;&gt;"",ROW()-3,"")</f>
        <v/>
      </c>
      <c r="B397" s="185"/>
      <c r="C397" s="186"/>
      <c r="D397" s="186"/>
      <c r="E397" s="185"/>
      <c r="F397" s="186"/>
      <c r="G397" s="187"/>
      <c r="H397" s="185"/>
      <c r="I397" s="187"/>
      <c r="J397" s="185"/>
    </row>
    <row r="398" customFormat="false" ht="15" hidden="false" customHeight="true" outlineLevel="0" collapsed="false">
      <c r="A398" s="184" t="str">
        <f aca="false">IF(B398&lt;&gt;"",ROW()-3,"")</f>
        <v/>
      </c>
      <c r="B398" s="185"/>
      <c r="C398" s="186"/>
      <c r="D398" s="186"/>
      <c r="E398" s="185"/>
      <c r="F398" s="186"/>
      <c r="G398" s="187"/>
      <c r="H398" s="185"/>
      <c r="I398" s="187"/>
      <c r="J398" s="185"/>
    </row>
    <row r="399" customFormat="false" ht="15" hidden="false" customHeight="true" outlineLevel="0" collapsed="false">
      <c r="A399" s="184" t="str">
        <f aca="false">IF(B399&lt;&gt;"",ROW()-3,"")</f>
        <v/>
      </c>
      <c r="B399" s="185"/>
      <c r="C399" s="186"/>
      <c r="D399" s="186"/>
      <c r="E399" s="185"/>
      <c r="F399" s="186"/>
      <c r="G399" s="187"/>
      <c r="H399" s="185"/>
      <c r="I399" s="187"/>
      <c r="J399" s="185"/>
    </row>
    <row r="400" customFormat="false" ht="15" hidden="false" customHeight="true" outlineLevel="0" collapsed="false">
      <c r="A400" s="184" t="str">
        <f aca="false">IF(B400&lt;&gt;"",ROW()-3,"")</f>
        <v/>
      </c>
      <c r="B400" s="185"/>
      <c r="C400" s="186"/>
      <c r="D400" s="186"/>
      <c r="E400" s="185"/>
      <c r="F400" s="186"/>
      <c r="G400" s="187"/>
      <c r="H400" s="185"/>
      <c r="I400" s="187"/>
      <c r="J400" s="185"/>
    </row>
    <row r="401" customFormat="false" ht="15" hidden="false" customHeight="true" outlineLevel="0" collapsed="false">
      <c r="A401" s="184" t="str">
        <f aca="false">IF(B401&lt;&gt;"",ROW()-3,"")</f>
        <v/>
      </c>
      <c r="B401" s="185"/>
      <c r="C401" s="186"/>
      <c r="D401" s="186"/>
      <c r="E401" s="185"/>
      <c r="F401" s="186"/>
      <c r="G401" s="187"/>
      <c r="H401" s="185"/>
      <c r="I401" s="187"/>
      <c r="J401" s="185"/>
    </row>
    <row r="402" customFormat="false" ht="15" hidden="false" customHeight="true" outlineLevel="0" collapsed="false">
      <c r="A402" s="184" t="str">
        <f aca="false">IF(B402&lt;&gt;"",ROW()-3,"")</f>
        <v/>
      </c>
      <c r="B402" s="185"/>
      <c r="C402" s="186"/>
      <c r="D402" s="186"/>
      <c r="E402" s="185"/>
      <c r="F402" s="186"/>
      <c r="G402" s="187"/>
      <c r="H402" s="185"/>
      <c r="I402" s="187"/>
      <c r="J402" s="185"/>
    </row>
    <row r="403" customFormat="false" ht="15" hidden="false" customHeight="true" outlineLevel="0" collapsed="false">
      <c r="A403" s="184" t="str">
        <f aca="false">IF(B403&lt;&gt;"",ROW()-3,"")</f>
        <v/>
      </c>
      <c r="B403" s="185"/>
      <c r="C403" s="186"/>
      <c r="D403" s="186"/>
      <c r="E403" s="185"/>
      <c r="F403" s="186"/>
      <c r="G403" s="187"/>
      <c r="H403" s="185"/>
      <c r="I403" s="187"/>
      <c r="J403" s="185"/>
    </row>
    <row r="404" customFormat="false" ht="15" hidden="false" customHeight="true" outlineLevel="0" collapsed="false">
      <c r="A404" s="184" t="str">
        <f aca="false">IF(B404&lt;&gt;"",ROW()-3,"")</f>
        <v/>
      </c>
      <c r="B404" s="185"/>
      <c r="C404" s="186"/>
      <c r="D404" s="186"/>
      <c r="E404" s="185"/>
      <c r="F404" s="186"/>
      <c r="G404" s="187"/>
      <c r="H404" s="185"/>
      <c r="I404" s="187"/>
      <c r="J404" s="185"/>
    </row>
    <row r="405" customFormat="false" ht="15" hidden="false" customHeight="true" outlineLevel="0" collapsed="false">
      <c r="A405" s="184" t="str">
        <f aca="false">IF(B405&lt;&gt;"",ROW()-3,"")</f>
        <v/>
      </c>
      <c r="B405" s="185"/>
      <c r="C405" s="186"/>
      <c r="D405" s="186"/>
      <c r="E405" s="185"/>
      <c r="F405" s="186"/>
      <c r="G405" s="187"/>
      <c r="H405" s="185"/>
      <c r="I405" s="187"/>
      <c r="J405" s="185"/>
    </row>
    <row r="406" customFormat="false" ht="15" hidden="false" customHeight="true" outlineLevel="0" collapsed="false">
      <c r="A406" s="184" t="str">
        <f aca="false">IF(B406&lt;&gt;"",ROW()-3,"")</f>
        <v/>
      </c>
      <c r="B406" s="185"/>
      <c r="C406" s="186"/>
      <c r="D406" s="186"/>
      <c r="E406" s="185"/>
      <c r="F406" s="186"/>
      <c r="G406" s="187"/>
      <c r="H406" s="185"/>
      <c r="I406" s="187"/>
      <c r="J406" s="185"/>
    </row>
    <row r="407" customFormat="false" ht="15" hidden="false" customHeight="true" outlineLevel="0" collapsed="false">
      <c r="A407" s="184" t="str">
        <f aca="false">IF(B407&lt;&gt;"",ROW()-3,"")</f>
        <v/>
      </c>
      <c r="B407" s="185"/>
      <c r="C407" s="186"/>
      <c r="D407" s="186"/>
      <c r="E407" s="185"/>
      <c r="F407" s="186"/>
      <c r="G407" s="187"/>
      <c r="H407" s="185"/>
      <c r="I407" s="187"/>
      <c r="J407" s="185"/>
    </row>
    <row r="408" customFormat="false" ht="15" hidden="false" customHeight="true" outlineLevel="0" collapsed="false">
      <c r="A408" s="184" t="str">
        <f aca="false">IF(B408&lt;&gt;"",ROW()-3,"")</f>
        <v/>
      </c>
      <c r="B408" s="185"/>
      <c r="C408" s="186"/>
      <c r="D408" s="186"/>
      <c r="E408" s="185"/>
      <c r="F408" s="186"/>
      <c r="G408" s="187"/>
      <c r="H408" s="185"/>
      <c r="I408" s="187"/>
      <c r="J408" s="185"/>
    </row>
    <row r="409" customFormat="false" ht="15" hidden="false" customHeight="true" outlineLevel="0" collapsed="false">
      <c r="A409" s="184" t="str">
        <f aca="false">IF(B409&lt;&gt;"",ROW()-3,"")</f>
        <v/>
      </c>
      <c r="B409" s="185"/>
      <c r="C409" s="186"/>
      <c r="D409" s="186"/>
      <c r="E409" s="185"/>
      <c r="F409" s="186"/>
      <c r="G409" s="187"/>
      <c r="H409" s="185"/>
      <c r="I409" s="187"/>
      <c r="J409" s="185"/>
    </row>
    <row r="410" customFormat="false" ht="15" hidden="false" customHeight="true" outlineLevel="0" collapsed="false">
      <c r="A410" s="184" t="str">
        <f aca="false">IF(B410&lt;&gt;"",ROW()-3,"")</f>
        <v/>
      </c>
      <c r="B410" s="185"/>
      <c r="C410" s="186"/>
      <c r="D410" s="186"/>
      <c r="E410" s="185"/>
      <c r="F410" s="186"/>
      <c r="G410" s="187"/>
      <c r="H410" s="185"/>
      <c r="I410" s="187"/>
      <c r="J410" s="185"/>
    </row>
    <row r="411" customFormat="false" ht="15" hidden="false" customHeight="true" outlineLevel="0" collapsed="false">
      <c r="A411" s="184" t="str">
        <f aca="false">IF(B411&lt;&gt;"",ROW()-3,"")</f>
        <v/>
      </c>
      <c r="B411" s="185"/>
      <c r="C411" s="186"/>
      <c r="D411" s="186"/>
      <c r="E411" s="185"/>
      <c r="F411" s="186"/>
      <c r="G411" s="187"/>
      <c r="H411" s="185"/>
      <c r="I411" s="187"/>
      <c r="J411" s="185"/>
    </row>
    <row r="412" customFormat="false" ht="15" hidden="false" customHeight="true" outlineLevel="0" collapsed="false">
      <c r="A412" s="184" t="str">
        <f aca="false">IF(B412&lt;&gt;"",ROW()-3,"")</f>
        <v/>
      </c>
      <c r="B412" s="185"/>
      <c r="C412" s="186"/>
      <c r="D412" s="186"/>
      <c r="E412" s="185"/>
      <c r="F412" s="186"/>
      <c r="G412" s="187"/>
      <c r="H412" s="185"/>
      <c r="I412" s="187"/>
      <c r="J412" s="185"/>
    </row>
    <row r="413" customFormat="false" ht="15" hidden="false" customHeight="true" outlineLevel="0" collapsed="false">
      <c r="A413" s="184" t="str">
        <f aca="false">IF(B413&lt;&gt;"",ROW()-3,"")</f>
        <v/>
      </c>
      <c r="B413" s="185"/>
      <c r="C413" s="186"/>
      <c r="D413" s="186"/>
      <c r="E413" s="185"/>
      <c r="F413" s="186"/>
      <c r="G413" s="187"/>
      <c r="H413" s="185"/>
      <c r="I413" s="187"/>
      <c r="J413" s="185"/>
    </row>
    <row r="414" customFormat="false" ht="15" hidden="false" customHeight="true" outlineLevel="0" collapsed="false">
      <c r="A414" s="184" t="str">
        <f aca="false">IF(B414&lt;&gt;"",ROW()-3,"")</f>
        <v/>
      </c>
      <c r="B414" s="185"/>
      <c r="C414" s="186"/>
      <c r="D414" s="186"/>
      <c r="E414" s="185"/>
      <c r="F414" s="186"/>
      <c r="G414" s="187"/>
      <c r="H414" s="185"/>
      <c r="I414" s="187"/>
      <c r="J414" s="185"/>
    </row>
    <row r="415" customFormat="false" ht="15" hidden="false" customHeight="true" outlineLevel="0" collapsed="false">
      <c r="A415" s="184" t="str">
        <f aca="false">IF(B415&lt;&gt;"",ROW()-3,"")</f>
        <v/>
      </c>
      <c r="B415" s="185"/>
      <c r="C415" s="186"/>
      <c r="D415" s="186"/>
      <c r="E415" s="185"/>
      <c r="F415" s="186"/>
      <c r="G415" s="187"/>
      <c r="H415" s="185"/>
      <c r="I415" s="187"/>
      <c r="J415" s="185"/>
    </row>
    <row r="416" customFormat="false" ht="15" hidden="false" customHeight="true" outlineLevel="0" collapsed="false">
      <c r="A416" s="184" t="str">
        <f aca="false">IF(B416&lt;&gt;"",ROW()-3,"")</f>
        <v/>
      </c>
      <c r="B416" s="185"/>
      <c r="C416" s="186"/>
      <c r="D416" s="186"/>
      <c r="E416" s="185"/>
      <c r="F416" s="186"/>
      <c r="G416" s="187"/>
      <c r="H416" s="185"/>
      <c r="I416" s="187"/>
      <c r="J416" s="185"/>
    </row>
    <row r="417" customFormat="false" ht="15" hidden="false" customHeight="true" outlineLevel="0" collapsed="false">
      <c r="A417" s="184" t="str">
        <f aca="false">IF(B417&lt;&gt;"",ROW()-3,"")</f>
        <v/>
      </c>
      <c r="B417" s="185"/>
      <c r="C417" s="186"/>
      <c r="D417" s="186"/>
      <c r="E417" s="185"/>
      <c r="F417" s="186"/>
      <c r="G417" s="187"/>
      <c r="H417" s="185"/>
      <c r="I417" s="187"/>
      <c r="J417" s="185"/>
    </row>
    <row r="418" customFormat="false" ht="15" hidden="false" customHeight="true" outlineLevel="0" collapsed="false">
      <c r="A418" s="184" t="str">
        <f aca="false">IF(B418&lt;&gt;"",ROW()-3,"")</f>
        <v/>
      </c>
      <c r="B418" s="185"/>
      <c r="C418" s="186"/>
      <c r="D418" s="186"/>
      <c r="E418" s="185"/>
      <c r="F418" s="186"/>
      <c r="G418" s="187"/>
      <c r="H418" s="185"/>
      <c r="I418" s="187"/>
      <c r="J418" s="185"/>
    </row>
    <row r="419" customFormat="false" ht="15" hidden="false" customHeight="true" outlineLevel="0" collapsed="false">
      <c r="A419" s="184" t="str">
        <f aca="false">IF(B419&lt;&gt;"",ROW()-3,"")</f>
        <v/>
      </c>
      <c r="B419" s="185"/>
      <c r="C419" s="186"/>
      <c r="D419" s="186"/>
      <c r="E419" s="185"/>
      <c r="F419" s="186"/>
      <c r="G419" s="187"/>
      <c r="H419" s="185"/>
      <c r="I419" s="187"/>
      <c r="J419" s="185"/>
    </row>
    <row r="420" customFormat="false" ht="15" hidden="false" customHeight="true" outlineLevel="0" collapsed="false">
      <c r="A420" s="184" t="str">
        <f aca="false">IF(B420&lt;&gt;"",ROW()-3,"")</f>
        <v/>
      </c>
      <c r="B420" s="185"/>
      <c r="C420" s="186"/>
      <c r="D420" s="186"/>
      <c r="E420" s="185"/>
      <c r="F420" s="186"/>
      <c r="G420" s="187"/>
      <c r="H420" s="185"/>
      <c r="I420" s="187"/>
      <c r="J420" s="185"/>
    </row>
    <row r="421" customFormat="false" ht="15" hidden="false" customHeight="true" outlineLevel="0" collapsed="false">
      <c r="A421" s="184" t="str">
        <f aca="false">IF(B421&lt;&gt;"",ROW()-3,"")</f>
        <v/>
      </c>
      <c r="B421" s="185"/>
      <c r="C421" s="186"/>
      <c r="D421" s="186"/>
      <c r="E421" s="185"/>
      <c r="F421" s="186"/>
      <c r="G421" s="187"/>
      <c r="H421" s="185"/>
      <c r="I421" s="187"/>
      <c r="J421" s="185"/>
    </row>
    <row r="422" customFormat="false" ht="15" hidden="false" customHeight="true" outlineLevel="0" collapsed="false">
      <c r="A422" s="184" t="str">
        <f aca="false">IF(B422&lt;&gt;"",ROW()-3,"")</f>
        <v/>
      </c>
      <c r="B422" s="185"/>
      <c r="C422" s="186"/>
      <c r="D422" s="186"/>
      <c r="E422" s="185"/>
      <c r="F422" s="186"/>
      <c r="G422" s="187"/>
      <c r="H422" s="185"/>
      <c r="I422" s="187"/>
      <c r="J422" s="185"/>
    </row>
    <row r="423" customFormat="false" ht="15" hidden="false" customHeight="true" outlineLevel="0" collapsed="false">
      <c r="A423" s="184" t="str">
        <f aca="false">IF(B423&lt;&gt;"",ROW()-3,"")</f>
        <v/>
      </c>
      <c r="B423" s="185"/>
      <c r="C423" s="186"/>
      <c r="D423" s="186"/>
      <c r="E423" s="185"/>
      <c r="F423" s="186"/>
      <c r="G423" s="187"/>
      <c r="H423" s="185"/>
      <c r="I423" s="187"/>
      <c r="J423" s="185"/>
    </row>
    <row r="424" customFormat="false" ht="15" hidden="false" customHeight="true" outlineLevel="0" collapsed="false">
      <c r="A424" s="184" t="str">
        <f aca="false">IF(B424&lt;&gt;"",ROW()-3,"")</f>
        <v/>
      </c>
      <c r="B424" s="185"/>
      <c r="C424" s="186"/>
      <c r="D424" s="186"/>
      <c r="E424" s="185"/>
      <c r="F424" s="186"/>
      <c r="G424" s="187"/>
      <c r="H424" s="185"/>
      <c r="I424" s="187"/>
      <c r="J424" s="185"/>
    </row>
    <row r="425" customFormat="false" ht="15" hidden="false" customHeight="true" outlineLevel="0" collapsed="false">
      <c r="A425" s="184" t="str">
        <f aca="false">IF(B425&lt;&gt;"",ROW()-3,"")</f>
        <v/>
      </c>
      <c r="B425" s="185"/>
      <c r="C425" s="186"/>
      <c r="D425" s="186"/>
      <c r="E425" s="185"/>
      <c r="F425" s="186"/>
      <c r="G425" s="187"/>
      <c r="H425" s="185"/>
      <c r="I425" s="187"/>
      <c r="J425" s="185"/>
    </row>
    <row r="426" customFormat="false" ht="15" hidden="false" customHeight="true" outlineLevel="0" collapsed="false">
      <c r="A426" s="184" t="str">
        <f aca="false">IF(B426&lt;&gt;"",ROW()-3,"")</f>
        <v/>
      </c>
      <c r="B426" s="185"/>
      <c r="C426" s="186"/>
      <c r="D426" s="186"/>
      <c r="E426" s="185"/>
      <c r="F426" s="186"/>
      <c r="G426" s="187"/>
      <c r="H426" s="185"/>
      <c r="I426" s="187"/>
      <c r="J426" s="185"/>
    </row>
    <row r="427" customFormat="false" ht="15" hidden="false" customHeight="true" outlineLevel="0" collapsed="false">
      <c r="A427" s="184" t="str">
        <f aca="false">IF(B427&lt;&gt;"",ROW()-3,"")</f>
        <v/>
      </c>
      <c r="B427" s="185"/>
      <c r="C427" s="186"/>
      <c r="D427" s="186"/>
      <c r="E427" s="185"/>
      <c r="F427" s="186"/>
      <c r="G427" s="187"/>
      <c r="H427" s="185"/>
      <c r="I427" s="187"/>
      <c r="J427" s="185"/>
    </row>
    <row r="428" customFormat="false" ht="15" hidden="false" customHeight="true" outlineLevel="0" collapsed="false">
      <c r="A428" s="184" t="str">
        <f aca="false">IF(B428&lt;&gt;"",ROW()-3,"")</f>
        <v/>
      </c>
      <c r="B428" s="185"/>
      <c r="C428" s="186"/>
      <c r="D428" s="186"/>
      <c r="E428" s="185"/>
      <c r="F428" s="186"/>
      <c r="G428" s="187"/>
      <c r="H428" s="185"/>
      <c r="I428" s="187"/>
      <c r="J428" s="185"/>
    </row>
    <row r="429" customFormat="false" ht="15" hidden="false" customHeight="true" outlineLevel="0" collapsed="false">
      <c r="A429" s="184" t="str">
        <f aca="false">IF(B429&lt;&gt;"",ROW()-3,"")</f>
        <v/>
      </c>
      <c r="B429" s="185"/>
      <c r="C429" s="186"/>
      <c r="D429" s="186"/>
      <c r="E429" s="185"/>
      <c r="F429" s="186"/>
      <c r="G429" s="187"/>
      <c r="H429" s="185"/>
      <c r="I429" s="187"/>
      <c r="J429" s="185"/>
    </row>
    <row r="430" customFormat="false" ht="15" hidden="false" customHeight="true" outlineLevel="0" collapsed="false">
      <c r="A430" s="184" t="str">
        <f aca="false">IF(B430&lt;&gt;"",ROW()-3,"")</f>
        <v/>
      </c>
      <c r="B430" s="185"/>
      <c r="C430" s="186"/>
      <c r="D430" s="186"/>
      <c r="E430" s="185"/>
      <c r="F430" s="186"/>
      <c r="G430" s="187"/>
      <c r="H430" s="185"/>
      <c r="I430" s="187"/>
      <c r="J430" s="185"/>
    </row>
    <row r="431" customFormat="false" ht="15" hidden="false" customHeight="true" outlineLevel="0" collapsed="false">
      <c r="A431" s="184" t="str">
        <f aca="false">IF(B431&lt;&gt;"",ROW()-3,"")</f>
        <v/>
      </c>
      <c r="B431" s="185"/>
      <c r="C431" s="186"/>
      <c r="D431" s="186"/>
      <c r="E431" s="185"/>
      <c r="F431" s="186"/>
      <c r="G431" s="187"/>
      <c r="H431" s="185"/>
      <c r="I431" s="187"/>
      <c r="J431" s="185"/>
    </row>
    <row r="432" customFormat="false" ht="15" hidden="false" customHeight="true" outlineLevel="0" collapsed="false">
      <c r="A432" s="184" t="str">
        <f aca="false">IF(B432&lt;&gt;"",ROW()-3,"")</f>
        <v/>
      </c>
      <c r="B432" s="185"/>
      <c r="C432" s="186"/>
      <c r="D432" s="186"/>
      <c r="E432" s="185"/>
      <c r="F432" s="186"/>
      <c r="G432" s="187"/>
      <c r="H432" s="185"/>
      <c r="I432" s="187"/>
      <c r="J432" s="185"/>
    </row>
    <row r="433" customFormat="false" ht="15" hidden="false" customHeight="true" outlineLevel="0" collapsed="false">
      <c r="A433" s="184" t="str">
        <f aca="false">IF(B433&lt;&gt;"",ROW()-3,"")</f>
        <v/>
      </c>
      <c r="B433" s="185"/>
      <c r="C433" s="186"/>
      <c r="D433" s="186"/>
      <c r="E433" s="185"/>
      <c r="F433" s="186"/>
      <c r="G433" s="187"/>
      <c r="H433" s="185"/>
      <c r="I433" s="187"/>
      <c r="J433" s="185"/>
    </row>
    <row r="434" customFormat="false" ht="15" hidden="false" customHeight="true" outlineLevel="0" collapsed="false">
      <c r="A434" s="184" t="str">
        <f aca="false">IF(B434&lt;&gt;"",ROW()-3,"")</f>
        <v/>
      </c>
      <c r="B434" s="185"/>
      <c r="C434" s="186"/>
      <c r="D434" s="186"/>
      <c r="E434" s="185"/>
      <c r="F434" s="186"/>
      <c r="G434" s="187"/>
      <c r="H434" s="185"/>
      <c r="I434" s="187"/>
      <c r="J434" s="185"/>
    </row>
    <row r="435" customFormat="false" ht="15" hidden="false" customHeight="true" outlineLevel="0" collapsed="false">
      <c r="A435" s="184" t="str">
        <f aca="false">IF(B435&lt;&gt;"",ROW()-3,"")</f>
        <v/>
      </c>
      <c r="B435" s="185"/>
      <c r="C435" s="186"/>
      <c r="D435" s="186"/>
      <c r="E435" s="185"/>
      <c r="F435" s="186"/>
      <c r="G435" s="187"/>
      <c r="H435" s="185"/>
      <c r="I435" s="187"/>
      <c r="J435" s="185"/>
    </row>
    <row r="436" customFormat="false" ht="15" hidden="false" customHeight="true" outlineLevel="0" collapsed="false">
      <c r="A436" s="184" t="str">
        <f aca="false">IF(B436&lt;&gt;"",ROW()-3,"")</f>
        <v/>
      </c>
      <c r="B436" s="185"/>
      <c r="C436" s="186"/>
      <c r="D436" s="186"/>
      <c r="E436" s="185"/>
      <c r="F436" s="186"/>
      <c r="G436" s="187"/>
      <c r="H436" s="185"/>
      <c r="I436" s="187"/>
      <c r="J436" s="185"/>
    </row>
    <row r="437" customFormat="false" ht="15" hidden="false" customHeight="true" outlineLevel="0" collapsed="false">
      <c r="A437" s="184" t="str">
        <f aca="false">IF(B437&lt;&gt;"",ROW()-3,"")</f>
        <v/>
      </c>
      <c r="B437" s="185"/>
      <c r="C437" s="186"/>
      <c r="D437" s="186"/>
      <c r="E437" s="185"/>
      <c r="F437" s="186"/>
      <c r="G437" s="187"/>
      <c r="H437" s="185"/>
      <c r="I437" s="187"/>
      <c r="J437" s="185"/>
    </row>
    <row r="438" customFormat="false" ht="15" hidden="false" customHeight="true" outlineLevel="0" collapsed="false">
      <c r="A438" s="184" t="str">
        <f aca="false">IF(B438&lt;&gt;"",ROW()-3,"")</f>
        <v/>
      </c>
      <c r="B438" s="185"/>
      <c r="C438" s="186"/>
      <c r="D438" s="186"/>
      <c r="E438" s="185"/>
      <c r="F438" s="186"/>
      <c r="G438" s="187"/>
      <c r="H438" s="185"/>
      <c r="I438" s="187"/>
      <c r="J438" s="185"/>
    </row>
    <row r="439" customFormat="false" ht="15" hidden="false" customHeight="true" outlineLevel="0" collapsed="false">
      <c r="A439" s="184" t="str">
        <f aca="false">IF(B439&lt;&gt;"",ROW()-3,"")</f>
        <v/>
      </c>
      <c r="B439" s="185"/>
      <c r="C439" s="186"/>
      <c r="D439" s="186"/>
      <c r="E439" s="185"/>
      <c r="F439" s="186"/>
      <c r="G439" s="187"/>
      <c r="H439" s="185"/>
      <c r="I439" s="187"/>
      <c r="J439" s="185"/>
    </row>
    <row r="440" customFormat="false" ht="15" hidden="false" customHeight="true" outlineLevel="0" collapsed="false">
      <c r="A440" s="184" t="str">
        <f aca="false">IF(B440&lt;&gt;"",ROW()-3,"")</f>
        <v/>
      </c>
      <c r="B440" s="185"/>
      <c r="C440" s="186"/>
      <c r="D440" s="186"/>
      <c r="E440" s="185"/>
      <c r="F440" s="186"/>
      <c r="G440" s="187"/>
      <c r="H440" s="185"/>
      <c r="I440" s="187"/>
      <c r="J440" s="185"/>
    </row>
    <row r="441" customFormat="false" ht="15" hidden="false" customHeight="true" outlineLevel="0" collapsed="false">
      <c r="A441" s="184" t="str">
        <f aca="false">IF(B441&lt;&gt;"",ROW()-3,"")</f>
        <v/>
      </c>
      <c r="B441" s="185"/>
      <c r="C441" s="186"/>
      <c r="D441" s="186"/>
      <c r="E441" s="185"/>
      <c r="F441" s="186"/>
      <c r="G441" s="187"/>
      <c r="H441" s="185"/>
      <c r="I441" s="187"/>
      <c r="J441" s="185"/>
    </row>
    <row r="442" customFormat="false" ht="15" hidden="false" customHeight="true" outlineLevel="0" collapsed="false">
      <c r="A442" s="184" t="str">
        <f aca="false">IF(B442&lt;&gt;"",ROW()-3,"")</f>
        <v/>
      </c>
      <c r="B442" s="185"/>
      <c r="C442" s="186"/>
      <c r="D442" s="186"/>
      <c r="E442" s="185"/>
      <c r="F442" s="186"/>
      <c r="G442" s="187"/>
      <c r="H442" s="185"/>
      <c r="I442" s="187"/>
      <c r="J442" s="185"/>
    </row>
    <row r="443" customFormat="false" ht="15" hidden="false" customHeight="true" outlineLevel="0" collapsed="false">
      <c r="A443" s="184" t="str">
        <f aca="false">IF(B443&lt;&gt;"",ROW()-3,"")</f>
        <v/>
      </c>
      <c r="B443" s="185"/>
      <c r="C443" s="186"/>
      <c r="D443" s="186"/>
      <c r="E443" s="185"/>
      <c r="F443" s="186"/>
      <c r="G443" s="187"/>
      <c r="H443" s="185"/>
      <c r="I443" s="187"/>
      <c r="J443" s="185"/>
    </row>
    <row r="444" customFormat="false" ht="15" hidden="false" customHeight="true" outlineLevel="0" collapsed="false">
      <c r="A444" s="184" t="str">
        <f aca="false">IF(B444&lt;&gt;"",ROW()-3,"")</f>
        <v/>
      </c>
      <c r="B444" s="185"/>
      <c r="C444" s="186"/>
      <c r="D444" s="186"/>
      <c r="E444" s="185"/>
      <c r="F444" s="186"/>
      <c r="G444" s="187"/>
      <c r="H444" s="185"/>
      <c r="I444" s="187"/>
      <c r="J444" s="185"/>
    </row>
    <row r="445" customFormat="false" ht="15" hidden="false" customHeight="true" outlineLevel="0" collapsed="false">
      <c r="A445" s="184" t="str">
        <f aca="false">IF(B445&lt;&gt;"",ROW()-3,"")</f>
        <v/>
      </c>
      <c r="B445" s="185"/>
      <c r="C445" s="186"/>
      <c r="D445" s="186"/>
      <c r="E445" s="185"/>
      <c r="F445" s="186"/>
      <c r="G445" s="187"/>
      <c r="H445" s="185"/>
      <c r="I445" s="187"/>
      <c r="J445" s="185"/>
    </row>
    <row r="446" customFormat="false" ht="15" hidden="false" customHeight="true" outlineLevel="0" collapsed="false">
      <c r="A446" s="184" t="str">
        <f aca="false">IF(B446&lt;&gt;"",ROW()-3,"")</f>
        <v/>
      </c>
      <c r="B446" s="185"/>
      <c r="C446" s="186"/>
      <c r="D446" s="186"/>
      <c r="E446" s="185"/>
      <c r="F446" s="186"/>
      <c r="G446" s="187"/>
      <c r="H446" s="185"/>
      <c r="I446" s="187"/>
      <c r="J446" s="185"/>
    </row>
    <row r="447" customFormat="false" ht="15" hidden="false" customHeight="true" outlineLevel="0" collapsed="false">
      <c r="A447" s="184" t="str">
        <f aca="false">IF(B447&lt;&gt;"",ROW()-3,"")</f>
        <v/>
      </c>
      <c r="B447" s="185"/>
      <c r="C447" s="186"/>
      <c r="D447" s="186"/>
      <c r="E447" s="185"/>
      <c r="F447" s="186"/>
      <c r="G447" s="187"/>
      <c r="H447" s="185"/>
      <c r="I447" s="187"/>
      <c r="J447" s="185"/>
    </row>
    <row r="448" customFormat="false" ht="15" hidden="false" customHeight="true" outlineLevel="0" collapsed="false">
      <c r="A448" s="184" t="str">
        <f aca="false">IF(B448&lt;&gt;"",ROW()-3,"")</f>
        <v/>
      </c>
      <c r="B448" s="185"/>
      <c r="C448" s="186"/>
      <c r="D448" s="186"/>
      <c r="E448" s="185"/>
      <c r="F448" s="186"/>
      <c r="G448" s="187"/>
      <c r="H448" s="185"/>
      <c r="I448" s="187"/>
      <c r="J448" s="185"/>
    </row>
    <row r="449" customFormat="false" ht="15" hidden="false" customHeight="true" outlineLevel="0" collapsed="false">
      <c r="A449" s="184" t="str">
        <f aca="false">IF(B449&lt;&gt;"",ROW()-3,"")</f>
        <v/>
      </c>
      <c r="B449" s="185"/>
      <c r="C449" s="186"/>
      <c r="D449" s="186"/>
      <c r="E449" s="185"/>
      <c r="F449" s="186"/>
      <c r="G449" s="187"/>
      <c r="H449" s="185"/>
      <c r="I449" s="187"/>
      <c r="J449" s="185"/>
    </row>
    <row r="450" customFormat="false" ht="15" hidden="false" customHeight="true" outlineLevel="0" collapsed="false">
      <c r="A450" s="184" t="str">
        <f aca="false">IF(B450&lt;&gt;"",ROW()-3,"")</f>
        <v/>
      </c>
      <c r="B450" s="185"/>
      <c r="C450" s="186"/>
      <c r="D450" s="186"/>
      <c r="E450" s="185"/>
      <c r="F450" s="186"/>
      <c r="G450" s="187"/>
      <c r="H450" s="185"/>
      <c r="I450" s="187"/>
      <c r="J450" s="185"/>
    </row>
    <row r="451" customFormat="false" ht="15" hidden="false" customHeight="true" outlineLevel="0" collapsed="false">
      <c r="A451" s="184" t="str">
        <f aca="false">IF(B451&lt;&gt;"",ROW()-3,"")</f>
        <v/>
      </c>
      <c r="B451" s="185"/>
      <c r="C451" s="186"/>
      <c r="D451" s="186"/>
      <c r="E451" s="185"/>
      <c r="F451" s="186"/>
      <c r="G451" s="187"/>
      <c r="H451" s="185"/>
      <c r="I451" s="187"/>
      <c r="J451" s="185"/>
    </row>
    <row r="452" customFormat="false" ht="15" hidden="false" customHeight="true" outlineLevel="0" collapsed="false">
      <c r="A452" s="184" t="str">
        <f aca="false">IF(B452&lt;&gt;"",ROW()-3,"")</f>
        <v/>
      </c>
      <c r="B452" s="185"/>
      <c r="C452" s="186"/>
      <c r="D452" s="186"/>
      <c r="E452" s="185"/>
      <c r="F452" s="186"/>
      <c r="G452" s="187"/>
      <c r="H452" s="185"/>
      <c r="I452" s="187"/>
      <c r="J452" s="185"/>
    </row>
    <row r="453" customFormat="false" ht="15" hidden="false" customHeight="true" outlineLevel="0" collapsed="false">
      <c r="A453" s="184" t="str">
        <f aca="false">IF(B453&lt;&gt;"",ROW()-3,"")</f>
        <v/>
      </c>
      <c r="B453" s="185"/>
      <c r="C453" s="186"/>
      <c r="D453" s="186"/>
      <c r="E453" s="185"/>
      <c r="F453" s="186"/>
      <c r="G453" s="187"/>
      <c r="H453" s="185"/>
      <c r="I453" s="187"/>
      <c r="J453" s="185"/>
    </row>
    <row r="454" customFormat="false" ht="15" hidden="false" customHeight="true" outlineLevel="0" collapsed="false">
      <c r="A454" s="184" t="str">
        <f aca="false">IF(B454&lt;&gt;"",ROW()-3,"")</f>
        <v/>
      </c>
      <c r="B454" s="185"/>
      <c r="C454" s="186"/>
      <c r="D454" s="186"/>
      <c r="E454" s="185"/>
      <c r="F454" s="186"/>
      <c r="G454" s="187"/>
      <c r="H454" s="185"/>
      <c r="I454" s="187"/>
      <c r="J454" s="185"/>
    </row>
    <row r="455" customFormat="false" ht="15" hidden="false" customHeight="true" outlineLevel="0" collapsed="false">
      <c r="A455" s="184" t="str">
        <f aca="false">IF(B455&lt;&gt;"",ROW()-3,"")</f>
        <v/>
      </c>
      <c r="B455" s="185"/>
      <c r="C455" s="186"/>
      <c r="D455" s="186"/>
      <c r="E455" s="185"/>
      <c r="F455" s="186"/>
      <c r="G455" s="187"/>
      <c r="H455" s="185"/>
      <c r="I455" s="187"/>
      <c r="J455" s="185"/>
    </row>
    <row r="456" customFormat="false" ht="15" hidden="false" customHeight="true" outlineLevel="0" collapsed="false">
      <c r="A456" s="184" t="str">
        <f aca="false">IF(B456&lt;&gt;"",ROW()-3,"")</f>
        <v/>
      </c>
      <c r="B456" s="185"/>
      <c r="C456" s="186"/>
      <c r="D456" s="186"/>
      <c r="E456" s="185"/>
      <c r="F456" s="186"/>
      <c r="G456" s="187"/>
      <c r="H456" s="185"/>
      <c r="I456" s="187"/>
      <c r="J456" s="185"/>
    </row>
    <row r="457" customFormat="false" ht="15" hidden="false" customHeight="true" outlineLevel="0" collapsed="false">
      <c r="A457" s="184" t="str">
        <f aca="false">IF(B457&lt;&gt;"",ROW()-3,"")</f>
        <v/>
      </c>
      <c r="B457" s="185"/>
      <c r="C457" s="186"/>
      <c r="D457" s="186"/>
      <c r="E457" s="185"/>
      <c r="F457" s="186"/>
      <c r="G457" s="187"/>
      <c r="H457" s="185"/>
      <c r="I457" s="187"/>
      <c r="J457" s="185"/>
    </row>
    <row r="458" customFormat="false" ht="15" hidden="false" customHeight="true" outlineLevel="0" collapsed="false">
      <c r="A458" s="184" t="str">
        <f aca="false">IF(B458&lt;&gt;"",ROW()-3,"")</f>
        <v/>
      </c>
      <c r="B458" s="185"/>
      <c r="C458" s="186"/>
      <c r="D458" s="186"/>
      <c r="E458" s="185"/>
      <c r="F458" s="186"/>
      <c r="G458" s="187"/>
      <c r="H458" s="185"/>
      <c r="I458" s="187"/>
      <c r="J458" s="185"/>
    </row>
    <row r="459" customFormat="false" ht="15" hidden="false" customHeight="true" outlineLevel="0" collapsed="false">
      <c r="A459" s="184" t="str">
        <f aca="false">IF(B459&lt;&gt;"",ROW()-3,"")</f>
        <v/>
      </c>
      <c r="B459" s="185"/>
      <c r="C459" s="186"/>
      <c r="D459" s="186"/>
      <c r="E459" s="185"/>
      <c r="F459" s="186"/>
      <c r="G459" s="187"/>
      <c r="H459" s="185"/>
      <c r="I459" s="187"/>
      <c r="J459" s="185"/>
    </row>
    <row r="460" customFormat="false" ht="15" hidden="false" customHeight="true" outlineLevel="0" collapsed="false">
      <c r="A460" s="184" t="str">
        <f aca="false">IF(B460&lt;&gt;"",ROW()-3,"")</f>
        <v/>
      </c>
      <c r="B460" s="185"/>
      <c r="C460" s="186"/>
      <c r="D460" s="186"/>
      <c r="E460" s="185"/>
      <c r="F460" s="186"/>
      <c r="G460" s="187"/>
      <c r="H460" s="185"/>
      <c r="I460" s="187"/>
      <c r="J460" s="185"/>
    </row>
    <row r="461" customFormat="false" ht="15" hidden="false" customHeight="true" outlineLevel="0" collapsed="false">
      <c r="A461" s="184" t="str">
        <f aca="false">IF(B461&lt;&gt;"",ROW()-3,"")</f>
        <v/>
      </c>
      <c r="B461" s="185"/>
      <c r="C461" s="186"/>
      <c r="D461" s="186"/>
      <c r="E461" s="185"/>
      <c r="F461" s="186"/>
      <c r="G461" s="187"/>
      <c r="H461" s="185"/>
      <c r="I461" s="187"/>
      <c r="J461" s="185"/>
    </row>
    <row r="462" customFormat="false" ht="15" hidden="false" customHeight="true" outlineLevel="0" collapsed="false">
      <c r="A462" s="184" t="str">
        <f aca="false">IF(B462&lt;&gt;"",ROW()-3,"")</f>
        <v/>
      </c>
      <c r="B462" s="185"/>
      <c r="C462" s="186"/>
      <c r="D462" s="186"/>
      <c r="E462" s="185"/>
      <c r="F462" s="186"/>
      <c r="G462" s="187"/>
      <c r="H462" s="185"/>
      <c r="I462" s="187"/>
      <c r="J462" s="185"/>
    </row>
    <row r="463" customFormat="false" ht="15" hidden="false" customHeight="true" outlineLevel="0" collapsed="false">
      <c r="A463" s="184" t="str">
        <f aca="false">IF(B463&lt;&gt;"",ROW()-3,"")</f>
        <v/>
      </c>
      <c r="B463" s="185"/>
      <c r="C463" s="186"/>
      <c r="D463" s="186"/>
      <c r="E463" s="185"/>
      <c r="F463" s="186"/>
      <c r="G463" s="187"/>
      <c r="H463" s="185"/>
      <c r="I463" s="187"/>
      <c r="J463" s="185"/>
    </row>
    <row r="464" customFormat="false" ht="15" hidden="false" customHeight="true" outlineLevel="0" collapsed="false">
      <c r="A464" s="184" t="str">
        <f aca="false">IF(B464&lt;&gt;"",ROW()-3,"")</f>
        <v/>
      </c>
      <c r="B464" s="185"/>
      <c r="C464" s="186"/>
      <c r="D464" s="186"/>
      <c r="E464" s="185"/>
      <c r="F464" s="186"/>
      <c r="G464" s="187"/>
      <c r="H464" s="185"/>
      <c r="I464" s="187"/>
      <c r="J464" s="185"/>
    </row>
    <row r="465" customFormat="false" ht="15" hidden="false" customHeight="true" outlineLevel="0" collapsed="false">
      <c r="A465" s="184" t="str">
        <f aca="false">IF(B465&lt;&gt;"",ROW()-3,"")</f>
        <v/>
      </c>
      <c r="B465" s="185"/>
      <c r="C465" s="186"/>
      <c r="D465" s="186"/>
      <c r="E465" s="185"/>
      <c r="F465" s="186"/>
      <c r="G465" s="187"/>
      <c r="H465" s="185"/>
      <c r="I465" s="187"/>
      <c r="J465" s="185"/>
    </row>
    <row r="466" customFormat="false" ht="15" hidden="false" customHeight="true" outlineLevel="0" collapsed="false">
      <c r="A466" s="184" t="str">
        <f aca="false">IF(B466&lt;&gt;"",ROW()-3,"")</f>
        <v/>
      </c>
      <c r="B466" s="185"/>
      <c r="C466" s="186"/>
      <c r="D466" s="186"/>
      <c r="E466" s="185"/>
      <c r="F466" s="186"/>
      <c r="G466" s="187"/>
      <c r="H466" s="185"/>
      <c r="I466" s="187"/>
      <c r="J466" s="185"/>
    </row>
    <row r="467" customFormat="false" ht="15" hidden="false" customHeight="true" outlineLevel="0" collapsed="false">
      <c r="A467" s="184" t="str">
        <f aca="false">IF(B467&lt;&gt;"",ROW()-3,"")</f>
        <v/>
      </c>
      <c r="B467" s="185"/>
      <c r="C467" s="186"/>
      <c r="D467" s="186"/>
      <c r="E467" s="185"/>
      <c r="F467" s="186"/>
      <c r="G467" s="187"/>
      <c r="H467" s="185"/>
      <c r="I467" s="187"/>
      <c r="J467" s="185"/>
    </row>
    <row r="468" customFormat="false" ht="15" hidden="false" customHeight="true" outlineLevel="0" collapsed="false">
      <c r="A468" s="184" t="str">
        <f aca="false">IF(B468&lt;&gt;"",ROW()-3,"")</f>
        <v/>
      </c>
      <c r="B468" s="185"/>
      <c r="C468" s="186"/>
      <c r="D468" s="186"/>
      <c r="E468" s="185"/>
      <c r="F468" s="186"/>
      <c r="G468" s="187"/>
      <c r="H468" s="185"/>
      <c r="I468" s="187"/>
      <c r="J468" s="185"/>
    </row>
    <row r="469" customFormat="false" ht="15" hidden="false" customHeight="true" outlineLevel="0" collapsed="false">
      <c r="A469" s="184" t="str">
        <f aca="false">IF(B469&lt;&gt;"",ROW()-3,"")</f>
        <v/>
      </c>
      <c r="B469" s="185"/>
      <c r="C469" s="186"/>
      <c r="D469" s="186"/>
      <c r="E469" s="185"/>
      <c r="F469" s="186"/>
      <c r="G469" s="187"/>
      <c r="H469" s="185"/>
      <c r="I469" s="187"/>
      <c r="J469" s="185"/>
    </row>
    <row r="470" customFormat="false" ht="15" hidden="false" customHeight="true" outlineLevel="0" collapsed="false">
      <c r="A470" s="184" t="str">
        <f aca="false">IF(B470&lt;&gt;"",ROW()-3,"")</f>
        <v/>
      </c>
      <c r="B470" s="185"/>
      <c r="C470" s="186"/>
      <c r="D470" s="186"/>
      <c r="E470" s="185"/>
      <c r="F470" s="186"/>
      <c r="G470" s="187"/>
      <c r="H470" s="185"/>
      <c r="I470" s="187"/>
      <c r="J470" s="185"/>
    </row>
    <row r="471" customFormat="false" ht="15" hidden="false" customHeight="true" outlineLevel="0" collapsed="false">
      <c r="A471" s="184" t="str">
        <f aca="false">IF(B471&lt;&gt;"",ROW()-3,"")</f>
        <v/>
      </c>
      <c r="B471" s="185"/>
      <c r="C471" s="186"/>
      <c r="D471" s="186"/>
      <c r="E471" s="185"/>
      <c r="F471" s="186"/>
      <c r="G471" s="187"/>
      <c r="H471" s="185"/>
      <c r="I471" s="187"/>
      <c r="J471" s="185"/>
    </row>
    <row r="472" customFormat="false" ht="15" hidden="false" customHeight="true" outlineLevel="0" collapsed="false">
      <c r="A472" s="184" t="str">
        <f aca="false">IF(B472&lt;&gt;"",ROW()-3,"")</f>
        <v/>
      </c>
      <c r="B472" s="185"/>
      <c r="C472" s="186"/>
      <c r="D472" s="186"/>
      <c r="E472" s="185"/>
      <c r="F472" s="186"/>
      <c r="G472" s="187"/>
      <c r="H472" s="185"/>
      <c r="I472" s="187"/>
      <c r="J472" s="185"/>
    </row>
    <row r="473" customFormat="false" ht="15" hidden="false" customHeight="true" outlineLevel="0" collapsed="false">
      <c r="A473" s="184" t="str">
        <f aca="false">IF(B473&lt;&gt;"",ROW()-3,"")</f>
        <v/>
      </c>
      <c r="B473" s="185"/>
      <c r="C473" s="186"/>
      <c r="D473" s="186"/>
      <c r="E473" s="185"/>
      <c r="F473" s="186"/>
      <c r="G473" s="187"/>
      <c r="H473" s="185"/>
      <c r="I473" s="187"/>
      <c r="J473" s="185"/>
    </row>
    <row r="474" customFormat="false" ht="15" hidden="false" customHeight="true" outlineLevel="0" collapsed="false">
      <c r="A474" s="184" t="str">
        <f aca="false">IF(B474&lt;&gt;"",ROW()-3,"")</f>
        <v/>
      </c>
      <c r="B474" s="185"/>
      <c r="C474" s="186"/>
      <c r="D474" s="186"/>
      <c r="E474" s="185"/>
      <c r="F474" s="186"/>
      <c r="G474" s="187"/>
      <c r="H474" s="185"/>
      <c r="I474" s="187"/>
      <c r="J474" s="185"/>
    </row>
    <row r="475" customFormat="false" ht="15" hidden="false" customHeight="true" outlineLevel="0" collapsed="false">
      <c r="A475" s="184" t="str">
        <f aca="false">IF(B475&lt;&gt;"",ROW()-3,"")</f>
        <v/>
      </c>
      <c r="B475" s="185"/>
      <c r="C475" s="186"/>
      <c r="D475" s="186"/>
      <c r="E475" s="185"/>
      <c r="F475" s="186"/>
      <c r="G475" s="187"/>
      <c r="H475" s="185"/>
      <c r="I475" s="187"/>
      <c r="J475" s="185"/>
    </row>
    <row r="476" customFormat="false" ht="15" hidden="false" customHeight="true" outlineLevel="0" collapsed="false">
      <c r="A476" s="184" t="str">
        <f aca="false">IF(B476&lt;&gt;"",ROW()-3,"")</f>
        <v/>
      </c>
      <c r="B476" s="185"/>
      <c r="C476" s="186"/>
      <c r="D476" s="186"/>
      <c r="E476" s="185"/>
      <c r="F476" s="186"/>
      <c r="G476" s="187"/>
      <c r="H476" s="185"/>
      <c r="I476" s="187"/>
      <c r="J476" s="185"/>
    </row>
    <row r="477" customFormat="false" ht="15" hidden="false" customHeight="true" outlineLevel="0" collapsed="false">
      <c r="A477" s="184" t="str">
        <f aca="false">IF(B477&lt;&gt;"",ROW()-3,"")</f>
        <v/>
      </c>
      <c r="B477" s="185"/>
      <c r="C477" s="186"/>
      <c r="D477" s="186"/>
      <c r="E477" s="185"/>
      <c r="F477" s="186"/>
      <c r="G477" s="187"/>
      <c r="H477" s="185"/>
      <c r="I477" s="187"/>
      <c r="J477" s="185"/>
    </row>
    <row r="478" customFormat="false" ht="15" hidden="false" customHeight="true" outlineLevel="0" collapsed="false">
      <c r="A478" s="184" t="str">
        <f aca="false">IF(B478&lt;&gt;"",ROW()-3,"")</f>
        <v/>
      </c>
      <c r="B478" s="185"/>
      <c r="C478" s="186"/>
      <c r="D478" s="186"/>
      <c r="E478" s="185"/>
      <c r="F478" s="186"/>
      <c r="G478" s="187"/>
      <c r="H478" s="185"/>
      <c r="I478" s="187"/>
      <c r="J478" s="185"/>
    </row>
    <row r="479" customFormat="false" ht="15" hidden="false" customHeight="true" outlineLevel="0" collapsed="false">
      <c r="A479" s="184" t="str">
        <f aca="false">IF(B479&lt;&gt;"",ROW()-3,"")</f>
        <v/>
      </c>
      <c r="B479" s="185"/>
      <c r="C479" s="186"/>
      <c r="D479" s="186"/>
      <c r="E479" s="185"/>
      <c r="F479" s="186"/>
      <c r="G479" s="187"/>
      <c r="H479" s="185"/>
      <c r="I479" s="187"/>
      <c r="J479" s="185"/>
    </row>
    <row r="480" customFormat="false" ht="15" hidden="false" customHeight="true" outlineLevel="0" collapsed="false">
      <c r="A480" s="184" t="str">
        <f aca="false">IF(B480&lt;&gt;"",ROW()-3,"")</f>
        <v/>
      </c>
      <c r="B480" s="185"/>
      <c r="C480" s="186"/>
      <c r="D480" s="186"/>
      <c r="E480" s="185"/>
      <c r="F480" s="186"/>
      <c r="G480" s="187"/>
      <c r="H480" s="185"/>
      <c r="I480" s="187"/>
      <c r="J480" s="185"/>
    </row>
    <row r="481" customFormat="false" ht="15" hidden="false" customHeight="true" outlineLevel="0" collapsed="false">
      <c r="A481" s="184" t="str">
        <f aca="false">IF(B481&lt;&gt;"",ROW()-3,"")</f>
        <v/>
      </c>
      <c r="B481" s="185"/>
      <c r="C481" s="186"/>
      <c r="D481" s="186"/>
      <c r="E481" s="185"/>
      <c r="F481" s="186"/>
      <c r="G481" s="187"/>
      <c r="H481" s="185"/>
      <c r="I481" s="187"/>
      <c r="J481" s="185"/>
    </row>
    <row r="482" customFormat="false" ht="15" hidden="false" customHeight="true" outlineLevel="0" collapsed="false">
      <c r="A482" s="184" t="str">
        <f aca="false">IF(B482&lt;&gt;"",ROW()-3,"")</f>
        <v/>
      </c>
      <c r="B482" s="185"/>
      <c r="C482" s="186"/>
      <c r="D482" s="186"/>
      <c r="E482" s="185"/>
      <c r="F482" s="186"/>
      <c r="G482" s="187"/>
      <c r="H482" s="185"/>
      <c r="I482" s="187"/>
      <c r="J482" s="185"/>
    </row>
    <row r="483" customFormat="false" ht="15" hidden="false" customHeight="true" outlineLevel="0" collapsed="false">
      <c r="A483" s="184" t="str">
        <f aca="false">IF(B483&lt;&gt;"",ROW()-3,"")</f>
        <v/>
      </c>
      <c r="B483" s="185"/>
      <c r="C483" s="186"/>
      <c r="D483" s="186"/>
      <c r="E483" s="185"/>
      <c r="F483" s="186"/>
      <c r="G483" s="187"/>
      <c r="H483" s="185"/>
      <c r="I483" s="187"/>
      <c r="J483" s="185"/>
    </row>
    <row r="484" customFormat="false" ht="15" hidden="false" customHeight="true" outlineLevel="0" collapsed="false">
      <c r="A484" s="184" t="str">
        <f aca="false">IF(B484&lt;&gt;"",ROW()-3,"")</f>
        <v/>
      </c>
      <c r="B484" s="185"/>
      <c r="C484" s="186"/>
      <c r="D484" s="186"/>
      <c r="E484" s="185"/>
      <c r="F484" s="186"/>
      <c r="G484" s="187"/>
      <c r="H484" s="185"/>
      <c r="I484" s="187"/>
      <c r="J484" s="185"/>
    </row>
    <row r="485" customFormat="false" ht="15" hidden="false" customHeight="true" outlineLevel="0" collapsed="false">
      <c r="A485" s="184" t="str">
        <f aca="false">IF(B485&lt;&gt;"",ROW()-3,"")</f>
        <v/>
      </c>
      <c r="B485" s="185"/>
      <c r="C485" s="186"/>
      <c r="D485" s="186"/>
      <c r="E485" s="185"/>
      <c r="F485" s="186"/>
      <c r="G485" s="187"/>
      <c r="H485" s="185"/>
      <c r="I485" s="187"/>
      <c r="J485" s="185"/>
    </row>
    <row r="486" customFormat="false" ht="15" hidden="false" customHeight="true" outlineLevel="0" collapsed="false">
      <c r="A486" s="184" t="str">
        <f aca="false">IF(B486&lt;&gt;"",ROW()-3,"")</f>
        <v/>
      </c>
      <c r="B486" s="185"/>
      <c r="C486" s="186"/>
      <c r="D486" s="186"/>
      <c r="E486" s="185"/>
      <c r="F486" s="186"/>
      <c r="G486" s="187"/>
      <c r="H486" s="185"/>
      <c r="I486" s="187"/>
      <c r="J486" s="185"/>
    </row>
    <row r="487" customFormat="false" ht="15" hidden="false" customHeight="true" outlineLevel="0" collapsed="false">
      <c r="A487" s="184" t="str">
        <f aca="false">IF(B487&lt;&gt;"",ROW()-3,"")</f>
        <v/>
      </c>
      <c r="B487" s="185"/>
      <c r="C487" s="186"/>
      <c r="D487" s="186"/>
      <c r="E487" s="185"/>
      <c r="F487" s="186"/>
      <c r="G487" s="187"/>
      <c r="H487" s="185"/>
      <c r="I487" s="187"/>
      <c r="J487" s="185"/>
    </row>
    <row r="488" customFormat="false" ht="15" hidden="false" customHeight="true" outlineLevel="0" collapsed="false">
      <c r="A488" s="184" t="str">
        <f aca="false">IF(B488&lt;&gt;"",ROW()-3,"")</f>
        <v/>
      </c>
      <c r="B488" s="185"/>
      <c r="C488" s="186"/>
      <c r="D488" s="186"/>
      <c r="E488" s="185"/>
      <c r="F488" s="186"/>
      <c r="G488" s="187"/>
      <c r="H488" s="185"/>
      <c r="I488" s="187"/>
      <c r="J488" s="185"/>
    </row>
    <row r="489" customFormat="false" ht="15" hidden="false" customHeight="true" outlineLevel="0" collapsed="false">
      <c r="A489" s="184" t="str">
        <f aca="false">IF(B489&lt;&gt;"",ROW()-3,"")</f>
        <v/>
      </c>
      <c r="B489" s="185"/>
      <c r="C489" s="186"/>
      <c r="D489" s="186"/>
      <c r="E489" s="185"/>
      <c r="F489" s="186"/>
      <c r="G489" s="187"/>
      <c r="H489" s="185"/>
      <c r="I489" s="187"/>
      <c r="J489" s="185"/>
    </row>
    <row r="490" customFormat="false" ht="15" hidden="false" customHeight="true" outlineLevel="0" collapsed="false">
      <c r="A490" s="184" t="str">
        <f aca="false">IF(B490&lt;&gt;"",ROW()-3,"")</f>
        <v/>
      </c>
      <c r="B490" s="185"/>
      <c r="C490" s="186"/>
      <c r="D490" s="186"/>
      <c r="E490" s="185"/>
      <c r="F490" s="186"/>
      <c r="G490" s="187"/>
      <c r="H490" s="185"/>
      <c r="I490" s="187"/>
      <c r="J490" s="185"/>
    </row>
    <row r="491" customFormat="false" ht="15" hidden="false" customHeight="true" outlineLevel="0" collapsed="false">
      <c r="A491" s="184" t="str">
        <f aca="false">IF(B491&lt;&gt;"",ROW()-3,"")</f>
        <v/>
      </c>
      <c r="B491" s="185"/>
      <c r="C491" s="186"/>
      <c r="D491" s="186"/>
      <c r="E491" s="185"/>
      <c r="F491" s="186"/>
      <c r="G491" s="187"/>
      <c r="H491" s="185"/>
      <c r="I491" s="187"/>
      <c r="J491" s="185"/>
    </row>
    <row r="492" customFormat="false" ht="15" hidden="false" customHeight="true" outlineLevel="0" collapsed="false">
      <c r="A492" s="184" t="str">
        <f aca="false">IF(B492&lt;&gt;"",ROW()-3,"")</f>
        <v/>
      </c>
      <c r="B492" s="185"/>
      <c r="C492" s="186"/>
      <c r="D492" s="186"/>
      <c r="E492" s="185"/>
      <c r="F492" s="186"/>
      <c r="G492" s="187"/>
      <c r="H492" s="185"/>
      <c r="I492" s="187"/>
      <c r="J492" s="185"/>
    </row>
    <row r="493" customFormat="false" ht="15" hidden="false" customHeight="true" outlineLevel="0" collapsed="false">
      <c r="A493" s="184" t="str">
        <f aca="false">IF(B493&lt;&gt;"",ROW()-3,"")</f>
        <v/>
      </c>
      <c r="B493" s="185"/>
      <c r="C493" s="186"/>
      <c r="D493" s="186"/>
      <c r="E493" s="185"/>
      <c r="F493" s="186"/>
      <c r="G493" s="187"/>
      <c r="H493" s="185"/>
      <c r="I493" s="187"/>
      <c r="J493" s="185"/>
    </row>
    <row r="494" customFormat="false" ht="15" hidden="false" customHeight="true" outlineLevel="0" collapsed="false">
      <c r="A494" s="184" t="str">
        <f aca="false">IF(B494&lt;&gt;"",ROW()-3,"")</f>
        <v/>
      </c>
      <c r="B494" s="185"/>
      <c r="C494" s="186"/>
      <c r="D494" s="186"/>
      <c r="E494" s="185"/>
      <c r="F494" s="186"/>
      <c r="G494" s="187"/>
      <c r="H494" s="185"/>
      <c r="I494" s="187"/>
      <c r="J494" s="185"/>
    </row>
    <row r="495" customFormat="false" ht="15" hidden="false" customHeight="true" outlineLevel="0" collapsed="false">
      <c r="A495" s="184" t="str">
        <f aca="false">IF(B495&lt;&gt;"",ROW()-3,"")</f>
        <v/>
      </c>
      <c r="B495" s="185"/>
      <c r="C495" s="186"/>
      <c r="D495" s="186"/>
      <c r="E495" s="185"/>
      <c r="F495" s="186"/>
      <c r="G495" s="187"/>
      <c r="H495" s="185"/>
      <c r="I495" s="187"/>
      <c r="J495" s="185"/>
    </row>
    <row r="496" customFormat="false" ht="15" hidden="false" customHeight="true" outlineLevel="0" collapsed="false">
      <c r="A496" s="184" t="str">
        <f aca="false">IF(B496&lt;&gt;"",ROW()-3,"")</f>
        <v/>
      </c>
      <c r="B496" s="185"/>
      <c r="C496" s="186"/>
      <c r="D496" s="186"/>
      <c r="E496" s="185"/>
      <c r="F496" s="186"/>
      <c r="G496" s="187"/>
      <c r="H496" s="185"/>
      <c r="I496" s="187"/>
      <c r="J496" s="185"/>
    </row>
    <row r="497" customFormat="false" ht="15" hidden="false" customHeight="true" outlineLevel="0" collapsed="false">
      <c r="A497" s="184" t="str">
        <f aca="false">IF(B497&lt;&gt;"",ROW()-3,"")</f>
        <v/>
      </c>
      <c r="B497" s="185"/>
      <c r="C497" s="186"/>
      <c r="D497" s="186"/>
      <c r="E497" s="185"/>
      <c r="F497" s="186"/>
      <c r="G497" s="187"/>
      <c r="H497" s="185"/>
      <c r="I497" s="187"/>
      <c r="J497" s="185"/>
    </row>
    <row r="498" customFormat="false" ht="15" hidden="false" customHeight="true" outlineLevel="0" collapsed="false">
      <c r="A498" s="184" t="str">
        <f aca="false">IF(B498&lt;&gt;"",ROW()-3,"")</f>
        <v/>
      </c>
      <c r="B498" s="185"/>
      <c r="C498" s="186"/>
      <c r="D498" s="186"/>
      <c r="E498" s="185"/>
      <c r="F498" s="186"/>
      <c r="G498" s="187"/>
      <c r="H498" s="185"/>
      <c r="I498" s="187"/>
      <c r="J498" s="185"/>
    </row>
    <row r="499" customFormat="false" ht="15" hidden="false" customHeight="true" outlineLevel="0" collapsed="false">
      <c r="A499" s="184" t="str">
        <f aca="false">IF(B499&lt;&gt;"",ROW()-3,"")</f>
        <v/>
      </c>
      <c r="B499" s="185"/>
      <c r="C499" s="186"/>
      <c r="D499" s="186"/>
      <c r="E499" s="185"/>
      <c r="F499" s="186"/>
      <c r="G499" s="187"/>
      <c r="H499" s="185"/>
      <c r="I499" s="187"/>
      <c r="J499" s="185"/>
    </row>
    <row r="500" customFormat="false" ht="15" hidden="false" customHeight="true" outlineLevel="0" collapsed="false">
      <c r="A500" s="184" t="str">
        <f aca="false">IF(B500&lt;&gt;"",ROW()-3,"")</f>
        <v/>
      </c>
      <c r="B500" s="185"/>
      <c r="C500" s="186"/>
      <c r="D500" s="186"/>
      <c r="E500" s="185"/>
      <c r="F500" s="186"/>
      <c r="G500" s="187"/>
      <c r="H500" s="185"/>
      <c r="I500" s="187"/>
      <c r="J500" s="185"/>
    </row>
    <row r="501" customFormat="false" ht="15" hidden="false" customHeight="true" outlineLevel="0" collapsed="false">
      <c r="A501" s="184" t="str">
        <f aca="false">IF(B501&lt;&gt;"",ROW()-3,"")</f>
        <v/>
      </c>
      <c r="B501" s="185"/>
      <c r="C501" s="186"/>
      <c r="D501" s="186"/>
      <c r="E501" s="185"/>
      <c r="F501" s="186"/>
      <c r="G501" s="187"/>
      <c r="H501" s="185"/>
      <c r="I501" s="187"/>
      <c r="J501" s="185"/>
    </row>
    <row r="502" customFormat="false" ht="15" hidden="false" customHeight="true" outlineLevel="0" collapsed="false">
      <c r="A502" s="184" t="str">
        <f aca="false">IF(B502&lt;&gt;"",ROW()-3,"")</f>
        <v/>
      </c>
      <c r="B502" s="185"/>
      <c r="C502" s="186"/>
      <c r="D502" s="186"/>
      <c r="E502" s="185"/>
      <c r="F502" s="186"/>
      <c r="G502" s="187"/>
      <c r="H502" s="185"/>
      <c r="I502" s="187"/>
      <c r="J502" s="185"/>
    </row>
    <row r="503" customFormat="false" ht="15" hidden="false" customHeight="true" outlineLevel="0" collapsed="false">
      <c r="A503" s="184" t="str">
        <f aca="false">IF(B503&lt;&gt;"",ROW()-3,"")</f>
        <v/>
      </c>
      <c r="B503" s="185"/>
      <c r="C503" s="186"/>
      <c r="D503" s="186"/>
      <c r="E503" s="185"/>
      <c r="F503" s="186"/>
      <c r="G503" s="187"/>
      <c r="H503" s="185"/>
      <c r="I503" s="187"/>
      <c r="J503" s="185"/>
    </row>
    <row r="504" customFormat="false" ht="15" hidden="false" customHeight="true" outlineLevel="0" collapsed="false">
      <c r="A504" s="184" t="str">
        <f aca="false">IF(B504&lt;&gt;"",ROW()-3,"")</f>
        <v/>
      </c>
      <c r="B504" s="185"/>
      <c r="C504" s="186"/>
      <c r="D504" s="186"/>
      <c r="E504" s="185"/>
      <c r="F504" s="186"/>
      <c r="G504" s="187"/>
      <c r="H504" s="185"/>
      <c r="I504" s="187"/>
      <c r="J504" s="185"/>
    </row>
  </sheetData>
  <autoFilter ref="A3:J504"/>
  <mergeCells count="4">
    <mergeCell ref="A1:E1"/>
    <mergeCell ref="F1:J1"/>
    <mergeCell ref="A2:E2"/>
    <mergeCell ref="F2:J2"/>
  </mergeCells>
  <conditionalFormatting sqref="A4:J504">
    <cfRule type="expression" priority="2" aboveAverage="0" equalAverage="0" bottom="0" percent="0" rank="0" text="" dxfId="129">
      <formula>AND($B4&lt;&gt;"",$F4="Open")</formula>
    </cfRule>
    <cfRule type="expression" priority="3" aboveAverage="0" equalAverage="0" bottom="0" percent="0" rank="0" text="" dxfId="130">
      <formula>AND($B4&lt;&gt;"",$F4="Re-Installed")</formula>
    </cfRule>
    <cfRule type="expression" priority="4" aboveAverage="0" equalAverage="0" bottom="0" percent="0" rank="0" text="" dxfId="131">
      <formula>AND($B4="",MOD(ROW(),2)=0)</formula>
    </cfRule>
  </conditionalFormatting>
  <conditionalFormatting sqref="F4:F504">
    <cfRule type="cellIs" priority="5" operator="equal" aboveAverage="0" equalAverage="0" bottom="0" percent="0" rank="0" text="" dxfId="132">
      <formula>"Open"</formula>
    </cfRule>
    <cfRule type="cellIs" priority="6" operator="equal" aboveAverage="0" equalAverage="0" bottom="0" percent="0" rank="0" text="" dxfId="126">
      <formula>"Re-Installed"</formula>
    </cfRule>
    <cfRule type="cellIs" priority="7" operator="equal" aboveAverage="0" equalAverage="0" bottom="0" percent="0" rank="0" text="" dxfId="133">
      <formula>"Partially"</formula>
    </cfRule>
  </conditionalFormatting>
  <conditionalFormatting sqref="C4:C504">
    <cfRule type="cellIs" priority="8" operator="equal" aboveAverage="0" equalAverage="0" bottom="0" percent="0" rank="0" text="" dxfId="134">
      <formula>"FWD"</formula>
    </cfRule>
    <cfRule type="cellIs" priority="9" operator="equal" aboveAverage="0" equalAverage="0" bottom="0" percent="0" rank="0" text="" dxfId="91">
      <formula>"MID"</formula>
    </cfRule>
    <cfRule type="cellIs" priority="10" operator="equal" aboveAverage="0" equalAverage="0" bottom="0" percent="0" rank="0" text="" dxfId="135">
      <formula>"AFT"</formula>
    </cfRule>
    <cfRule type="cellIs" priority="11" operator="equal" aboveAverage="0" equalAverage="0" bottom="0" percent="0" rank="0" text="" dxfId="136">
      <formula>"JOINT"</formula>
    </cfRule>
    <cfRule type="cellIs" priority="12" operator="equal" aboveAverage="0" equalAverage="0" bottom="0" percent="0" rank="0" text="" dxfId="137">
      <formula>"FLIGHT DECK"</formula>
    </cfRule>
  </conditionalFormatting>
  <conditionalFormatting sqref="D4:D504">
    <cfRule type="expression" priority="13" aboveAverage="0" equalAverage="0" bottom="0" percent="0" rank="0" text="" dxfId="138">
      <formula>AND($B4&lt;&gt;"",$D4="")</formula>
    </cfRule>
  </conditionalFormatting>
  <dataValidations count="2">
    <dataValidation allowBlank="true" errorStyle="stop" operator="between" showDropDown="false" showErrorMessage="false" showInputMessage="false" sqref="C4:C504" type="list">
      <formula1>"FLIGHT DECK,FWD,MID,AFT,JOINT"</formula1>
      <formula2>0</formula2>
    </dataValidation>
    <dataValidation allowBlank="true" errorStyle="stop" operator="between" showDropDown="false" showErrorMessage="false" showInputMessage="false" sqref="F4:F504" type="list">
      <formula1>"Open,Re-Installed,Partially"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07D8B"/>
    <pageSetUpPr fitToPage="false"/>
  </sheetPr>
  <dimension ref="A1:M14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6"/>
    <col collapsed="false" customWidth="true" hidden="false" outlineLevel="0" max="2" min="2" style="1" width="15"/>
    <col collapsed="false" customWidth="true" hidden="false" outlineLevel="0" max="3" min="3" style="1" width="44"/>
    <col collapsed="false" customWidth="true" hidden="false" outlineLevel="0" max="4" min="4" style="1" width="9"/>
    <col collapsed="false" customWidth="true" hidden="false" outlineLevel="0" max="5" min="5" style="1" width="8"/>
    <col collapsed="false" customWidth="true" hidden="false" outlineLevel="0" max="6" min="6" style="1" width="9"/>
    <col collapsed="false" customWidth="true" hidden="false" outlineLevel="0" max="7" min="7" style="1" width="8"/>
    <col collapsed="false" customWidth="true" hidden="false" outlineLevel="0" max="8" min="8" style="1" width="11"/>
    <col collapsed="false" customWidth="true" hidden="false" outlineLevel="0" max="9" min="9" style="1" width="6"/>
    <col collapsed="false" customWidth="true" hidden="false" outlineLevel="0" max="10" min="10" style="1" width="10"/>
  </cols>
  <sheetData>
    <row r="1" customFormat="false" ht="14.25" hidden="false" customHeight="true" outlineLevel="0" collapsed="false">
      <c r="A1" s="188" t="s">
        <v>1147</v>
      </c>
      <c r="B1" s="188" t="s">
        <v>1127</v>
      </c>
      <c r="C1" s="188" t="s">
        <v>1709</v>
      </c>
      <c r="D1" s="188" t="s">
        <v>6</v>
      </c>
      <c r="E1" s="188" t="s">
        <v>1710</v>
      </c>
      <c r="F1" s="188" t="s">
        <v>1711</v>
      </c>
      <c r="G1" s="188" t="s">
        <v>1712</v>
      </c>
      <c r="H1" s="188" t="s">
        <v>1713</v>
      </c>
      <c r="I1" s="188" t="s">
        <v>15</v>
      </c>
      <c r="J1" s="188" t="s">
        <v>1714</v>
      </c>
      <c r="K1" s="1"/>
      <c r="L1" s="189" t="s">
        <v>1715</v>
      </c>
      <c r="M1" s="189" t="s">
        <v>1716</v>
      </c>
    </row>
    <row r="2" customFormat="false" ht="14.25" hidden="false" customHeight="true" outlineLevel="0" collapsed="false">
      <c r="A2" s="190" t="s">
        <v>1717</v>
      </c>
      <c r="B2" s="190" t="s">
        <v>1718</v>
      </c>
      <c r="C2" s="190" t="s">
        <v>1719</v>
      </c>
      <c r="D2" s="190" t="s">
        <v>1720</v>
      </c>
      <c r="E2" s="190" t="n">
        <v>0</v>
      </c>
      <c r="F2" s="190" t="n">
        <v>0</v>
      </c>
      <c r="G2" s="190" t="n">
        <v>0</v>
      </c>
      <c r="H2" s="190" t="s">
        <v>1721</v>
      </c>
      <c r="I2" s="190" t="n">
        <v>5</v>
      </c>
      <c r="J2" s="190"/>
      <c r="K2" s="1"/>
      <c r="L2" s="1"/>
      <c r="M2" s="1"/>
    </row>
    <row r="3" customFormat="false" ht="14.25" hidden="false" customHeight="true" outlineLevel="0" collapsed="false">
      <c r="A3" s="190" t="s">
        <v>20</v>
      </c>
      <c r="B3" s="190" t="s">
        <v>18</v>
      </c>
      <c r="C3" s="190" t="s">
        <v>19</v>
      </c>
      <c r="D3" s="190" t="n">
        <v>1</v>
      </c>
      <c r="E3" s="190" t="n">
        <v>0</v>
      </c>
      <c r="F3" s="190" t="n">
        <v>26.5</v>
      </c>
      <c r="G3" s="190" t="n">
        <v>488.8</v>
      </c>
      <c r="H3" s="190" t="s">
        <v>1722</v>
      </c>
      <c r="I3" s="190" t="s">
        <v>38</v>
      </c>
      <c r="J3" s="190" t="s">
        <v>1723</v>
      </c>
      <c r="K3" s="1"/>
      <c r="L3" s="1"/>
      <c r="M3" s="1"/>
    </row>
    <row r="4" customFormat="false" ht="14.25" hidden="false" customHeight="true" outlineLevel="0" collapsed="false">
      <c r="A4" s="190" t="s">
        <v>1724</v>
      </c>
      <c r="B4" s="190" t="s">
        <v>1725</v>
      </c>
      <c r="C4" s="190" t="s">
        <v>1726</v>
      </c>
      <c r="D4" s="190" t="n">
        <v>1</v>
      </c>
      <c r="E4" s="190" t="n">
        <v>3.33</v>
      </c>
      <c r="F4" s="190" t="n">
        <v>35.5</v>
      </c>
      <c r="G4" s="190" t="n">
        <v>766.6</v>
      </c>
      <c r="H4" s="190" t="s">
        <v>1722</v>
      </c>
      <c r="I4" s="190" t="s">
        <v>38</v>
      </c>
      <c r="J4" s="190" t="s">
        <v>1727</v>
      </c>
      <c r="K4" s="1"/>
      <c r="L4" s="1"/>
      <c r="M4" s="1"/>
    </row>
    <row r="5" customFormat="false" ht="14.25" hidden="false" customHeight="true" outlineLevel="0" collapsed="false">
      <c r="A5" s="190" t="s">
        <v>1728</v>
      </c>
      <c r="B5" s="190" t="s">
        <v>1729</v>
      </c>
      <c r="C5" s="190" t="s">
        <v>1730</v>
      </c>
      <c r="D5" s="190" t="n">
        <v>1</v>
      </c>
      <c r="E5" s="190" t="n">
        <v>7.83</v>
      </c>
      <c r="F5" s="190" t="n">
        <v>38.2</v>
      </c>
      <c r="G5" s="190" t="n">
        <v>764.5</v>
      </c>
      <c r="H5" s="190" t="s">
        <v>1722</v>
      </c>
      <c r="I5" s="190" t="s">
        <v>38</v>
      </c>
      <c r="J5" s="190" t="s">
        <v>1731</v>
      </c>
      <c r="K5" s="1"/>
      <c r="L5" s="1"/>
      <c r="M5" s="1"/>
    </row>
    <row r="6" customFormat="false" ht="14.25" hidden="false" customHeight="true" outlineLevel="0" collapsed="false">
      <c r="A6" s="190" t="s">
        <v>1732</v>
      </c>
      <c r="B6" s="190" t="s">
        <v>26</v>
      </c>
      <c r="C6" s="190" t="s">
        <v>27</v>
      </c>
      <c r="D6" s="190" t="n">
        <v>1</v>
      </c>
      <c r="E6" s="190" t="n">
        <v>4.9</v>
      </c>
      <c r="F6" s="190" t="n">
        <v>14</v>
      </c>
      <c r="G6" s="190" t="n">
        <v>481.1</v>
      </c>
      <c r="H6" s="190" t="s">
        <v>1722</v>
      </c>
      <c r="I6" s="190" t="s">
        <v>38</v>
      </c>
      <c r="J6" s="190" t="s">
        <v>1731</v>
      </c>
      <c r="K6" s="1"/>
      <c r="L6" s="1"/>
      <c r="M6" s="1"/>
    </row>
    <row r="7" customFormat="false" ht="14.25" hidden="false" customHeight="true" outlineLevel="0" collapsed="false">
      <c r="A7" s="190" t="s">
        <v>670</v>
      </c>
      <c r="B7" s="190" t="s">
        <v>1733</v>
      </c>
      <c r="C7" s="190" t="s">
        <v>1734</v>
      </c>
      <c r="D7" s="190" t="n">
        <v>1</v>
      </c>
      <c r="E7" s="190" t="n">
        <v>4.58</v>
      </c>
      <c r="F7" s="190" t="n">
        <v>102.8</v>
      </c>
      <c r="G7" s="190" t="n">
        <v>491.6</v>
      </c>
      <c r="H7" s="190" t="s">
        <v>1722</v>
      </c>
      <c r="I7" s="190" t="s">
        <v>38</v>
      </c>
      <c r="J7" s="190" t="s">
        <v>1735</v>
      </c>
      <c r="K7" s="1"/>
      <c r="L7" s="1"/>
      <c r="M7" s="1"/>
    </row>
    <row r="8" customFormat="false" ht="14.25" hidden="false" customHeight="true" outlineLevel="0" collapsed="false">
      <c r="A8" s="190" t="s">
        <v>41</v>
      </c>
      <c r="B8" s="190" t="s">
        <v>39</v>
      </c>
      <c r="C8" s="190" t="s">
        <v>40</v>
      </c>
      <c r="D8" s="190" t="n">
        <v>1</v>
      </c>
      <c r="E8" s="190" t="n">
        <v>3</v>
      </c>
      <c r="F8" s="190" t="n">
        <v>11</v>
      </c>
      <c r="G8" s="190" t="n">
        <v>769</v>
      </c>
      <c r="H8" s="190" t="s">
        <v>1722</v>
      </c>
      <c r="I8" s="190" t="s">
        <v>38</v>
      </c>
      <c r="J8" s="190" t="s">
        <v>1736</v>
      </c>
      <c r="K8" s="1"/>
      <c r="L8" s="1"/>
      <c r="M8" s="1"/>
    </row>
    <row r="9" customFormat="false" ht="14.25" hidden="false" customHeight="true" outlineLevel="0" collapsed="false">
      <c r="A9" s="190" t="s">
        <v>45</v>
      </c>
      <c r="B9" s="190" t="s">
        <v>43</v>
      </c>
      <c r="C9" s="190" t="s">
        <v>44</v>
      </c>
      <c r="D9" s="190" t="n">
        <v>1</v>
      </c>
      <c r="E9" s="190" t="n">
        <v>2.15</v>
      </c>
      <c r="F9" s="190" t="n">
        <v>9.5</v>
      </c>
      <c r="G9" s="190" t="n">
        <v>768.4</v>
      </c>
      <c r="H9" s="190" t="s">
        <v>1722</v>
      </c>
      <c r="I9" s="190" t="s">
        <v>38</v>
      </c>
      <c r="J9" s="190" t="s">
        <v>1736</v>
      </c>
      <c r="K9" s="1"/>
      <c r="L9" s="1"/>
      <c r="M9" s="1"/>
    </row>
    <row r="10" customFormat="false" ht="14.25" hidden="false" customHeight="true" outlineLevel="0" collapsed="false">
      <c r="A10" s="190" t="s">
        <v>48</v>
      </c>
      <c r="B10" s="190" t="s">
        <v>46</v>
      </c>
      <c r="C10" s="190" t="s">
        <v>47</v>
      </c>
      <c r="D10" s="190" t="n">
        <v>1</v>
      </c>
      <c r="E10" s="190" t="n">
        <v>0</v>
      </c>
      <c r="F10" s="190" t="n">
        <v>6.5</v>
      </c>
      <c r="G10" s="190" t="n">
        <v>576.2</v>
      </c>
      <c r="H10" s="190" t="s">
        <v>1722</v>
      </c>
      <c r="I10" s="190" t="s">
        <v>53</v>
      </c>
      <c r="J10" s="190" t="s">
        <v>1737</v>
      </c>
      <c r="K10" s="1"/>
      <c r="L10" s="1"/>
      <c r="M10" s="1"/>
    </row>
    <row r="11" customFormat="false" ht="14.25" hidden="false" customHeight="true" outlineLevel="0" collapsed="false">
      <c r="A11" s="190" t="s">
        <v>60</v>
      </c>
      <c r="B11" s="190" t="s">
        <v>58</v>
      </c>
      <c r="C11" s="190" t="s">
        <v>59</v>
      </c>
      <c r="D11" s="190" t="n">
        <v>1</v>
      </c>
      <c r="E11" s="190" t="n">
        <v>4</v>
      </c>
      <c r="F11" s="190" t="n">
        <v>0</v>
      </c>
      <c r="G11" s="190" t="n">
        <v>0</v>
      </c>
      <c r="H11" s="190" t="s">
        <v>1721</v>
      </c>
      <c r="I11" s="190" t="s">
        <v>63</v>
      </c>
      <c r="J11" s="190" t="s">
        <v>1737</v>
      </c>
      <c r="K11" s="1"/>
      <c r="L11" s="1"/>
      <c r="M11" s="1"/>
    </row>
    <row r="12" customFormat="false" ht="14.25" hidden="false" customHeight="true" outlineLevel="0" collapsed="false">
      <c r="A12" s="190" t="s">
        <v>66</v>
      </c>
      <c r="B12" s="190" t="s">
        <v>64</v>
      </c>
      <c r="C12" s="190" t="s">
        <v>65</v>
      </c>
      <c r="D12" s="190" t="n">
        <v>1</v>
      </c>
      <c r="E12" s="190" t="n">
        <v>0.48</v>
      </c>
      <c r="F12" s="190" t="n">
        <v>44</v>
      </c>
      <c r="G12" s="190" t="n">
        <v>824.6</v>
      </c>
      <c r="H12" s="190" t="s">
        <v>1722</v>
      </c>
      <c r="I12" s="190" t="s">
        <v>68</v>
      </c>
      <c r="J12" s="190" t="s">
        <v>1738</v>
      </c>
      <c r="K12" s="1"/>
      <c r="L12" s="1"/>
      <c r="M12" s="1"/>
    </row>
    <row r="13" customFormat="false" ht="14.25" hidden="false" customHeight="true" outlineLevel="0" collapsed="false">
      <c r="A13" s="190" t="s">
        <v>71</v>
      </c>
      <c r="B13" s="190" t="s">
        <v>69</v>
      </c>
      <c r="C13" s="190" t="s">
        <v>70</v>
      </c>
      <c r="D13" s="190" t="n">
        <v>1</v>
      </c>
      <c r="E13" s="190" t="n">
        <v>0.22</v>
      </c>
      <c r="F13" s="190" t="n">
        <v>15</v>
      </c>
      <c r="G13" s="190" t="n">
        <v>812</v>
      </c>
      <c r="H13" s="190" t="s">
        <v>1722</v>
      </c>
      <c r="I13" s="190" t="s">
        <v>74</v>
      </c>
      <c r="J13" s="190" t="s">
        <v>1736</v>
      </c>
      <c r="K13" s="1"/>
      <c r="L13" s="1"/>
      <c r="M13" s="1"/>
    </row>
    <row r="14" customFormat="false" ht="14.25" hidden="false" customHeight="true" outlineLevel="0" collapsed="false">
      <c r="A14" s="190" t="s">
        <v>1739</v>
      </c>
      <c r="B14" s="190" t="s">
        <v>1740</v>
      </c>
      <c r="C14" s="190" t="s">
        <v>1741</v>
      </c>
      <c r="D14" s="190" t="n">
        <v>1</v>
      </c>
      <c r="E14" s="190" t="n">
        <v>0.43</v>
      </c>
      <c r="F14" s="190" t="n">
        <v>87.2</v>
      </c>
      <c r="G14" s="190" t="n">
        <v>658</v>
      </c>
      <c r="H14" s="190" t="s">
        <v>1722</v>
      </c>
      <c r="I14" s="190" t="s">
        <v>1742</v>
      </c>
      <c r="J14" s="190" t="s">
        <v>1743</v>
      </c>
      <c r="K14" s="1"/>
      <c r="L14" s="1"/>
      <c r="M14" s="1"/>
    </row>
    <row r="15" customFormat="false" ht="14.25" hidden="false" customHeight="true" outlineLevel="0" collapsed="false">
      <c r="A15" s="190" t="s">
        <v>1744</v>
      </c>
      <c r="B15" s="190" t="s">
        <v>1745</v>
      </c>
      <c r="C15" s="190" t="s">
        <v>1746</v>
      </c>
      <c r="D15" s="190" t="n">
        <v>1</v>
      </c>
      <c r="E15" s="190" t="n">
        <v>1.47</v>
      </c>
      <c r="F15" s="190" t="n">
        <v>0</v>
      </c>
      <c r="G15" s="190" t="n">
        <v>0</v>
      </c>
      <c r="H15" s="190" t="s">
        <v>1721</v>
      </c>
      <c r="I15" s="190" t="s">
        <v>1742</v>
      </c>
      <c r="J15" s="190" t="s">
        <v>1747</v>
      </c>
      <c r="K15" s="1"/>
      <c r="L15" s="1"/>
      <c r="M15" s="1"/>
    </row>
    <row r="16" customFormat="false" ht="14.25" hidden="false" customHeight="true" outlineLevel="0" collapsed="false">
      <c r="A16" s="190" t="s">
        <v>87</v>
      </c>
      <c r="B16" s="190" t="s">
        <v>85</v>
      </c>
      <c r="C16" s="190" t="s">
        <v>86</v>
      </c>
      <c r="D16" s="190" t="n">
        <v>1</v>
      </c>
      <c r="E16" s="190" t="n">
        <v>0.33</v>
      </c>
      <c r="F16" s="190" t="n">
        <v>36</v>
      </c>
      <c r="G16" s="190" t="n">
        <v>297.6</v>
      </c>
      <c r="H16" s="190" t="s">
        <v>1722</v>
      </c>
      <c r="I16" s="190" t="s">
        <v>89</v>
      </c>
      <c r="J16" s="190" t="s">
        <v>1748</v>
      </c>
      <c r="K16" s="1"/>
      <c r="L16" s="1"/>
      <c r="M16" s="1"/>
    </row>
    <row r="17" customFormat="false" ht="14.25" hidden="false" customHeight="true" outlineLevel="0" collapsed="false">
      <c r="A17" s="190" t="s">
        <v>92</v>
      </c>
      <c r="B17" s="190" t="s">
        <v>90</v>
      </c>
      <c r="C17" s="190" t="s">
        <v>91</v>
      </c>
      <c r="D17" s="190" t="n">
        <v>1</v>
      </c>
      <c r="E17" s="190" t="n">
        <v>0.15</v>
      </c>
      <c r="F17" s="190" t="n">
        <v>28.2</v>
      </c>
      <c r="G17" s="190" t="n">
        <v>751</v>
      </c>
      <c r="H17" s="190" t="s">
        <v>1722</v>
      </c>
      <c r="I17" s="190" t="s">
        <v>89</v>
      </c>
      <c r="J17" s="190" t="s">
        <v>1749</v>
      </c>
    </row>
    <row r="18" customFormat="false" ht="14.25" hidden="false" customHeight="true" outlineLevel="0" collapsed="false">
      <c r="A18" s="190" t="s">
        <v>100</v>
      </c>
      <c r="B18" s="190" t="s">
        <v>98</v>
      </c>
      <c r="C18" s="190" t="s">
        <v>99</v>
      </c>
      <c r="D18" s="190" t="n">
        <v>1</v>
      </c>
      <c r="E18" s="190" t="n">
        <v>1.5</v>
      </c>
      <c r="F18" s="190" t="n">
        <v>3.17</v>
      </c>
      <c r="G18" s="190" t="n">
        <v>677.1</v>
      </c>
      <c r="H18" s="190" t="s">
        <v>1722</v>
      </c>
      <c r="I18" s="190" t="s">
        <v>97</v>
      </c>
      <c r="J18" s="190" t="s">
        <v>1750</v>
      </c>
    </row>
    <row r="19" customFormat="false" ht="14.25" hidden="false" customHeight="true" outlineLevel="0" collapsed="false">
      <c r="A19" s="190" t="s">
        <v>104</v>
      </c>
      <c r="B19" s="190" t="s">
        <v>102</v>
      </c>
      <c r="C19" s="190" t="s">
        <v>103</v>
      </c>
      <c r="D19" s="190" t="n">
        <v>1</v>
      </c>
      <c r="E19" s="190" t="n">
        <v>1.3</v>
      </c>
      <c r="F19" s="190" t="n">
        <v>42.5</v>
      </c>
      <c r="G19" s="190" t="n">
        <v>488.8</v>
      </c>
      <c r="H19" s="190" t="s">
        <v>1722</v>
      </c>
      <c r="I19" s="190" t="s">
        <v>97</v>
      </c>
      <c r="J19" s="190" t="s">
        <v>1751</v>
      </c>
    </row>
    <row r="20" customFormat="false" ht="14.25" hidden="false" customHeight="true" outlineLevel="0" collapsed="false">
      <c r="A20" s="190" t="s">
        <v>1752</v>
      </c>
      <c r="B20" s="190" t="s">
        <v>1753</v>
      </c>
      <c r="C20" s="190" t="s">
        <v>1754</v>
      </c>
      <c r="D20" s="190" t="n">
        <v>1</v>
      </c>
      <c r="E20" s="190" t="n">
        <v>0.62</v>
      </c>
      <c r="F20" s="190" t="n">
        <v>0.02</v>
      </c>
      <c r="G20" s="190" t="n">
        <v>696.8</v>
      </c>
      <c r="H20" s="190" t="s">
        <v>1722</v>
      </c>
      <c r="I20" s="190" t="s">
        <v>97</v>
      </c>
      <c r="J20" s="190" t="s">
        <v>1755</v>
      </c>
    </row>
    <row r="21" customFormat="false" ht="14.25" hidden="false" customHeight="true" outlineLevel="0" collapsed="false">
      <c r="A21" s="190" t="s">
        <v>108</v>
      </c>
      <c r="B21" s="190" t="s">
        <v>106</v>
      </c>
      <c r="C21" s="190" t="s">
        <v>107</v>
      </c>
      <c r="D21" s="190" t="n">
        <v>1</v>
      </c>
      <c r="E21" s="190" t="n">
        <v>1.75</v>
      </c>
      <c r="F21" s="190" t="n">
        <v>60.8</v>
      </c>
      <c r="G21" s="190" t="n">
        <v>961.5</v>
      </c>
      <c r="H21" s="190" t="s">
        <v>1722</v>
      </c>
      <c r="I21" s="190" t="s">
        <v>97</v>
      </c>
      <c r="J21" s="190" t="s">
        <v>1756</v>
      </c>
    </row>
    <row r="22" customFormat="false" ht="14.25" hidden="false" customHeight="true" outlineLevel="0" collapsed="false">
      <c r="A22" s="190" t="s">
        <v>112</v>
      </c>
      <c r="B22" s="190" t="s">
        <v>110</v>
      </c>
      <c r="C22" s="190" t="s">
        <v>111</v>
      </c>
      <c r="D22" s="190" t="n">
        <v>1</v>
      </c>
      <c r="E22" s="190" t="n">
        <v>3.67</v>
      </c>
      <c r="F22" s="190" t="n">
        <v>205.8</v>
      </c>
      <c r="G22" s="190" t="n">
        <v>631.9</v>
      </c>
      <c r="H22" s="190" t="s">
        <v>1722</v>
      </c>
      <c r="I22" s="190" t="s">
        <v>97</v>
      </c>
      <c r="J22" s="190" t="s">
        <v>1757</v>
      </c>
    </row>
    <row r="23" customFormat="false" ht="14.25" hidden="false" customHeight="true" outlineLevel="0" collapsed="false">
      <c r="A23" s="190" t="s">
        <v>116</v>
      </c>
      <c r="B23" s="190" t="s">
        <v>114</v>
      </c>
      <c r="C23" s="190" t="s">
        <v>115</v>
      </c>
      <c r="D23" s="190" t="n">
        <v>1</v>
      </c>
      <c r="E23" s="190" t="n">
        <v>1</v>
      </c>
      <c r="F23" s="190" t="n">
        <v>127.3</v>
      </c>
      <c r="G23" s="190" t="n">
        <v>726.1</v>
      </c>
      <c r="H23" s="190" t="s">
        <v>1722</v>
      </c>
      <c r="I23" s="190" t="s">
        <v>97</v>
      </c>
      <c r="J23" s="190" t="s">
        <v>1758</v>
      </c>
    </row>
    <row r="24" customFormat="false" ht="14.25" hidden="false" customHeight="true" outlineLevel="0" collapsed="false">
      <c r="A24" s="190" t="s">
        <v>1759</v>
      </c>
      <c r="B24" s="190" t="s">
        <v>1760</v>
      </c>
      <c r="C24" s="190" t="s">
        <v>1761</v>
      </c>
      <c r="D24" s="190" t="n">
        <v>1</v>
      </c>
      <c r="E24" s="190" t="n">
        <v>0.17</v>
      </c>
      <c r="F24" s="190" t="n">
        <v>13.5</v>
      </c>
      <c r="G24" s="190" t="n">
        <v>812.5</v>
      </c>
      <c r="H24" s="190" t="s">
        <v>1722</v>
      </c>
      <c r="I24" s="190" t="s">
        <v>1762</v>
      </c>
      <c r="J24" s="190" t="s">
        <v>1751</v>
      </c>
    </row>
    <row r="25" customFormat="false" ht="14.25" hidden="false" customHeight="true" outlineLevel="0" collapsed="false">
      <c r="A25" s="190" t="s">
        <v>127</v>
      </c>
      <c r="B25" s="190" t="s">
        <v>125</v>
      </c>
      <c r="C25" s="190" t="s">
        <v>126</v>
      </c>
      <c r="D25" s="190" t="n">
        <v>1</v>
      </c>
      <c r="E25" s="190" t="n">
        <v>37</v>
      </c>
      <c r="F25" s="190" t="n">
        <v>331</v>
      </c>
      <c r="G25" s="190" t="n">
        <v>752.1</v>
      </c>
      <c r="H25" s="190" t="s">
        <v>1722</v>
      </c>
      <c r="I25" s="190" t="s">
        <v>121</v>
      </c>
      <c r="J25" s="190" t="s">
        <v>1756</v>
      </c>
    </row>
    <row r="26" customFormat="false" ht="14.25" hidden="false" customHeight="true" outlineLevel="0" collapsed="false">
      <c r="A26" s="190" t="s">
        <v>131</v>
      </c>
      <c r="B26" s="190" t="s">
        <v>129</v>
      </c>
      <c r="C26" s="190" t="s">
        <v>130</v>
      </c>
      <c r="D26" s="190" t="n">
        <v>1</v>
      </c>
      <c r="E26" s="190" t="n">
        <v>2</v>
      </c>
      <c r="F26" s="190" t="n">
        <v>90.5</v>
      </c>
      <c r="G26" s="190" t="n">
        <v>623.8</v>
      </c>
      <c r="H26" s="190" t="s">
        <v>1722</v>
      </c>
      <c r="I26" s="190" t="s">
        <v>121</v>
      </c>
      <c r="J26" s="190" t="s">
        <v>1763</v>
      </c>
    </row>
    <row r="27" customFormat="false" ht="14.25" hidden="false" customHeight="true" outlineLevel="0" collapsed="false">
      <c r="A27" s="190" t="s">
        <v>1764</v>
      </c>
      <c r="B27" s="190" t="s">
        <v>1765</v>
      </c>
      <c r="C27" s="190" t="s">
        <v>1766</v>
      </c>
      <c r="D27" s="190" t="n">
        <v>1</v>
      </c>
      <c r="E27" s="190" t="n">
        <v>0</v>
      </c>
      <c r="F27" s="190" t="n">
        <v>28.8</v>
      </c>
      <c r="G27" s="190" t="n">
        <v>702.8</v>
      </c>
      <c r="H27" s="190" t="s">
        <v>1722</v>
      </c>
      <c r="I27" s="190" t="s">
        <v>596</v>
      </c>
      <c r="J27" s="190" t="s">
        <v>1767</v>
      </c>
    </row>
    <row r="28" customFormat="false" ht="14.25" hidden="false" customHeight="true" outlineLevel="0" collapsed="false">
      <c r="A28" s="190" t="s">
        <v>1768</v>
      </c>
      <c r="B28" s="190" t="s">
        <v>1769</v>
      </c>
      <c r="C28" s="190" t="s">
        <v>1770</v>
      </c>
      <c r="D28" s="190" t="n">
        <v>1</v>
      </c>
      <c r="E28" s="190" t="n">
        <v>0.32</v>
      </c>
      <c r="F28" s="190" t="n">
        <v>25</v>
      </c>
      <c r="G28" s="190" t="n">
        <v>674</v>
      </c>
      <c r="H28" s="190" t="s">
        <v>1722</v>
      </c>
      <c r="I28" s="190" t="s">
        <v>1771</v>
      </c>
      <c r="J28" s="190" t="s">
        <v>1736</v>
      </c>
    </row>
    <row r="29" customFormat="false" ht="14.25" hidden="false" customHeight="true" outlineLevel="0" collapsed="false">
      <c r="A29" s="190" t="s">
        <v>135</v>
      </c>
      <c r="B29" s="190" t="s">
        <v>133</v>
      </c>
      <c r="C29" s="190" t="s">
        <v>134</v>
      </c>
      <c r="D29" s="190" t="n">
        <v>1</v>
      </c>
      <c r="E29" s="190" t="n">
        <v>2.7</v>
      </c>
      <c r="F29" s="190" t="n">
        <v>207</v>
      </c>
      <c r="G29" s="190" t="n">
        <v>656.6</v>
      </c>
      <c r="H29" s="190" t="s">
        <v>1722</v>
      </c>
      <c r="I29" s="190" t="s">
        <v>137</v>
      </c>
      <c r="J29" s="190" t="s">
        <v>1772</v>
      </c>
    </row>
    <row r="30" customFormat="false" ht="14.25" hidden="false" customHeight="true" outlineLevel="0" collapsed="false">
      <c r="A30" s="190" t="s">
        <v>1773</v>
      </c>
      <c r="B30" s="190" t="s">
        <v>1774</v>
      </c>
      <c r="C30" s="190" t="s">
        <v>1775</v>
      </c>
      <c r="D30" s="190" t="n">
        <v>1</v>
      </c>
      <c r="E30" s="190" t="n">
        <v>0</v>
      </c>
      <c r="F30" s="190" t="n">
        <v>14.42</v>
      </c>
      <c r="G30" s="190" t="n">
        <v>632.6</v>
      </c>
      <c r="H30" s="190" t="s">
        <v>1722</v>
      </c>
      <c r="I30" s="190" t="s">
        <v>1776</v>
      </c>
      <c r="J30" s="190" t="s">
        <v>1777</v>
      </c>
    </row>
    <row r="31" customFormat="false" ht="14.25" hidden="false" customHeight="true" outlineLevel="0" collapsed="false">
      <c r="A31" s="190" t="s">
        <v>140</v>
      </c>
      <c r="B31" s="190" t="s">
        <v>138</v>
      </c>
      <c r="C31" s="190" t="s">
        <v>139</v>
      </c>
      <c r="D31" s="190" t="n">
        <v>1</v>
      </c>
      <c r="E31" s="190" t="n">
        <v>2</v>
      </c>
      <c r="F31" s="190" t="n">
        <v>8.73</v>
      </c>
      <c r="G31" s="190" t="n">
        <v>455.2</v>
      </c>
      <c r="H31" s="190" t="s">
        <v>1722</v>
      </c>
      <c r="I31" s="190" t="s">
        <v>1776</v>
      </c>
      <c r="J31" s="190" t="s">
        <v>1778</v>
      </c>
    </row>
    <row r="32" customFormat="false" ht="14.25" hidden="false" customHeight="true" outlineLevel="0" collapsed="false">
      <c r="A32" s="190" t="s">
        <v>1779</v>
      </c>
      <c r="B32" s="190" t="s">
        <v>1780</v>
      </c>
      <c r="C32" s="190" t="s">
        <v>1781</v>
      </c>
      <c r="D32" s="190" t="n">
        <v>1</v>
      </c>
      <c r="E32" s="190" t="n">
        <v>1</v>
      </c>
      <c r="F32" s="190" t="n">
        <v>0.83</v>
      </c>
      <c r="G32" s="190" t="n">
        <v>694.5</v>
      </c>
      <c r="H32" s="190" t="s">
        <v>1722</v>
      </c>
      <c r="I32" s="190" t="s">
        <v>1782</v>
      </c>
      <c r="J32" s="190" t="s">
        <v>1783</v>
      </c>
    </row>
    <row r="33" customFormat="false" ht="14.25" hidden="false" customHeight="true" outlineLevel="0" collapsed="false">
      <c r="A33" s="190" t="s">
        <v>1784</v>
      </c>
      <c r="B33" s="190" t="s">
        <v>1785</v>
      </c>
      <c r="C33" s="190" t="s">
        <v>1786</v>
      </c>
      <c r="D33" s="190" t="n">
        <v>1</v>
      </c>
      <c r="E33" s="190" t="n">
        <v>0.33</v>
      </c>
      <c r="F33" s="190" t="n">
        <v>0.75</v>
      </c>
      <c r="G33" s="190" t="n">
        <v>714.2</v>
      </c>
      <c r="H33" s="190" t="s">
        <v>1722</v>
      </c>
      <c r="I33" s="190" t="s">
        <v>1782</v>
      </c>
      <c r="J33" s="190" t="s">
        <v>1783</v>
      </c>
    </row>
    <row r="34" customFormat="false" ht="14.25" hidden="false" customHeight="true" outlineLevel="0" collapsed="false">
      <c r="A34" s="190" t="s">
        <v>1787</v>
      </c>
      <c r="B34" s="190" t="s">
        <v>1788</v>
      </c>
      <c r="C34" s="190" t="s">
        <v>1789</v>
      </c>
      <c r="D34" s="190" t="n">
        <v>1</v>
      </c>
      <c r="E34" s="190" t="n">
        <v>0.5</v>
      </c>
      <c r="F34" s="190" t="n">
        <v>1</v>
      </c>
      <c r="G34" s="190" t="n">
        <v>695.4</v>
      </c>
      <c r="H34" s="190" t="s">
        <v>1722</v>
      </c>
      <c r="I34" s="190" t="s">
        <v>1790</v>
      </c>
      <c r="J34" s="190" t="s">
        <v>1791</v>
      </c>
    </row>
    <row r="35" customFormat="false" ht="14.25" hidden="false" customHeight="true" outlineLevel="0" collapsed="false">
      <c r="A35" s="190" t="s">
        <v>1792</v>
      </c>
      <c r="B35" s="190" t="s">
        <v>1793</v>
      </c>
      <c r="C35" s="190" t="s">
        <v>1794</v>
      </c>
      <c r="D35" s="190" t="n">
        <v>1</v>
      </c>
      <c r="E35" s="190" t="n">
        <v>0.78</v>
      </c>
      <c r="F35" s="190" t="n">
        <v>6.5</v>
      </c>
      <c r="G35" s="190" t="n">
        <v>677</v>
      </c>
      <c r="H35" s="190" t="s">
        <v>1722</v>
      </c>
      <c r="I35" s="190" t="s">
        <v>146</v>
      </c>
      <c r="J35" s="190" t="s">
        <v>1763</v>
      </c>
    </row>
    <row r="36" customFormat="false" ht="14.25" hidden="false" customHeight="true" outlineLevel="0" collapsed="false">
      <c r="A36" s="190" t="s">
        <v>1795</v>
      </c>
      <c r="B36" s="190" t="s">
        <v>1796</v>
      </c>
      <c r="C36" s="190" t="s">
        <v>1797</v>
      </c>
      <c r="D36" s="190" t="n">
        <v>1</v>
      </c>
      <c r="E36" s="190" t="n">
        <v>2.33</v>
      </c>
      <c r="F36" s="190" t="n">
        <v>29.3</v>
      </c>
      <c r="G36" s="190" t="n">
        <v>694.3</v>
      </c>
      <c r="H36" s="190" t="s">
        <v>1722</v>
      </c>
      <c r="I36" s="190" t="s">
        <v>146</v>
      </c>
      <c r="J36" s="190" t="s">
        <v>1763</v>
      </c>
    </row>
    <row r="37" customFormat="false" ht="14.25" hidden="false" customHeight="true" outlineLevel="0" collapsed="false">
      <c r="A37" s="190" t="s">
        <v>1798</v>
      </c>
      <c r="B37" s="190" t="s">
        <v>1799</v>
      </c>
      <c r="C37" s="190" t="s">
        <v>1800</v>
      </c>
      <c r="D37" s="190" t="n">
        <v>1</v>
      </c>
      <c r="E37" s="190" t="n">
        <v>19</v>
      </c>
      <c r="F37" s="190" t="n">
        <v>14.25</v>
      </c>
      <c r="G37" s="190" t="n">
        <v>632.2</v>
      </c>
      <c r="H37" s="190" t="s">
        <v>1722</v>
      </c>
      <c r="I37" s="190" t="s">
        <v>1801</v>
      </c>
      <c r="J37" s="190" t="s">
        <v>1802</v>
      </c>
    </row>
    <row r="38" customFormat="false" ht="14.25" hidden="false" customHeight="true" outlineLevel="0" collapsed="false">
      <c r="A38" s="190" t="s">
        <v>1803</v>
      </c>
      <c r="B38" s="190" t="s">
        <v>1804</v>
      </c>
      <c r="C38" s="190" t="s">
        <v>1805</v>
      </c>
      <c r="D38" s="190" t="n">
        <v>1</v>
      </c>
      <c r="E38" s="190" t="n">
        <v>6.33</v>
      </c>
      <c r="F38" s="190" t="n">
        <v>79.1</v>
      </c>
      <c r="G38" s="190" t="n">
        <v>787.2</v>
      </c>
      <c r="H38" s="190" t="s">
        <v>1722</v>
      </c>
      <c r="I38" s="190" t="s">
        <v>146</v>
      </c>
      <c r="J38" s="190" t="s">
        <v>1806</v>
      </c>
    </row>
    <row r="39" customFormat="false" ht="14.25" hidden="false" customHeight="true" outlineLevel="0" collapsed="false">
      <c r="A39" s="190" t="s">
        <v>1807</v>
      </c>
      <c r="B39" s="190" t="s">
        <v>1808</v>
      </c>
      <c r="C39" s="190" t="s">
        <v>1809</v>
      </c>
      <c r="D39" s="190" t="n">
        <v>1</v>
      </c>
      <c r="E39" s="190" t="n">
        <v>2.4</v>
      </c>
      <c r="F39" s="190" t="n">
        <v>63.1</v>
      </c>
      <c r="G39" s="190" t="n">
        <v>694.6</v>
      </c>
      <c r="H39" s="190" t="s">
        <v>1722</v>
      </c>
      <c r="I39" s="190" t="s">
        <v>146</v>
      </c>
      <c r="J39" s="190" t="s">
        <v>1763</v>
      </c>
    </row>
    <row r="40" customFormat="false" ht="14.25" hidden="false" customHeight="true" outlineLevel="0" collapsed="false">
      <c r="A40" s="190" t="s">
        <v>1810</v>
      </c>
      <c r="B40" s="190" t="s">
        <v>1811</v>
      </c>
      <c r="C40" s="190" t="s">
        <v>1812</v>
      </c>
      <c r="D40" s="190" t="n">
        <v>1</v>
      </c>
      <c r="E40" s="190" t="n">
        <v>0</v>
      </c>
      <c r="F40" s="190" t="n">
        <v>55.5</v>
      </c>
      <c r="G40" s="190" t="n">
        <v>680.7</v>
      </c>
      <c r="H40" s="190" t="s">
        <v>1722</v>
      </c>
      <c r="I40" s="190" t="s">
        <v>146</v>
      </c>
      <c r="J40" s="190" t="s">
        <v>1763</v>
      </c>
    </row>
    <row r="41" customFormat="false" ht="14.25" hidden="false" customHeight="true" outlineLevel="0" collapsed="false">
      <c r="A41" s="190" t="s">
        <v>1813</v>
      </c>
      <c r="B41" s="190" t="s">
        <v>1814</v>
      </c>
      <c r="C41" s="190" t="s">
        <v>1815</v>
      </c>
      <c r="D41" s="190" t="s">
        <v>1720</v>
      </c>
      <c r="E41" s="190" t="n">
        <v>0</v>
      </c>
      <c r="F41" s="190" t="n">
        <v>0</v>
      </c>
      <c r="G41" s="190" t="n">
        <v>0</v>
      </c>
      <c r="H41" s="190" t="s">
        <v>1721</v>
      </c>
      <c r="I41" s="190" t="s">
        <v>234</v>
      </c>
      <c r="J41" s="190"/>
    </row>
    <row r="42" customFormat="false" ht="14.25" hidden="false" customHeight="true" outlineLevel="0" collapsed="false">
      <c r="A42" s="190" t="s">
        <v>161</v>
      </c>
      <c r="B42" s="190" t="s">
        <v>159</v>
      </c>
      <c r="C42" s="190" t="s">
        <v>160</v>
      </c>
      <c r="D42" s="190" t="n">
        <v>1</v>
      </c>
      <c r="E42" s="190" t="n">
        <v>2.17</v>
      </c>
      <c r="F42" s="190" t="n">
        <v>8</v>
      </c>
      <c r="G42" s="190" t="n">
        <v>792.1</v>
      </c>
      <c r="H42" s="190" t="s">
        <v>1722</v>
      </c>
      <c r="I42" s="190" t="n">
        <v>5</v>
      </c>
      <c r="J42" s="190"/>
    </row>
    <row r="43" customFormat="false" ht="14.25" hidden="false" customHeight="true" outlineLevel="0" collapsed="false">
      <c r="A43" s="190" t="s">
        <v>166</v>
      </c>
      <c r="B43" s="190" t="s">
        <v>164</v>
      </c>
      <c r="C43" s="190" t="s">
        <v>165</v>
      </c>
      <c r="D43" s="190" t="n">
        <v>1</v>
      </c>
      <c r="E43" s="190" t="n">
        <v>1</v>
      </c>
      <c r="F43" s="190" t="n">
        <v>0</v>
      </c>
      <c r="G43" s="190" t="n">
        <v>0</v>
      </c>
      <c r="H43" s="190" t="s">
        <v>1721</v>
      </c>
      <c r="I43" s="190" t="s">
        <v>168</v>
      </c>
      <c r="J43" s="190" t="s">
        <v>1816</v>
      </c>
    </row>
    <row r="44" customFormat="false" ht="14.25" hidden="false" customHeight="true" outlineLevel="0" collapsed="false">
      <c r="A44" s="190" t="s">
        <v>1817</v>
      </c>
      <c r="B44" s="190" t="s">
        <v>1818</v>
      </c>
      <c r="C44" s="190" t="s">
        <v>1819</v>
      </c>
      <c r="D44" s="190" t="n">
        <v>1</v>
      </c>
      <c r="E44" s="190" t="n">
        <v>0</v>
      </c>
      <c r="F44" s="190" t="n">
        <v>52</v>
      </c>
      <c r="G44" s="190" t="n">
        <v>523.6</v>
      </c>
      <c r="H44" s="190" t="s">
        <v>1722</v>
      </c>
      <c r="I44" s="190" t="s">
        <v>1820</v>
      </c>
      <c r="J44" s="190" t="s">
        <v>1821</v>
      </c>
    </row>
    <row r="45" customFormat="false" ht="14.25" hidden="false" customHeight="true" outlineLevel="0" collapsed="false">
      <c r="A45" s="190" t="s">
        <v>1822</v>
      </c>
      <c r="B45" s="190" t="s">
        <v>1823</v>
      </c>
      <c r="C45" s="190" t="s">
        <v>1824</v>
      </c>
      <c r="D45" s="190" t="n">
        <v>1</v>
      </c>
      <c r="E45" s="190" t="n">
        <v>1</v>
      </c>
      <c r="F45" s="190" t="n">
        <v>0</v>
      </c>
      <c r="G45" s="190" t="n">
        <v>0</v>
      </c>
      <c r="H45" s="190" t="s">
        <v>1721</v>
      </c>
      <c r="I45" s="190" t="s">
        <v>1762</v>
      </c>
      <c r="J45" s="190" t="s">
        <v>1743</v>
      </c>
    </row>
    <row r="46" customFormat="false" ht="14.25" hidden="false" customHeight="true" outlineLevel="0" collapsed="false">
      <c r="A46" s="190" t="s">
        <v>175</v>
      </c>
      <c r="B46" s="190" t="s">
        <v>173</v>
      </c>
      <c r="C46" s="190" t="s">
        <v>174</v>
      </c>
      <c r="D46" s="190" t="n">
        <v>1</v>
      </c>
      <c r="E46" s="190" t="n">
        <v>4.33</v>
      </c>
      <c r="F46" s="190" t="n">
        <v>38</v>
      </c>
      <c r="G46" s="190" t="n">
        <v>777.1</v>
      </c>
      <c r="H46" s="190" t="s">
        <v>1722</v>
      </c>
      <c r="I46" s="190" t="s">
        <v>177</v>
      </c>
      <c r="J46" s="190"/>
    </row>
    <row r="47" customFormat="false" ht="14.25" hidden="false" customHeight="true" outlineLevel="0" collapsed="false">
      <c r="A47" s="190" t="s">
        <v>180</v>
      </c>
      <c r="B47" s="190" t="s">
        <v>178</v>
      </c>
      <c r="C47" s="190" t="s">
        <v>179</v>
      </c>
      <c r="D47" s="190" t="n">
        <v>1</v>
      </c>
      <c r="E47" s="190" t="n">
        <v>5.83</v>
      </c>
      <c r="F47" s="190" t="n">
        <v>32.5</v>
      </c>
      <c r="G47" s="190" t="n">
        <v>796.4</v>
      </c>
      <c r="H47" s="190" t="s">
        <v>1722</v>
      </c>
      <c r="I47" s="190" t="s">
        <v>177</v>
      </c>
      <c r="J47" s="190"/>
    </row>
    <row r="48" customFormat="false" ht="14.25" hidden="false" customHeight="true" outlineLevel="0" collapsed="false">
      <c r="A48" s="190" t="s">
        <v>184</v>
      </c>
      <c r="B48" s="190" t="s">
        <v>182</v>
      </c>
      <c r="C48" s="190" t="s">
        <v>183</v>
      </c>
      <c r="D48" s="190" t="n">
        <v>1</v>
      </c>
      <c r="E48" s="190" t="n">
        <v>2.33</v>
      </c>
      <c r="F48" s="190" t="n">
        <v>7.5</v>
      </c>
      <c r="G48" s="190" t="n">
        <v>773.2</v>
      </c>
      <c r="H48" s="190" t="s">
        <v>1722</v>
      </c>
      <c r="I48" s="190" t="s">
        <v>177</v>
      </c>
      <c r="J48" s="190"/>
    </row>
    <row r="49" customFormat="false" ht="14.25" hidden="false" customHeight="true" outlineLevel="0" collapsed="false">
      <c r="A49" s="190" t="s">
        <v>190</v>
      </c>
      <c r="B49" s="190" t="s">
        <v>188</v>
      </c>
      <c r="C49" s="190" t="s">
        <v>189</v>
      </c>
      <c r="D49" s="190" t="n">
        <v>1</v>
      </c>
      <c r="E49" s="190" t="n">
        <v>1.5</v>
      </c>
      <c r="F49" s="190" t="n">
        <v>6</v>
      </c>
      <c r="G49" s="190" t="n">
        <v>773.4</v>
      </c>
      <c r="H49" s="190" t="s">
        <v>1722</v>
      </c>
      <c r="I49" s="190" t="s">
        <v>177</v>
      </c>
      <c r="J49" s="190"/>
    </row>
    <row r="50" customFormat="false" ht="14.25" hidden="false" customHeight="true" outlineLevel="0" collapsed="false">
      <c r="A50" s="190" t="s">
        <v>194</v>
      </c>
      <c r="B50" s="190" t="s">
        <v>192</v>
      </c>
      <c r="C50" s="190" t="s">
        <v>193</v>
      </c>
      <c r="D50" s="190" t="n">
        <v>1</v>
      </c>
      <c r="E50" s="190" t="n">
        <v>0</v>
      </c>
      <c r="F50" s="190" t="n">
        <v>20.5</v>
      </c>
      <c r="G50" s="190" t="n">
        <v>789.2</v>
      </c>
      <c r="H50" s="190" t="s">
        <v>1722</v>
      </c>
      <c r="I50" s="190" t="s">
        <v>177</v>
      </c>
      <c r="J50" s="190"/>
    </row>
    <row r="51" customFormat="false" ht="14.25" hidden="false" customHeight="true" outlineLevel="0" collapsed="false">
      <c r="A51" s="190" t="s">
        <v>197</v>
      </c>
      <c r="B51" s="190" t="s">
        <v>195</v>
      </c>
      <c r="C51" s="190" t="s">
        <v>196</v>
      </c>
      <c r="D51" s="190" t="n">
        <v>1</v>
      </c>
      <c r="E51" s="190" t="n">
        <v>4</v>
      </c>
      <c r="F51" s="190" t="n">
        <v>0</v>
      </c>
      <c r="G51" s="190" t="n">
        <v>0</v>
      </c>
      <c r="H51" s="190" t="s">
        <v>1721</v>
      </c>
      <c r="I51" s="190" t="s">
        <v>199</v>
      </c>
      <c r="J51" s="190" t="s">
        <v>1737</v>
      </c>
    </row>
    <row r="52" customFormat="false" ht="14.25" hidden="false" customHeight="true" outlineLevel="0" collapsed="false">
      <c r="A52" s="190" t="s">
        <v>202</v>
      </c>
      <c r="B52" s="190" t="s">
        <v>200</v>
      </c>
      <c r="C52" s="190" t="s">
        <v>201</v>
      </c>
      <c r="D52" s="190" t="n">
        <v>1</v>
      </c>
      <c r="E52" s="190" t="n">
        <v>4</v>
      </c>
      <c r="F52" s="190" t="n">
        <v>0</v>
      </c>
      <c r="G52" s="190" t="n">
        <v>0</v>
      </c>
      <c r="H52" s="190" t="s">
        <v>1721</v>
      </c>
      <c r="I52" s="190" t="s">
        <v>204</v>
      </c>
      <c r="J52" s="190" t="s">
        <v>1816</v>
      </c>
    </row>
    <row r="53" customFormat="false" ht="14.25" hidden="false" customHeight="true" outlineLevel="0" collapsed="false">
      <c r="A53" s="190" t="s">
        <v>207</v>
      </c>
      <c r="B53" s="190" t="s">
        <v>205</v>
      </c>
      <c r="C53" s="190" t="s">
        <v>206</v>
      </c>
      <c r="D53" s="190" t="n">
        <v>1</v>
      </c>
      <c r="E53" s="190" t="n">
        <v>2</v>
      </c>
      <c r="F53" s="190" t="n">
        <v>0</v>
      </c>
      <c r="G53" s="190" t="n">
        <v>0</v>
      </c>
      <c r="H53" s="190" t="s">
        <v>1721</v>
      </c>
      <c r="I53" s="190" t="s">
        <v>68</v>
      </c>
      <c r="J53" s="190" t="s">
        <v>1825</v>
      </c>
    </row>
    <row r="54" customFormat="false" ht="14.25" hidden="false" customHeight="true" outlineLevel="0" collapsed="false">
      <c r="A54" s="190" t="s">
        <v>211</v>
      </c>
      <c r="B54" s="190" t="s">
        <v>209</v>
      </c>
      <c r="C54" s="190" t="s">
        <v>210</v>
      </c>
      <c r="D54" s="190" t="n">
        <v>1</v>
      </c>
      <c r="E54" s="190" t="n">
        <v>0.5</v>
      </c>
      <c r="F54" s="190" t="n">
        <v>0</v>
      </c>
      <c r="G54" s="190" t="n">
        <v>0</v>
      </c>
      <c r="H54" s="190" t="s">
        <v>1721</v>
      </c>
      <c r="I54" s="190" t="s">
        <v>68</v>
      </c>
      <c r="J54" s="190" t="s">
        <v>1816</v>
      </c>
    </row>
    <row r="55" customFormat="false" ht="14.25" hidden="false" customHeight="true" outlineLevel="0" collapsed="false">
      <c r="A55" s="190" t="s">
        <v>215</v>
      </c>
      <c r="B55" s="190" t="s">
        <v>213</v>
      </c>
      <c r="C55" s="190" t="s">
        <v>214</v>
      </c>
      <c r="D55" s="190" t="n">
        <v>1</v>
      </c>
      <c r="E55" s="190" t="n">
        <v>6.92</v>
      </c>
      <c r="F55" s="190" t="n">
        <v>31.5</v>
      </c>
      <c r="G55" s="190" t="n">
        <v>825.1</v>
      </c>
      <c r="H55" s="190" t="s">
        <v>1722</v>
      </c>
      <c r="I55" s="190" t="s">
        <v>177</v>
      </c>
      <c r="J55" s="190"/>
    </row>
    <row r="56" customFormat="false" ht="14.25" hidden="false" customHeight="true" outlineLevel="0" collapsed="false">
      <c r="A56" s="190" t="s">
        <v>218</v>
      </c>
      <c r="B56" s="190" t="s">
        <v>216</v>
      </c>
      <c r="C56" s="190" t="s">
        <v>217</v>
      </c>
      <c r="D56" s="190" t="n">
        <v>1</v>
      </c>
      <c r="E56" s="190" t="n">
        <v>7.42</v>
      </c>
      <c r="F56" s="190" t="n">
        <v>7.5</v>
      </c>
      <c r="G56" s="190" t="n">
        <v>765.9</v>
      </c>
      <c r="H56" s="190" t="s">
        <v>1722</v>
      </c>
      <c r="I56" s="190" t="s">
        <v>177</v>
      </c>
      <c r="J56" s="190"/>
    </row>
    <row r="57" customFormat="false" ht="14.25" hidden="false" customHeight="true" outlineLevel="0" collapsed="false">
      <c r="A57" s="190" t="s">
        <v>237</v>
      </c>
      <c r="B57" s="190" t="s">
        <v>235</v>
      </c>
      <c r="C57" s="190" t="s">
        <v>236</v>
      </c>
      <c r="D57" s="190" t="n">
        <v>1</v>
      </c>
      <c r="E57" s="190" t="n">
        <v>0.05</v>
      </c>
      <c r="F57" s="190" t="n">
        <v>17.5</v>
      </c>
      <c r="G57" s="190" t="n">
        <v>437.6</v>
      </c>
      <c r="H57" s="190" t="s">
        <v>1722</v>
      </c>
      <c r="I57" s="190" t="s">
        <v>238</v>
      </c>
      <c r="J57" s="190" t="s">
        <v>1826</v>
      </c>
    </row>
    <row r="58" customFormat="false" ht="14.25" hidden="false" customHeight="true" outlineLevel="0" collapsed="false">
      <c r="A58" s="190" t="s">
        <v>1827</v>
      </c>
      <c r="B58" s="190" t="s">
        <v>1828</v>
      </c>
      <c r="C58" s="190" t="s">
        <v>1829</v>
      </c>
      <c r="D58" s="190" t="n">
        <v>1</v>
      </c>
      <c r="E58" s="190" t="n">
        <v>0.22</v>
      </c>
      <c r="F58" s="190" t="n">
        <v>0</v>
      </c>
      <c r="G58" s="190" t="n">
        <v>0</v>
      </c>
      <c r="H58" s="190" t="s">
        <v>1721</v>
      </c>
      <c r="I58" s="190" t="s">
        <v>1830</v>
      </c>
      <c r="J58" s="190" t="s">
        <v>1831</v>
      </c>
    </row>
    <row r="59" customFormat="false" ht="14.25" hidden="false" customHeight="true" outlineLevel="0" collapsed="false">
      <c r="A59" s="190" t="s">
        <v>1832</v>
      </c>
      <c r="B59" s="190" t="s">
        <v>1833</v>
      </c>
      <c r="C59" s="190" t="s">
        <v>1834</v>
      </c>
      <c r="D59" s="190" t="n">
        <v>1</v>
      </c>
      <c r="E59" s="190" t="n">
        <v>0.65</v>
      </c>
      <c r="F59" s="190" t="n">
        <v>0</v>
      </c>
      <c r="G59" s="190" t="n">
        <v>0</v>
      </c>
      <c r="H59" s="190" t="s">
        <v>1721</v>
      </c>
      <c r="I59" s="190" t="s">
        <v>1801</v>
      </c>
      <c r="J59" s="190" t="s">
        <v>1736</v>
      </c>
    </row>
    <row r="60" customFormat="false" ht="14.25" hidden="false" customHeight="true" outlineLevel="0" collapsed="false">
      <c r="A60" s="190" t="s">
        <v>1835</v>
      </c>
      <c r="B60" s="190" t="s">
        <v>1836</v>
      </c>
      <c r="C60" s="190" t="s">
        <v>1837</v>
      </c>
      <c r="D60" s="190" t="n">
        <v>1</v>
      </c>
      <c r="E60" s="190" t="n">
        <v>0.65</v>
      </c>
      <c r="F60" s="190" t="n">
        <v>0</v>
      </c>
      <c r="G60" s="190" t="n">
        <v>0</v>
      </c>
      <c r="H60" s="190" t="s">
        <v>1721</v>
      </c>
      <c r="I60" s="190" t="s">
        <v>97</v>
      </c>
      <c r="J60" s="190" t="s">
        <v>1838</v>
      </c>
    </row>
    <row r="61" customFormat="false" ht="14.25" hidden="false" customHeight="true" outlineLevel="0" collapsed="false">
      <c r="A61" s="190" t="s">
        <v>1839</v>
      </c>
      <c r="B61" s="190" t="s">
        <v>1840</v>
      </c>
      <c r="C61" s="190" t="s">
        <v>1841</v>
      </c>
      <c r="D61" s="190" t="n">
        <v>1</v>
      </c>
      <c r="E61" s="190" t="n">
        <v>1.1</v>
      </c>
      <c r="F61" s="190" t="n">
        <v>0</v>
      </c>
      <c r="G61" s="190" t="n">
        <v>0</v>
      </c>
      <c r="H61" s="190" t="s">
        <v>1721</v>
      </c>
      <c r="I61" s="190" t="s">
        <v>1742</v>
      </c>
      <c r="J61" s="190" t="s">
        <v>1842</v>
      </c>
    </row>
    <row r="62" customFormat="false" ht="14.25" hidden="false" customHeight="true" outlineLevel="0" collapsed="false">
      <c r="A62" s="190" t="s">
        <v>1843</v>
      </c>
      <c r="B62" s="190" t="s">
        <v>1844</v>
      </c>
      <c r="C62" s="190" t="s">
        <v>1845</v>
      </c>
      <c r="D62" s="190" t="n">
        <v>1</v>
      </c>
      <c r="E62" s="190" t="n">
        <v>0.43</v>
      </c>
      <c r="F62" s="190" t="n">
        <v>0</v>
      </c>
      <c r="G62" s="190" t="n">
        <v>0</v>
      </c>
      <c r="H62" s="190" t="s">
        <v>1721</v>
      </c>
      <c r="I62" s="190" t="s">
        <v>1846</v>
      </c>
      <c r="J62" s="190" t="s">
        <v>1847</v>
      </c>
    </row>
    <row r="63" customFormat="false" ht="14.25" hidden="false" customHeight="true" outlineLevel="0" collapsed="false">
      <c r="A63" s="190" t="s">
        <v>260</v>
      </c>
      <c r="B63" s="190" t="s">
        <v>258</v>
      </c>
      <c r="C63" s="190" t="s">
        <v>259</v>
      </c>
      <c r="D63" s="190" t="n">
        <v>1</v>
      </c>
      <c r="E63" s="190" t="n">
        <v>0</v>
      </c>
      <c r="F63" s="190" t="n">
        <v>3</v>
      </c>
      <c r="G63" s="190" t="n">
        <v>58.1</v>
      </c>
      <c r="H63" s="190" t="s">
        <v>1722</v>
      </c>
      <c r="I63" s="190" t="s">
        <v>261</v>
      </c>
      <c r="J63" s="190" t="s">
        <v>1848</v>
      </c>
    </row>
    <row r="64" customFormat="false" ht="14.25" hidden="false" customHeight="true" outlineLevel="0" collapsed="false">
      <c r="A64" s="190" t="s">
        <v>1849</v>
      </c>
      <c r="B64" s="190" t="s">
        <v>1850</v>
      </c>
      <c r="C64" s="190" t="s">
        <v>1851</v>
      </c>
      <c r="D64" s="190" t="n">
        <v>1</v>
      </c>
      <c r="E64" s="190" t="n">
        <v>1</v>
      </c>
      <c r="F64" s="190" t="n">
        <v>1</v>
      </c>
      <c r="G64" s="190" t="n">
        <v>285.2</v>
      </c>
      <c r="H64" s="190" t="s">
        <v>1722</v>
      </c>
      <c r="I64" s="190" t="s">
        <v>1852</v>
      </c>
      <c r="J64" s="190" t="s">
        <v>1853</v>
      </c>
    </row>
    <row r="65" customFormat="false" ht="14.25" hidden="false" customHeight="true" outlineLevel="0" collapsed="false">
      <c r="A65" s="190" t="s">
        <v>1854</v>
      </c>
      <c r="B65" s="190" t="s">
        <v>1855</v>
      </c>
      <c r="C65" s="190" t="s">
        <v>1856</v>
      </c>
      <c r="D65" s="190" t="n">
        <v>1</v>
      </c>
      <c r="E65" s="190" t="n">
        <v>5</v>
      </c>
      <c r="F65" s="190" t="n">
        <v>25.9</v>
      </c>
      <c r="G65" s="190" t="n">
        <v>810.5</v>
      </c>
      <c r="H65" s="190" t="s">
        <v>1722</v>
      </c>
      <c r="I65" s="190" t="s">
        <v>1762</v>
      </c>
      <c r="J65" s="190" t="s">
        <v>1857</v>
      </c>
    </row>
    <row r="66" customFormat="false" ht="14.25" hidden="false" customHeight="true" outlineLevel="0" collapsed="false">
      <c r="A66" s="190" t="s">
        <v>1858</v>
      </c>
      <c r="B66" s="190" t="s">
        <v>1859</v>
      </c>
      <c r="C66" s="190" t="s">
        <v>1860</v>
      </c>
      <c r="D66" s="190" t="s">
        <v>1861</v>
      </c>
      <c r="E66" s="190" t="n">
        <v>30.3</v>
      </c>
      <c r="F66" s="190" t="n">
        <v>64.7</v>
      </c>
      <c r="G66" s="190" t="n">
        <v>54.7</v>
      </c>
      <c r="H66" s="190" t="s">
        <v>1722</v>
      </c>
      <c r="I66" s="190" t="n">
        <v>53</v>
      </c>
      <c r="J66" s="190"/>
    </row>
    <row r="67" customFormat="false" ht="14.25" hidden="false" customHeight="true" outlineLevel="0" collapsed="false">
      <c r="A67" s="190" t="s">
        <v>1862</v>
      </c>
      <c r="B67" s="190" t="s">
        <v>1863</v>
      </c>
      <c r="C67" s="190" t="s">
        <v>1864</v>
      </c>
      <c r="D67" s="190" t="n">
        <v>1</v>
      </c>
      <c r="E67" s="190" t="n">
        <v>13</v>
      </c>
      <c r="F67" s="190" t="n">
        <v>0</v>
      </c>
      <c r="G67" s="190" t="n">
        <v>0</v>
      </c>
      <c r="H67" s="190" t="s">
        <v>1721</v>
      </c>
      <c r="I67" s="190" t="s">
        <v>1865</v>
      </c>
      <c r="J67" s="190" t="s">
        <v>1866</v>
      </c>
    </row>
    <row r="68" customFormat="false" ht="14.25" hidden="false" customHeight="true" outlineLevel="0" collapsed="false">
      <c r="A68" s="190" t="s">
        <v>1867</v>
      </c>
      <c r="B68" s="190" t="s">
        <v>1868</v>
      </c>
      <c r="C68" s="190" t="s">
        <v>1869</v>
      </c>
      <c r="D68" s="190" t="n">
        <v>1</v>
      </c>
      <c r="E68" s="190" t="n">
        <v>13</v>
      </c>
      <c r="F68" s="190" t="n">
        <v>0</v>
      </c>
      <c r="G68" s="190" t="n">
        <v>0</v>
      </c>
      <c r="H68" s="190" t="s">
        <v>1721</v>
      </c>
      <c r="I68" s="190" t="s">
        <v>1865</v>
      </c>
      <c r="J68" s="190" t="s">
        <v>1866</v>
      </c>
    </row>
    <row r="69" customFormat="false" ht="14.25" hidden="false" customHeight="true" outlineLevel="0" collapsed="false">
      <c r="A69" s="190" t="s">
        <v>1870</v>
      </c>
      <c r="B69" s="190" t="s">
        <v>1871</v>
      </c>
      <c r="C69" s="190" t="s">
        <v>1872</v>
      </c>
      <c r="D69" s="190" t="n">
        <v>1</v>
      </c>
      <c r="E69" s="190" t="n">
        <v>0.17</v>
      </c>
      <c r="F69" s="190" t="n">
        <v>4</v>
      </c>
      <c r="G69" s="190" t="n">
        <v>78.1</v>
      </c>
      <c r="H69" s="190" t="s">
        <v>1722</v>
      </c>
      <c r="I69" s="190" t="s">
        <v>1873</v>
      </c>
      <c r="J69" s="190" t="s">
        <v>1874</v>
      </c>
    </row>
    <row r="70" customFormat="false" ht="14.25" hidden="false" customHeight="true" outlineLevel="0" collapsed="false">
      <c r="A70" s="190" t="s">
        <v>1875</v>
      </c>
      <c r="B70" s="190" t="s">
        <v>1876</v>
      </c>
      <c r="C70" s="190" t="s">
        <v>1877</v>
      </c>
      <c r="D70" s="190" t="s">
        <v>1720</v>
      </c>
      <c r="E70" s="190" t="n">
        <v>0</v>
      </c>
      <c r="F70" s="190" t="n">
        <v>0</v>
      </c>
      <c r="G70" s="190" t="n">
        <v>0</v>
      </c>
      <c r="H70" s="190" t="s">
        <v>1721</v>
      </c>
      <c r="I70" s="190" t="s">
        <v>234</v>
      </c>
      <c r="J70" s="190"/>
    </row>
    <row r="71" customFormat="false" ht="14.25" hidden="false" customHeight="true" outlineLevel="0" collapsed="false">
      <c r="A71" s="190" t="s">
        <v>277</v>
      </c>
      <c r="B71" s="190" t="s">
        <v>275</v>
      </c>
      <c r="C71" s="190" t="s">
        <v>276</v>
      </c>
      <c r="D71" s="190" t="n">
        <v>1</v>
      </c>
      <c r="E71" s="190" t="n">
        <v>1</v>
      </c>
      <c r="F71" s="190" t="n">
        <v>0</v>
      </c>
      <c r="G71" s="190" t="n">
        <v>0</v>
      </c>
      <c r="H71" s="190" t="s">
        <v>1721</v>
      </c>
      <c r="I71" s="190" t="s">
        <v>279</v>
      </c>
      <c r="J71" s="190" t="s">
        <v>1878</v>
      </c>
    </row>
    <row r="72" customFormat="false" ht="14.25" hidden="false" customHeight="true" outlineLevel="0" collapsed="false">
      <c r="A72" s="190" t="s">
        <v>282</v>
      </c>
      <c r="B72" s="190" t="s">
        <v>280</v>
      </c>
      <c r="C72" s="190" t="s">
        <v>281</v>
      </c>
      <c r="D72" s="190" t="n">
        <v>1</v>
      </c>
      <c r="E72" s="190" t="n">
        <v>65</v>
      </c>
      <c r="F72" s="190" t="n">
        <v>0</v>
      </c>
      <c r="G72" s="190" t="n">
        <v>0</v>
      </c>
      <c r="H72" s="190" t="s">
        <v>1721</v>
      </c>
      <c r="I72" s="190" t="s">
        <v>283</v>
      </c>
      <c r="J72" s="190" t="s">
        <v>1879</v>
      </c>
    </row>
    <row r="73" customFormat="false" ht="14.25" hidden="false" customHeight="true" outlineLevel="0" collapsed="false">
      <c r="A73" s="190" t="s">
        <v>1880</v>
      </c>
      <c r="B73" s="190" t="s">
        <v>1881</v>
      </c>
      <c r="C73" s="190" t="s">
        <v>1882</v>
      </c>
      <c r="D73" s="190" t="n">
        <v>1</v>
      </c>
      <c r="E73" s="190" t="n">
        <v>0.22</v>
      </c>
      <c r="F73" s="190" t="n">
        <v>0</v>
      </c>
      <c r="G73" s="190" t="n">
        <v>0</v>
      </c>
      <c r="H73" s="190" t="s">
        <v>1721</v>
      </c>
      <c r="I73" s="190" t="s">
        <v>1883</v>
      </c>
      <c r="J73" s="190" t="s">
        <v>1831</v>
      </c>
    </row>
    <row r="74" customFormat="false" ht="14.25" hidden="false" customHeight="true" outlineLevel="0" collapsed="false">
      <c r="A74" s="190" t="s">
        <v>1884</v>
      </c>
      <c r="B74" s="190" t="s">
        <v>1885</v>
      </c>
      <c r="C74" s="190" t="s">
        <v>1886</v>
      </c>
      <c r="D74" s="190" t="n">
        <v>1</v>
      </c>
      <c r="E74" s="190" t="n">
        <v>0.1</v>
      </c>
      <c r="F74" s="190" t="n">
        <v>0</v>
      </c>
      <c r="G74" s="190" t="n">
        <v>0</v>
      </c>
      <c r="H74" s="190" t="s">
        <v>1721</v>
      </c>
      <c r="I74" s="190" t="s">
        <v>1883</v>
      </c>
      <c r="J74" s="190" t="s">
        <v>1743</v>
      </c>
    </row>
    <row r="75" customFormat="false" ht="14.25" hidden="false" customHeight="true" outlineLevel="0" collapsed="false">
      <c r="A75" s="190" t="s">
        <v>306</v>
      </c>
      <c r="B75" s="190" t="s">
        <v>304</v>
      </c>
      <c r="C75" s="190" t="s">
        <v>305</v>
      </c>
      <c r="D75" s="190" t="n">
        <v>1</v>
      </c>
      <c r="E75" s="190" t="n">
        <v>1</v>
      </c>
      <c r="F75" s="190" t="n">
        <v>0</v>
      </c>
      <c r="G75" s="190" t="n">
        <v>0</v>
      </c>
      <c r="H75" s="190" t="s">
        <v>1721</v>
      </c>
      <c r="I75" s="190" t="s">
        <v>53</v>
      </c>
      <c r="J75" s="190" t="s">
        <v>1887</v>
      </c>
    </row>
    <row r="76" customFormat="false" ht="14.25" hidden="false" customHeight="true" outlineLevel="0" collapsed="false">
      <c r="A76" s="190" t="s">
        <v>310</v>
      </c>
      <c r="B76" s="190" t="s">
        <v>308</v>
      </c>
      <c r="C76" s="190" t="s">
        <v>309</v>
      </c>
      <c r="D76" s="190" t="n">
        <v>1</v>
      </c>
      <c r="E76" s="190" t="n">
        <v>0</v>
      </c>
      <c r="F76" s="190" t="n">
        <v>1</v>
      </c>
      <c r="G76" s="190" t="n">
        <v>51.8</v>
      </c>
      <c r="H76" s="190" t="s">
        <v>1722</v>
      </c>
      <c r="I76" s="190" t="s">
        <v>53</v>
      </c>
      <c r="J76" s="190" t="s">
        <v>1847</v>
      </c>
    </row>
    <row r="77" customFormat="false" ht="14.25" hidden="false" customHeight="true" outlineLevel="0" collapsed="false">
      <c r="A77" s="190" t="s">
        <v>314</v>
      </c>
      <c r="B77" s="190" t="s">
        <v>312</v>
      </c>
      <c r="C77" s="190" t="s">
        <v>313</v>
      </c>
      <c r="D77" s="190" t="n">
        <v>1</v>
      </c>
      <c r="E77" s="190" t="n">
        <v>0.5</v>
      </c>
      <c r="F77" s="190" t="n">
        <v>0</v>
      </c>
      <c r="G77" s="190" t="n">
        <v>0</v>
      </c>
      <c r="H77" s="190" t="s">
        <v>1721</v>
      </c>
      <c r="I77" s="190" t="s">
        <v>53</v>
      </c>
      <c r="J77" s="190" t="s">
        <v>1888</v>
      </c>
    </row>
    <row r="78" customFormat="false" ht="14.25" hidden="false" customHeight="true" outlineLevel="0" collapsed="false">
      <c r="A78" s="190" t="s">
        <v>317</v>
      </c>
      <c r="B78" s="190" t="s">
        <v>315</v>
      </c>
      <c r="C78" s="190" t="s">
        <v>316</v>
      </c>
      <c r="D78" s="190" t="n">
        <v>1</v>
      </c>
      <c r="E78" s="190" t="n">
        <v>48</v>
      </c>
      <c r="F78" s="190" t="n">
        <v>156.5</v>
      </c>
      <c r="G78" s="190" t="n">
        <v>394.1</v>
      </c>
      <c r="H78" s="190" t="s">
        <v>1722</v>
      </c>
      <c r="I78" s="190" t="s">
        <v>204</v>
      </c>
      <c r="J78" s="190" t="s">
        <v>1889</v>
      </c>
    </row>
    <row r="79" customFormat="false" ht="14.25" hidden="false" customHeight="true" outlineLevel="0" collapsed="false">
      <c r="A79" s="190" t="s">
        <v>325</v>
      </c>
      <c r="B79" s="190" t="s">
        <v>323</v>
      </c>
      <c r="C79" s="190" t="s">
        <v>324</v>
      </c>
      <c r="D79" s="190" t="n">
        <v>1</v>
      </c>
      <c r="E79" s="190" t="n">
        <v>3.33</v>
      </c>
      <c r="F79" s="190" t="n">
        <v>2</v>
      </c>
      <c r="G79" s="190" t="n">
        <v>796.3</v>
      </c>
      <c r="H79" s="190" t="s">
        <v>1722</v>
      </c>
      <c r="I79" s="190" t="n">
        <v>25</v>
      </c>
      <c r="J79" s="190"/>
    </row>
    <row r="80" customFormat="false" ht="14.25" hidden="false" customHeight="true" outlineLevel="0" collapsed="false">
      <c r="A80" s="190" t="s">
        <v>329</v>
      </c>
      <c r="B80" s="190" t="s">
        <v>327</v>
      </c>
      <c r="C80" s="190" t="s">
        <v>328</v>
      </c>
      <c r="D80" s="190" t="n">
        <v>1</v>
      </c>
      <c r="E80" s="190" t="n">
        <v>11.67</v>
      </c>
      <c r="F80" s="190" t="n">
        <v>3</v>
      </c>
      <c r="G80" s="190" t="n">
        <v>796.7</v>
      </c>
      <c r="H80" s="190" t="s">
        <v>1722</v>
      </c>
      <c r="I80" s="190" t="n">
        <v>25</v>
      </c>
      <c r="J80" s="190"/>
    </row>
    <row r="81" customFormat="false" ht="14.25" hidden="false" customHeight="true" outlineLevel="0" collapsed="false">
      <c r="A81" s="190" t="s">
        <v>332</v>
      </c>
      <c r="B81" s="190" t="s">
        <v>330</v>
      </c>
      <c r="C81" s="190" t="s">
        <v>331</v>
      </c>
      <c r="D81" s="190" t="n">
        <v>1</v>
      </c>
      <c r="E81" s="190" t="n">
        <v>5.17</v>
      </c>
      <c r="F81" s="190" t="n">
        <v>7</v>
      </c>
      <c r="G81" s="190" t="n">
        <v>765.8</v>
      </c>
      <c r="H81" s="190" t="s">
        <v>1722</v>
      </c>
      <c r="I81" s="190" t="n">
        <v>25</v>
      </c>
      <c r="J81" s="190"/>
    </row>
    <row r="82" customFormat="false" ht="14.25" hidden="false" customHeight="true" outlineLevel="0" collapsed="false">
      <c r="A82" s="190" t="s">
        <v>335</v>
      </c>
      <c r="B82" s="190" t="s">
        <v>333</v>
      </c>
      <c r="C82" s="190" t="s">
        <v>334</v>
      </c>
      <c r="D82" s="190" t="n">
        <v>1</v>
      </c>
      <c r="E82" s="190" t="n">
        <v>3</v>
      </c>
      <c r="F82" s="190" t="n">
        <v>9</v>
      </c>
      <c r="G82" s="190" t="n">
        <v>741.7</v>
      </c>
      <c r="H82" s="190" t="s">
        <v>1722</v>
      </c>
      <c r="I82" s="190" t="n">
        <v>25</v>
      </c>
      <c r="J82" s="190"/>
    </row>
    <row r="83" customFormat="false" ht="14.25" hidden="false" customHeight="true" outlineLevel="0" collapsed="false">
      <c r="A83" s="190" t="s">
        <v>338</v>
      </c>
      <c r="B83" s="190" t="s">
        <v>336</v>
      </c>
      <c r="C83" s="190" t="s">
        <v>337</v>
      </c>
      <c r="D83" s="190" t="n">
        <v>1</v>
      </c>
      <c r="E83" s="190" t="n">
        <v>1.83</v>
      </c>
      <c r="F83" s="190" t="n">
        <v>73</v>
      </c>
      <c r="G83" s="190" t="n">
        <v>779.8</v>
      </c>
      <c r="H83" s="190" t="s">
        <v>1722</v>
      </c>
      <c r="I83" s="190" t="n">
        <v>25</v>
      </c>
      <c r="J83" s="190"/>
    </row>
    <row r="84" customFormat="false" ht="14.25" hidden="false" customHeight="true" outlineLevel="0" collapsed="false">
      <c r="A84" s="190" t="s">
        <v>342</v>
      </c>
      <c r="B84" s="190" t="s">
        <v>340</v>
      </c>
      <c r="C84" s="190" t="s">
        <v>341</v>
      </c>
      <c r="D84" s="190" t="n">
        <v>1</v>
      </c>
      <c r="E84" s="190" t="n">
        <v>2</v>
      </c>
      <c r="F84" s="190" t="n">
        <v>44</v>
      </c>
      <c r="G84" s="190" t="n">
        <v>768.7</v>
      </c>
      <c r="H84" s="190" t="s">
        <v>1722</v>
      </c>
      <c r="I84" s="190" t="n">
        <v>25</v>
      </c>
      <c r="J84" s="190"/>
    </row>
    <row r="85" customFormat="false" ht="14.25" hidden="false" customHeight="true" outlineLevel="0" collapsed="false">
      <c r="A85" s="190" t="s">
        <v>345</v>
      </c>
      <c r="B85" s="190" t="s">
        <v>343</v>
      </c>
      <c r="C85" s="190" t="s">
        <v>344</v>
      </c>
      <c r="D85" s="190" t="n">
        <v>1</v>
      </c>
      <c r="E85" s="190" t="n">
        <v>2</v>
      </c>
      <c r="F85" s="190" t="n">
        <v>11.5</v>
      </c>
      <c r="G85" s="190" t="n">
        <v>765.9</v>
      </c>
      <c r="H85" s="190" t="s">
        <v>1722</v>
      </c>
      <c r="I85" s="190" t="n">
        <v>25</v>
      </c>
      <c r="J85" s="190"/>
    </row>
    <row r="86" customFormat="false" ht="14.25" hidden="false" customHeight="true" outlineLevel="0" collapsed="false">
      <c r="A86" s="190" t="s">
        <v>348</v>
      </c>
      <c r="B86" s="190" t="s">
        <v>346</v>
      </c>
      <c r="C86" s="190" t="s">
        <v>347</v>
      </c>
      <c r="D86" s="190" t="n">
        <v>1</v>
      </c>
      <c r="E86" s="190" t="n">
        <v>3</v>
      </c>
      <c r="F86" s="190" t="n">
        <v>0</v>
      </c>
      <c r="G86" s="190" t="n">
        <v>0</v>
      </c>
      <c r="H86" s="190" t="s">
        <v>1721</v>
      </c>
      <c r="I86" s="190" t="n">
        <v>25</v>
      </c>
      <c r="J86" s="190"/>
    </row>
    <row r="87" customFormat="false" ht="14.25" hidden="false" customHeight="true" outlineLevel="0" collapsed="false">
      <c r="A87" s="190" t="s">
        <v>354</v>
      </c>
      <c r="B87" s="190" t="s">
        <v>352</v>
      </c>
      <c r="C87" s="190" t="s">
        <v>353</v>
      </c>
      <c r="D87" s="190" t="n">
        <v>1</v>
      </c>
      <c r="E87" s="190" t="n">
        <v>0.5</v>
      </c>
      <c r="F87" s="190" t="n">
        <v>209.5</v>
      </c>
      <c r="G87" s="190" t="n">
        <v>634.6</v>
      </c>
      <c r="H87" s="190" t="s">
        <v>1722</v>
      </c>
      <c r="I87" s="190" t="n">
        <v>25</v>
      </c>
      <c r="J87" s="190"/>
    </row>
    <row r="88" customFormat="false" ht="14.25" hidden="false" customHeight="true" outlineLevel="0" collapsed="false">
      <c r="A88" s="190" t="s">
        <v>357</v>
      </c>
      <c r="B88" s="190" t="s">
        <v>355</v>
      </c>
      <c r="C88" s="190" t="s">
        <v>356</v>
      </c>
      <c r="D88" s="190" t="n">
        <v>1</v>
      </c>
      <c r="E88" s="190" t="n">
        <v>38</v>
      </c>
      <c r="F88" s="190" t="n">
        <v>254</v>
      </c>
      <c r="G88" s="190" t="n">
        <v>801.1</v>
      </c>
      <c r="H88" s="190" t="s">
        <v>1722</v>
      </c>
      <c r="I88" s="190" t="s">
        <v>358</v>
      </c>
      <c r="J88" s="190" t="s">
        <v>1847</v>
      </c>
    </row>
    <row r="89" customFormat="false" ht="14.25" hidden="false" customHeight="true" outlineLevel="0" collapsed="false">
      <c r="A89" s="190" t="s">
        <v>361</v>
      </c>
      <c r="B89" s="190" t="s">
        <v>359</v>
      </c>
      <c r="C89" s="190" t="s">
        <v>360</v>
      </c>
      <c r="D89" s="190" t="n">
        <v>1</v>
      </c>
      <c r="E89" s="190" t="n">
        <v>2</v>
      </c>
      <c r="F89" s="190" t="n">
        <v>19.5</v>
      </c>
      <c r="G89" s="190" t="n">
        <v>769.5</v>
      </c>
      <c r="H89" s="190" t="s">
        <v>1722</v>
      </c>
      <c r="I89" s="190" t="s">
        <v>358</v>
      </c>
      <c r="J89" s="190" t="s">
        <v>1736</v>
      </c>
    </row>
    <row r="90" customFormat="false" ht="14.25" hidden="false" customHeight="true" outlineLevel="0" collapsed="false">
      <c r="A90" s="190" t="s">
        <v>365</v>
      </c>
      <c r="B90" s="190" t="s">
        <v>363</v>
      </c>
      <c r="C90" s="190" t="s">
        <v>364</v>
      </c>
      <c r="D90" s="190" t="n">
        <v>1</v>
      </c>
      <c r="E90" s="190" t="n">
        <v>3</v>
      </c>
      <c r="F90" s="190" t="n">
        <v>28</v>
      </c>
      <c r="G90" s="190" t="n">
        <v>775</v>
      </c>
      <c r="H90" s="190" t="s">
        <v>1722</v>
      </c>
      <c r="I90" s="190" t="s">
        <v>358</v>
      </c>
      <c r="J90" s="190" t="s">
        <v>1847</v>
      </c>
    </row>
    <row r="91" customFormat="false" ht="14.25" hidden="false" customHeight="true" outlineLevel="0" collapsed="false">
      <c r="A91" s="190" t="s">
        <v>368</v>
      </c>
      <c r="B91" s="190" t="s">
        <v>366</v>
      </c>
      <c r="C91" s="190" t="s">
        <v>367</v>
      </c>
      <c r="D91" s="190" t="n">
        <v>1</v>
      </c>
      <c r="E91" s="190" t="n">
        <v>7</v>
      </c>
      <c r="F91" s="190" t="n">
        <v>6</v>
      </c>
      <c r="G91" s="190" t="n">
        <v>776</v>
      </c>
      <c r="H91" s="190" t="s">
        <v>1722</v>
      </c>
      <c r="I91" s="190" t="s">
        <v>358</v>
      </c>
      <c r="J91" s="190" t="s">
        <v>1889</v>
      </c>
    </row>
    <row r="92" customFormat="false" ht="14.25" hidden="false" customHeight="true" outlineLevel="0" collapsed="false">
      <c r="A92" s="190" t="s">
        <v>371</v>
      </c>
      <c r="B92" s="190" t="s">
        <v>369</v>
      </c>
      <c r="C92" s="190" t="s">
        <v>370</v>
      </c>
      <c r="D92" s="190" t="n">
        <v>1</v>
      </c>
      <c r="E92" s="190" t="n">
        <v>0.25</v>
      </c>
      <c r="F92" s="190" t="n">
        <v>6.42</v>
      </c>
      <c r="G92" s="190" t="n">
        <v>103</v>
      </c>
      <c r="H92" s="190" t="s">
        <v>1722</v>
      </c>
      <c r="I92" s="190" t="s">
        <v>63</v>
      </c>
      <c r="J92" s="190" t="s">
        <v>1890</v>
      </c>
    </row>
    <row r="93" customFormat="false" ht="14.25" hidden="false" customHeight="true" outlineLevel="0" collapsed="false">
      <c r="A93" s="190" t="s">
        <v>1891</v>
      </c>
      <c r="B93" s="190" t="s">
        <v>1892</v>
      </c>
      <c r="C93" s="190" t="s">
        <v>1893</v>
      </c>
      <c r="D93" s="190" t="n">
        <v>1</v>
      </c>
      <c r="E93" s="190" t="n">
        <v>1.2</v>
      </c>
      <c r="F93" s="190" t="n">
        <v>20.08</v>
      </c>
      <c r="G93" s="190" t="n">
        <v>645.3</v>
      </c>
      <c r="H93" s="190" t="s">
        <v>1722</v>
      </c>
      <c r="I93" s="190" t="s">
        <v>1894</v>
      </c>
      <c r="J93" s="190" t="s">
        <v>1895</v>
      </c>
    </row>
    <row r="94" customFormat="false" ht="14.25" hidden="false" customHeight="true" outlineLevel="0" collapsed="false">
      <c r="A94" s="190" t="s">
        <v>384</v>
      </c>
      <c r="B94" s="190" t="s">
        <v>382</v>
      </c>
      <c r="C94" s="190" t="s">
        <v>383</v>
      </c>
      <c r="D94" s="190" t="n">
        <v>1</v>
      </c>
      <c r="E94" s="190" t="n">
        <v>0.5</v>
      </c>
      <c r="F94" s="190" t="n">
        <v>52.5</v>
      </c>
      <c r="G94" s="190" t="n">
        <v>824.6</v>
      </c>
      <c r="H94" s="190" t="s">
        <v>1722</v>
      </c>
      <c r="I94" s="190" t="s">
        <v>53</v>
      </c>
      <c r="J94" s="190" t="s">
        <v>1896</v>
      </c>
    </row>
    <row r="95" customFormat="false" ht="14.25" hidden="false" customHeight="true" outlineLevel="0" collapsed="false">
      <c r="A95" s="190" t="s">
        <v>1897</v>
      </c>
      <c r="B95" s="190" t="s">
        <v>1898</v>
      </c>
      <c r="C95" s="190" t="s">
        <v>1899</v>
      </c>
      <c r="D95" s="190" t="n">
        <v>1</v>
      </c>
      <c r="E95" s="190" t="n">
        <v>1.1</v>
      </c>
      <c r="F95" s="190" t="n">
        <v>0</v>
      </c>
      <c r="G95" s="190" t="n">
        <v>0</v>
      </c>
      <c r="H95" s="190" t="s">
        <v>1722</v>
      </c>
      <c r="I95" s="190" t="s">
        <v>1900</v>
      </c>
      <c r="J95" s="190" t="s">
        <v>1831</v>
      </c>
    </row>
    <row r="96" customFormat="false" ht="14.25" hidden="false" customHeight="true" outlineLevel="0" collapsed="false">
      <c r="A96" s="190" t="s">
        <v>1901</v>
      </c>
      <c r="B96" s="190" t="s">
        <v>1902</v>
      </c>
      <c r="C96" s="190" t="s">
        <v>1903</v>
      </c>
      <c r="D96" s="190" t="n">
        <v>1</v>
      </c>
      <c r="E96" s="190" t="n">
        <v>0.65</v>
      </c>
      <c r="F96" s="190" t="n">
        <v>12.5</v>
      </c>
      <c r="G96" s="190" t="n">
        <v>752.3</v>
      </c>
      <c r="H96" s="190" t="s">
        <v>1722</v>
      </c>
      <c r="I96" s="190" t="s">
        <v>1904</v>
      </c>
      <c r="J96" s="190" t="s">
        <v>1905</v>
      </c>
    </row>
    <row r="97" customFormat="false" ht="14.25" hidden="false" customHeight="true" outlineLevel="0" collapsed="false">
      <c r="A97" s="190" t="s">
        <v>1906</v>
      </c>
      <c r="B97" s="190" t="s">
        <v>1907</v>
      </c>
      <c r="C97" s="190" t="s">
        <v>1908</v>
      </c>
      <c r="D97" s="190" t="n">
        <v>1</v>
      </c>
      <c r="E97" s="190" t="n">
        <v>0.65</v>
      </c>
      <c r="F97" s="190" t="n">
        <v>16</v>
      </c>
      <c r="G97" s="190" t="n">
        <v>752.5</v>
      </c>
      <c r="H97" s="190" t="s">
        <v>1722</v>
      </c>
      <c r="I97" s="190" t="s">
        <v>1904</v>
      </c>
      <c r="J97" s="190" t="s">
        <v>1905</v>
      </c>
    </row>
    <row r="98" customFormat="false" ht="14.25" hidden="false" customHeight="true" outlineLevel="0" collapsed="false">
      <c r="A98" s="190" t="s">
        <v>391</v>
      </c>
      <c r="B98" s="190" t="s">
        <v>389</v>
      </c>
      <c r="C98" s="190" t="s">
        <v>390</v>
      </c>
      <c r="D98" s="190" t="n">
        <v>1</v>
      </c>
      <c r="E98" s="190" t="n">
        <v>38</v>
      </c>
      <c r="F98" s="190" t="n">
        <v>104.8</v>
      </c>
      <c r="G98" s="190" t="n">
        <v>464.7</v>
      </c>
      <c r="H98" s="190" t="s">
        <v>1722</v>
      </c>
      <c r="I98" s="190" t="s">
        <v>1909</v>
      </c>
      <c r="J98" s="190" t="s">
        <v>1910</v>
      </c>
    </row>
    <row r="99" customFormat="false" ht="14.25" hidden="false" customHeight="true" outlineLevel="0" collapsed="false">
      <c r="A99" s="190" t="s">
        <v>1911</v>
      </c>
      <c r="B99" s="190" t="s">
        <v>1912</v>
      </c>
      <c r="C99" s="190" t="s">
        <v>1913</v>
      </c>
      <c r="D99" s="190" t="n">
        <v>1</v>
      </c>
      <c r="E99" s="190" t="n">
        <v>0</v>
      </c>
      <c r="F99" s="190" t="n">
        <v>25.1</v>
      </c>
      <c r="G99" s="190" t="n">
        <v>633</v>
      </c>
      <c r="H99" s="190" t="s">
        <v>1722</v>
      </c>
      <c r="I99" s="190" t="s">
        <v>1914</v>
      </c>
      <c r="J99" s="190" t="s">
        <v>1915</v>
      </c>
    </row>
    <row r="100" customFormat="false" ht="14.25" hidden="false" customHeight="true" outlineLevel="0" collapsed="false">
      <c r="A100" s="190" t="s">
        <v>1916</v>
      </c>
      <c r="B100" s="190" t="s">
        <v>1917</v>
      </c>
      <c r="C100" s="190" t="s">
        <v>1918</v>
      </c>
      <c r="D100" s="190" t="n">
        <v>1</v>
      </c>
      <c r="E100" s="190" t="n">
        <v>0.65</v>
      </c>
      <c r="F100" s="190" t="n">
        <v>0</v>
      </c>
      <c r="G100" s="190" t="n">
        <v>0</v>
      </c>
      <c r="H100" s="190" t="s">
        <v>1721</v>
      </c>
      <c r="I100" s="190" t="s">
        <v>1919</v>
      </c>
      <c r="J100" s="190" t="s">
        <v>1842</v>
      </c>
    </row>
    <row r="101" customFormat="false" ht="14.25" hidden="false" customHeight="true" outlineLevel="0" collapsed="false">
      <c r="A101" s="190" t="s">
        <v>1920</v>
      </c>
      <c r="B101" s="190" t="s">
        <v>1921</v>
      </c>
      <c r="C101" s="190" t="s">
        <v>1922</v>
      </c>
      <c r="D101" s="190" t="n">
        <v>1</v>
      </c>
      <c r="E101" s="190" t="n">
        <v>17.6</v>
      </c>
      <c r="F101" s="190" t="n">
        <v>0</v>
      </c>
      <c r="G101" s="190" t="n">
        <v>0</v>
      </c>
      <c r="H101" s="190" t="s">
        <v>1721</v>
      </c>
      <c r="I101" s="190" t="s">
        <v>1873</v>
      </c>
      <c r="J101" s="190" t="s">
        <v>1737</v>
      </c>
    </row>
    <row r="102" customFormat="false" ht="14.25" hidden="false" customHeight="true" outlineLevel="0" collapsed="false">
      <c r="A102" s="190" t="s">
        <v>1923</v>
      </c>
      <c r="B102" s="190" t="s">
        <v>1924</v>
      </c>
      <c r="C102" s="190" t="s">
        <v>1925</v>
      </c>
      <c r="D102" s="190" t="n">
        <v>1</v>
      </c>
      <c r="E102" s="190" t="n">
        <v>17.6</v>
      </c>
      <c r="F102" s="190" t="n">
        <v>0</v>
      </c>
      <c r="G102" s="190" t="n">
        <v>0</v>
      </c>
      <c r="H102" s="190" t="s">
        <v>1721</v>
      </c>
      <c r="I102" s="190" t="s">
        <v>1873</v>
      </c>
      <c r="J102" s="190" t="s">
        <v>1737</v>
      </c>
    </row>
    <row r="103" customFormat="false" ht="14.25" hidden="false" customHeight="true" outlineLevel="0" collapsed="false">
      <c r="A103" s="190" t="s">
        <v>1926</v>
      </c>
      <c r="B103" s="190" t="s">
        <v>1927</v>
      </c>
      <c r="C103" s="190" t="s">
        <v>1928</v>
      </c>
      <c r="D103" s="190" t="n">
        <v>1</v>
      </c>
      <c r="E103" s="190" t="n">
        <v>0.22</v>
      </c>
      <c r="F103" s="190" t="n">
        <v>0</v>
      </c>
      <c r="G103" s="190" t="n">
        <v>0</v>
      </c>
      <c r="H103" s="190" t="s">
        <v>1721</v>
      </c>
      <c r="I103" s="190" t="s">
        <v>1873</v>
      </c>
      <c r="J103" s="190" t="s">
        <v>1821</v>
      </c>
    </row>
    <row r="104" customFormat="false" ht="14.25" hidden="false" customHeight="true" outlineLevel="0" collapsed="false">
      <c r="A104" s="190" t="s">
        <v>1929</v>
      </c>
      <c r="B104" s="190" t="s">
        <v>1930</v>
      </c>
      <c r="C104" s="190" t="s">
        <v>1931</v>
      </c>
      <c r="D104" s="190" t="n">
        <v>1</v>
      </c>
      <c r="E104" s="190" t="n">
        <v>0.43</v>
      </c>
      <c r="F104" s="190" t="n">
        <v>0</v>
      </c>
      <c r="G104" s="190" t="n">
        <v>0</v>
      </c>
      <c r="H104" s="190" t="s">
        <v>1721</v>
      </c>
      <c r="I104" s="190" t="s">
        <v>1932</v>
      </c>
      <c r="J104" s="190" t="s">
        <v>1743</v>
      </c>
    </row>
    <row r="105" customFormat="false" ht="14.25" hidden="false" customHeight="true" outlineLevel="0" collapsed="false">
      <c r="A105" s="190" t="s">
        <v>1933</v>
      </c>
      <c r="B105" s="190" t="s">
        <v>1934</v>
      </c>
      <c r="C105" s="190" t="s">
        <v>1935</v>
      </c>
      <c r="D105" s="190" t="n">
        <v>1</v>
      </c>
      <c r="E105" s="190" t="n">
        <v>1.4</v>
      </c>
      <c r="F105" s="190" t="n">
        <v>8.02</v>
      </c>
      <c r="G105" s="190" t="n">
        <v>693.8</v>
      </c>
      <c r="H105" s="190" t="s">
        <v>1722</v>
      </c>
      <c r="I105" s="190" t="s">
        <v>1936</v>
      </c>
      <c r="J105" s="190" t="s">
        <v>1731</v>
      </c>
    </row>
    <row r="106" customFormat="false" ht="14.25" hidden="false" customHeight="true" outlineLevel="0" collapsed="false">
      <c r="A106" s="190" t="s">
        <v>1937</v>
      </c>
      <c r="B106" s="190" t="s">
        <v>1938</v>
      </c>
      <c r="C106" s="190" t="s">
        <v>1939</v>
      </c>
      <c r="D106" s="190" t="n">
        <v>1</v>
      </c>
      <c r="E106" s="190" t="n">
        <v>1.4</v>
      </c>
      <c r="F106" s="190" t="n">
        <v>1.33</v>
      </c>
      <c r="G106" s="190" t="n">
        <v>695</v>
      </c>
      <c r="H106" s="190" t="s">
        <v>1722</v>
      </c>
      <c r="I106" s="190" t="s">
        <v>1936</v>
      </c>
      <c r="J106" s="190" t="s">
        <v>1731</v>
      </c>
    </row>
    <row r="107" customFormat="false" ht="14.25" hidden="false" customHeight="true" outlineLevel="0" collapsed="false">
      <c r="A107" s="190" t="s">
        <v>1940</v>
      </c>
      <c r="B107" s="190" t="s">
        <v>1941</v>
      </c>
      <c r="C107" s="190" t="s">
        <v>1942</v>
      </c>
      <c r="D107" s="190" t="n">
        <v>1</v>
      </c>
      <c r="E107" s="190" t="n">
        <v>0.22</v>
      </c>
      <c r="F107" s="190" t="n">
        <v>0</v>
      </c>
      <c r="G107" s="190" t="n">
        <v>0</v>
      </c>
      <c r="H107" s="190" t="s">
        <v>1721</v>
      </c>
      <c r="I107" s="190" t="s">
        <v>1873</v>
      </c>
      <c r="J107" s="190" t="s">
        <v>1821</v>
      </c>
    </row>
    <row r="108" customFormat="false" ht="14.25" hidden="false" customHeight="true" outlineLevel="0" collapsed="false">
      <c r="A108" s="190" t="s">
        <v>1943</v>
      </c>
      <c r="B108" s="190" t="s">
        <v>1944</v>
      </c>
      <c r="C108" s="190" t="s">
        <v>1945</v>
      </c>
      <c r="D108" s="190" t="n">
        <v>1</v>
      </c>
      <c r="E108" s="190" t="n">
        <v>0.17</v>
      </c>
      <c r="F108" s="190" t="n">
        <v>16</v>
      </c>
      <c r="G108" s="190" t="n">
        <v>837.2</v>
      </c>
      <c r="H108" s="190" t="s">
        <v>1722</v>
      </c>
      <c r="I108" s="190" t="s">
        <v>1946</v>
      </c>
      <c r="J108" s="190" t="s">
        <v>1947</v>
      </c>
    </row>
    <row r="109" customFormat="false" ht="14.25" hidden="false" customHeight="true" outlineLevel="0" collapsed="false">
      <c r="A109" s="190" t="s">
        <v>1948</v>
      </c>
      <c r="B109" s="190" t="s">
        <v>1949</v>
      </c>
      <c r="C109" s="190" t="s">
        <v>1950</v>
      </c>
      <c r="D109" s="190" t="n">
        <v>1</v>
      </c>
      <c r="E109" s="190" t="n">
        <v>0.17</v>
      </c>
      <c r="F109" s="190" t="n">
        <v>16</v>
      </c>
      <c r="G109" s="190" t="n">
        <v>837.2</v>
      </c>
      <c r="H109" s="190" t="s">
        <v>1722</v>
      </c>
      <c r="I109" s="190" t="s">
        <v>1946</v>
      </c>
      <c r="J109" s="190" t="s">
        <v>1947</v>
      </c>
    </row>
    <row r="110" customFormat="false" ht="14.25" hidden="false" customHeight="true" outlineLevel="0" collapsed="false">
      <c r="A110" s="190" t="s">
        <v>1951</v>
      </c>
      <c r="B110" s="190" t="s">
        <v>1952</v>
      </c>
      <c r="C110" s="190" t="s">
        <v>1953</v>
      </c>
      <c r="D110" s="190" t="n">
        <v>1</v>
      </c>
      <c r="E110" s="190" t="n">
        <v>3.22</v>
      </c>
      <c r="F110" s="190" t="n">
        <v>0.5</v>
      </c>
      <c r="G110" s="190" t="n">
        <v>219.2</v>
      </c>
      <c r="H110" s="190" t="s">
        <v>1722</v>
      </c>
      <c r="I110" s="190" t="s">
        <v>1954</v>
      </c>
      <c r="J110" s="190" t="s">
        <v>1743</v>
      </c>
    </row>
    <row r="111" customFormat="false" ht="14.25" hidden="false" customHeight="true" outlineLevel="0" collapsed="false">
      <c r="A111" s="190" t="s">
        <v>1955</v>
      </c>
      <c r="B111" s="190" t="s">
        <v>1956</v>
      </c>
      <c r="C111" s="190" t="s">
        <v>1957</v>
      </c>
      <c r="D111" s="190" t="n">
        <v>1</v>
      </c>
      <c r="E111" s="190" t="n">
        <v>0.22</v>
      </c>
      <c r="F111" s="190" t="n">
        <v>0</v>
      </c>
      <c r="G111" s="190" t="n">
        <v>0</v>
      </c>
      <c r="H111" s="190" t="s">
        <v>1721</v>
      </c>
      <c r="I111" s="190" t="s">
        <v>1958</v>
      </c>
      <c r="J111" s="190" t="s">
        <v>1959</v>
      </c>
    </row>
    <row r="112" customFormat="false" ht="14.25" hidden="false" customHeight="true" outlineLevel="0" collapsed="false">
      <c r="A112" s="190" t="s">
        <v>1960</v>
      </c>
      <c r="B112" s="190" t="s">
        <v>1961</v>
      </c>
      <c r="C112" s="190" t="s">
        <v>1962</v>
      </c>
      <c r="D112" s="190" t="n">
        <v>1</v>
      </c>
      <c r="E112" s="190" t="n">
        <v>1.32</v>
      </c>
      <c r="F112" s="190" t="n">
        <v>0</v>
      </c>
      <c r="G112" s="190" t="n">
        <v>0</v>
      </c>
      <c r="H112" s="190" t="s">
        <v>1721</v>
      </c>
      <c r="I112" s="190" t="s">
        <v>1742</v>
      </c>
      <c r="J112" s="190" t="s">
        <v>1743</v>
      </c>
    </row>
    <row r="113" customFormat="false" ht="14.25" hidden="false" customHeight="true" outlineLevel="0" collapsed="false">
      <c r="A113" s="190" t="s">
        <v>1963</v>
      </c>
      <c r="B113" s="190" t="s">
        <v>1964</v>
      </c>
      <c r="C113" s="190" t="s">
        <v>1965</v>
      </c>
      <c r="D113" s="190" t="n">
        <v>1</v>
      </c>
      <c r="E113" s="190" t="n">
        <v>0.53</v>
      </c>
      <c r="F113" s="190" t="n">
        <v>0</v>
      </c>
      <c r="G113" s="190" t="n">
        <v>0</v>
      </c>
      <c r="H113" s="190" t="s">
        <v>1721</v>
      </c>
      <c r="I113" s="190" t="s">
        <v>1742</v>
      </c>
      <c r="J113" s="190" t="s">
        <v>1966</v>
      </c>
    </row>
    <row r="114" customFormat="false" ht="14.25" hidden="false" customHeight="true" outlineLevel="0" collapsed="false">
      <c r="A114" s="190" t="s">
        <v>1967</v>
      </c>
      <c r="B114" s="190" t="s">
        <v>1968</v>
      </c>
      <c r="C114" s="190" t="s">
        <v>1969</v>
      </c>
      <c r="D114" s="190" t="n">
        <v>1</v>
      </c>
      <c r="E114" s="190" t="n">
        <v>0.45</v>
      </c>
      <c r="F114" s="190" t="n">
        <v>0</v>
      </c>
      <c r="G114" s="190" t="n">
        <v>0</v>
      </c>
      <c r="H114" s="190" t="s">
        <v>1721</v>
      </c>
      <c r="I114" s="190" t="s">
        <v>1970</v>
      </c>
      <c r="J114" s="190" t="s">
        <v>1959</v>
      </c>
    </row>
    <row r="115" customFormat="false" ht="14.25" hidden="false" customHeight="true" outlineLevel="0" collapsed="false">
      <c r="A115" s="190" t="s">
        <v>1971</v>
      </c>
      <c r="B115" s="190" t="s">
        <v>1972</v>
      </c>
      <c r="C115" s="190" t="s">
        <v>1973</v>
      </c>
      <c r="D115" s="190" t="n">
        <v>1</v>
      </c>
      <c r="E115" s="190" t="n">
        <v>0.55</v>
      </c>
      <c r="F115" s="190" t="n">
        <v>0</v>
      </c>
      <c r="G115" s="190" t="n">
        <v>0</v>
      </c>
      <c r="H115" s="190" t="s">
        <v>1721</v>
      </c>
      <c r="I115" s="190" t="s">
        <v>1970</v>
      </c>
      <c r="J115" s="190" t="s">
        <v>1831</v>
      </c>
    </row>
    <row r="116" customFormat="false" ht="14.25" hidden="false" customHeight="true" outlineLevel="0" collapsed="false">
      <c r="A116" s="190" t="s">
        <v>1974</v>
      </c>
      <c r="B116" s="190" t="s">
        <v>1975</v>
      </c>
      <c r="C116" s="190" t="s">
        <v>1976</v>
      </c>
      <c r="D116" s="190" t="n">
        <v>1</v>
      </c>
      <c r="E116" s="190" t="n">
        <v>0.87</v>
      </c>
      <c r="F116" s="190" t="n">
        <v>1.02</v>
      </c>
      <c r="G116" s="190" t="n">
        <v>434</v>
      </c>
      <c r="H116" s="190" t="s">
        <v>1722</v>
      </c>
      <c r="I116" s="190" t="s">
        <v>1977</v>
      </c>
      <c r="J116" s="190" t="s">
        <v>1978</v>
      </c>
    </row>
    <row r="117" customFormat="false" ht="14.25" hidden="false" customHeight="true" outlineLevel="0" collapsed="false">
      <c r="A117" s="190" t="s">
        <v>405</v>
      </c>
      <c r="B117" s="190" t="s">
        <v>403</v>
      </c>
      <c r="C117" s="190" t="s">
        <v>404</v>
      </c>
      <c r="D117" s="190" t="n">
        <v>1</v>
      </c>
      <c r="E117" s="190" t="n">
        <v>1.98</v>
      </c>
      <c r="F117" s="190" t="n">
        <v>45</v>
      </c>
      <c r="G117" s="190" t="n">
        <v>797.7</v>
      </c>
      <c r="H117" s="190" t="s">
        <v>1722</v>
      </c>
      <c r="I117" s="190" t="s">
        <v>406</v>
      </c>
      <c r="J117" s="190" t="s">
        <v>1979</v>
      </c>
    </row>
    <row r="118" customFormat="false" ht="14.25" hidden="false" customHeight="true" outlineLevel="0" collapsed="false">
      <c r="A118" s="190" t="s">
        <v>409</v>
      </c>
      <c r="B118" s="190" t="s">
        <v>407</v>
      </c>
      <c r="C118" s="190" t="s">
        <v>408</v>
      </c>
      <c r="D118" s="190" t="n">
        <v>1</v>
      </c>
      <c r="E118" s="190" t="n">
        <v>2.42</v>
      </c>
      <c r="F118" s="190" t="n">
        <v>48.5</v>
      </c>
      <c r="G118" s="190" t="n">
        <v>801.1</v>
      </c>
      <c r="H118" s="190" t="s">
        <v>1722</v>
      </c>
      <c r="I118" s="190" t="s">
        <v>410</v>
      </c>
      <c r="J118" s="190" t="s">
        <v>1980</v>
      </c>
    </row>
    <row r="119" customFormat="false" ht="14.25" hidden="false" customHeight="true" outlineLevel="0" collapsed="false">
      <c r="A119" s="190" t="s">
        <v>1981</v>
      </c>
      <c r="B119" s="190" t="s">
        <v>1982</v>
      </c>
      <c r="C119" s="190" t="s">
        <v>1983</v>
      </c>
      <c r="D119" s="190" t="n">
        <v>1</v>
      </c>
      <c r="E119" s="190" t="n">
        <v>2.83</v>
      </c>
      <c r="F119" s="190" t="n">
        <v>44</v>
      </c>
      <c r="G119" s="190" t="n">
        <v>529.5</v>
      </c>
      <c r="H119" s="190" t="s">
        <v>1722</v>
      </c>
      <c r="I119" s="190" t="n">
        <v>36</v>
      </c>
      <c r="J119" s="190" t="s">
        <v>1984</v>
      </c>
    </row>
    <row r="120" customFormat="false" ht="14.25" hidden="false" customHeight="true" outlineLevel="0" collapsed="false">
      <c r="A120" s="190" t="s">
        <v>1985</v>
      </c>
      <c r="B120" s="190" t="s">
        <v>1986</v>
      </c>
      <c r="C120" s="190" t="s">
        <v>1987</v>
      </c>
      <c r="D120" s="190" t="n">
        <v>1</v>
      </c>
      <c r="E120" s="190" t="n">
        <v>0.67</v>
      </c>
      <c r="F120" s="190" t="n">
        <v>2.75</v>
      </c>
      <c r="G120" s="190" t="n">
        <v>714.8</v>
      </c>
      <c r="H120" s="190" t="s">
        <v>1722</v>
      </c>
      <c r="I120" s="190" t="s">
        <v>1988</v>
      </c>
      <c r="J120" s="190" t="s">
        <v>1989</v>
      </c>
    </row>
    <row r="121" customFormat="false" ht="14.25" hidden="false" customHeight="true" outlineLevel="0" collapsed="false">
      <c r="A121" s="190" t="s">
        <v>420</v>
      </c>
      <c r="B121" s="190" t="s">
        <v>418</v>
      </c>
      <c r="C121" s="190" t="s">
        <v>419</v>
      </c>
      <c r="D121" s="190" t="n">
        <v>1</v>
      </c>
      <c r="E121" s="190" t="n">
        <v>10</v>
      </c>
      <c r="F121" s="190" t="n">
        <v>0</v>
      </c>
      <c r="G121" s="190" t="n">
        <v>0</v>
      </c>
      <c r="H121" s="190" t="s">
        <v>1721</v>
      </c>
      <c r="I121" s="190" t="s">
        <v>422</v>
      </c>
      <c r="J121" s="190" t="s">
        <v>1990</v>
      </c>
    </row>
    <row r="122" customFormat="false" ht="14.25" hidden="false" customHeight="true" outlineLevel="0" collapsed="false">
      <c r="A122" s="190" t="s">
        <v>1991</v>
      </c>
      <c r="B122" s="190" t="s">
        <v>1992</v>
      </c>
      <c r="C122" s="190" t="s">
        <v>1993</v>
      </c>
      <c r="D122" s="190" t="n">
        <v>1</v>
      </c>
      <c r="E122" s="190" t="n">
        <v>0.2</v>
      </c>
      <c r="F122" s="190" t="n">
        <v>36</v>
      </c>
      <c r="G122" s="190" t="n">
        <v>129.9</v>
      </c>
      <c r="H122" s="190" t="s">
        <v>1722</v>
      </c>
      <c r="I122" s="190" t="s">
        <v>1994</v>
      </c>
      <c r="J122" s="190" t="s">
        <v>1995</v>
      </c>
    </row>
    <row r="123" customFormat="false" ht="14.25" hidden="false" customHeight="true" outlineLevel="0" collapsed="false">
      <c r="A123" s="190" t="s">
        <v>433</v>
      </c>
      <c r="B123" s="190" t="s">
        <v>431</v>
      </c>
      <c r="C123" s="190" t="s">
        <v>432</v>
      </c>
      <c r="D123" s="190" t="n">
        <v>1</v>
      </c>
      <c r="E123" s="190" t="n">
        <v>0</v>
      </c>
      <c r="F123" s="190" t="n">
        <v>71</v>
      </c>
      <c r="G123" s="190" t="n">
        <v>605.1</v>
      </c>
      <c r="H123" s="190" t="s">
        <v>1722</v>
      </c>
      <c r="I123" s="190" t="s">
        <v>430</v>
      </c>
      <c r="J123" s="190" t="s">
        <v>1996</v>
      </c>
    </row>
    <row r="124" customFormat="false" ht="14.25" hidden="false" customHeight="true" outlineLevel="0" collapsed="false">
      <c r="A124" s="190" t="s">
        <v>442</v>
      </c>
      <c r="B124" s="190" t="s">
        <v>440</v>
      </c>
      <c r="C124" s="190" t="s">
        <v>441</v>
      </c>
      <c r="D124" s="190" t="n">
        <v>1</v>
      </c>
      <c r="E124" s="190" t="n">
        <v>0.7</v>
      </c>
      <c r="F124" s="190" t="n">
        <v>29.5</v>
      </c>
      <c r="G124" s="190" t="n">
        <v>579.6</v>
      </c>
      <c r="H124" s="190" t="s">
        <v>1722</v>
      </c>
      <c r="I124" s="190" t="s">
        <v>430</v>
      </c>
      <c r="J124" s="190" t="s">
        <v>1997</v>
      </c>
    </row>
    <row r="125" customFormat="false" ht="14.25" hidden="false" customHeight="true" outlineLevel="0" collapsed="false">
      <c r="A125" s="190" t="s">
        <v>445</v>
      </c>
      <c r="B125" s="190" t="s">
        <v>443</v>
      </c>
      <c r="C125" s="190" t="s">
        <v>444</v>
      </c>
      <c r="D125" s="190" t="n">
        <v>1</v>
      </c>
      <c r="E125" s="190" t="n">
        <v>0.7</v>
      </c>
      <c r="F125" s="190" t="n">
        <v>25.5</v>
      </c>
      <c r="G125" s="190" t="n">
        <v>572.1</v>
      </c>
      <c r="H125" s="190" t="s">
        <v>1722</v>
      </c>
      <c r="I125" s="190" t="s">
        <v>430</v>
      </c>
      <c r="J125" s="190" t="s">
        <v>1997</v>
      </c>
    </row>
    <row r="126" customFormat="false" ht="14.25" hidden="false" customHeight="true" outlineLevel="0" collapsed="false">
      <c r="A126" s="190" t="s">
        <v>448</v>
      </c>
      <c r="B126" s="190" t="s">
        <v>446</v>
      </c>
      <c r="C126" s="190" t="s">
        <v>447</v>
      </c>
      <c r="D126" s="190" t="n">
        <v>1</v>
      </c>
      <c r="E126" s="190" t="n">
        <v>0</v>
      </c>
      <c r="F126" s="190" t="n">
        <v>37.5</v>
      </c>
      <c r="G126" s="190" t="n">
        <v>579.6</v>
      </c>
      <c r="H126" s="190" t="s">
        <v>1722</v>
      </c>
      <c r="I126" s="190" t="s">
        <v>430</v>
      </c>
      <c r="J126" s="190" t="s">
        <v>1998</v>
      </c>
    </row>
    <row r="127" customFormat="false" ht="14.25" hidden="false" customHeight="true" outlineLevel="0" collapsed="false">
      <c r="A127" s="190" t="s">
        <v>463</v>
      </c>
      <c r="B127" s="190" t="s">
        <v>461</v>
      </c>
      <c r="C127" s="190" t="s">
        <v>462</v>
      </c>
      <c r="D127" s="190" t="n">
        <v>1</v>
      </c>
      <c r="E127" s="190" t="n">
        <v>0.43</v>
      </c>
      <c r="F127" s="190" t="n">
        <v>7.5</v>
      </c>
      <c r="G127" s="190" t="n">
        <v>652.9</v>
      </c>
      <c r="H127" s="190" t="s">
        <v>1722</v>
      </c>
      <c r="I127" s="190" t="s">
        <v>430</v>
      </c>
      <c r="J127" s="190" t="s">
        <v>1999</v>
      </c>
    </row>
    <row r="128" customFormat="false" ht="14.25" hidden="false" customHeight="true" outlineLevel="0" collapsed="false">
      <c r="A128" s="190" t="s">
        <v>478</v>
      </c>
      <c r="B128" s="190" t="s">
        <v>476</v>
      </c>
      <c r="C128" s="190" t="s">
        <v>477</v>
      </c>
      <c r="D128" s="190" t="n">
        <v>1</v>
      </c>
      <c r="E128" s="190" t="n">
        <v>0</v>
      </c>
      <c r="F128" s="190" t="n">
        <v>64.5</v>
      </c>
      <c r="G128" s="190" t="n">
        <v>557.2</v>
      </c>
      <c r="H128" s="190" t="s">
        <v>1722</v>
      </c>
      <c r="I128" s="190" t="s">
        <v>430</v>
      </c>
      <c r="J128" s="190" t="s">
        <v>2000</v>
      </c>
    </row>
    <row r="129" customFormat="false" ht="14.25" hidden="false" customHeight="true" outlineLevel="0" collapsed="false">
      <c r="A129" s="190" t="s">
        <v>490</v>
      </c>
      <c r="B129" s="190" t="s">
        <v>488</v>
      </c>
      <c r="C129" s="190" t="s">
        <v>489</v>
      </c>
      <c r="D129" s="190" t="n">
        <v>1</v>
      </c>
      <c r="E129" s="190" t="n">
        <v>1.02</v>
      </c>
      <c r="F129" s="190" t="n">
        <v>3.2</v>
      </c>
      <c r="G129" s="190" t="n">
        <v>54.4</v>
      </c>
      <c r="H129" s="190" t="s">
        <v>1722</v>
      </c>
      <c r="I129" s="190" t="s">
        <v>491</v>
      </c>
      <c r="J129" s="190" t="s">
        <v>1743</v>
      </c>
    </row>
    <row r="130" customFormat="false" ht="14.25" hidden="false" customHeight="true" outlineLevel="0" collapsed="false">
      <c r="A130" s="190" t="s">
        <v>494</v>
      </c>
      <c r="B130" s="190" t="s">
        <v>492</v>
      </c>
      <c r="C130" s="190" t="s">
        <v>493</v>
      </c>
      <c r="D130" s="190" t="n">
        <v>1</v>
      </c>
      <c r="E130" s="190" t="n">
        <v>0.77</v>
      </c>
      <c r="F130" s="190" t="n">
        <v>7.4</v>
      </c>
      <c r="G130" s="190" t="n">
        <v>54.9</v>
      </c>
      <c r="H130" s="190" t="s">
        <v>1722</v>
      </c>
      <c r="I130" s="190" t="s">
        <v>491</v>
      </c>
      <c r="J130" s="190" t="s">
        <v>2001</v>
      </c>
    </row>
    <row r="131" customFormat="false" ht="14.25" hidden="false" customHeight="true" outlineLevel="0" collapsed="false">
      <c r="A131" s="190" t="s">
        <v>497</v>
      </c>
      <c r="B131" s="190" t="s">
        <v>495</v>
      </c>
      <c r="C131" s="190" t="s">
        <v>496</v>
      </c>
      <c r="D131" s="190" t="n">
        <v>1</v>
      </c>
      <c r="E131" s="190" t="n">
        <v>1.02</v>
      </c>
      <c r="F131" s="190" t="n">
        <v>35.2</v>
      </c>
      <c r="G131" s="190" t="n">
        <v>155.4</v>
      </c>
      <c r="H131" s="190" t="s">
        <v>1722</v>
      </c>
      <c r="I131" s="190" t="s">
        <v>491</v>
      </c>
      <c r="J131" s="190" t="s">
        <v>1959</v>
      </c>
    </row>
    <row r="132" customFormat="false" ht="14.25" hidden="false" customHeight="true" outlineLevel="0" collapsed="false">
      <c r="A132" s="190" t="s">
        <v>2002</v>
      </c>
      <c r="B132" s="190" t="s">
        <v>2003</v>
      </c>
      <c r="C132" s="190" t="s">
        <v>2004</v>
      </c>
      <c r="D132" s="190" t="n">
        <v>1</v>
      </c>
      <c r="E132" s="190" t="n">
        <v>0.43</v>
      </c>
      <c r="F132" s="190" t="n">
        <v>0</v>
      </c>
      <c r="G132" s="190" t="n">
        <v>0</v>
      </c>
      <c r="H132" s="190" t="s">
        <v>1721</v>
      </c>
      <c r="I132" s="190" t="s">
        <v>2005</v>
      </c>
      <c r="J132" s="190" t="s">
        <v>2006</v>
      </c>
    </row>
    <row r="133" customFormat="false" ht="14.25" hidden="false" customHeight="true" outlineLevel="0" collapsed="false">
      <c r="A133" s="190" t="s">
        <v>2007</v>
      </c>
      <c r="B133" s="190" t="s">
        <v>2008</v>
      </c>
      <c r="C133" s="190" t="s">
        <v>2009</v>
      </c>
      <c r="D133" s="190" t="n">
        <v>1</v>
      </c>
      <c r="E133" s="190" t="n">
        <v>0.43</v>
      </c>
      <c r="F133" s="190" t="n">
        <v>0</v>
      </c>
      <c r="G133" s="190" t="n">
        <v>0</v>
      </c>
      <c r="H133" s="190" t="s">
        <v>1721</v>
      </c>
      <c r="I133" s="190" t="s">
        <v>2010</v>
      </c>
      <c r="J133" s="190" t="s">
        <v>2006</v>
      </c>
    </row>
    <row r="134" customFormat="false" ht="14.25" hidden="false" customHeight="true" outlineLevel="0" collapsed="false">
      <c r="A134" s="190" t="s">
        <v>2011</v>
      </c>
      <c r="B134" s="190" t="s">
        <v>2012</v>
      </c>
      <c r="C134" s="190" t="s">
        <v>2013</v>
      </c>
      <c r="D134" s="190" t="n">
        <v>1</v>
      </c>
      <c r="E134" s="190" t="n">
        <v>1.6</v>
      </c>
      <c r="F134" s="190" t="n">
        <v>4.5</v>
      </c>
      <c r="G134" s="190" t="n">
        <v>765.8</v>
      </c>
      <c r="H134" s="190" t="s">
        <v>1722</v>
      </c>
      <c r="I134" s="190" t="s">
        <v>146</v>
      </c>
      <c r="J134" s="190" t="s">
        <v>1731</v>
      </c>
    </row>
    <row r="135" customFormat="false" ht="14.25" hidden="false" customHeight="true" outlineLevel="0" collapsed="false">
      <c r="A135" s="190" t="s">
        <v>2014</v>
      </c>
      <c r="B135" s="190" t="s">
        <v>2015</v>
      </c>
      <c r="C135" s="190" t="s">
        <v>2016</v>
      </c>
      <c r="D135" s="190" t="n">
        <v>1</v>
      </c>
      <c r="E135" s="190" t="n">
        <v>1.6</v>
      </c>
      <c r="F135" s="190" t="n">
        <v>5.33</v>
      </c>
      <c r="G135" s="190" t="n">
        <v>766.4</v>
      </c>
      <c r="H135" s="190" t="s">
        <v>1722</v>
      </c>
      <c r="I135" s="190" t="s">
        <v>146</v>
      </c>
      <c r="J135" s="190" t="s">
        <v>1731</v>
      </c>
    </row>
    <row r="136" customFormat="false" ht="14.25" hidden="false" customHeight="true" outlineLevel="0" collapsed="false">
      <c r="A136" s="190" t="s">
        <v>2017</v>
      </c>
      <c r="B136" s="190" t="s">
        <v>2018</v>
      </c>
      <c r="C136" s="190" t="s">
        <v>2019</v>
      </c>
      <c r="D136" s="190" t="n">
        <v>1</v>
      </c>
      <c r="E136" s="190" t="n">
        <v>5.83</v>
      </c>
      <c r="F136" s="190" t="n">
        <v>0</v>
      </c>
      <c r="G136" s="190" t="n">
        <v>0</v>
      </c>
      <c r="H136" s="190" t="s">
        <v>1721</v>
      </c>
      <c r="I136" s="190" t="s">
        <v>2020</v>
      </c>
      <c r="J136" s="190" t="s">
        <v>1737</v>
      </c>
    </row>
    <row r="137" customFormat="false" ht="14.25" hidden="false" customHeight="true" outlineLevel="0" collapsed="false">
      <c r="A137" s="190" t="s">
        <v>2021</v>
      </c>
      <c r="B137" s="190" t="s">
        <v>2022</v>
      </c>
      <c r="C137" s="190" t="s">
        <v>2023</v>
      </c>
      <c r="D137" s="190" t="n">
        <v>1</v>
      </c>
      <c r="E137" s="190" t="n">
        <v>1</v>
      </c>
      <c r="F137" s="190" t="n">
        <v>1.5</v>
      </c>
      <c r="G137" s="190" t="n">
        <v>694.1</v>
      </c>
      <c r="H137" s="190" t="s">
        <v>1722</v>
      </c>
      <c r="I137" s="190" t="s">
        <v>146</v>
      </c>
      <c r="J137" s="190" t="s">
        <v>1751</v>
      </c>
    </row>
    <row r="138" customFormat="false" ht="14.25" hidden="false" customHeight="true" outlineLevel="0" collapsed="false">
      <c r="A138" s="190" t="s">
        <v>2024</v>
      </c>
      <c r="B138" s="190" t="s">
        <v>2025</v>
      </c>
      <c r="C138" s="190" t="s">
        <v>2026</v>
      </c>
      <c r="D138" s="190" t="n">
        <v>1</v>
      </c>
      <c r="E138" s="190" t="n">
        <v>0.33</v>
      </c>
      <c r="F138" s="190" t="n">
        <v>1.25</v>
      </c>
      <c r="G138" s="190" t="n">
        <v>695.2</v>
      </c>
      <c r="H138" s="190" t="s">
        <v>1722</v>
      </c>
      <c r="I138" s="190" t="s">
        <v>146</v>
      </c>
      <c r="J138" s="190" t="s">
        <v>1751</v>
      </c>
    </row>
    <row r="139" customFormat="false" ht="14.25" hidden="false" customHeight="true" outlineLevel="0" collapsed="false">
      <c r="A139" s="190" t="s">
        <v>2027</v>
      </c>
      <c r="B139" s="190" t="s">
        <v>2028</v>
      </c>
      <c r="C139" s="190" t="s">
        <v>2029</v>
      </c>
      <c r="D139" s="190" t="n">
        <v>1</v>
      </c>
      <c r="E139" s="190" t="n">
        <v>1</v>
      </c>
      <c r="F139" s="190" t="n">
        <v>3</v>
      </c>
      <c r="G139" s="190" t="n">
        <v>693.9</v>
      </c>
      <c r="H139" s="190" t="s">
        <v>1722</v>
      </c>
      <c r="I139" s="190" t="s">
        <v>146</v>
      </c>
      <c r="J139" s="190" t="s">
        <v>1751</v>
      </c>
    </row>
    <row r="140" customFormat="false" ht="14.25" hidden="false" customHeight="true" outlineLevel="0" collapsed="false">
      <c r="A140" s="190" t="s">
        <v>2030</v>
      </c>
      <c r="B140" s="190" t="s">
        <v>2031</v>
      </c>
      <c r="C140" s="190" t="s">
        <v>2032</v>
      </c>
      <c r="D140" s="190" t="n">
        <v>1</v>
      </c>
      <c r="E140" s="190" t="n">
        <v>0.33</v>
      </c>
      <c r="F140" s="190" t="n">
        <v>3.5</v>
      </c>
      <c r="G140" s="190" t="n">
        <v>740.2</v>
      </c>
      <c r="H140" s="190" t="s">
        <v>1722</v>
      </c>
      <c r="I140" s="190" t="s">
        <v>146</v>
      </c>
      <c r="J140" s="190" t="s">
        <v>1751</v>
      </c>
    </row>
    <row r="141" customFormat="false" ht="14.25" hidden="false" customHeight="true" outlineLevel="0" collapsed="false">
      <c r="A141" s="190" t="s">
        <v>2033</v>
      </c>
      <c r="B141" s="190" t="s">
        <v>2034</v>
      </c>
      <c r="C141" s="190" t="s">
        <v>2035</v>
      </c>
      <c r="D141" s="190" t="n">
        <v>1</v>
      </c>
      <c r="E141" s="190" t="n">
        <v>1.18</v>
      </c>
      <c r="F141" s="190" t="n">
        <v>0</v>
      </c>
      <c r="G141" s="190" t="n">
        <v>0</v>
      </c>
      <c r="H141" s="190" t="s">
        <v>1721</v>
      </c>
      <c r="I141" s="190" t="s">
        <v>2036</v>
      </c>
      <c r="J141" s="190" t="s">
        <v>1842</v>
      </c>
    </row>
    <row r="142" customFormat="false" ht="14.25" hidden="false" customHeight="true" outlineLevel="0" collapsed="false">
      <c r="A142" s="190" t="s">
        <v>2037</v>
      </c>
      <c r="B142" s="190" t="s">
        <v>2038</v>
      </c>
      <c r="C142" s="190" t="s">
        <v>2039</v>
      </c>
      <c r="D142" s="190" t="n">
        <v>1</v>
      </c>
      <c r="E142" s="190" t="n">
        <v>1.18</v>
      </c>
      <c r="F142" s="190" t="n">
        <v>0</v>
      </c>
      <c r="G142" s="190" t="n">
        <v>0</v>
      </c>
      <c r="H142" s="190" t="s">
        <v>1721</v>
      </c>
      <c r="I142" s="190" t="s">
        <v>2036</v>
      </c>
      <c r="J142" s="190" t="s">
        <v>1842</v>
      </c>
    </row>
    <row r="143" customFormat="false" ht="14.25" hidden="false" customHeight="true" outlineLevel="0" collapsed="false">
      <c r="A143" s="190" t="s">
        <v>2040</v>
      </c>
      <c r="B143" s="190" t="s">
        <v>2041</v>
      </c>
      <c r="C143" s="190" t="s">
        <v>2042</v>
      </c>
      <c r="D143" s="190" t="n">
        <v>1</v>
      </c>
      <c r="E143" s="190" t="n">
        <v>0.43</v>
      </c>
      <c r="F143" s="190" t="n">
        <v>74.5</v>
      </c>
      <c r="G143" s="190" t="n">
        <v>606.2</v>
      </c>
      <c r="H143" s="190" t="s">
        <v>1722</v>
      </c>
      <c r="I143" s="190" t="s">
        <v>2043</v>
      </c>
      <c r="J143" s="190" t="s">
        <v>2044</v>
      </c>
    </row>
    <row r="144" customFormat="false" ht="14.25" hidden="false" customHeight="true" outlineLevel="0" collapsed="false">
      <c r="A144" s="190" t="s">
        <v>2045</v>
      </c>
      <c r="B144" s="190" t="s">
        <v>2046</v>
      </c>
      <c r="C144" s="190" t="s">
        <v>2047</v>
      </c>
      <c r="D144" s="190" t="n">
        <v>1</v>
      </c>
      <c r="E144" s="190" t="n">
        <v>0.43</v>
      </c>
      <c r="F144" s="190" t="n">
        <v>53.5</v>
      </c>
      <c r="G144" s="190" t="n">
        <v>621.1</v>
      </c>
      <c r="H144" s="190" t="s">
        <v>1722</v>
      </c>
      <c r="I144" s="190" t="s">
        <v>2043</v>
      </c>
      <c r="J144" s="190" t="s">
        <v>2044</v>
      </c>
    </row>
    <row r="145" customFormat="false" ht="14.25" hidden="false" customHeight="true" outlineLevel="0" collapsed="false">
      <c r="A145" s="190" t="s">
        <v>2048</v>
      </c>
      <c r="B145" s="190" t="s">
        <v>2049</v>
      </c>
      <c r="C145" s="190" t="s">
        <v>2050</v>
      </c>
      <c r="D145" s="190" t="n">
        <v>1</v>
      </c>
      <c r="E145" s="190" t="n">
        <v>2</v>
      </c>
      <c r="F145" s="190" t="n">
        <v>0</v>
      </c>
      <c r="G145" s="190" t="n">
        <v>0</v>
      </c>
      <c r="H145" s="190" t="s">
        <v>1721</v>
      </c>
      <c r="I145" s="190" t="n">
        <v>72</v>
      </c>
      <c r="J145" s="190" t="s">
        <v>1831</v>
      </c>
    </row>
    <row r="146" customFormat="false" ht="14.25" hidden="false" customHeight="true" outlineLevel="0" collapsed="false">
      <c r="A146" s="190" t="s">
        <v>2051</v>
      </c>
      <c r="B146" s="190" t="s">
        <v>2052</v>
      </c>
      <c r="C146" s="190" t="s">
        <v>2053</v>
      </c>
      <c r="D146" s="190" t="n">
        <v>1</v>
      </c>
      <c r="E146" s="190" t="n">
        <v>2</v>
      </c>
      <c r="F146" s="190" t="n">
        <v>0</v>
      </c>
      <c r="G146" s="190" t="n">
        <v>0</v>
      </c>
      <c r="H146" s="190" t="s">
        <v>1721</v>
      </c>
      <c r="I146" s="190" t="n">
        <v>72</v>
      </c>
      <c r="J146" s="190" t="s">
        <v>1831</v>
      </c>
    </row>
    <row r="147" customFormat="false" ht="14.25" hidden="false" customHeight="true" outlineLevel="0" collapsed="false">
      <c r="A147" s="190" t="s">
        <v>2054</v>
      </c>
      <c r="B147" s="190" t="s">
        <v>2055</v>
      </c>
      <c r="C147" s="190" t="s">
        <v>2056</v>
      </c>
      <c r="D147" s="190" t="n">
        <v>1</v>
      </c>
      <c r="E147" s="190" t="n">
        <v>0.75</v>
      </c>
      <c r="F147" s="190" t="n">
        <v>8</v>
      </c>
      <c r="G147" s="190" t="n">
        <v>669.7</v>
      </c>
      <c r="H147" s="190" t="s">
        <v>1722</v>
      </c>
      <c r="I147" s="190" t="s">
        <v>2057</v>
      </c>
      <c r="J147" s="190" t="s">
        <v>1723</v>
      </c>
    </row>
    <row r="148" customFormat="false" ht="14.25" hidden="false" customHeight="true" outlineLevel="0" collapsed="false">
      <c r="A148" s="190" t="s">
        <v>2058</v>
      </c>
      <c r="B148" s="190" t="s">
        <v>2059</v>
      </c>
      <c r="C148" s="190" t="s">
        <v>2060</v>
      </c>
      <c r="D148" s="190" t="n">
        <v>1</v>
      </c>
      <c r="E148" s="190" t="n">
        <v>1</v>
      </c>
      <c r="F148" s="190" t="n">
        <v>1.25</v>
      </c>
      <c r="G148" s="190" t="n">
        <v>766.6</v>
      </c>
      <c r="H148" s="190" t="s">
        <v>1722</v>
      </c>
      <c r="I148" s="190" t="s">
        <v>2057</v>
      </c>
      <c r="J148" s="190"/>
    </row>
    <row r="149" customFormat="false" ht="14.25" hidden="false" customHeight="true" outlineLevel="0" collapsed="false">
      <c r="A149" s="190" t="s">
        <v>2061</v>
      </c>
      <c r="B149" s="190" t="s">
        <v>2062</v>
      </c>
      <c r="C149" s="190" t="s">
        <v>2063</v>
      </c>
      <c r="D149" s="190" t="n">
        <v>1</v>
      </c>
      <c r="E149" s="190" t="n">
        <v>2.53</v>
      </c>
      <c r="F149" s="190" t="n">
        <v>0</v>
      </c>
      <c r="G149" s="190" t="n">
        <v>0</v>
      </c>
      <c r="H149" s="190" t="s">
        <v>1721</v>
      </c>
      <c r="I149" s="190" t="s">
        <v>2064</v>
      </c>
      <c r="J149" s="190" t="s">
        <v>1736</v>
      </c>
    </row>
    <row r="150" customFormat="false" ht="14.25" hidden="false" customHeight="true" outlineLevel="0" collapsed="false">
      <c r="A150" s="190" t="s">
        <v>2065</v>
      </c>
      <c r="B150" s="190" t="s">
        <v>2066</v>
      </c>
      <c r="C150" s="190" t="s">
        <v>2067</v>
      </c>
      <c r="D150" s="190" t="n">
        <v>1</v>
      </c>
      <c r="E150" s="190" t="n">
        <v>0.5</v>
      </c>
      <c r="F150" s="190" t="n">
        <v>0</v>
      </c>
      <c r="G150" s="190" t="n">
        <v>0</v>
      </c>
      <c r="H150" s="190" t="s">
        <v>1721</v>
      </c>
      <c r="I150" s="190" t="s">
        <v>2068</v>
      </c>
      <c r="J150" s="190" t="s">
        <v>2069</v>
      </c>
    </row>
    <row r="151" customFormat="false" ht="14.25" hidden="false" customHeight="true" outlineLevel="0" collapsed="false">
      <c r="A151" s="190" t="s">
        <v>2070</v>
      </c>
      <c r="B151" s="190" t="s">
        <v>2071</v>
      </c>
      <c r="C151" s="190" t="s">
        <v>2072</v>
      </c>
      <c r="D151" s="190" t="n">
        <v>1</v>
      </c>
      <c r="E151" s="190" t="n">
        <v>0.65</v>
      </c>
      <c r="F151" s="190" t="n">
        <v>0</v>
      </c>
      <c r="G151" s="190" t="n">
        <v>0</v>
      </c>
      <c r="H151" s="190" t="s">
        <v>1721</v>
      </c>
      <c r="I151" s="190" t="s">
        <v>2068</v>
      </c>
      <c r="J151" s="190" t="s">
        <v>2073</v>
      </c>
    </row>
    <row r="152" customFormat="false" ht="14.25" hidden="false" customHeight="true" outlineLevel="0" collapsed="false">
      <c r="A152" s="190" t="s">
        <v>2074</v>
      </c>
      <c r="B152" s="190" t="s">
        <v>2075</v>
      </c>
      <c r="C152" s="190" t="s">
        <v>2076</v>
      </c>
      <c r="D152" s="190" t="n">
        <v>1</v>
      </c>
      <c r="E152" s="190" t="n">
        <v>0.67</v>
      </c>
      <c r="F152" s="190" t="n">
        <v>0</v>
      </c>
      <c r="G152" s="190" t="n">
        <v>0</v>
      </c>
      <c r="H152" s="190" t="s">
        <v>1721</v>
      </c>
      <c r="I152" s="190" t="s">
        <v>2068</v>
      </c>
      <c r="J152" s="190" t="s">
        <v>2077</v>
      </c>
    </row>
    <row r="153" customFormat="false" ht="14.25" hidden="false" customHeight="true" outlineLevel="0" collapsed="false">
      <c r="A153" s="190" t="s">
        <v>2078</v>
      </c>
      <c r="B153" s="190" t="s">
        <v>2079</v>
      </c>
      <c r="C153" s="190" t="s">
        <v>2080</v>
      </c>
      <c r="D153" s="190" t="n">
        <v>1</v>
      </c>
      <c r="E153" s="190" t="n">
        <v>0.67</v>
      </c>
      <c r="F153" s="190" t="n">
        <v>0</v>
      </c>
      <c r="G153" s="190" t="n">
        <v>0</v>
      </c>
      <c r="H153" s="190" t="s">
        <v>1721</v>
      </c>
      <c r="I153" s="190" t="s">
        <v>2068</v>
      </c>
      <c r="J153" s="190" t="s">
        <v>2077</v>
      </c>
    </row>
    <row r="154" customFormat="false" ht="14.25" hidden="false" customHeight="true" outlineLevel="0" collapsed="false">
      <c r="A154" s="190" t="s">
        <v>2081</v>
      </c>
      <c r="B154" s="190" t="s">
        <v>2082</v>
      </c>
      <c r="C154" s="190" t="s">
        <v>2083</v>
      </c>
      <c r="D154" s="190" t="n">
        <v>1</v>
      </c>
      <c r="E154" s="190" t="n">
        <v>0</v>
      </c>
      <c r="F154" s="190" t="n">
        <v>13</v>
      </c>
      <c r="G154" s="190" t="n">
        <v>127.4</v>
      </c>
      <c r="H154" s="190" t="s">
        <v>1722</v>
      </c>
      <c r="I154" s="190" t="s">
        <v>2084</v>
      </c>
      <c r="J154" s="190" t="s">
        <v>2085</v>
      </c>
    </row>
    <row r="155" customFormat="false" ht="14.25" hidden="false" customHeight="true" outlineLevel="0" collapsed="false">
      <c r="A155" s="190" t="s">
        <v>547</v>
      </c>
      <c r="B155" s="190" t="s">
        <v>545</v>
      </c>
      <c r="C155" s="190" t="s">
        <v>546</v>
      </c>
      <c r="D155" s="190" t="n">
        <v>1</v>
      </c>
      <c r="E155" s="190" t="n">
        <v>10</v>
      </c>
      <c r="F155" s="190" t="n">
        <v>0</v>
      </c>
      <c r="G155" s="190" t="n">
        <v>0</v>
      </c>
      <c r="H155" s="190" t="s">
        <v>1721</v>
      </c>
      <c r="I155" s="190" t="s">
        <v>548</v>
      </c>
      <c r="J155" s="190" t="s">
        <v>2086</v>
      </c>
    </row>
    <row r="156" customFormat="false" ht="14.25" hidden="false" customHeight="true" outlineLevel="0" collapsed="false">
      <c r="A156" s="190" t="s">
        <v>2087</v>
      </c>
      <c r="B156" s="190" t="s">
        <v>2088</v>
      </c>
      <c r="C156" s="190" t="s">
        <v>2089</v>
      </c>
      <c r="D156" s="190" t="n">
        <v>1</v>
      </c>
      <c r="E156" s="190" t="n">
        <v>3.1</v>
      </c>
      <c r="F156" s="190" t="n">
        <v>0</v>
      </c>
      <c r="G156" s="190" t="n">
        <v>0</v>
      </c>
      <c r="H156" s="190" t="s">
        <v>1721</v>
      </c>
      <c r="I156" s="190" t="s">
        <v>422</v>
      </c>
      <c r="J156" s="190" t="s">
        <v>2090</v>
      </c>
    </row>
    <row r="157" customFormat="false" ht="14.25" hidden="false" customHeight="true" outlineLevel="0" collapsed="false">
      <c r="A157" s="190" t="s">
        <v>2091</v>
      </c>
      <c r="B157" s="190" t="s">
        <v>2092</v>
      </c>
      <c r="C157" s="190" t="s">
        <v>2093</v>
      </c>
      <c r="D157" s="190" t="n">
        <v>1</v>
      </c>
      <c r="E157" s="190" t="n">
        <v>1</v>
      </c>
      <c r="F157" s="190" t="n">
        <v>0</v>
      </c>
      <c r="G157" s="190" t="n">
        <v>0</v>
      </c>
      <c r="H157" s="190" t="s">
        <v>1721</v>
      </c>
      <c r="I157" s="190" t="s">
        <v>689</v>
      </c>
      <c r="J157" s="190" t="s">
        <v>1737</v>
      </c>
    </row>
    <row r="158" customFormat="false" ht="14.25" hidden="false" customHeight="true" outlineLevel="0" collapsed="false">
      <c r="A158" s="190" t="s">
        <v>2094</v>
      </c>
      <c r="B158" s="190" t="s">
        <v>2095</v>
      </c>
      <c r="C158" s="190" t="s">
        <v>2096</v>
      </c>
      <c r="D158" s="190" t="n">
        <v>1</v>
      </c>
      <c r="E158" s="190" t="n">
        <v>9.75</v>
      </c>
      <c r="F158" s="190" t="n">
        <v>12</v>
      </c>
      <c r="G158" s="190" t="n">
        <v>858.1</v>
      </c>
      <c r="H158" s="190" t="s">
        <v>1722</v>
      </c>
      <c r="I158" s="190" t="s">
        <v>2097</v>
      </c>
      <c r="J158" s="190" t="s">
        <v>2098</v>
      </c>
    </row>
    <row r="159" customFormat="false" ht="14.25" hidden="false" customHeight="true" outlineLevel="0" collapsed="false">
      <c r="A159" s="190" t="s">
        <v>563</v>
      </c>
      <c r="B159" s="190" t="s">
        <v>561</v>
      </c>
      <c r="C159" s="190" t="s">
        <v>562</v>
      </c>
      <c r="D159" s="190" t="n">
        <v>1</v>
      </c>
      <c r="E159" s="190" t="n">
        <v>1.35</v>
      </c>
      <c r="F159" s="190" t="n">
        <v>41.5</v>
      </c>
      <c r="G159" s="190" t="n">
        <v>649.1</v>
      </c>
      <c r="H159" s="190" t="s">
        <v>1722</v>
      </c>
      <c r="I159" s="190" t="s">
        <v>242</v>
      </c>
      <c r="J159" s="190" t="s">
        <v>2099</v>
      </c>
    </row>
    <row r="160" customFormat="false" ht="14.25" hidden="false" customHeight="true" outlineLevel="0" collapsed="false">
      <c r="A160" s="190" t="s">
        <v>570</v>
      </c>
      <c r="B160" s="190" t="s">
        <v>568</v>
      </c>
      <c r="C160" s="190" t="s">
        <v>569</v>
      </c>
      <c r="D160" s="190" t="n">
        <v>1</v>
      </c>
      <c r="E160" s="190" t="n">
        <v>3.5</v>
      </c>
      <c r="F160" s="190" t="n">
        <v>9.83</v>
      </c>
      <c r="G160" s="190" t="n">
        <v>453.6</v>
      </c>
      <c r="H160" s="190" t="s">
        <v>1722</v>
      </c>
      <c r="I160" s="190" t="s">
        <v>491</v>
      </c>
      <c r="J160" s="190" t="s">
        <v>1767</v>
      </c>
    </row>
    <row r="161" customFormat="false" ht="14.25" hidden="false" customHeight="true" outlineLevel="0" collapsed="false">
      <c r="A161" s="190" t="s">
        <v>2100</v>
      </c>
      <c r="B161" s="190" t="s">
        <v>2101</v>
      </c>
      <c r="C161" s="190" t="s">
        <v>2102</v>
      </c>
      <c r="D161" s="190" t="n">
        <v>1</v>
      </c>
      <c r="E161" s="190" t="n">
        <v>1.62</v>
      </c>
      <c r="F161" s="190" t="n">
        <v>9.02</v>
      </c>
      <c r="G161" s="190" t="n">
        <v>701.9</v>
      </c>
      <c r="H161" s="190" t="s">
        <v>1722</v>
      </c>
      <c r="I161" s="190" t="s">
        <v>2005</v>
      </c>
      <c r="J161" s="190" t="s">
        <v>1750</v>
      </c>
    </row>
    <row r="162" customFormat="false" ht="14.25" hidden="false" customHeight="true" outlineLevel="0" collapsed="false">
      <c r="A162" s="190" t="s">
        <v>2103</v>
      </c>
      <c r="B162" s="190" t="s">
        <v>2104</v>
      </c>
      <c r="C162" s="190" t="s">
        <v>2105</v>
      </c>
      <c r="D162" s="190" t="n">
        <v>1</v>
      </c>
      <c r="E162" s="190" t="n">
        <v>0</v>
      </c>
      <c r="F162" s="190" t="n">
        <v>11.02</v>
      </c>
      <c r="G162" s="190" t="n">
        <v>702.9</v>
      </c>
      <c r="H162" s="190" t="s">
        <v>1722</v>
      </c>
      <c r="I162" s="190" t="s">
        <v>2005</v>
      </c>
      <c r="J162" s="190" t="s">
        <v>1731</v>
      </c>
    </row>
    <row r="163" customFormat="false" ht="14.25" hidden="false" customHeight="true" outlineLevel="0" collapsed="false">
      <c r="A163" s="190" t="s">
        <v>2106</v>
      </c>
      <c r="B163" s="190" t="s">
        <v>2107</v>
      </c>
      <c r="C163" s="190" t="s">
        <v>2108</v>
      </c>
      <c r="D163" s="190" t="n">
        <v>1</v>
      </c>
      <c r="E163" s="190" t="n">
        <v>1.62</v>
      </c>
      <c r="F163" s="190" t="n">
        <v>7.5</v>
      </c>
      <c r="G163" s="190" t="n">
        <v>702.1</v>
      </c>
      <c r="H163" s="190" t="s">
        <v>1722</v>
      </c>
      <c r="I163" s="190" t="s">
        <v>2010</v>
      </c>
      <c r="J163" s="190" t="s">
        <v>2109</v>
      </c>
    </row>
    <row r="164" customFormat="false" ht="14.25" hidden="false" customHeight="true" outlineLevel="0" collapsed="false">
      <c r="A164" s="190" t="s">
        <v>2110</v>
      </c>
      <c r="B164" s="190" t="s">
        <v>2111</v>
      </c>
      <c r="C164" s="190" t="s">
        <v>2112</v>
      </c>
      <c r="D164" s="190" t="n">
        <v>1</v>
      </c>
      <c r="E164" s="190" t="n">
        <v>0.5</v>
      </c>
      <c r="F164" s="190" t="n">
        <v>25.1</v>
      </c>
      <c r="G164" s="190" t="n">
        <v>702</v>
      </c>
      <c r="H164" s="190" t="s">
        <v>1722</v>
      </c>
      <c r="I164" s="190" t="s">
        <v>2113</v>
      </c>
      <c r="J164" s="190" t="s">
        <v>2109</v>
      </c>
    </row>
    <row r="165" customFormat="false" ht="14.25" hidden="false" customHeight="true" outlineLevel="0" collapsed="false">
      <c r="A165" s="190" t="s">
        <v>2114</v>
      </c>
      <c r="B165" s="190" t="s">
        <v>2115</v>
      </c>
      <c r="C165" s="190" t="s">
        <v>2116</v>
      </c>
      <c r="D165" s="190" t="n">
        <v>1</v>
      </c>
      <c r="E165" s="190" t="n">
        <v>2.8</v>
      </c>
      <c r="F165" s="190" t="n">
        <v>0</v>
      </c>
      <c r="G165" s="190" t="n">
        <v>0</v>
      </c>
      <c r="H165" s="190" t="s">
        <v>1721</v>
      </c>
      <c r="I165" s="190" t="s">
        <v>1762</v>
      </c>
      <c r="J165" s="190" t="s">
        <v>2085</v>
      </c>
    </row>
    <row r="166" customFormat="false" ht="14.25" hidden="false" customHeight="true" outlineLevel="0" collapsed="false">
      <c r="A166" s="190" t="s">
        <v>2117</v>
      </c>
      <c r="B166" s="190" t="s">
        <v>2118</v>
      </c>
      <c r="C166" s="190" t="s">
        <v>2119</v>
      </c>
      <c r="D166" s="190" t="n">
        <v>1</v>
      </c>
      <c r="E166" s="190" t="n">
        <v>1.4</v>
      </c>
      <c r="F166" s="190" t="n">
        <v>81.9</v>
      </c>
      <c r="G166" s="190" t="n">
        <v>455</v>
      </c>
      <c r="H166" s="190" t="s">
        <v>1722</v>
      </c>
      <c r="I166" s="190" t="s">
        <v>2120</v>
      </c>
      <c r="J166" s="190" t="s">
        <v>2121</v>
      </c>
    </row>
    <row r="167" customFormat="false" ht="14.25" hidden="false" customHeight="true" outlineLevel="0" collapsed="false">
      <c r="A167" s="190" t="s">
        <v>2122</v>
      </c>
      <c r="B167" s="190" t="s">
        <v>2123</v>
      </c>
      <c r="C167" s="190" t="s">
        <v>2124</v>
      </c>
      <c r="D167" s="190" t="n">
        <v>1</v>
      </c>
      <c r="E167" s="190" t="n">
        <v>0.97</v>
      </c>
      <c r="F167" s="190" t="n">
        <v>2.03</v>
      </c>
      <c r="G167" s="190" t="n">
        <v>703.4</v>
      </c>
      <c r="H167" s="190" t="s">
        <v>1722</v>
      </c>
      <c r="I167" s="190" t="s">
        <v>2120</v>
      </c>
      <c r="J167" s="190" t="s">
        <v>2125</v>
      </c>
    </row>
    <row r="168" customFormat="false" ht="14.25" hidden="false" customHeight="true" outlineLevel="0" collapsed="false">
      <c r="A168" s="190" t="s">
        <v>2126</v>
      </c>
      <c r="B168" s="190" t="s">
        <v>2127</v>
      </c>
      <c r="C168" s="190" t="s">
        <v>2128</v>
      </c>
      <c r="D168" s="190" t="n">
        <v>1</v>
      </c>
      <c r="E168" s="190" t="n">
        <v>4.3</v>
      </c>
      <c r="F168" s="190" t="n">
        <v>16.83</v>
      </c>
      <c r="G168" s="190" t="n">
        <v>702.8</v>
      </c>
      <c r="H168" s="190" t="s">
        <v>1722</v>
      </c>
      <c r="I168" s="190" t="s">
        <v>2120</v>
      </c>
      <c r="J168" s="190" t="s">
        <v>2129</v>
      </c>
    </row>
    <row r="169" customFormat="false" ht="14.25" hidden="false" customHeight="true" outlineLevel="0" collapsed="false">
      <c r="A169" s="190" t="s">
        <v>579</v>
      </c>
      <c r="B169" s="190" t="s">
        <v>577</v>
      </c>
      <c r="C169" s="190" t="s">
        <v>578</v>
      </c>
      <c r="D169" s="190" t="n">
        <v>1</v>
      </c>
      <c r="E169" s="190" t="n">
        <v>9.47</v>
      </c>
      <c r="F169" s="190" t="n">
        <v>17</v>
      </c>
      <c r="G169" s="190" t="n">
        <v>464.1</v>
      </c>
      <c r="H169" s="190" t="s">
        <v>1722</v>
      </c>
      <c r="I169" s="190" t="s">
        <v>121</v>
      </c>
      <c r="J169" s="190" t="s">
        <v>2130</v>
      </c>
    </row>
    <row r="170" customFormat="false" ht="14.25" hidden="false" customHeight="true" outlineLevel="0" collapsed="false">
      <c r="A170" s="190" t="s">
        <v>587</v>
      </c>
      <c r="B170" s="190" t="s">
        <v>585</v>
      </c>
      <c r="C170" s="190" t="s">
        <v>586</v>
      </c>
      <c r="D170" s="190" t="n">
        <v>1</v>
      </c>
      <c r="E170" s="190" t="n">
        <v>0</v>
      </c>
      <c r="F170" s="190" t="n">
        <v>21.17</v>
      </c>
      <c r="G170" s="190" t="n">
        <v>622.6</v>
      </c>
      <c r="H170" s="190" t="s">
        <v>1722</v>
      </c>
      <c r="I170" s="190" t="s">
        <v>121</v>
      </c>
      <c r="J170" s="190" t="s">
        <v>2131</v>
      </c>
    </row>
    <row r="171" customFormat="false" ht="14.25" hidden="false" customHeight="true" outlineLevel="0" collapsed="false">
      <c r="A171" s="190" t="s">
        <v>2132</v>
      </c>
      <c r="B171" s="190" t="s">
        <v>2133</v>
      </c>
      <c r="C171" s="190" t="s">
        <v>2134</v>
      </c>
      <c r="D171" s="190" t="n">
        <v>1</v>
      </c>
      <c r="E171" s="190" t="n">
        <v>1.87</v>
      </c>
      <c r="F171" s="190" t="n">
        <v>12.75</v>
      </c>
      <c r="G171" s="190" t="n">
        <v>588</v>
      </c>
      <c r="H171" s="190" t="s">
        <v>1722</v>
      </c>
      <c r="I171" s="190" t="s">
        <v>121</v>
      </c>
      <c r="J171" s="190" t="s">
        <v>2135</v>
      </c>
    </row>
    <row r="172" customFormat="false" ht="14.25" hidden="false" customHeight="true" outlineLevel="0" collapsed="false">
      <c r="A172" s="190" t="s">
        <v>2136</v>
      </c>
      <c r="B172" s="190" t="s">
        <v>2137</v>
      </c>
      <c r="C172" s="190" t="s">
        <v>2138</v>
      </c>
      <c r="D172" s="190" t="n">
        <v>1</v>
      </c>
      <c r="E172" s="190" t="n">
        <v>0.43</v>
      </c>
      <c r="F172" s="190" t="n">
        <v>108.5</v>
      </c>
      <c r="G172" s="190" t="n">
        <v>702.4</v>
      </c>
      <c r="H172" s="190" t="s">
        <v>1722</v>
      </c>
      <c r="I172" s="190" t="s">
        <v>121</v>
      </c>
      <c r="J172" s="190" t="s">
        <v>2139</v>
      </c>
    </row>
    <row r="173" customFormat="false" ht="14.25" hidden="false" customHeight="true" outlineLevel="0" collapsed="false">
      <c r="A173" s="190" t="s">
        <v>590</v>
      </c>
      <c r="B173" s="190" t="s">
        <v>588</v>
      </c>
      <c r="C173" s="190" t="s">
        <v>589</v>
      </c>
      <c r="D173" s="190" t="n">
        <v>1</v>
      </c>
      <c r="E173" s="190" t="n">
        <v>0.33</v>
      </c>
      <c r="F173" s="190" t="n">
        <v>16</v>
      </c>
      <c r="G173" s="190" t="n">
        <v>290.5</v>
      </c>
      <c r="H173" s="190" t="s">
        <v>1722</v>
      </c>
      <c r="I173" s="190" t="s">
        <v>121</v>
      </c>
      <c r="J173" s="190" t="s">
        <v>1731</v>
      </c>
    </row>
    <row r="174" customFormat="false" ht="14.25" hidden="false" customHeight="true" outlineLevel="0" collapsed="false">
      <c r="A174" s="190" t="s">
        <v>594</v>
      </c>
      <c r="B174" s="190" t="s">
        <v>592</v>
      </c>
      <c r="C174" s="190" t="s">
        <v>593</v>
      </c>
      <c r="D174" s="190" t="n">
        <v>1</v>
      </c>
      <c r="E174" s="190" t="n">
        <v>0.5</v>
      </c>
      <c r="F174" s="190" t="n">
        <v>24</v>
      </c>
      <c r="G174" s="190" t="n">
        <v>464.4</v>
      </c>
      <c r="H174" s="190" t="s">
        <v>1722</v>
      </c>
      <c r="I174" s="190" t="s">
        <v>596</v>
      </c>
      <c r="J174" s="190" t="s">
        <v>1731</v>
      </c>
    </row>
    <row r="175" customFormat="false" ht="14.25" hidden="false" customHeight="true" outlineLevel="0" collapsed="false">
      <c r="A175" s="190" t="s">
        <v>2140</v>
      </c>
      <c r="B175" s="190" t="s">
        <v>2141</v>
      </c>
      <c r="C175" s="190" t="s">
        <v>2142</v>
      </c>
      <c r="D175" s="190" t="n">
        <v>1</v>
      </c>
      <c r="E175" s="190" t="n">
        <v>0.78</v>
      </c>
      <c r="F175" s="190" t="n">
        <v>13.17</v>
      </c>
      <c r="G175" s="190" t="n">
        <v>766.6</v>
      </c>
      <c r="H175" s="190" t="s">
        <v>1722</v>
      </c>
      <c r="I175" s="190" t="s">
        <v>2143</v>
      </c>
      <c r="J175" s="190" t="s">
        <v>1731</v>
      </c>
    </row>
    <row r="176" customFormat="false" ht="14.25" hidden="false" customHeight="true" outlineLevel="0" collapsed="false">
      <c r="A176" s="190" t="s">
        <v>2144</v>
      </c>
      <c r="B176" s="190" t="s">
        <v>2145</v>
      </c>
      <c r="C176" s="190" t="s">
        <v>2146</v>
      </c>
      <c r="D176" s="190" t="n">
        <v>1</v>
      </c>
      <c r="E176" s="190" t="n">
        <v>0.78</v>
      </c>
      <c r="F176" s="190" t="n">
        <v>1.33</v>
      </c>
      <c r="G176" s="190" t="n">
        <v>766.2</v>
      </c>
      <c r="H176" s="190" t="s">
        <v>1722</v>
      </c>
      <c r="I176" s="190" t="s">
        <v>2143</v>
      </c>
      <c r="J176" s="190" t="s">
        <v>1731</v>
      </c>
    </row>
    <row r="177" customFormat="false" ht="14.25" hidden="false" customHeight="true" outlineLevel="0" collapsed="false">
      <c r="A177" s="190" t="s">
        <v>2147</v>
      </c>
      <c r="B177" s="190" t="s">
        <v>2148</v>
      </c>
      <c r="C177" s="190" t="s">
        <v>2149</v>
      </c>
      <c r="D177" s="190" t="n">
        <v>1</v>
      </c>
      <c r="E177" s="190" t="n">
        <v>1</v>
      </c>
      <c r="F177" s="190" t="n">
        <v>0.52</v>
      </c>
      <c r="G177" s="190" t="n">
        <v>694.1</v>
      </c>
      <c r="H177" s="190" t="s">
        <v>1722</v>
      </c>
      <c r="I177" s="190" t="s">
        <v>1782</v>
      </c>
      <c r="J177" s="190" t="s">
        <v>1783</v>
      </c>
    </row>
    <row r="178" customFormat="false" ht="14.25" hidden="false" customHeight="true" outlineLevel="0" collapsed="false">
      <c r="A178" s="190" t="s">
        <v>2150</v>
      </c>
      <c r="B178" s="190" t="s">
        <v>2151</v>
      </c>
      <c r="C178" s="190" t="s">
        <v>2152</v>
      </c>
      <c r="D178" s="190" t="n">
        <v>1</v>
      </c>
      <c r="E178" s="190" t="n">
        <v>0</v>
      </c>
      <c r="F178" s="190" t="n">
        <v>7.75</v>
      </c>
      <c r="G178" s="190" t="n">
        <v>718.1</v>
      </c>
      <c r="H178" s="190" t="s">
        <v>1722</v>
      </c>
      <c r="I178" s="190" t="s">
        <v>1782</v>
      </c>
      <c r="J178" s="190" t="s">
        <v>1783</v>
      </c>
    </row>
    <row r="179" customFormat="false" ht="14.25" hidden="false" customHeight="true" outlineLevel="0" collapsed="false">
      <c r="A179" s="190" t="s">
        <v>2153</v>
      </c>
      <c r="B179" s="190" t="s">
        <v>2154</v>
      </c>
      <c r="C179" s="190" t="s">
        <v>2155</v>
      </c>
      <c r="D179" s="190" t="n">
        <v>1</v>
      </c>
      <c r="E179" s="190" t="n">
        <v>1</v>
      </c>
      <c r="F179" s="190" t="n">
        <v>0.53</v>
      </c>
      <c r="G179" s="190" t="n">
        <v>694.2</v>
      </c>
      <c r="H179" s="190" t="s">
        <v>1722</v>
      </c>
      <c r="I179" s="190" t="s">
        <v>1782</v>
      </c>
      <c r="J179" s="190" t="s">
        <v>2156</v>
      </c>
    </row>
    <row r="180" customFormat="false" ht="14.25" hidden="false" customHeight="true" outlineLevel="0" collapsed="false">
      <c r="A180" s="190" t="s">
        <v>2157</v>
      </c>
      <c r="B180" s="190" t="s">
        <v>2158</v>
      </c>
      <c r="C180" s="190" t="s">
        <v>2159</v>
      </c>
      <c r="D180" s="190" t="n">
        <v>1</v>
      </c>
      <c r="E180" s="190" t="n">
        <v>0</v>
      </c>
      <c r="F180" s="190" t="n">
        <v>10.25</v>
      </c>
      <c r="G180" s="190" t="n">
        <v>717.9</v>
      </c>
      <c r="H180" s="190" t="s">
        <v>1722</v>
      </c>
      <c r="I180" s="190" t="s">
        <v>1782</v>
      </c>
      <c r="J180" s="190" t="s">
        <v>2156</v>
      </c>
    </row>
    <row r="181" customFormat="false" ht="14.25" hidden="false" customHeight="true" outlineLevel="0" collapsed="false">
      <c r="A181" s="190" t="s">
        <v>2160</v>
      </c>
      <c r="B181" s="190" t="s">
        <v>2161</v>
      </c>
      <c r="C181" s="190" t="s">
        <v>2162</v>
      </c>
      <c r="D181" s="190" t="n">
        <v>1</v>
      </c>
      <c r="E181" s="190" t="n">
        <v>2</v>
      </c>
      <c r="F181" s="190" t="n">
        <v>14.83</v>
      </c>
      <c r="G181" s="190" t="n">
        <v>603.7</v>
      </c>
      <c r="H181" s="190" t="s">
        <v>1722</v>
      </c>
      <c r="I181" s="190" t="s">
        <v>1782</v>
      </c>
      <c r="J181" s="190" t="s">
        <v>2085</v>
      </c>
    </row>
    <row r="182" customFormat="false" ht="14.25" hidden="false" customHeight="true" outlineLevel="0" collapsed="false">
      <c r="A182" s="190" t="s">
        <v>2163</v>
      </c>
      <c r="B182" s="190" t="s">
        <v>2164</v>
      </c>
      <c r="C182" s="190" t="s">
        <v>2165</v>
      </c>
      <c r="D182" s="190" t="n">
        <v>1</v>
      </c>
      <c r="E182" s="190" t="n">
        <v>2</v>
      </c>
      <c r="F182" s="190" t="n">
        <v>5.75</v>
      </c>
      <c r="G182" s="190" t="n">
        <v>603.8</v>
      </c>
      <c r="H182" s="190" t="s">
        <v>1722</v>
      </c>
      <c r="I182" s="190" t="s">
        <v>1782</v>
      </c>
      <c r="J182" s="190" t="s">
        <v>2085</v>
      </c>
    </row>
    <row r="183" customFormat="false" ht="14.25" hidden="false" customHeight="true" outlineLevel="0" collapsed="false">
      <c r="A183" s="190" t="s">
        <v>2166</v>
      </c>
      <c r="B183" s="190" t="s">
        <v>2167</v>
      </c>
      <c r="C183" s="190" t="s">
        <v>2168</v>
      </c>
      <c r="D183" s="190" t="n">
        <v>1</v>
      </c>
      <c r="E183" s="190" t="n">
        <v>0.13</v>
      </c>
      <c r="F183" s="190" t="n">
        <v>3</v>
      </c>
      <c r="G183" s="190" t="n">
        <v>603.7</v>
      </c>
      <c r="H183" s="190" t="s">
        <v>1722</v>
      </c>
      <c r="I183" s="190" t="s">
        <v>1782</v>
      </c>
      <c r="J183" s="190" t="s">
        <v>2085</v>
      </c>
    </row>
    <row r="184" customFormat="false" ht="14.25" hidden="false" customHeight="true" outlineLevel="0" collapsed="false">
      <c r="A184" s="190" t="s">
        <v>2169</v>
      </c>
      <c r="B184" s="190" t="s">
        <v>2170</v>
      </c>
      <c r="C184" s="190" t="s">
        <v>2171</v>
      </c>
      <c r="D184" s="190" t="n">
        <v>1</v>
      </c>
      <c r="E184" s="190" t="n">
        <v>0.13</v>
      </c>
      <c r="F184" s="190" t="n">
        <v>6.75</v>
      </c>
      <c r="G184" s="190" t="n">
        <v>604</v>
      </c>
      <c r="H184" s="190" t="s">
        <v>1722</v>
      </c>
      <c r="I184" s="190" t="s">
        <v>1782</v>
      </c>
      <c r="J184" s="190" t="s">
        <v>2085</v>
      </c>
    </row>
    <row r="185" customFormat="false" ht="14.25" hidden="false" customHeight="true" outlineLevel="0" collapsed="false">
      <c r="A185" s="190" t="s">
        <v>2172</v>
      </c>
      <c r="B185" s="190" t="s">
        <v>2173</v>
      </c>
      <c r="C185" s="190" t="s">
        <v>2174</v>
      </c>
      <c r="D185" s="190" t="n">
        <v>1</v>
      </c>
      <c r="E185" s="190" t="n">
        <v>0</v>
      </c>
      <c r="F185" s="190" t="n">
        <v>9.27</v>
      </c>
      <c r="G185" s="190" t="n">
        <v>703.8</v>
      </c>
      <c r="H185" s="190" t="s">
        <v>1722</v>
      </c>
      <c r="I185" s="190" t="s">
        <v>1782</v>
      </c>
      <c r="J185" s="190" t="s">
        <v>2085</v>
      </c>
    </row>
    <row r="186" customFormat="false" ht="14.25" hidden="false" customHeight="true" outlineLevel="0" collapsed="false">
      <c r="A186" s="190" t="s">
        <v>2175</v>
      </c>
      <c r="B186" s="190" t="s">
        <v>2176</v>
      </c>
      <c r="C186" s="190" t="s">
        <v>2177</v>
      </c>
      <c r="D186" s="190" t="n">
        <v>1</v>
      </c>
      <c r="E186" s="190" t="n">
        <v>1</v>
      </c>
      <c r="F186" s="190" t="n">
        <v>1.5</v>
      </c>
      <c r="G186" s="190" t="n">
        <v>694</v>
      </c>
      <c r="H186" s="190" t="s">
        <v>1722</v>
      </c>
      <c r="I186" s="190" t="s">
        <v>1782</v>
      </c>
      <c r="J186" s="190" t="s">
        <v>1783</v>
      </c>
    </row>
    <row r="187" customFormat="false" ht="14.25" hidden="false" customHeight="true" outlineLevel="0" collapsed="false">
      <c r="A187" s="190" t="s">
        <v>2178</v>
      </c>
      <c r="B187" s="190" t="s">
        <v>2179</v>
      </c>
      <c r="C187" s="190" t="s">
        <v>2180</v>
      </c>
      <c r="D187" s="190" t="n">
        <v>1</v>
      </c>
      <c r="E187" s="190" t="n">
        <v>0.33</v>
      </c>
      <c r="F187" s="190" t="n">
        <v>0.75</v>
      </c>
      <c r="G187" s="190" t="n">
        <v>695.5</v>
      </c>
      <c r="H187" s="190" t="s">
        <v>1722</v>
      </c>
      <c r="I187" s="190" t="s">
        <v>1782</v>
      </c>
      <c r="J187" s="190" t="s">
        <v>1783</v>
      </c>
    </row>
    <row r="188" customFormat="false" ht="14.25" hidden="false" customHeight="true" outlineLevel="0" collapsed="false">
      <c r="A188" s="190" t="s">
        <v>2181</v>
      </c>
      <c r="B188" s="190" t="s">
        <v>2182</v>
      </c>
      <c r="C188" s="190" t="s">
        <v>2183</v>
      </c>
      <c r="D188" s="190" t="n">
        <v>1</v>
      </c>
      <c r="E188" s="190" t="n">
        <v>0.5</v>
      </c>
      <c r="F188" s="190" t="n">
        <v>6.5</v>
      </c>
      <c r="G188" s="190" t="n">
        <v>701.6</v>
      </c>
      <c r="H188" s="190" t="s">
        <v>1722</v>
      </c>
      <c r="I188" s="190" t="s">
        <v>584</v>
      </c>
      <c r="J188" s="190" t="s">
        <v>1783</v>
      </c>
    </row>
    <row r="189" customFormat="false" ht="14.25" hidden="false" customHeight="true" outlineLevel="0" collapsed="false">
      <c r="A189" s="190" t="s">
        <v>2184</v>
      </c>
      <c r="B189" s="190" t="s">
        <v>2185</v>
      </c>
      <c r="C189" s="190" t="s">
        <v>2186</v>
      </c>
      <c r="D189" s="190" t="n">
        <v>1</v>
      </c>
      <c r="E189" s="190" t="n">
        <v>0.5</v>
      </c>
      <c r="F189" s="190" t="n">
        <v>7.5</v>
      </c>
      <c r="G189" s="190" t="n">
        <v>701.6</v>
      </c>
      <c r="H189" s="190" t="s">
        <v>1722</v>
      </c>
      <c r="I189" s="190" t="s">
        <v>584</v>
      </c>
      <c r="J189" s="190" t="s">
        <v>1783</v>
      </c>
    </row>
    <row r="190" customFormat="false" ht="14.25" hidden="false" customHeight="true" outlineLevel="0" collapsed="false">
      <c r="A190" s="190" t="s">
        <v>2187</v>
      </c>
      <c r="B190" s="190" t="s">
        <v>2188</v>
      </c>
      <c r="C190" s="190" t="s">
        <v>2189</v>
      </c>
      <c r="D190" s="190" t="n">
        <v>1</v>
      </c>
      <c r="E190" s="190" t="n">
        <v>1.32</v>
      </c>
      <c r="F190" s="190" t="n">
        <v>5</v>
      </c>
      <c r="G190" s="190" t="n">
        <v>605.6</v>
      </c>
      <c r="H190" s="190" t="s">
        <v>1722</v>
      </c>
      <c r="I190" s="190" t="s">
        <v>584</v>
      </c>
      <c r="J190" s="190" t="s">
        <v>1783</v>
      </c>
    </row>
    <row r="191" customFormat="false" ht="14.25" hidden="false" customHeight="true" outlineLevel="0" collapsed="false">
      <c r="A191" s="190" t="s">
        <v>2190</v>
      </c>
      <c r="B191" s="190" t="s">
        <v>2191</v>
      </c>
      <c r="C191" s="190" t="s">
        <v>2192</v>
      </c>
      <c r="D191" s="190" t="n">
        <v>1</v>
      </c>
      <c r="E191" s="190" t="n">
        <v>0.5</v>
      </c>
      <c r="F191" s="190" t="n">
        <v>5.5</v>
      </c>
      <c r="G191" s="190" t="n">
        <v>605.8</v>
      </c>
      <c r="H191" s="190" t="s">
        <v>1722</v>
      </c>
      <c r="I191" s="190" t="s">
        <v>584</v>
      </c>
      <c r="J191" s="190" t="s">
        <v>1783</v>
      </c>
    </row>
    <row r="192" customFormat="false" ht="14.25" hidden="false" customHeight="true" outlineLevel="0" collapsed="false">
      <c r="A192" s="190" t="s">
        <v>2193</v>
      </c>
      <c r="B192" s="190" t="s">
        <v>2194</v>
      </c>
      <c r="C192" s="190" t="s">
        <v>2195</v>
      </c>
      <c r="D192" s="190" t="s">
        <v>2196</v>
      </c>
      <c r="E192" s="190" t="n">
        <v>16</v>
      </c>
      <c r="F192" s="190" t="n">
        <v>81.8</v>
      </c>
      <c r="G192" s="190" t="n">
        <v>443</v>
      </c>
      <c r="H192" s="190" t="s">
        <v>1722</v>
      </c>
      <c r="I192" s="190" t="n">
        <v>21</v>
      </c>
      <c r="J192" s="190"/>
    </row>
    <row r="193" customFormat="false" ht="14.25" hidden="false" customHeight="true" outlineLevel="0" collapsed="false">
      <c r="A193" s="190" t="s">
        <v>2197</v>
      </c>
      <c r="B193" s="190" t="s">
        <v>2198</v>
      </c>
      <c r="C193" s="190" t="s">
        <v>2199</v>
      </c>
      <c r="D193" s="190" t="s">
        <v>2200</v>
      </c>
      <c r="E193" s="190" t="n">
        <v>9.17</v>
      </c>
      <c r="F193" s="190" t="n">
        <v>2.75</v>
      </c>
      <c r="G193" s="190" t="n">
        <v>126.8</v>
      </c>
      <c r="H193" s="190" t="s">
        <v>1722</v>
      </c>
      <c r="I193" s="190" t="n">
        <v>25</v>
      </c>
      <c r="J193" s="190"/>
    </row>
    <row r="194" customFormat="false" ht="14.25" hidden="false" customHeight="true" outlineLevel="0" collapsed="false">
      <c r="A194" s="190" t="s">
        <v>2201</v>
      </c>
      <c r="B194" s="190" t="s">
        <v>2202</v>
      </c>
      <c r="C194" s="190" t="s">
        <v>2203</v>
      </c>
      <c r="D194" s="190" t="s">
        <v>2204</v>
      </c>
      <c r="E194" s="190" t="n">
        <v>6.25</v>
      </c>
      <c r="F194" s="190" t="n">
        <v>88.8</v>
      </c>
      <c r="G194" s="190" t="n">
        <v>458.2</v>
      </c>
      <c r="H194" s="190" t="s">
        <v>1722</v>
      </c>
      <c r="I194" s="190" t="n">
        <v>25</v>
      </c>
      <c r="J194" s="190"/>
    </row>
    <row r="195" customFormat="false" ht="14.25" hidden="false" customHeight="true" outlineLevel="0" collapsed="false">
      <c r="A195" s="190" t="s">
        <v>2205</v>
      </c>
      <c r="B195" s="190" t="s">
        <v>2206</v>
      </c>
      <c r="C195" s="190" t="s">
        <v>2207</v>
      </c>
      <c r="D195" s="190" t="s">
        <v>2204</v>
      </c>
      <c r="E195" s="190" t="n">
        <v>8.75</v>
      </c>
      <c r="F195" s="190" t="n">
        <v>52.2</v>
      </c>
      <c r="G195" s="190" t="n">
        <v>369.8</v>
      </c>
      <c r="H195" s="190" t="s">
        <v>1722</v>
      </c>
      <c r="I195" s="190" t="n">
        <v>27</v>
      </c>
      <c r="J195" s="190" t="s">
        <v>2208</v>
      </c>
    </row>
    <row r="196" customFormat="false" ht="14.25" hidden="false" customHeight="true" outlineLevel="0" collapsed="false">
      <c r="A196" s="190" t="s">
        <v>2209</v>
      </c>
      <c r="B196" s="190" t="s">
        <v>2210</v>
      </c>
      <c r="C196" s="190" t="s">
        <v>2211</v>
      </c>
      <c r="D196" s="190" t="s">
        <v>2204</v>
      </c>
      <c r="E196" s="190" t="n">
        <v>8.75</v>
      </c>
      <c r="F196" s="190" t="n">
        <v>92.8</v>
      </c>
      <c r="G196" s="190" t="n">
        <v>397.1</v>
      </c>
      <c r="H196" s="190" t="s">
        <v>1722</v>
      </c>
      <c r="I196" s="190" t="n">
        <v>27</v>
      </c>
      <c r="J196" s="190" t="s">
        <v>2208</v>
      </c>
    </row>
    <row r="197" customFormat="false" ht="14.25" hidden="false" customHeight="true" outlineLevel="0" collapsed="false">
      <c r="A197" s="190" t="s">
        <v>2212</v>
      </c>
      <c r="B197" s="190" t="s">
        <v>2213</v>
      </c>
      <c r="C197" s="190" t="s">
        <v>2214</v>
      </c>
      <c r="D197" s="190" t="s">
        <v>2196</v>
      </c>
      <c r="E197" s="190" t="n">
        <v>48.5</v>
      </c>
      <c r="F197" s="190" t="n">
        <v>75.4</v>
      </c>
      <c r="G197" s="190" t="n">
        <v>621.7</v>
      </c>
      <c r="H197" s="190" t="s">
        <v>1722</v>
      </c>
      <c r="I197" s="190" t="n">
        <v>29</v>
      </c>
      <c r="J197" s="190" t="s">
        <v>2215</v>
      </c>
    </row>
    <row r="198" customFormat="false" ht="14.25" hidden="false" customHeight="true" outlineLevel="0" collapsed="false">
      <c r="A198" s="190" t="s">
        <v>2216</v>
      </c>
      <c r="B198" s="190" t="s">
        <v>2217</v>
      </c>
      <c r="C198" s="190" t="s">
        <v>2218</v>
      </c>
      <c r="D198" s="190" t="s">
        <v>2196</v>
      </c>
      <c r="E198" s="190" t="n">
        <v>6</v>
      </c>
      <c r="F198" s="190" t="n">
        <v>33</v>
      </c>
      <c r="G198" s="190" t="n">
        <v>604.2</v>
      </c>
      <c r="H198" s="190" t="s">
        <v>1722</v>
      </c>
      <c r="I198" s="190" t="n">
        <v>31</v>
      </c>
      <c r="J198" s="190"/>
    </row>
    <row r="199" customFormat="false" ht="14.25" hidden="false" customHeight="true" outlineLevel="0" collapsed="false">
      <c r="A199" s="190" t="s">
        <v>2219</v>
      </c>
      <c r="B199" s="190" t="s">
        <v>2220</v>
      </c>
      <c r="C199" s="190" t="s">
        <v>2221</v>
      </c>
      <c r="D199" s="190" t="s">
        <v>2200</v>
      </c>
      <c r="E199" s="190" t="n">
        <v>12.75</v>
      </c>
      <c r="F199" s="190" t="n">
        <v>16.75</v>
      </c>
      <c r="G199" s="190" t="n">
        <v>457.3</v>
      </c>
      <c r="H199" s="190" t="s">
        <v>1722</v>
      </c>
      <c r="I199" s="190" t="n">
        <v>32</v>
      </c>
      <c r="J199" s="190"/>
    </row>
    <row r="200" customFormat="false" ht="14.25" hidden="false" customHeight="true" outlineLevel="0" collapsed="false">
      <c r="A200" s="190" t="s">
        <v>2222</v>
      </c>
      <c r="B200" s="190" t="s">
        <v>2223</v>
      </c>
      <c r="C200" s="190" t="s">
        <v>2224</v>
      </c>
      <c r="D200" s="190" t="s">
        <v>2225</v>
      </c>
      <c r="E200" s="190" t="n">
        <v>54</v>
      </c>
      <c r="F200" s="190" t="n">
        <v>222.7</v>
      </c>
      <c r="G200" s="190" t="n">
        <v>723.1</v>
      </c>
      <c r="H200" s="190" t="s">
        <v>1722</v>
      </c>
      <c r="I200" s="190" t="n">
        <v>32</v>
      </c>
      <c r="J200" s="190"/>
    </row>
    <row r="201" customFormat="false" ht="14.25" hidden="false" customHeight="true" outlineLevel="0" collapsed="false">
      <c r="A201" s="190" t="s">
        <v>2226</v>
      </c>
      <c r="B201" s="190" t="s">
        <v>2227</v>
      </c>
      <c r="C201" s="190" t="s">
        <v>2228</v>
      </c>
      <c r="D201" s="190" t="s">
        <v>2204</v>
      </c>
      <c r="E201" s="190" t="n">
        <v>16.25</v>
      </c>
      <c r="F201" s="190" t="n">
        <v>100</v>
      </c>
      <c r="G201" s="190" t="n">
        <v>606.3</v>
      </c>
      <c r="H201" s="190" t="s">
        <v>1722</v>
      </c>
      <c r="I201" s="190" t="n">
        <v>36</v>
      </c>
      <c r="J201" s="190"/>
    </row>
    <row r="202" customFormat="false" ht="14.25" hidden="false" customHeight="true" outlineLevel="0" collapsed="false">
      <c r="A202" s="190" t="s">
        <v>611</v>
      </c>
      <c r="B202" s="190" t="s">
        <v>609</v>
      </c>
      <c r="C202" s="190" t="s">
        <v>610</v>
      </c>
      <c r="D202" s="190" t="n">
        <v>1</v>
      </c>
      <c r="E202" s="190" t="n">
        <v>471</v>
      </c>
      <c r="F202" s="190" t="n">
        <v>73.5</v>
      </c>
      <c r="G202" s="190" t="n">
        <v>611.1</v>
      </c>
      <c r="H202" s="190" t="s">
        <v>1722</v>
      </c>
      <c r="I202" s="190" t="n">
        <v>44</v>
      </c>
      <c r="J202" s="190"/>
    </row>
    <row r="203" customFormat="false" ht="14.25" hidden="false" customHeight="true" outlineLevel="0" collapsed="false">
      <c r="A203" s="190" t="s">
        <v>615</v>
      </c>
      <c r="B203" s="190" t="s">
        <v>613</v>
      </c>
      <c r="C203" s="190" t="s">
        <v>614</v>
      </c>
      <c r="D203" s="190" t="s">
        <v>2200</v>
      </c>
      <c r="E203" s="190" t="n">
        <v>170</v>
      </c>
      <c r="F203" s="190" t="n">
        <v>0</v>
      </c>
      <c r="G203" s="190" t="n">
        <v>0</v>
      </c>
      <c r="H203" s="190" t="s">
        <v>1722</v>
      </c>
      <c r="I203" s="190" t="n">
        <v>44</v>
      </c>
      <c r="J203" s="190"/>
    </row>
    <row r="204" customFormat="false" ht="14.25" hidden="false" customHeight="true" outlineLevel="0" collapsed="false">
      <c r="A204" s="190" t="s">
        <v>618</v>
      </c>
      <c r="B204" s="190" t="s">
        <v>616</v>
      </c>
      <c r="C204" s="190" t="s">
        <v>617</v>
      </c>
      <c r="D204" s="190" t="s">
        <v>2196</v>
      </c>
      <c r="E204" s="190" t="n">
        <v>23.17</v>
      </c>
      <c r="F204" s="190" t="n">
        <v>205.6</v>
      </c>
      <c r="G204" s="190" t="n">
        <v>648.7</v>
      </c>
      <c r="H204" s="190" t="s">
        <v>1722</v>
      </c>
      <c r="I204" s="190" t="n">
        <v>46</v>
      </c>
      <c r="J204" s="190"/>
    </row>
    <row r="205" customFormat="false" ht="14.25" hidden="false" customHeight="true" outlineLevel="0" collapsed="false">
      <c r="A205" s="190" t="s">
        <v>2229</v>
      </c>
      <c r="B205" s="190" t="s">
        <v>2230</v>
      </c>
      <c r="C205" s="190" t="s">
        <v>2231</v>
      </c>
      <c r="D205" s="190" t="s">
        <v>2200</v>
      </c>
      <c r="E205" s="190" t="n">
        <v>1.5</v>
      </c>
      <c r="F205" s="190" t="n">
        <v>4.42</v>
      </c>
      <c r="G205" s="190" t="n">
        <v>463.9</v>
      </c>
      <c r="H205" s="190" t="s">
        <v>1722</v>
      </c>
      <c r="I205" s="190" t="n">
        <v>53</v>
      </c>
      <c r="J205" s="190"/>
    </row>
    <row r="206" customFormat="false" ht="14.25" hidden="false" customHeight="true" outlineLevel="0" collapsed="false">
      <c r="A206" s="190" t="s">
        <v>2232</v>
      </c>
      <c r="B206" s="190" t="s">
        <v>2233</v>
      </c>
      <c r="C206" s="190" t="s">
        <v>2234</v>
      </c>
      <c r="D206" s="190" t="s">
        <v>2200</v>
      </c>
      <c r="E206" s="190" t="n">
        <v>3</v>
      </c>
      <c r="F206" s="190" t="n">
        <v>1.75</v>
      </c>
      <c r="G206" s="190" t="n">
        <v>463.1</v>
      </c>
      <c r="H206" s="190" t="s">
        <v>1722</v>
      </c>
      <c r="I206" s="190" t="n">
        <v>53</v>
      </c>
      <c r="J206" s="190"/>
    </row>
    <row r="207" customFormat="false" ht="14.25" hidden="false" customHeight="true" outlineLevel="0" collapsed="false">
      <c r="A207" s="190" t="s">
        <v>2235</v>
      </c>
      <c r="B207" s="190" t="s">
        <v>2236</v>
      </c>
      <c r="C207" s="190" t="s">
        <v>2237</v>
      </c>
      <c r="D207" s="190" t="s">
        <v>2196</v>
      </c>
      <c r="E207" s="190" t="n">
        <v>8.33</v>
      </c>
      <c r="F207" s="190" t="n">
        <v>3.67</v>
      </c>
      <c r="G207" s="190" t="n">
        <v>462.4</v>
      </c>
      <c r="H207" s="190" t="s">
        <v>1722</v>
      </c>
      <c r="I207" s="190" t="n">
        <v>53</v>
      </c>
      <c r="J207" s="190"/>
    </row>
    <row r="208" customFormat="false" ht="14.25" hidden="false" customHeight="true" outlineLevel="0" collapsed="false">
      <c r="A208" s="190" t="s">
        <v>2238</v>
      </c>
      <c r="B208" s="190" t="s">
        <v>2239</v>
      </c>
      <c r="C208" s="190" t="s">
        <v>2240</v>
      </c>
      <c r="D208" s="190" t="s">
        <v>2196</v>
      </c>
      <c r="E208" s="190" t="n">
        <v>8.33</v>
      </c>
      <c r="F208" s="190" t="n">
        <v>3.42</v>
      </c>
      <c r="G208" s="190" t="n">
        <v>460.9</v>
      </c>
      <c r="H208" s="190" t="s">
        <v>1722</v>
      </c>
      <c r="I208" s="190" t="n">
        <v>53</v>
      </c>
      <c r="J208" s="190"/>
    </row>
    <row r="209" customFormat="false" ht="14.25" hidden="false" customHeight="true" outlineLevel="0" collapsed="false">
      <c r="A209" s="190" t="s">
        <v>2241</v>
      </c>
      <c r="B209" s="190" t="s">
        <v>2242</v>
      </c>
      <c r="C209" s="190" t="s">
        <v>2243</v>
      </c>
      <c r="D209" s="190" t="n">
        <v>1</v>
      </c>
      <c r="E209" s="190" t="n">
        <v>25</v>
      </c>
      <c r="F209" s="190" t="n">
        <v>14.68</v>
      </c>
      <c r="G209" s="190" t="n">
        <v>634.1</v>
      </c>
      <c r="H209" s="190" t="s">
        <v>1722</v>
      </c>
      <c r="I209" s="190" t="n">
        <v>53</v>
      </c>
      <c r="J209" s="190"/>
    </row>
    <row r="210" customFormat="false" ht="14.25" hidden="false" customHeight="true" outlineLevel="0" collapsed="false">
      <c r="A210" s="190" t="s">
        <v>639</v>
      </c>
      <c r="B210" s="190" t="s">
        <v>637</v>
      </c>
      <c r="C210" s="190" t="s">
        <v>638</v>
      </c>
      <c r="D210" s="190" t="n">
        <v>1</v>
      </c>
      <c r="E210" s="190" t="n">
        <v>62</v>
      </c>
      <c r="F210" s="190" t="n">
        <v>18</v>
      </c>
      <c r="G210" s="190" t="n">
        <v>562.2</v>
      </c>
      <c r="H210" s="190" t="s">
        <v>1722</v>
      </c>
      <c r="I210" s="190" t="n">
        <v>53</v>
      </c>
      <c r="J210" s="190"/>
    </row>
    <row r="211" customFormat="false" ht="14.25" hidden="false" customHeight="true" outlineLevel="0" collapsed="false">
      <c r="A211" s="190" t="s">
        <v>642</v>
      </c>
      <c r="B211" s="190" t="s">
        <v>640</v>
      </c>
      <c r="C211" s="190" t="s">
        <v>641</v>
      </c>
      <c r="D211" s="190" t="n">
        <v>1</v>
      </c>
      <c r="E211" s="190" t="n">
        <v>33.8</v>
      </c>
      <c r="F211" s="190" t="n">
        <v>90.8</v>
      </c>
      <c r="G211" s="190" t="n">
        <v>608.1</v>
      </c>
      <c r="H211" s="190" t="s">
        <v>1722</v>
      </c>
      <c r="I211" s="190" t="n">
        <v>53</v>
      </c>
      <c r="J211" s="190"/>
    </row>
    <row r="212" customFormat="false" ht="14.25" hidden="false" customHeight="true" outlineLevel="0" collapsed="false">
      <c r="A212" s="190" t="s">
        <v>2244</v>
      </c>
      <c r="B212" s="190" t="s">
        <v>2245</v>
      </c>
      <c r="C212" s="190" t="s">
        <v>2246</v>
      </c>
      <c r="D212" s="190" t="n">
        <v>1</v>
      </c>
      <c r="E212" s="190" t="n">
        <v>19.83</v>
      </c>
      <c r="F212" s="190" t="n">
        <v>76.5</v>
      </c>
      <c r="G212" s="190" t="n">
        <v>610.1</v>
      </c>
      <c r="H212" s="190" t="s">
        <v>1722</v>
      </c>
      <c r="I212" s="190" t="n">
        <v>53</v>
      </c>
      <c r="J212" s="190"/>
    </row>
    <row r="213" customFormat="false" ht="14.25" hidden="false" customHeight="true" outlineLevel="0" collapsed="false">
      <c r="A213" s="190" t="s">
        <v>2247</v>
      </c>
      <c r="B213" s="190" t="s">
        <v>2248</v>
      </c>
      <c r="C213" s="190" t="s">
        <v>2249</v>
      </c>
      <c r="D213" s="190" t="s">
        <v>2204</v>
      </c>
      <c r="E213" s="190" t="n">
        <v>28.2</v>
      </c>
      <c r="F213" s="190" t="n">
        <v>425.4</v>
      </c>
      <c r="G213" s="190" t="n">
        <v>658.1</v>
      </c>
      <c r="H213" s="190" t="s">
        <v>1722</v>
      </c>
      <c r="I213" s="190" t="n">
        <v>55</v>
      </c>
      <c r="J213" s="190"/>
    </row>
    <row r="214" customFormat="false" ht="14.25" hidden="false" customHeight="true" outlineLevel="0" collapsed="false">
      <c r="A214" s="190" t="s">
        <v>650</v>
      </c>
      <c r="B214" s="190" t="s">
        <v>648</v>
      </c>
      <c r="C214" s="190" t="s">
        <v>649</v>
      </c>
      <c r="D214" s="190" t="s">
        <v>1861</v>
      </c>
      <c r="E214" s="190" t="n">
        <v>1.67</v>
      </c>
      <c r="F214" s="190" t="n">
        <v>2.5</v>
      </c>
      <c r="G214" s="190" t="n">
        <v>76.9</v>
      </c>
      <c r="H214" s="190" t="s">
        <v>1722</v>
      </c>
      <c r="I214" s="190" t="n">
        <v>25</v>
      </c>
      <c r="J214" s="190"/>
    </row>
    <row r="215" customFormat="false" ht="14.25" hidden="false" customHeight="true" outlineLevel="0" collapsed="false">
      <c r="A215" s="190" t="s">
        <v>2250</v>
      </c>
      <c r="B215" s="190" t="s">
        <v>2251</v>
      </c>
      <c r="C215" s="190" t="s">
        <v>2252</v>
      </c>
      <c r="D215" s="190" t="n">
        <v>1</v>
      </c>
      <c r="E215" s="190" t="n">
        <v>44.2</v>
      </c>
      <c r="F215" s="190" t="n">
        <v>67</v>
      </c>
      <c r="G215" s="190" t="n">
        <v>658.1</v>
      </c>
      <c r="H215" s="190" t="s">
        <v>1722</v>
      </c>
      <c r="I215" s="190" t="n">
        <v>53</v>
      </c>
      <c r="J215" s="190"/>
    </row>
    <row r="216" customFormat="false" ht="14.25" hidden="false" customHeight="true" outlineLevel="0" collapsed="false">
      <c r="A216" s="190" t="s">
        <v>2253</v>
      </c>
      <c r="B216" s="190" t="s">
        <v>2254</v>
      </c>
      <c r="C216" s="190" t="s">
        <v>2255</v>
      </c>
      <c r="D216" s="190" t="s">
        <v>2196</v>
      </c>
      <c r="E216" s="190" t="n">
        <v>12.67</v>
      </c>
      <c r="F216" s="190" t="n">
        <v>172.9</v>
      </c>
      <c r="G216" s="190" t="n">
        <v>583.8</v>
      </c>
      <c r="H216" s="190" t="s">
        <v>1722</v>
      </c>
      <c r="I216" s="190" t="n">
        <v>53</v>
      </c>
      <c r="J216" s="190"/>
    </row>
    <row r="217" customFormat="false" ht="14.25" hidden="false" customHeight="true" outlineLevel="0" collapsed="false">
      <c r="A217" s="190" t="s">
        <v>2256</v>
      </c>
      <c r="B217" s="190" t="s">
        <v>2257</v>
      </c>
      <c r="C217" s="190" t="s">
        <v>2258</v>
      </c>
      <c r="D217" s="190" t="s">
        <v>1861</v>
      </c>
      <c r="E217" s="190" t="n">
        <v>2.67</v>
      </c>
      <c r="F217" s="190" t="n">
        <v>4.83</v>
      </c>
      <c r="G217" s="190" t="n">
        <v>173.5</v>
      </c>
      <c r="H217" s="190" t="s">
        <v>1722</v>
      </c>
      <c r="I217" s="190" t="n">
        <v>29</v>
      </c>
      <c r="J217" s="190"/>
    </row>
    <row r="218" customFormat="false" ht="14.25" hidden="false" customHeight="true" outlineLevel="0" collapsed="false">
      <c r="A218" s="190" t="s">
        <v>653</v>
      </c>
      <c r="B218" s="190" t="s">
        <v>651</v>
      </c>
      <c r="C218" s="190" t="s">
        <v>652</v>
      </c>
      <c r="D218" s="190" t="s">
        <v>2204</v>
      </c>
      <c r="E218" s="190" t="n">
        <v>22.5</v>
      </c>
      <c r="F218" s="190" t="n">
        <v>237</v>
      </c>
      <c r="G218" s="190" t="n">
        <v>750.9</v>
      </c>
      <c r="H218" s="190" t="s">
        <v>1722</v>
      </c>
      <c r="I218" s="190" t="s">
        <v>89</v>
      </c>
      <c r="J218" s="190" t="s">
        <v>2259</v>
      </c>
    </row>
    <row r="219" customFormat="false" ht="14.25" hidden="false" customHeight="true" outlineLevel="0" collapsed="false">
      <c r="A219" s="190" t="s">
        <v>2260</v>
      </c>
      <c r="B219" s="190" t="s">
        <v>2261</v>
      </c>
      <c r="C219" s="190" t="s">
        <v>2262</v>
      </c>
      <c r="D219" s="190" t="s">
        <v>2263</v>
      </c>
      <c r="E219" s="190" t="n">
        <v>33.5</v>
      </c>
      <c r="F219" s="190" t="n">
        <v>3.67</v>
      </c>
      <c r="G219" s="190" t="n">
        <v>839.6</v>
      </c>
      <c r="H219" s="190" t="s">
        <v>1722</v>
      </c>
      <c r="I219" s="190" t="n">
        <v>51</v>
      </c>
      <c r="J219" s="190"/>
    </row>
    <row r="220" customFormat="false" ht="14.25" hidden="false" customHeight="true" outlineLevel="0" collapsed="false">
      <c r="A220" s="190" t="s">
        <v>2264</v>
      </c>
      <c r="B220" s="190" t="s">
        <v>2265</v>
      </c>
      <c r="C220" s="190" t="s">
        <v>2266</v>
      </c>
      <c r="D220" s="190" t="s">
        <v>1861</v>
      </c>
      <c r="E220" s="190" t="n">
        <v>2.17</v>
      </c>
      <c r="F220" s="190" t="n">
        <v>0</v>
      </c>
      <c r="G220" s="190" t="n">
        <v>0</v>
      </c>
      <c r="H220" s="190" t="s">
        <v>1721</v>
      </c>
      <c r="I220" s="190" t="n">
        <v>52</v>
      </c>
      <c r="J220" s="190"/>
    </row>
    <row r="221" customFormat="false" ht="14.25" hidden="false" customHeight="true" outlineLevel="0" collapsed="false">
      <c r="A221" s="190" t="s">
        <v>2267</v>
      </c>
      <c r="B221" s="190" t="s">
        <v>2268</v>
      </c>
      <c r="C221" s="190" t="s">
        <v>2269</v>
      </c>
      <c r="D221" s="190" t="s">
        <v>2204</v>
      </c>
      <c r="E221" s="190" t="n">
        <v>2.5</v>
      </c>
      <c r="F221" s="190" t="n">
        <v>0</v>
      </c>
      <c r="G221" s="190" t="n">
        <v>0</v>
      </c>
      <c r="H221" s="190" t="s">
        <v>1721</v>
      </c>
      <c r="I221" s="190" t="n">
        <v>53</v>
      </c>
      <c r="J221" s="190"/>
    </row>
    <row r="222" customFormat="false" ht="14.25" hidden="false" customHeight="true" outlineLevel="0" collapsed="false">
      <c r="A222" s="190" t="s">
        <v>2270</v>
      </c>
      <c r="B222" s="190" t="s">
        <v>2271</v>
      </c>
      <c r="C222" s="190" t="s">
        <v>2272</v>
      </c>
      <c r="D222" s="190" t="n">
        <v>1</v>
      </c>
      <c r="E222" s="190" t="n">
        <v>0</v>
      </c>
      <c r="F222" s="190" t="n">
        <v>1.33</v>
      </c>
      <c r="G222" s="190" t="n">
        <v>818.6</v>
      </c>
      <c r="H222" s="190" t="s">
        <v>1722</v>
      </c>
      <c r="I222" s="190" t="n">
        <v>71</v>
      </c>
      <c r="J222" s="190"/>
    </row>
    <row r="223" customFormat="false" ht="14.25" hidden="false" customHeight="true" outlineLevel="0" collapsed="false">
      <c r="A223" s="190" t="s">
        <v>2273</v>
      </c>
      <c r="B223" s="190" t="s">
        <v>2274</v>
      </c>
      <c r="C223" s="190" t="s">
        <v>2275</v>
      </c>
      <c r="D223" s="190" t="s">
        <v>1861</v>
      </c>
      <c r="E223" s="190" t="n">
        <v>4.33</v>
      </c>
      <c r="F223" s="190" t="n">
        <v>39.6</v>
      </c>
      <c r="G223" s="190" t="n">
        <v>486.5</v>
      </c>
      <c r="H223" s="190" t="s">
        <v>1722</v>
      </c>
      <c r="I223" s="190" t="n">
        <v>73</v>
      </c>
      <c r="J223" s="190"/>
    </row>
    <row r="224" customFormat="false" ht="14.25" hidden="false" customHeight="true" outlineLevel="0" collapsed="false">
      <c r="A224" s="190" t="s">
        <v>2276</v>
      </c>
      <c r="B224" s="190" t="s">
        <v>2277</v>
      </c>
      <c r="C224" s="190" t="s">
        <v>2278</v>
      </c>
      <c r="D224" s="190" t="n">
        <v>1</v>
      </c>
      <c r="E224" s="190" t="n">
        <v>4.83</v>
      </c>
      <c r="F224" s="190" t="n">
        <v>17</v>
      </c>
      <c r="G224" s="190" t="n">
        <v>386.9</v>
      </c>
      <c r="H224" s="190" t="s">
        <v>1722</v>
      </c>
      <c r="I224" s="190" t="n">
        <v>75</v>
      </c>
      <c r="J224" s="190"/>
    </row>
    <row r="225" customFormat="false" ht="14.25" hidden="false" customHeight="true" outlineLevel="0" collapsed="false">
      <c r="A225" s="190" t="s">
        <v>660</v>
      </c>
      <c r="B225" s="190" t="s">
        <v>658</v>
      </c>
      <c r="C225" s="190" t="s">
        <v>659</v>
      </c>
      <c r="D225" s="190" t="s">
        <v>2279</v>
      </c>
      <c r="E225" s="190" t="n">
        <v>0</v>
      </c>
      <c r="F225" s="190" t="n">
        <v>16.17</v>
      </c>
      <c r="G225" s="190" t="n">
        <v>7303</v>
      </c>
      <c r="H225" s="190" t="s">
        <v>1722</v>
      </c>
      <c r="I225" s="190" t="n">
        <v>25</v>
      </c>
      <c r="J225" s="190"/>
    </row>
    <row r="226" customFormat="false" ht="14.25" hidden="false" customHeight="true" outlineLevel="0" collapsed="false">
      <c r="A226" s="190" t="s">
        <v>665</v>
      </c>
      <c r="B226" s="190" t="s">
        <v>663</v>
      </c>
      <c r="C226" s="190" t="s">
        <v>664</v>
      </c>
      <c r="D226" s="190" t="s">
        <v>1720</v>
      </c>
      <c r="E226" s="190" t="n">
        <v>0</v>
      </c>
      <c r="F226" s="190" t="n">
        <v>15</v>
      </c>
      <c r="G226" s="190" t="n">
        <v>2795.6</v>
      </c>
      <c r="H226" s="190" t="s">
        <v>1722</v>
      </c>
      <c r="I226" s="190" t="n">
        <v>25</v>
      </c>
      <c r="J226" s="190"/>
    </row>
    <row r="227" customFormat="false" ht="14.25" hidden="false" customHeight="true" outlineLevel="0" collapsed="false">
      <c r="A227" s="190" t="s">
        <v>2280</v>
      </c>
      <c r="B227" s="190" t="s">
        <v>2281</v>
      </c>
      <c r="C227" s="190" t="s">
        <v>2282</v>
      </c>
      <c r="D227" s="190" t="s">
        <v>1720</v>
      </c>
      <c r="E227" s="190" t="n">
        <v>0</v>
      </c>
      <c r="F227" s="190" t="n">
        <v>2</v>
      </c>
      <c r="G227" s="190" t="n">
        <v>1717.6</v>
      </c>
      <c r="H227" s="190" t="s">
        <v>1722</v>
      </c>
      <c r="I227" s="190" t="n">
        <v>11</v>
      </c>
      <c r="J227" s="190"/>
    </row>
    <row r="228" customFormat="false" ht="14.25" hidden="false" customHeight="true" outlineLevel="0" collapsed="false">
      <c r="A228" s="190" t="s">
        <v>2283</v>
      </c>
      <c r="B228" s="190" t="s">
        <v>2284</v>
      </c>
      <c r="C228" s="190" t="s">
        <v>2285</v>
      </c>
      <c r="D228" s="190" t="s">
        <v>1720</v>
      </c>
      <c r="E228" s="190" t="n">
        <v>0</v>
      </c>
      <c r="F228" s="190" t="n">
        <v>2</v>
      </c>
      <c r="G228" s="190" t="n">
        <v>1717.6</v>
      </c>
      <c r="H228" s="190" t="s">
        <v>1722</v>
      </c>
      <c r="I228" s="190" t="n">
        <v>11</v>
      </c>
      <c r="J228" s="190"/>
    </row>
    <row r="229" customFormat="false" ht="14.25" hidden="false" customHeight="true" outlineLevel="0" collapsed="false">
      <c r="A229" s="190" t="s">
        <v>2286</v>
      </c>
      <c r="B229" s="190" t="s">
        <v>2287</v>
      </c>
      <c r="C229" s="190" t="s">
        <v>2288</v>
      </c>
      <c r="D229" s="190" t="s">
        <v>1720</v>
      </c>
      <c r="E229" s="190" t="n">
        <v>0</v>
      </c>
      <c r="F229" s="190" t="n">
        <v>1</v>
      </c>
      <c r="G229" s="190" t="n">
        <v>1669.3</v>
      </c>
      <c r="H229" s="190" t="s">
        <v>1722</v>
      </c>
      <c r="I229" s="190" t="n">
        <v>11</v>
      </c>
      <c r="J229" s="190"/>
    </row>
    <row r="230" customFormat="false" ht="14.25" hidden="false" customHeight="true" outlineLevel="0" collapsed="false">
      <c r="A230" s="190" t="s">
        <v>2289</v>
      </c>
      <c r="B230" s="190" t="s">
        <v>2290</v>
      </c>
      <c r="C230" s="190" t="s">
        <v>2291</v>
      </c>
      <c r="D230" s="190" t="s">
        <v>1720</v>
      </c>
      <c r="E230" s="190" t="n">
        <v>0</v>
      </c>
      <c r="F230" s="190" t="n">
        <v>1</v>
      </c>
      <c r="G230" s="190" t="n">
        <v>1669.2</v>
      </c>
      <c r="H230" s="190" t="s">
        <v>1722</v>
      </c>
      <c r="I230" s="190" t="n">
        <v>11</v>
      </c>
      <c r="J230" s="190"/>
    </row>
    <row r="231" customFormat="false" ht="14.25" hidden="false" customHeight="true" outlineLevel="0" collapsed="false">
      <c r="A231" s="190" t="s">
        <v>2292</v>
      </c>
      <c r="B231" s="190" t="s">
        <v>2293</v>
      </c>
      <c r="C231" s="190" t="s">
        <v>2294</v>
      </c>
      <c r="D231" s="190" t="s">
        <v>1720</v>
      </c>
      <c r="E231" s="190" t="n">
        <v>0</v>
      </c>
      <c r="F231" s="190" t="n">
        <v>1</v>
      </c>
      <c r="G231" s="190" t="n">
        <v>1669</v>
      </c>
      <c r="H231" s="190" t="s">
        <v>1722</v>
      </c>
      <c r="I231" s="190" t="n">
        <v>11</v>
      </c>
      <c r="J231" s="190"/>
    </row>
    <row r="232" customFormat="false" ht="14.25" hidden="false" customHeight="true" outlineLevel="0" collapsed="false">
      <c r="A232" s="190" t="s">
        <v>2295</v>
      </c>
      <c r="B232" s="190" t="s">
        <v>2296</v>
      </c>
      <c r="C232" s="190" t="s">
        <v>2297</v>
      </c>
      <c r="D232" s="190" t="s">
        <v>1720</v>
      </c>
      <c r="E232" s="190" t="n">
        <v>1</v>
      </c>
      <c r="F232" s="190" t="n">
        <v>1</v>
      </c>
      <c r="G232" s="190" t="n">
        <v>2366.8</v>
      </c>
      <c r="H232" s="190" t="s">
        <v>1722</v>
      </c>
      <c r="I232" s="190" t="n">
        <v>25</v>
      </c>
      <c r="J232" s="190"/>
    </row>
    <row r="233" customFormat="false" ht="14.25" hidden="false" customHeight="true" outlineLevel="0" collapsed="false">
      <c r="A233" s="190" t="s">
        <v>2298</v>
      </c>
      <c r="B233" s="190" t="s">
        <v>2299</v>
      </c>
      <c r="C233" s="190" t="s">
        <v>2300</v>
      </c>
      <c r="D233" s="190" t="s">
        <v>1720</v>
      </c>
      <c r="E233" s="190" t="n">
        <v>5</v>
      </c>
      <c r="F233" s="190" t="n">
        <v>5</v>
      </c>
      <c r="G233" s="190" t="n">
        <v>1950</v>
      </c>
      <c r="H233" s="190" t="s">
        <v>1722</v>
      </c>
      <c r="I233" s="190" t="s">
        <v>2301</v>
      </c>
      <c r="J233" s="190"/>
    </row>
    <row r="234" customFormat="false" ht="14.25" hidden="false" customHeight="true" outlineLevel="0" collapsed="false">
      <c r="A234" s="190" t="s">
        <v>2302</v>
      </c>
      <c r="B234" s="190" t="s">
        <v>2303</v>
      </c>
      <c r="C234" s="190" t="s">
        <v>2304</v>
      </c>
      <c r="D234" s="190" t="s">
        <v>1720</v>
      </c>
      <c r="E234" s="190" t="n">
        <v>1</v>
      </c>
      <c r="F234" s="190" t="n">
        <v>0</v>
      </c>
      <c r="G234" s="190" t="n">
        <v>0</v>
      </c>
      <c r="H234" s="190" t="s">
        <v>1721</v>
      </c>
      <c r="I234" s="190" t="n">
        <v>20</v>
      </c>
      <c r="J234" s="190" t="s">
        <v>2305</v>
      </c>
    </row>
    <row r="235" customFormat="false" ht="14.25" hidden="false" customHeight="true" outlineLevel="0" collapsed="false">
      <c r="A235" s="190" t="s">
        <v>2306</v>
      </c>
      <c r="B235" s="190" t="s">
        <v>2307</v>
      </c>
      <c r="C235" s="190" t="s">
        <v>2308</v>
      </c>
      <c r="D235" s="190" t="s">
        <v>1720</v>
      </c>
      <c r="E235" s="190" t="n">
        <v>1</v>
      </c>
      <c r="F235" s="190" t="n">
        <v>0</v>
      </c>
      <c r="G235" s="190" t="n">
        <v>0</v>
      </c>
      <c r="H235" s="190" t="s">
        <v>1721</v>
      </c>
      <c r="I235" s="190" t="n">
        <v>20</v>
      </c>
      <c r="J235" s="190" t="s">
        <v>1847</v>
      </c>
    </row>
    <row r="236" customFormat="false" ht="14.25" hidden="false" customHeight="true" outlineLevel="0" collapsed="false">
      <c r="A236" s="190" t="s">
        <v>2309</v>
      </c>
      <c r="B236" s="190" t="s">
        <v>2310</v>
      </c>
      <c r="C236" s="190" t="s">
        <v>2311</v>
      </c>
      <c r="D236" s="190" t="s">
        <v>1720</v>
      </c>
      <c r="E236" s="190" t="n">
        <v>5</v>
      </c>
      <c r="F236" s="190" t="n">
        <v>0</v>
      </c>
      <c r="G236" s="190" t="n">
        <v>0</v>
      </c>
      <c r="H236" s="190" t="s">
        <v>1721</v>
      </c>
      <c r="I236" s="190" t="n">
        <v>20</v>
      </c>
      <c r="J236" s="190" t="s">
        <v>2312</v>
      </c>
    </row>
    <row r="237" customFormat="false" ht="14.25" hidden="false" customHeight="true" outlineLevel="0" collapsed="false">
      <c r="A237" s="190" t="s">
        <v>676</v>
      </c>
      <c r="B237" s="190" t="s">
        <v>674</v>
      </c>
      <c r="C237" s="190" t="s">
        <v>675</v>
      </c>
      <c r="D237" s="190" t="s">
        <v>1720</v>
      </c>
      <c r="E237" s="190" t="n">
        <v>22</v>
      </c>
      <c r="F237" s="190" t="n">
        <v>0</v>
      </c>
      <c r="G237" s="190" t="n">
        <v>0</v>
      </c>
      <c r="H237" s="190" t="s">
        <v>1721</v>
      </c>
      <c r="I237" s="190" t="n">
        <v>20</v>
      </c>
      <c r="J237" s="190" t="s">
        <v>2313</v>
      </c>
    </row>
    <row r="238" customFormat="false" ht="14.25" hidden="false" customHeight="true" outlineLevel="0" collapsed="false">
      <c r="A238" s="190" t="s">
        <v>682</v>
      </c>
      <c r="B238" s="190" t="s">
        <v>680</v>
      </c>
      <c r="C238" s="190" t="s">
        <v>681</v>
      </c>
      <c r="D238" s="190" t="s">
        <v>1720</v>
      </c>
      <c r="E238" s="190" t="n">
        <v>3</v>
      </c>
      <c r="F238" s="190" t="n">
        <v>0</v>
      </c>
      <c r="G238" s="190" t="n">
        <v>0</v>
      </c>
      <c r="H238" s="190" t="s">
        <v>1721</v>
      </c>
      <c r="I238" s="190" t="s">
        <v>279</v>
      </c>
      <c r="J238" s="190" t="s">
        <v>2314</v>
      </c>
    </row>
    <row r="239" customFormat="false" ht="14.25" hidden="false" customHeight="true" outlineLevel="0" collapsed="false">
      <c r="A239" s="190" t="s">
        <v>685</v>
      </c>
      <c r="B239" s="190" t="s">
        <v>683</v>
      </c>
      <c r="C239" s="190" t="s">
        <v>684</v>
      </c>
      <c r="D239" s="190" t="s">
        <v>1720</v>
      </c>
      <c r="E239" s="190" t="n">
        <v>2</v>
      </c>
      <c r="F239" s="190" t="n">
        <v>0</v>
      </c>
      <c r="G239" s="190" t="n">
        <v>0</v>
      </c>
      <c r="H239" s="190" t="s">
        <v>1721</v>
      </c>
      <c r="I239" s="190" t="s">
        <v>279</v>
      </c>
      <c r="J239" s="190" t="s">
        <v>2315</v>
      </c>
    </row>
    <row r="240" customFormat="false" ht="14.25" hidden="false" customHeight="true" outlineLevel="0" collapsed="false">
      <c r="A240" s="190" t="s">
        <v>2316</v>
      </c>
      <c r="B240" s="190" t="s">
        <v>2317</v>
      </c>
      <c r="C240" s="190" t="s">
        <v>2318</v>
      </c>
      <c r="D240" s="190" t="s">
        <v>1720</v>
      </c>
      <c r="E240" s="190" t="n">
        <v>2</v>
      </c>
      <c r="F240" s="190" t="n">
        <v>0</v>
      </c>
      <c r="G240" s="190" t="n">
        <v>0</v>
      </c>
      <c r="H240" s="190" t="s">
        <v>1721</v>
      </c>
      <c r="I240" s="190" t="s">
        <v>279</v>
      </c>
      <c r="J240" s="190" t="s">
        <v>2315</v>
      </c>
    </row>
    <row r="241" customFormat="false" ht="14.25" hidden="false" customHeight="true" outlineLevel="0" collapsed="false">
      <c r="A241" s="190" t="s">
        <v>2319</v>
      </c>
      <c r="B241" s="190" t="s">
        <v>2320</v>
      </c>
      <c r="C241" s="190" t="s">
        <v>2321</v>
      </c>
      <c r="D241" s="190" t="s">
        <v>1720</v>
      </c>
      <c r="E241" s="190" t="n">
        <v>2</v>
      </c>
      <c r="F241" s="190" t="n">
        <v>0</v>
      </c>
      <c r="G241" s="190" t="n">
        <v>0</v>
      </c>
      <c r="H241" s="190" t="s">
        <v>1721</v>
      </c>
      <c r="I241" s="190" t="s">
        <v>279</v>
      </c>
      <c r="J241" s="190" t="s">
        <v>2315</v>
      </c>
    </row>
    <row r="242" customFormat="false" ht="14.25" hidden="false" customHeight="true" outlineLevel="0" collapsed="false">
      <c r="A242" s="190" t="s">
        <v>2322</v>
      </c>
      <c r="B242" s="190" t="s">
        <v>2323</v>
      </c>
      <c r="C242" s="190" t="s">
        <v>2324</v>
      </c>
      <c r="D242" s="190" t="s">
        <v>1720</v>
      </c>
      <c r="E242" s="190" t="n">
        <v>2</v>
      </c>
      <c r="F242" s="190" t="n">
        <v>0</v>
      </c>
      <c r="G242" s="190" t="n">
        <v>0</v>
      </c>
      <c r="H242" s="190" t="s">
        <v>1721</v>
      </c>
      <c r="I242" s="190" t="s">
        <v>279</v>
      </c>
      <c r="J242" s="190" t="s">
        <v>2315</v>
      </c>
    </row>
    <row r="243" customFormat="false" ht="14.25" hidden="false" customHeight="true" outlineLevel="0" collapsed="false">
      <c r="A243" s="190" t="s">
        <v>2325</v>
      </c>
      <c r="B243" s="190" t="s">
        <v>2326</v>
      </c>
      <c r="C243" s="190" t="s">
        <v>2327</v>
      </c>
      <c r="D243" s="190" t="s">
        <v>1720</v>
      </c>
      <c r="E243" s="190" t="n">
        <v>2</v>
      </c>
      <c r="F243" s="190" t="n">
        <v>0</v>
      </c>
      <c r="G243" s="190" t="n">
        <v>0</v>
      </c>
      <c r="H243" s="190" t="s">
        <v>1721</v>
      </c>
      <c r="I243" s="190" t="s">
        <v>279</v>
      </c>
      <c r="J243" s="190" t="s">
        <v>2315</v>
      </c>
    </row>
    <row r="244" customFormat="false" ht="14.25" hidden="false" customHeight="true" outlineLevel="0" collapsed="false">
      <c r="A244" s="190" t="s">
        <v>2328</v>
      </c>
      <c r="B244" s="190" t="s">
        <v>2329</v>
      </c>
      <c r="C244" s="190" t="s">
        <v>2330</v>
      </c>
      <c r="D244" s="190" t="s">
        <v>1720</v>
      </c>
      <c r="E244" s="190" t="n">
        <v>1</v>
      </c>
      <c r="F244" s="190" t="n">
        <v>0</v>
      </c>
      <c r="G244" s="190" t="n">
        <v>0</v>
      </c>
      <c r="H244" s="190" t="s">
        <v>1721</v>
      </c>
      <c r="I244" s="190" t="s">
        <v>279</v>
      </c>
      <c r="J244" s="190" t="s">
        <v>2315</v>
      </c>
    </row>
    <row r="245" customFormat="false" ht="14.25" hidden="false" customHeight="true" outlineLevel="0" collapsed="false">
      <c r="A245" s="190" t="s">
        <v>2331</v>
      </c>
      <c r="B245" s="190" t="s">
        <v>2332</v>
      </c>
      <c r="C245" s="190" t="s">
        <v>2333</v>
      </c>
      <c r="D245" s="190" t="s">
        <v>1720</v>
      </c>
      <c r="E245" s="190" t="n">
        <v>2</v>
      </c>
      <c r="F245" s="190" t="n">
        <v>0</v>
      </c>
      <c r="G245" s="190" t="n">
        <v>0</v>
      </c>
      <c r="H245" s="190" t="s">
        <v>1721</v>
      </c>
      <c r="I245" s="190" t="s">
        <v>279</v>
      </c>
      <c r="J245" s="190" t="s">
        <v>2315</v>
      </c>
    </row>
    <row r="246" customFormat="false" ht="14.25" hidden="false" customHeight="true" outlineLevel="0" collapsed="false">
      <c r="A246" s="190" t="s">
        <v>2334</v>
      </c>
      <c r="B246" s="190" t="s">
        <v>2335</v>
      </c>
      <c r="C246" s="190" t="s">
        <v>2336</v>
      </c>
      <c r="D246" s="190" t="s">
        <v>1720</v>
      </c>
      <c r="E246" s="190" t="n">
        <v>1</v>
      </c>
      <c r="F246" s="190" t="n">
        <v>0</v>
      </c>
      <c r="G246" s="190" t="n">
        <v>0</v>
      </c>
      <c r="H246" s="190" t="s">
        <v>1721</v>
      </c>
      <c r="I246" s="190" t="s">
        <v>279</v>
      </c>
      <c r="J246" s="190" t="s">
        <v>2315</v>
      </c>
    </row>
    <row r="247" customFormat="false" ht="14.25" hidden="false" customHeight="true" outlineLevel="0" collapsed="false">
      <c r="A247" s="190" t="s">
        <v>688</v>
      </c>
      <c r="B247" s="190" t="s">
        <v>686</v>
      </c>
      <c r="C247" s="190" t="s">
        <v>687</v>
      </c>
      <c r="D247" s="190" t="s">
        <v>1720</v>
      </c>
      <c r="E247" s="190" t="n">
        <v>0.5</v>
      </c>
      <c r="F247" s="190" t="n">
        <v>0</v>
      </c>
      <c r="G247" s="190" t="n">
        <v>0</v>
      </c>
      <c r="H247" s="190" t="s">
        <v>1721</v>
      </c>
      <c r="I247" s="190" t="s">
        <v>689</v>
      </c>
      <c r="J247" s="190" t="s">
        <v>2305</v>
      </c>
    </row>
    <row r="248" customFormat="false" ht="14.25" hidden="false" customHeight="true" outlineLevel="0" collapsed="false">
      <c r="A248" s="190" t="s">
        <v>692</v>
      </c>
      <c r="B248" s="190" t="s">
        <v>690</v>
      </c>
      <c r="C248" s="190" t="s">
        <v>691</v>
      </c>
      <c r="D248" s="190" t="s">
        <v>1720</v>
      </c>
      <c r="E248" s="190" t="n">
        <v>7</v>
      </c>
      <c r="F248" s="190" t="n">
        <v>0</v>
      </c>
      <c r="G248" s="190" t="n">
        <v>0</v>
      </c>
      <c r="H248" s="190" t="s">
        <v>1721</v>
      </c>
      <c r="I248" s="190" t="s">
        <v>279</v>
      </c>
      <c r="J248" s="190" t="s">
        <v>2337</v>
      </c>
    </row>
    <row r="249" customFormat="false" ht="14.25" hidden="false" customHeight="true" outlineLevel="0" collapsed="false">
      <c r="A249" s="190" t="s">
        <v>2338</v>
      </c>
      <c r="B249" s="190" t="s">
        <v>2339</v>
      </c>
      <c r="C249" s="190" t="s">
        <v>2340</v>
      </c>
      <c r="D249" s="190" t="n">
        <v>1</v>
      </c>
      <c r="E249" s="190" t="n">
        <v>1</v>
      </c>
      <c r="F249" s="190" t="n">
        <v>0</v>
      </c>
      <c r="G249" s="190" t="n">
        <v>0</v>
      </c>
      <c r="H249" s="190" t="s">
        <v>1721</v>
      </c>
      <c r="I249" s="190" t="s">
        <v>2341</v>
      </c>
      <c r="J249" s="190" t="s">
        <v>1737</v>
      </c>
    </row>
    <row r="250" customFormat="false" ht="14.25" hidden="false" customHeight="true" outlineLevel="0" collapsed="false">
      <c r="A250" s="190" t="s">
        <v>2342</v>
      </c>
      <c r="B250" s="190" t="s">
        <v>2343</v>
      </c>
      <c r="C250" s="190" t="s">
        <v>2344</v>
      </c>
      <c r="D250" s="190" t="n">
        <v>1</v>
      </c>
      <c r="E250" s="190" t="n">
        <v>2.08</v>
      </c>
      <c r="F250" s="190" t="n">
        <v>0</v>
      </c>
      <c r="G250" s="190" t="n">
        <v>0</v>
      </c>
      <c r="H250" s="190" t="s">
        <v>1721</v>
      </c>
      <c r="I250" s="190" t="s">
        <v>2345</v>
      </c>
      <c r="J250" s="190" t="s">
        <v>2346</v>
      </c>
    </row>
    <row r="251" customFormat="false" ht="14.25" hidden="false" customHeight="true" outlineLevel="0" collapsed="false">
      <c r="A251" s="190" t="s">
        <v>695</v>
      </c>
      <c r="B251" s="190" t="s">
        <v>693</v>
      </c>
      <c r="C251" s="190" t="s">
        <v>694</v>
      </c>
      <c r="D251" s="190" t="n">
        <v>1</v>
      </c>
      <c r="E251" s="190" t="n">
        <v>16</v>
      </c>
      <c r="F251" s="190" t="n">
        <v>0</v>
      </c>
      <c r="G251" s="190" t="n">
        <v>0</v>
      </c>
      <c r="H251" s="190" t="s">
        <v>1721</v>
      </c>
      <c r="I251" s="190" t="s">
        <v>548</v>
      </c>
      <c r="J251" s="190" t="s">
        <v>1831</v>
      </c>
    </row>
    <row r="252" customFormat="false" ht="14.25" hidden="false" customHeight="true" outlineLevel="0" collapsed="false">
      <c r="A252" s="190" t="s">
        <v>698</v>
      </c>
      <c r="B252" s="190" t="s">
        <v>696</v>
      </c>
      <c r="C252" s="190" t="s">
        <v>697</v>
      </c>
      <c r="D252" s="190" t="n">
        <v>1</v>
      </c>
      <c r="E252" s="190" t="n">
        <v>10</v>
      </c>
      <c r="F252" s="190" t="n">
        <v>498.1</v>
      </c>
      <c r="G252" s="190" t="n">
        <v>585.2</v>
      </c>
      <c r="H252" s="190" t="s">
        <v>1722</v>
      </c>
      <c r="I252" s="190" t="s">
        <v>699</v>
      </c>
      <c r="J252" s="190" t="s">
        <v>2347</v>
      </c>
    </row>
    <row r="253" customFormat="false" ht="14.25" hidden="false" customHeight="true" outlineLevel="0" collapsed="false">
      <c r="A253" s="190" t="s">
        <v>702</v>
      </c>
      <c r="B253" s="190" t="s">
        <v>2348</v>
      </c>
      <c r="C253" s="190" t="s">
        <v>701</v>
      </c>
      <c r="D253" s="190" t="n">
        <v>1</v>
      </c>
      <c r="E253" s="190" t="n">
        <v>3.17</v>
      </c>
      <c r="F253" s="190" t="n">
        <v>36</v>
      </c>
      <c r="G253" s="190" t="n">
        <v>293.8</v>
      </c>
      <c r="H253" s="190" t="s">
        <v>1722</v>
      </c>
      <c r="I253" s="190" t="s">
        <v>699</v>
      </c>
      <c r="J253" s="190" t="s">
        <v>2349</v>
      </c>
    </row>
    <row r="254" customFormat="false" ht="14.25" hidden="false" customHeight="true" outlineLevel="0" collapsed="false">
      <c r="A254" s="190" t="s">
        <v>2350</v>
      </c>
      <c r="B254" s="190" t="s">
        <v>2351</v>
      </c>
      <c r="C254" s="190" t="s">
        <v>2352</v>
      </c>
      <c r="D254" s="190" t="s">
        <v>1720</v>
      </c>
      <c r="E254" s="190" t="n">
        <v>24</v>
      </c>
      <c r="F254" s="190" t="n">
        <v>0</v>
      </c>
      <c r="G254" s="190" t="n">
        <v>0</v>
      </c>
      <c r="H254" s="190" t="s">
        <v>1721</v>
      </c>
      <c r="I254" s="190" t="s">
        <v>279</v>
      </c>
      <c r="J254" s="190"/>
    </row>
    <row r="255" customFormat="false" ht="14.25" hidden="false" customHeight="true" outlineLevel="0" collapsed="false">
      <c r="A255" s="190" t="s">
        <v>2353</v>
      </c>
      <c r="B255" s="190" t="s">
        <v>2354</v>
      </c>
      <c r="C255" s="190" t="s">
        <v>2355</v>
      </c>
      <c r="D255" s="190" t="s">
        <v>1720</v>
      </c>
      <c r="E255" s="190" t="n">
        <v>2</v>
      </c>
      <c r="F255" s="190" t="n">
        <v>0</v>
      </c>
      <c r="G255" s="190" t="n">
        <v>0</v>
      </c>
      <c r="H255" s="190" t="s">
        <v>1721</v>
      </c>
      <c r="I255" s="190" t="s">
        <v>2356</v>
      </c>
      <c r="J255" s="190"/>
    </row>
    <row r="256" customFormat="false" ht="14.25" hidden="false" customHeight="true" outlineLevel="0" collapsed="false">
      <c r="A256" s="190" t="s">
        <v>2357</v>
      </c>
      <c r="B256" s="190" t="s">
        <v>2358</v>
      </c>
      <c r="C256" s="190" t="s">
        <v>2359</v>
      </c>
      <c r="D256" s="190" t="n">
        <v>1</v>
      </c>
      <c r="E256" s="190" t="n">
        <v>4</v>
      </c>
      <c r="F256" s="190" t="n">
        <v>8</v>
      </c>
      <c r="G256" s="190" t="n">
        <v>560.5</v>
      </c>
      <c r="H256" s="190" t="s">
        <v>1722</v>
      </c>
      <c r="I256" s="190" t="s">
        <v>146</v>
      </c>
      <c r="J256" s="190"/>
    </row>
    <row r="257" customFormat="false" ht="14.25" hidden="false" customHeight="true" outlineLevel="0" collapsed="false">
      <c r="A257" s="190" t="s">
        <v>2360</v>
      </c>
      <c r="B257" s="190" t="s">
        <v>2361</v>
      </c>
      <c r="C257" s="190" t="s">
        <v>2362</v>
      </c>
      <c r="D257" s="190" t="n">
        <v>1</v>
      </c>
      <c r="E257" s="190" t="n">
        <v>8</v>
      </c>
      <c r="F257" s="190" t="n">
        <v>0</v>
      </c>
      <c r="G257" s="190" t="n">
        <v>0</v>
      </c>
      <c r="H257" s="190" t="s">
        <v>1721</v>
      </c>
      <c r="I257" s="190" t="s">
        <v>2363</v>
      </c>
      <c r="J257" s="190"/>
    </row>
    <row r="258" customFormat="false" ht="14.25" hidden="false" customHeight="true" outlineLevel="0" collapsed="false">
      <c r="A258" s="190" t="s">
        <v>2364</v>
      </c>
      <c r="B258" s="190" t="s">
        <v>2365</v>
      </c>
      <c r="C258" s="190" t="s">
        <v>2366</v>
      </c>
      <c r="D258" s="190" t="n">
        <v>1</v>
      </c>
      <c r="E258" s="190" t="n">
        <v>8</v>
      </c>
      <c r="F258" s="190" t="n">
        <v>28</v>
      </c>
      <c r="G258" s="190" t="n">
        <v>483.2</v>
      </c>
      <c r="H258" s="190" t="s">
        <v>1722</v>
      </c>
      <c r="I258" s="190" t="s">
        <v>2363</v>
      </c>
      <c r="J258" s="190"/>
    </row>
    <row r="259" customFormat="false" ht="14.25" hidden="false" customHeight="true" outlineLevel="0" collapsed="false">
      <c r="A259" s="190" t="s">
        <v>2367</v>
      </c>
      <c r="B259" s="190" t="s">
        <v>2368</v>
      </c>
      <c r="C259" s="190" t="s">
        <v>2369</v>
      </c>
      <c r="D259" s="190" t="n">
        <v>1</v>
      </c>
      <c r="E259" s="190" t="n">
        <v>3</v>
      </c>
      <c r="F259" s="190" t="n">
        <v>20.17</v>
      </c>
      <c r="G259" s="190" t="n">
        <v>770.1</v>
      </c>
      <c r="H259" s="190" t="s">
        <v>1722</v>
      </c>
      <c r="I259" s="190" t="s">
        <v>2363</v>
      </c>
      <c r="J259" s="190"/>
    </row>
    <row r="260" customFormat="false" ht="14.25" hidden="false" customHeight="true" outlineLevel="0" collapsed="false">
      <c r="A260" s="190" t="s">
        <v>2370</v>
      </c>
      <c r="B260" s="190" t="s">
        <v>2371</v>
      </c>
      <c r="C260" s="190" t="s">
        <v>2372</v>
      </c>
      <c r="D260" s="190" t="n">
        <v>1</v>
      </c>
      <c r="E260" s="190" t="n">
        <v>2</v>
      </c>
      <c r="F260" s="190" t="n">
        <v>1.67</v>
      </c>
      <c r="G260" s="190" t="n">
        <v>652.8</v>
      </c>
      <c r="H260" s="190" t="s">
        <v>1722</v>
      </c>
      <c r="I260" s="190" t="s">
        <v>2373</v>
      </c>
      <c r="J260" s="190"/>
    </row>
    <row r="261" customFormat="false" ht="14.25" hidden="false" customHeight="true" outlineLevel="0" collapsed="false">
      <c r="A261" s="190" t="s">
        <v>2374</v>
      </c>
      <c r="B261" s="190" t="s">
        <v>2375</v>
      </c>
      <c r="C261" s="190" t="s">
        <v>2376</v>
      </c>
      <c r="D261" s="190" t="n">
        <v>1</v>
      </c>
      <c r="E261" s="190" t="n">
        <v>3</v>
      </c>
      <c r="F261" s="190" t="n">
        <v>15.33</v>
      </c>
      <c r="G261" s="190" t="n">
        <v>728.1</v>
      </c>
      <c r="H261" s="190" t="s">
        <v>1722</v>
      </c>
      <c r="I261" s="190" t="s">
        <v>1894</v>
      </c>
      <c r="J261" s="190"/>
    </row>
    <row r="262" customFormat="false" ht="14.25" hidden="false" customHeight="true" outlineLevel="0" collapsed="false">
      <c r="A262" s="190" t="s">
        <v>2377</v>
      </c>
      <c r="B262" s="190" t="s">
        <v>2378</v>
      </c>
      <c r="C262" s="190" t="s">
        <v>2379</v>
      </c>
      <c r="D262" s="190" t="n">
        <v>1</v>
      </c>
      <c r="E262" s="190" t="n">
        <v>6</v>
      </c>
      <c r="F262" s="190" t="n">
        <v>0</v>
      </c>
      <c r="G262" s="190" t="n">
        <v>0</v>
      </c>
      <c r="H262" s="190" t="s">
        <v>1721</v>
      </c>
      <c r="I262" s="190" t="s">
        <v>1894</v>
      </c>
      <c r="J262" s="190"/>
    </row>
    <row r="263" customFormat="false" ht="14.25" hidden="false" customHeight="true" outlineLevel="0" collapsed="false">
      <c r="A263" s="190" t="s">
        <v>2380</v>
      </c>
      <c r="B263" s="190" t="s">
        <v>2381</v>
      </c>
      <c r="C263" s="190" t="s">
        <v>2382</v>
      </c>
      <c r="D263" s="190" t="n">
        <v>1</v>
      </c>
      <c r="E263" s="190" t="n">
        <v>2</v>
      </c>
      <c r="F263" s="190" t="n">
        <v>0</v>
      </c>
      <c r="G263" s="190" t="n">
        <v>0</v>
      </c>
      <c r="H263" s="190" t="s">
        <v>1721</v>
      </c>
      <c r="I263" s="190" t="s">
        <v>158</v>
      </c>
      <c r="J263" s="190"/>
    </row>
    <row r="264" customFormat="false" ht="14.25" hidden="false" customHeight="true" outlineLevel="0" collapsed="false">
      <c r="A264" s="190" t="s">
        <v>2383</v>
      </c>
      <c r="B264" s="190" t="s">
        <v>2384</v>
      </c>
      <c r="C264" s="190" t="s">
        <v>2385</v>
      </c>
      <c r="D264" s="190" t="n">
        <v>1</v>
      </c>
      <c r="E264" s="190" t="n">
        <v>4</v>
      </c>
      <c r="F264" s="190" t="n">
        <v>24</v>
      </c>
      <c r="G264" s="190" t="n">
        <v>21.48</v>
      </c>
      <c r="H264" s="190" t="s">
        <v>1722</v>
      </c>
      <c r="I264" s="190" t="s">
        <v>158</v>
      </c>
      <c r="J264" s="190"/>
    </row>
    <row r="265" customFormat="false" ht="14.25" hidden="false" customHeight="true" outlineLevel="0" collapsed="false">
      <c r="A265" s="190" t="s">
        <v>2386</v>
      </c>
      <c r="B265" s="190" t="s">
        <v>2387</v>
      </c>
      <c r="C265" s="190" t="s">
        <v>2388</v>
      </c>
      <c r="D265" s="190" t="n">
        <v>1</v>
      </c>
      <c r="E265" s="190" t="n">
        <v>4</v>
      </c>
      <c r="F265" s="190" t="n">
        <v>0.33</v>
      </c>
      <c r="G265" s="190" t="n">
        <v>753</v>
      </c>
      <c r="H265" s="190" t="s">
        <v>1722</v>
      </c>
      <c r="I265" s="190" t="s">
        <v>146</v>
      </c>
      <c r="J265" s="190"/>
    </row>
    <row r="266" customFormat="false" ht="14.25" hidden="false" customHeight="true" outlineLevel="0" collapsed="false">
      <c r="A266" s="190" t="s">
        <v>2389</v>
      </c>
      <c r="B266" s="190" t="s">
        <v>2390</v>
      </c>
      <c r="C266" s="190" t="s">
        <v>2391</v>
      </c>
      <c r="D266" s="190" t="n">
        <v>1</v>
      </c>
      <c r="E266" s="190" t="n">
        <v>6</v>
      </c>
      <c r="F266" s="190" t="n">
        <v>0.5</v>
      </c>
      <c r="G266" s="190" t="n">
        <v>298.1</v>
      </c>
      <c r="H266" s="190" t="s">
        <v>1722</v>
      </c>
      <c r="I266" s="190" t="s">
        <v>146</v>
      </c>
      <c r="J266" s="190"/>
    </row>
    <row r="267" customFormat="false" ht="14.25" hidden="false" customHeight="true" outlineLevel="0" collapsed="false">
      <c r="A267" s="190" t="s">
        <v>2392</v>
      </c>
      <c r="B267" s="190" t="s">
        <v>2393</v>
      </c>
      <c r="C267" s="190" t="s">
        <v>2394</v>
      </c>
      <c r="D267" s="190" t="n">
        <v>1</v>
      </c>
      <c r="E267" s="190" t="n">
        <v>6</v>
      </c>
      <c r="F267" s="190" t="n">
        <v>0</v>
      </c>
      <c r="G267" s="190" t="n">
        <v>0</v>
      </c>
      <c r="H267" s="190" t="s">
        <v>1721</v>
      </c>
      <c r="I267" s="190" t="s">
        <v>146</v>
      </c>
      <c r="J267" s="190"/>
    </row>
    <row r="268" customFormat="false" ht="14.25" hidden="false" customHeight="true" outlineLevel="0" collapsed="false">
      <c r="A268" s="190" t="s">
        <v>2395</v>
      </c>
      <c r="B268" s="190" t="s">
        <v>2396</v>
      </c>
      <c r="C268" s="190" t="s">
        <v>705</v>
      </c>
      <c r="D268" s="190" t="n">
        <v>1</v>
      </c>
      <c r="E268" s="190" t="n">
        <v>2</v>
      </c>
      <c r="F268" s="190" t="n">
        <v>0</v>
      </c>
      <c r="G268" s="190" t="n">
        <v>0</v>
      </c>
      <c r="H268" s="190" t="s">
        <v>1721</v>
      </c>
      <c r="I268" s="190" t="s">
        <v>358</v>
      </c>
      <c r="J268" s="190"/>
    </row>
    <row r="269" customFormat="false" ht="14.25" hidden="false" customHeight="true" outlineLevel="0" collapsed="false">
      <c r="A269" s="190" t="s">
        <v>2397</v>
      </c>
      <c r="B269" s="190" t="s">
        <v>2398</v>
      </c>
      <c r="C269" s="190" t="s">
        <v>2399</v>
      </c>
      <c r="D269" s="190" t="n">
        <v>1</v>
      </c>
      <c r="E269" s="190" t="n">
        <v>0</v>
      </c>
      <c r="F269" s="190" t="n">
        <v>15</v>
      </c>
      <c r="G269" s="190" t="n">
        <v>23.43</v>
      </c>
      <c r="H269" s="190" t="s">
        <v>1722</v>
      </c>
      <c r="I269" s="190" t="s">
        <v>2363</v>
      </c>
      <c r="J269" s="190"/>
    </row>
    <row r="270" customFormat="false" ht="14.25" hidden="false" customHeight="true" outlineLevel="0" collapsed="false">
      <c r="A270" s="190" t="s">
        <v>2400</v>
      </c>
      <c r="B270" s="190" t="s">
        <v>2401</v>
      </c>
      <c r="C270" s="190" t="s">
        <v>2402</v>
      </c>
      <c r="D270" s="190" t="n">
        <v>1</v>
      </c>
      <c r="E270" s="190" t="n">
        <v>0</v>
      </c>
      <c r="F270" s="190" t="n">
        <v>10</v>
      </c>
      <c r="G270" s="190" t="n">
        <v>486.8</v>
      </c>
      <c r="H270" s="190" t="s">
        <v>1722</v>
      </c>
      <c r="I270" s="190" t="s">
        <v>2363</v>
      </c>
      <c r="J270" s="190"/>
    </row>
    <row r="271" customFormat="false" ht="14.25" hidden="false" customHeight="true" outlineLevel="0" collapsed="false">
      <c r="A271" s="190" t="s">
        <v>2403</v>
      </c>
      <c r="B271" s="190" t="s">
        <v>2404</v>
      </c>
      <c r="C271" s="190" t="s">
        <v>2405</v>
      </c>
      <c r="D271" s="190" t="n">
        <v>1</v>
      </c>
      <c r="E271" s="190" t="n">
        <v>8</v>
      </c>
      <c r="F271" s="190" t="n">
        <v>27.5</v>
      </c>
      <c r="G271" s="190" t="n">
        <v>488.2</v>
      </c>
      <c r="H271" s="190" t="s">
        <v>1722</v>
      </c>
      <c r="I271" s="190" t="s">
        <v>2363</v>
      </c>
      <c r="J271" s="190"/>
    </row>
    <row r="272" customFormat="false" ht="14.25" hidden="false" customHeight="true" outlineLevel="0" collapsed="false">
      <c r="A272" s="190" t="s">
        <v>2406</v>
      </c>
      <c r="B272" s="190" t="s">
        <v>2407</v>
      </c>
      <c r="C272" s="190" t="s">
        <v>713</v>
      </c>
      <c r="D272" s="190" t="n">
        <v>1</v>
      </c>
      <c r="E272" s="190" t="n">
        <v>0</v>
      </c>
      <c r="F272" s="190" t="n">
        <v>12.5</v>
      </c>
      <c r="G272" s="190" t="n">
        <v>673.6</v>
      </c>
      <c r="H272" s="190" t="s">
        <v>1722</v>
      </c>
      <c r="I272" s="190" t="s">
        <v>226</v>
      </c>
      <c r="J272" s="190"/>
    </row>
    <row r="273" customFormat="false" ht="14.25" hidden="false" customHeight="true" outlineLevel="0" collapsed="false">
      <c r="A273" s="190" t="s">
        <v>2408</v>
      </c>
      <c r="B273" s="190" t="s">
        <v>2409</v>
      </c>
      <c r="C273" s="190" t="s">
        <v>714</v>
      </c>
      <c r="D273" s="190" t="n">
        <v>1</v>
      </c>
      <c r="E273" s="190" t="n">
        <v>1</v>
      </c>
      <c r="F273" s="190" t="n">
        <v>0</v>
      </c>
      <c r="G273" s="190" t="n">
        <v>0</v>
      </c>
      <c r="H273" s="190" t="s">
        <v>1721</v>
      </c>
      <c r="I273" s="190" t="s">
        <v>226</v>
      </c>
      <c r="J273" s="190"/>
    </row>
    <row r="274" customFormat="false" ht="14.25" hidden="false" customHeight="true" outlineLevel="0" collapsed="false">
      <c r="A274" s="190" t="s">
        <v>2410</v>
      </c>
      <c r="B274" s="190" t="s">
        <v>2411</v>
      </c>
      <c r="C274" s="190" t="s">
        <v>2412</v>
      </c>
      <c r="D274" s="190" t="n">
        <v>1</v>
      </c>
      <c r="E274" s="190" t="n">
        <v>2.2</v>
      </c>
      <c r="F274" s="190" t="n">
        <v>5.5</v>
      </c>
      <c r="G274" s="190" t="n">
        <v>548</v>
      </c>
      <c r="H274" s="190" t="s">
        <v>1722</v>
      </c>
      <c r="I274" s="190" t="s">
        <v>2413</v>
      </c>
      <c r="J274" s="190" t="s">
        <v>1821</v>
      </c>
    </row>
    <row r="275" customFormat="false" ht="14.25" hidden="false" customHeight="true" outlineLevel="0" collapsed="false">
      <c r="A275" s="190" t="s">
        <v>2414</v>
      </c>
      <c r="B275" s="190" t="s">
        <v>2415</v>
      </c>
      <c r="C275" s="190" t="s">
        <v>2416</v>
      </c>
      <c r="D275" s="190" t="n">
        <v>1</v>
      </c>
      <c r="E275" s="190" t="n">
        <v>2.2</v>
      </c>
      <c r="F275" s="190" t="n">
        <v>8</v>
      </c>
      <c r="G275" s="190" t="n">
        <v>547.6</v>
      </c>
      <c r="H275" s="190" t="s">
        <v>1722</v>
      </c>
      <c r="I275" s="190" t="s">
        <v>2413</v>
      </c>
      <c r="J275" s="190" t="s">
        <v>1821</v>
      </c>
    </row>
    <row r="276" customFormat="false" ht="14.25" hidden="false" customHeight="true" outlineLevel="0" collapsed="false">
      <c r="A276" s="190" t="s">
        <v>2417</v>
      </c>
      <c r="B276" s="190" t="s">
        <v>1133</v>
      </c>
      <c r="C276" s="190" t="s">
        <v>720</v>
      </c>
      <c r="D276" s="190" t="s">
        <v>1720</v>
      </c>
      <c r="E276" s="190" t="n">
        <v>4</v>
      </c>
      <c r="F276" s="190" t="n">
        <v>3.5</v>
      </c>
      <c r="G276" s="190" t="n">
        <v>1204.7</v>
      </c>
      <c r="H276" s="190" t="s">
        <v>1722</v>
      </c>
      <c r="I276" s="190" t="s">
        <v>2418</v>
      </c>
      <c r="J276" s="190"/>
    </row>
    <row r="277" customFormat="false" ht="14.25" hidden="false" customHeight="true" outlineLevel="0" collapsed="false">
      <c r="A277" s="190" t="s">
        <v>2419</v>
      </c>
      <c r="B277" s="190" t="s">
        <v>2420</v>
      </c>
      <c r="C277" s="190" t="s">
        <v>2421</v>
      </c>
      <c r="D277" s="190" t="s">
        <v>1720</v>
      </c>
      <c r="E277" s="190" t="n">
        <v>0</v>
      </c>
      <c r="F277" s="190" t="n">
        <v>0</v>
      </c>
      <c r="G277" s="190" t="n">
        <v>988.7</v>
      </c>
      <c r="H277" s="190" t="s">
        <v>1722</v>
      </c>
      <c r="I277" s="190" t="n">
        <v>11</v>
      </c>
      <c r="J277" s="190"/>
    </row>
    <row r="278" customFormat="false" ht="14.25" hidden="false" customHeight="true" outlineLevel="0" collapsed="false">
      <c r="A278" s="190" t="s">
        <v>2422</v>
      </c>
      <c r="B278" s="190" t="s">
        <v>2423</v>
      </c>
      <c r="C278" s="190" t="s">
        <v>2424</v>
      </c>
      <c r="D278" s="190" t="s">
        <v>1720</v>
      </c>
      <c r="E278" s="190" t="n">
        <v>0</v>
      </c>
      <c r="F278" s="190" t="n">
        <v>0</v>
      </c>
      <c r="G278" s="190" t="n">
        <v>988.8</v>
      </c>
      <c r="H278" s="190" t="s">
        <v>1722</v>
      </c>
      <c r="I278" s="190" t="n">
        <v>11</v>
      </c>
      <c r="J278" s="190"/>
    </row>
    <row r="279" customFormat="false" ht="14.25" hidden="false" customHeight="true" outlineLevel="0" collapsed="false">
      <c r="A279" s="190" t="s">
        <v>2425</v>
      </c>
      <c r="B279" s="190" t="s">
        <v>2426</v>
      </c>
      <c r="C279" s="190" t="s">
        <v>2427</v>
      </c>
      <c r="D279" s="190" t="s">
        <v>1720</v>
      </c>
      <c r="E279" s="190" t="n">
        <v>0</v>
      </c>
      <c r="F279" s="190" t="n">
        <v>0</v>
      </c>
      <c r="G279" s="190" t="n">
        <v>988.8</v>
      </c>
      <c r="H279" s="190" t="s">
        <v>1722</v>
      </c>
      <c r="I279" s="190" t="n">
        <v>11</v>
      </c>
      <c r="J279" s="190"/>
    </row>
    <row r="280" customFormat="false" ht="14.25" hidden="false" customHeight="true" outlineLevel="0" collapsed="false">
      <c r="A280" s="190" t="s">
        <v>2428</v>
      </c>
      <c r="B280" s="190" t="s">
        <v>2429</v>
      </c>
      <c r="C280" s="190" t="s">
        <v>2430</v>
      </c>
      <c r="D280" s="190" t="s">
        <v>1720</v>
      </c>
      <c r="E280" s="190" t="n">
        <v>0</v>
      </c>
      <c r="F280" s="190" t="n">
        <v>1</v>
      </c>
      <c r="G280" s="190" t="n">
        <v>990</v>
      </c>
      <c r="H280" s="190" t="s">
        <v>1722</v>
      </c>
      <c r="I280" s="190" t="n">
        <v>11</v>
      </c>
      <c r="J280" s="190"/>
    </row>
    <row r="281" customFormat="false" ht="14.25" hidden="false" customHeight="true" outlineLevel="0" collapsed="false">
      <c r="A281" s="190" t="s">
        <v>2431</v>
      </c>
      <c r="B281" s="190" t="s">
        <v>2432</v>
      </c>
      <c r="C281" s="190" t="s">
        <v>2433</v>
      </c>
      <c r="D281" s="190" t="s">
        <v>1720</v>
      </c>
      <c r="E281" s="190" t="n">
        <v>0</v>
      </c>
      <c r="F281" s="190" t="n">
        <v>1</v>
      </c>
      <c r="G281" s="190" t="n">
        <v>990</v>
      </c>
      <c r="H281" s="190" t="s">
        <v>1722</v>
      </c>
      <c r="I281" s="190" t="n">
        <v>11</v>
      </c>
      <c r="J281" s="190"/>
    </row>
    <row r="282" customFormat="false" ht="14.25" hidden="false" customHeight="true" outlineLevel="0" collapsed="false">
      <c r="A282" s="190" t="s">
        <v>2434</v>
      </c>
      <c r="B282" s="190" t="s">
        <v>2435</v>
      </c>
      <c r="C282" s="190" t="s">
        <v>2436</v>
      </c>
      <c r="D282" s="190" t="s">
        <v>1720</v>
      </c>
      <c r="E282" s="190" t="n">
        <v>0</v>
      </c>
      <c r="F282" s="190" t="n">
        <v>1</v>
      </c>
      <c r="G282" s="190" t="n">
        <v>990.3</v>
      </c>
      <c r="H282" s="190" t="s">
        <v>1722</v>
      </c>
      <c r="I282" s="190" t="n">
        <v>11</v>
      </c>
      <c r="J282" s="190"/>
    </row>
    <row r="283" customFormat="false" ht="14.25" hidden="false" customHeight="true" outlineLevel="0" collapsed="false">
      <c r="A283" s="190" t="s">
        <v>2437</v>
      </c>
      <c r="B283" s="190" t="s">
        <v>2438</v>
      </c>
      <c r="C283" s="190" t="s">
        <v>2439</v>
      </c>
      <c r="D283" s="190" t="s">
        <v>2196</v>
      </c>
      <c r="E283" s="190" t="n">
        <v>4.33</v>
      </c>
      <c r="F283" s="190" t="n">
        <v>10.75</v>
      </c>
      <c r="G283" s="190" t="n">
        <v>582.3</v>
      </c>
      <c r="H283" s="190" t="s">
        <v>1722</v>
      </c>
      <c r="I283" s="190" t="n">
        <v>53</v>
      </c>
      <c r="J283" s="190"/>
    </row>
    <row r="284" customFormat="false" ht="14.25" hidden="false" customHeight="true" outlineLevel="0" collapsed="false">
      <c r="A284" s="190" t="s">
        <v>2440</v>
      </c>
      <c r="B284" s="190" t="s">
        <v>2441</v>
      </c>
      <c r="C284" s="190" t="s">
        <v>2442</v>
      </c>
      <c r="D284" s="190" t="s">
        <v>2196</v>
      </c>
      <c r="E284" s="190" t="n">
        <v>4.67</v>
      </c>
      <c r="F284" s="190" t="n">
        <v>10.92</v>
      </c>
      <c r="G284" s="190" t="n">
        <v>628.1</v>
      </c>
      <c r="H284" s="190" t="s">
        <v>1722</v>
      </c>
      <c r="I284" s="190" t="n">
        <v>53</v>
      </c>
      <c r="J284" s="190"/>
    </row>
    <row r="285" customFormat="false" ht="14.25" hidden="false" customHeight="true" outlineLevel="0" collapsed="false">
      <c r="A285" s="190" t="s">
        <v>2443</v>
      </c>
      <c r="B285" s="190" t="s">
        <v>2444</v>
      </c>
      <c r="C285" s="190" t="s">
        <v>2445</v>
      </c>
      <c r="D285" s="190" t="s">
        <v>1720</v>
      </c>
      <c r="E285" s="190" t="n">
        <v>0</v>
      </c>
      <c r="F285" s="190" t="n">
        <v>0</v>
      </c>
      <c r="G285" s="190" t="n">
        <v>0</v>
      </c>
      <c r="H285" s="190" t="s">
        <v>1721</v>
      </c>
      <c r="I285" s="190" t="s">
        <v>2446</v>
      </c>
      <c r="J285" s="190"/>
    </row>
    <row r="286" customFormat="false" ht="14.25" hidden="false" customHeight="true" outlineLevel="0" collapsed="false">
      <c r="A286" s="190" t="s">
        <v>2447</v>
      </c>
      <c r="B286" s="190" t="s">
        <v>2448</v>
      </c>
      <c r="C286" s="190" t="s">
        <v>2449</v>
      </c>
      <c r="D286" s="190" t="s">
        <v>1861</v>
      </c>
      <c r="E286" s="190" t="n">
        <v>0.5</v>
      </c>
      <c r="F286" s="190" t="n">
        <v>0</v>
      </c>
      <c r="G286" s="190" t="n">
        <v>0</v>
      </c>
      <c r="H286" s="190" t="s">
        <v>1721</v>
      </c>
      <c r="I286" s="190" t="n">
        <v>26</v>
      </c>
      <c r="J286" s="190"/>
    </row>
    <row r="287" customFormat="false" ht="14.25" hidden="false" customHeight="true" outlineLevel="0" collapsed="false">
      <c r="A287" s="190" t="s">
        <v>2450</v>
      </c>
      <c r="B287" s="190" t="s">
        <v>2451</v>
      </c>
      <c r="C287" s="190" t="s">
        <v>2452</v>
      </c>
      <c r="D287" s="190" t="s">
        <v>1861</v>
      </c>
      <c r="E287" s="190" t="n">
        <v>1.67</v>
      </c>
      <c r="F287" s="190" t="n">
        <v>0</v>
      </c>
      <c r="G287" s="190" t="n">
        <v>0</v>
      </c>
      <c r="H287" s="190" t="s">
        <v>1721</v>
      </c>
      <c r="I287" s="190" t="n">
        <v>32</v>
      </c>
      <c r="J287" s="190"/>
    </row>
    <row r="288" customFormat="false" ht="14.25" hidden="false" customHeight="true" outlineLevel="0" collapsed="false">
      <c r="A288" s="190" t="s">
        <v>2453</v>
      </c>
      <c r="B288" s="190" t="s">
        <v>2454</v>
      </c>
      <c r="C288" s="190" t="s">
        <v>2455</v>
      </c>
      <c r="D288" s="190" t="s">
        <v>2204</v>
      </c>
      <c r="E288" s="190" t="n">
        <v>31</v>
      </c>
      <c r="F288" s="190" t="n">
        <v>7.52</v>
      </c>
      <c r="G288" s="190" t="n">
        <v>727.6</v>
      </c>
      <c r="H288" s="190" t="s">
        <v>1722</v>
      </c>
      <c r="I288" s="190" t="n">
        <v>36</v>
      </c>
      <c r="J288" s="190"/>
    </row>
    <row r="289" customFormat="false" ht="14.25" hidden="false" customHeight="true" outlineLevel="0" collapsed="false">
      <c r="A289" s="190" t="s">
        <v>2456</v>
      </c>
      <c r="B289" s="190" t="s">
        <v>2457</v>
      </c>
      <c r="C289" s="190" t="s">
        <v>722</v>
      </c>
      <c r="D289" s="190" t="n">
        <v>1</v>
      </c>
      <c r="E289" s="190" t="n">
        <v>24</v>
      </c>
      <c r="F289" s="190" t="n">
        <v>0</v>
      </c>
      <c r="G289" s="190" t="n">
        <v>0</v>
      </c>
      <c r="H289" s="190" t="s">
        <v>1721</v>
      </c>
      <c r="I289" s="190" t="s">
        <v>358</v>
      </c>
      <c r="J289" s="190"/>
    </row>
    <row r="290" customFormat="false" ht="14.25" hidden="false" customHeight="true" outlineLevel="0" collapsed="false">
      <c r="A290" s="190" t="s">
        <v>2458</v>
      </c>
      <c r="B290" s="190" t="s">
        <v>2459</v>
      </c>
      <c r="C290" s="190" t="s">
        <v>2460</v>
      </c>
      <c r="D290" s="190" t="n">
        <v>1</v>
      </c>
      <c r="E290" s="190" t="n">
        <v>8</v>
      </c>
      <c r="F290" s="190" t="n">
        <v>24.8</v>
      </c>
      <c r="G290" s="190" t="n">
        <v>766.6</v>
      </c>
      <c r="H290" s="190" t="s">
        <v>1722</v>
      </c>
      <c r="I290" s="190" t="s">
        <v>38</v>
      </c>
      <c r="J290" s="190"/>
    </row>
    <row r="291" customFormat="false" ht="14.25" hidden="false" customHeight="true" outlineLevel="0" collapsed="false">
      <c r="A291" s="190" t="s">
        <v>2461</v>
      </c>
      <c r="B291" s="190" t="s">
        <v>2462</v>
      </c>
      <c r="C291" s="190" t="s">
        <v>2463</v>
      </c>
      <c r="D291" s="190" t="n">
        <v>1</v>
      </c>
      <c r="E291" s="190" t="n">
        <v>8</v>
      </c>
      <c r="F291" s="190" t="n">
        <v>44.2</v>
      </c>
      <c r="G291" s="190" t="n">
        <v>770.1</v>
      </c>
      <c r="H291" s="190" t="s">
        <v>1722</v>
      </c>
      <c r="I291" s="190" t="s">
        <v>38</v>
      </c>
      <c r="J291" s="190"/>
    </row>
    <row r="292" customFormat="false" ht="14.25" hidden="false" customHeight="true" outlineLevel="0" collapsed="false">
      <c r="A292" s="190" t="s">
        <v>2464</v>
      </c>
      <c r="B292" s="190" t="s">
        <v>2465</v>
      </c>
      <c r="C292" s="190" t="s">
        <v>2466</v>
      </c>
      <c r="D292" s="190" t="n">
        <v>1</v>
      </c>
      <c r="E292" s="190" t="n">
        <v>0</v>
      </c>
      <c r="F292" s="190" t="n">
        <v>0</v>
      </c>
      <c r="G292" s="190" t="n">
        <v>0</v>
      </c>
      <c r="H292" s="190" t="s">
        <v>1721</v>
      </c>
      <c r="I292" s="190" t="s">
        <v>38</v>
      </c>
      <c r="J292" s="190"/>
    </row>
    <row r="293" customFormat="false" ht="14.25" hidden="false" customHeight="true" outlineLevel="0" collapsed="false">
      <c r="A293" s="190" t="s">
        <v>2467</v>
      </c>
      <c r="B293" s="190" t="s">
        <v>2468</v>
      </c>
      <c r="C293" s="190" t="s">
        <v>2469</v>
      </c>
      <c r="D293" s="190" t="n">
        <v>1</v>
      </c>
      <c r="E293" s="190" t="n">
        <v>8</v>
      </c>
      <c r="F293" s="190" t="n">
        <v>0.17</v>
      </c>
      <c r="G293" s="190" t="n">
        <v>50.6</v>
      </c>
      <c r="H293" s="190" t="s">
        <v>1722</v>
      </c>
      <c r="I293" s="190" t="s">
        <v>2363</v>
      </c>
      <c r="J293" s="190"/>
    </row>
    <row r="294" customFormat="false" ht="14.25" hidden="false" customHeight="true" outlineLevel="0" collapsed="false">
      <c r="A294" s="190" t="s">
        <v>2470</v>
      </c>
      <c r="B294" s="190" t="s">
        <v>2471</v>
      </c>
      <c r="C294" s="190" t="s">
        <v>2472</v>
      </c>
      <c r="D294" s="190" t="n">
        <v>1</v>
      </c>
      <c r="E294" s="190" t="n">
        <v>0</v>
      </c>
      <c r="F294" s="190" t="n">
        <v>9.92</v>
      </c>
      <c r="G294" s="190" t="n">
        <v>754.1</v>
      </c>
      <c r="H294" s="190" t="s">
        <v>1722</v>
      </c>
      <c r="I294" s="190" t="s">
        <v>2363</v>
      </c>
      <c r="J294" s="190"/>
    </row>
    <row r="295" customFormat="false" ht="14.25" hidden="false" customHeight="true" outlineLevel="0" collapsed="false">
      <c r="A295" s="190" t="s">
        <v>2473</v>
      </c>
      <c r="B295" s="190" t="s">
        <v>2474</v>
      </c>
      <c r="C295" s="190" t="s">
        <v>2475</v>
      </c>
      <c r="D295" s="190" t="n">
        <v>1</v>
      </c>
      <c r="E295" s="190" t="n">
        <v>8</v>
      </c>
      <c r="F295" s="190" t="n">
        <v>13.92</v>
      </c>
      <c r="G295" s="190" t="n">
        <v>429.6</v>
      </c>
      <c r="H295" s="190" t="s">
        <v>1722</v>
      </c>
      <c r="I295" s="190" t="s">
        <v>2363</v>
      </c>
      <c r="J295" s="190"/>
    </row>
    <row r="296" customFormat="false" ht="14.25" hidden="false" customHeight="true" outlineLevel="0" collapsed="false">
      <c r="A296" s="190" t="s">
        <v>2476</v>
      </c>
      <c r="B296" s="190" t="s">
        <v>727</v>
      </c>
      <c r="C296" s="190" t="s">
        <v>728</v>
      </c>
      <c r="D296" s="190" t="n">
        <v>1</v>
      </c>
      <c r="E296" s="190" t="n">
        <v>1.5</v>
      </c>
      <c r="F296" s="190" t="n">
        <v>0</v>
      </c>
      <c r="G296" s="190" t="n">
        <v>0</v>
      </c>
      <c r="H296" s="190" t="s">
        <v>1721</v>
      </c>
      <c r="I296" s="190" t="s">
        <v>2477</v>
      </c>
      <c r="J296" s="190"/>
    </row>
    <row r="297" customFormat="false" ht="14.25" hidden="false" customHeight="true" outlineLevel="0" collapsed="false">
      <c r="A297" s="190" t="s">
        <v>2478</v>
      </c>
      <c r="B297" s="190" t="s">
        <v>2479</v>
      </c>
      <c r="C297" s="190" t="s">
        <v>729</v>
      </c>
      <c r="D297" s="190" t="s">
        <v>1720</v>
      </c>
      <c r="E297" s="190" t="n">
        <v>0</v>
      </c>
      <c r="F297" s="190" t="n">
        <v>0</v>
      </c>
      <c r="G297" s="190" t="n">
        <v>0</v>
      </c>
      <c r="H297" s="190" t="s">
        <v>1721</v>
      </c>
      <c r="I297" s="190" t="s">
        <v>234</v>
      </c>
      <c r="J297" s="190"/>
    </row>
    <row r="298" customFormat="false" ht="14.25" hidden="false" customHeight="true" outlineLevel="0" collapsed="false">
      <c r="A298" s="190" t="s">
        <v>2480</v>
      </c>
      <c r="B298" s="190" t="s">
        <v>2481</v>
      </c>
      <c r="C298" s="190" t="s">
        <v>730</v>
      </c>
      <c r="D298" s="190" t="s">
        <v>1720</v>
      </c>
      <c r="E298" s="190" t="n">
        <v>0</v>
      </c>
      <c r="F298" s="190" t="n">
        <v>0</v>
      </c>
      <c r="G298" s="190" t="n">
        <v>0</v>
      </c>
      <c r="H298" s="190" t="s">
        <v>1721</v>
      </c>
      <c r="I298" s="190" t="s">
        <v>234</v>
      </c>
      <c r="J298" s="190"/>
    </row>
    <row r="299" customFormat="false" ht="14.25" hidden="false" customHeight="true" outlineLevel="0" collapsed="false">
      <c r="A299" s="190" t="s">
        <v>2482</v>
      </c>
      <c r="B299" s="190" t="s">
        <v>732</v>
      </c>
      <c r="C299" s="190" t="s">
        <v>733</v>
      </c>
      <c r="D299" s="190" t="n">
        <v>1</v>
      </c>
      <c r="E299" s="190" t="n">
        <v>2.83</v>
      </c>
      <c r="F299" s="190" t="n">
        <v>0</v>
      </c>
      <c r="G299" s="190" t="n">
        <v>0</v>
      </c>
      <c r="H299" s="190" t="s">
        <v>1721</v>
      </c>
      <c r="I299" s="190" t="n">
        <v>12</v>
      </c>
      <c r="J299" s="190" t="s">
        <v>2483</v>
      </c>
    </row>
    <row r="300" customFormat="false" ht="14.25" hidden="false" customHeight="true" outlineLevel="0" collapsed="false">
      <c r="A300" s="190" t="s">
        <v>2484</v>
      </c>
      <c r="B300" s="190" t="s">
        <v>734</v>
      </c>
      <c r="C300" s="190" t="s">
        <v>735</v>
      </c>
      <c r="D300" s="190" t="n">
        <v>1</v>
      </c>
      <c r="E300" s="190" t="n">
        <v>5.92</v>
      </c>
      <c r="F300" s="190" t="n">
        <v>0</v>
      </c>
      <c r="G300" s="190" t="n">
        <v>0</v>
      </c>
      <c r="H300" s="190" t="s">
        <v>1721</v>
      </c>
      <c r="I300" s="190" t="n">
        <v>12</v>
      </c>
      <c r="J300" s="190" t="s">
        <v>2485</v>
      </c>
    </row>
    <row r="301" customFormat="false" ht="14.25" hidden="false" customHeight="true" outlineLevel="0" collapsed="false">
      <c r="A301" s="190" t="s">
        <v>2486</v>
      </c>
      <c r="B301" s="190" t="s">
        <v>2487</v>
      </c>
      <c r="C301" s="190" t="s">
        <v>2488</v>
      </c>
      <c r="D301" s="190" t="n">
        <v>1</v>
      </c>
      <c r="E301" s="190" t="n">
        <v>8</v>
      </c>
      <c r="F301" s="190" t="n">
        <v>13.08</v>
      </c>
      <c r="G301" s="190" t="n">
        <v>464.4</v>
      </c>
      <c r="H301" s="190" t="s">
        <v>1722</v>
      </c>
      <c r="I301" s="190" t="s">
        <v>2363</v>
      </c>
      <c r="J301" s="190"/>
    </row>
    <row r="302" customFormat="false" ht="14.25" hidden="false" customHeight="true" outlineLevel="0" collapsed="false">
      <c r="A302" s="190" t="s">
        <v>2489</v>
      </c>
      <c r="B302" s="190" t="s">
        <v>2490</v>
      </c>
      <c r="C302" s="190" t="s">
        <v>2491</v>
      </c>
      <c r="D302" s="190" t="n">
        <v>1</v>
      </c>
      <c r="E302" s="190" t="n">
        <v>6</v>
      </c>
      <c r="F302" s="190" t="n">
        <v>0</v>
      </c>
      <c r="G302" s="190" t="n">
        <v>0</v>
      </c>
      <c r="H302" s="190" t="s">
        <v>1721</v>
      </c>
      <c r="I302" s="190" t="s">
        <v>2363</v>
      </c>
      <c r="J302" s="190"/>
    </row>
    <row r="303" customFormat="false" ht="14.25" hidden="false" customHeight="true" outlineLevel="0" collapsed="false">
      <c r="A303" s="190" t="s">
        <v>2492</v>
      </c>
      <c r="B303" s="190" t="s">
        <v>2493</v>
      </c>
      <c r="C303" s="190" t="s">
        <v>736</v>
      </c>
      <c r="D303" s="190" t="n">
        <v>1</v>
      </c>
      <c r="E303" s="190" t="n">
        <v>0</v>
      </c>
      <c r="F303" s="190" t="n">
        <v>14</v>
      </c>
      <c r="G303" s="190" t="n">
        <v>577.9</v>
      </c>
      <c r="H303" s="190" t="s">
        <v>1722</v>
      </c>
      <c r="I303" s="190" t="s">
        <v>158</v>
      </c>
      <c r="J303" s="190"/>
    </row>
    <row r="304" customFormat="false" ht="14.25" hidden="false" customHeight="true" outlineLevel="0" collapsed="false">
      <c r="A304" s="190" t="s">
        <v>2494</v>
      </c>
      <c r="B304" s="190" t="s">
        <v>2495</v>
      </c>
      <c r="C304" s="190" t="s">
        <v>737</v>
      </c>
      <c r="D304" s="190" t="n">
        <v>1</v>
      </c>
      <c r="E304" s="190" t="n">
        <v>3</v>
      </c>
      <c r="F304" s="190" t="n">
        <v>0</v>
      </c>
      <c r="G304" s="190" t="n">
        <v>0</v>
      </c>
      <c r="H304" s="190" t="s">
        <v>1721</v>
      </c>
      <c r="I304" s="190" t="s">
        <v>358</v>
      </c>
      <c r="J304" s="190"/>
    </row>
    <row r="305" customFormat="false" ht="14.25" hidden="false" customHeight="true" outlineLevel="0" collapsed="false">
      <c r="A305" s="190" t="s">
        <v>2496</v>
      </c>
      <c r="B305" s="190" t="s">
        <v>2497</v>
      </c>
      <c r="C305" s="190" t="s">
        <v>745</v>
      </c>
      <c r="D305" s="190" t="n">
        <v>1</v>
      </c>
      <c r="E305" s="190" t="n">
        <v>0</v>
      </c>
      <c r="F305" s="190" t="n">
        <v>4.5</v>
      </c>
      <c r="G305" s="190" t="n">
        <v>792.1</v>
      </c>
      <c r="H305" s="190" t="s">
        <v>1722</v>
      </c>
      <c r="I305" s="190" t="s">
        <v>399</v>
      </c>
      <c r="J305" s="190"/>
    </row>
    <row r="306" customFormat="false" ht="14.25" hidden="false" customHeight="true" outlineLevel="0" collapsed="false">
      <c r="A306" s="190" t="s">
        <v>2498</v>
      </c>
      <c r="B306" s="190" t="s">
        <v>2499</v>
      </c>
      <c r="C306" s="190" t="s">
        <v>747</v>
      </c>
      <c r="D306" s="190" t="n">
        <v>1</v>
      </c>
      <c r="E306" s="190" t="n">
        <v>8</v>
      </c>
      <c r="F306" s="190" t="n">
        <v>15</v>
      </c>
      <c r="G306" s="190" t="n">
        <v>628.2</v>
      </c>
      <c r="H306" s="190" t="s">
        <v>1722</v>
      </c>
      <c r="I306" s="190" t="s">
        <v>68</v>
      </c>
      <c r="J306" s="190"/>
    </row>
    <row r="307" customFormat="false" ht="14.25" hidden="false" customHeight="true" outlineLevel="0" collapsed="false">
      <c r="A307" s="190" t="s">
        <v>2500</v>
      </c>
      <c r="B307" s="190" t="s">
        <v>2501</v>
      </c>
      <c r="C307" s="190" t="s">
        <v>751</v>
      </c>
      <c r="D307" s="190" t="n">
        <v>1</v>
      </c>
      <c r="E307" s="190" t="n">
        <v>0</v>
      </c>
      <c r="F307" s="190" t="n">
        <v>23.5</v>
      </c>
      <c r="G307" s="190" t="n">
        <v>789</v>
      </c>
      <c r="H307" s="190" t="s">
        <v>1722</v>
      </c>
      <c r="I307" s="190" t="s">
        <v>68</v>
      </c>
      <c r="J307" s="190"/>
    </row>
    <row r="308" customFormat="false" ht="14.25" hidden="false" customHeight="true" outlineLevel="0" collapsed="false">
      <c r="A308" s="190" t="s">
        <v>2502</v>
      </c>
      <c r="B308" s="190" t="s">
        <v>2503</v>
      </c>
      <c r="C308" s="190" t="s">
        <v>752</v>
      </c>
      <c r="D308" s="190" t="n">
        <v>1</v>
      </c>
      <c r="E308" s="190" t="n">
        <v>0</v>
      </c>
      <c r="F308" s="190" t="n">
        <v>0</v>
      </c>
      <c r="G308" s="190" t="n">
        <v>0</v>
      </c>
      <c r="H308" s="190" t="s">
        <v>1721</v>
      </c>
      <c r="I308" s="190" t="s">
        <v>68</v>
      </c>
      <c r="J308" s="190"/>
    </row>
    <row r="309" customFormat="false" ht="14.25" hidden="false" customHeight="true" outlineLevel="0" collapsed="false">
      <c r="A309" s="190" t="s">
        <v>2504</v>
      </c>
      <c r="B309" s="190" t="s">
        <v>1143</v>
      </c>
      <c r="C309" s="190" t="s">
        <v>753</v>
      </c>
      <c r="D309" s="190" t="n">
        <v>1</v>
      </c>
      <c r="E309" s="190" t="n">
        <v>0</v>
      </c>
      <c r="F309" s="190" t="n">
        <v>26</v>
      </c>
      <c r="G309" s="190" t="n">
        <v>814.2</v>
      </c>
      <c r="H309" s="190" t="s">
        <v>1722</v>
      </c>
      <c r="I309" s="190" t="s">
        <v>68</v>
      </c>
      <c r="J309" s="190"/>
    </row>
    <row r="310" customFormat="false" ht="14.25" hidden="false" customHeight="true" outlineLevel="0" collapsed="false">
      <c r="A310" s="190" t="s">
        <v>2505</v>
      </c>
      <c r="B310" s="190" t="s">
        <v>1137</v>
      </c>
      <c r="C310" s="190" t="s">
        <v>754</v>
      </c>
      <c r="D310" s="190" t="n">
        <v>1</v>
      </c>
      <c r="E310" s="190" t="n">
        <v>0</v>
      </c>
      <c r="F310" s="190" t="n">
        <v>1.5</v>
      </c>
      <c r="G310" s="190" t="n">
        <v>811.9</v>
      </c>
      <c r="H310" s="190" t="s">
        <v>1722</v>
      </c>
      <c r="I310" s="190" t="s">
        <v>74</v>
      </c>
      <c r="J310" s="190"/>
    </row>
    <row r="311" customFormat="false" ht="14.25" hidden="false" customHeight="true" outlineLevel="0" collapsed="false">
      <c r="A311" s="190" t="s">
        <v>2506</v>
      </c>
      <c r="B311" s="190" t="s">
        <v>1139</v>
      </c>
      <c r="C311" s="190" t="s">
        <v>755</v>
      </c>
      <c r="D311" s="190" t="n">
        <v>1</v>
      </c>
      <c r="E311" s="190" t="n">
        <v>0</v>
      </c>
      <c r="F311" s="190" t="n">
        <v>2</v>
      </c>
      <c r="G311" s="190" t="n">
        <v>812.1</v>
      </c>
      <c r="H311" s="190" t="s">
        <v>1722</v>
      </c>
      <c r="I311" s="190" t="s">
        <v>74</v>
      </c>
      <c r="J311" s="190"/>
    </row>
    <row r="312" customFormat="false" ht="14.25" hidden="false" customHeight="true" outlineLevel="0" collapsed="false">
      <c r="A312" s="190" t="s">
        <v>2507</v>
      </c>
      <c r="B312" s="190" t="s">
        <v>2508</v>
      </c>
      <c r="C312" s="190" t="s">
        <v>756</v>
      </c>
      <c r="D312" s="190" t="n">
        <v>1</v>
      </c>
      <c r="E312" s="190" t="n">
        <v>0</v>
      </c>
      <c r="F312" s="190" t="n">
        <v>20</v>
      </c>
      <c r="G312" s="190" t="n">
        <v>49</v>
      </c>
      <c r="H312" s="190" t="s">
        <v>1722</v>
      </c>
      <c r="I312" s="190" t="s">
        <v>74</v>
      </c>
      <c r="J312" s="190"/>
    </row>
    <row r="313" customFormat="false" ht="14.25" hidden="false" customHeight="true" outlineLevel="0" collapsed="false">
      <c r="A313" s="190" t="s">
        <v>2509</v>
      </c>
      <c r="B313" s="190" t="s">
        <v>1141</v>
      </c>
      <c r="C313" s="190" t="s">
        <v>757</v>
      </c>
      <c r="D313" s="190" t="n">
        <v>1</v>
      </c>
      <c r="E313" s="190" t="n">
        <v>0</v>
      </c>
      <c r="F313" s="190" t="n">
        <v>4</v>
      </c>
      <c r="G313" s="190" t="n">
        <v>812.4</v>
      </c>
      <c r="H313" s="190" t="s">
        <v>1722</v>
      </c>
      <c r="I313" s="190" t="s">
        <v>74</v>
      </c>
      <c r="J313" s="190"/>
    </row>
    <row r="314" customFormat="false" ht="14.25" hidden="false" customHeight="true" outlineLevel="0" collapsed="false">
      <c r="A314" s="190" t="s">
        <v>2510</v>
      </c>
      <c r="B314" s="190" t="s">
        <v>2511</v>
      </c>
      <c r="C314" s="190" t="s">
        <v>2512</v>
      </c>
      <c r="D314" s="190" t="n">
        <v>1</v>
      </c>
      <c r="E314" s="190" t="n">
        <v>8</v>
      </c>
      <c r="F314" s="190" t="n">
        <v>0</v>
      </c>
      <c r="G314" s="190" t="n">
        <v>0</v>
      </c>
      <c r="H314" s="190" t="s">
        <v>1721</v>
      </c>
      <c r="I314" s="190" t="s">
        <v>2363</v>
      </c>
      <c r="J314" s="190"/>
    </row>
    <row r="315" customFormat="false" ht="14.25" hidden="false" customHeight="true" outlineLevel="0" collapsed="false">
      <c r="A315" s="190" t="s">
        <v>2513</v>
      </c>
      <c r="B315" s="190" t="s">
        <v>2514</v>
      </c>
      <c r="C315" s="190" t="s">
        <v>2515</v>
      </c>
      <c r="D315" s="190" t="n">
        <v>1</v>
      </c>
      <c r="E315" s="190" t="n">
        <v>8</v>
      </c>
      <c r="F315" s="190" t="n">
        <v>0.5</v>
      </c>
      <c r="G315" s="190" t="n">
        <v>789.6</v>
      </c>
      <c r="H315" s="190" t="s">
        <v>1722</v>
      </c>
      <c r="I315" s="190" t="s">
        <v>146</v>
      </c>
      <c r="J315" s="190"/>
    </row>
    <row r="316" customFormat="false" ht="14.25" hidden="false" customHeight="true" outlineLevel="0" collapsed="false">
      <c r="A316" s="190" t="s">
        <v>2516</v>
      </c>
      <c r="B316" s="190" t="s">
        <v>2517</v>
      </c>
      <c r="C316" s="190" t="s">
        <v>2518</v>
      </c>
      <c r="D316" s="190" t="n">
        <v>1</v>
      </c>
      <c r="E316" s="190" t="n">
        <v>6</v>
      </c>
      <c r="F316" s="190" t="n">
        <v>0.02</v>
      </c>
      <c r="G316" s="190" t="n">
        <v>17.03</v>
      </c>
      <c r="H316" s="190" t="s">
        <v>1722</v>
      </c>
      <c r="I316" s="190" t="s">
        <v>146</v>
      </c>
      <c r="J316" s="190"/>
    </row>
    <row r="317" customFormat="false" ht="14.25" hidden="false" customHeight="true" outlineLevel="0" collapsed="false">
      <c r="A317" s="190" t="s">
        <v>2519</v>
      </c>
      <c r="B317" s="190" t="s">
        <v>2520</v>
      </c>
      <c r="C317" s="190" t="s">
        <v>758</v>
      </c>
      <c r="D317" s="190" t="n">
        <v>1</v>
      </c>
      <c r="E317" s="190" t="n">
        <v>8.5</v>
      </c>
      <c r="F317" s="190" t="n">
        <v>11</v>
      </c>
      <c r="G317" s="190" t="n">
        <v>82.1</v>
      </c>
      <c r="H317" s="190" t="s">
        <v>1722</v>
      </c>
      <c r="I317" s="190" t="n">
        <v>25</v>
      </c>
      <c r="J317" s="190"/>
    </row>
    <row r="318" customFormat="false" ht="14.25" hidden="false" customHeight="true" outlineLevel="0" collapsed="false">
      <c r="A318" s="190" t="s">
        <v>2521</v>
      </c>
      <c r="B318" s="190" t="s">
        <v>2522</v>
      </c>
      <c r="C318" s="190" t="s">
        <v>759</v>
      </c>
      <c r="D318" s="190" t="n">
        <v>1</v>
      </c>
      <c r="E318" s="190" t="n">
        <v>10</v>
      </c>
      <c r="F318" s="190" t="n">
        <v>9.5</v>
      </c>
      <c r="G318" s="190" t="n">
        <v>750.9</v>
      </c>
      <c r="H318" s="190" t="s">
        <v>1722</v>
      </c>
      <c r="I318" s="190" t="s">
        <v>358</v>
      </c>
      <c r="J318" s="190"/>
    </row>
    <row r="319" customFormat="false" ht="14.25" hidden="false" customHeight="true" outlineLevel="0" collapsed="false">
      <c r="A319" s="190" t="s">
        <v>2523</v>
      </c>
      <c r="B319" s="190" t="s">
        <v>2524</v>
      </c>
      <c r="C319" s="190" t="s">
        <v>760</v>
      </c>
      <c r="D319" s="190" t="n">
        <v>1</v>
      </c>
      <c r="E319" s="190" t="n">
        <v>12</v>
      </c>
      <c r="F319" s="190" t="n">
        <v>11.5</v>
      </c>
      <c r="G319" s="190" t="n">
        <v>779.4</v>
      </c>
      <c r="H319" s="190" t="s">
        <v>1722</v>
      </c>
      <c r="I319" s="190" t="s">
        <v>358</v>
      </c>
      <c r="J319" s="190"/>
    </row>
    <row r="320" customFormat="false" ht="14.25" hidden="false" customHeight="true" outlineLevel="0" collapsed="false">
      <c r="A320" s="190" t="s">
        <v>2525</v>
      </c>
      <c r="B320" s="190" t="s">
        <v>2526</v>
      </c>
      <c r="C320" s="190" t="s">
        <v>761</v>
      </c>
      <c r="D320" s="190" t="n">
        <v>1</v>
      </c>
      <c r="E320" s="190" t="n">
        <v>3</v>
      </c>
      <c r="F320" s="190" t="n">
        <v>2.5</v>
      </c>
      <c r="G320" s="190" t="n">
        <v>58.1</v>
      </c>
      <c r="H320" s="190" t="s">
        <v>1722</v>
      </c>
      <c r="I320" s="190" t="n">
        <v>25</v>
      </c>
      <c r="J320" s="190"/>
    </row>
    <row r="321" customFormat="false" ht="14.25" hidden="false" customHeight="true" outlineLevel="0" collapsed="false">
      <c r="A321" s="190" t="s">
        <v>2527</v>
      </c>
      <c r="B321" s="190" t="s">
        <v>2528</v>
      </c>
      <c r="C321" s="190" t="s">
        <v>762</v>
      </c>
      <c r="D321" s="190" t="n">
        <v>1</v>
      </c>
      <c r="E321" s="190" t="n">
        <v>2</v>
      </c>
      <c r="F321" s="190" t="n">
        <v>0</v>
      </c>
      <c r="G321" s="190" t="n">
        <v>0</v>
      </c>
      <c r="H321" s="190" t="s">
        <v>1721</v>
      </c>
      <c r="I321" s="190" t="n">
        <v>25</v>
      </c>
      <c r="J321" s="190"/>
    </row>
    <row r="322" customFormat="false" ht="14.25" hidden="false" customHeight="true" outlineLevel="0" collapsed="false">
      <c r="A322" s="190" t="s">
        <v>2529</v>
      </c>
      <c r="B322" s="190" t="s">
        <v>2530</v>
      </c>
      <c r="C322" s="190" t="s">
        <v>763</v>
      </c>
      <c r="D322" s="190" t="n">
        <v>1</v>
      </c>
      <c r="E322" s="190" t="n">
        <v>2</v>
      </c>
      <c r="F322" s="190" t="n">
        <v>2</v>
      </c>
      <c r="G322" s="190" t="n">
        <v>10.08</v>
      </c>
      <c r="H322" s="190" t="s">
        <v>1722</v>
      </c>
      <c r="I322" s="190" t="n">
        <v>25</v>
      </c>
      <c r="J322" s="190"/>
    </row>
    <row r="323" customFormat="false" ht="14.25" hidden="false" customHeight="true" outlineLevel="0" collapsed="false">
      <c r="A323" s="190" t="s">
        <v>2531</v>
      </c>
      <c r="B323" s="190" t="s">
        <v>2532</v>
      </c>
      <c r="C323" s="190" t="s">
        <v>766</v>
      </c>
      <c r="D323" s="190" t="n">
        <v>1</v>
      </c>
      <c r="E323" s="190" t="n">
        <v>4</v>
      </c>
      <c r="F323" s="190" t="n">
        <v>5.5</v>
      </c>
      <c r="G323" s="190" t="n">
        <v>722</v>
      </c>
      <c r="H323" s="190" t="s">
        <v>1722</v>
      </c>
      <c r="I323" s="190" t="s">
        <v>177</v>
      </c>
      <c r="J323" s="190"/>
    </row>
    <row r="324" customFormat="false" ht="14.25" hidden="false" customHeight="true" outlineLevel="0" collapsed="false">
      <c r="A324" s="190" t="s">
        <v>2533</v>
      </c>
      <c r="B324" s="190" t="s">
        <v>2534</v>
      </c>
      <c r="C324" s="190" t="s">
        <v>772</v>
      </c>
      <c r="D324" s="190" t="n">
        <v>1</v>
      </c>
      <c r="E324" s="190" t="n">
        <v>6</v>
      </c>
      <c r="F324" s="190" t="n">
        <v>6.5</v>
      </c>
      <c r="G324" s="190" t="n">
        <v>777.1</v>
      </c>
      <c r="H324" s="190" t="s">
        <v>1722</v>
      </c>
      <c r="I324" s="190" t="n">
        <v>38</v>
      </c>
      <c r="J324" s="190"/>
    </row>
    <row r="325" customFormat="false" ht="14.25" hidden="false" customHeight="true" outlineLevel="0" collapsed="false">
      <c r="A325" s="190" t="s">
        <v>2535</v>
      </c>
      <c r="B325" s="190" t="s">
        <v>2536</v>
      </c>
      <c r="C325" s="190" t="s">
        <v>2537</v>
      </c>
      <c r="D325" s="190" t="n">
        <v>1</v>
      </c>
      <c r="E325" s="190" t="n">
        <v>8</v>
      </c>
      <c r="F325" s="190" t="n">
        <v>16</v>
      </c>
      <c r="G325" s="190" t="n">
        <v>128.9</v>
      </c>
      <c r="H325" s="190" t="s">
        <v>1722</v>
      </c>
      <c r="I325" s="190" t="s">
        <v>2538</v>
      </c>
      <c r="J325" s="190"/>
    </row>
    <row r="326" customFormat="false" ht="14.25" hidden="false" customHeight="true" outlineLevel="0" collapsed="false">
      <c r="A326" s="190" t="s">
        <v>2539</v>
      </c>
      <c r="B326" s="190" t="s">
        <v>2540</v>
      </c>
      <c r="C326" s="190" t="s">
        <v>776</v>
      </c>
      <c r="D326" s="190" t="n">
        <v>1</v>
      </c>
      <c r="E326" s="190" t="n">
        <v>2</v>
      </c>
      <c r="F326" s="190" t="n">
        <v>4.5</v>
      </c>
      <c r="G326" s="190" t="n">
        <v>82.1</v>
      </c>
      <c r="H326" s="190" t="s">
        <v>1722</v>
      </c>
      <c r="I326" s="190" t="n">
        <v>25</v>
      </c>
      <c r="J326" s="190"/>
    </row>
    <row r="327" customFormat="false" ht="14.25" hidden="false" customHeight="true" outlineLevel="0" collapsed="false">
      <c r="A327" s="190" t="s">
        <v>2541</v>
      </c>
      <c r="B327" s="190" t="s">
        <v>2542</v>
      </c>
      <c r="C327" s="190" t="s">
        <v>777</v>
      </c>
      <c r="D327" s="190" t="n">
        <v>1</v>
      </c>
      <c r="E327" s="190" t="n">
        <v>2</v>
      </c>
      <c r="F327" s="190" t="n">
        <v>4.5</v>
      </c>
      <c r="G327" s="190" t="n">
        <v>80.1</v>
      </c>
      <c r="H327" s="190" t="s">
        <v>1722</v>
      </c>
      <c r="I327" s="190" t="n">
        <v>25</v>
      </c>
      <c r="J327" s="190"/>
    </row>
    <row r="328" customFormat="false" ht="14.25" hidden="false" customHeight="true" outlineLevel="0" collapsed="false">
      <c r="A328" s="190" t="s">
        <v>1197</v>
      </c>
      <c r="B328" s="190" t="s">
        <v>1196</v>
      </c>
      <c r="C328" s="190" t="s">
        <v>780</v>
      </c>
      <c r="D328" s="190" t="n">
        <v>1</v>
      </c>
      <c r="E328" s="190" t="n">
        <v>0</v>
      </c>
      <c r="F328" s="190" t="n">
        <v>0</v>
      </c>
      <c r="G328" s="190" t="n">
        <v>0</v>
      </c>
      <c r="H328" s="190" t="s">
        <v>1721</v>
      </c>
      <c r="I328" s="190" t="n">
        <v>25</v>
      </c>
      <c r="J328" s="190"/>
    </row>
    <row r="329" customFormat="false" ht="14.25" hidden="false" customHeight="true" outlineLevel="0" collapsed="false">
      <c r="A329" s="190" t="s">
        <v>1168</v>
      </c>
      <c r="B329" s="190" t="s">
        <v>1167</v>
      </c>
      <c r="C329" s="190" t="s">
        <v>782</v>
      </c>
      <c r="D329" s="190" t="n">
        <v>1</v>
      </c>
      <c r="E329" s="190" t="n">
        <v>0</v>
      </c>
      <c r="F329" s="190" t="n">
        <v>0</v>
      </c>
      <c r="G329" s="190" t="n">
        <v>0</v>
      </c>
      <c r="H329" s="190" t="s">
        <v>1721</v>
      </c>
      <c r="I329" s="190" t="n">
        <v>25</v>
      </c>
      <c r="J329" s="190"/>
    </row>
    <row r="330" customFormat="false" ht="14.25" hidden="false" customHeight="true" outlineLevel="0" collapsed="false">
      <c r="A330" s="190" t="s">
        <v>1173</v>
      </c>
      <c r="B330" s="190" t="s">
        <v>1172</v>
      </c>
      <c r="C330" s="190" t="s">
        <v>789</v>
      </c>
      <c r="D330" s="190" t="n">
        <v>1</v>
      </c>
      <c r="E330" s="190" t="n">
        <v>0</v>
      </c>
      <c r="F330" s="190" t="n">
        <v>0</v>
      </c>
      <c r="G330" s="190" t="n">
        <v>0</v>
      </c>
      <c r="H330" s="190" t="s">
        <v>1721</v>
      </c>
      <c r="I330" s="190" t="n">
        <v>25</v>
      </c>
      <c r="J330" s="190"/>
    </row>
    <row r="331" customFormat="false" ht="14.25" hidden="false" customHeight="true" outlineLevel="0" collapsed="false">
      <c r="A331" s="190" t="s">
        <v>1191</v>
      </c>
      <c r="B331" s="190" t="s">
        <v>1190</v>
      </c>
      <c r="C331" s="190" t="s">
        <v>793</v>
      </c>
      <c r="D331" s="190" t="n">
        <v>1</v>
      </c>
      <c r="E331" s="190" t="n">
        <v>0</v>
      </c>
      <c r="F331" s="190" t="n">
        <v>0</v>
      </c>
      <c r="G331" s="190" t="n">
        <v>0</v>
      </c>
      <c r="H331" s="190" t="s">
        <v>1721</v>
      </c>
      <c r="I331" s="190" t="n">
        <v>25</v>
      </c>
      <c r="J331" s="190"/>
    </row>
    <row r="332" customFormat="false" ht="14.25" hidden="false" customHeight="true" outlineLevel="0" collapsed="false">
      <c r="A332" s="190" t="s">
        <v>2543</v>
      </c>
      <c r="B332" s="190" t="s">
        <v>2544</v>
      </c>
      <c r="C332" s="190" t="s">
        <v>797</v>
      </c>
      <c r="D332" s="190" t="n">
        <v>1</v>
      </c>
      <c r="E332" s="190" t="n">
        <v>0</v>
      </c>
      <c r="F332" s="190" t="n">
        <v>2</v>
      </c>
      <c r="G332" s="190" t="n">
        <v>282.1</v>
      </c>
      <c r="H332" s="190" t="s">
        <v>1722</v>
      </c>
      <c r="I332" s="190" t="n">
        <v>25</v>
      </c>
      <c r="J332" s="190"/>
    </row>
    <row r="333" customFormat="false" ht="14.25" hidden="false" customHeight="true" outlineLevel="0" collapsed="false">
      <c r="A333" s="190" t="s">
        <v>1199</v>
      </c>
      <c r="B333" s="190" t="s">
        <v>1198</v>
      </c>
      <c r="C333" s="190" t="s">
        <v>800</v>
      </c>
      <c r="D333" s="190" t="n">
        <v>1</v>
      </c>
      <c r="E333" s="190" t="n">
        <v>0</v>
      </c>
      <c r="F333" s="190" t="n">
        <v>0</v>
      </c>
      <c r="G333" s="190" t="n">
        <v>0</v>
      </c>
      <c r="H333" s="190" t="s">
        <v>1721</v>
      </c>
      <c r="I333" s="190" t="s">
        <v>406</v>
      </c>
      <c r="J333" s="190"/>
    </row>
    <row r="334" customFormat="false" ht="14.25" hidden="false" customHeight="true" outlineLevel="0" collapsed="false">
      <c r="A334" s="190" t="s">
        <v>1206</v>
      </c>
      <c r="B334" s="190" t="s">
        <v>1205</v>
      </c>
      <c r="C334" s="190" t="s">
        <v>801</v>
      </c>
      <c r="D334" s="190" t="n">
        <v>1</v>
      </c>
      <c r="E334" s="190" t="n">
        <v>0</v>
      </c>
      <c r="F334" s="190" t="n">
        <v>0</v>
      </c>
      <c r="G334" s="190" t="n">
        <v>0</v>
      </c>
      <c r="H334" s="190" t="s">
        <v>1721</v>
      </c>
      <c r="I334" s="190" t="s">
        <v>406</v>
      </c>
      <c r="J334" s="190"/>
    </row>
    <row r="335" customFormat="false" ht="14.25" hidden="false" customHeight="true" outlineLevel="0" collapsed="false">
      <c r="A335" s="190" t="s">
        <v>2545</v>
      </c>
      <c r="B335" s="190" t="s">
        <v>2546</v>
      </c>
      <c r="C335" s="190" t="s">
        <v>802</v>
      </c>
      <c r="D335" s="190" t="n">
        <v>1</v>
      </c>
      <c r="E335" s="190" t="n">
        <v>6</v>
      </c>
      <c r="F335" s="190" t="n">
        <v>0</v>
      </c>
      <c r="G335" s="190" t="n">
        <v>0</v>
      </c>
      <c r="H335" s="190" t="s">
        <v>1721</v>
      </c>
      <c r="I335" s="190" t="s">
        <v>358</v>
      </c>
      <c r="J335" s="190"/>
    </row>
    <row r="336" customFormat="false" ht="14.25" hidden="false" customHeight="true" outlineLevel="0" collapsed="false">
      <c r="A336" s="190" t="s">
        <v>2547</v>
      </c>
      <c r="B336" s="190" t="s">
        <v>2548</v>
      </c>
      <c r="C336" s="190" t="s">
        <v>803</v>
      </c>
      <c r="D336" s="190" t="n">
        <v>1</v>
      </c>
      <c r="E336" s="190" t="n">
        <v>0</v>
      </c>
      <c r="F336" s="190" t="n">
        <v>62.8</v>
      </c>
      <c r="G336" s="190" t="n">
        <v>745.3</v>
      </c>
      <c r="H336" s="190" t="s">
        <v>1722</v>
      </c>
      <c r="I336" s="190" t="s">
        <v>89</v>
      </c>
      <c r="J336" s="190"/>
    </row>
    <row r="337" customFormat="false" ht="14.25" hidden="false" customHeight="true" outlineLevel="0" collapsed="false">
      <c r="A337" s="190" t="s">
        <v>2549</v>
      </c>
      <c r="B337" s="190" t="s">
        <v>2550</v>
      </c>
      <c r="C337" s="190" t="s">
        <v>2551</v>
      </c>
      <c r="D337" s="190" t="s">
        <v>2552</v>
      </c>
      <c r="E337" s="190" t="n">
        <v>2</v>
      </c>
      <c r="F337" s="190" t="n">
        <v>3.5</v>
      </c>
      <c r="G337" s="190" t="n">
        <v>744.1</v>
      </c>
      <c r="H337" s="190" t="s">
        <v>1722</v>
      </c>
      <c r="I337" s="190" t="n">
        <v>28</v>
      </c>
      <c r="J337" s="190"/>
    </row>
    <row r="338" customFormat="false" ht="14.25" hidden="false" customHeight="true" outlineLevel="0" collapsed="false">
      <c r="A338" s="190" t="s">
        <v>2553</v>
      </c>
      <c r="B338" s="190" t="s">
        <v>2554</v>
      </c>
      <c r="C338" s="190" t="s">
        <v>2555</v>
      </c>
      <c r="D338" s="190" t="s">
        <v>2200</v>
      </c>
      <c r="E338" s="190" t="n">
        <v>1.33</v>
      </c>
      <c r="F338" s="190" t="n">
        <v>0</v>
      </c>
      <c r="G338" s="190" t="n">
        <v>0</v>
      </c>
      <c r="H338" s="190" t="s">
        <v>1721</v>
      </c>
      <c r="I338" s="190" t="n">
        <v>34</v>
      </c>
      <c r="J338" s="190"/>
    </row>
    <row r="339" customFormat="false" ht="14.25" hidden="false" customHeight="true" outlineLevel="0" collapsed="false">
      <c r="A339" s="190" t="s">
        <v>2556</v>
      </c>
      <c r="B339" s="190" t="s">
        <v>2557</v>
      </c>
      <c r="C339" s="190" t="s">
        <v>805</v>
      </c>
      <c r="D339" s="190" t="n">
        <v>1</v>
      </c>
      <c r="E339" s="190" t="n">
        <v>0.25</v>
      </c>
      <c r="F339" s="190" t="n">
        <v>1.17</v>
      </c>
      <c r="G339" s="190" t="n">
        <v>224.8</v>
      </c>
      <c r="H339" s="190" t="s">
        <v>1722</v>
      </c>
      <c r="I339" s="190" t="n">
        <v>53</v>
      </c>
      <c r="J339" s="190"/>
    </row>
    <row r="340" customFormat="false" ht="14.25" hidden="false" customHeight="true" outlineLevel="0" collapsed="false">
      <c r="A340" s="190" t="s">
        <v>2558</v>
      </c>
      <c r="B340" s="190" t="s">
        <v>2559</v>
      </c>
      <c r="C340" s="190" t="s">
        <v>2560</v>
      </c>
      <c r="D340" s="190" t="n">
        <v>1</v>
      </c>
      <c r="E340" s="190" t="n">
        <v>6</v>
      </c>
      <c r="F340" s="190" t="n">
        <v>0</v>
      </c>
      <c r="G340" s="190" t="n">
        <v>0</v>
      </c>
      <c r="H340" s="190" t="s">
        <v>1721</v>
      </c>
      <c r="I340" s="190" t="s">
        <v>1894</v>
      </c>
      <c r="J340" s="190"/>
    </row>
    <row r="341" customFormat="false" ht="14.25" hidden="false" customHeight="true" outlineLevel="0" collapsed="false">
      <c r="A341" s="190" t="s">
        <v>2561</v>
      </c>
      <c r="B341" s="190" t="s">
        <v>2562</v>
      </c>
      <c r="C341" s="190" t="s">
        <v>2563</v>
      </c>
      <c r="D341" s="190" t="n">
        <v>1</v>
      </c>
      <c r="E341" s="190" t="n">
        <v>6</v>
      </c>
      <c r="F341" s="190" t="n">
        <v>2</v>
      </c>
      <c r="G341" s="190" t="n">
        <v>66.3</v>
      </c>
      <c r="H341" s="190" t="s">
        <v>1722</v>
      </c>
      <c r="I341" s="190" t="s">
        <v>1894</v>
      </c>
      <c r="J341" s="190"/>
    </row>
    <row r="342" customFormat="false" ht="14.25" hidden="false" customHeight="true" outlineLevel="0" collapsed="false">
      <c r="A342" s="190" t="s">
        <v>2564</v>
      </c>
      <c r="B342" s="190" t="s">
        <v>2565</v>
      </c>
      <c r="C342" s="190" t="s">
        <v>808</v>
      </c>
      <c r="D342" s="190" t="n">
        <v>1</v>
      </c>
      <c r="E342" s="190" t="n">
        <v>2</v>
      </c>
      <c r="F342" s="190" t="n">
        <v>0</v>
      </c>
      <c r="G342" s="190" t="n">
        <v>0</v>
      </c>
      <c r="H342" s="190" t="s">
        <v>1721</v>
      </c>
      <c r="I342" s="190" t="s">
        <v>177</v>
      </c>
      <c r="J342" s="190"/>
    </row>
    <row r="343" customFormat="false" ht="14.25" hidden="false" customHeight="true" outlineLevel="0" collapsed="false">
      <c r="A343" s="190" t="s">
        <v>2566</v>
      </c>
      <c r="B343" s="190" t="s">
        <v>2567</v>
      </c>
      <c r="C343" s="190" t="s">
        <v>809</v>
      </c>
      <c r="D343" s="190" t="n">
        <v>1</v>
      </c>
      <c r="E343" s="190" t="n">
        <v>4</v>
      </c>
      <c r="F343" s="190" t="n">
        <v>0.5</v>
      </c>
      <c r="G343" s="190" t="n">
        <v>127.2</v>
      </c>
      <c r="H343" s="190" t="s">
        <v>1722</v>
      </c>
      <c r="I343" s="190" t="s">
        <v>2568</v>
      </c>
      <c r="J343" s="190"/>
    </row>
    <row r="344" customFormat="false" ht="14.25" hidden="false" customHeight="true" outlineLevel="0" collapsed="false">
      <c r="A344" s="190" t="s">
        <v>2569</v>
      </c>
      <c r="B344" s="190" t="s">
        <v>2570</v>
      </c>
      <c r="C344" s="190" t="s">
        <v>813</v>
      </c>
      <c r="D344" s="190" t="n">
        <v>1</v>
      </c>
      <c r="E344" s="190" t="n">
        <v>4</v>
      </c>
      <c r="F344" s="190" t="n">
        <v>74</v>
      </c>
      <c r="G344" s="190" t="n">
        <v>226.1</v>
      </c>
      <c r="H344" s="190" t="s">
        <v>1722</v>
      </c>
      <c r="I344" s="190" t="s">
        <v>177</v>
      </c>
      <c r="J344" s="190"/>
    </row>
    <row r="345" customFormat="false" ht="14.25" hidden="false" customHeight="true" outlineLevel="0" collapsed="false">
      <c r="A345" s="190" t="s">
        <v>2571</v>
      </c>
      <c r="B345" s="190" t="s">
        <v>2572</v>
      </c>
      <c r="C345" s="190" t="s">
        <v>815</v>
      </c>
      <c r="D345" s="190" t="n">
        <v>1</v>
      </c>
      <c r="E345" s="190" t="n">
        <v>2</v>
      </c>
      <c r="F345" s="190" t="n">
        <v>0</v>
      </c>
      <c r="G345" s="190" t="n">
        <v>0</v>
      </c>
      <c r="H345" s="190" t="s">
        <v>1721</v>
      </c>
      <c r="I345" s="190" t="s">
        <v>177</v>
      </c>
      <c r="J345" s="190"/>
    </row>
    <row r="346" customFormat="false" ht="14.25" hidden="false" customHeight="true" outlineLevel="0" collapsed="false">
      <c r="A346" s="190" t="s">
        <v>2573</v>
      </c>
      <c r="B346" s="190" t="s">
        <v>2574</v>
      </c>
      <c r="C346" s="190" t="s">
        <v>816</v>
      </c>
      <c r="D346" s="190" t="n">
        <v>1</v>
      </c>
      <c r="E346" s="190" t="n">
        <v>1</v>
      </c>
      <c r="F346" s="190" t="n">
        <v>0</v>
      </c>
      <c r="G346" s="190" t="n">
        <v>0</v>
      </c>
      <c r="H346" s="190" t="s">
        <v>1721</v>
      </c>
      <c r="I346" s="190" t="s">
        <v>177</v>
      </c>
      <c r="J346" s="190"/>
    </row>
    <row r="347" customFormat="false" ht="14.25" hidden="false" customHeight="true" outlineLevel="0" collapsed="false">
      <c r="A347" s="190" t="s">
        <v>2575</v>
      </c>
      <c r="B347" s="190" t="s">
        <v>2576</v>
      </c>
      <c r="C347" s="190" t="s">
        <v>817</v>
      </c>
      <c r="D347" s="190" t="n">
        <v>1</v>
      </c>
      <c r="E347" s="190" t="n">
        <v>1.5</v>
      </c>
      <c r="F347" s="190" t="n">
        <v>7</v>
      </c>
      <c r="G347" s="190" t="n">
        <v>432.6</v>
      </c>
      <c r="H347" s="190" t="s">
        <v>1722</v>
      </c>
      <c r="I347" s="190" t="s">
        <v>177</v>
      </c>
      <c r="J347" s="190"/>
    </row>
    <row r="348" customFormat="false" ht="14.25" hidden="false" customHeight="true" outlineLevel="0" collapsed="false">
      <c r="A348" s="190" t="s">
        <v>2577</v>
      </c>
      <c r="B348" s="190" t="s">
        <v>2578</v>
      </c>
      <c r="C348" s="190" t="s">
        <v>818</v>
      </c>
      <c r="D348" s="190" t="n">
        <v>1</v>
      </c>
      <c r="E348" s="190" t="n">
        <v>1</v>
      </c>
      <c r="F348" s="190" t="n">
        <v>0</v>
      </c>
      <c r="G348" s="190" t="n">
        <v>0</v>
      </c>
      <c r="H348" s="190" t="s">
        <v>1721</v>
      </c>
      <c r="I348" s="190" t="s">
        <v>177</v>
      </c>
      <c r="J348" s="190"/>
    </row>
    <row r="349" customFormat="false" ht="14.25" hidden="false" customHeight="true" outlineLevel="0" collapsed="false">
      <c r="A349" s="190" t="s">
        <v>1180</v>
      </c>
      <c r="B349" s="190" t="s">
        <v>1179</v>
      </c>
      <c r="C349" s="190" t="s">
        <v>820</v>
      </c>
      <c r="D349" s="190" t="n">
        <v>1</v>
      </c>
      <c r="E349" s="190" t="n">
        <v>0</v>
      </c>
      <c r="F349" s="190" t="n">
        <v>3</v>
      </c>
      <c r="G349" s="190" t="n">
        <v>66.1</v>
      </c>
      <c r="H349" s="190" t="s">
        <v>1722</v>
      </c>
      <c r="I349" s="190" t="s">
        <v>177</v>
      </c>
      <c r="J349" s="190"/>
    </row>
    <row r="350" customFormat="false" ht="14.25" hidden="false" customHeight="true" outlineLevel="0" collapsed="false">
      <c r="A350" s="190" t="s">
        <v>2579</v>
      </c>
      <c r="B350" s="190" t="s">
        <v>2580</v>
      </c>
      <c r="C350" s="190" t="s">
        <v>2581</v>
      </c>
      <c r="D350" s="190" t="n">
        <v>1</v>
      </c>
      <c r="E350" s="190" t="n">
        <v>0</v>
      </c>
      <c r="F350" s="190" t="n">
        <v>0</v>
      </c>
      <c r="G350" s="190" t="n">
        <v>0</v>
      </c>
      <c r="H350" s="190" t="s">
        <v>1721</v>
      </c>
      <c r="I350" s="190" t="s">
        <v>177</v>
      </c>
      <c r="J350" s="190"/>
    </row>
    <row r="351" customFormat="false" ht="14.25" hidden="false" customHeight="true" outlineLevel="0" collapsed="false">
      <c r="A351" s="190" t="s">
        <v>2582</v>
      </c>
      <c r="B351" s="190" t="s">
        <v>2583</v>
      </c>
      <c r="C351" s="190" t="s">
        <v>821</v>
      </c>
      <c r="D351" s="190" t="n">
        <v>1</v>
      </c>
      <c r="E351" s="190" t="n">
        <v>0</v>
      </c>
      <c r="F351" s="190" t="n">
        <v>7.17</v>
      </c>
      <c r="G351" s="190" t="n">
        <v>728.6</v>
      </c>
      <c r="H351" s="190" t="s">
        <v>1722</v>
      </c>
      <c r="I351" s="190" t="n">
        <v>25</v>
      </c>
      <c r="J351" s="190"/>
    </row>
    <row r="352" customFormat="false" ht="14.25" hidden="false" customHeight="true" outlineLevel="0" collapsed="false">
      <c r="A352" s="190" t="s">
        <v>2584</v>
      </c>
      <c r="B352" s="190" t="s">
        <v>2585</v>
      </c>
      <c r="C352" s="190" t="s">
        <v>822</v>
      </c>
      <c r="D352" s="190" t="n">
        <v>1</v>
      </c>
      <c r="E352" s="190" t="n">
        <v>0</v>
      </c>
      <c r="F352" s="190" t="n">
        <v>2</v>
      </c>
      <c r="G352" s="190" t="n">
        <v>282.1</v>
      </c>
      <c r="H352" s="190" t="s">
        <v>1722</v>
      </c>
      <c r="I352" s="190" t="s">
        <v>699</v>
      </c>
      <c r="J352" s="190"/>
    </row>
    <row r="353" customFormat="false" ht="14.25" hidden="false" customHeight="true" outlineLevel="0" collapsed="false">
      <c r="A353" s="190" t="s">
        <v>2586</v>
      </c>
      <c r="B353" s="190" t="s">
        <v>2587</v>
      </c>
      <c r="C353" s="190" t="s">
        <v>823</v>
      </c>
      <c r="D353" s="190" t="n">
        <v>1</v>
      </c>
      <c r="E353" s="190" t="n">
        <v>0</v>
      </c>
      <c r="F353" s="190" t="n">
        <v>0</v>
      </c>
      <c r="G353" s="190" t="n">
        <v>0</v>
      </c>
      <c r="H353" s="190" t="s">
        <v>1721</v>
      </c>
      <c r="I353" s="190" t="s">
        <v>699</v>
      </c>
      <c r="J353" s="190"/>
    </row>
    <row r="354" customFormat="false" ht="14.25" hidden="false" customHeight="true" outlineLevel="0" collapsed="false">
      <c r="A354" s="190" t="s">
        <v>2588</v>
      </c>
      <c r="B354" s="190" t="s">
        <v>2589</v>
      </c>
      <c r="C354" s="190" t="s">
        <v>2590</v>
      </c>
      <c r="D354" s="190" t="n">
        <v>1</v>
      </c>
      <c r="E354" s="190" t="n">
        <v>8</v>
      </c>
      <c r="F354" s="190" t="n">
        <v>29</v>
      </c>
      <c r="G354" s="190" t="n">
        <v>749.5</v>
      </c>
      <c r="H354" s="190" t="s">
        <v>1722</v>
      </c>
      <c r="I354" s="190" t="n">
        <v>25</v>
      </c>
      <c r="J354" s="190"/>
    </row>
    <row r="355" customFormat="false" ht="14.25" hidden="false" customHeight="true" outlineLevel="0" collapsed="false">
      <c r="A355" s="190" t="s">
        <v>2591</v>
      </c>
      <c r="B355" s="190" t="s">
        <v>2592</v>
      </c>
      <c r="C355" s="190" t="s">
        <v>826</v>
      </c>
      <c r="D355" s="190" t="n">
        <v>1</v>
      </c>
      <c r="E355" s="190" t="n">
        <v>0</v>
      </c>
      <c r="F355" s="190" t="n">
        <v>4</v>
      </c>
      <c r="G355" s="190" t="n">
        <v>56.1</v>
      </c>
      <c r="H355" s="190" t="s">
        <v>1722</v>
      </c>
      <c r="I355" s="190" t="n">
        <v>25</v>
      </c>
      <c r="J355" s="190"/>
    </row>
    <row r="356" customFormat="false" ht="14.25" hidden="false" customHeight="true" outlineLevel="0" collapsed="false">
      <c r="A356" s="190" t="s">
        <v>2593</v>
      </c>
      <c r="B356" s="190" t="s">
        <v>2594</v>
      </c>
      <c r="C356" s="190" t="s">
        <v>827</v>
      </c>
      <c r="D356" s="190" t="n">
        <v>1</v>
      </c>
      <c r="E356" s="190" t="n">
        <v>0</v>
      </c>
      <c r="F356" s="190" t="n">
        <v>0</v>
      </c>
      <c r="G356" s="190" t="n">
        <v>0</v>
      </c>
      <c r="H356" s="190" t="s">
        <v>1721</v>
      </c>
      <c r="I356" s="190" t="n">
        <v>25</v>
      </c>
      <c r="J356" s="190"/>
    </row>
    <row r="357" customFormat="false" ht="14.25" hidden="false" customHeight="true" outlineLevel="0" collapsed="false">
      <c r="A357" s="190" t="s">
        <v>2595</v>
      </c>
      <c r="B357" s="190" t="s">
        <v>2596</v>
      </c>
      <c r="C357" s="190" t="s">
        <v>828</v>
      </c>
      <c r="D357" s="190" t="n">
        <v>1</v>
      </c>
      <c r="E357" s="190" t="n">
        <v>0</v>
      </c>
      <c r="F357" s="190" t="n">
        <v>2</v>
      </c>
      <c r="G357" s="190" t="n">
        <v>58.1</v>
      </c>
      <c r="H357" s="190" t="s">
        <v>1722</v>
      </c>
      <c r="I357" s="190" t="n">
        <v>25</v>
      </c>
      <c r="J357" s="190"/>
    </row>
    <row r="358" customFormat="false" ht="14.25" hidden="false" customHeight="true" outlineLevel="0" collapsed="false">
      <c r="A358" s="190" t="s">
        <v>2597</v>
      </c>
      <c r="B358" s="190" t="s">
        <v>2598</v>
      </c>
      <c r="C358" s="190" t="s">
        <v>2599</v>
      </c>
      <c r="D358" s="190" t="n">
        <v>1</v>
      </c>
      <c r="E358" s="190" t="n">
        <v>30</v>
      </c>
      <c r="F358" s="190" t="n">
        <v>0</v>
      </c>
      <c r="G358" s="190" t="n">
        <v>0</v>
      </c>
      <c r="H358" s="190" t="s">
        <v>1721</v>
      </c>
      <c r="I358" s="190" t="s">
        <v>146</v>
      </c>
      <c r="J358" s="190"/>
    </row>
    <row r="359" customFormat="false" ht="14.25" hidden="false" customHeight="true" outlineLevel="0" collapsed="false">
      <c r="A359" s="190" t="s">
        <v>2600</v>
      </c>
      <c r="B359" s="190" t="s">
        <v>2601</v>
      </c>
      <c r="C359" s="190" t="s">
        <v>831</v>
      </c>
      <c r="D359" s="190" t="n">
        <v>1</v>
      </c>
      <c r="E359" s="190" t="n">
        <v>0</v>
      </c>
      <c r="F359" s="190" t="n">
        <v>0</v>
      </c>
      <c r="G359" s="190" t="n">
        <v>0</v>
      </c>
      <c r="H359" s="190" t="s">
        <v>1721</v>
      </c>
      <c r="I359" s="190" t="n">
        <v>25</v>
      </c>
      <c r="J359" s="190"/>
    </row>
    <row r="360" customFormat="false" ht="14.25" hidden="false" customHeight="true" outlineLevel="0" collapsed="false">
      <c r="A360" s="190" t="s">
        <v>2602</v>
      </c>
      <c r="B360" s="190" t="s">
        <v>2603</v>
      </c>
      <c r="C360" s="190" t="s">
        <v>834</v>
      </c>
      <c r="D360" s="190" t="n">
        <v>1</v>
      </c>
      <c r="E360" s="190" t="n">
        <v>0</v>
      </c>
      <c r="F360" s="190" t="n">
        <v>11.83</v>
      </c>
      <c r="G360" s="190" t="n">
        <v>641.1</v>
      </c>
      <c r="H360" s="190" t="s">
        <v>1722</v>
      </c>
      <c r="I360" s="190" t="n">
        <v>25</v>
      </c>
      <c r="J360" s="190"/>
    </row>
    <row r="361" customFormat="false" ht="14.25" hidden="false" customHeight="true" outlineLevel="0" collapsed="false">
      <c r="A361" s="190" t="s">
        <v>2604</v>
      </c>
      <c r="B361" s="190" t="s">
        <v>2605</v>
      </c>
      <c r="C361" s="190" t="s">
        <v>836</v>
      </c>
      <c r="D361" s="190" t="n">
        <v>1</v>
      </c>
      <c r="E361" s="190" t="n">
        <v>0</v>
      </c>
      <c r="F361" s="190" t="n">
        <v>0</v>
      </c>
      <c r="G361" s="190" t="n">
        <v>0</v>
      </c>
      <c r="H361" s="190" t="s">
        <v>1721</v>
      </c>
      <c r="I361" s="190" t="n">
        <v>25</v>
      </c>
      <c r="J361" s="190"/>
    </row>
    <row r="362" customFormat="false" ht="14.25" hidden="false" customHeight="true" outlineLevel="0" collapsed="false">
      <c r="A362" s="190" t="s">
        <v>2606</v>
      </c>
      <c r="B362" s="190" t="s">
        <v>2607</v>
      </c>
      <c r="C362" s="190" t="s">
        <v>837</v>
      </c>
      <c r="D362" s="190" t="n">
        <v>1</v>
      </c>
      <c r="E362" s="190" t="n">
        <v>1</v>
      </c>
      <c r="F362" s="190" t="n">
        <v>2.2</v>
      </c>
      <c r="G362" s="190" t="n">
        <v>729.5</v>
      </c>
      <c r="H362" s="190" t="s">
        <v>1722</v>
      </c>
      <c r="I362" s="190" t="n">
        <v>25</v>
      </c>
      <c r="J362" s="190"/>
    </row>
    <row r="363" customFormat="false" ht="14.25" hidden="false" customHeight="true" outlineLevel="0" collapsed="false">
      <c r="A363" s="190" t="s">
        <v>2608</v>
      </c>
      <c r="B363" s="190" t="s">
        <v>2609</v>
      </c>
      <c r="C363" s="190" t="s">
        <v>839</v>
      </c>
      <c r="D363" s="190" t="n">
        <v>1</v>
      </c>
      <c r="E363" s="190" t="n">
        <v>0</v>
      </c>
      <c r="F363" s="190" t="n">
        <v>2.5</v>
      </c>
      <c r="G363" s="190" t="n">
        <v>58.1</v>
      </c>
      <c r="H363" s="190" t="s">
        <v>1722</v>
      </c>
      <c r="I363" s="190" t="n">
        <v>25</v>
      </c>
      <c r="J363" s="190"/>
    </row>
    <row r="364" customFormat="false" ht="14.25" hidden="false" customHeight="true" outlineLevel="0" collapsed="false">
      <c r="A364" s="190" t="s">
        <v>2610</v>
      </c>
      <c r="B364" s="190" t="s">
        <v>2611</v>
      </c>
      <c r="C364" s="190" t="s">
        <v>843</v>
      </c>
      <c r="D364" s="190" t="n">
        <v>1</v>
      </c>
      <c r="E364" s="190" t="n">
        <v>0</v>
      </c>
      <c r="F364" s="190" t="n">
        <v>1</v>
      </c>
      <c r="G364" s="190" t="n">
        <v>52.6</v>
      </c>
      <c r="H364" s="190" t="s">
        <v>1722</v>
      </c>
      <c r="I364" s="190" t="s">
        <v>177</v>
      </c>
      <c r="J364" s="190"/>
    </row>
    <row r="365" customFormat="false" ht="14.25" hidden="false" customHeight="true" outlineLevel="0" collapsed="false">
      <c r="A365" s="190" t="s">
        <v>2612</v>
      </c>
      <c r="B365" s="190" t="s">
        <v>2613</v>
      </c>
      <c r="C365" s="190" t="s">
        <v>844</v>
      </c>
      <c r="D365" s="190" t="n">
        <v>1</v>
      </c>
      <c r="E365" s="190" t="n">
        <v>0</v>
      </c>
      <c r="F365" s="190" t="n">
        <v>0</v>
      </c>
      <c r="G365" s="190" t="n">
        <v>0</v>
      </c>
      <c r="H365" s="190" t="s">
        <v>1721</v>
      </c>
      <c r="I365" s="190" t="s">
        <v>177</v>
      </c>
      <c r="J365" s="190"/>
    </row>
    <row r="366" customFormat="false" ht="14.25" hidden="false" customHeight="true" outlineLevel="0" collapsed="false">
      <c r="A366" s="190" t="s">
        <v>2614</v>
      </c>
      <c r="B366" s="190" t="s">
        <v>2615</v>
      </c>
      <c r="C366" s="190" t="s">
        <v>2616</v>
      </c>
      <c r="D366" s="190" t="n">
        <v>1</v>
      </c>
      <c r="E366" s="190" t="n">
        <v>4</v>
      </c>
      <c r="F366" s="190" t="n">
        <v>0</v>
      </c>
      <c r="G366" s="190" t="n">
        <v>0</v>
      </c>
      <c r="H366" s="190" t="s">
        <v>1721</v>
      </c>
      <c r="I366" s="190" t="s">
        <v>38</v>
      </c>
      <c r="J366" s="190"/>
    </row>
    <row r="367" customFormat="false" ht="14.25" hidden="false" customHeight="true" outlineLevel="0" collapsed="false">
      <c r="A367" s="190" t="s">
        <v>2617</v>
      </c>
      <c r="B367" s="190" t="s">
        <v>2618</v>
      </c>
      <c r="C367" s="190" t="s">
        <v>2619</v>
      </c>
      <c r="D367" s="190" t="n">
        <v>1</v>
      </c>
      <c r="E367" s="190" t="n">
        <v>0</v>
      </c>
      <c r="F367" s="190" t="n">
        <v>0.17</v>
      </c>
      <c r="G367" s="190" t="n">
        <v>628.4</v>
      </c>
      <c r="H367" s="190" t="s">
        <v>1722</v>
      </c>
      <c r="I367" s="190" t="s">
        <v>2538</v>
      </c>
      <c r="J367" s="190"/>
    </row>
    <row r="368" customFormat="false" ht="14.25" hidden="false" customHeight="true" outlineLevel="0" collapsed="false">
      <c r="A368" s="190" t="s">
        <v>2620</v>
      </c>
      <c r="B368" s="190" t="s">
        <v>2621</v>
      </c>
      <c r="C368" s="190" t="s">
        <v>2622</v>
      </c>
      <c r="D368" s="190" t="n">
        <v>1</v>
      </c>
      <c r="E368" s="190" t="n">
        <v>4</v>
      </c>
      <c r="F368" s="190" t="n">
        <v>0</v>
      </c>
      <c r="G368" s="190" t="n">
        <v>0</v>
      </c>
      <c r="H368" s="190" t="s">
        <v>1721</v>
      </c>
      <c r="I368" s="190" t="s">
        <v>2538</v>
      </c>
      <c r="J368" s="190"/>
    </row>
    <row r="369" customFormat="false" ht="14.25" hidden="false" customHeight="true" outlineLevel="0" collapsed="false">
      <c r="A369" s="190" t="s">
        <v>2623</v>
      </c>
      <c r="B369" s="190" t="s">
        <v>2624</v>
      </c>
      <c r="C369" s="190" t="s">
        <v>2625</v>
      </c>
      <c r="D369" s="190" t="n">
        <v>1</v>
      </c>
      <c r="E369" s="190" t="n">
        <v>0</v>
      </c>
      <c r="F369" s="190" t="n">
        <v>0.25</v>
      </c>
      <c r="G369" s="190" t="n">
        <v>618.8</v>
      </c>
      <c r="H369" s="190" t="s">
        <v>1722</v>
      </c>
      <c r="I369" s="190" t="s">
        <v>2538</v>
      </c>
      <c r="J369" s="190"/>
    </row>
    <row r="370" customFormat="false" ht="14.25" hidden="false" customHeight="true" outlineLevel="0" collapsed="false">
      <c r="A370" s="190" t="s">
        <v>2626</v>
      </c>
      <c r="B370" s="190" t="s">
        <v>2627</v>
      </c>
      <c r="C370" s="190" t="s">
        <v>845</v>
      </c>
      <c r="D370" s="190" t="n">
        <v>1</v>
      </c>
      <c r="E370" s="190" t="n">
        <v>0</v>
      </c>
      <c r="F370" s="190" t="n">
        <v>95</v>
      </c>
      <c r="G370" s="190" t="n">
        <v>753.4</v>
      </c>
      <c r="H370" s="190" t="s">
        <v>1722</v>
      </c>
      <c r="I370" s="190" t="n">
        <v>25</v>
      </c>
      <c r="J370" s="190"/>
    </row>
    <row r="371" customFormat="false" ht="14.25" hidden="false" customHeight="true" outlineLevel="0" collapsed="false">
      <c r="A371" s="190" t="s">
        <v>2628</v>
      </c>
      <c r="B371" s="190" t="s">
        <v>2629</v>
      </c>
      <c r="C371" s="190" t="s">
        <v>847</v>
      </c>
      <c r="D371" s="190" t="n">
        <v>1</v>
      </c>
      <c r="E371" s="190" t="n">
        <v>0</v>
      </c>
      <c r="F371" s="190" t="n">
        <v>20</v>
      </c>
      <c r="G371" s="190" t="n">
        <v>49.1</v>
      </c>
      <c r="H371" s="190" t="s">
        <v>1722</v>
      </c>
      <c r="I371" s="190" t="s">
        <v>74</v>
      </c>
      <c r="J371" s="190"/>
    </row>
    <row r="372" customFormat="false" ht="14.25" hidden="false" customHeight="true" outlineLevel="0" collapsed="false">
      <c r="A372" s="190" t="s">
        <v>2630</v>
      </c>
      <c r="B372" s="190" t="s">
        <v>2631</v>
      </c>
      <c r="C372" s="190" t="s">
        <v>2632</v>
      </c>
      <c r="D372" s="190" t="n">
        <v>1</v>
      </c>
      <c r="E372" s="190" t="n">
        <v>8</v>
      </c>
      <c r="F372" s="190" t="n">
        <v>0</v>
      </c>
      <c r="G372" s="190" t="n">
        <v>0</v>
      </c>
      <c r="H372" s="190" t="s">
        <v>1721</v>
      </c>
      <c r="I372" s="190" t="s">
        <v>2036</v>
      </c>
      <c r="J372" s="190"/>
    </row>
    <row r="373" customFormat="false" ht="14.25" hidden="false" customHeight="true" outlineLevel="0" collapsed="false">
      <c r="A373" s="190" t="s">
        <v>2633</v>
      </c>
      <c r="B373" s="190" t="s">
        <v>2634</v>
      </c>
      <c r="C373" s="190" t="s">
        <v>2635</v>
      </c>
      <c r="D373" s="190" t="n">
        <v>1</v>
      </c>
      <c r="E373" s="190" t="n">
        <v>0</v>
      </c>
      <c r="F373" s="190" t="n">
        <v>14.33</v>
      </c>
      <c r="G373" s="190" t="n">
        <v>628.6</v>
      </c>
      <c r="H373" s="190" t="s">
        <v>1722</v>
      </c>
      <c r="I373" s="190" t="s">
        <v>2538</v>
      </c>
      <c r="J373" s="190"/>
    </row>
    <row r="374" customFormat="false" ht="14.25" hidden="false" customHeight="true" outlineLevel="0" collapsed="false">
      <c r="A374" s="190" t="s">
        <v>2636</v>
      </c>
      <c r="B374" s="190" t="s">
        <v>2637</v>
      </c>
      <c r="C374" s="190" t="s">
        <v>2638</v>
      </c>
      <c r="D374" s="190" t="n">
        <v>1</v>
      </c>
      <c r="E374" s="190" t="n">
        <v>3</v>
      </c>
      <c r="F374" s="190" t="n">
        <v>1</v>
      </c>
      <c r="G374" s="190" t="n">
        <v>511.3</v>
      </c>
      <c r="H374" s="190" t="s">
        <v>1722</v>
      </c>
      <c r="I374" s="190" t="s">
        <v>2538</v>
      </c>
      <c r="J374" s="190"/>
    </row>
    <row r="375" customFormat="false" ht="14.25" hidden="false" customHeight="true" outlineLevel="0" collapsed="false">
      <c r="A375" s="190" t="s">
        <v>2639</v>
      </c>
      <c r="B375" s="190" t="s">
        <v>2640</v>
      </c>
      <c r="C375" s="190" t="s">
        <v>858</v>
      </c>
      <c r="D375" s="190" t="n">
        <v>1</v>
      </c>
      <c r="E375" s="190" t="n">
        <v>0</v>
      </c>
      <c r="F375" s="190" t="n">
        <v>11.5</v>
      </c>
      <c r="G375" s="190" t="n">
        <v>481</v>
      </c>
      <c r="H375" s="190" t="s">
        <v>1722</v>
      </c>
      <c r="I375" s="190" t="s">
        <v>177</v>
      </c>
      <c r="J375" s="190"/>
    </row>
    <row r="376" customFormat="false" ht="14.25" hidden="false" customHeight="true" outlineLevel="0" collapsed="false">
      <c r="A376" s="190" t="s">
        <v>2641</v>
      </c>
      <c r="B376" s="190" t="s">
        <v>2642</v>
      </c>
      <c r="C376" s="190" t="s">
        <v>859</v>
      </c>
      <c r="D376" s="190" t="n">
        <v>1</v>
      </c>
      <c r="E376" s="190" t="n">
        <v>0</v>
      </c>
      <c r="F376" s="190" t="n">
        <v>4</v>
      </c>
      <c r="G376" s="190" t="n">
        <v>749.5</v>
      </c>
      <c r="H376" s="190" t="s">
        <v>1722</v>
      </c>
      <c r="I376" s="190" t="n">
        <v>25</v>
      </c>
      <c r="J376" s="190"/>
    </row>
    <row r="377" customFormat="false" ht="14.25" hidden="false" customHeight="true" outlineLevel="0" collapsed="false">
      <c r="A377" s="190" t="s">
        <v>2643</v>
      </c>
      <c r="B377" s="190" t="s">
        <v>2644</v>
      </c>
      <c r="C377" s="190" t="s">
        <v>860</v>
      </c>
      <c r="D377" s="190" t="n">
        <v>1</v>
      </c>
      <c r="E377" s="190" t="n">
        <v>0</v>
      </c>
      <c r="F377" s="190" t="n">
        <v>0</v>
      </c>
      <c r="G377" s="190" t="n">
        <v>0</v>
      </c>
      <c r="H377" s="190" t="s">
        <v>1721</v>
      </c>
      <c r="I377" s="190" t="n">
        <v>25</v>
      </c>
      <c r="J377" s="190"/>
    </row>
    <row r="378" customFormat="false" ht="14.25" hidden="false" customHeight="true" outlineLevel="0" collapsed="false">
      <c r="A378" s="190" t="s">
        <v>1175</v>
      </c>
      <c r="B378" s="190" t="s">
        <v>1174</v>
      </c>
      <c r="C378" s="190" t="s">
        <v>861</v>
      </c>
      <c r="D378" s="190" t="n">
        <v>1</v>
      </c>
      <c r="E378" s="190" t="n">
        <v>0</v>
      </c>
      <c r="F378" s="190" t="n">
        <v>0</v>
      </c>
      <c r="G378" s="190" t="n">
        <v>0</v>
      </c>
      <c r="H378" s="190" t="s">
        <v>1721</v>
      </c>
      <c r="I378" s="190" t="n">
        <v>25</v>
      </c>
      <c r="J378" s="190"/>
    </row>
    <row r="379" customFormat="false" ht="14.25" hidden="false" customHeight="true" outlineLevel="0" collapsed="false">
      <c r="A379" s="190" t="s">
        <v>2645</v>
      </c>
      <c r="B379" s="190" t="s">
        <v>2646</v>
      </c>
      <c r="C379" s="190" t="s">
        <v>2647</v>
      </c>
      <c r="D379" s="190" t="n">
        <v>1</v>
      </c>
      <c r="E379" s="190" t="n">
        <v>6</v>
      </c>
      <c r="F379" s="190" t="n">
        <v>17</v>
      </c>
      <c r="G379" s="190" t="n">
        <v>555.6</v>
      </c>
      <c r="H379" s="190" t="s">
        <v>1722</v>
      </c>
      <c r="I379" s="190" t="s">
        <v>2363</v>
      </c>
      <c r="J379" s="190"/>
    </row>
    <row r="380" customFormat="false" ht="14.25" hidden="false" customHeight="true" outlineLevel="0" collapsed="false">
      <c r="A380" s="190" t="s">
        <v>2648</v>
      </c>
      <c r="B380" s="190" t="s">
        <v>2649</v>
      </c>
      <c r="C380" s="190" t="s">
        <v>863</v>
      </c>
      <c r="D380" s="190" t="n">
        <v>1</v>
      </c>
      <c r="E380" s="190" t="n">
        <v>0</v>
      </c>
      <c r="F380" s="190" t="n">
        <v>0</v>
      </c>
      <c r="G380" s="190" t="n">
        <v>0</v>
      </c>
      <c r="H380" s="190" t="s">
        <v>1721</v>
      </c>
      <c r="I380" s="190" t="n">
        <v>25</v>
      </c>
      <c r="J380" s="190"/>
    </row>
    <row r="381" customFormat="false" ht="14.25" hidden="false" customHeight="true" outlineLevel="0" collapsed="false">
      <c r="A381" s="190" t="s">
        <v>2650</v>
      </c>
      <c r="B381" s="190" t="s">
        <v>2651</v>
      </c>
      <c r="C381" s="190" t="s">
        <v>864</v>
      </c>
      <c r="D381" s="190" t="n">
        <v>1</v>
      </c>
      <c r="E381" s="190" t="n">
        <v>3</v>
      </c>
      <c r="F381" s="190" t="n">
        <v>1.83</v>
      </c>
      <c r="G381" s="190" t="n">
        <v>165.3</v>
      </c>
      <c r="H381" s="190" t="s">
        <v>1722</v>
      </c>
      <c r="I381" s="190" t="n">
        <v>25</v>
      </c>
      <c r="J381" s="190"/>
    </row>
    <row r="382" customFormat="false" ht="14.25" hidden="false" customHeight="true" outlineLevel="0" collapsed="false">
      <c r="A382" s="190" t="s">
        <v>2652</v>
      </c>
      <c r="B382" s="190" t="s">
        <v>2653</v>
      </c>
      <c r="C382" s="190" t="s">
        <v>2654</v>
      </c>
      <c r="D382" s="190" t="n">
        <v>1</v>
      </c>
      <c r="E382" s="190" t="n">
        <v>0</v>
      </c>
      <c r="F382" s="190" t="n">
        <v>145.8</v>
      </c>
      <c r="G382" s="190" t="n">
        <v>751.6</v>
      </c>
      <c r="H382" s="190" t="s">
        <v>1722</v>
      </c>
      <c r="I382" s="190" t="n">
        <v>57</v>
      </c>
      <c r="J382" s="190"/>
    </row>
    <row r="383" customFormat="false" ht="14.25" hidden="false" customHeight="true" outlineLevel="0" collapsed="false">
      <c r="A383" s="190" t="s">
        <v>2655</v>
      </c>
      <c r="B383" s="190" t="s">
        <v>2656</v>
      </c>
      <c r="C383" s="190" t="s">
        <v>2657</v>
      </c>
      <c r="D383" s="190" t="n">
        <v>1</v>
      </c>
      <c r="E383" s="190" t="n">
        <v>0</v>
      </c>
      <c r="F383" s="190" t="n">
        <v>125.7</v>
      </c>
      <c r="G383" s="190" t="n">
        <v>750.8</v>
      </c>
      <c r="H383" s="190" t="s">
        <v>1722</v>
      </c>
      <c r="I383" s="190" t="n">
        <v>57</v>
      </c>
      <c r="J383" s="190"/>
    </row>
    <row r="384" customFormat="false" ht="14.25" hidden="false" customHeight="true" outlineLevel="0" collapsed="false">
      <c r="A384" s="190" t="s">
        <v>2658</v>
      </c>
      <c r="B384" s="190" t="s">
        <v>2659</v>
      </c>
      <c r="C384" s="190" t="s">
        <v>2660</v>
      </c>
      <c r="D384" s="190" t="n">
        <v>1</v>
      </c>
      <c r="E384" s="190" t="n">
        <v>6</v>
      </c>
      <c r="F384" s="190" t="n">
        <v>10</v>
      </c>
      <c r="G384" s="190" t="n">
        <v>605.8</v>
      </c>
      <c r="H384" s="190" t="s">
        <v>1722</v>
      </c>
      <c r="I384" s="190" t="s">
        <v>2363</v>
      </c>
      <c r="J384" s="190"/>
    </row>
    <row r="385" customFormat="false" ht="14.25" hidden="false" customHeight="true" outlineLevel="0" collapsed="false">
      <c r="A385" s="190" t="s">
        <v>2661</v>
      </c>
      <c r="B385" s="190" t="s">
        <v>2662</v>
      </c>
      <c r="C385" s="190" t="s">
        <v>2663</v>
      </c>
      <c r="D385" s="190" t="n">
        <v>1</v>
      </c>
      <c r="E385" s="190" t="n">
        <v>6</v>
      </c>
      <c r="F385" s="190" t="n">
        <v>0</v>
      </c>
      <c r="G385" s="190" t="n">
        <v>0</v>
      </c>
      <c r="H385" s="190" t="s">
        <v>1721</v>
      </c>
      <c r="I385" s="190" t="s">
        <v>2363</v>
      </c>
      <c r="J385" s="190"/>
    </row>
    <row r="386" customFormat="false" ht="14.25" hidden="false" customHeight="true" outlineLevel="0" collapsed="false">
      <c r="A386" s="190" t="s">
        <v>2664</v>
      </c>
      <c r="B386" s="190" t="s">
        <v>2665</v>
      </c>
      <c r="C386" s="190" t="s">
        <v>2666</v>
      </c>
      <c r="D386" s="190" t="n">
        <v>1</v>
      </c>
      <c r="E386" s="190" t="n">
        <v>6</v>
      </c>
      <c r="F386" s="190" t="n">
        <v>15</v>
      </c>
      <c r="G386" s="190" t="n">
        <v>555.9</v>
      </c>
      <c r="H386" s="190" t="s">
        <v>1722</v>
      </c>
      <c r="I386" s="190" t="s">
        <v>2363</v>
      </c>
      <c r="J386" s="190"/>
    </row>
    <row r="387" customFormat="false" ht="14.25" hidden="false" customHeight="true" outlineLevel="0" collapsed="false">
      <c r="A387" s="190" t="s">
        <v>2667</v>
      </c>
      <c r="B387" s="190" t="s">
        <v>2668</v>
      </c>
      <c r="C387" s="190" t="s">
        <v>2669</v>
      </c>
      <c r="D387" s="190" t="n">
        <v>1</v>
      </c>
      <c r="E387" s="190" t="n">
        <v>6</v>
      </c>
      <c r="F387" s="190" t="n">
        <v>0</v>
      </c>
      <c r="G387" s="190" t="n">
        <v>0</v>
      </c>
      <c r="H387" s="190" t="s">
        <v>1721</v>
      </c>
      <c r="I387" s="190" t="s">
        <v>2363</v>
      </c>
      <c r="J387" s="190"/>
    </row>
    <row r="388" customFormat="false" ht="14.25" hidden="false" customHeight="true" outlineLevel="0" collapsed="false">
      <c r="A388" s="190" t="s">
        <v>2670</v>
      </c>
      <c r="B388" s="190" t="s">
        <v>2671</v>
      </c>
      <c r="C388" s="190" t="s">
        <v>2672</v>
      </c>
      <c r="D388" s="190" t="n">
        <v>1</v>
      </c>
      <c r="E388" s="190" t="n">
        <v>4</v>
      </c>
      <c r="F388" s="190" t="n">
        <v>36</v>
      </c>
      <c r="G388" s="190" t="n">
        <v>46.3</v>
      </c>
      <c r="H388" s="190" t="s">
        <v>1722</v>
      </c>
      <c r="I388" s="190" t="s">
        <v>2363</v>
      </c>
      <c r="J388" s="190"/>
    </row>
    <row r="389" customFormat="false" ht="14.25" hidden="false" customHeight="true" outlineLevel="0" collapsed="false">
      <c r="A389" s="190" t="s">
        <v>2673</v>
      </c>
      <c r="B389" s="190" t="s">
        <v>2674</v>
      </c>
      <c r="C389" s="190" t="s">
        <v>2675</v>
      </c>
      <c r="D389" s="190" t="n">
        <v>1</v>
      </c>
      <c r="E389" s="190" t="n">
        <v>6</v>
      </c>
      <c r="F389" s="190" t="n">
        <v>4</v>
      </c>
      <c r="G389" s="190" t="n">
        <v>555.8</v>
      </c>
      <c r="H389" s="190" t="s">
        <v>1722</v>
      </c>
      <c r="I389" s="190" t="s">
        <v>2363</v>
      </c>
      <c r="J389" s="190"/>
    </row>
    <row r="390" customFormat="false" ht="14.25" hidden="false" customHeight="true" outlineLevel="0" collapsed="false">
      <c r="A390" s="190" t="s">
        <v>2676</v>
      </c>
      <c r="B390" s="190" t="s">
        <v>2677</v>
      </c>
      <c r="C390" s="190" t="s">
        <v>869</v>
      </c>
      <c r="D390" s="190" t="n">
        <v>1</v>
      </c>
      <c r="E390" s="190" t="n">
        <v>0</v>
      </c>
      <c r="F390" s="190" t="n">
        <v>145.2</v>
      </c>
      <c r="G390" s="190" t="n">
        <v>746.7</v>
      </c>
      <c r="H390" s="190" t="s">
        <v>1722</v>
      </c>
      <c r="I390" s="190" t="s">
        <v>121</v>
      </c>
      <c r="J390" s="190"/>
    </row>
    <row r="391" customFormat="false" ht="14.25" hidden="false" customHeight="true" outlineLevel="0" collapsed="false">
      <c r="A391" s="190" t="s">
        <v>2678</v>
      </c>
      <c r="B391" s="190" t="s">
        <v>2679</v>
      </c>
      <c r="C391" s="190" t="s">
        <v>870</v>
      </c>
      <c r="D391" s="190" t="n">
        <v>1</v>
      </c>
      <c r="E391" s="190" t="n">
        <v>0</v>
      </c>
      <c r="F391" s="190" t="n">
        <v>24</v>
      </c>
      <c r="G391" s="190" t="n">
        <v>738.3</v>
      </c>
      <c r="H391" s="190" t="s">
        <v>1722</v>
      </c>
      <c r="I391" s="190" t="n">
        <v>25</v>
      </c>
      <c r="J391" s="190"/>
    </row>
    <row r="392" customFormat="false" ht="14.25" hidden="false" customHeight="true" outlineLevel="0" collapsed="false">
      <c r="A392" s="190" t="s">
        <v>2680</v>
      </c>
      <c r="B392" s="190" t="s">
        <v>2681</v>
      </c>
      <c r="C392" s="190" t="s">
        <v>871</v>
      </c>
      <c r="D392" s="190" t="n">
        <v>1</v>
      </c>
      <c r="E392" s="190" t="n">
        <v>0</v>
      </c>
      <c r="F392" s="190" t="n">
        <v>99</v>
      </c>
      <c r="G392" s="190" t="n">
        <v>612.2</v>
      </c>
      <c r="H392" s="190" t="s">
        <v>1722</v>
      </c>
      <c r="I392" s="190" t="n">
        <v>25</v>
      </c>
      <c r="J392" s="190"/>
    </row>
    <row r="393" customFormat="false" ht="14.25" hidden="false" customHeight="true" outlineLevel="0" collapsed="false">
      <c r="A393" s="190" t="s">
        <v>2682</v>
      </c>
      <c r="B393" s="190" t="s">
        <v>2683</v>
      </c>
      <c r="C393" s="190" t="s">
        <v>872</v>
      </c>
      <c r="D393" s="190" t="n">
        <v>1</v>
      </c>
      <c r="E393" s="190" t="n">
        <v>0</v>
      </c>
      <c r="F393" s="190" t="n">
        <v>82.5</v>
      </c>
      <c r="G393" s="190" t="n">
        <v>721.1</v>
      </c>
      <c r="H393" s="190" t="s">
        <v>1722</v>
      </c>
      <c r="I393" s="190" t="s">
        <v>121</v>
      </c>
      <c r="J393" s="190"/>
    </row>
    <row r="394" customFormat="false" ht="14.25" hidden="false" customHeight="true" outlineLevel="0" collapsed="false">
      <c r="A394" s="190" t="s">
        <v>2684</v>
      </c>
      <c r="B394" s="190" t="s">
        <v>2685</v>
      </c>
      <c r="C394" s="190" t="s">
        <v>873</v>
      </c>
      <c r="D394" s="190" t="n">
        <v>1</v>
      </c>
      <c r="E394" s="190" t="n">
        <v>0</v>
      </c>
      <c r="F394" s="190" t="n">
        <v>40</v>
      </c>
      <c r="G394" s="190" t="n">
        <v>717.4</v>
      </c>
      <c r="H394" s="190" t="s">
        <v>1722</v>
      </c>
      <c r="I394" s="190" t="s">
        <v>121</v>
      </c>
      <c r="J394" s="190"/>
    </row>
    <row r="395" customFormat="false" ht="14.25" hidden="false" customHeight="true" outlineLevel="0" collapsed="false">
      <c r="A395" s="190" t="s">
        <v>2686</v>
      </c>
      <c r="B395" s="190" t="s">
        <v>2687</v>
      </c>
      <c r="C395" s="190" t="s">
        <v>874</v>
      </c>
      <c r="D395" s="190" t="n">
        <v>1</v>
      </c>
      <c r="E395" s="190" t="n">
        <v>0</v>
      </c>
      <c r="F395" s="190" t="n">
        <v>9.5</v>
      </c>
      <c r="G395" s="190" t="n">
        <v>728.6</v>
      </c>
      <c r="H395" s="190" t="s">
        <v>1722</v>
      </c>
      <c r="I395" s="190" t="n">
        <v>25</v>
      </c>
      <c r="J395" s="190"/>
    </row>
    <row r="396" customFormat="false" ht="14.25" hidden="false" customHeight="true" outlineLevel="0" collapsed="false">
      <c r="A396" s="190" t="s">
        <v>2688</v>
      </c>
      <c r="B396" s="190" t="s">
        <v>2689</v>
      </c>
      <c r="C396" s="190" t="s">
        <v>875</v>
      </c>
      <c r="D396" s="190" t="n">
        <v>1</v>
      </c>
      <c r="E396" s="190" t="n">
        <v>0</v>
      </c>
      <c r="F396" s="190" t="n">
        <v>61.5</v>
      </c>
      <c r="G396" s="190" t="n">
        <v>745.1</v>
      </c>
      <c r="H396" s="190" t="s">
        <v>1722</v>
      </c>
      <c r="I396" s="190" t="s">
        <v>121</v>
      </c>
      <c r="J396" s="190"/>
    </row>
    <row r="397" customFormat="false" ht="14.25" hidden="false" customHeight="true" outlineLevel="0" collapsed="false">
      <c r="A397" s="190" t="s">
        <v>2690</v>
      </c>
      <c r="B397" s="190" t="s">
        <v>2691</v>
      </c>
      <c r="C397" s="190" t="s">
        <v>879</v>
      </c>
      <c r="D397" s="190" t="n">
        <v>1</v>
      </c>
      <c r="E397" s="190" t="n">
        <v>0</v>
      </c>
      <c r="F397" s="190" t="n">
        <v>0</v>
      </c>
      <c r="G397" s="190" t="n">
        <v>0</v>
      </c>
      <c r="H397" s="190" t="s">
        <v>1721</v>
      </c>
      <c r="I397" s="190" t="s">
        <v>177</v>
      </c>
      <c r="J397" s="190"/>
    </row>
    <row r="398" customFormat="false" ht="14.25" hidden="false" customHeight="true" outlineLevel="0" collapsed="false">
      <c r="A398" s="190" t="s">
        <v>2692</v>
      </c>
      <c r="B398" s="190" t="s">
        <v>2693</v>
      </c>
      <c r="C398" s="190" t="s">
        <v>880</v>
      </c>
      <c r="D398" s="190" t="n">
        <v>1</v>
      </c>
      <c r="E398" s="190" t="n">
        <v>0</v>
      </c>
      <c r="F398" s="190" t="n">
        <v>0</v>
      </c>
      <c r="G398" s="190" t="n">
        <v>0</v>
      </c>
      <c r="H398" s="190" t="s">
        <v>1721</v>
      </c>
      <c r="I398" s="190" t="s">
        <v>177</v>
      </c>
      <c r="J398" s="190"/>
    </row>
    <row r="399" customFormat="false" ht="14.25" hidden="false" customHeight="true" outlineLevel="0" collapsed="false">
      <c r="A399" s="190" t="s">
        <v>2694</v>
      </c>
      <c r="B399" s="190" t="s">
        <v>2695</v>
      </c>
      <c r="C399" s="190" t="s">
        <v>881</v>
      </c>
      <c r="D399" s="190" t="n">
        <v>1</v>
      </c>
      <c r="E399" s="190" t="n">
        <v>0</v>
      </c>
      <c r="F399" s="190" t="n">
        <v>0</v>
      </c>
      <c r="G399" s="190" t="n">
        <v>0</v>
      </c>
      <c r="H399" s="190" t="s">
        <v>1721</v>
      </c>
      <c r="I399" s="190" t="s">
        <v>177</v>
      </c>
      <c r="J399" s="190"/>
    </row>
    <row r="400" customFormat="false" ht="14.25" hidden="false" customHeight="true" outlineLevel="0" collapsed="false">
      <c r="A400" s="190" t="s">
        <v>2696</v>
      </c>
      <c r="B400" s="190" t="s">
        <v>2697</v>
      </c>
      <c r="C400" s="190" t="s">
        <v>882</v>
      </c>
      <c r="D400" s="190" t="n">
        <v>1</v>
      </c>
      <c r="E400" s="190" t="n">
        <v>0</v>
      </c>
      <c r="F400" s="190" t="n">
        <v>0</v>
      </c>
      <c r="G400" s="190" t="n">
        <v>0</v>
      </c>
      <c r="H400" s="190" t="s">
        <v>1721</v>
      </c>
      <c r="I400" s="190" t="s">
        <v>177</v>
      </c>
      <c r="J400" s="190"/>
    </row>
    <row r="401" customFormat="false" ht="14.25" hidden="false" customHeight="true" outlineLevel="0" collapsed="false">
      <c r="A401" s="190" t="s">
        <v>2698</v>
      </c>
      <c r="B401" s="190" t="s">
        <v>2699</v>
      </c>
      <c r="C401" s="190" t="s">
        <v>883</v>
      </c>
      <c r="D401" s="190" t="n">
        <v>1</v>
      </c>
      <c r="E401" s="190" t="n">
        <v>0</v>
      </c>
      <c r="F401" s="190" t="n">
        <v>5</v>
      </c>
      <c r="G401" s="190" t="n">
        <v>726.1</v>
      </c>
      <c r="H401" s="190" t="s">
        <v>1722</v>
      </c>
      <c r="I401" s="190" t="n">
        <v>25</v>
      </c>
      <c r="J401" s="190"/>
    </row>
    <row r="402" customFormat="false" ht="14.25" hidden="false" customHeight="true" outlineLevel="0" collapsed="false">
      <c r="A402" s="190" t="s">
        <v>2700</v>
      </c>
      <c r="B402" s="190" t="s">
        <v>2701</v>
      </c>
      <c r="C402" s="190" t="s">
        <v>884</v>
      </c>
      <c r="D402" s="190" t="n">
        <v>1</v>
      </c>
      <c r="E402" s="190" t="n">
        <v>0</v>
      </c>
      <c r="F402" s="190" t="n">
        <v>2</v>
      </c>
      <c r="G402" s="190" t="n">
        <v>144.7</v>
      </c>
      <c r="H402" s="190" t="s">
        <v>1722</v>
      </c>
      <c r="I402" s="190" t="n">
        <v>25</v>
      </c>
      <c r="J402" s="190"/>
    </row>
    <row r="403" customFormat="false" ht="14.25" hidden="false" customHeight="true" outlineLevel="0" collapsed="false">
      <c r="A403" s="190" t="s">
        <v>2702</v>
      </c>
      <c r="B403" s="190" t="s">
        <v>2703</v>
      </c>
      <c r="C403" s="190" t="s">
        <v>887</v>
      </c>
      <c r="D403" s="190" t="n">
        <v>1</v>
      </c>
      <c r="E403" s="190" t="n">
        <v>22.5</v>
      </c>
      <c r="F403" s="190" t="n">
        <v>8</v>
      </c>
      <c r="G403" s="190" t="n">
        <v>585.2</v>
      </c>
      <c r="H403" s="190" t="s">
        <v>1722</v>
      </c>
      <c r="I403" s="190" t="s">
        <v>2704</v>
      </c>
      <c r="J403" s="190"/>
    </row>
    <row r="404" customFormat="false" ht="14.25" hidden="false" customHeight="true" outlineLevel="0" collapsed="false">
      <c r="A404" s="190" t="s">
        <v>2705</v>
      </c>
      <c r="B404" s="190" t="s">
        <v>2706</v>
      </c>
      <c r="C404" s="190" t="s">
        <v>2707</v>
      </c>
      <c r="D404" s="190" t="n">
        <v>1</v>
      </c>
      <c r="E404" s="190" t="n">
        <v>8</v>
      </c>
      <c r="F404" s="190" t="n">
        <v>17.08</v>
      </c>
      <c r="G404" s="190" t="n">
        <v>464.5</v>
      </c>
      <c r="H404" s="190" t="s">
        <v>1722</v>
      </c>
      <c r="I404" s="190" t="s">
        <v>2708</v>
      </c>
      <c r="J404" s="190"/>
    </row>
    <row r="405" customFormat="false" ht="14.25" hidden="false" customHeight="true" outlineLevel="0" collapsed="false">
      <c r="A405" s="190" t="s">
        <v>2709</v>
      </c>
      <c r="B405" s="190" t="s">
        <v>2710</v>
      </c>
      <c r="C405" s="190" t="s">
        <v>889</v>
      </c>
      <c r="D405" s="190" t="n">
        <v>1</v>
      </c>
      <c r="E405" s="190" t="n">
        <v>0</v>
      </c>
      <c r="F405" s="190" t="n">
        <v>2</v>
      </c>
      <c r="G405" s="190" t="n">
        <v>150.8</v>
      </c>
      <c r="H405" s="190" t="s">
        <v>1722</v>
      </c>
      <c r="I405" s="190" t="s">
        <v>158</v>
      </c>
      <c r="J405" s="190"/>
    </row>
    <row r="406" customFormat="false" ht="14.25" hidden="false" customHeight="true" outlineLevel="0" collapsed="false">
      <c r="A406" s="190" t="s">
        <v>2711</v>
      </c>
      <c r="B406" s="190" t="s">
        <v>2712</v>
      </c>
      <c r="C406" s="190" t="s">
        <v>890</v>
      </c>
      <c r="D406" s="190" t="n">
        <v>1</v>
      </c>
      <c r="E406" s="190" t="n">
        <v>3</v>
      </c>
      <c r="F406" s="190" t="n">
        <v>0.17</v>
      </c>
      <c r="G406" s="190" t="n">
        <v>603.1</v>
      </c>
      <c r="H406" s="190" t="s">
        <v>1722</v>
      </c>
      <c r="I406" s="190" t="s">
        <v>158</v>
      </c>
      <c r="J406" s="190"/>
    </row>
    <row r="407" customFormat="false" ht="14.25" hidden="false" customHeight="true" outlineLevel="0" collapsed="false">
      <c r="A407" s="190" t="s">
        <v>2713</v>
      </c>
      <c r="B407" s="190" t="s">
        <v>2714</v>
      </c>
      <c r="C407" s="190" t="s">
        <v>2715</v>
      </c>
      <c r="D407" s="190" t="n">
        <v>1</v>
      </c>
      <c r="E407" s="190" t="n">
        <v>8</v>
      </c>
      <c r="F407" s="190" t="n">
        <v>8.5</v>
      </c>
      <c r="G407" s="190" t="n">
        <v>524.7</v>
      </c>
      <c r="H407" s="190" t="s">
        <v>1722</v>
      </c>
      <c r="I407" s="190" t="s">
        <v>2716</v>
      </c>
      <c r="J407" s="190"/>
    </row>
    <row r="408" customFormat="false" ht="14.25" hidden="false" customHeight="true" outlineLevel="0" collapsed="false">
      <c r="A408" s="190" t="s">
        <v>2717</v>
      </c>
      <c r="B408" s="190" t="s">
        <v>2718</v>
      </c>
      <c r="C408" s="190" t="s">
        <v>2719</v>
      </c>
      <c r="D408" s="190" t="n">
        <v>1</v>
      </c>
      <c r="E408" s="190" t="n">
        <v>8</v>
      </c>
      <c r="F408" s="190" t="n">
        <v>9.88</v>
      </c>
      <c r="G408" s="190" t="n">
        <v>542.1</v>
      </c>
      <c r="H408" s="190" t="s">
        <v>1722</v>
      </c>
      <c r="I408" s="190" t="s">
        <v>2716</v>
      </c>
      <c r="J408" s="190"/>
    </row>
    <row r="409" customFormat="false" ht="14.25" hidden="false" customHeight="true" outlineLevel="0" collapsed="false">
      <c r="A409" s="190" t="s">
        <v>2720</v>
      </c>
      <c r="B409" s="190" t="s">
        <v>2721</v>
      </c>
      <c r="C409" s="190" t="s">
        <v>2722</v>
      </c>
      <c r="D409" s="190" t="n">
        <v>1</v>
      </c>
      <c r="E409" s="190" t="n">
        <v>6</v>
      </c>
      <c r="F409" s="190" t="n">
        <v>2.52</v>
      </c>
      <c r="G409" s="190" t="n">
        <v>551.1</v>
      </c>
      <c r="H409" s="190" t="s">
        <v>1722</v>
      </c>
      <c r="I409" s="190" t="s">
        <v>1988</v>
      </c>
      <c r="J409" s="190"/>
    </row>
    <row r="410" customFormat="false" ht="14.25" hidden="false" customHeight="true" outlineLevel="0" collapsed="false">
      <c r="A410" s="190" t="s">
        <v>2723</v>
      </c>
      <c r="B410" s="190" t="s">
        <v>2724</v>
      </c>
      <c r="C410" s="190" t="s">
        <v>2725</v>
      </c>
      <c r="D410" s="190" t="n">
        <v>1</v>
      </c>
      <c r="E410" s="190" t="n">
        <v>38</v>
      </c>
      <c r="F410" s="190" t="n">
        <v>29</v>
      </c>
      <c r="G410" s="190" t="n">
        <v>656.5</v>
      </c>
      <c r="H410" s="190" t="s">
        <v>1722</v>
      </c>
      <c r="I410" s="190" t="n">
        <v>53</v>
      </c>
      <c r="J410" s="190"/>
    </row>
    <row r="411" customFormat="false" ht="14.25" hidden="false" customHeight="true" outlineLevel="0" collapsed="false">
      <c r="A411" s="190" t="s">
        <v>2726</v>
      </c>
      <c r="B411" s="190" t="s">
        <v>2727</v>
      </c>
      <c r="C411" s="190" t="s">
        <v>2728</v>
      </c>
      <c r="D411" s="190" t="n">
        <v>1</v>
      </c>
      <c r="E411" s="190" t="n">
        <v>2</v>
      </c>
      <c r="F411" s="190" t="n">
        <v>0.17</v>
      </c>
      <c r="G411" s="190" t="n">
        <v>608.6</v>
      </c>
      <c r="H411" s="190" t="s">
        <v>1722</v>
      </c>
      <c r="I411" s="190" t="s">
        <v>2120</v>
      </c>
      <c r="J411" s="190"/>
    </row>
    <row r="412" customFormat="false" ht="14.25" hidden="false" customHeight="true" outlineLevel="0" collapsed="false">
      <c r="A412" s="190" t="s">
        <v>2729</v>
      </c>
      <c r="B412" s="190" t="s">
        <v>2730</v>
      </c>
      <c r="C412" s="190" t="s">
        <v>2731</v>
      </c>
      <c r="D412" s="190" t="n">
        <v>1</v>
      </c>
      <c r="E412" s="190" t="n">
        <v>8</v>
      </c>
      <c r="F412" s="190" t="n">
        <v>17</v>
      </c>
      <c r="G412" s="190" t="n">
        <v>677.2</v>
      </c>
      <c r="H412" s="190" t="s">
        <v>1722</v>
      </c>
      <c r="I412" s="190" t="s">
        <v>596</v>
      </c>
      <c r="J412" s="190"/>
    </row>
    <row r="413" customFormat="false" ht="14.25" hidden="false" customHeight="true" outlineLevel="0" collapsed="false">
      <c r="A413" s="190" t="s">
        <v>2732</v>
      </c>
      <c r="B413" s="190" t="s">
        <v>2733</v>
      </c>
      <c r="C413" s="190" t="s">
        <v>2734</v>
      </c>
      <c r="D413" s="190" t="n">
        <v>1</v>
      </c>
      <c r="E413" s="190" t="n">
        <v>6</v>
      </c>
      <c r="F413" s="190" t="n">
        <v>0</v>
      </c>
      <c r="G413" s="190" t="n">
        <v>0</v>
      </c>
      <c r="H413" s="190" t="s">
        <v>1721</v>
      </c>
      <c r="I413" s="190" t="s">
        <v>2735</v>
      </c>
      <c r="J413" s="190"/>
    </row>
    <row r="414" customFormat="false" ht="14.25" hidden="false" customHeight="true" outlineLevel="0" collapsed="false">
      <c r="A414" s="190" t="s">
        <v>2736</v>
      </c>
      <c r="B414" s="190" t="s">
        <v>2737</v>
      </c>
      <c r="C414" s="190" t="s">
        <v>2738</v>
      </c>
      <c r="D414" s="190" t="n">
        <v>1</v>
      </c>
      <c r="E414" s="190" t="n">
        <v>0.5</v>
      </c>
      <c r="F414" s="190" t="n">
        <v>41.8</v>
      </c>
      <c r="G414" s="190" t="n">
        <v>514.1</v>
      </c>
      <c r="H414" s="190" t="s">
        <v>1722</v>
      </c>
      <c r="I414" s="190" t="n">
        <v>53</v>
      </c>
      <c r="J414" s="190"/>
    </row>
    <row r="415" customFormat="false" ht="14.25" hidden="false" customHeight="true" outlineLevel="0" collapsed="false">
      <c r="A415" s="190" t="s">
        <v>2739</v>
      </c>
      <c r="B415" s="190" t="s">
        <v>2740</v>
      </c>
      <c r="C415" s="190" t="s">
        <v>2741</v>
      </c>
      <c r="D415" s="190" t="n">
        <v>1</v>
      </c>
      <c r="E415" s="190" t="n">
        <v>24</v>
      </c>
      <c r="F415" s="190" t="n">
        <v>27.5</v>
      </c>
      <c r="G415" s="190" t="n">
        <v>610.5</v>
      </c>
      <c r="H415" s="190" t="s">
        <v>1722</v>
      </c>
      <c r="I415" s="190" t="n">
        <v>25</v>
      </c>
      <c r="J415" s="190"/>
    </row>
    <row r="416" customFormat="false" ht="14.25" hidden="false" customHeight="true" outlineLevel="0" collapsed="false">
      <c r="A416" s="190" t="s">
        <v>2742</v>
      </c>
      <c r="B416" s="190" t="s">
        <v>2743</v>
      </c>
      <c r="C416" s="190" t="s">
        <v>2744</v>
      </c>
      <c r="D416" s="190" t="n">
        <v>1</v>
      </c>
      <c r="E416" s="190" t="n">
        <v>6</v>
      </c>
      <c r="F416" s="190" t="n">
        <v>1.5</v>
      </c>
      <c r="G416" s="190" t="n">
        <v>547.1</v>
      </c>
      <c r="H416" s="190" t="s">
        <v>1722</v>
      </c>
      <c r="I416" s="190" t="s">
        <v>2745</v>
      </c>
      <c r="J416" s="190"/>
    </row>
    <row r="417" customFormat="false" ht="14.25" hidden="false" customHeight="true" outlineLevel="0" collapsed="false">
      <c r="A417" s="190" t="s">
        <v>2746</v>
      </c>
      <c r="B417" s="190" t="s">
        <v>2747</v>
      </c>
      <c r="C417" s="190" t="s">
        <v>2748</v>
      </c>
      <c r="D417" s="190" t="n">
        <v>1</v>
      </c>
      <c r="E417" s="190" t="n">
        <v>4</v>
      </c>
      <c r="F417" s="190" t="n">
        <v>12.58</v>
      </c>
      <c r="G417" s="190" t="n">
        <v>487.1</v>
      </c>
      <c r="H417" s="190" t="s">
        <v>1722</v>
      </c>
      <c r="I417" s="190" t="s">
        <v>2745</v>
      </c>
      <c r="J417" s="190"/>
    </row>
    <row r="418" customFormat="false" ht="14.25" hidden="false" customHeight="true" outlineLevel="0" collapsed="false">
      <c r="A418" s="190" t="s">
        <v>2749</v>
      </c>
      <c r="B418" s="190" t="s">
        <v>2750</v>
      </c>
      <c r="C418" s="190" t="s">
        <v>2751</v>
      </c>
      <c r="D418" s="190" t="n">
        <v>1</v>
      </c>
      <c r="E418" s="190" t="n">
        <v>6</v>
      </c>
      <c r="F418" s="190" t="n">
        <v>0</v>
      </c>
      <c r="G418" s="190" t="n">
        <v>0</v>
      </c>
      <c r="H418" s="190" t="s">
        <v>1721</v>
      </c>
      <c r="I418" s="190" t="s">
        <v>2745</v>
      </c>
      <c r="J418" s="190"/>
    </row>
    <row r="419" customFormat="false" ht="14.25" hidden="false" customHeight="true" outlineLevel="0" collapsed="false">
      <c r="A419" s="190" t="s">
        <v>2752</v>
      </c>
      <c r="B419" s="190" t="s">
        <v>2753</v>
      </c>
      <c r="C419" s="190" t="s">
        <v>2754</v>
      </c>
      <c r="D419" s="190" t="n">
        <v>1</v>
      </c>
      <c r="E419" s="190" t="n">
        <v>0</v>
      </c>
      <c r="F419" s="190" t="n">
        <v>11.17</v>
      </c>
      <c r="G419" s="190" t="n">
        <v>634.1</v>
      </c>
      <c r="H419" s="190" t="s">
        <v>1722</v>
      </c>
      <c r="I419" s="190" t="s">
        <v>97</v>
      </c>
      <c r="J419" s="190"/>
    </row>
    <row r="420" customFormat="false" ht="14.25" hidden="false" customHeight="true" outlineLevel="0" collapsed="false">
      <c r="A420" s="190" t="s">
        <v>2755</v>
      </c>
      <c r="B420" s="190" t="s">
        <v>2756</v>
      </c>
      <c r="C420" s="190" t="s">
        <v>2757</v>
      </c>
      <c r="D420" s="190" t="n">
        <v>1</v>
      </c>
      <c r="E420" s="190" t="n">
        <v>4</v>
      </c>
      <c r="F420" s="190" t="n">
        <v>0</v>
      </c>
      <c r="G420" s="190" t="n">
        <v>0</v>
      </c>
      <c r="H420" s="190" t="s">
        <v>1721</v>
      </c>
      <c r="I420" s="190" t="s">
        <v>2758</v>
      </c>
      <c r="J420" s="190"/>
    </row>
    <row r="421" customFormat="false" ht="14.25" hidden="false" customHeight="true" outlineLevel="0" collapsed="false">
      <c r="A421" s="190" t="s">
        <v>2759</v>
      </c>
      <c r="B421" s="190" t="s">
        <v>2760</v>
      </c>
      <c r="C421" s="190" t="s">
        <v>2761</v>
      </c>
      <c r="D421" s="190" t="n">
        <v>1</v>
      </c>
      <c r="E421" s="190" t="n">
        <v>6</v>
      </c>
      <c r="F421" s="190" t="n">
        <v>0</v>
      </c>
      <c r="G421" s="190" t="n">
        <v>0</v>
      </c>
      <c r="H421" s="190" t="s">
        <v>1721</v>
      </c>
      <c r="I421" s="190" t="s">
        <v>2758</v>
      </c>
      <c r="J421" s="190"/>
    </row>
    <row r="422" customFormat="false" ht="14.25" hidden="false" customHeight="true" outlineLevel="0" collapsed="false">
      <c r="A422" s="190" t="s">
        <v>2762</v>
      </c>
      <c r="B422" s="190" t="s">
        <v>2763</v>
      </c>
      <c r="C422" s="190" t="s">
        <v>2764</v>
      </c>
      <c r="D422" s="190" t="n">
        <v>1</v>
      </c>
      <c r="E422" s="190" t="n">
        <v>4</v>
      </c>
      <c r="F422" s="190" t="n">
        <v>1.25</v>
      </c>
      <c r="G422" s="190" t="n">
        <v>547</v>
      </c>
      <c r="H422" s="190" t="s">
        <v>1722</v>
      </c>
      <c r="I422" s="190" t="s">
        <v>2735</v>
      </c>
      <c r="J422" s="190"/>
    </row>
    <row r="423" customFormat="false" ht="14.25" hidden="false" customHeight="true" outlineLevel="0" collapsed="false">
      <c r="A423" s="190" t="s">
        <v>2765</v>
      </c>
      <c r="B423" s="190" t="s">
        <v>2766</v>
      </c>
      <c r="C423" s="190" t="s">
        <v>2767</v>
      </c>
      <c r="D423" s="190" t="n">
        <v>1</v>
      </c>
      <c r="E423" s="190" t="n">
        <v>4</v>
      </c>
      <c r="F423" s="190" t="n">
        <v>0</v>
      </c>
      <c r="G423" s="190" t="n">
        <v>0</v>
      </c>
      <c r="H423" s="190" t="s">
        <v>1721</v>
      </c>
      <c r="I423" s="190" t="s">
        <v>2735</v>
      </c>
      <c r="J423" s="190"/>
    </row>
    <row r="424" customFormat="false" ht="14.25" hidden="false" customHeight="true" outlineLevel="0" collapsed="false">
      <c r="A424" s="190" t="s">
        <v>2768</v>
      </c>
      <c r="B424" s="190" t="s">
        <v>2769</v>
      </c>
      <c r="C424" s="190" t="s">
        <v>2770</v>
      </c>
      <c r="D424" s="190" t="n">
        <v>1</v>
      </c>
      <c r="E424" s="190" t="n">
        <v>6</v>
      </c>
      <c r="F424" s="190" t="n">
        <v>0</v>
      </c>
      <c r="G424" s="190" t="n">
        <v>0</v>
      </c>
      <c r="H424" s="190" t="s">
        <v>1721</v>
      </c>
      <c r="I424" s="190" t="s">
        <v>2771</v>
      </c>
      <c r="J424" s="190"/>
    </row>
    <row r="425" customFormat="false" ht="14.25" hidden="false" customHeight="true" outlineLevel="0" collapsed="false">
      <c r="A425" s="190" t="s">
        <v>2772</v>
      </c>
      <c r="B425" s="190" t="s">
        <v>2773</v>
      </c>
      <c r="C425" s="190" t="s">
        <v>2774</v>
      </c>
      <c r="D425" s="190" t="n">
        <v>1</v>
      </c>
      <c r="E425" s="190" t="n">
        <v>4</v>
      </c>
      <c r="F425" s="190" t="n">
        <v>0</v>
      </c>
      <c r="G425" s="190" t="n">
        <v>0</v>
      </c>
      <c r="H425" s="190" t="s">
        <v>1721</v>
      </c>
      <c r="I425" s="190" t="s">
        <v>2775</v>
      </c>
      <c r="J425" s="190"/>
    </row>
    <row r="426" customFormat="false" ht="14.25" hidden="false" customHeight="true" outlineLevel="0" collapsed="false">
      <c r="A426" s="190" t="s">
        <v>2776</v>
      </c>
      <c r="B426" s="190" t="s">
        <v>2777</v>
      </c>
      <c r="C426" s="190" t="s">
        <v>2778</v>
      </c>
      <c r="D426" s="190" t="n">
        <v>1</v>
      </c>
      <c r="E426" s="190" t="n">
        <v>48</v>
      </c>
      <c r="F426" s="190" t="n">
        <v>0.17</v>
      </c>
      <c r="G426" s="190" t="n">
        <v>603.2</v>
      </c>
      <c r="H426" s="190" t="s">
        <v>1722</v>
      </c>
      <c r="I426" s="190" t="s">
        <v>2057</v>
      </c>
      <c r="J426" s="190"/>
    </row>
    <row r="427" customFormat="false" ht="14.25" hidden="false" customHeight="true" outlineLevel="0" collapsed="false">
      <c r="A427" s="190" t="s">
        <v>896</v>
      </c>
      <c r="B427" s="190" t="s">
        <v>894</v>
      </c>
      <c r="C427" s="190" t="s">
        <v>895</v>
      </c>
      <c r="D427" s="190" t="n">
        <v>1</v>
      </c>
      <c r="E427" s="190" t="n">
        <v>0</v>
      </c>
      <c r="F427" s="190" t="n">
        <v>13</v>
      </c>
      <c r="G427" s="190" t="n">
        <v>269</v>
      </c>
      <c r="H427" s="190" t="s">
        <v>1722</v>
      </c>
      <c r="I427" s="190" t="n">
        <v>25</v>
      </c>
      <c r="J427" s="190"/>
    </row>
    <row r="428" customFormat="false" ht="14.25" hidden="false" customHeight="true" outlineLevel="0" collapsed="false">
      <c r="A428" s="190" t="s">
        <v>899</v>
      </c>
      <c r="B428" s="190" t="s">
        <v>897</v>
      </c>
      <c r="C428" s="190" t="s">
        <v>898</v>
      </c>
      <c r="D428" s="190" t="n">
        <v>1</v>
      </c>
      <c r="E428" s="190" t="n">
        <v>0</v>
      </c>
      <c r="F428" s="190" t="n">
        <v>0</v>
      </c>
      <c r="G428" s="190" t="n">
        <v>0</v>
      </c>
      <c r="H428" s="190" t="s">
        <v>1721</v>
      </c>
      <c r="I428" s="190" t="n">
        <v>25</v>
      </c>
      <c r="J428" s="190"/>
    </row>
    <row r="429" customFormat="false" ht="14.25" hidden="false" customHeight="true" outlineLevel="0" collapsed="false">
      <c r="A429" s="190" t="s">
        <v>908</v>
      </c>
      <c r="B429" s="190" t="s">
        <v>906</v>
      </c>
      <c r="C429" s="190" t="s">
        <v>907</v>
      </c>
      <c r="D429" s="190" t="n">
        <v>1</v>
      </c>
      <c r="E429" s="190" t="n">
        <v>0</v>
      </c>
      <c r="F429" s="190" t="n">
        <v>6</v>
      </c>
      <c r="G429" s="190" t="n">
        <v>629.8</v>
      </c>
      <c r="H429" s="190" t="s">
        <v>1722</v>
      </c>
      <c r="I429" s="190" t="s">
        <v>242</v>
      </c>
      <c r="J429" s="190"/>
    </row>
    <row r="430" customFormat="false" ht="14.25" hidden="false" customHeight="true" outlineLevel="0" collapsed="false">
      <c r="A430" s="190" t="s">
        <v>2779</v>
      </c>
      <c r="B430" s="190" t="s">
        <v>2780</v>
      </c>
      <c r="C430" s="190" t="s">
        <v>2781</v>
      </c>
      <c r="D430" s="190" t="n">
        <v>1</v>
      </c>
      <c r="E430" s="190" t="n">
        <v>0</v>
      </c>
      <c r="F430" s="190" t="n">
        <v>38</v>
      </c>
      <c r="G430" s="190" t="n">
        <v>585</v>
      </c>
      <c r="H430" s="190" t="s">
        <v>1722</v>
      </c>
      <c r="I430" s="190" t="s">
        <v>2782</v>
      </c>
      <c r="J430" s="190"/>
    </row>
    <row r="431" customFormat="false" ht="14.25" hidden="false" customHeight="true" outlineLevel="0" collapsed="false">
      <c r="A431" s="190" t="s">
        <v>911</v>
      </c>
      <c r="B431" s="190" t="s">
        <v>909</v>
      </c>
      <c r="C431" s="190" t="s">
        <v>910</v>
      </c>
      <c r="D431" s="190" t="n">
        <v>1</v>
      </c>
      <c r="E431" s="190" t="n">
        <v>0</v>
      </c>
      <c r="F431" s="190" t="n">
        <v>6</v>
      </c>
      <c r="G431" s="190" t="n">
        <v>629.6</v>
      </c>
      <c r="H431" s="190" t="s">
        <v>1722</v>
      </c>
      <c r="I431" s="190" t="s">
        <v>242</v>
      </c>
      <c r="J431" s="190"/>
    </row>
    <row r="432" customFormat="false" ht="14.25" hidden="false" customHeight="true" outlineLevel="0" collapsed="false">
      <c r="A432" s="190" t="s">
        <v>914</v>
      </c>
      <c r="B432" s="190" t="s">
        <v>912</v>
      </c>
      <c r="C432" s="190" t="s">
        <v>913</v>
      </c>
      <c r="D432" s="190" t="n">
        <v>1</v>
      </c>
      <c r="E432" s="190" t="n">
        <v>0</v>
      </c>
      <c r="F432" s="190" t="n">
        <v>18</v>
      </c>
      <c r="G432" s="190" t="n">
        <v>629.5</v>
      </c>
      <c r="H432" s="190" t="s">
        <v>1722</v>
      </c>
      <c r="I432" s="190" t="s">
        <v>242</v>
      </c>
      <c r="J432" s="190"/>
    </row>
    <row r="433" customFormat="false" ht="14.25" hidden="false" customHeight="true" outlineLevel="0" collapsed="false">
      <c r="A433" s="190" t="s">
        <v>917</v>
      </c>
      <c r="B433" s="190" t="s">
        <v>915</v>
      </c>
      <c r="C433" s="190" t="s">
        <v>916</v>
      </c>
      <c r="D433" s="190" t="n">
        <v>1</v>
      </c>
      <c r="E433" s="190" t="n">
        <v>0</v>
      </c>
      <c r="F433" s="190" t="n">
        <v>17</v>
      </c>
      <c r="G433" s="190" t="n">
        <v>629.5</v>
      </c>
      <c r="H433" s="190" t="s">
        <v>1722</v>
      </c>
      <c r="I433" s="190" t="s">
        <v>242</v>
      </c>
      <c r="J433" s="190"/>
    </row>
    <row r="434" customFormat="false" ht="14.25" hidden="false" customHeight="true" outlineLevel="0" collapsed="false">
      <c r="A434" s="190" t="s">
        <v>2783</v>
      </c>
      <c r="B434" s="190" t="s">
        <v>2784</v>
      </c>
      <c r="C434" s="190" t="s">
        <v>2785</v>
      </c>
      <c r="D434" s="190" t="n">
        <v>1</v>
      </c>
      <c r="E434" s="190" t="n">
        <v>4</v>
      </c>
      <c r="F434" s="190" t="n">
        <v>1.82</v>
      </c>
      <c r="G434" s="190" t="n">
        <v>723.3</v>
      </c>
      <c r="H434" s="190" t="s">
        <v>1722</v>
      </c>
      <c r="I434" s="190" t="s">
        <v>1801</v>
      </c>
      <c r="J434" s="190"/>
    </row>
    <row r="435" customFormat="false" ht="14.25" hidden="false" customHeight="true" outlineLevel="0" collapsed="false">
      <c r="A435" s="190" t="s">
        <v>932</v>
      </c>
      <c r="B435" s="190" t="s">
        <v>930</v>
      </c>
      <c r="C435" s="190" t="s">
        <v>931</v>
      </c>
      <c r="D435" s="190" t="n">
        <v>1</v>
      </c>
      <c r="E435" s="190" t="n">
        <v>0</v>
      </c>
      <c r="F435" s="190" t="n">
        <v>8.25</v>
      </c>
      <c r="G435" s="190" t="n">
        <v>600</v>
      </c>
      <c r="H435" s="190" t="s">
        <v>1722</v>
      </c>
      <c r="I435" s="190" t="s">
        <v>146</v>
      </c>
      <c r="J435" s="190"/>
    </row>
    <row r="436" customFormat="false" ht="14.25" hidden="false" customHeight="true" outlineLevel="0" collapsed="false">
      <c r="A436" s="190" t="s">
        <v>935</v>
      </c>
      <c r="B436" s="190" t="s">
        <v>933</v>
      </c>
      <c r="C436" s="190" t="s">
        <v>934</v>
      </c>
      <c r="D436" s="190" t="n">
        <v>1</v>
      </c>
      <c r="E436" s="190" t="n">
        <v>0</v>
      </c>
      <c r="F436" s="190" t="n">
        <v>3.92</v>
      </c>
      <c r="G436" s="190" t="n">
        <v>454.8</v>
      </c>
      <c r="H436" s="190" t="s">
        <v>1722</v>
      </c>
      <c r="I436" s="190" t="s">
        <v>146</v>
      </c>
      <c r="J436" s="190"/>
    </row>
    <row r="437" customFormat="false" ht="14.25" hidden="false" customHeight="true" outlineLevel="0" collapsed="false">
      <c r="A437" s="190" t="s">
        <v>2786</v>
      </c>
      <c r="B437" s="190" t="s">
        <v>2787</v>
      </c>
      <c r="C437" s="190" t="s">
        <v>936</v>
      </c>
      <c r="D437" s="190" t="n">
        <v>1</v>
      </c>
      <c r="E437" s="190" t="n">
        <v>0</v>
      </c>
      <c r="F437" s="190" t="n">
        <v>0</v>
      </c>
      <c r="G437" s="190" t="n">
        <v>0</v>
      </c>
      <c r="H437" s="190" t="s">
        <v>1721</v>
      </c>
      <c r="I437" s="190" t="n">
        <v>25</v>
      </c>
      <c r="J437" s="190"/>
    </row>
    <row r="438" customFormat="false" ht="14.25" hidden="false" customHeight="true" outlineLevel="0" collapsed="false">
      <c r="A438" s="190" t="s">
        <v>1186</v>
      </c>
      <c r="B438" s="190" t="s">
        <v>1185</v>
      </c>
      <c r="C438" s="190" t="s">
        <v>939</v>
      </c>
      <c r="D438" s="190" t="n">
        <v>1</v>
      </c>
      <c r="E438" s="190" t="n">
        <v>0</v>
      </c>
      <c r="F438" s="190" t="n">
        <v>2.5</v>
      </c>
      <c r="G438" s="190" t="n">
        <v>10.08</v>
      </c>
      <c r="H438" s="190" t="s">
        <v>1722</v>
      </c>
      <c r="I438" s="190" t="n">
        <v>25</v>
      </c>
      <c r="J438" s="190"/>
    </row>
    <row r="439" customFormat="false" ht="14.25" hidden="false" customHeight="true" outlineLevel="0" collapsed="false">
      <c r="A439" s="190" t="s">
        <v>2788</v>
      </c>
      <c r="B439" s="190" t="s">
        <v>2789</v>
      </c>
      <c r="C439" s="190" t="s">
        <v>941</v>
      </c>
      <c r="D439" s="190" t="n">
        <v>1</v>
      </c>
      <c r="E439" s="190" t="n">
        <v>0</v>
      </c>
      <c r="F439" s="190" t="n">
        <v>13</v>
      </c>
      <c r="G439" s="190" t="n">
        <v>10.08</v>
      </c>
      <c r="H439" s="190" t="s">
        <v>1722</v>
      </c>
      <c r="I439" s="190" t="s">
        <v>204</v>
      </c>
      <c r="J439" s="190"/>
    </row>
    <row r="440" customFormat="false" ht="14.25" hidden="false" customHeight="true" outlineLevel="0" collapsed="false">
      <c r="A440" s="190" t="s">
        <v>2790</v>
      </c>
      <c r="B440" s="190" t="s">
        <v>2791</v>
      </c>
      <c r="C440" s="190" t="s">
        <v>948</v>
      </c>
      <c r="D440" s="190" t="n">
        <v>1</v>
      </c>
      <c r="E440" s="190" t="n">
        <v>0</v>
      </c>
      <c r="F440" s="190" t="n">
        <v>18</v>
      </c>
      <c r="G440" s="190" t="n">
        <v>83.4</v>
      </c>
      <c r="H440" s="190" t="s">
        <v>1722</v>
      </c>
      <c r="I440" s="190" t="n">
        <v>25</v>
      </c>
      <c r="J440" s="190"/>
    </row>
    <row r="441" customFormat="false" ht="14.25" hidden="false" customHeight="true" outlineLevel="0" collapsed="false">
      <c r="A441" s="190" t="s">
        <v>2792</v>
      </c>
      <c r="B441" s="190" t="s">
        <v>2793</v>
      </c>
      <c r="C441" s="190" t="s">
        <v>955</v>
      </c>
      <c r="D441" s="190" t="n">
        <v>1</v>
      </c>
      <c r="E441" s="190" t="n">
        <v>0</v>
      </c>
      <c r="F441" s="190" t="n">
        <v>5</v>
      </c>
      <c r="G441" s="190" t="n">
        <v>80.1</v>
      </c>
      <c r="H441" s="190" t="s">
        <v>1722</v>
      </c>
      <c r="I441" s="190" t="n">
        <v>25</v>
      </c>
      <c r="J441" s="190"/>
    </row>
    <row r="442" customFormat="false" ht="14.25" hidden="false" customHeight="true" outlineLevel="0" collapsed="false">
      <c r="A442" s="190" t="s">
        <v>2794</v>
      </c>
      <c r="B442" s="190" t="s">
        <v>2795</v>
      </c>
      <c r="C442" s="190" t="s">
        <v>956</v>
      </c>
      <c r="D442" s="190" t="n">
        <v>1</v>
      </c>
      <c r="E442" s="190" t="n">
        <v>0</v>
      </c>
      <c r="F442" s="190" t="n">
        <v>27.8</v>
      </c>
      <c r="G442" s="190" t="n">
        <v>357.9</v>
      </c>
      <c r="H442" s="190" t="s">
        <v>1722</v>
      </c>
      <c r="I442" s="190" t="n">
        <v>25</v>
      </c>
      <c r="J442" s="190"/>
    </row>
    <row r="443" customFormat="false" ht="14.25" hidden="false" customHeight="true" outlineLevel="0" collapsed="false">
      <c r="A443" s="190" t="s">
        <v>2796</v>
      </c>
      <c r="B443" s="190" t="s">
        <v>2797</v>
      </c>
      <c r="C443" s="190" t="s">
        <v>2798</v>
      </c>
      <c r="D443" s="190" t="n">
        <v>1</v>
      </c>
      <c r="E443" s="190" t="n">
        <v>0</v>
      </c>
      <c r="F443" s="190" t="n">
        <v>19</v>
      </c>
      <c r="G443" s="190" t="n">
        <v>580.5</v>
      </c>
      <c r="H443" s="190" t="s">
        <v>1722</v>
      </c>
      <c r="I443" s="190" t="s">
        <v>2799</v>
      </c>
      <c r="J443" s="190"/>
    </row>
    <row r="444" customFormat="false" ht="14.25" hidden="false" customHeight="true" outlineLevel="0" collapsed="false">
      <c r="A444" s="190" t="s">
        <v>959</v>
      </c>
      <c r="B444" s="190" t="s">
        <v>957</v>
      </c>
      <c r="C444" s="190" t="s">
        <v>958</v>
      </c>
      <c r="D444" s="190" t="n">
        <v>1</v>
      </c>
      <c r="E444" s="190" t="n">
        <v>0</v>
      </c>
      <c r="F444" s="190" t="n">
        <v>0</v>
      </c>
      <c r="G444" s="190" t="n">
        <v>0</v>
      </c>
      <c r="H444" s="190" t="s">
        <v>1721</v>
      </c>
      <c r="I444" s="190" t="n">
        <v>25</v>
      </c>
      <c r="J444" s="190"/>
    </row>
    <row r="445" customFormat="false" ht="14.25" hidden="false" customHeight="true" outlineLevel="0" collapsed="false">
      <c r="A445" s="190" t="s">
        <v>2800</v>
      </c>
      <c r="B445" s="190" t="s">
        <v>2801</v>
      </c>
      <c r="C445" s="190" t="s">
        <v>2802</v>
      </c>
      <c r="D445" s="190" t="n">
        <v>1</v>
      </c>
      <c r="E445" s="190" t="n">
        <v>0</v>
      </c>
      <c r="F445" s="190" t="n">
        <v>0</v>
      </c>
      <c r="G445" s="190" t="n">
        <v>0</v>
      </c>
      <c r="H445" s="190" t="s">
        <v>1721</v>
      </c>
      <c r="I445" s="190" t="s">
        <v>146</v>
      </c>
      <c r="J445" s="190"/>
    </row>
    <row r="446" customFormat="false" ht="14.25" hidden="false" customHeight="true" outlineLevel="0" collapsed="false">
      <c r="A446" s="190" t="s">
        <v>969</v>
      </c>
      <c r="B446" s="190" t="s">
        <v>967</v>
      </c>
      <c r="C446" s="190" t="s">
        <v>968</v>
      </c>
      <c r="D446" s="190" t="n">
        <v>1</v>
      </c>
      <c r="E446" s="190" t="n">
        <v>0</v>
      </c>
      <c r="F446" s="190" t="n">
        <v>24.5</v>
      </c>
      <c r="G446" s="190" t="n">
        <v>585.1</v>
      </c>
      <c r="H446" s="190" t="s">
        <v>1722</v>
      </c>
      <c r="I446" s="190" t="n">
        <v>25</v>
      </c>
      <c r="J446" s="190"/>
    </row>
    <row r="447" customFormat="false" ht="14.25" hidden="false" customHeight="true" outlineLevel="0" collapsed="false">
      <c r="A447" s="190" t="s">
        <v>972</v>
      </c>
      <c r="B447" s="190" t="s">
        <v>970</v>
      </c>
      <c r="C447" s="190" t="s">
        <v>971</v>
      </c>
      <c r="D447" s="190" t="n">
        <v>1</v>
      </c>
      <c r="E447" s="190" t="n">
        <v>0</v>
      </c>
      <c r="F447" s="190" t="n">
        <v>108.8</v>
      </c>
      <c r="G447" s="190" t="n">
        <v>585.1</v>
      </c>
      <c r="H447" s="190" t="s">
        <v>1722</v>
      </c>
      <c r="I447" s="190" t="n">
        <v>25</v>
      </c>
      <c r="J447" s="190"/>
    </row>
    <row r="448" customFormat="false" ht="14.25" hidden="false" customHeight="true" outlineLevel="0" collapsed="false">
      <c r="A448" s="190" t="s">
        <v>975</v>
      </c>
      <c r="B448" s="190" t="s">
        <v>973</v>
      </c>
      <c r="C448" s="190" t="s">
        <v>974</v>
      </c>
      <c r="D448" s="190" t="n">
        <v>1</v>
      </c>
      <c r="E448" s="190" t="n">
        <v>0</v>
      </c>
      <c r="F448" s="190" t="n">
        <v>0</v>
      </c>
      <c r="G448" s="190" t="n">
        <v>0</v>
      </c>
      <c r="H448" s="190" t="s">
        <v>1721</v>
      </c>
      <c r="I448" s="190" t="n">
        <v>25</v>
      </c>
      <c r="J448" s="190"/>
    </row>
    <row r="449" customFormat="false" ht="14.25" hidden="false" customHeight="true" outlineLevel="0" collapsed="false">
      <c r="A449" s="190" t="s">
        <v>979</v>
      </c>
      <c r="B449" s="190" t="s">
        <v>977</v>
      </c>
      <c r="C449" s="190" t="s">
        <v>978</v>
      </c>
      <c r="D449" s="190" t="n">
        <v>1</v>
      </c>
      <c r="E449" s="190" t="n">
        <v>0</v>
      </c>
      <c r="F449" s="190" t="n">
        <v>0</v>
      </c>
      <c r="G449" s="190" t="n">
        <v>0</v>
      </c>
      <c r="H449" s="190" t="s">
        <v>1721</v>
      </c>
      <c r="I449" s="190" t="n">
        <v>25</v>
      </c>
      <c r="J449" s="190"/>
    </row>
    <row r="450" customFormat="false" ht="14.25" hidden="false" customHeight="true" outlineLevel="0" collapsed="false">
      <c r="A450" s="190" t="s">
        <v>2803</v>
      </c>
      <c r="B450" s="190" t="s">
        <v>2804</v>
      </c>
      <c r="C450" s="190" t="s">
        <v>2805</v>
      </c>
      <c r="D450" s="190" t="n">
        <v>1</v>
      </c>
      <c r="E450" s="190" t="n">
        <v>0</v>
      </c>
      <c r="F450" s="190" t="n">
        <v>0</v>
      </c>
      <c r="G450" s="190" t="n">
        <v>0</v>
      </c>
      <c r="H450" s="190" t="s">
        <v>1721</v>
      </c>
      <c r="I450" s="190" t="s">
        <v>2735</v>
      </c>
      <c r="J450" s="190"/>
    </row>
    <row r="451" customFormat="false" ht="14.25" hidden="false" customHeight="true" outlineLevel="0" collapsed="false">
      <c r="A451" s="190" t="s">
        <v>2806</v>
      </c>
      <c r="B451" s="190" t="s">
        <v>2807</v>
      </c>
      <c r="C451" s="190" t="s">
        <v>2808</v>
      </c>
      <c r="D451" s="190" t="n">
        <v>1</v>
      </c>
      <c r="E451" s="190" t="n">
        <v>0</v>
      </c>
      <c r="F451" s="190" t="n">
        <v>25.8</v>
      </c>
      <c r="G451" s="190" t="n">
        <v>464.9</v>
      </c>
      <c r="H451" s="190" t="s">
        <v>1722</v>
      </c>
      <c r="I451" s="190" t="n">
        <v>28</v>
      </c>
      <c r="J451" s="190"/>
    </row>
    <row r="452" customFormat="false" ht="14.25" hidden="false" customHeight="true" outlineLevel="0" collapsed="false">
      <c r="A452" s="190" t="s">
        <v>985</v>
      </c>
      <c r="B452" s="190" t="s">
        <v>983</v>
      </c>
      <c r="C452" s="190" t="s">
        <v>984</v>
      </c>
      <c r="D452" s="190" t="n">
        <v>1</v>
      </c>
      <c r="E452" s="190" t="n">
        <v>0</v>
      </c>
      <c r="F452" s="190" t="n">
        <v>8</v>
      </c>
      <c r="G452" s="190" t="n">
        <v>246.1</v>
      </c>
      <c r="H452" s="190" t="s">
        <v>1722</v>
      </c>
      <c r="I452" s="190" t="n">
        <v>25</v>
      </c>
      <c r="J452" s="190"/>
    </row>
    <row r="453" customFormat="false" ht="14.25" hidden="false" customHeight="true" outlineLevel="0" collapsed="false">
      <c r="A453" s="190" t="s">
        <v>2809</v>
      </c>
      <c r="B453" s="190" t="s">
        <v>2810</v>
      </c>
      <c r="C453" s="190" t="s">
        <v>2811</v>
      </c>
      <c r="D453" s="190" t="n">
        <v>1</v>
      </c>
      <c r="E453" s="190" t="n">
        <v>2</v>
      </c>
      <c r="F453" s="190" t="n">
        <v>8</v>
      </c>
      <c r="G453" s="190" t="n">
        <v>64.1</v>
      </c>
      <c r="H453" s="190" t="s">
        <v>1722</v>
      </c>
      <c r="I453" s="190" t="n">
        <v>23</v>
      </c>
      <c r="J453" s="190"/>
    </row>
    <row r="454" customFormat="false" ht="14.25" hidden="false" customHeight="true" outlineLevel="0" collapsed="false">
      <c r="A454" s="190" t="s">
        <v>2812</v>
      </c>
      <c r="B454" s="190" t="s">
        <v>2813</v>
      </c>
      <c r="C454" s="190" t="s">
        <v>2814</v>
      </c>
      <c r="D454" s="190" t="n">
        <v>1</v>
      </c>
      <c r="E454" s="190" t="n">
        <v>2</v>
      </c>
      <c r="F454" s="190" t="n">
        <v>8</v>
      </c>
      <c r="G454" s="190" t="n">
        <v>70</v>
      </c>
      <c r="H454" s="190" t="s">
        <v>1722</v>
      </c>
      <c r="I454" s="190" t="n">
        <v>23</v>
      </c>
      <c r="J454" s="190"/>
    </row>
    <row r="455" customFormat="false" ht="14.25" hidden="false" customHeight="true" outlineLevel="0" collapsed="false">
      <c r="A455" s="190" t="s">
        <v>2815</v>
      </c>
      <c r="B455" s="190" t="s">
        <v>2816</v>
      </c>
      <c r="C455" s="190" t="s">
        <v>2817</v>
      </c>
      <c r="D455" s="190" t="n">
        <v>1</v>
      </c>
      <c r="E455" s="190" t="n">
        <v>12</v>
      </c>
      <c r="F455" s="190" t="n">
        <v>25.5</v>
      </c>
      <c r="G455" s="190" t="n">
        <v>483.9</v>
      </c>
      <c r="H455" s="190" t="s">
        <v>1722</v>
      </c>
      <c r="I455" s="190" t="s">
        <v>2818</v>
      </c>
      <c r="J455" s="190"/>
    </row>
    <row r="456" customFormat="false" ht="14.25" hidden="false" customHeight="true" outlineLevel="0" collapsed="false">
      <c r="A456" s="190" t="s">
        <v>2819</v>
      </c>
      <c r="B456" s="190" t="s">
        <v>2820</v>
      </c>
      <c r="C456" s="190" t="s">
        <v>2821</v>
      </c>
      <c r="D456" s="190" t="n">
        <v>1</v>
      </c>
      <c r="E456" s="190" t="n">
        <v>16</v>
      </c>
      <c r="F456" s="190" t="n">
        <v>4.6</v>
      </c>
      <c r="G456" s="190" t="n">
        <v>500.6</v>
      </c>
      <c r="H456" s="190" t="s">
        <v>1722</v>
      </c>
      <c r="I456" s="190" t="n">
        <v>71</v>
      </c>
      <c r="J456" s="190"/>
    </row>
    <row r="457" customFormat="false" ht="14.25" hidden="false" customHeight="true" outlineLevel="0" collapsed="false">
      <c r="A457" s="190" t="s">
        <v>2822</v>
      </c>
      <c r="B457" s="190" t="s">
        <v>2823</v>
      </c>
      <c r="C457" s="190" t="s">
        <v>2824</v>
      </c>
      <c r="D457" s="190" t="n">
        <v>1</v>
      </c>
      <c r="E457" s="190" t="n">
        <v>16</v>
      </c>
      <c r="F457" s="190" t="n">
        <v>25.3</v>
      </c>
      <c r="G457" s="190" t="n">
        <v>500.5</v>
      </c>
      <c r="H457" s="190" t="s">
        <v>1722</v>
      </c>
      <c r="I457" s="190" t="n">
        <v>71</v>
      </c>
      <c r="J457" s="190"/>
    </row>
    <row r="458" customFormat="false" ht="14.25" hidden="false" customHeight="true" outlineLevel="0" collapsed="false">
      <c r="A458" s="190" t="s">
        <v>2825</v>
      </c>
      <c r="B458" s="190" t="s">
        <v>2826</v>
      </c>
      <c r="C458" s="190" t="s">
        <v>2827</v>
      </c>
      <c r="D458" s="190" t="n">
        <v>1</v>
      </c>
      <c r="E458" s="190" t="n">
        <v>16</v>
      </c>
      <c r="F458" s="190" t="n">
        <v>28.1</v>
      </c>
      <c r="G458" s="190" t="n">
        <v>499.4</v>
      </c>
      <c r="H458" s="190" t="s">
        <v>1722</v>
      </c>
      <c r="I458" s="190" t="n">
        <v>71</v>
      </c>
      <c r="J458" s="190"/>
    </row>
    <row r="459" customFormat="false" ht="14.25" hidden="false" customHeight="true" outlineLevel="0" collapsed="false">
      <c r="A459" s="190" t="s">
        <v>2828</v>
      </c>
      <c r="B459" s="190" t="s">
        <v>2829</v>
      </c>
      <c r="C459" s="190" t="s">
        <v>2830</v>
      </c>
      <c r="D459" s="190" t="n">
        <v>1</v>
      </c>
      <c r="E459" s="190" t="n">
        <v>0</v>
      </c>
      <c r="F459" s="190" t="n">
        <v>169.1</v>
      </c>
      <c r="G459" s="190" t="n">
        <v>415.5</v>
      </c>
      <c r="H459" s="190" t="s">
        <v>1722</v>
      </c>
      <c r="I459" s="190" t="s">
        <v>97</v>
      </c>
      <c r="J459" s="190"/>
    </row>
    <row r="460" customFormat="false" ht="14.25" hidden="false" customHeight="true" outlineLevel="0" collapsed="false">
      <c r="A460" s="190" t="s">
        <v>2831</v>
      </c>
      <c r="B460" s="190" t="s">
        <v>2832</v>
      </c>
      <c r="C460" s="190" t="s">
        <v>2833</v>
      </c>
      <c r="D460" s="190" t="n">
        <v>1</v>
      </c>
      <c r="E460" s="190" t="n">
        <v>5</v>
      </c>
      <c r="F460" s="190" t="n">
        <v>8</v>
      </c>
      <c r="G460" s="190" t="n">
        <v>130.4</v>
      </c>
      <c r="H460" s="190" t="s">
        <v>1722</v>
      </c>
      <c r="I460" s="190" t="n">
        <v>25</v>
      </c>
      <c r="J460" s="190"/>
    </row>
    <row r="461" customFormat="false" ht="14.25" hidden="false" customHeight="true" outlineLevel="0" collapsed="false">
      <c r="A461" s="190" t="s">
        <v>997</v>
      </c>
      <c r="B461" s="190" t="s">
        <v>995</v>
      </c>
      <c r="C461" s="190" t="s">
        <v>996</v>
      </c>
      <c r="D461" s="190" t="n">
        <v>1</v>
      </c>
      <c r="E461" s="190" t="n">
        <v>0</v>
      </c>
      <c r="F461" s="190" t="n">
        <v>0</v>
      </c>
      <c r="G461" s="190" t="n">
        <v>0</v>
      </c>
      <c r="H461" s="190" t="s">
        <v>1721</v>
      </c>
      <c r="I461" s="190" t="n">
        <v>25</v>
      </c>
      <c r="J461" s="190"/>
    </row>
    <row r="462" customFormat="false" ht="14.25" hidden="false" customHeight="true" outlineLevel="0" collapsed="false">
      <c r="A462" s="190" t="s">
        <v>2834</v>
      </c>
      <c r="B462" s="190" t="s">
        <v>2835</v>
      </c>
      <c r="C462" s="190" t="s">
        <v>2836</v>
      </c>
      <c r="D462" s="190" t="s">
        <v>1720</v>
      </c>
      <c r="E462" s="190" t="n">
        <v>0</v>
      </c>
      <c r="F462" s="190" t="n">
        <v>60</v>
      </c>
      <c r="G462" s="190" t="n">
        <v>440.3</v>
      </c>
      <c r="H462" s="190" t="s">
        <v>1722</v>
      </c>
      <c r="I462" s="190" t="s">
        <v>2837</v>
      </c>
      <c r="J462" s="190"/>
    </row>
    <row r="463" customFormat="false" ht="14.25" hidden="false" customHeight="true" outlineLevel="0" collapsed="false">
      <c r="A463" s="190" t="s">
        <v>2838</v>
      </c>
      <c r="B463" s="190" t="s">
        <v>2839</v>
      </c>
      <c r="C463" s="190" t="s">
        <v>1004</v>
      </c>
      <c r="D463" s="190" t="n">
        <v>1</v>
      </c>
      <c r="E463" s="190" t="n">
        <v>0</v>
      </c>
      <c r="F463" s="190" t="n">
        <v>19.5</v>
      </c>
      <c r="G463" s="190" t="n">
        <v>419.1</v>
      </c>
      <c r="H463" s="190" t="s">
        <v>1722</v>
      </c>
      <c r="I463" s="190" t="n">
        <v>25</v>
      </c>
      <c r="J463" s="190"/>
    </row>
    <row r="464" customFormat="false" ht="14.25" hidden="false" customHeight="true" outlineLevel="0" collapsed="false">
      <c r="A464" s="190" t="s">
        <v>2840</v>
      </c>
      <c r="B464" s="190" t="s">
        <v>2841</v>
      </c>
      <c r="C464" s="190" t="s">
        <v>1005</v>
      </c>
      <c r="D464" s="190" t="n">
        <v>1</v>
      </c>
      <c r="E464" s="190" t="n">
        <v>12</v>
      </c>
      <c r="F464" s="190" t="n">
        <v>19.5</v>
      </c>
      <c r="G464" s="190" t="n">
        <v>419.1</v>
      </c>
      <c r="H464" s="190" t="s">
        <v>1722</v>
      </c>
      <c r="I464" s="190" t="s">
        <v>2568</v>
      </c>
      <c r="J464" s="190"/>
    </row>
    <row r="465" customFormat="false" ht="14.25" hidden="false" customHeight="true" outlineLevel="0" collapsed="false">
      <c r="A465" s="190" t="s">
        <v>2842</v>
      </c>
      <c r="B465" s="190" t="s">
        <v>2843</v>
      </c>
      <c r="C465" s="190" t="s">
        <v>1007</v>
      </c>
      <c r="D465" s="190" t="n">
        <v>1</v>
      </c>
      <c r="E465" s="190" t="n">
        <v>12</v>
      </c>
      <c r="F465" s="190" t="n">
        <v>19.5</v>
      </c>
      <c r="G465" s="190" t="n">
        <v>412</v>
      </c>
      <c r="H465" s="190" t="s">
        <v>1722</v>
      </c>
      <c r="I465" s="190" t="s">
        <v>2568</v>
      </c>
      <c r="J465" s="190"/>
    </row>
    <row r="466" customFormat="false" ht="14.25" hidden="false" customHeight="true" outlineLevel="0" collapsed="false">
      <c r="A466" s="190" t="s">
        <v>2844</v>
      </c>
      <c r="B466" s="190" t="s">
        <v>2845</v>
      </c>
      <c r="C466" s="190" t="s">
        <v>1011</v>
      </c>
      <c r="D466" s="190" t="n">
        <v>1</v>
      </c>
      <c r="E466" s="190" t="n">
        <v>0</v>
      </c>
      <c r="F466" s="190" t="n">
        <v>7.5</v>
      </c>
      <c r="G466" s="190" t="n">
        <v>367.7</v>
      </c>
      <c r="H466" s="190" t="s">
        <v>1722</v>
      </c>
      <c r="I466" s="190" t="s">
        <v>177</v>
      </c>
      <c r="J466" s="190"/>
    </row>
    <row r="467" customFormat="false" ht="14.25" hidden="false" customHeight="true" outlineLevel="0" collapsed="false">
      <c r="A467" s="190" t="s">
        <v>2846</v>
      </c>
      <c r="B467" s="190" t="s">
        <v>2847</v>
      </c>
      <c r="C467" s="190" t="s">
        <v>2848</v>
      </c>
      <c r="D467" s="190" t="s">
        <v>1720</v>
      </c>
      <c r="E467" s="190" t="n">
        <v>0</v>
      </c>
      <c r="F467" s="190" t="n">
        <v>1</v>
      </c>
      <c r="G467" s="190" t="n">
        <v>414.1</v>
      </c>
      <c r="H467" s="190" t="s">
        <v>1722</v>
      </c>
      <c r="I467" s="190" t="n">
        <v>23</v>
      </c>
      <c r="J467" s="190"/>
    </row>
    <row r="468" customFormat="false" ht="14.25" hidden="false" customHeight="true" outlineLevel="0" collapsed="false">
      <c r="A468" s="190" t="s">
        <v>1210</v>
      </c>
      <c r="B468" s="190" t="s">
        <v>1209</v>
      </c>
      <c r="C468" s="190" t="s">
        <v>1016</v>
      </c>
      <c r="D468" s="190" t="n">
        <v>1</v>
      </c>
      <c r="E468" s="190" t="n">
        <v>0</v>
      </c>
      <c r="F468" s="190" t="n">
        <v>2</v>
      </c>
      <c r="G468" s="190" t="n">
        <v>66.1</v>
      </c>
      <c r="H468" s="190" t="s">
        <v>1722</v>
      </c>
      <c r="I468" s="190" t="n">
        <v>25</v>
      </c>
      <c r="J468" s="190"/>
    </row>
    <row r="469" customFormat="false" ht="14.25" hidden="false" customHeight="true" outlineLevel="0" collapsed="false">
      <c r="A469" s="190" t="s">
        <v>2849</v>
      </c>
      <c r="B469" s="190" t="s">
        <v>2850</v>
      </c>
      <c r="C469" s="190" t="s">
        <v>1017</v>
      </c>
      <c r="D469" s="190" t="n">
        <v>1</v>
      </c>
      <c r="E469" s="190" t="n">
        <v>2.5</v>
      </c>
      <c r="F469" s="190" t="n">
        <v>2.5</v>
      </c>
      <c r="G469" s="190" t="n">
        <v>342.6</v>
      </c>
      <c r="H469" s="190" t="s">
        <v>1722</v>
      </c>
      <c r="I469" s="190" t="n">
        <v>25</v>
      </c>
      <c r="J469" s="190"/>
    </row>
    <row r="470" customFormat="false" ht="14.25" hidden="false" customHeight="true" outlineLevel="0" collapsed="false">
      <c r="A470" s="190" t="s">
        <v>2851</v>
      </c>
      <c r="B470" s="190" t="s">
        <v>2852</v>
      </c>
      <c r="C470" s="190" t="s">
        <v>2853</v>
      </c>
      <c r="D470" s="190" t="s">
        <v>1720</v>
      </c>
      <c r="E470" s="190" t="n">
        <v>0</v>
      </c>
      <c r="F470" s="190" t="n">
        <v>6.42</v>
      </c>
      <c r="G470" s="190" t="n">
        <v>287</v>
      </c>
      <c r="H470" s="190" t="s">
        <v>1722</v>
      </c>
      <c r="I470" s="190" t="s">
        <v>234</v>
      </c>
      <c r="J470" s="190"/>
    </row>
    <row r="471" customFormat="false" ht="14.25" hidden="false" customHeight="true" outlineLevel="0" collapsed="false">
      <c r="A471" s="190" t="s">
        <v>2854</v>
      </c>
      <c r="B471" s="190" t="s">
        <v>2855</v>
      </c>
      <c r="C471" s="190" t="s">
        <v>2856</v>
      </c>
      <c r="D471" s="190" t="s">
        <v>1720</v>
      </c>
      <c r="E471" s="190" t="n">
        <v>0</v>
      </c>
      <c r="F471" s="190" t="n">
        <v>6.42</v>
      </c>
      <c r="G471" s="190" t="n">
        <v>286.6</v>
      </c>
      <c r="H471" s="190" t="s">
        <v>1722</v>
      </c>
      <c r="I471" s="190" t="s">
        <v>234</v>
      </c>
      <c r="J471" s="190"/>
    </row>
    <row r="472" customFormat="false" ht="14.25" hidden="false" customHeight="true" outlineLevel="0" collapsed="false">
      <c r="A472" s="190" t="s">
        <v>2857</v>
      </c>
      <c r="B472" s="190" t="s">
        <v>2858</v>
      </c>
      <c r="C472" s="190" t="s">
        <v>2859</v>
      </c>
      <c r="D472" s="190" t="s">
        <v>1720</v>
      </c>
      <c r="E472" s="190" t="n">
        <v>0</v>
      </c>
      <c r="F472" s="190" t="n">
        <v>6.42</v>
      </c>
      <c r="G472" s="190" t="n">
        <v>286.4</v>
      </c>
      <c r="H472" s="190" t="s">
        <v>1722</v>
      </c>
      <c r="I472" s="190" t="s">
        <v>234</v>
      </c>
      <c r="J472" s="190"/>
    </row>
    <row r="473" customFormat="false" ht="14.25" hidden="false" customHeight="true" outlineLevel="0" collapsed="false">
      <c r="A473" s="190" t="s">
        <v>2860</v>
      </c>
      <c r="B473" s="190" t="s">
        <v>2861</v>
      </c>
      <c r="C473" s="190" t="s">
        <v>2862</v>
      </c>
      <c r="D473" s="190" t="s">
        <v>1720</v>
      </c>
      <c r="E473" s="190" t="n">
        <v>0</v>
      </c>
      <c r="F473" s="190" t="n">
        <v>6.17</v>
      </c>
      <c r="G473" s="190" t="n">
        <v>286.1</v>
      </c>
      <c r="H473" s="190" t="s">
        <v>1722</v>
      </c>
      <c r="I473" s="190" t="s">
        <v>234</v>
      </c>
      <c r="J473" s="190"/>
    </row>
    <row r="474" customFormat="false" ht="14.25" hidden="false" customHeight="true" outlineLevel="0" collapsed="false">
      <c r="A474" s="190" t="s">
        <v>2863</v>
      </c>
      <c r="B474" s="190" t="s">
        <v>1021</v>
      </c>
      <c r="C474" s="190" t="s">
        <v>649</v>
      </c>
      <c r="D474" s="190" t="s">
        <v>1861</v>
      </c>
      <c r="E474" s="190" t="n">
        <v>1.67</v>
      </c>
      <c r="F474" s="190" t="n">
        <v>4</v>
      </c>
      <c r="G474" s="190" t="n">
        <v>220.5</v>
      </c>
      <c r="H474" s="190" t="s">
        <v>1722</v>
      </c>
      <c r="I474" s="190" t="n">
        <v>25</v>
      </c>
      <c r="J474" s="190"/>
    </row>
    <row r="475" customFormat="false" ht="14.25" hidden="false" customHeight="true" outlineLevel="0" collapsed="false">
      <c r="A475" s="190" t="s">
        <v>2864</v>
      </c>
      <c r="B475" s="190" t="s">
        <v>1036</v>
      </c>
      <c r="C475" s="190" t="s">
        <v>1037</v>
      </c>
      <c r="D475" s="190" t="n">
        <v>1</v>
      </c>
      <c r="E475" s="190" t="n">
        <v>4</v>
      </c>
      <c r="F475" s="190" t="n">
        <v>0</v>
      </c>
      <c r="G475" s="190" t="n">
        <v>0</v>
      </c>
      <c r="H475" s="190" t="s">
        <v>1721</v>
      </c>
      <c r="I475" s="190" t="s">
        <v>177</v>
      </c>
      <c r="J475" s="190"/>
    </row>
    <row r="476" customFormat="false" ht="14.25" hidden="false" customHeight="true" outlineLevel="0" collapsed="false">
      <c r="A476" s="190" t="s">
        <v>2865</v>
      </c>
      <c r="B476" s="190" t="s">
        <v>2866</v>
      </c>
      <c r="C476" s="190" t="s">
        <v>2867</v>
      </c>
      <c r="D476" s="190" t="n">
        <v>1</v>
      </c>
      <c r="E476" s="190" t="n">
        <v>20</v>
      </c>
      <c r="F476" s="190" t="n">
        <v>9</v>
      </c>
      <c r="G476" s="190" t="n">
        <v>120.5</v>
      </c>
      <c r="H476" s="190" t="s">
        <v>1722</v>
      </c>
      <c r="I476" s="190" t="s">
        <v>1894</v>
      </c>
      <c r="J476" s="190"/>
    </row>
    <row r="477" customFormat="false" ht="14.25" hidden="false" customHeight="true" outlineLevel="0" collapsed="false">
      <c r="A477" s="190" t="s">
        <v>2868</v>
      </c>
      <c r="B477" s="190" t="s">
        <v>2869</v>
      </c>
      <c r="C477" s="190" t="s">
        <v>2870</v>
      </c>
      <c r="D477" s="190" t="n">
        <v>1</v>
      </c>
      <c r="E477" s="190" t="n">
        <v>56</v>
      </c>
      <c r="F477" s="190" t="n">
        <v>56.2</v>
      </c>
      <c r="G477" s="190" t="n">
        <v>239.7</v>
      </c>
      <c r="H477" s="190" t="s">
        <v>1722</v>
      </c>
      <c r="I477" s="190" t="s">
        <v>1883</v>
      </c>
      <c r="J477" s="190"/>
    </row>
    <row r="478" customFormat="false" ht="14.25" hidden="false" customHeight="true" outlineLevel="0" collapsed="false">
      <c r="A478" s="190" t="s">
        <v>2871</v>
      </c>
      <c r="B478" s="190" t="s">
        <v>2872</v>
      </c>
      <c r="C478" s="190" t="s">
        <v>2873</v>
      </c>
      <c r="D478" s="190" t="s">
        <v>1720</v>
      </c>
      <c r="E478" s="190" t="n">
        <v>4</v>
      </c>
      <c r="F478" s="190" t="n">
        <v>0</v>
      </c>
      <c r="G478" s="190" t="n">
        <v>0</v>
      </c>
      <c r="H478" s="190" t="s">
        <v>1721</v>
      </c>
      <c r="I478" s="190" t="s">
        <v>2874</v>
      </c>
      <c r="J478" s="190"/>
    </row>
    <row r="479" customFormat="false" ht="14.25" hidden="false" customHeight="true" outlineLevel="0" collapsed="false">
      <c r="A479" s="190" t="s">
        <v>2875</v>
      </c>
      <c r="B479" s="190" t="s">
        <v>2876</v>
      </c>
      <c r="C479" s="190" t="s">
        <v>2877</v>
      </c>
      <c r="D479" s="190" t="s">
        <v>1720</v>
      </c>
      <c r="E479" s="190" t="n">
        <v>4</v>
      </c>
      <c r="F479" s="190" t="n">
        <v>0</v>
      </c>
      <c r="G479" s="190" t="n">
        <v>0</v>
      </c>
      <c r="H479" s="190" t="s">
        <v>1721</v>
      </c>
      <c r="I479" s="190" t="s">
        <v>2874</v>
      </c>
      <c r="J479" s="190"/>
    </row>
    <row r="480" customFormat="false" ht="14.25" hidden="false" customHeight="true" outlineLevel="0" collapsed="false">
      <c r="A480" s="190" t="s">
        <v>2878</v>
      </c>
      <c r="B480" s="190" t="s">
        <v>2879</v>
      </c>
      <c r="C480" s="190" t="s">
        <v>2880</v>
      </c>
      <c r="D480" s="190" t="s">
        <v>1720</v>
      </c>
      <c r="E480" s="190" t="n">
        <v>0</v>
      </c>
      <c r="F480" s="190" t="n">
        <v>0</v>
      </c>
      <c r="G480" s="190" t="n">
        <v>0</v>
      </c>
      <c r="H480" s="190" t="s">
        <v>1721</v>
      </c>
      <c r="I480" s="190" t="s">
        <v>2881</v>
      </c>
      <c r="J480" s="190"/>
    </row>
    <row r="481" customFormat="false" ht="14.25" hidden="false" customHeight="true" outlineLevel="0" collapsed="false">
      <c r="A481" s="190" t="s">
        <v>2882</v>
      </c>
      <c r="B481" s="190" t="s">
        <v>2883</v>
      </c>
      <c r="C481" s="190" t="s">
        <v>2884</v>
      </c>
      <c r="D481" s="190" t="s">
        <v>1720</v>
      </c>
      <c r="E481" s="190" t="n">
        <v>12</v>
      </c>
      <c r="F481" s="190" t="n">
        <v>2</v>
      </c>
      <c r="G481" s="190" t="n">
        <v>240.1</v>
      </c>
      <c r="H481" s="190" t="s">
        <v>1722</v>
      </c>
      <c r="I481" s="190" t="s">
        <v>1865</v>
      </c>
      <c r="J481" s="190"/>
    </row>
    <row r="482" customFormat="false" ht="14.25" hidden="false" customHeight="true" outlineLevel="0" collapsed="false">
      <c r="A482" s="190" t="s">
        <v>2885</v>
      </c>
      <c r="B482" s="190" t="s">
        <v>2886</v>
      </c>
      <c r="C482" s="190" t="s">
        <v>2887</v>
      </c>
      <c r="D482" s="190" t="s">
        <v>1720</v>
      </c>
      <c r="E482" s="190" t="n">
        <v>12</v>
      </c>
      <c r="F482" s="190" t="n">
        <v>2</v>
      </c>
      <c r="G482" s="190" t="n">
        <v>239</v>
      </c>
      <c r="H482" s="190" t="s">
        <v>1722</v>
      </c>
      <c r="I482" s="190" t="s">
        <v>2874</v>
      </c>
      <c r="J482" s="190"/>
    </row>
    <row r="483" customFormat="false" ht="14.25" hidden="false" customHeight="true" outlineLevel="0" collapsed="false">
      <c r="A483" s="190" t="s">
        <v>2888</v>
      </c>
      <c r="B483" s="190" t="s">
        <v>2889</v>
      </c>
      <c r="C483" s="190" t="s">
        <v>2890</v>
      </c>
      <c r="D483" s="190" t="n">
        <v>1</v>
      </c>
      <c r="E483" s="190" t="n">
        <v>6</v>
      </c>
      <c r="F483" s="190" t="n">
        <v>0</v>
      </c>
      <c r="G483" s="190" t="n">
        <v>0</v>
      </c>
      <c r="H483" s="190" t="s">
        <v>1721</v>
      </c>
      <c r="I483" s="190" t="s">
        <v>2301</v>
      </c>
      <c r="J483" s="190"/>
    </row>
    <row r="484" customFormat="false" ht="14.25" hidden="false" customHeight="true" outlineLevel="0" collapsed="false">
      <c r="A484" s="190" t="s">
        <v>2891</v>
      </c>
      <c r="B484" s="190" t="s">
        <v>2892</v>
      </c>
      <c r="C484" s="190" t="s">
        <v>2893</v>
      </c>
      <c r="D484" s="190" t="n">
        <v>1</v>
      </c>
      <c r="E484" s="190" t="n">
        <v>7.5</v>
      </c>
      <c r="F484" s="190" t="n">
        <v>0</v>
      </c>
      <c r="G484" s="190" t="n">
        <v>0</v>
      </c>
      <c r="H484" s="190" t="s">
        <v>1721</v>
      </c>
      <c r="I484" s="190" t="s">
        <v>2057</v>
      </c>
      <c r="J484" s="190"/>
    </row>
    <row r="485" customFormat="false" ht="14.25" hidden="false" customHeight="true" outlineLevel="0" collapsed="false">
      <c r="A485" s="190" t="s">
        <v>2894</v>
      </c>
      <c r="B485" s="190" t="s">
        <v>2895</v>
      </c>
      <c r="C485" s="190" t="s">
        <v>2896</v>
      </c>
      <c r="D485" s="190" t="n">
        <v>1</v>
      </c>
      <c r="E485" s="190" t="n">
        <v>3.7</v>
      </c>
      <c r="F485" s="190" t="n">
        <v>84.2</v>
      </c>
      <c r="G485" s="190" t="n">
        <v>153.6</v>
      </c>
      <c r="H485" s="190" t="s">
        <v>1722</v>
      </c>
      <c r="I485" s="190" t="n">
        <v>53</v>
      </c>
      <c r="J485" s="190"/>
    </row>
    <row r="486" customFormat="false" ht="14.25" hidden="false" customHeight="true" outlineLevel="0" collapsed="false">
      <c r="A486" s="190" t="s">
        <v>2897</v>
      </c>
      <c r="B486" s="190" t="s">
        <v>2898</v>
      </c>
      <c r="C486" s="190" t="s">
        <v>2899</v>
      </c>
      <c r="D486" s="190" t="s">
        <v>2552</v>
      </c>
      <c r="E486" s="190" t="n">
        <v>2</v>
      </c>
      <c r="F486" s="190" t="n">
        <v>0</v>
      </c>
      <c r="G486" s="190" t="n">
        <v>0</v>
      </c>
      <c r="H486" s="190" t="s">
        <v>1721</v>
      </c>
      <c r="I486" s="190" t="n">
        <v>44</v>
      </c>
      <c r="J486" s="190"/>
    </row>
    <row r="487" customFormat="false" ht="14.25" hidden="false" customHeight="true" outlineLevel="0" collapsed="false">
      <c r="A487" s="190" t="s">
        <v>2900</v>
      </c>
      <c r="B487" s="190" t="s">
        <v>2901</v>
      </c>
      <c r="C487" s="190" t="s">
        <v>2902</v>
      </c>
      <c r="D487" s="190" t="s">
        <v>1720</v>
      </c>
      <c r="E487" s="190" t="n">
        <v>48</v>
      </c>
      <c r="F487" s="190" t="n">
        <v>116.2</v>
      </c>
      <c r="G487" s="190" t="n">
        <v>98.1</v>
      </c>
      <c r="H487" s="190" t="s">
        <v>1722</v>
      </c>
      <c r="I487" s="190" t="s">
        <v>1865</v>
      </c>
      <c r="J487" s="190"/>
    </row>
    <row r="488" customFormat="false" ht="14.25" hidden="false" customHeight="true" outlineLevel="0" collapsed="false">
      <c r="A488" s="190" t="s">
        <v>2903</v>
      </c>
      <c r="B488" s="190" t="s">
        <v>1062</v>
      </c>
      <c r="C488" s="190" t="s">
        <v>1063</v>
      </c>
      <c r="D488" s="190" t="n">
        <v>1</v>
      </c>
      <c r="E488" s="190" t="n">
        <v>8</v>
      </c>
      <c r="F488" s="190" t="n">
        <v>13</v>
      </c>
      <c r="G488" s="190" t="n">
        <v>131.1</v>
      </c>
      <c r="H488" s="190" t="s">
        <v>1722</v>
      </c>
      <c r="I488" s="190" t="s">
        <v>2568</v>
      </c>
      <c r="J488" s="190"/>
    </row>
    <row r="489" customFormat="false" ht="14.25" hidden="false" customHeight="true" outlineLevel="0" collapsed="false">
      <c r="A489" s="190" t="s">
        <v>2904</v>
      </c>
      <c r="B489" s="190" t="s">
        <v>1066</v>
      </c>
      <c r="C489" s="190" t="s">
        <v>1067</v>
      </c>
      <c r="D489" s="190" t="n">
        <v>1</v>
      </c>
      <c r="E489" s="190" t="n">
        <v>0</v>
      </c>
      <c r="F489" s="190" t="n">
        <v>0</v>
      </c>
      <c r="G489" s="190" t="n">
        <v>0</v>
      </c>
      <c r="H489" s="190" t="s">
        <v>1721</v>
      </c>
      <c r="I489" s="190" t="n">
        <v>25</v>
      </c>
      <c r="J489" s="190"/>
    </row>
    <row r="490" customFormat="false" ht="14.25" hidden="false" customHeight="true" outlineLevel="0" collapsed="false">
      <c r="A490" s="190" t="s">
        <v>2905</v>
      </c>
      <c r="B490" s="190" t="s">
        <v>1070</v>
      </c>
      <c r="C490" s="190" t="s">
        <v>1071</v>
      </c>
      <c r="D490" s="190" t="n">
        <v>1</v>
      </c>
      <c r="E490" s="190" t="n">
        <v>0</v>
      </c>
      <c r="F490" s="190" t="n">
        <v>0</v>
      </c>
      <c r="G490" s="190" t="n">
        <v>0</v>
      </c>
      <c r="H490" s="190" t="s">
        <v>1721</v>
      </c>
      <c r="I490" s="190" t="s">
        <v>63</v>
      </c>
      <c r="J490" s="190"/>
    </row>
    <row r="491" customFormat="false" ht="14.25" hidden="false" customHeight="true" outlineLevel="0" collapsed="false">
      <c r="A491" s="190" t="s">
        <v>2906</v>
      </c>
      <c r="B491" s="190" t="s">
        <v>1072</v>
      </c>
      <c r="C491" s="190" t="s">
        <v>1073</v>
      </c>
      <c r="D491" s="190" t="n">
        <v>1</v>
      </c>
      <c r="E491" s="190" t="n">
        <v>0</v>
      </c>
      <c r="F491" s="190" t="n">
        <v>0</v>
      </c>
      <c r="G491" s="190" t="n">
        <v>0</v>
      </c>
      <c r="H491" s="190" t="s">
        <v>1721</v>
      </c>
      <c r="I491" s="190" t="s">
        <v>63</v>
      </c>
      <c r="J491" s="190"/>
    </row>
    <row r="492" customFormat="false" ht="14.25" hidden="false" customHeight="true" outlineLevel="0" collapsed="false">
      <c r="A492" s="190" t="s">
        <v>2907</v>
      </c>
      <c r="B492" s="190" t="s">
        <v>1074</v>
      </c>
      <c r="C492" s="190" t="s">
        <v>1075</v>
      </c>
      <c r="D492" s="190" t="n">
        <v>1</v>
      </c>
      <c r="E492" s="190" t="n">
        <v>0</v>
      </c>
      <c r="F492" s="190" t="n">
        <v>0</v>
      </c>
      <c r="G492" s="190" t="n">
        <v>0</v>
      </c>
      <c r="H492" s="190" t="s">
        <v>1721</v>
      </c>
      <c r="I492" s="190" t="s">
        <v>63</v>
      </c>
      <c r="J492" s="190"/>
    </row>
    <row r="493" customFormat="false" ht="14.25" hidden="false" customHeight="true" outlineLevel="0" collapsed="false">
      <c r="A493" s="190" t="s">
        <v>2908</v>
      </c>
      <c r="B493" s="190" t="s">
        <v>2909</v>
      </c>
      <c r="C493" s="190" t="s">
        <v>2910</v>
      </c>
      <c r="D493" s="190" t="n">
        <v>1</v>
      </c>
      <c r="E493" s="190" t="n">
        <v>1.17</v>
      </c>
      <c r="F493" s="190" t="n">
        <v>10</v>
      </c>
      <c r="G493" s="190" t="n">
        <v>96.1</v>
      </c>
      <c r="H493" s="190" t="s">
        <v>1722</v>
      </c>
      <c r="I493" s="190" t="s">
        <v>38</v>
      </c>
      <c r="J493" s="190" t="s">
        <v>2911</v>
      </c>
    </row>
    <row r="494" customFormat="false" ht="14.25" hidden="false" customHeight="true" outlineLevel="0" collapsed="false">
      <c r="A494" s="190" t="s">
        <v>2912</v>
      </c>
      <c r="B494" s="190" t="s">
        <v>2913</v>
      </c>
      <c r="C494" s="190" t="s">
        <v>2914</v>
      </c>
      <c r="D494" s="190" t="n">
        <v>1</v>
      </c>
      <c r="E494" s="190" t="n">
        <v>4</v>
      </c>
      <c r="F494" s="190" t="n">
        <v>4</v>
      </c>
      <c r="G494" s="190" t="n">
        <v>78.2</v>
      </c>
      <c r="H494" s="190" t="s">
        <v>1722</v>
      </c>
      <c r="I494" s="190" t="s">
        <v>1873</v>
      </c>
      <c r="J494" s="190"/>
    </row>
    <row r="495" customFormat="false" ht="14.25" hidden="false" customHeight="true" outlineLevel="0" collapsed="false">
      <c r="A495" s="190" t="s">
        <v>2915</v>
      </c>
      <c r="B495" s="190" t="s">
        <v>2916</v>
      </c>
      <c r="C495" s="190" t="s">
        <v>2917</v>
      </c>
      <c r="D495" s="190" t="n">
        <v>1</v>
      </c>
      <c r="E495" s="190" t="n">
        <v>0</v>
      </c>
      <c r="F495" s="190" t="n">
        <v>14</v>
      </c>
      <c r="G495" s="190" t="n">
        <v>58.1</v>
      </c>
      <c r="H495" s="190" t="s">
        <v>1722</v>
      </c>
      <c r="I495" s="190" t="s">
        <v>2363</v>
      </c>
      <c r="J495" s="190"/>
    </row>
    <row r="496" customFormat="false" ht="14.25" hidden="false" customHeight="true" outlineLevel="0" collapsed="false">
      <c r="A496" s="190" t="s">
        <v>2918</v>
      </c>
      <c r="B496" s="190" t="s">
        <v>2919</v>
      </c>
      <c r="C496" s="190" t="s">
        <v>2920</v>
      </c>
      <c r="D496" s="190" t="n">
        <v>1</v>
      </c>
      <c r="E496" s="190" t="n">
        <v>0</v>
      </c>
      <c r="F496" s="190" t="n">
        <v>8</v>
      </c>
      <c r="G496" s="190" t="n">
        <v>58.1</v>
      </c>
      <c r="H496" s="190" t="s">
        <v>1722</v>
      </c>
      <c r="I496" s="190" t="s">
        <v>2363</v>
      </c>
      <c r="J496" s="190"/>
    </row>
    <row r="497" customFormat="false" ht="14.25" hidden="false" customHeight="true" outlineLevel="0" collapsed="false">
      <c r="A497" s="190" t="s">
        <v>2921</v>
      </c>
      <c r="B497" s="190" t="s">
        <v>2922</v>
      </c>
      <c r="C497" s="190" t="s">
        <v>2923</v>
      </c>
      <c r="D497" s="190" t="n">
        <v>1</v>
      </c>
      <c r="E497" s="190" t="n">
        <v>0</v>
      </c>
      <c r="F497" s="190" t="n">
        <v>29.7</v>
      </c>
      <c r="G497" s="190" t="n">
        <v>58.1</v>
      </c>
      <c r="H497" s="190" t="s">
        <v>1722</v>
      </c>
      <c r="I497" s="190" t="s">
        <v>2363</v>
      </c>
      <c r="J497" s="190"/>
    </row>
    <row r="498" customFormat="false" ht="14.25" hidden="false" customHeight="true" outlineLevel="0" collapsed="false">
      <c r="A498" s="190" t="s">
        <v>2924</v>
      </c>
      <c r="B498" s="190" t="s">
        <v>2925</v>
      </c>
      <c r="C498" s="190" t="s">
        <v>2926</v>
      </c>
      <c r="D498" s="190" t="n">
        <v>1</v>
      </c>
      <c r="E498" s="190" t="n">
        <v>0</v>
      </c>
      <c r="F498" s="190" t="n">
        <v>4.5</v>
      </c>
      <c r="G498" s="190" t="n">
        <v>22.28</v>
      </c>
      <c r="H498" s="190" t="s">
        <v>1722</v>
      </c>
      <c r="I498" s="190" t="s">
        <v>1790</v>
      </c>
      <c r="J498" s="190"/>
    </row>
    <row r="499" customFormat="false" ht="14.25" hidden="false" customHeight="true" outlineLevel="0" collapsed="false">
      <c r="A499" s="190" t="s">
        <v>2927</v>
      </c>
      <c r="B499" s="190" t="s">
        <v>1080</v>
      </c>
      <c r="C499" s="190" t="s">
        <v>1081</v>
      </c>
      <c r="D499" s="190" t="n">
        <v>1</v>
      </c>
      <c r="E499" s="190" t="n">
        <v>0</v>
      </c>
      <c r="F499" s="190" t="n">
        <v>0</v>
      </c>
      <c r="G499" s="190" t="n">
        <v>0</v>
      </c>
      <c r="H499" s="190" t="s">
        <v>1721</v>
      </c>
      <c r="I499" s="190" t="n">
        <v>35</v>
      </c>
      <c r="J499" s="190"/>
    </row>
    <row r="500" customFormat="false" ht="14.25" hidden="false" customHeight="true" outlineLevel="0" collapsed="false">
      <c r="A500" s="190" t="s">
        <v>2928</v>
      </c>
      <c r="B500" s="190" t="s">
        <v>2929</v>
      </c>
      <c r="C500" s="190" t="s">
        <v>2930</v>
      </c>
      <c r="D500" s="190" t="n">
        <v>1</v>
      </c>
      <c r="E500" s="190" t="n">
        <v>4.43</v>
      </c>
      <c r="F500" s="190" t="n">
        <v>12.25</v>
      </c>
      <c r="G500" s="190" t="n">
        <v>3.88</v>
      </c>
      <c r="H500" s="190" t="s">
        <v>22</v>
      </c>
      <c r="I500" s="190" t="s">
        <v>38</v>
      </c>
      <c r="J500" s="190" t="s">
        <v>1842</v>
      </c>
    </row>
    <row r="501" customFormat="false" ht="14.25" hidden="false" customHeight="true" outlineLevel="0" collapsed="false">
      <c r="A501" s="190" t="s">
        <v>2931</v>
      </c>
      <c r="B501" s="190" t="s">
        <v>2932</v>
      </c>
      <c r="C501" s="190" t="s">
        <v>2933</v>
      </c>
      <c r="D501" s="190" t="n">
        <v>1</v>
      </c>
      <c r="E501" s="190" t="n">
        <v>0.32</v>
      </c>
      <c r="F501" s="190" t="n">
        <v>1.5</v>
      </c>
      <c r="G501" s="190" t="n">
        <v>3.05</v>
      </c>
      <c r="H501" s="190" t="s">
        <v>22</v>
      </c>
      <c r="I501" s="190" t="s">
        <v>38</v>
      </c>
      <c r="J501" s="190" t="s">
        <v>2934</v>
      </c>
    </row>
    <row r="502" customFormat="false" ht="14.25" hidden="false" customHeight="true" outlineLevel="0" collapsed="false">
      <c r="A502" s="190" t="s">
        <v>2935</v>
      </c>
      <c r="B502" s="190" t="s">
        <v>2936</v>
      </c>
      <c r="C502" s="190" t="s">
        <v>2937</v>
      </c>
      <c r="D502" s="190" t="n">
        <v>1</v>
      </c>
      <c r="E502" s="190" t="n">
        <v>0.32</v>
      </c>
      <c r="F502" s="190" t="n">
        <v>1.5</v>
      </c>
      <c r="G502" s="190" t="n">
        <v>3.02</v>
      </c>
      <c r="H502" s="190" t="s">
        <v>22</v>
      </c>
      <c r="I502" s="190" t="s">
        <v>38</v>
      </c>
      <c r="J502" s="190" t="s">
        <v>2934</v>
      </c>
    </row>
    <row r="503" customFormat="false" ht="14.25" hidden="false" customHeight="true" outlineLevel="0" collapsed="false">
      <c r="A503" s="190" t="s">
        <v>2938</v>
      </c>
      <c r="B503" s="190" t="s">
        <v>2939</v>
      </c>
      <c r="C503" s="190" t="s">
        <v>2940</v>
      </c>
      <c r="D503" s="190" t="n">
        <v>1</v>
      </c>
      <c r="E503" s="190" t="n">
        <v>0.32</v>
      </c>
      <c r="F503" s="190" t="n">
        <v>0.5</v>
      </c>
      <c r="G503" s="190" t="n">
        <v>0.5</v>
      </c>
      <c r="H503" s="190" t="s">
        <v>22</v>
      </c>
      <c r="I503" s="190" t="s">
        <v>38</v>
      </c>
      <c r="J503" s="190" t="s">
        <v>2934</v>
      </c>
    </row>
    <row r="504" customFormat="false" ht="14.25" hidden="false" customHeight="true" outlineLevel="0" collapsed="false">
      <c r="A504" s="190" t="s">
        <v>2941</v>
      </c>
      <c r="B504" s="190" t="s">
        <v>2942</v>
      </c>
      <c r="C504" s="190" t="s">
        <v>2943</v>
      </c>
      <c r="D504" s="190" t="n">
        <v>1</v>
      </c>
      <c r="E504" s="190" t="n">
        <v>1.32</v>
      </c>
      <c r="F504" s="190" t="n">
        <v>12</v>
      </c>
      <c r="G504" s="190" t="n">
        <v>2.02</v>
      </c>
      <c r="H504" s="190" t="s">
        <v>22</v>
      </c>
      <c r="I504" s="190" t="s">
        <v>38</v>
      </c>
      <c r="J504" s="190" t="s">
        <v>1847</v>
      </c>
    </row>
    <row r="505" customFormat="false" ht="14.25" hidden="false" customHeight="true" outlineLevel="0" collapsed="false">
      <c r="A505" s="190" t="s">
        <v>2944</v>
      </c>
      <c r="B505" s="190" t="s">
        <v>2945</v>
      </c>
      <c r="C505" s="190" t="s">
        <v>2946</v>
      </c>
      <c r="D505" s="190" t="n">
        <v>1</v>
      </c>
      <c r="E505" s="190" t="n">
        <v>2.2</v>
      </c>
      <c r="F505" s="190" t="n">
        <v>3</v>
      </c>
      <c r="G505" s="190" t="n">
        <v>1.5</v>
      </c>
      <c r="H505" s="190" t="s">
        <v>22</v>
      </c>
      <c r="I505" s="190" t="s">
        <v>38</v>
      </c>
      <c r="J505" s="190" t="s">
        <v>2934</v>
      </c>
    </row>
    <row r="506" customFormat="false" ht="14.25" hidden="false" customHeight="true" outlineLevel="0" collapsed="false">
      <c r="A506" s="190" t="s">
        <v>2947</v>
      </c>
      <c r="B506" s="190" t="s">
        <v>2948</v>
      </c>
      <c r="C506" s="190" t="s">
        <v>2949</v>
      </c>
      <c r="D506" s="190" t="n">
        <v>1</v>
      </c>
      <c r="E506" s="190" t="n">
        <v>1.27</v>
      </c>
      <c r="F506" s="190" t="n">
        <v>4</v>
      </c>
      <c r="G506" s="190" t="n">
        <v>2</v>
      </c>
      <c r="H506" s="190" t="s">
        <v>22</v>
      </c>
      <c r="I506" s="190" t="s">
        <v>38</v>
      </c>
      <c r="J506" s="190" t="s">
        <v>2934</v>
      </c>
    </row>
    <row r="507" customFormat="false" ht="14.25" hidden="false" customHeight="true" outlineLevel="0" collapsed="false">
      <c r="A507" s="190" t="s">
        <v>2950</v>
      </c>
      <c r="B507" s="190" t="s">
        <v>2951</v>
      </c>
      <c r="C507" s="190" t="s">
        <v>2952</v>
      </c>
      <c r="D507" s="190" t="n">
        <v>1</v>
      </c>
      <c r="E507" s="190" t="n">
        <v>1.35</v>
      </c>
      <c r="F507" s="190" t="n">
        <v>12</v>
      </c>
      <c r="G507" s="190" t="n">
        <v>6</v>
      </c>
      <c r="H507" s="190" t="s">
        <v>22</v>
      </c>
      <c r="I507" s="190" t="s">
        <v>38</v>
      </c>
      <c r="J507" s="190" t="s">
        <v>1990</v>
      </c>
    </row>
    <row r="508" customFormat="false" ht="14.25" hidden="false" customHeight="true" outlineLevel="0" collapsed="false">
      <c r="A508" s="190" t="s">
        <v>2953</v>
      </c>
      <c r="B508" s="190" t="s">
        <v>2954</v>
      </c>
      <c r="C508" s="190" t="s">
        <v>2955</v>
      </c>
      <c r="D508" s="190" t="n">
        <v>1</v>
      </c>
      <c r="E508" s="190" t="n">
        <v>9.9</v>
      </c>
      <c r="F508" s="190" t="n">
        <v>1</v>
      </c>
      <c r="G508" s="190" t="n">
        <v>1</v>
      </c>
      <c r="H508" s="190" t="s">
        <v>22</v>
      </c>
      <c r="I508" s="190" t="s">
        <v>38</v>
      </c>
      <c r="J508" s="190" t="s">
        <v>2934</v>
      </c>
    </row>
    <row r="509" customFormat="false" ht="14.25" hidden="false" customHeight="true" outlineLevel="0" collapsed="false">
      <c r="A509" s="190" t="s">
        <v>2956</v>
      </c>
      <c r="B509" s="190" t="s">
        <v>2957</v>
      </c>
      <c r="C509" s="190" t="s">
        <v>2958</v>
      </c>
      <c r="D509" s="190" t="n">
        <v>1</v>
      </c>
      <c r="E509" s="190" t="n">
        <v>1.32</v>
      </c>
      <c r="F509" s="190" t="n">
        <v>6</v>
      </c>
      <c r="G509" s="190" t="n">
        <v>2</v>
      </c>
      <c r="H509" s="190" t="s">
        <v>22</v>
      </c>
      <c r="I509" s="190" t="s">
        <v>38</v>
      </c>
      <c r="J509" s="190" t="s">
        <v>1990</v>
      </c>
    </row>
    <row r="510" customFormat="false" ht="14.25" hidden="false" customHeight="true" outlineLevel="0" collapsed="false">
      <c r="A510" s="190" t="s">
        <v>2959</v>
      </c>
      <c r="B510" s="190" t="s">
        <v>2960</v>
      </c>
      <c r="C510" s="190" t="s">
        <v>2961</v>
      </c>
      <c r="D510" s="190" t="n">
        <v>1</v>
      </c>
      <c r="E510" s="190" t="n">
        <v>3.3</v>
      </c>
      <c r="F510" s="190" t="n">
        <v>1</v>
      </c>
      <c r="G510" s="190" t="n">
        <v>1</v>
      </c>
      <c r="H510" s="190" t="s">
        <v>22</v>
      </c>
      <c r="I510" s="190" t="s">
        <v>38</v>
      </c>
      <c r="J510" s="190" t="s">
        <v>1737</v>
      </c>
    </row>
    <row r="511" customFormat="false" ht="14.25" hidden="false" customHeight="true" outlineLevel="0" collapsed="false">
      <c r="A511" s="190" t="s">
        <v>2962</v>
      </c>
      <c r="B511" s="190" t="s">
        <v>2963</v>
      </c>
      <c r="C511" s="190" t="s">
        <v>2964</v>
      </c>
      <c r="D511" s="190" t="n">
        <v>1</v>
      </c>
      <c r="E511" s="190" t="n">
        <v>8.35</v>
      </c>
      <c r="F511" s="190" t="n">
        <v>1</v>
      </c>
      <c r="G511" s="190" t="n">
        <v>1</v>
      </c>
      <c r="H511" s="190" t="s">
        <v>22</v>
      </c>
      <c r="I511" s="190" t="s">
        <v>38</v>
      </c>
      <c r="J511" s="190" t="s">
        <v>2934</v>
      </c>
    </row>
    <row r="512" customFormat="false" ht="14.25" hidden="false" customHeight="true" outlineLevel="0" collapsed="false">
      <c r="A512" s="190" t="s">
        <v>2965</v>
      </c>
      <c r="B512" s="190" t="s">
        <v>2966</v>
      </c>
      <c r="C512" s="190" t="s">
        <v>2967</v>
      </c>
      <c r="D512" s="190" t="n">
        <v>1</v>
      </c>
      <c r="E512" s="190" t="n">
        <v>38.1</v>
      </c>
      <c r="F512" s="190" t="n">
        <v>12</v>
      </c>
      <c r="G512" s="190" t="n">
        <v>84</v>
      </c>
      <c r="H512" s="190" t="s">
        <v>22</v>
      </c>
      <c r="I512" s="190" t="s">
        <v>38</v>
      </c>
      <c r="J512" s="190" t="s">
        <v>2968</v>
      </c>
    </row>
    <row r="513" customFormat="false" ht="14.25" hidden="false" customHeight="true" outlineLevel="0" collapsed="false">
      <c r="A513" s="190" t="s">
        <v>2969</v>
      </c>
      <c r="B513" s="190" t="s">
        <v>2970</v>
      </c>
      <c r="C513" s="190" t="s">
        <v>2971</v>
      </c>
      <c r="D513" s="190" t="n">
        <v>1</v>
      </c>
      <c r="E513" s="190" t="n">
        <v>81.4</v>
      </c>
      <c r="F513" s="190" t="n">
        <v>15</v>
      </c>
      <c r="G513" s="190" t="n">
        <v>85.3</v>
      </c>
      <c r="H513" s="190" t="s">
        <v>22</v>
      </c>
      <c r="I513" s="190" t="s">
        <v>38</v>
      </c>
      <c r="J513" s="190" t="s">
        <v>2968</v>
      </c>
    </row>
    <row r="514" customFormat="false" ht="14.25" hidden="false" customHeight="true" outlineLevel="0" collapsed="false">
      <c r="A514" s="190" t="s">
        <v>2972</v>
      </c>
      <c r="B514" s="190" t="s">
        <v>2973</v>
      </c>
      <c r="C514" s="190" t="s">
        <v>2974</v>
      </c>
      <c r="D514" s="190" t="n">
        <v>1</v>
      </c>
      <c r="E514" s="190" t="n">
        <v>0.65</v>
      </c>
      <c r="F514" s="190" t="n">
        <v>8</v>
      </c>
      <c r="G514" s="190" t="n">
        <v>4.02</v>
      </c>
      <c r="H514" s="190" t="s">
        <v>22</v>
      </c>
      <c r="I514" s="190" t="s">
        <v>38</v>
      </c>
      <c r="J514" s="190" t="s">
        <v>2975</v>
      </c>
    </row>
    <row r="515" customFormat="false" ht="14.25" hidden="false" customHeight="true" outlineLevel="0" collapsed="false">
      <c r="A515" s="190" t="s">
        <v>2976</v>
      </c>
      <c r="B515" s="190" t="s">
        <v>2977</v>
      </c>
      <c r="C515" s="190" t="s">
        <v>2978</v>
      </c>
      <c r="D515" s="190" t="n">
        <v>1</v>
      </c>
      <c r="E515" s="190" t="n">
        <v>5.72</v>
      </c>
      <c r="F515" s="190" t="n">
        <v>8</v>
      </c>
      <c r="G515" s="190" t="n">
        <v>4.02</v>
      </c>
      <c r="H515" s="190" t="s">
        <v>22</v>
      </c>
      <c r="I515" s="190" t="s">
        <v>38</v>
      </c>
      <c r="J515" s="190" t="s">
        <v>2975</v>
      </c>
    </row>
    <row r="516" customFormat="false" ht="14.25" hidden="false" customHeight="true" outlineLevel="0" collapsed="false">
      <c r="A516" s="190" t="s">
        <v>33</v>
      </c>
      <c r="B516" s="190" t="s">
        <v>31</v>
      </c>
      <c r="C516" s="190" t="s">
        <v>32</v>
      </c>
      <c r="D516" s="190" t="n">
        <v>1</v>
      </c>
      <c r="E516" s="190" t="n">
        <v>7.15</v>
      </c>
      <c r="F516" s="190" t="n">
        <v>13.5</v>
      </c>
      <c r="G516" s="190" t="n">
        <v>22.17</v>
      </c>
      <c r="H516" s="190" t="s">
        <v>22</v>
      </c>
      <c r="I516" s="190" t="s">
        <v>38</v>
      </c>
      <c r="J516" s="190" t="s">
        <v>1736</v>
      </c>
    </row>
    <row r="517" customFormat="false" ht="14.25" hidden="false" customHeight="true" outlineLevel="0" collapsed="false">
      <c r="A517" s="190" t="s">
        <v>2979</v>
      </c>
      <c r="B517" s="190" t="s">
        <v>2980</v>
      </c>
      <c r="C517" s="190" t="s">
        <v>2981</v>
      </c>
      <c r="D517" s="190" t="n">
        <v>1</v>
      </c>
      <c r="E517" s="190" t="n">
        <v>0.43</v>
      </c>
      <c r="F517" s="190" t="n">
        <v>1</v>
      </c>
      <c r="G517" s="190" t="n">
        <v>0.5</v>
      </c>
      <c r="H517" s="190" t="s">
        <v>22</v>
      </c>
      <c r="I517" s="190" t="s">
        <v>38</v>
      </c>
      <c r="J517" s="190" t="s">
        <v>2934</v>
      </c>
    </row>
    <row r="518" customFormat="false" ht="14.25" hidden="false" customHeight="true" outlineLevel="0" collapsed="false">
      <c r="A518" s="190" t="s">
        <v>2982</v>
      </c>
      <c r="B518" s="190" t="s">
        <v>2983</v>
      </c>
      <c r="C518" s="190" t="s">
        <v>2984</v>
      </c>
      <c r="D518" s="190" t="n">
        <v>1</v>
      </c>
      <c r="E518" s="190" t="n">
        <v>1.13</v>
      </c>
      <c r="F518" s="190" t="n">
        <v>5.75</v>
      </c>
      <c r="G518" s="190" t="n">
        <v>39.3</v>
      </c>
      <c r="H518" s="190" t="s">
        <v>22</v>
      </c>
      <c r="I518" s="190" t="s">
        <v>38</v>
      </c>
      <c r="J518" s="190" t="s">
        <v>1736</v>
      </c>
    </row>
    <row r="519" customFormat="false" ht="14.25" hidden="false" customHeight="true" outlineLevel="0" collapsed="false">
      <c r="A519" s="190" t="s">
        <v>2985</v>
      </c>
      <c r="B519" s="190" t="s">
        <v>2986</v>
      </c>
      <c r="C519" s="190" t="s">
        <v>2987</v>
      </c>
      <c r="D519" s="190" t="n">
        <v>1</v>
      </c>
      <c r="E519" s="190" t="n">
        <v>1.13</v>
      </c>
      <c r="F519" s="190" t="n">
        <v>2.33</v>
      </c>
      <c r="G519" s="190" t="n">
        <v>39.9</v>
      </c>
      <c r="H519" s="190" t="s">
        <v>22</v>
      </c>
      <c r="I519" s="190" t="s">
        <v>38</v>
      </c>
      <c r="J519" s="190" t="s">
        <v>1736</v>
      </c>
    </row>
    <row r="520" customFormat="false" ht="14.25" hidden="false" customHeight="true" outlineLevel="0" collapsed="false">
      <c r="A520" s="190" t="s">
        <v>2988</v>
      </c>
      <c r="B520" s="190" t="s">
        <v>2989</v>
      </c>
      <c r="C520" s="190" t="s">
        <v>2990</v>
      </c>
      <c r="D520" s="190" t="n">
        <v>1</v>
      </c>
      <c r="E520" s="190" t="n">
        <v>1</v>
      </c>
      <c r="F520" s="190" t="n">
        <v>9</v>
      </c>
      <c r="G520" s="190" t="n">
        <v>2.8</v>
      </c>
      <c r="H520" s="190" t="s">
        <v>22</v>
      </c>
      <c r="I520" s="190" t="n">
        <v>21</v>
      </c>
      <c r="J520" s="190" t="s">
        <v>2991</v>
      </c>
    </row>
    <row r="521" customFormat="false" ht="14.25" hidden="false" customHeight="true" outlineLevel="0" collapsed="false">
      <c r="A521" s="190" t="s">
        <v>608</v>
      </c>
      <c r="B521" s="190" t="s">
        <v>2992</v>
      </c>
      <c r="C521" s="190" t="s">
        <v>2993</v>
      </c>
      <c r="D521" s="190" t="n">
        <v>1</v>
      </c>
      <c r="E521" s="190" t="n">
        <v>0.65</v>
      </c>
      <c r="F521" s="190" t="n">
        <v>8</v>
      </c>
      <c r="G521" s="190" t="n">
        <v>4.02</v>
      </c>
      <c r="H521" s="190" t="s">
        <v>22</v>
      </c>
      <c r="I521" s="190" t="s">
        <v>1820</v>
      </c>
      <c r="J521" s="190" t="s">
        <v>1990</v>
      </c>
    </row>
    <row r="522" customFormat="false" ht="14.25" hidden="false" customHeight="true" outlineLevel="0" collapsed="false">
      <c r="A522" s="190" t="s">
        <v>56</v>
      </c>
      <c r="B522" s="190" t="s">
        <v>54</v>
      </c>
      <c r="C522" s="190" t="s">
        <v>55</v>
      </c>
      <c r="D522" s="190" t="n">
        <v>1</v>
      </c>
      <c r="E522" s="190" t="n">
        <v>2</v>
      </c>
      <c r="F522" s="190" t="n">
        <v>2</v>
      </c>
      <c r="G522" s="190" t="n">
        <v>2</v>
      </c>
      <c r="H522" s="190" t="s">
        <v>22</v>
      </c>
      <c r="I522" s="190" t="s">
        <v>53</v>
      </c>
      <c r="J522" s="190" t="s">
        <v>1737</v>
      </c>
    </row>
    <row r="523" customFormat="false" ht="14.25" hidden="false" customHeight="true" outlineLevel="0" collapsed="false">
      <c r="A523" s="190" t="s">
        <v>77</v>
      </c>
      <c r="B523" s="190" t="s">
        <v>75</v>
      </c>
      <c r="C523" s="190" t="s">
        <v>76</v>
      </c>
      <c r="D523" s="190" t="n">
        <v>1</v>
      </c>
      <c r="E523" s="190" t="n">
        <v>0.43</v>
      </c>
      <c r="F523" s="190" t="n">
        <v>12</v>
      </c>
      <c r="G523" s="190" t="n">
        <v>2.78</v>
      </c>
      <c r="H523" s="190" t="s">
        <v>22</v>
      </c>
      <c r="I523" s="190" t="s">
        <v>79</v>
      </c>
      <c r="J523" s="190" t="s">
        <v>2994</v>
      </c>
    </row>
    <row r="524" customFormat="false" ht="14.25" hidden="false" customHeight="true" outlineLevel="0" collapsed="false">
      <c r="A524" s="190" t="s">
        <v>82</v>
      </c>
      <c r="B524" s="190" t="s">
        <v>80</v>
      </c>
      <c r="C524" s="190" t="s">
        <v>81</v>
      </c>
      <c r="D524" s="190" t="n">
        <v>1</v>
      </c>
      <c r="E524" s="190" t="n">
        <v>0.22</v>
      </c>
      <c r="F524" s="190" t="n">
        <v>0.75</v>
      </c>
      <c r="G524" s="190" t="n">
        <v>0.75</v>
      </c>
      <c r="H524" s="190" t="s">
        <v>22</v>
      </c>
      <c r="I524" s="190" t="s">
        <v>84</v>
      </c>
      <c r="J524" s="190" t="s">
        <v>2934</v>
      </c>
    </row>
    <row r="525" customFormat="false" ht="14.25" hidden="false" customHeight="true" outlineLevel="0" collapsed="false">
      <c r="A525" s="190" t="s">
        <v>2995</v>
      </c>
      <c r="B525" s="190" t="s">
        <v>2996</v>
      </c>
      <c r="C525" s="190" t="s">
        <v>2997</v>
      </c>
      <c r="D525" s="190" t="n">
        <v>1</v>
      </c>
      <c r="E525" s="190" t="n">
        <v>0</v>
      </c>
      <c r="F525" s="190" t="n">
        <v>4</v>
      </c>
      <c r="G525" s="190" t="n">
        <v>43.4</v>
      </c>
      <c r="H525" s="190" t="s">
        <v>22</v>
      </c>
      <c r="I525" s="190" t="n">
        <v>27</v>
      </c>
      <c r="J525" s="190"/>
    </row>
    <row r="526" customFormat="false" ht="14.25" hidden="false" customHeight="true" outlineLevel="0" collapsed="false">
      <c r="A526" s="190" t="s">
        <v>2998</v>
      </c>
      <c r="B526" s="190" t="s">
        <v>2999</v>
      </c>
      <c r="C526" s="190" t="s">
        <v>3000</v>
      </c>
      <c r="D526" s="190" t="n">
        <v>1</v>
      </c>
      <c r="E526" s="190" t="n">
        <v>1.75</v>
      </c>
      <c r="F526" s="190" t="n">
        <v>0.75</v>
      </c>
      <c r="G526" s="190" t="n">
        <v>0.75</v>
      </c>
      <c r="H526" s="190" t="s">
        <v>22</v>
      </c>
      <c r="I526" s="190" t="s">
        <v>1954</v>
      </c>
      <c r="J526" s="190" t="s">
        <v>2934</v>
      </c>
    </row>
    <row r="527" customFormat="false" ht="14.25" hidden="false" customHeight="true" outlineLevel="0" collapsed="false">
      <c r="A527" s="190" t="s">
        <v>3001</v>
      </c>
      <c r="B527" s="190" t="s">
        <v>3002</v>
      </c>
      <c r="C527" s="190" t="s">
        <v>3003</v>
      </c>
      <c r="D527" s="190" t="n">
        <v>1</v>
      </c>
      <c r="E527" s="190" t="n">
        <v>0.22</v>
      </c>
      <c r="F527" s="190" t="n">
        <v>4.5</v>
      </c>
      <c r="G527" s="190" t="n">
        <v>2.75</v>
      </c>
      <c r="H527" s="190" t="s">
        <v>22</v>
      </c>
      <c r="I527" s="190" t="s">
        <v>1954</v>
      </c>
      <c r="J527" s="190" t="s">
        <v>2934</v>
      </c>
    </row>
    <row r="528" customFormat="false" ht="14.25" hidden="false" customHeight="true" outlineLevel="0" collapsed="false">
      <c r="A528" s="190" t="s">
        <v>620</v>
      </c>
      <c r="B528" s="190" t="s">
        <v>3004</v>
      </c>
      <c r="C528" s="190" t="s">
        <v>3005</v>
      </c>
      <c r="D528" s="190" t="n">
        <v>1</v>
      </c>
      <c r="E528" s="190" t="n">
        <v>0.75</v>
      </c>
      <c r="F528" s="190" t="n">
        <v>16</v>
      </c>
      <c r="G528" s="190" t="n">
        <v>4.02</v>
      </c>
      <c r="H528" s="190" t="s">
        <v>22</v>
      </c>
      <c r="I528" s="190" t="s">
        <v>3006</v>
      </c>
      <c r="J528" s="190" t="s">
        <v>1743</v>
      </c>
    </row>
    <row r="529" customFormat="false" ht="14.25" hidden="false" customHeight="true" outlineLevel="0" collapsed="false">
      <c r="A529" s="190" t="s">
        <v>3007</v>
      </c>
      <c r="B529" s="190" t="s">
        <v>3008</v>
      </c>
      <c r="C529" s="190" t="s">
        <v>3009</v>
      </c>
      <c r="D529" s="190" t="n">
        <v>1</v>
      </c>
      <c r="E529" s="190" t="n">
        <v>0.22</v>
      </c>
      <c r="F529" s="190" t="n">
        <v>5</v>
      </c>
      <c r="G529" s="190" t="n">
        <v>6.52</v>
      </c>
      <c r="H529" s="190" t="s">
        <v>22</v>
      </c>
      <c r="I529" s="190" t="s">
        <v>399</v>
      </c>
      <c r="J529" s="190" t="s">
        <v>1743</v>
      </c>
    </row>
    <row r="530" customFormat="false" ht="14.25" hidden="false" customHeight="true" outlineLevel="0" collapsed="false">
      <c r="A530" s="190" t="s">
        <v>3010</v>
      </c>
      <c r="B530" s="190" t="s">
        <v>3011</v>
      </c>
      <c r="C530" s="190" t="s">
        <v>3012</v>
      </c>
      <c r="D530" s="190" t="n">
        <v>1</v>
      </c>
      <c r="E530" s="190" t="n">
        <v>0.22</v>
      </c>
      <c r="F530" s="190" t="n">
        <v>3</v>
      </c>
      <c r="G530" s="190" t="n">
        <v>1.5</v>
      </c>
      <c r="H530" s="190" t="s">
        <v>22</v>
      </c>
      <c r="I530" s="190" t="s">
        <v>1988</v>
      </c>
      <c r="J530" s="190" t="s">
        <v>1743</v>
      </c>
    </row>
    <row r="531" customFormat="false" ht="14.25" hidden="false" customHeight="true" outlineLevel="0" collapsed="false">
      <c r="A531" s="190" t="s">
        <v>3013</v>
      </c>
      <c r="B531" s="190" t="s">
        <v>3014</v>
      </c>
      <c r="C531" s="190" t="s">
        <v>3015</v>
      </c>
      <c r="D531" s="190" t="n">
        <v>1</v>
      </c>
      <c r="E531" s="190" t="n">
        <v>0.43</v>
      </c>
      <c r="F531" s="190" t="n">
        <v>2.67</v>
      </c>
      <c r="G531" s="190" t="n">
        <v>22.37</v>
      </c>
      <c r="H531" s="190" t="s">
        <v>22</v>
      </c>
      <c r="I531" s="190" t="s">
        <v>3016</v>
      </c>
      <c r="J531" s="190" t="s">
        <v>1736</v>
      </c>
    </row>
    <row r="532" customFormat="false" ht="14.25" hidden="false" customHeight="true" outlineLevel="0" collapsed="false">
      <c r="A532" s="190" t="s">
        <v>3017</v>
      </c>
      <c r="B532" s="190" t="s">
        <v>3018</v>
      </c>
      <c r="C532" s="190" t="s">
        <v>3019</v>
      </c>
      <c r="D532" s="190" t="n">
        <v>1</v>
      </c>
      <c r="E532" s="190" t="n">
        <v>0.87</v>
      </c>
      <c r="F532" s="190" t="n">
        <v>9.75</v>
      </c>
      <c r="G532" s="190" t="n">
        <v>204.3</v>
      </c>
      <c r="H532" s="190" t="s">
        <v>22</v>
      </c>
      <c r="I532" s="190" t="s">
        <v>3020</v>
      </c>
      <c r="J532" s="190" t="s">
        <v>1736</v>
      </c>
    </row>
    <row r="533" customFormat="false" ht="14.25" hidden="false" customHeight="true" outlineLevel="0" collapsed="false">
      <c r="A533" s="190" t="s">
        <v>95</v>
      </c>
      <c r="B533" s="190" t="s">
        <v>93</v>
      </c>
      <c r="C533" s="190" t="s">
        <v>94</v>
      </c>
      <c r="D533" s="190" t="n">
        <v>1</v>
      </c>
      <c r="E533" s="190" t="n">
        <v>0.65</v>
      </c>
      <c r="F533" s="190" t="n">
        <v>2.52</v>
      </c>
      <c r="G533" s="190" t="n">
        <v>74.5</v>
      </c>
      <c r="H533" s="190" t="s">
        <v>22</v>
      </c>
      <c r="I533" s="190" t="s">
        <v>97</v>
      </c>
      <c r="J533" s="190" t="s">
        <v>3021</v>
      </c>
    </row>
    <row r="534" customFormat="false" ht="14.25" hidden="false" customHeight="true" outlineLevel="0" collapsed="false">
      <c r="A534" s="190" t="s">
        <v>3022</v>
      </c>
      <c r="B534" s="190" t="s">
        <v>3023</v>
      </c>
      <c r="C534" s="190" t="s">
        <v>3024</v>
      </c>
      <c r="D534" s="190" t="n">
        <v>1</v>
      </c>
      <c r="E534" s="190" t="n">
        <v>1.6</v>
      </c>
      <c r="F534" s="190" t="n">
        <v>4.5</v>
      </c>
      <c r="G534" s="190" t="n">
        <v>34.4</v>
      </c>
      <c r="H534" s="190" t="s">
        <v>22</v>
      </c>
      <c r="I534" s="190" t="s">
        <v>2120</v>
      </c>
      <c r="J534" s="190" t="s">
        <v>3025</v>
      </c>
    </row>
    <row r="535" customFormat="false" ht="14.25" hidden="false" customHeight="true" outlineLevel="0" collapsed="false">
      <c r="A535" s="190" t="s">
        <v>120</v>
      </c>
      <c r="B535" s="190" t="s">
        <v>118</v>
      </c>
      <c r="C535" s="190" t="s">
        <v>119</v>
      </c>
      <c r="D535" s="190" t="n">
        <v>1</v>
      </c>
      <c r="E535" s="190" t="n">
        <v>0.75</v>
      </c>
      <c r="F535" s="190" t="n">
        <v>2.25</v>
      </c>
      <c r="G535" s="190" t="n">
        <v>72.3</v>
      </c>
      <c r="H535" s="190" t="s">
        <v>22</v>
      </c>
      <c r="I535" s="190" t="s">
        <v>121</v>
      </c>
      <c r="J535" s="190"/>
    </row>
    <row r="536" customFormat="false" ht="14.25" hidden="false" customHeight="true" outlineLevel="0" collapsed="false">
      <c r="A536" s="190" t="s">
        <v>124</v>
      </c>
      <c r="B536" s="190" t="s">
        <v>122</v>
      </c>
      <c r="C536" s="190" t="s">
        <v>123</v>
      </c>
      <c r="D536" s="190" t="n">
        <v>1</v>
      </c>
      <c r="E536" s="190" t="n">
        <v>5.72</v>
      </c>
      <c r="F536" s="190" t="n">
        <v>40.5</v>
      </c>
      <c r="G536" s="190" t="n">
        <v>508.5</v>
      </c>
      <c r="H536" s="190" t="s">
        <v>22</v>
      </c>
      <c r="I536" s="190" t="s">
        <v>121</v>
      </c>
      <c r="J536" s="190" t="s">
        <v>3026</v>
      </c>
    </row>
    <row r="537" customFormat="false" ht="14.25" hidden="false" customHeight="true" outlineLevel="0" collapsed="false">
      <c r="A537" s="190" t="s">
        <v>3027</v>
      </c>
      <c r="B537" s="190" t="s">
        <v>3028</v>
      </c>
      <c r="C537" s="190" t="s">
        <v>3029</v>
      </c>
      <c r="D537" s="190" t="n">
        <v>1</v>
      </c>
      <c r="E537" s="190" t="n">
        <v>13.52</v>
      </c>
      <c r="F537" s="190" t="n">
        <v>10.08</v>
      </c>
      <c r="G537" s="190" t="n">
        <v>519.1</v>
      </c>
      <c r="H537" s="190" t="s">
        <v>22</v>
      </c>
      <c r="I537" s="190" t="s">
        <v>121</v>
      </c>
      <c r="J537" s="190" t="s">
        <v>1751</v>
      </c>
    </row>
    <row r="538" customFormat="false" ht="14.25" hidden="false" customHeight="true" outlineLevel="0" collapsed="false">
      <c r="A538" s="190" t="s">
        <v>3030</v>
      </c>
      <c r="B538" s="190" t="s">
        <v>3031</v>
      </c>
      <c r="C538" s="190" t="s">
        <v>3032</v>
      </c>
      <c r="D538" s="190" t="n">
        <v>1</v>
      </c>
      <c r="E538" s="190" t="n">
        <v>2.33</v>
      </c>
      <c r="F538" s="190" t="n">
        <v>7.5</v>
      </c>
      <c r="G538" s="190" t="n">
        <v>87.3</v>
      </c>
      <c r="H538" s="190" t="s">
        <v>22</v>
      </c>
      <c r="I538" s="190" t="s">
        <v>121</v>
      </c>
      <c r="J538" s="190"/>
    </row>
    <row r="539" customFormat="false" ht="14.25" hidden="false" customHeight="true" outlineLevel="0" collapsed="false">
      <c r="A539" s="190" t="s">
        <v>3033</v>
      </c>
      <c r="B539" s="190" t="s">
        <v>3034</v>
      </c>
      <c r="C539" s="190" t="s">
        <v>3035</v>
      </c>
      <c r="D539" s="190" t="n">
        <v>1</v>
      </c>
      <c r="E539" s="190" t="n">
        <v>0.5</v>
      </c>
      <c r="F539" s="190" t="n">
        <v>3.52</v>
      </c>
      <c r="G539" s="190" t="n">
        <v>12.57</v>
      </c>
      <c r="H539" s="190" t="s">
        <v>22</v>
      </c>
      <c r="I539" s="190" t="s">
        <v>121</v>
      </c>
      <c r="J539" s="190"/>
    </row>
    <row r="540" customFormat="false" ht="14.25" hidden="false" customHeight="true" outlineLevel="0" collapsed="false">
      <c r="A540" s="190" t="s">
        <v>3036</v>
      </c>
      <c r="B540" s="190" t="s">
        <v>3037</v>
      </c>
      <c r="C540" s="190" t="s">
        <v>3038</v>
      </c>
      <c r="D540" s="190" t="n">
        <v>1</v>
      </c>
      <c r="E540" s="190" t="n">
        <v>2</v>
      </c>
      <c r="F540" s="190" t="n">
        <v>5.52</v>
      </c>
      <c r="G540" s="190" t="n">
        <v>33</v>
      </c>
      <c r="H540" s="190" t="s">
        <v>22</v>
      </c>
      <c r="I540" s="190" t="s">
        <v>596</v>
      </c>
      <c r="J540" s="190" t="s">
        <v>1731</v>
      </c>
    </row>
    <row r="541" customFormat="false" ht="14.25" hidden="false" customHeight="true" outlineLevel="0" collapsed="false">
      <c r="A541" s="190" t="s">
        <v>3039</v>
      </c>
      <c r="B541" s="190" t="s">
        <v>3040</v>
      </c>
      <c r="C541" s="190" t="s">
        <v>3041</v>
      </c>
      <c r="D541" s="190" t="n">
        <v>1</v>
      </c>
      <c r="E541" s="190" t="n">
        <v>3.3</v>
      </c>
      <c r="F541" s="190" t="n">
        <v>9.92</v>
      </c>
      <c r="G541" s="190" t="n">
        <v>395.8</v>
      </c>
      <c r="H541" s="190" t="s">
        <v>22</v>
      </c>
      <c r="I541" s="190" t="s">
        <v>3042</v>
      </c>
      <c r="J541" s="190" t="s">
        <v>1751</v>
      </c>
    </row>
    <row r="542" customFormat="false" ht="14.25" hidden="false" customHeight="true" outlineLevel="0" collapsed="false">
      <c r="A542" s="190" t="s">
        <v>3043</v>
      </c>
      <c r="B542" s="190" t="s">
        <v>3044</v>
      </c>
      <c r="C542" s="190" t="s">
        <v>3045</v>
      </c>
      <c r="D542" s="190" t="n">
        <v>1</v>
      </c>
      <c r="E542" s="190" t="n">
        <v>3.3</v>
      </c>
      <c r="F542" s="190" t="n">
        <v>8.92</v>
      </c>
      <c r="G542" s="190" t="n">
        <v>394.9</v>
      </c>
      <c r="H542" s="190" t="s">
        <v>22</v>
      </c>
      <c r="I542" s="190" t="s">
        <v>3046</v>
      </c>
      <c r="J542" s="190" t="s">
        <v>1751</v>
      </c>
    </row>
    <row r="543" customFormat="false" ht="14.25" hidden="false" customHeight="true" outlineLevel="0" collapsed="false">
      <c r="A543" s="190" t="s">
        <v>3047</v>
      </c>
      <c r="B543" s="190" t="s">
        <v>3048</v>
      </c>
      <c r="C543" s="190" t="s">
        <v>3049</v>
      </c>
      <c r="D543" s="190" t="n">
        <v>1</v>
      </c>
      <c r="E543" s="190" t="n">
        <v>0.43</v>
      </c>
      <c r="F543" s="190" t="n">
        <v>7</v>
      </c>
      <c r="G543" s="190" t="n">
        <v>413.4</v>
      </c>
      <c r="H543" s="190" t="s">
        <v>22</v>
      </c>
      <c r="I543" s="190" t="s">
        <v>3050</v>
      </c>
      <c r="J543" s="190" t="s">
        <v>1783</v>
      </c>
    </row>
    <row r="544" customFormat="false" ht="14.25" hidden="false" customHeight="true" outlineLevel="0" collapsed="false">
      <c r="A544" s="190" t="s">
        <v>3051</v>
      </c>
      <c r="B544" s="190" t="s">
        <v>3052</v>
      </c>
      <c r="C544" s="190" t="s">
        <v>3053</v>
      </c>
      <c r="D544" s="190" t="n">
        <v>1</v>
      </c>
      <c r="E544" s="190" t="n">
        <v>0.32</v>
      </c>
      <c r="F544" s="190" t="n">
        <v>8.5</v>
      </c>
      <c r="G544" s="190" t="n">
        <v>412.4</v>
      </c>
      <c r="H544" s="190" t="s">
        <v>22</v>
      </c>
      <c r="I544" s="190" t="s">
        <v>3050</v>
      </c>
      <c r="J544" s="190" t="s">
        <v>1783</v>
      </c>
    </row>
    <row r="545" customFormat="false" ht="14.25" hidden="false" customHeight="true" outlineLevel="0" collapsed="false">
      <c r="A545" s="190" t="s">
        <v>3054</v>
      </c>
      <c r="B545" s="190" t="s">
        <v>3055</v>
      </c>
      <c r="C545" s="190" t="s">
        <v>3056</v>
      </c>
      <c r="D545" s="190" t="n">
        <v>1</v>
      </c>
      <c r="E545" s="190" t="n">
        <v>2.33</v>
      </c>
      <c r="F545" s="190" t="n">
        <v>11.5</v>
      </c>
      <c r="G545" s="190" t="n">
        <v>732.9</v>
      </c>
      <c r="H545" s="190" t="s">
        <v>22</v>
      </c>
      <c r="I545" s="190" t="s">
        <v>3057</v>
      </c>
      <c r="J545" s="190" t="s">
        <v>3058</v>
      </c>
    </row>
    <row r="546" customFormat="false" ht="14.25" hidden="false" customHeight="true" outlineLevel="0" collapsed="false">
      <c r="A546" s="190" t="s">
        <v>3059</v>
      </c>
      <c r="B546" s="190" t="s">
        <v>3060</v>
      </c>
      <c r="C546" s="190" t="s">
        <v>3061</v>
      </c>
      <c r="D546" s="190" t="n">
        <v>1</v>
      </c>
      <c r="E546" s="190" t="n">
        <v>0.43</v>
      </c>
      <c r="F546" s="190" t="n">
        <v>6.25</v>
      </c>
      <c r="G546" s="190" t="n">
        <v>413.4</v>
      </c>
      <c r="H546" s="190" t="s">
        <v>22</v>
      </c>
      <c r="I546" s="190" t="s">
        <v>3057</v>
      </c>
      <c r="J546" s="190" t="s">
        <v>1783</v>
      </c>
    </row>
    <row r="547" customFormat="false" ht="14.25" hidden="false" customHeight="true" outlineLevel="0" collapsed="false">
      <c r="A547" s="190" t="s">
        <v>3062</v>
      </c>
      <c r="B547" s="190" t="s">
        <v>3063</v>
      </c>
      <c r="C547" s="190" t="s">
        <v>3064</v>
      </c>
      <c r="D547" s="190" t="n">
        <v>1</v>
      </c>
      <c r="E547" s="190" t="n">
        <v>0.32</v>
      </c>
      <c r="F547" s="190" t="n">
        <v>7.75</v>
      </c>
      <c r="G547" s="190" t="n">
        <v>412.4</v>
      </c>
      <c r="H547" s="190" t="s">
        <v>22</v>
      </c>
      <c r="I547" s="190" t="s">
        <v>3057</v>
      </c>
      <c r="J547" s="190" t="s">
        <v>1783</v>
      </c>
    </row>
    <row r="548" customFormat="false" ht="14.25" hidden="false" customHeight="true" outlineLevel="0" collapsed="false">
      <c r="A548" s="190" t="s">
        <v>3065</v>
      </c>
      <c r="B548" s="190" t="s">
        <v>3066</v>
      </c>
      <c r="C548" s="190" t="s">
        <v>3067</v>
      </c>
      <c r="D548" s="190" t="n">
        <v>1</v>
      </c>
      <c r="E548" s="190" t="n">
        <v>3.75</v>
      </c>
      <c r="F548" s="190" t="n">
        <v>32.5</v>
      </c>
      <c r="G548" s="190" t="n">
        <v>331.7</v>
      </c>
      <c r="H548" s="190" t="s">
        <v>22</v>
      </c>
      <c r="I548" s="190" t="s">
        <v>3057</v>
      </c>
      <c r="J548" s="190" t="s">
        <v>3068</v>
      </c>
    </row>
    <row r="549" customFormat="false" ht="14.25" hidden="false" customHeight="true" outlineLevel="0" collapsed="false">
      <c r="A549" s="190" t="s">
        <v>3069</v>
      </c>
      <c r="B549" s="190" t="s">
        <v>3070</v>
      </c>
      <c r="C549" s="190" t="s">
        <v>3071</v>
      </c>
      <c r="D549" s="190" t="n">
        <v>1</v>
      </c>
      <c r="E549" s="190" t="n">
        <v>7.25</v>
      </c>
      <c r="F549" s="190" t="n">
        <v>34.5</v>
      </c>
      <c r="G549" s="190" t="n">
        <v>304.9</v>
      </c>
      <c r="H549" s="190" t="s">
        <v>22</v>
      </c>
      <c r="I549" s="190" t="s">
        <v>3057</v>
      </c>
      <c r="J549" s="190" t="s">
        <v>3068</v>
      </c>
    </row>
    <row r="550" customFormat="false" ht="14.25" hidden="false" customHeight="true" outlineLevel="0" collapsed="false">
      <c r="A550" s="190" t="s">
        <v>3072</v>
      </c>
      <c r="B550" s="190" t="s">
        <v>3073</v>
      </c>
      <c r="C550" s="190" t="s">
        <v>3074</v>
      </c>
      <c r="D550" s="190" t="n">
        <v>1</v>
      </c>
      <c r="E550" s="190" t="n">
        <v>0.43</v>
      </c>
      <c r="F550" s="190" t="n">
        <v>2</v>
      </c>
      <c r="G550" s="190" t="n">
        <v>16.73</v>
      </c>
      <c r="H550" s="190" t="s">
        <v>22</v>
      </c>
      <c r="I550" s="190" t="s">
        <v>3075</v>
      </c>
      <c r="J550" s="190" t="s">
        <v>1736</v>
      </c>
    </row>
    <row r="551" customFormat="false" ht="14.25" hidden="false" customHeight="true" outlineLevel="0" collapsed="false">
      <c r="A551" s="190" t="s">
        <v>3076</v>
      </c>
      <c r="B551" s="190" t="s">
        <v>3077</v>
      </c>
      <c r="C551" s="190" t="s">
        <v>3078</v>
      </c>
      <c r="D551" s="190" t="n">
        <v>1</v>
      </c>
      <c r="E551" s="190" t="n">
        <v>0.43</v>
      </c>
      <c r="F551" s="190" t="n">
        <v>1.5</v>
      </c>
      <c r="G551" s="190" t="n">
        <v>16.18</v>
      </c>
      <c r="H551" s="190" t="s">
        <v>22</v>
      </c>
      <c r="I551" s="190" t="s">
        <v>3075</v>
      </c>
      <c r="J551" s="190" t="s">
        <v>1736</v>
      </c>
    </row>
    <row r="552" customFormat="false" ht="14.25" hidden="false" customHeight="true" outlineLevel="0" collapsed="false">
      <c r="A552" s="190" t="s">
        <v>3079</v>
      </c>
      <c r="B552" s="190" t="s">
        <v>3080</v>
      </c>
      <c r="C552" s="190" t="s">
        <v>3081</v>
      </c>
      <c r="D552" s="190" t="n">
        <v>1</v>
      </c>
      <c r="E552" s="190" t="n">
        <v>0.52</v>
      </c>
      <c r="F552" s="190" t="n">
        <v>1.5</v>
      </c>
      <c r="G552" s="190" t="n">
        <v>16.28</v>
      </c>
      <c r="H552" s="190" t="s">
        <v>22</v>
      </c>
      <c r="I552" s="190" t="s">
        <v>1782</v>
      </c>
      <c r="J552" s="190" t="s">
        <v>1731</v>
      </c>
    </row>
    <row r="553" customFormat="false" ht="14.25" hidden="false" customHeight="true" outlineLevel="0" collapsed="false">
      <c r="A553" s="190" t="s">
        <v>3082</v>
      </c>
      <c r="B553" s="190" t="s">
        <v>3083</v>
      </c>
      <c r="C553" s="190" t="s">
        <v>3084</v>
      </c>
      <c r="D553" s="190" t="n">
        <v>1</v>
      </c>
      <c r="E553" s="190" t="n">
        <v>0.52</v>
      </c>
      <c r="F553" s="190" t="n">
        <v>1.5</v>
      </c>
      <c r="G553" s="190" t="n">
        <v>16.23</v>
      </c>
      <c r="H553" s="190" t="s">
        <v>22</v>
      </c>
      <c r="I553" s="190" t="s">
        <v>1782</v>
      </c>
      <c r="J553" s="190" t="s">
        <v>1731</v>
      </c>
    </row>
    <row r="554" customFormat="false" ht="14.25" hidden="false" customHeight="true" outlineLevel="0" collapsed="false">
      <c r="A554" s="190" t="s">
        <v>3085</v>
      </c>
      <c r="B554" s="190" t="s">
        <v>3086</v>
      </c>
      <c r="C554" s="190" t="s">
        <v>3087</v>
      </c>
      <c r="D554" s="190" t="n">
        <v>1</v>
      </c>
      <c r="E554" s="190" t="n">
        <v>1.32</v>
      </c>
      <c r="F554" s="190" t="n">
        <v>13</v>
      </c>
      <c r="G554" s="190" t="n">
        <v>360.5</v>
      </c>
      <c r="H554" s="190" t="s">
        <v>22</v>
      </c>
      <c r="I554" s="190" t="s">
        <v>584</v>
      </c>
      <c r="J554" s="190" t="s">
        <v>1750</v>
      </c>
    </row>
    <row r="555" customFormat="false" ht="14.25" hidden="false" customHeight="true" outlineLevel="0" collapsed="false">
      <c r="A555" s="190" t="s">
        <v>3088</v>
      </c>
      <c r="B555" s="190" t="s">
        <v>3089</v>
      </c>
      <c r="C555" s="190" t="s">
        <v>3090</v>
      </c>
      <c r="D555" s="190" t="n">
        <v>1</v>
      </c>
      <c r="E555" s="190" t="n">
        <v>1.32</v>
      </c>
      <c r="F555" s="190" t="n">
        <v>15.5</v>
      </c>
      <c r="G555" s="190" t="n">
        <v>360.3</v>
      </c>
      <c r="H555" s="190" t="s">
        <v>22</v>
      </c>
      <c r="I555" s="190" t="s">
        <v>584</v>
      </c>
      <c r="J555" s="190" t="s">
        <v>1750</v>
      </c>
    </row>
    <row r="556" customFormat="false" ht="14.25" hidden="false" customHeight="true" outlineLevel="0" collapsed="false">
      <c r="A556" s="190" t="s">
        <v>3091</v>
      </c>
      <c r="B556" s="190" t="s">
        <v>3092</v>
      </c>
      <c r="C556" s="190" t="s">
        <v>3093</v>
      </c>
      <c r="D556" s="190" t="n">
        <v>1</v>
      </c>
      <c r="E556" s="190" t="n">
        <v>0.43</v>
      </c>
      <c r="F556" s="190" t="n">
        <v>1.75</v>
      </c>
      <c r="G556" s="190" t="n">
        <v>29.1</v>
      </c>
      <c r="H556" s="190" t="s">
        <v>22</v>
      </c>
      <c r="I556" s="190" t="s">
        <v>3094</v>
      </c>
      <c r="J556" s="190" t="s">
        <v>1731</v>
      </c>
    </row>
    <row r="557" customFormat="false" ht="14.25" hidden="false" customHeight="true" outlineLevel="0" collapsed="false">
      <c r="A557" s="190" t="s">
        <v>3095</v>
      </c>
      <c r="B557" s="190" t="s">
        <v>3096</v>
      </c>
      <c r="C557" s="190" t="s">
        <v>3097</v>
      </c>
      <c r="D557" s="190" t="n">
        <v>1</v>
      </c>
      <c r="E557" s="190" t="n">
        <v>0.43</v>
      </c>
      <c r="F557" s="190" t="n">
        <v>3.5</v>
      </c>
      <c r="G557" s="190" t="n">
        <v>30.8</v>
      </c>
      <c r="H557" s="190" t="s">
        <v>22</v>
      </c>
      <c r="I557" s="190" t="s">
        <v>3094</v>
      </c>
      <c r="J557" s="190" t="s">
        <v>1731</v>
      </c>
    </row>
    <row r="558" customFormat="false" ht="14.25" hidden="false" customHeight="true" outlineLevel="0" collapsed="false">
      <c r="A558" s="190" t="s">
        <v>3098</v>
      </c>
      <c r="B558" s="190" t="s">
        <v>3099</v>
      </c>
      <c r="C558" s="190" t="s">
        <v>3100</v>
      </c>
      <c r="D558" s="190" t="n">
        <v>1</v>
      </c>
      <c r="E558" s="190" t="n">
        <v>2</v>
      </c>
      <c r="F558" s="190" t="n">
        <v>1.27</v>
      </c>
      <c r="G558" s="190" t="n">
        <v>44.7</v>
      </c>
      <c r="H558" s="190" t="s">
        <v>22</v>
      </c>
      <c r="I558" s="190" t="s">
        <v>2758</v>
      </c>
      <c r="J558" s="190"/>
    </row>
    <row r="559" customFormat="false" ht="14.25" hidden="false" customHeight="true" outlineLevel="0" collapsed="false">
      <c r="A559" s="190" t="s">
        <v>3101</v>
      </c>
      <c r="B559" s="190" t="s">
        <v>3102</v>
      </c>
      <c r="C559" s="190" t="s">
        <v>3103</v>
      </c>
      <c r="D559" s="190" t="n">
        <v>1</v>
      </c>
      <c r="E559" s="190" t="n">
        <v>2.33</v>
      </c>
      <c r="F559" s="190" t="n">
        <v>2.5</v>
      </c>
      <c r="G559" s="190" t="n">
        <v>40.3</v>
      </c>
      <c r="H559" s="190" t="s">
        <v>22</v>
      </c>
      <c r="I559" s="190" t="s">
        <v>2758</v>
      </c>
      <c r="J559" s="190"/>
    </row>
    <row r="560" customFormat="false" ht="14.25" hidden="false" customHeight="true" outlineLevel="0" collapsed="false">
      <c r="A560" s="190" t="s">
        <v>3104</v>
      </c>
      <c r="B560" s="190" t="s">
        <v>3105</v>
      </c>
      <c r="C560" s="190" t="s">
        <v>3106</v>
      </c>
      <c r="D560" s="190" t="n">
        <v>1</v>
      </c>
      <c r="E560" s="190" t="n">
        <v>2.33</v>
      </c>
      <c r="F560" s="190" t="n">
        <v>1.17</v>
      </c>
      <c r="G560" s="190" t="n">
        <v>43.1</v>
      </c>
      <c r="H560" s="190" t="s">
        <v>22</v>
      </c>
      <c r="I560" s="190" t="s">
        <v>2758</v>
      </c>
      <c r="J560" s="190"/>
    </row>
    <row r="561" customFormat="false" ht="14.25" hidden="false" customHeight="true" outlineLevel="0" collapsed="false">
      <c r="A561" s="190" t="s">
        <v>3107</v>
      </c>
      <c r="B561" s="190" t="s">
        <v>3108</v>
      </c>
      <c r="C561" s="190" t="s">
        <v>3109</v>
      </c>
      <c r="D561" s="190" t="n">
        <v>1</v>
      </c>
      <c r="E561" s="190" t="n">
        <v>2.5</v>
      </c>
      <c r="F561" s="190" t="n">
        <v>3.58</v>
      </c>
      <c r="G561" s="190" t="n">
        <v>45</v>
      </c>
      <c r="H561" s="190" t="s">
        <v>22</v>
      </c>
      <c r="I561" s="190" t="s">
        <v>2758</v>
      </c>
      <c r="J561" s="190" t="s">
        <v>1736</v>
      </c>
    </row>
    <row r="562" customFormat="false" ht="14.25" hidden="false" customHeight="true" outlineLevel="0" collapsed="false">
      <c r="A562" s="190" t="s">
        <v>3110</v>
      </c>
      <c r="B562" s="190" t="s">
        <v>3111</v>
      </c>
      <c r="C562" s="190" t="s">
        <v>3112</v>
      </c>
      <c r="D562" s="190" t="n">
        <v>1</v>
      </c>
      <c r="E562" s="190" t="n">
        <v>2.33</v>
      </c>
      <c r="F562" s="190" t="n">
        <v>3.5</v>
      </c>
      <c r="G562" s="190" t="n">
        <v>40.3</v>
      </c>
      <c r="H562" s="190" t="s">
        <v>22</v>
      </c>
      <c r="I562" s="190" t="s">
        <v>2758</v>
      </c>
      <c r="J562" s="190"/>
    </row>
    <row r="563" customFormat="false" ht="14.25" hidden="false" customHeight="true" outlineLevel="0" collapsed="false">
      <c r="A563" s="190" t="s">
        <v>3113</v>
      </c>
      <c r="B563" s="190" t="s">
        <v>3114</v>
      </c>
      <c r="C563" s="190" t="s">
        <v>3115</v>
      </c>
      <c r="D563" s="190" t="n">
        <v>1</v>
      </c>
      <c r="E563" s="190" t="n">
        <v>2.33</v>
      </c>
      <c r="F563" s="190" t="n">
        <v>3.83</v>
      </c>
      <c r="G563" s="190" t="n">
        <v>45.1</v>
      </c>
      <c r="H563" s="190" t="s">
        <v>22</v>
      </c>
      <c r="I563" s="190" t="s">
        <v>2758</v>
      </c>
      <c r="J563" s="190"/>
    </row>
    <row r="564" customFormat="false" ht="14.25" hidden="false" customHeight="true" outlineLevel="0" collapsed="false">
      <c r="A564" s="190" t="s">
        <v>3116</v>
      </c>
      <c r="B564" s="190" t="s">
        <v>3117</v>
      </c>
      <c r="C564" s="190" t="s">
        <v>3118</v>
      </c>
      <c r="D564" s="190" t="n">
        <v>1</v>
      </c>
      <c r="E564" s="190" t="n">
        <v>2</v>
      </c>
      <c r="F564" s="190" t="n">
        <v>0.58</v>
      </c>
      <c r="G564" s="190" t="n">
        <v>44.3</v>
      </c>
      <c r="H564" s="190" t="s">
        <v>22</v>
      </c>
      <c r="I564" s="190" t="s">
        <v>2758</v>
      </c>
      <c r="J564" s="190"/>
    </row>
    <row r="565" customFormat="false" ht="14.25" hidden="false" customHeight="true" outlineLevel="0" collapsed="false">
      <c r="A565" s="190" t="s">
        <v>3119</v>
      </c>
      <c r="B565" s="190" t="s">
        <v>3120</v>
      </c>
      <c r="C565" s="190" t="s">
        <v>3121</v>
      </c>
      <c r="D565" s="190" t="n">
        <v>1</v>
      </c>
      <c r="E565" s="190" t="n">
        <v>0.43</v>
      </c>
      <c r="F565" s="190" t="n">
        <v>14.03</v>
      </c>
      <c r="G565" s="190" t="n">
        <v>628.1</v>
      </c>
      <c r="H565" s="190" t="s">
        <v>22</v>
      </c>
      <c r="I565" s="190" t="s">
        <v>1790</v>
      </c>
      <c r="J565" s="190" t="s">
        <v>3026</v>
      </c>
    </row>
    <row r="566" customFormat="false" ht="14.25" hidden="false" customHeight="true" outlineLevel="0" collapsed="false">
      <c r="A566" s="190" t="s">
        <v>3122</v>
      </c>
      <c r="B566" s="190" t="s">
        <v>3123</v>
      </c>
      <c r="C566" s="190" t="s">
        <v>3124</v>
      </c>
      <c r="D566" s="190" t="n">
        <v>1</v>
      </c>
      <c r="E566" s="190" t="n">
        <v>0.43</v>
      </c>
      <c r="F566" s="190" t="n">
        <v>13.25</v>
      </c>
      <c r="G566" s="190" t="n">
        <v>651.5</v>
      </c>
      <c r="H566" s="190" t="s">
        <v>22</v>
      </c>
      <c r="I566" s="190" t="s">
        <v>1790</v>
      </c>
      <c r="J566" s="190" t="s">
        <v>3026</v>
      </c>
    </row>
    <row r="567" customFormat="false" ht="14.25" hidden="false" customHeight="true" outlineLevel="0" collapsed="false">
      <c r="A567" s="190" t="s">
        <v>3125</v>
      </c>
      <c r="B567" s="190" t="s">
        <v>3126</v>
      </c>
      <c r="C567" s="190" t="s">
        <v>3127</v>
      </c>
      <c r="D567" s="190" t="n">
        <v>1</v>
      </c>
      <c r="E567" s="190" t="n">
        <v>1</v>
      </c>
      <c r="F567" s="190" t="n">
        <v>3.5</v>
      </c>
      <c r="G567" s="190" t="n">
        <v>40.4</v>
      </c>
      <c r="H567" s="190" t="s">
        <v>22</v>
      </c>
      <c r="I567" s="190" t="s">
        <v>2043</v>
      </c>
      <c r="J567" s="190" t="s">
        <v>1736</v>
      </c>
    </row>
    <row r="568" customFormat="false" ht="14.25" hidden="false" customHeight="true" outlineLevel="0" collapsed="false">
      <c r="A568" s="190" t="s">
        <v>3128</v>
      </c>
      <c r="B568" s="190" t="s">
        <v>3129</v>
      </c>
      <c r="C568" s="190" t="s">
        <v>3130</v>
      </c>
      <c r="D568" s="190" t="n">
        <v>1</v>
      </c>
      <c r="E568" s="190" t="n">
        <v>0.22</v>
      </c>
      <c r="F568" s="190" t="n">
        <v>0.98</v>
      </c>
      <c r="G568" s="190" t="n">
        <v>0.98</v>
      </c>
      <c r="H568" s="190" t="s">
        <v>22</v>
      </c>
      <c r="I568" s="190" t="s">
        <v>146</v>
      </c>
      <c r="J568" s="190" t="s">
        <v>1816</v>
      </c>
    </row>
    <row r="569" customFormat="false" ht="14.25" hidden="false" customHeight="true" outlineLevel="0" collapsed="false">
      <c r="A569" s="190" t="s">
        <v>3131</v>
      </c>
      <c r="B569" s="190" t="s">
        <v>3132</v>
      </c>
      <c r="C569" s="190" t="s">
        <v>3133</v>
      </c>
      <c r="D569" s="190" t="n">
        <v>1</v>
      </c>
      <c r="E569" s="190" t="n">
        <v>1.68</v>
      </c>
      <c r="F569" s="190" t="n">
        <v>2</v>
      </c>
      <c r="G569" s="190" t="n">
        <v>1</v>
      </c>
      <c r="H569" s="190" t="s">
        <v>22</v>
      </c>
      <c r="I569" s="190" t="s">
        <v>146</v>
      </c>
      <c r="J569" s="190" t="s">
        <v>2934</v>
      </c>
    </row>
    <row r="570" customFormat="false" ht="14.25" hidden="false" customHeight="true" outlineLevel="0" collapsed="false">
      <c r="A570" s="190" t="s">
        <v>3134</v>
      </c>
      <c r="B570" s="190" t="s">
        <v>3135</v>
      </c>
      <c r="C570" s="190" t="s">
        <v>3136</v>
      </c>
      <c r="D570" s="190" t="n">
        <v>1</v>
      </c>
      <c r="E570" s="190" t="n">
        <v>1.68</v>
      </c>
      <c r="F570" s="190" t="n">
        <v>5.5</v>
      </c>
      <c r="G570" s="190" t="n">
        <v>92.8</v>
      </c>
      <c r="H570" s="190" t="s">
        <v>22</v>
      </c>
      <c r="I570" s="190" t="s">
        <v>146</v>
      </c>
      <c r="J570" s="190" t="s">
        <v>2934</v>
      </c>
    </row>
    <row r="571" customFormat="false" ht="14.25" hidden="false" customHeight="true" outlineLevel="0" collapsed="false">
      <c r="A571" s="190" t="s">
        <v>3137</v>
      </c>
      <c r="B571" s="190" t="s">
        <v>3138</v>
      </c>
      <c r="C571" s="190" t="s">
        <v>3139</v>
      </c>
      <c r="D571" s="190" t="n">
        <v>1</v>
      </c>
      <c r="E571" s="190" t="n">
        <v>38.3</v>
      </c>
      <c r="F571" s="190" t="n">
        <v>4</v>
      </c>
      <c r="G571" s="190" t="n">
        <v>12.17</v>
      </c>
      <c r="H571" s="190" t="s">
        <v>22</v>
      </c>
      <c r="I571" s="190" t="s">
        <v>146</v>
      </c>
      <c r="J571" s="190" t="s">
        <v>2934</v>
      </c>
    </row>
    <row r="572" customFormat="false" ht="14.25" hidden="false" customHeight="true" outlineLevel="0" collapsed="false">
      <c r="A572" s="190" t="s">
        <v>144</v>
      </c>
      <c r="B572" s="190" t="s">
        <v>142</v>
      </c>
      <c r="C572" s="190" t="s">
        <v>143</v>
      </c>
      <c r="D572" s="190" t="n">
        <v>1</v>
      </c>
      <c r="E572" s="190" t="n">
        <v>11.5</v>
      </c>
      <c r="F572" s="190" t="n">
        <v>389.8</v>
      </c>
      <c r="G572" s="190" t="n">
        <v>517.5</v>
      </c>
      <c r="H572" s="190" t="s">
        <v>22</v>
      </c>
      <c r="I572" s="190" t="s">
        <v>146</v>
      </c>
      <c r="J572" s="190" t="s">
        <v>3140</v>
      </c>
    </row>
    <row r="573" customFormat="false" ht="14.25" hidden="false" customHeight="true" outlineLevel="0" collapsed="false">
      <c r="A573" s="190" t="s">
        <v>3141</v>
      </c>
      <c r="B573" s="190" t="s">
        <v>3142</v>
      </c>
      <c r="C573" s="190" t="s">
        <v>3143</v>
      </c>
      <c r="D573" s="190" t="n">
        <v>1</v>
      </c>
      <c r="E573" s="190" t="n">
        <v>0.87</v>
      </c>
      <c r="F573" s="190" t="n">
        <v>0.75</v>
      </c>
      <c r="G573" s="190" t="n">
        <v>0.75</v>
      </c>
      <c r="H573" s="190" t="s">
        <v>22</v>
      </c>
      <c r="I573" s="190" t="s">
        <v>146</v>
      </c>
      <c r="J573" s="190" t="s">
        <v>2934</v>
      </c>
    </row>
    <row r="574" customFormat="false" ht="14.25" hidden="false" customHeight="true" outlineLevel="0" collapsed="false">
      <c r="A574" s="190" t="s">
        <v>3144</v>
      </c>
      <c r="B574" s="190" t="s">
        <v>3145</v>
      </c>
      <c r="C574" s="190" t="s">
        <v>3146</v>
      </c>
      <c r="D574" s="190" t="n">
        <v>1</v>
      </c>
      <c r="E574" s="190" t="n">
        <v>7.22</v>
      </c>
      <c r="F574" s="190" t="n">
        <v>2.02</v>
      </c>
      <c r="G574" s="190" t="n">
        <v>4.05</v>
      </c>
      <c r="H574" s="190" t="s">
        <v>22</v>
      </c>
      <c r="I574" s="190" t="s">
        <v>146</v>
      </c>
      <c r="J574" s="190" t="s">
        <v>1731</v>
      </c>
    </row>
    <row r="575" customFormat="false" ht="14.25" hidden="false" customHeight="true" outlineLevel="0" collapsed="false">
      <c r="A575" s="190" t="s">
        <v>149</v>
      </c>
      <c r="B575" s="190" t="s">
        <v>147</v>
      </c>
      <c r="C575" s="190" t="s">
        <v>148</v>
      </c>
      <c r="D575" s="190" t="n">
        <v>1</v>
      </c>
      <c r="E575" s="190" t="n">
        <v>77</v>
      </c>
      <c r="F575" s="190" t="n">
        <v>2.5</v>
      </c>
      <c r="G575" s="190" t="n">
        <v>47.7</v>
      </c>
      <c r="H575" s="190" t="s">
        <v>22</v>
      </c>
      <c r="I575" s="190" t="s">
        <v>146</v>
      </c>
      <c r="J575" s="190" t="s">
        <v>2934</v>
      </c>
    </row>
    <row r="576" customFormat="false" ht="14.25" hidden="false" customHeight="true" outlineLevel="0" collapsed="false">
      <c r="A576" s="190" t="s">
        <v>3147</v>
      </c>
      <c r="B576" s="190" t="s">
        <v>3148</v>
      </c>
      <c r="C576" s="190" t="s">
        <v>3149</v>
      </c>
      <c r="D576" s="190" t="n">
        <v>1</v>
      </c>
      <c r="E576" s="190" t="n">
        <v>2.2</v>
      </c>
      <c r="F576" s="190" t="n">
        <v>2.5</v>
      </c>
      <c r="G576" s="190" t="n">
        <v>1.87</v>
      </c>
      <c r="H576" s="190" t="s">
        <v>22</v>
      </c>
      <c r="I576" s="190" t="s">
        <v>146</v>
      </c>
      <c r="J576" s="190" t="s">
        <v>2934</v>
      </c>
    </row>
    <row r="577" customFormat="false" ht="14.25" hidden="false" customHeight="true" outlineLevel="0" collapsed="false">
      <c r="A577" s="190" t="s">
        <v>3150</v>
      </c>
      <c r="B577" s="190" t="s">
        <v>3151</v>
      </c>
      <c r="C577" s="190" t="s">
        <v>3152</v>
      </c>
      <c r="D577" s="190" t="n">
        <v>1</v>
      </c>
      <c r="E577" s="190" t="n">
        <v>0.87</v>
      </c>
      <c r="F577" s="190" t="n">
        <v>0.67</v>
      </c>
      <c r="G577" s="190" t="n">
        <v>0.67</v>
      </c>
      <c r="H577" s="190" t="s">
        <v>22</v>
      </c>
      <c r="I577" s="190" t="s">
        <v>146</v>
      </c>
      <c r="J577" s="190" t="s">
        <v>1816</v>
      </c>
    </row>
    <row r="578" customFormat="false" ht="14.25" hidden="false" customHeight="true" outlineLevel="0" collapsed="false">
      <c r="A578" s="190" t="s">
        <v>3153</v>
      </c>
      <c r="B578" s="190" t="s">
        <v>3154</v>
      </c>
      <c r="C578" s="190" t="s">
        <v>3155</v>
      </c>
      <c r="D578" s="190" t="n">
        <v>1</v>
      </c>
      <c r="E578" s="190" t="n">
        <v>1.32</v>
      </c>
      <c r="F578" s="190" t="n">
        <v>5.5</v>
      </c>
      <c r="G578" s="190" t="n">
        <v>2.82</v>
      </c>
      <c r="H578" s="190" t="s">
        <v>22</v>
      </c>
      <c r="I578" s="190" t="s">
        <v>146</v>
      </c>
      <c r="J578" s="190" t="s">
        <v>2934</v>
      </c>
    </row>
    <row r="579" customFormat="false" ht="14.25" hidden="false" customHeight="true" outlineLevel="0" collapsed="false">
      <c r="A579" s="190" t="s">
        <v>3156</v>
      </c>
      <c r="B579" s="190" t="s">
        <v>3157</v>
      </c>
      <c r="C579" s="190" t="s">
        <v>3158</v>
      </c>
      <c r="D579" s="190" t="n">
        <v>1</v>
      </c>
      <c r="E579" s="190" t="n">
        <v>18.47</v>
      </c>
      <c r="F579" s="190" t="n">
        <v>2.33</v>
      </c>
      <c r="G579" s="190" t="n">
        <v>2.43</v>
      </c>
      <c r="H579" s="190" t="s">
        <v>22</v>
      </c>
      <c r="I579" s="190" t="s">
        <v>146</v>
      </c>
      <c r="J579" s="190" t="s">
        <v>1816</v>
      </c>
    </row>
    <row r="580" customFormat="false" ht="14.25" hidden="false" customHeight="true" outlineLevel="0" collapsed="false">
      <c r="A580" s="190" t="s">
        <v>3159</v>
      </c>
      <c r="B580" s="190" t="s">
        <v>3160</v>
      </c>
      <c r="C580" s="190" t="s">
        <v>3161</v>
      </c>
      <c r="D580" s="190" t="n">
        <v>1</v>
      </c>
      <c r="E580" s="190" t="n">
        <v>12.6</v>
      </c>
      <c r="F580" s="190" t="n">
        <v>8.5</v>
      </c>
      <c r="G580" s="190" t="n">
        <v>6.5</v>
      </c>
      <c r="H580" s="190" t="s">
        <v>22</v>
      </c>
      <c r="I580" s="190" t="s">
        <v>146</v>
      </c>
      <c r="J580" s="190" t="s">
        <v>1731</v>
      </c>
    </row>
    <row r="581" customFormat="false" ht="14.25" hidden="false" customHeight="true" outlineLevel="0" collapsed="false">
      <c r="A581" s="190" t="s">
        <v>152</v>
      </c>
      <c r="B581" s="190" t="s">
        <v>150</v>
      </c>
      <c r="C581" s="190" t="s">
        <v>151</v>
      </c>
      <c r="D581" s="190" t="n">
        <v>1</v>
      </c>
      <c r="E581" s="190" t="n">
        <v>0.43</v>
      </c>
      <c r="F581" s="190" t="n">
        <v>21</v>
      </c>
      <c r="G581" s="190" t="n">
        <v>30.4</v>
      </c>
      <c r="H581" s="190" t="s">
        <v>22</v>
      </c>
      <c r="I581" s="190" t="s">
        <v>153</v>
      </c>
      <c r="J581" s="190" t="s">
        <v>2934</v>
      </c>
    </row>
    <row r="582" customFormat="false" ht="14.25" hidden="false" customHeight="true" outlineLevel="0" collapsed="false">
      <c r="A582" s="190" t="s">
        <v>3162</v>
      </c>
      <c r="B582" s="190" t="s">
        <v>3163</v>
      </c>
      <c r="C582" s="190" t="s">
        <v>3164</v>
      </c>
      <c r="D582" s="190" t="n">
        <v>1</v>
      </c>
      <c r="E582" s="190" t="n">
        <v>0.43</v>
      </c>
      <c r="F582" s="190" t="n">
        <v>0.75</v>
      </c>
      <c r="G582" s="190" t="n">
        <v>0.75</v>
      </c>
      <c r="H582" s="190" t="s">
        <v>22</v>
      </c>
      <c r="I582" s="190" t="s">
        <v>3165</v>
      </c>
      <c r="J582" s="190" t="s">
        <v>1816</v>
      </c>
    </row>
    <row r="583" customFormat="false" ht="14.25" hidden="false" customHeight="true" outlineLevel="0" collapsed="false">
      <c r="A583" s="190" t="s">
        <v>3166</v>
      </c>
      <c r="B583" s="190" t="s">
        <v>3167</v>
      </c>
      <c r="C583" s="190" t="s">
        <v>3168</v>
      </c>
      <c r="D583" s="190" t="n">
        <v>1</v>
      </c>
      <c r="E583" s="190" t="n">
        <v>0.22</v>
      </c>
      <c r="F583" s="190" t="n">
        <v>15</v>
      </c>
      <c r="G583" s="190" t="n">
        <v>9.03</v>
      </c>
      <c r="H583" s="190" t="s">
        <v>22</v>
      </c>
      <c r="I583" s="190" t="s">
        <v>3165</v>
      </c>
      <c r="J583" s="190" t="s">
        <v>1816</v>
      </c>
    </row>
    <row r="584" customFormat="false" ht="14.25" hidden="false" customHeight="true" outlineLevel="0" collapsed="false">
      <c r="A584" s="190" t="s">
        <v>3169</v>
      </c>
      <c r="B584" s="190" t="s">
        <v>3170</v>
      </c>
      <c r="C584" s="190" t="s">
        <v>3171</v>
      </c>
      <c r="D584" s="190" t="n">
        <v>1</v>
      </c>
      <c r="E584" s="190" t="n">
        <v>0.22</v>
      </c>
      <c r="F584" s="190" t="n">
        <v>7.83</v>
      </c>
      <c r="G584" s="190" t="n">
        <v>7.05</v>
      </c>
      <c r="H584" s="190" t="s">
        <v>22</v>
      </c>
      <c r="I584" s="190" t="s">
        <v>3165</v>
      </c>
      <c r="J584" s="190" t="s">
        <v>2934</v>
      </c>
    </row>
    <row r="585" customFormat="false" ht="14.25" hidden="false" customHeight="true" outlineLevel="0" collapsed="false">
      <c r="A585" s="190" t="s">
        <v>3172</v>
      </c>
      <c r="B585" s="190" t="s">
        <v>3173</v>
      </c>
      <c r="C585" s="190" t="s">
        <v>3174</v>
      </c>
      <c r="D585" s="190" t="n">
        <v>1</v>
      </c>
      <c r="E585" s="190" t="n">
        <v>0.43</v>
      </c>
      <c r="F585" s="190" t="n">
        <v>13</v>
      </c>
      <c r="G585" s="190" t="n">
        <v>119.3</v>
      </c>
      <c r="H585" s="190" t="s">
        <v>22</v>
      </c>
      <c r="I585" s="190" t="s">
        <v>3165</v>
      </c>
      <c r="J585" s="190" t="s">
        <v>1816</v>
      </c>
    </row>
    <row r="586" customFormat="false" ht="14.25" hidden="false" customHeight="true" outlineLevel="0" collapsed="false">
      <c r="A586" s="190" t="s">
        <v>3175</v>
      </c>
      <c r="B586" s="190" t="s">
        <v>3176</v>
      </c>
      <c r="C586" s="190" t="s">
        <v>3177</v>
      </c>
      <c r="D586" s="190" t="n">
        <v>1</v>
      </c>
      <c r="E586" s="190" t="n">
        <v>1.75</v>
      </c>
      <c r="F586" s="190" t="n">
        <v>1.83</v>
      </c>
      <c r="G586" s="190" t="n">
        <v>1.63</v>
      </c>
      <c r="H586" s="190" t="s">
        <v>22</v>
      </c>
      <c r="I586" s="190" t="s">
        <v>3165</v>
      </c>
      <c r="J586" s="190" t="s">
        <v>1816</v>
      </c>
    </row>
    <row r="587" customFormat="false" ht="14.25" hidden="false" customHeight="true" outlineLevel="0" collapsed="false">
      <c r="A587" s="190" t="s">
        <v>3178</v>
      </c>
      <c r="B587" s="190" t="s">
        <v>3179</v>
      </c>
      <c r="C587" s="190" t="s">
        <v>3180</v>
      </c>
      <c r="D587" s="190" t="n">
        <v>1</v>
      </c>
      <c r="E587" s="190" t="n">
        <v>0.87</v>
      </c>
      <c r="F587" s="190" t="n">
        <v>8.33</v>
      </c>
      <c r="G587" s="190" t="n">
        <v>4.12</v>
      </c>
      <c r="H587" s="190" t="s">
        <v>22</v>
      </c>
      <c r="I587" s="190" t="s">
        <v>2538</v>
      </c>
      <c r="J587" s="190" t="s">
        <v>1816</v>
      </c>
    </row>
    <row r="588" customFormat="false" ht="14.25" hidden="false" customHeight="true" outlineLevel="0" collapsed="false">
      <c r="A588" s="190" t="s">
        <v>3181</v>
      </c>
      <c r="B588" s="190" t="s">
        <v>3182</v>
      </c>
      <c r="C588" s="190" t="s">
        <v>3183</v>
      </c>
      <c r="D588" s="190" t="n">
        <v>1</v>
      </c>
      <c r="E588" s="190" t="n">
        <v>0.87</v>
      </c>
      <c r="F588" s="190" t="n">
        <v>0.83</v>
      </c>
      <c r="G588" s="190" t="n">
        <v>0.58</v>
      </c>
      <c r="H588" s="190" t="s">
        <v>22</v>
      </c>
      <c r="I588" s="190" t="s">
        <v>2538</v>
      </c>
      <c r="J588" s="190" t="s">
        <v>1816</v>
      </c>
    </row>
    <row r="589" customFormat="false" ht="14.25" hidden="false" customHeight="true" outlineLevel="0" collapsed="false">
      <c r="A589" s="190" t="s">
        <v>3184</v>
      </c>
      <c r="B589" s="190" t="s">
        <v>3185</v>
      </c>
      <c r="C589" s="190" t="s">
        <v>3186</v>
      </c>
      <c r="D589" s="190" t="n">
        <v>1</v>
      </c>
      <c r="E589" s="190" t="n">
        <v>1.32</v>
      </c>
      <c r="F589" s="190" t="n">
        <v>0.5</v>
      </c>
      <c r="G589" s="190" t="n">
        <v>0.5</v>
      </c>
      <c r="H589" s="190" t="s">
        <v>22</v>
      </c>
      <c r="I589" s="190" t="s">
        <v>2538</v>
      </c>
      <c r="J589" s="190" t="s">
        <v>1816</v>
      </c>
    </row>
    <row r="590" customFormat="false" ht="14.25" hidden="false" customHeight="true" outlineLevel="0" collapsed="false">
      <c r="A590" s="190" t="s">
        <v>3187</v>
      </c>
      <c r="B590" s="190" t="s">
        <v>3188</v>
      </c>
      <c r="C590" s="190" t="s">
        <v>3189</v>
      </c>
      <c r="D590" s="190" t="n">
        <v>1</v>
      </c>
      <c r="E590" s="190" t="n">
        <v>1.32</v>
      </c>
      <c r="F590" s="190" t="n">
        <v>0.5</v>
      </c>
      <c r="G590" s="190" t="n">
        <v>0.5</v>
      </c>
      <c r="H590" s="190" t="s">
        <v>22</v>
      </c>
      <c r="I590" s="190" t="s">
        <v>2538</v>
      </c>
      <c r="J590" s="190" t="s">
        <v>1816</v>
      </c>
    </row>
    <row r="591" customFormat="false" ht="14.25" hidden="false" customHeight="true" outlineLevel="0" collapsed="false">
      <c r="A591" s="190" t="s">
        <v>3190</v>
      </c>
      <c r="B591" s="190" t="s">
        <v>3191</v>
      </c>
      <c r="C591" s="190" t="s">
        <v>3192</v>
      </c>
      <c r="D591" s="190" t="n">
        <v>1</v>
      </c>
      <c r="E591" s="190" t="n">
        <v>1.45</v>
      </c>
      <c r="F591" s="190" t="n">
        <v>1.83</v>
      </c>
      <c r="G591" s="190" t="n">
        <v>2.3</v>
      </c>
      <c r="H591" s="190" t="s">
        <v>22</v>
      </c>
      <c r="I591" s="190" t="s">
        <v>2363</v>
      </c>
      <c r="J591" s="190" t="s">
        <v>1816</v>
      </c>
    </row>
    <row r="592" customFormat="false" ht="14.25" hidden="false" customHeight="true" outlineLevel="0" collapsed="false">
      <c r="A592" s="190" t="s">
        <v>3193</v>
      </c>
      <c r="B592" s="190" t="s">
        <v>3194</v>
      </c>
      <c r="C592" s="190" t="s">
        <v>3195</v>
      </c>
      <c r="D592" s="190" t="n">
        <v>1</v>
      </c>
      <c r="E592" s="190" t="n">
        <v>1.45</v>
      </c>
      <c r="F592" s="190" t="n">
        <v>1.83</v>
      </c>
      <c r="G592" s="190" t="n">
        <v>1.98</v>
      </c>
      <c r="H592" s="190" t="s">
        <v>22</v>
      </c>
      <c r="I592" s="190" t="s">
        <v>2363</v>
      </c>
      <c r="J592" s="190" t="s">
        <v>1816</v>
      </c>
    </row>
    <row r="593" customFormat="false" ht="14.25" hidden="false" customHeight="true" outlineLevel="0" collapsed="false">
      <c r="A593" s="190" t="s">
        <v>3196</v>
      </c>
      <c r="B593" s="190" t="s">
        <v>3197</v>
      </c>
      <c r="C593" s="190" t="s">
        <v>3198</v>
      </c>
      <c r="D593" s="190" t="n">
        <v>1</v>
      </c>
      <c r="E593" s="190" t="n">
        <v>0.92</v>
      </c>
      <c r="F593" s="190" t="n">
        <v>1</v>
      </c>
      <c r="G593" s="190" t="n">
        <v>0.85</v>
      </c>
      <c r="H593" s="190" t="s">
        <v>22</v>
      </c>
      <c r="I593" s="190" t="s">
        <v>2363</v>
      </c>
      <c r="J593" s="190" t="s">
        <v>2934</v>
      </c>
    </row>
    <row r="594" customFormat="false" ht="14.25" hidden="false" customHeight="true" outlineLevel="0" collapsed="false">
      <c r="A594" s="190" t="s">
        <v>3199</v>
      </c>
      <c r="B594" s="190" t="s">
        <v>3200</v>
      </c>
      <c r="C594" s="190" t="s">
        <v>3201</v>
      </c>
      <c r="D594" s="190" t="n">
        <v>1</v>
      </c>
      <c r="E594" s="190" t="n">
        <v>0.92</v>
      </c>
      <c r="F594" s="190" t="n">
        <v>0.5</v>
      </c>
      <c r="G594" s="190" t="n">
        <v>57.8</v>
      </c>
      <c r="H594" s="190" t="s">
        <v>22</v>
      </c>
      <c r="I594" s="190" t="s">
        <v>2363</v>
      </c>
      <c r="J594" s="190" t="s">
        <v>2934</v>
      </c>
    </row>
    <row r="595" customFormat="false" ht="14.25" hidden="false" customHeight="true" outlineLevel="0" collapsed="false">
      <c r="A595" s="190" t="s">
        <v>3202</v>
      </c>
      <c r="B595" s="190" t="s">
        <v>3203</v>
      </c>
      <c r="C595" s="190" t="s">
        <v>3204</v>
      </c>
      <c r="D595" s="190" t="n">
        <v>1</v>
      </c>
      <c r="E595" s="190" t="n">
        <v>0.92</v>
      </c>
      <c r="F595" s="190" t="n">
        <v>3.75</v>
      </c>
      <c r="G595" s="190" t="n">
        <v>25.5</v>
      </c>
      <c r="H595" s="190" t="s">
        <v>22</v>
      </c>
      <c r="I595" s="190" t="s">
        <v>2363</v>
      </c>
      <c r="J595" s="190" t="s">
        <v>2934</v>
      </c>
    </row>
    <row r="596" customFormat="false" ht="14.25" hidden="false" customHeight="true" outlineLevel="0" collapsed="false">
      <c r="A596" s="190" t="s">
        <v>3205</v>
      </c>
      <c r="B596" s="190" t="s">
        <v>3206</v>
      </c>
      <c r="C596" s="190" t="s">
        <v>3207</v>
      </c>
      <c r="D596" s="190" t="n">
        <v>1</v>
      </c>
      <c r="E596" s="190" t="n">
        <v>0.92</v>
      </c>
      <c r="F596" s="190" t="n">
        <v>3</v>
      </c>
      <c r="G596" s="190" t="n">
        <v>2.88</v>
      </c>
      <c r="H596" s="190" t="s">
        <v>22</v>
      </c>
      <c r="I596" s="190" t="s">
        <v>2363</v>
      </c>
      <c r="J596" s="190" t="s">
        <v>2934</v>
      </c>
    </row>
    <row r="597" customFormat="false" ht="14.25" hidden="false" customHeight="true" outlineLevel="0" collapsed="false">
      <c r="A597" s="190" t="s">
        <v>3208</v>
      </c>
      <c r="B597" s="190" t="s">
        <v>3209</v>
      </c>
      <c r="C597" s="190" t="s">
        <v>3210</v>
      </c>
      <c r="D597" s="190" t="n">
        <v>1</v>
      </c>
      <c r="E597" s="190" t="n">
        <v>1.35</v>
      </c>
      <c r="F597" s="190" t="n">
        <v>2</v>
      </c>
      <c r="G597" s="190" t="n">
        <v>56.3</v>
      </c>
      <c r="H597" s="190" t="s">
        <v>22</v>
      </c>
      <c r="I597" s="190" t="s">
        <v>2363</v>
      </c>
      <c r="J597" s="190" t="s">
        <v>2934</v>
      </c>
    </row>
    <row r="598" customFormat="false" ht="14.25" hidden="false" customHeight="true" outlineLevel="0" collapsed="false">
      <c r="A598" s="190" t="s">
        <v>3211</v>
      </c>
      <c r="B598" s="190" t="s">
        <v>3212</v>
      </c>
      <c r="C598" s="190" t="s">
        <v>3213</v>
      </c>
      <c r="D598" s="190" t="n">
        <v>1</v>
      </c>
      <c r="E598" s="190" t="n">
        <v>1.35</v>
      </c>
      <c r="F598" s="190" t="n">
        <v>1.5</v>
      </c>
      <c r="G598" s="190" t="n">
        <v>56.3</v>
      </c>
      <c r="H598" s="190" t="s">
        <v>22</v>
      </c>
      <c r="I598" s="190" t="s">
        <v>2363</v>
      </c>
      <c r="J598" s="190" t="s">
        <v>2934</v>
      </c>
    </row>
    <row r="599" customFormat="false" ht="14.25" hidden="false" customHeight="true" outlineLevel="0" collapsed="false">
      <c r="A599" s="190" t="s">
        <v>3214</v>
      </c>
      <c r="B599" s="190" t="s">
        <v>3215</v>
      </c>
      <c r="C599" s="190" t="s">
        <v>3216</v>
      </c>
      <c r="D599" s="190" t="n">
        <v>1</v>
      </c>
      <c r="E599" s="190" t="n">
        <v>0.48</v>
      </c>
      <c r="F599" s="190" t="n">
        <v>1</v>
      </c>
      <c r="G599" s="190" t="n">
        <v>1</v>
      </c>
      <c r="H599" s="190" t="s">
        <v>22</v>
      </c>
      <c r="I599" s="190" t="s">
        <v>2363</v>
      </c>
      <c r="J599" s="190" t="s">
        <v>2934</v>
      </c>
    </row>
    <row r="600" customFormat="false" ht="14.25" hidden="false" customHeight="true" outlineLevel="0" collapsed="false">
      <c r="A600" s="190" t="s">
        <v>3217</v>
      </c>
      <c r="B600" s="190" t="s">
        <v>3218</v>
      </c>
      <c r="C600" s="190" t="s">
        <v>3219</v>
      </c>
      <c r="D600" s="190" t="n">
        <v>1</v>
      </c>
      <c r="E600" s="190" t="n">
        <v>0.48</v>
      </c>
      <c r="F600" s="190" t="n">
        <v>1</v>
      </c>
      <c r="G600" s="190" t="n">
        <v>56.3</v>
      </c>
      <c r="H600" s="190" t="s">
        <v>22</v>
      </c>
      <c r="I600" s="190" t="s">
        <v>2363</v>
      </c>
      <c r="J600" s="190" t="s">
        <v>2934</v>
      </c>
    </row>
    <row r="601" customFormat="false" ht="14.25" hidden="false" customHeight="true" outlineLevel="0" collapsed="false">
      <c r="A601" s="190" t="s">
        <v>3220</v>
      </c>
      <c r="B601" s="190" t="s">
        <v>3221</v>
      </c>
      <c r="C601" s="190" t="s">
        <v>3222</v>
      </c>
      <c r="D601" s="190" t="n">
        <v>1</v>
      </c>
      <c r="E601" s="190" t="n">
        <v>1.37</v>
      </c>
      <c r="F601" s="190" t="n">
        <v>1</v>
      </c>
      <c r="G601" s="190" t="n">
        <v>1</v>
      </c>
      <c r="H601" s="190" t="s">
        <v>22</v>
      </c>
      <c r="I601" s="190" t="s">
        <v>2363</v>
      </c>
      <c r="J601" s="190" t="s">
        <v>2934</v>
      </c>
    </row>
    <row r="602" customFormat="false" ht="14.25" hidden="false" customHeight="true" outlineLevel="0" collapsed="false">
      <c r="A602" s="190" t="s">
        <v>3223</v>
      </c>
      <c r="B602" s="190" t="s">
        <v>3224</v>
      </c>
      <c r="C602" s="190" t="s">
        <v>3225</v>
      </c>
      <c r="D602" s="190" t="n">
        <v>1</v>
      </c>
      <c r="E602" s="190" t="n">
        <v>1.37</v>
      </c>
      <c r="F602" s="190" t="n">
        <v>1.5</v>
      </c>
      <c r="G602" s="190" t="n">
        <v>56.3</v>
      </c>
      <c r="H602" s="190" t="s">
        <v>22</v>
      </c>
      <c r="I602" s="190" t="s">
        <v>2363</v>
      </c>
      <c r="J602" s="190" t="s">
        <v>2934</v>
      </c>
    </row>
    <row r="603" customFormat="false" ht="14.25" hidden="false" customHeight="true" outlineLevel="0" collapsed="false">
      <c r="A603" s="190" t="s">
        <v>3226</v>
      </c>
      <c r="B603" s="190" t="s">
        <v>3227</v>
      </c>
      <c r="C603" s="190" t="s">
        <v>3228</v>
      </c>
      <c r="D603" s="190" t="n">
        <v>1</v>
      </c>
      <c r="E603" s="190" t="n">
        <v>0.48</v>
      </c>
      <c r="F603" s="190" t="n">
        <v>1</v>
      </c>
      <c r="G603" s="190" t="n">
        <v>1</v>
      </c>
      <c r="H603" s="190" t="s">
        <v>22</v>
      </c>
      <c r="I603" s="190" t="s">
        <v>2363</v>
      </c>
      <c r="J603" s="190" t="s">
        <v>2934</v>
      </c>
    </row>
    <row r="604" customFormat="false" ht="14.25" hidden="false" customHeight="true" outlineLevel="0" collapsed="false">
      <c r="A604" s="190" t="s">
        <v>3229</v>
      </c>
      <c r="B604" s="190" t="s">
        <v>3230</v>
      </c>
      <c r="C604" s="190" t="s">
        <v>3231</v>
      </c>
      <c r="D604" s="190" t="n">
        <v>1</v>
      </c>
      <c r="E604" s="190" t="n">
        <v>0.48</v>
      </c>
      <c r="F604" s="190" t="n">
        <v>1.5</v>
      </c>
      <c r="G604" s="190" t="n">
        <v>56.2</v>
      </c>
      <c r="H604" s="190" t="s">
        <v>22</v>
      </c>
      <c r="I604" s="190" t="s">
        <v>2363</v>
      </c>
      <c r="J604" s="190" t="s">
        <v>2934</v>
      </c>
    </row>
    <row r="605" customFormat="false" ht="14.25" hidden="false" customHeight="true" outlineLevel="0" collapsed="false">
      <c r="A605" s="190" t="s">
        <v>3232</v>
      </c>
      <c r="B605" s="190" t="s">
        <v>3233</v>
      </c>
      <c r="C605" s="190" t="s">
        <v>3234</v>
      </c>
      <c r="D605" s="190" t="n">
        <v>1</v>
      </c>
      <c r="E605" s="190" t="n">
        <v>0.87</v>
      </c>
      <c r="F605" s="190" t="n">
        <v>0.5</v>
      </c>
      <c r="G605" s="190" t="n">
        <v>0.5</v>
      </c>
      <c r="H605" s="190" t="s">
        <v>22</v>
      </c>
      <c r="I605" s="190" t="s">
        <v>2363</v>
      </c>
      <c r="J605" s="190" t="s">
        <v>2934</v>
      </c>
    </row>
    <row r="606" customFormat="false" ht="14.25" hidden="false" customHeight="true" outlineLevel="0" collapsed="false">
      <c r="A606" s="190" t="s">
        <v>3235</v>
      </c>
      <c r="B606" s="190" t="s">
        <v>3236</v>
      </c>
      <c r="C606" s="190" t="s">
        <v>3237</v>
      </c>
      <c r="D606" s="190" t="n">
        <v>1</v>
      </c>
      <c r="E606" s="190" t="n">
        <v>0.87</v>
      </c>
      <c r="F606" s="190" t="n">
        <v>0.5</v>
      </c>
      <c r="G606" s="190" t="n">
        <v>0.5</v>
      </c>
      <c r="H606" s="190" t="s">
        <v>22</v>
      </c>
      <c r="I606" s="190" t="s">
        <v>2363</v>
      </c>
      <c r="J606" s="190" t="s">
        <v>2934</v>
      </c>
    </row>
    <row r="607" customFormat="false" ht="14.25" hidden="false" customHeight="true" outlineLevel="0" collapsed="false">
      <c r="A607" s="190" t="s">
        <v>3238</v>
      </c>
      <c r="B607" s="190" t="s">
        <v>3239</v>
      </c>
      <c r="C607" s="190" t="s">
        <v>3240</v>
      </c>
      <c r="D607" s="190" t="n">
        <v>1</v>
      </c>
      <c r="E607" s="190" t="n">
        <v>0.52</v>
      </c>
      <c r="F607" s="190" t="n">
        <v>1</v>
      </c>
      <c r="G607" s="190" t="n">
        <v>1</v>
      </c>
      <c r="H607" s="190" t="s">
        <v>22</v>
      </c>
      <c r="I607" s="190" t="s">
        <v>2363</v>
      </c>
      <c r="J607" s="190" t="s">
        <v>1816</v>
      </c>
    </row>
    <row r="608" customFormat="false" ht="14.25" hidden="false" customHeight="true" outlineLevel="0" collapsed="false">
      <c r="A608" s="190" t="s">
        <v>3241</v>
      </c>
      <c r="B608" s="190" t="s">
        <v>3242</v>
      </c>
      <c r="C608" s="190" t="s">
        <v>3243</v>
      </c>
      <c r="D608" s="190" t="n">
        <v>1</v>
      </c>
      <c r="E608" s="190" t="n">
        <v>0.52</v>
      </c>
      <c r="F608" s="190" t="n">
        <v>1</v>
      </c>
      <c r="G608" s="190" t="n">
        <v>58.4</v>
      </c>
      <c r="H608" s="190" t="s">
        <v>22</v>
      </c>
      <c r="I608" s="190" t="s">
        <v>2363</v>
      </c>
      <c r="J608" s="190" t="s">
        <v>1816</v>
      </c>
    </row>
    <row r="609" customFormat="false" ht="14.25" hidden="false" customHeight="true" outlineLevel="0" collapsed="false">
      <c r="A609" s="190" t="s">
        <v>3244</v>
      </c>
      <c r="B609" s="190" t="s">
        <v>3245</v>
      </c>
      <c r="C609" s="190" t="s">
        <v>3246</v>
      </c>
      <c r="D609" s="190" t="n">
        <v>1</v>
      </c>
      <c r="E609" s="190" t="n">
        <v>3.07</v>
      </c>
      <c r="F609" s="190" t="n">
        <v>13</v>
      </c>
      <c r="G609" s="190" t="n">
        <v>16.03</v>
      </c>
      <c r="H609" s="190" t="s">
        <v>22</v>
      </c>
      <c r="I609" s="190" t="s">
        <v>2363</v>
      </c>
      <c r="J609" s="190" t="s">
        <v>3247</v>
      </c>
    </row>
    <row r="610" customFormat="false" ht="14.25" hidden="false" customHeight="true" outlineLevel="0" collapsed="false">
      <c r="A610" s="190" t="s">
        <v>3248</v>
      </c>
      <c r="B610" s="190" t="s">
        <v>3249</v>
      </c>
      <c r="C610" s="190" t="s">
        <v>3250</v>
      </c>
      <c r="D610" s="190" t="n">
        <v>1</v>
      </c>
      <c r="E610" s="190" t="n">
        <v>3.07</v>
      </c>
      <c r="F610" s="190" t="n">
        <v>13</v>
      </c>
      <c r="G610" s="190" t="n">
        <v>16.47</v>
      </c>
      <c r="H610" s="190" t="s">
        <v>22</v>
      </c>
      <c r="I610" s="190" t="s">
        <v>2363</v>
      </c>
      <c r="J610" s="190" t="s">
        <v>3247</v>
      </c>
    </row>
    <row r="611" customFormat="false" ht="14.25" hidden="false" customHeight="true" outlineLevel="0" collapsed="false">
      <c r="A611" s="190" t="s">
        <v>3251</v>
      </c>
      <c r="B611" s="190" t="s">
        <v>3252</v>
      </c>
      <c r="C611" s="190" t="s">
        <v>3253</v>
      </c>
      <c r="D611" s="190" t="n">
        <v>1</v>
      </c>
      <c r="E611" s="190" t="n">
        <v>0.43</v>
      </c>
      <c r="F611" s="190" t="n">
        <v>1</v>
      </c>
      <c r="G611" s="190" t="n">
        <v>1</v>
      </c>
      <c r="H611" s="190" t="s">
        <v>22</v>
      </c>
      <c r="I611" s="190" t="s">
        <v>2363</v>
      </c>
      <c r="J611" s="190" t="s">
        <v>2934</v>
      </c>
    </row>
    <row r="612" customFormat="false" ht="14.25" hidden="false" customHeight="true" outlineLevel="0" collapsed="false">
      <c r="A612" s="190" t="s">
        <v>3254</v>
      </c>
      <c r="B612" s="190" t="s">
        <v>3255</v>
      </c>
      <c r="C612" s="190" t="s">
        <v>3256</v>
      </c>
      <c r="D612" s="190" t="n">
        <v>1</v>
      </c>
      <c r="E612" s="190" t="n">
        <v>0.43</v>
      </c>
      <c r="F612" s="190" t="n">
        <v>1</v>
      </c>
      <c r="G612" s="190" t="n">
        <v>1</v>
      </c>
      <c r="H612" s="190" t="s">
        <v>22</v>
      </c>
      <c r="I612" s="190" t="s">
        <v>2363</v>
      </c>
      <c r="J612" s="190" t="s">
        <v>2934</v>
      </c>
    </row>
    <row r="613" customFormat="false" ht="14.25" hidden="false" customHeight="true" outlineLevel="0" collapsed="false">
      <c r="A613" s="190" t="s">
        <v>3257</v>
      </c>
      <c r="B613" s="190" t="s">
        <v>3258</v>
      </c>
      <c r="C613" s="190" t="s">
        <v>3259</v>
      </c>
      <c r="D613" s="190" t="n">
        <v>1</v>
      </c>
      <c r="E613" s="190" t="n">
        <v>0.22</v>
      </c>
      <c r="F613" s="190" t="n">
        <v>1</v>
      </c>
      <c r="G613" s="190" t="n">
        <v>1</v>
      </c>
      <c r="H613" s="190" t="s">
        <v>22</v>
      </c>
      <c r="I613" s="190" t="s">
        <v>158</v>
      </c>
      <c r="J613" s="190" t="s">
        <v>1816</v>
      </c>
    </row>
    <row r="614" customFormat="false" ht="14.25" hidden="false" customHeight="true" outlineLevel="0" collapsed="false">
      <c r="A614" s="190" t="s">
        <v>3260</v>
      </c>
      <c r="B614" s="190" t="s">
        <v>3261</v>
      </c>
      <c r="C614" s="190" t="s">
        <v>3262</v>
      </c>
      <c r="D614" s="190" t="n">
        <v>1</v>
      </c>
      <c r="E614" s="190" t="n">
        <v>0.43</v>
      </c>
      <c r="F614" s="190" t="n">
        <v>1</v>
      </c>
      <c r="G614" s="190" t="n">
        <v>1</v>
      </c>
      <c r="H614" s="190" t="s">
        <v>22</v>
      </c>
      <c r="I614" s="190" t="s">
        <v>158</v>
      </c>
      <c r="J614" s="190" t="s">
        <v>1816</v>
      </c>
    </row>
    <row r="615" customFormat="false" ht="14.25" hidden="false" customHeight="true" outlineLevel="0" collapsed="false">
      <c r="A615" s="190" t="s">
        <v>3263</v>
      </c>
      <c r="B615" s="190" t="s">
        <v>3264</v>
      </c>
      <c r="C615" s="190" t="s">
        <v>3265</v>
      </c>
      <c r="D615" s="190" t="n">
        <v>1</v>
      </c>
      <c r="E615" s="190" t="n">
        <v>0.22</v>
      </c>
      <c r="F615" s="190" t="n">
        <v>1</v>
      </c>
      <c r="G615" s="190" t="n">
        <v>1</v>
      </c>
      <c r="H615" s="190" t="s">
        <v>22</v>
      </c>
      <c r="I615" s="190" t="s">
        <v>158</v>
      </c>
      <c r="J615" s="190" t="s">
        <v>1816</v>
      </c>
    </row>
    <row r="616" customFormat="false" ht="14.25" hidden="false" customHeight="true" outlineLevel="0" collapsed="false">
      <c r="A616" s="190" t="s">
        <v>156</v>
      </c>
      <c r="B616" s="190" t="s">
        <v>154</v>
      </c>
      <c r="C616" s="190" t="s">
        <v>155</v>
      </c>
      <c r="D616" s="190" t="n">
        <v>1</v>
      </c>
      <c r="E616" s="190" t="n">
        <v>1.97</v>
      </c>
      <c r="F616" s="190" t="n">
        <v>6.83</v>
      </c>
      <c r="G616" s="190" t="n">
        <v>323.4</v>
      </c>
      <c r="H616" s="190" t="s">
        <v>22</v>
      </c>
      <c r="I616" s="190" t="s">
        <v>158</v>
      </c>
      <c r="J616" s="190" t="s">
        <v>3266</v>
      </c>
    </row>
    <row r="617" customFormat="false" ht="14.25" hidden="false" customHeight="true" outlineLevel="0" collapsed="false">
      <c r="A617" s="190" t="s">
        <v>3267</v>
      </c>
      <c r="B617" s="190" t="s">
        <v>3268</v>
      </c>
      <c r="C617" s="190" t="s">
        <v>3269</v>
      </c>
      <c r="D617" s="190" t="n">
        <v>1</v>
      </c>
      <c r="E617" s="190" t="n">
        <v>3</v>
      </c>
      <c r="F617" s="190" t="n">
        <v>18</v>
      </c>
      <c r="G617" s="190" t="n">
        <v>6.03</v>
      </c>
      <c r="H617" s="190" t="s">
        <v>22</v>
      </c>
      <c r="I617" s="190" t="s">
        <v>3270</v>
      </c>
      <c r="J617" s="190" t="s">
        <v>2968</v>
      </c>
    </row>
    <row r="618" customFormat="false" ht="14.25" hidden="false" customHeight="true" outlineLevel="0" collapsed="false">
      <c r="A618" s="190" t="s">
        <v>171</v>
      </c>
      <c r="B618" s="190" t="s">
        <v>169</v>
      </c>
      <c r="C618" s="190" t="s">
        <v>170</v>
      </c>
      <c r="D618" s="190" t="n">
        <v>1</v>
      </c>
      <c r="E618" s="190" t="n">
        <v>0.43</v>
      </c>
      <c r="F618" s="190" t="n">
        <v>2</v>
      </c>
      <c r="G618" s="190" t="n">
        <v>1</v>
      </c>
      <c r="H618" s="190" t="s">
        <v>22</v>
      </c>
      <c r="I618" s="190" t="s">
        <v>172</v>
      </c>
      <c r="J618" s="190" t="s">
        <v>1847</v>
      </c>
    </row>
    <row r="619" customFormat="false" ht="14.25" hidden="false" customHeight="true" outlineLevel="0" collapsed="false">
      <c r="A619" s="190" t="s">
        <v>3271</v>
      </c>
      <c r="B619" s="190" t="s">
        <v>3272</v>
      </c>
      <c r="C619" s="190" t="s">
        <v>3273</v>
      </c>
      <c r="D619" s="190" t="n">
        <v>1</v>
      </c>
      <c r="E619" s="190" t="n">
        <v>0.22</v>
      </c>
      <c r="F619" s="190" t="n">
        <v>4</v>
      </c>
      <c r="G619" s="190" t="n">
        <v>2</v>
      </c>
      <c r="H619" s="190" t="s">
        <v>22</v>
      </c>
      <c r="I619" s="190" t="s">
        <v>3274</v>
      </c>
      <c r="J619" s="190" t="s">
        <v>1831</v>
      </c>
    </row>
    <row r="620" customFormat="false" ht="14.25" hidden="false" customHeight="true" outlineLevel="0" collapsed="false">
      <c r="A620" s="190" t="s">
        <v>3275</v>
      </c>
      <c r="B620" s="190" t="s">
        <v>3276</v>
      </c>
      <c r="C620" s="190" t="s">
        <v>3277</v>
      </c>
      <c r="D620" s="190" t="n">
        <v>1</v>
      </c>
      <c r="E620" s="190" t="n">
        <v>0.22</v>
      </c>
      <c r="F620" s="190" t="n">
        <v>4.5</v>
      </c>
      <c r="G620" s="190" t="n">
        <v>2.78</v>
      </c>
      <c r="H620" s="190" t="s">
        <v>22</v>
      </c>
      <c r="I620" s="190" t="s">
        <v>3278</v>
      </c>
      <c r="J620" s="190" t="s">
        <v>1831</v>
      </c>
    </row>
    <row r="621" customFormat="false" ht="14.25" hidden="false" customHeight="true" outlineLevel="0" collapsed="false">
      <c r="A621" s="190" t="s">
        <v>3279</v>
      </c>
      <c r="B621" s="190" t="s">
        <v>3280</v>
      </c>
      <c r="C621" s="190" t="s">
        <v>3281</v>
      </c>
      <c r="D621" s="190" t="n">
        <v>1</v>
      </c>
      <c r="E621" s="190" t="n">
        <v>0.22</v>
      </c>
      <c r="F621" s="190" t="n">
        <v>4</v>
      </c>
      <c r="G621" s="190" t="n">
        <v>2</v>
      </c>
      <c r="H621" s="190" t="s">
        <v>22</v>
      </c>
      <c r="I621" s="190" t="s">
        <v>3282</v>
      </c>
      <c r="J621" s="190" t="s">
        <v>1831</v>
      </c>
    </row>
    <row r="622" customFormat="false" ht="14.25" hidden="false" customHeight="true" outlineLevel="0" collapsed="false">
      <c r="A622" s="190" t="s">
        <v>221</v>
      </c>
      <c r="B622" s="190" t="s">
        <v>219</v>
      </c>
      <c r="C622" s="190" t="s">
        <v>220</v>
      </c>
      <c r="D622" s="190" t="n">
        <v>1</v>
      </c>
      <c r="E622" s="190" t="n">
        <v>2</v>
      </c>
      <c r="F622" s="190" t="n">
        <v>1</v>
      </c>
      <c r="G622" s="190" t="n">
        <v>1</v>
      </c>
      <c r="H622" s="190" t="s">
        <v>22</v>
      </c>
      <c r="I622" s="190" t="s">
        <v>222</v>
      </c>
      <c r="J622" s="190" t="s">
        <v>1816</v>
      </c>
    </row>
    <row r="623" customFormat="false" ht="14.25" hidden="false" customHeight="true" outlineLevel="0" collapsed="false">
      <c r="A623" s="190" t="s">
        <v>225</v>
      </c>
      <c r="B623" s="190" t="s">
        <v>223</v>
      </c>
      <c r="C623" s="190" t="s">
        <v>224</v>
      </c>
      <c r="D623" s="190" t="n">
        <v>1</v>
      </c>
      <c r="E623" s="190" t="n">
        <v>2</v>
      </c>
      <c r="F623" s="190" t="n">
        <v>1</v>
      </c>
      <c r="G623" s="190" t="n">
        <v>1</v>
      </c>
      <c r="H623" s="190" t="s">
        <v>22</v>
      </c>
      <c r="I623" s="190" t="s">
        <v>226</v>
      </c>
      <c r="J623" s="190" t="s">
        <v>1816</v>
      </c>
    </row>
    <row r="624" customFormat="false" ht="14.25" hidden="false" customHeight="true" outlineLevel="0" collapsed="false">
      <c r="A624" s="190" t="s">
        <v>229</v>
      </c>
      <c r="B624" s="190" t="s">
        <v>227</v>
      </c>
      <c r="C624" s="190" t="s">
        <v>228</v>
      </c>
      <c r="D624" s="190" t="n">
        <v>1</v>
      </c>
      <c r="E624" s="190" t="n">
        <v>1</v>
      </c>
      <c r="F624" s="190" t="n">
        <v>1</v>
      </c>
      <c r="G624" s="190" t="n">
        <v>1</v>
      </c>
      <c r="H624" s="190" t="s">
        <v>22</v>
      </c>
      <c r="I624" s="190" t="s">
        <v>226</v>
      </c>
      <c r="J624" s="190" t="s">
        <v>1816</v>
      </c>
    </row>
    <row r="625" customFormat="false" ht="14.25" hidden="false" customHeight="true" outlineLevel="0" collapsed="false">
      <c r="A625" s="190" t="s">
        <v>232</v>
      </c>
      <c r="B625" s="190" t="s">
        <v>230</v>
      </c>
      <c r="C625" s="190" t="s">
        <v>231</v>
      </c>
      <c r="D625" s="190" t="n">
        <v>1</v>
      </c>
      <c r="E625" s="190" t="n">
        <v>0.33</v>
      </c>
      <c r="F625" s="190" t="n">
        <v>21</v>
      </c>
      <c r="G625" s="190" t="n">
        <v>61.5</v>
      </c>
      <c r="H625" s="190" t="s">
        <v>22</v>
      </c>
      <c r="I625" s="190" t="s">
        <v>234</v>
      </c>
      <c r="J625" s="190"/>
    </row>
    <row r="626" customFormat="false" ht="14.25" hidden="false" customHeight="true" outlineLevel="0" collapsed="false">
      <c r="A626" s="190" t="s">
        <v>3283</v>
      </c>
      <c r="B626" s="190" t="s">
        <v>3284</v>
      </c>
      <c r="C626" s="190" t="s">
        <v>3285</v>
      </c>
      <c r="D626" s="190" t="n">
        <v>1</v>
      </c>
      <c r="E626" s="190" t="n">
        <v>1.32</v>
      </c>
      <c r="F626" s="190" t="n">
        <v>0.25</v>
      </c>
      <c r="G626" s="190" t="n">
        <v>0.25</v>
      </c>
      <c r="H626" s="190" t="s">
        <v>22</v>
      </c>
      <c r="I626" s="190" t="s">
        <v>1894</v>
      </c>
      <c r="J626" s="190" t="s">
        <v>1816</v>
      </c>
    </row>
    <row r="627" customFormat="false" ht="14.25" hidden="false" customHeight="true" outlineLevel="0" collapsed="false">
      <c r="A627" s="190" t="s">
        <v>3286</v>
      </c>
      <c r="B627" s="190" t="s">
        <v>3287</v>
      </c>
      <c r="C627" s="190" t="s">
        <v>3288</v>
      </c>
      <c r="D627" s="190" t="n">
        <v>1</v>
      </c>
      <c r="E627" s="190" t="n">
        <v>1.32</v>
      </c>
      <c r="F627" s="190" t="n">
        <v>0</v>
      </c>
      <c r="G627" s="190" t="n">
        <v>0</v>
      </c>
      <c r="H627" s="190" t="s">
        <v>22</v>
      </c>
      <c r="I627" s="190" t="s">
        <v>1894</v>
      </c>
      <c r="J627" s="190" t="s">
        <v>1816</v>
      </c>
    </row>
    <row r="628" customFormat="false" ht="14.25" hidden="false" customHeight="true" outlineLevel="0" collapsed="false">
      <c r="A628" s="190" t="s">
        <v>241</v>
      </c>
      <c r="B628" s="190" t="s">
        <v>239</v>
      </c>
      <c r="C628" s="190" t="s">
        <v>240</v>
      </c>
      <c r="D628" s="190" t="n">
        <v>1</v>
      </c>
      <c r="E628" s="190" t="n">
        <v>0.87</v>
      </c>
      <c r="F628" s="190" t="n">
        <v>10</v>
      </c>
      <c r="G628" s="190" t="n">
        <v>5.33</v>
      </c>
      <c r="H628" s="190" t="s">
        <v>22</v>
      </c>
      <c r="I628" s="190" t="s">
        <v>242</v>
      </c>
      <c r="J628" s="190" t="s">
        <v>3289</v>
      </c>
    </row>
    <row r="629" customFormat="false" ht="14.25" hidden="false" customHeight="true" outlineLevel="0" collapsed="false">
      <c r="A629" s="190" t="s">
        <v>3290</v>
      </c>
      <c r="B629" s="190" t="s">
        <v>3291</v>
      </c>
      <c r="C629" s="190" t="s">
        <v>3292</v>
      </c>
      <c r="D629" s="190" t="n">
        <v>1</v>
      </c>
      <c r="E629" s="190" t="n">
        <v>0.22</v>
      </c>
      <c r="F629" s="190" t="n">
        <v>4</v>
      </c>
      <c r="G629" s="190" t="n">
        <v>2</v>
      </c>
      <c r="H629" s="190" t="s">
        <v>22</v>
      </c>
      <c r="I629" s="190" t="s">
        <v>3293</v>
      </c>
      <c r="J629" s="190" t="s">
        <v>1831</v>
      </c>
    </row>
    <row r="630" customFormat="false" ht="14.25" hidden="false" customHeight="true" outlineLevel="0" collapsed="false">
      <c r="A630" s="190" t="s">
        <v>3294</v>
      </c>
      <c r="B630" s="190" t="s">
        <v>3295</v>
      </c>
      <c r="C630" s="190" t="s">
        <v>3296</v>
      </c>
      <c r="D630" s="190" t="n">
        <v>1</v>
      </c>
      <c r="E630" s="190" t="n">
        <v>0.5</v>
      </c>
      <c r="F630" s="190" t="n">
        <v>6</v>
      </c>
      <c r="G630" s="190" t="n">
        <v>1</v>
      </c>
      <c r="H630" s="190" t="s">
        <v>22</v>
      </c>
      <c r="I630" s="190" t="n">
        <v>24</v>
      </c>
      <c r="J630" s="190"/>
    </row>
    <row r="631" customFormat="false" ht="14.25" hidden="false" customHeight="true" outlineLevel="0" collapsed="false">
      <c r="A631" s="190" t="s">
        <v>245</v>
      </c>
      <c r="B631" s="190" t="s">
        <v>243</v>
      </c>
      <c r="C631" s="190" t="s">
        <v>244</v>
      </c>
      <c r="D631" s="190" t="n">
        <v>1</v>
      </c>
      <c r="E631" s="190" t="n">
        <v>0.5</v>
      </c>
      <c r="F631" s="190" t="n">
        <v>6</v>
      </c>
      <c r="G631" s="190" t="n">
        <v>1.03</v>
      </c>
      <c r="H631" s="190" t="s">
        <v>22</v>
      </c>
      <c r="I631" s="190" t="n">
        <v>24</v>
      </c>
      <c r="J631" s="190"/>
    </row>
    <row r="632" customFormat="false" ht="14.25" hidden="false" customHeight="true" outlineLevel="0" collapsed="false">
      <c r="A632" s="190" t="s">
        <v>3297</v>
      </c>
      <c r="B632" s="190" t="s">
        <v>3298</v>
      </c>
      <c r="C632" s="190" t="s">
        <v>3299</v>
      </c>
      <c r="D632" s="190" t="n">
        <v>1</v>
      </c>
      <c r="E632" s="190" t="n">
        <v>0.22</v>
      </c>
      <c r="F632" s="190" t="n">
        <v>8.08</v>
      </c>
      <c r="G632" s="190" t="n">
        <v>2.57</v>
      </c>
      <c r="H632" s="190" t="s">
        <v>22</v>
      </c>
      <c r="I632" s="190" t="s">
        <v>1919</v>
      </c>
      <c r="J632" s="190" t="s">
        <v>1831</v>
      </c>
    </row>
    <row r="633" customFormat="false" ht="14.25" hidden="false" customHeight="true" outlineLevel="0" collapsed="false">
      <c r="A633" s="190" t="s">
        <v>3300</v>
      </c>
      <c r="B633" s="190" t="s">
        <v>3301</v>
      </c>
      <c r="C633" s="190" t="s">
        <v>3302</v>
      </c>
      <c r="D633" s="190" t="n">
        <v>1</v>
      </c>
      <c r="E633" s="190" t="n">
        <v>0.22</v>
      </c>
      <c r="F633" s="190" t="n">
        <v>3</v>
      </c>
      <c r="G633" s="190" t="n">
        <v>1</v>
      </c>
      <c r="H633" s="190" t="s">
        <v>22</v>
      </c>
      <c r="I633" s="190" t="s">
        <v>269</v>
      </c>
      <c r="J633" s="190" t="s">
        <v>1737</v>
      </c>
    </row>
    <row r="634" customFormat="false" ht="14.25" hidden="false" customHeight="true" outlineLevel="0" collapsed="false">
      <c r="A634" s="190" t="s">
        <v>3303</v>
      </c>
      <c r="B634" s="190" t="s">
        <v>3304</v>
      </c>
      <c r="C634" s="190" t="s">
        <v>3305</v>
      </c>
      <c r="D634" s="190" t="n">
        <v>1</v>
      </c>
      <c r="E634" s="190" t="n">
        <v>10.67</v>
      </c>
      <c r="F634" s="190" t="n">
        <v>8</v>
      </c>
      <c r="G634" s="190" t="n">
        <v>2.73</v>
      </c>
      <c r="H634" s="190" t="s">
        <v>22</v>
      </c>
      <c r="I634" s="190" t="s">
        <v>1919</v>
      </c>
      <c r="J634" s="190" t="s">
        <v>3306</v>
      </c>
    </row>
    <row r="635" customFormat="false" ht="14.25" hidden="false" customHeight="true" outlineLevel="0" collapsed="false">
      <c r="A635" s="190" t="s">
        <v>3307</v>
      </c>
      <c r="B635" s="190" t="s">
        <v>3308</v>
      </c>
      <c r="C635" s="190" t="s">
        <v>3309</v>
      </c>
      <c r="D635" s="190" t="n">
        <v>1</v>
      </c>
      <c r="E635" s="190" t="n">
        <v>14</v>
      </c>
      <c r="F635" s="190" t="n">
        <v>20.33</v>
      </c>
      <c r="G635" s="190" t="n">
        <v>4.4</v>
      </c>
      <c r="H635" s="190" t="s">
        <v>22</v>
      </c>
      <c r="I635" s="190" t="s">
        <v>1919</v>
      </c>
      <c r="J635" s="190" t="s">
        <v>3310</v>
      </c>
    </row>
    <row r="636" customFormat="false" ht="14.25" hidden="false" customHeight="true" outlineLevel="0" collapsed="false">
      <c r="A636" s="190" t="s">
        <v>3311</v>
      </c>
      <c r="B636" s="190" t="s">
        <v>3312</v>
      </c>
      <c r="C636" s="190" t="s">
        <v>3313</v>
      </c>
      <c r="D636" s="190" t="n">
        <v>1</v>
      </c>
      <c r="E636" s="190" t="n">
        <v>1.83</v>
      </c>
      <c r="F636" s="190" t="n">
        <v>0</v>
      </c>
      <c r="G636" s="190" t="n">
        <v>0</v>
      </c>
      <c r="H636" s="190" t="s">
        <v>22</v>
      </c>
      <c r="I636" s="190" t="s">
        <v>269</v>
      </c>
      <c r="J636" s="190" t="s">
        <v>1847</v>
      </c>
    </row>
    <row r="637" customFormat="false" ht="14.25" hidden="false" customHeight="true" outlineLevel="0" collapsed="false">
      <c r="A637" s="190" t="s">
        <v>3314</v>
      </c>
      <c r="B637" s="190" t="s">
        <v>3315</v>
      </c>
      <c r="C637" s="190" t="s">
        <v>3316</v>
      </c>
      <c r="D637" s="190" t="n">
        <v>1</v>
      </c>
      <c r="E637" s="190" t="n">
        <v>1.83</v>
      </c>
      <c r="F637" s="190" t="n">
        <v>3</v>
      </c>
      <c r="G637" s="190" t="n">
        <v>1</v>
      </c>
      <c r="H637" s="190" t="s">
        <v>22</v>
      </c>
      <c r="I637" s="190" t="s">
        <v>269</v>
      </c>
      <c r="J637" s="190" t="s">
        <v>1847</v>
      </c>
    </row>
    <row r="638" customFormat="false" ht="14.25" hidden="false" customHeight="true" outlineLevel="0" collapsed="false">
      <c r="A638" s="190" t="s">
        <v>3317</v>
      </c>
      <c r="B638" s="190" t="s">
        <v>3318</v>
      </c>
      <c r="C638" s="190" t="s">
        <v>3319</v>
      </c>
      <c r="D638" s="190" t="n">
        <v>1</v>
      </c>
      <c r="E638" s="190" t="n">
        <v>2.2</v>
      </c>
      <c r="F638" s="190" t="n">
        <v>2</v>
      </c>
      <c r="G638" s="190" t="n">
        <v>1</v>
      </c>
      <c r="H638" s="190" t="s">
        <v>22</v>
      </c>
      <c r="I638" s="190" t="s">
        <v>269</v>
      </c>
      <c r="J638" s="190" t="s">
        <v>1874</v>
      </c>
    </row>
    <row r="639" customFormat="false" ht="14.25" hidden="false" customHeight="true" outlineLevel="0" collapsed="false">
      <c r="A639" s="190" t="s">
        <v>3320</v>
      </c>
      <c r="B639" s="190" t="s">
        <v>3321</v>
      </c>
      <c r="C639" s="190" t="s">
        <v>3322</v>
      </c>
      <c r="D639" s="190" t="n">
        <v>1</v>
      </c>
      <c r="E639" s="190" t="n">
        <v>0.1</v>
      </c>
      <c r="F639" s="190" t="n">
        <v>3.5</v>
      </c>
      <c r="G639" s="190" t="n">
        <v>3.02</v>
      </c>
      <c r="H639" s="190" t="s">
        <v>22</v>
      </c>
      <c r="I639" s="190" t="s">
        <v>1801</v>
      </c>
      <c r="J639" s="190" t="s">
        <v>1831</v>
      </c>
    </row>
    <row r="640" customFormat="false" ht="14.25" hidden="false" customHeight="true" outlineLevel="0" collapsed="false">
      <c r="A640" s="190" t="s">
        <v>3323</v>
      </c>
      <c r="B640" s="190" t="s">
        <v>3324</v>
      </c>
      <c r="C640" s="190" t="s">
        <v>3325</v>
      </c>
      <c r="D640" s="190" t="n">
        <v>1</v>
      </c>
      <c r="E640" s="190" t="n">
        <v>0.35</v>
      </c>
      <c r="F640" s="190" t="n">
        <v>0.25</v>
      </c>
      <c r="G640" s="190" t="n">
        <v>0.25</v>
      </c>
      <c r="H640" s="190" t="s">
        <v>22</v>
      </c>
      <c r="I640" s="190" t="s">
        <v>1742</v>
      </c>
      <c r="J640" s="190" t="s">
        <v>1816</v>
      </c>
    </row>
    <row r="641" customFormat="false" ht="14.25" hidden="false" customHeight="true" outlineLevel="0" collapsed="false">
      <c r="A641" s="190" t="s">
        <v>3326</v>
      </c>
      <c r="B641" s="190" t="s">
        <v>3327</v>
      </c>
      <c r="C641" s="190" t="s">
        <v>3328</v>
      </c>
      <c r="D641" s="190" t="n">
        <v>1</v>
      </c>
      <c r="E641" s="190" t="n">
        <v>0.22</v>
      </c>
      <c r="F641" s="190" t="n">
        <v>3</v>
      </c>
      <c r="G641" s="190" t="n">
        <v>1.12</v>
      </c>
      <c r="H641" s="190" t="s">
        <v>22</v>
      </c>
      <c r="I641" s="190" t="s">
        <v>1970</v>
      </c>
      <c r="J641" s="190" t="s">
        <v>1737</v>
      </c>
    </row>
    <row r="642" customFormat="false" ht="14.25" hidden="false" customHeight="true" outlineLevel="0" collapsed="false">
      <c r="A642" s="190" t="s">
        <v>3329</v>
      </c>
      <c r="B642" s="190" t="s">
        <v>3330</v>
      </c>
      <c r="C642" s="190" t="s">
        <v>3331</v>
      </c>
      <c r="D642" s="190" t="n">
        <v>1</v>
      </c>
      <c r="E642" s="190" t="n">
        <v>0.65</v>
      </c>
      <c r="F642" s="190" t="n">
        <v>6</v>
      </c>
      <c r="G642" s="190" t="n">
        <v>4.23</v>
      </c>
      <c r="H642" s="190" t="s">
        <v>22</v>
      </c>
      <c r="I642" s="190" t="s">
        <v>3332</v>
      </c>
      <c r="J642" s="190" t="s">
        <v>1737</v>
      </c>
    </row>
    <row r="643" customFormat="false" ht="14.25" hidden="false" customHeight="true" outlineLevel="0" collapsed="false">
      <c r="A643" s="190" t="s">
        <v>3333</v>
      </c>
      <c r="B643" s="190" t="s">
        <v>3334</v>
      </c>
      <c r="C643" s="190" t="s">
        <v>3335</v>
      </c>
      <c r="D643" s="190" t="n">
        <v>1</v>
      </c>
      <c r="E643" s="190" t="n">
        <v>0.72</v>
      </c>
      <c r="F643" s="190" t="n">
        <v>40.5</v>
      </c>
      <c r="G643" s="190" t="n">
        <v>28.2</v>
      </c>
      <c r="H643" s="190" t="s">
        <v>22</v>
      </c>
      <c r="I643" s="190" t="s">
        <v>3336</v>
      </c>
      <c r="J643" s="190" t="s">
        <v>1737</v>
      </c>
    </row>
    <row r="644" customFormat="false" ht="14.25" hidden="false" customHeight="true" outlineLevel="0" collapsed="false">
      <c r="A644" s="190" t="s">
        <v>248</v>
      </c>
      <c r="B644" s="190" t="s">
        <v>246</v>
      </c>
      <c r="C644" s="190" t="s">
        <v>247</v>
      </c>
      <c r="D644" s="190" t="n">
        <v>1</v>
      </c>
      <c r="E644" s="190" t="n">
        <v>2</v>
      </c>
      <c r="F644" s="190" t="n">
        <v>21</v>
      </c>
      <c r="G644" s="190" t="n">
        <v>6.1</v>
      </c>
      <c r="H644" s="190" t="s">
        <v>22</v>
      </c>
      <c r="I644" s="190" t="s">
        <v>249</v>
      </c>
      <c r="J644" s="190" t="s">
        <v>1990</v>
      </c>
    </row>
    <row r="645" customFormat="false" ht="14.25" hidden="false" customHeight="true" outlineLevel="0" collapsed="false">
      <c r="A645" s="190" t="s">
        <v>3337</v>
      </c>
      <c r="B645" s="190" t="s">
        <v>3338</v>
      </c>
      <c r="C645" s="190" t="s">
        <v>3339</v>
      </c>
      <c r="D645" s="190" t="n">
        <v>1</v>
      </c>
      <c r="E645" s="190" t="n">
        <v>0.22</v>
      </c>
      <c r="F645" s="190" t="n">
        <v>4</v>
      </c>
      <c r="G645" s="190" t="n">
        <v>2</v>
      </c>
      <c r="H645" s="190" t="s">
        <v>22</v>
      </c>
      <c r="I645" s="190" t="s">
        <v>3340</v>
      </c>
      <c r="J645" s="190" t="s">
        <v>1825</v>
      </c>
    </row>
    <row r="646" customFormat="false" ht="14.25" hidden="false" customHeight="true" outlineLevel="0" collapsed="false">
      <c r="A646" s="190" t="s">
        <v>3341</v>
      </c>
      <c r="B646" s="190" t="s">
        <v>3342</v>
      </c>
      <c r="C646" s="190" t="s">
        <v>3343</v>
      </c>
      <c r="D646" s="190" t="n">
        <v>1</v>
      </c>
      <c r="E646" s="190" t="n">
        <v>2.5</v>
      </c>
      <c r="F646" s="190" t="n">
        <v>11</v>
      </c>
      <c r="G646" s="190" t="n">
        <v>3.02</v>
      </c>
      <c r="H646" s="190" t="s">
        <v>22</v>
      </c>
      <c r="I646" s="190" t="s">
        <v>3344</v>
      </c>
      <c r="J646" s="190" t="s">
        <v>1874</v>
      </c>
    </row>
    <row r="647" customFormat="false" ht="14.25" hidden="false" customHeight="true" outlineLevel="0" collapsed="false">
      <c r="A647" s="190" t="s">
        <v>3345</v>
      </c>
      <c r="B647" s="190" t="s">
        <v>3346</v>
      </c>
      <c r="C647" s="190" t="s">
        <v>3347</v>
      </c>
      <c r="D647" s="190" t="n">
        <v>1</v>
      </c>
      <c r="E647" s="190" t="n">
        <v>0.12</v>
      </c>
      <c r="F647" s="190" t="n">
        <v>1</v>
      </c>
      <c r="G647" s="190" t="n">
        <v>1</v>
      </c>
      <c r="H647" s="190" t="s">
        <v>22</v>
      </c>
      <c r="I647" s="190" t="s">
        <v>2373</v>
      </c>
      <c r="J647" s="190" t="s">
        <v>1816</v>
      </c>
    </row>
    <row r="648" customFormat="false" ht="14.25" hidden="false" customHeight="true" outlineLevel="0" collapsed="false">
      <c r="A648" s="190" t="s">
        <v>3348</v>
      </c>
      <c r="B648" s="190" t="s">
        <v>3349</v>
      </c>
      <c r="C648" s="190" t="s">
        <v>3350</v>
      </c>
      <c r="D648" s="190" t="n">
        <v>1</v>
      </c>
      <c r="E648" s="190" t="n">
        <v>0.12</v>
      </c>
      <c r="F648" s="190" t="n">
        <v>0.25</v>
      </c>
      <c r="G648" s="190" t="n">
        <v>0.25</v>
      </c>
      <c r="H648" s="190" t="s">
        <v>22</v>
      </c>
      <c r="I648" s="190" t="s">
        <v>2373</v>
      </c>
      <c r="J648" s="190" t="s">
        <v>1816</v>
      </c>
    </row>
    <row r="649" customFormat="false" ht="14.25" hidden="false" customHeight="true" outlineLevel="0" collapsed="false">
      <c r="A649" s="190" t="s">
        <v>3351</v>
      </c>
      <c r="B649" s="190" t="s">
        <v>3352</v>
      </c>
      <c r="C649" s="190" t="s">
        <v>3353</v>
      </c>
      <c r="D649" s="190" t="n">
        <v>1</v>
      </c>
      <c r="E649" s="190" t="n">
        <v>0.12</v>
      </c>
      <c r="F649" s="190" t="n">
        <v>0.5</v>
      </c>
      <c r="G649" s="190" t="n">
        <v>0.5</v>
      </c>
      <c r="H649" s="190" t="s">
        <v>22</v>
      </c>
      <c r="I649" s="190" t="s">
        <v>2373</v>
      </c>
      <c r="J649" s="190" t="s">
        <v>1816</v>
      </c>
    </row>
    <row r="650" customFormat="false" ht="14.25" hidden="false" customHeight="true" outlineLevel="0" collapsed="false">
      <c r="A650" s="190" t="s">
        <v>3354</v>
      </c>
      <c r="B650" s="190" t="s">
        <v>3355</v>
      </c>
      <c r="C650" s="190" t="s">
        <v>3356</v>
      </c>
      <c r="D650" s="190" t="n">
        <v>1</v>
      </c>
      <c r="E650" s="190" t="n">
        <v>0.08</v>
      </c>
      <c r="F650" s="190" t="n">
        <v>8</v>
      </c>
      <c r="G650" s="190" t="n">
        <v>2.02</v>
      </c>
      <c r="H650" s="190" t="s">
        <v>22</v>
      </c>
      <c r="I650" s="190" t="s">
        <v>3357</v>
      </c>
      <c r="J650" s="190" t="s">
        <v>1737</v>
      </c>
    </row>
    <row r="651" customFormat="false" ht="14.25" hidden="false" customHeight="true" outlineLevel="0" collapsed="false">
      <c r="A651" s="190" t="s">
        <v>3358</v>
      </c>
      <c r="B651" s="190" t="s">
        <v>3359</v>
      </c>
      <c r="C651" s="190" t="s">
        <v>3360</v>
      </c>
      <c r="D651" s="190" t="n">
        <v>1</v>
      </c>
      <c r="E651" s="190" t="n">
        <v>1</v>
      </c>
      <c r="F651" s="190" t="n">
        <v>4</v>
      </c>
      <c r="G651" s="190" t="n">
        <v>2.02</v>
      </c>
      <c r="H651" s="190" t="s">
        <v>22</v>
      </c>
      <c r="I651" s="190" t="s">
        <v>2084</v>
      </c>
      <c r="J651" s="190" t="s">
        <v>1990</v>
      </c>
    </row>
    <row r="652" customFormat="false" ht="14.25" hidden="false" customHeight="true" outlineLevel="0" collapsed="false">
      <c r="A652" s="190" t="s">
        <v>252</v>
      </c>
      <c r="B652" s="190" t="s">
        <v>250</v>
      </c>
      <c r="C652" s="190" t="s">
        <v>251</v>
      </c>
      <c r="D652" s="190" t="n">
        <v>1</v>
      </c>
      <c r="E652" s="190" t="n">
        <v>0.37</v>
      </c>
      <c r="F652" s="190" t="n">
        <v>6.5</v>
      </c>
      <c r="G652" s="190" t="n">
        <v>5.17</v>
      </c>
      <c r="H652" s="190" t="s">
        <v>22</v>
      </c>
      <c r="I652" s="190" t="s">
        <v>253</v>
      </c>
      <c r="J652" s="190" t="s">
        <v>1736</v>
      </c>
    </row>
    <row r="653" customFormat="false" ht="14.25" hidden="false" customHeight="true" outlineLevel="0" collapsed="false">
      <c r="A653" s="190" t="s">
        <v>256</v>
      </c>
      <c r="B653" s="190" t="s">
        <v>254</v>
      </c>
      <c r="C653" s="190" t="s">
        <v>255</v>
      </c>
      <c r="D653" s="190" t="n">
        <v>1</v>
      </c>
      <c r="E653" s="190" t="n">
        <v>0.43</v>
      </c>
      <c r="F653" s="190" t="n">
        <v>2.75</v>
      </c>
      <c r="G653" s="190" t="n">
        <v>3.78</v>
      </c>
      <c r="H653" s="190" t="s">
        <v>22</v>
      </c>
      <c r="I653" s="190" t="s">
        <v>257</v>
      </c>
      <c r="J653" s="190" t="s">
        <v>3361</v>
      </c>
    </row>
    <row r="654" customFormat="false" ht="14.25" hidden="false" customHeight="true" outlineLevel="0" collapsed="false">
      <c r="A654" s="190" t="s">
        <v>3362</v>
      </c>
      <c r="B654" s="190" t="s">
        <v>3363</v>
      </c>
      <c r="C654" s="190" t="s">
        <v>3364</v>
      </c>
      <c r="D654" s="190" t="n">
        <v>1</v>
      </c>
      <c r="E654" s="190" t="n">
        <v>7.17</v>
      </c>
      <c r="F654" s="190" t="n">
        <v>20.75</v>
      </c>
      <c r="G654" s="190" t="n">
        <v>144.1</v>
      </c>
      <c r="H654" s="190" t="s">
        <v>22</v>
      </c>
      <c r="I654" s="190" t="s">
        <v>2413</v>
      </c>
      <c r="J654" s="190" t="s">
        <v>3365</v>
      </c>
    </row>
    <row r="655" customFormat="false" ht="14.25" hidden="false" customHeight="true" outlineLevel="0" collapsed="false">
      <c r="A655" s="190" t="s">
        <v>3366</v>
      </c>
      <c r="B655" s="190" t="s">
        <v>3367</v>
      </c>
      <c r="C655" s="190" t="s">
        <v>3368</v>
      </c>
      <c r="D655" s="190" t="n">
        <v>1</v>
      </c>
      <c r="E655" s="190" t="n">
        <v>7.17</v>
      </c>
      <c r="F655" s="190" t="n">
        <v>11.08</v>
      </c>
      <c r="G655" s="190" t="n">
        <v>145.9</v>
      </c>
      <c r="H655" s="190" t="s">
        <v>22</v>
      </c>
      <c r="I655" s="190" t="s">
        <v>2413</v>
      </c>
      <c r="J655" s="190" t="s">
        <v>3365</v>
      </c>
    </row>
    <row r="656" customFormat="false" ht="14.25" hidden="false" customHeight="true" outlineLevel="0" collapsed="false">
      <c r="A656" s="190" t="s">
        <v>3369</v>
      </c>
      <c r="B656" s="190" t="s">
        <v>3370</v>
      </c>
      <c r="C656" s="190" t="s">
        <v>3371</v>
      </c>
      <c r="D656" s="190" t="n">
        <v>1</v>
      </c>
      <c r="E656" s="190" t="n">
        <v>1.83</v>
      </c>
      <c r="F656" s="190" t="n">
        <v>27</v>
      </c>
      <c r="G656" s="190" t="n">
        <v>9.23</v>
      </c>
      <c r="H656" s="190" t="s">
        <v>22</v>
      </c>
      <c r="I656" s="190" t="s">
        <v>234</v>
      </c>
      <c r="J656" s="190" t="s">
        <v>2968</v>
      </c>
    </row>
    <row r="657" customFormat="false" ht="14.25" hidden="false" customHeight="true" outlineLevel="0" collapsed="false">
      <c r="A657" s="190" t="s">
        <v>3372</v>
      </c>
      <c r="B657" s="190" t="s">
        <v>3373</v>
      </c>
      <c r="C657" s="190" t="s">
        <v>3374</v>
      </c>
      <c r="D657" s="190" t="n">
        <v>1</v>
      </c>
      <c r="E657" s="190" t="n">
        <v>1.67</v>
      </c>
      <c r="F657" s="190" t="n">
        <v>35</v>
      </c>
      <c r="G657" s="190" t="n">
        <v>7.3</v>
      </c>
      <c r="H657" s="190" t="s">
        <v>22</v>
      </c>
      <c r="I657" s="190" t="s">
        <v>1852</v>
      </c>
      <c r="J657" s="190" t="s">
        <v>3375</v>
      </c>
    </row>
    <row r="658" customFormat="false" ht="14.25" hidden="false" customHeight="true" outlineLevel="0" collapsed="false">
      <c r="A658" s="190" t="s">
        <v>264</v>
      </c>
      <c r="B658" s="190" t="s">
        <v>262</v>
      </c>
      <c r="C658" s="190" t="s">
        <v>263</v>
      </c>
      <c r="D658" s="190" t="n">
        <v>1</v>
      </c>
      <c r="E658" s="190" t="n">
        <v>0.92</v>
      </c>
      <c r="F658" s="190" t="n">
        <v>7.75</v>
      </c>
      <c r="G658" s="190" t="n">
        <v>27</v>
      </c>
      <c r="H658" s="190" t="s">
        <v>22</v>
      </c>
      <c r="I658" s="190" t="s">
        <v>265</v>
      </c>
      <c r="J658" s="190" t="s">
        <v>1743</v>
      </c>
    </row>
    <row r="659" customFormat="false" ht="14.25" hidden="false" customHeight="true" outlineLevel="0" collapsed="false">
      <c r="A659" s="190" t="s">
        <v>268</v>
      </c>
      <c r="B659" s="190" t="s">
        <v>266</v>
      </c>
      <c r="C659" s="190" t="s">
        <v>267</v>
      </c>
      <c r="D659" s="190" t="n">
        <v>1</v>
      </c>
      <c r="E659" s="190" t="n">
        <v>0.43</v>
      </c>
      <c r="F659" s="190" t="n">
        <v>6</v>
      </c>
      <c r="G659" s="190" t="n">
        <v>299.1</v>
      </c>
      <c r="H659" s="190" t="s">
        <v>22</v>
      </c>
      <c r="I659" s="190" t="s">
        <v>269</v>
      </c>
      <c r="J659" s="190" t="s">
        <v>2994</v>
      </c>
    </row>
    <row r="660" customFormat="false" ht="14.25" hidden="false" customHeight="true" outlineLevel="0" collapsed="false">
      <c r="A660" s="190" t="s">
        <v>272</v>
      </c>
      <c r="B660" s="190" t="s">
        <v>270</v>
      </c>
      <c r="C660" s="190" t="s">
        <v>271</v>
      </c>
      <c r="D660" s="190" t="n">
        <v>1</v>
      </c>
      <c r="E660" s="190" t="n">
        <v>3.5</v>
      </c>
      <c r="F660" s="190" t="n">
        <v>15</v>
      </c>
      <c r="G660" s="190" t="n">
        <v>134.1</v>
      </c>
      <c r="H660" s="190" t="s">
        <v>22</v>
      </c>
      <c r="I660" s="190" t="s">
        <v>274</v>
      </c>
      <c r="J660" s="190" t="s">
        <v>3376</v>
      </c>
    </row>
    <row r="661" customFormat="false" ht="14.25" hidden="false" customHeight="true" outlineLevel="0" collapsed="false">
      <c r="A661" s="190" t="s">
        <v>3377</v>
      </c>
      <c r="B661" s="190" t="s">
        <v>3378</v>
      </c>
      <c r="C661" s="190" t="s">
        <v>3379</v>
      </c>
      <c r="D661" s="190" t="n">
        <v>1</v>
      </c>
      <c r="E661" s="190" t="n">
        <v>0.67</v>
      </c>
      <c r="F661" s="190" t="n">
        <v>7</v>
      </c>
      <c r="G661" s="190" t="n">
        <v>7</v>
      </c>
      <c r="H661" s="190" t="s">
        <v>22</v>
      </c>
      <c r="I661" s="190" t="s">
        <v>1873</v>
      </c>
      <c r="J661" s="190" t="s">
        <v>1874</v>
      </c>
    </row>
    <row r="662" customFormat="false" ht="14.25" hidden="false" customHeight="true" outlineLevel="0" collapsed="false">
      <c r="A662" s="190" t="s">
        <v>3380</v>
      </c>
      <c r="B662" s="190" t="s">
        <v>3381</v>
      </c>
      <c r="C662" s="190" t="s">
        <v>3382</v>
      </c>
      <c r="D662" s="190" t="n">
        <v>1</v>
      </c>
      <c r="E662" s="190" t="n">
        <v>5.67</v>
      </c>
      <c r="F662" s="190" t="n">
        <v>22.58</v>
      </c>
      <c r="G662" s="190" t="n">
        <v>285.5</v>
      </c>
      <c r="H662" s="190" t="s">
        <v>22</v>
      </c>
      <c r="I662" s="190" t="s">
        <v>234</v>
      </c>
      <c r="J662" s="190"/>
    </row>
    <row r="663" customFormat="false" ht="14.25" hidden="false" customHeight="true" outlineLevel="0" collapsed="false">
      <c r="A663" s="190" t="s">
        <v>3383</v>
      </c>
      <c r="B663" s="190" t="s">
        <v>3384</v>
      </c>
      <c r="C663" s="190" t="s">
        <v>3385</v>
      </c>
      <c r="D663" s="190" t="n">
        <v>1</v>
      </c>
      <c r="E663" s="190" t="n">
        <v>0.65</v>
      </c>
      <c r="F663" s="190" t="n">
        <v>15</v>
      </c>
      <c r="G663" s="190" t="n">
        <v>17.33</v>
      </c>
      <c r="H663" s="190" t="s">
        <v>22</v>
      </c>
      <c r="I663" s="190" t="s">
        <v>38</v>
      </c>
      <c r="J663" s="190" t="s">
        <v>2934</v>
      </c>
    </row>
    <row r="664" customFormat="false" ht="14.25" hidden="false" customHeight="true" outlineLevel="0" collapsed="false">
      <c r="A664" s="190" t="s">
        <v>3386</v>
      </c>
      <c r="B664" s="190" t="s">
        <v>3387</v>
      </c>
      <c r="C664" s="190" t="s">
        <v>3388</v>
      </c>
      <c r="D664" s="190" t="n">
        <v>1</v>
      </c>
      <c r="E664" s="190" t="n">
        <v>1.13</v>
      </c>
      <c r="F664" s="190" t="n">
        <v>2.5</v>
      </c>
      <c r="G664" s="190" t="n">
        <v>16.18</v>
      </c>
      <c r="H664" s="190" t="s">
        <v>22</v>
      </c>
      <c r="I664" s="190" t="s">
        <v>38</v>
      </c>
      <c r="J664" s="190" t="s">
        <v>1736</v>
      </c>
    </row>
    <row r="665" customFormat="false" ht="14.25" hidden="false" customHeight="true" outlineLevel="0" collapsed="false">
      <c r="A665" s="190" t="s">
        <v>3389</v>
      </c>
      <c r="B665" s="190" t="s">
        <v>3390</v>
      </c>
      <c r="C665" s="190" t="s">
        <v>3391</v>
      </c>
      <c r="D665" s="190" t="n">
        <v>1</v>
      </c>
      <c r="E665" s="190" t="n">
        <v>1.13</v>
      </c>
      <c r="F665" s="190" t="n">
        <v>7</v>
      </c>
      <c r="G665" s="190" t="n">
        <v>5.22</v>
      </c>
      <c r="H665" s="190" t="s">
        <v>22</v>
      </c>
      <c r="I665" s="190" t="s">
        <v>38</v>
      </c>
      <c r="J665" s="190" t="s">
        <v>1736</v>
      </c>
    </row>
    <row r="666" customFormat="false" ht="14.25" hidden="false" customHeight="true" outlineLevel="0" collapsed="false">
      <c r="A666" s="190" t="s">
        <v>3392</v>
      </c>
      <c r="B666" s="190" t="s">
        <v>3393</v>
      </c>
      <c r="C666" s="190" t="s">
        <v>3394</v>
      </c>
      <c r="D666" s="190" t="n">
        <v>1</v>
      </c>
      <c r="E666" s="190" t="n">
        <v>1.13</v>
      </c>
      <c r="F666" s="190" t="n">
        <v>3</v>
      </c>
      <c r="G666" s="190" t="n">
        <v>40.1</v>
      </c>
      <c r="H666" s="190" t="s">
        <v>22</v>
      </c>
      <c r="I666" s="190" t="s">
        <v>38</v>
      </c>
      <c r="J666" s="190" t="s">
        <v>1736</v>
      </c>
    </row>
    <row r="667" customFormat="false" ht="14.25" hidden="false" customHeight="true" outlineLevel="0" collapsed="false">
      <c r="A667" s="190" t="s">
        <v>3395</v>
      </c>
      <c r="B667" s="190" t="s">
        <v>3396</v>
      </c>
      <c r="C667" s="190" t="s">
        <v>3397</v>
      </c>
      <c r="D667" s="190" t="n">
        <v>1</v>
      </c>
      <c r="E667" s="190" t="n">
        <v>0.53</v>
      </c>
      <c r="F667" s="190" t="n">
        <v>3.5</v>
      </c>
      <c r="G667" s="190" t="n">
        <v>41.2</v>
      </c>
      <c r="H667" s="190" t="s">
        <v>22</v>
      </c>
      <c r="I667" s="190" t="s">
        <v>38</v>
      </c>
      <c r="J667" s="190" t="s">
        <v>1736</v>
      </c>
    </row>
    <row r="668" customFormat="false" ht="14.25" hidden="false" customHeight="true" outlineLevel="0" collapsed="false">
      <c r="A668" s="190" t="s">
        <v>286</v>
      </c>
      <c r="B668" s="190" t="s">
        <v>284</v>
      </c>
      <c r="C668" s="190" t="s">
        <v>285</v>
      </c>
      <c r="D668" s="190" t="n">
        <v>1</v>
      </c>
      <c r="E668" s="190" t="n">
        <v>0.43</v>
      </c>
      <c r="F668" s="190" t="n">
        <v>1.5</v>
      </c>
      <c r="G668" s="190" t="n">
        <v>5.72</v>
      </c>
      <c r="H668" s="190" t="s">
        <v>22</v>
      </c>
      <c r="I668" s="190" t="s">
        <v>287</v>
      </c>
      <c r="J668" s="190" t="s">
        <v>1737</v>
      </c>
    </row>
    <row r="669" customFormat="false" ht="14.25" hidden="false" customHeight="true" outlineLevel="0" collapsed="false">
      <c r="A669" s="190" t="s">
        <v>3398</v>
      </c>
      <c r="B669" s="190" t="s">
        <v>3399</v>
      </c>
      <c r="C669" s="190" t="s">
        <v>3400</v>
      </c>
      <c r="D669" s="190" t="n">
        <v>1</v>
      </c>
      <c r="E669" s="190" t="n">
        <v>0.22</v>
      </c>
      <c r="F669" s="190" t="n">
        <v>4</v>
      </c>
      <c r="G669" s="190" t="n">
        <v>2</v>
      </c>
      <c r="H669" s="190" t="s">
        <v>22</v>
      </c>
      <c r="I669" s="190" t="s">
        <v>1820</v>
      </c>
      <c r="J669" s="190" t="s">
        <v>1831</v>
      </c>
    </row>
    <row r="670" customFormat="false" ht="14.25" hidden="false" customHeight="true" outlineLevel="0" collapsed="false">
      <c r="A670" s="190" t="s">
        <v>3401</v>
      </c>
      <c r="B670" s="190" t="s">
        <v>3402</v>
      </c>
      <c r="C670" s="190" t="s">
        <v>3403</v>
      </c>
      <c r="D670" s="190" t="n">
        <v>1</v>
      </c>
      <c r="E670" s="190" t="n">
        <v>0.22</v>
      </c>
      <c r="F670" s="190" t="n">
        <v>6</v>
      </c>
      <c r="G670" s="190" t="n">
        <v>1.02</v>
      </c>
      <c r="H670" s="190" t="s">
        <v>22</v>
      </c>
      <c r="I670" s="190" t="s">
        <v>1820</v>
      </c>
      <c r="J670" s="190" t="s">
        <v>1743</v>
      </c>
    </row>
    <row r="671" customFormat="false" ht="14.25" hidden="false" customHeight="true" outlineLevel="0" collapsed="false">
      <c r="A671" s="190" t="s">
        <v>3404</v>
      </c>
      <c r="B671" s="190" t="s">
        <v>3405</v>
      </c>
      <c r="C671" s="190" t="s">
        <v>3406</v>
      </c>
      <c r="D671" s="190" t="n">
        <v>1</v>
      </c>
      <c r="E671" s="190" t="n">
        <v>0.22</v>
      </c>
      <c r="F671" s="190" t="n">
        <v>0.17</v>
      </c>
      <c r="G671" s="190" t="n">
        <v>0.17</v>
      </c>
      <c r="H671" s="190" t="s">
        <v>22</v>
      </c>
      <c r="I671" s="190" t="s">
        <v>1820</v>
      </c>
      <c r="J671" s="190" t="s">
        <v>1831</v>
      </c>
    </row>
    <row r="672" customFormat="false" ht="14.25" hidden="false" customHeight="true" outlineLevel="0" collapsed="false">
      <c r="A672" s="190" t="s">
        <v>3407</v>
      </c>
      <c r="B672" s="190" t="s">
        <v>3408</v>
      </c>
      <c r="C672" s="190" t="s">
        <v>3409</v>
      </c>
      <c r="D672" s="190" t="n">
        <v>1</v>
      </c>
      <c r="E672" s="190" t="n">
        <v>0.22</v>
      </c>
      <c r="F672" s="190" t="n">
        <v>9</v>
      </c>
      <c r="G672" s="190" t="n">
        <v>2.17</v>
      </c>
      <c r="H672" s="190" t="s">
        <v>22</v>
      </c>
      <c r="I672" s="190" t="s">
        <v>1883</v>
      </c>
      <c r="J672" s="190" t="s">
        <v>1831</v>
      </c>
    </row>
    <row r="673" customFormat="false" ht="14.25" hidden="false" customHeight="true" outlineLevel="0" collapsed="false">
      <c r="A673" s="190" t="s">
        <v>3410</v>
      </c>
      <c r="B673" s="190" t="s">
        <v>3411</v>
      </c>
      <c r="C673" s="190" t="s">
        <v>3412</v>
      </c>
      <c r="D673" s="190" t="n">
        <v>1</v>
      </c>
      <c r="E673" s="190" t="n">
        <v>0.22</v>
      </c>
      <c r="F673" s="190" t="n">
        <v>2</v>
      </c>
      <c r="G673" s="190" t="n">
        <v>2</v>
      </c>
      <c r="H673" s="190" t="s">
        <v>22</v>
      </c>
      <c r="I673" s="190" t="s">
        <v>1883</v>
      </c>
      <c r="J673" s="190" t="s">
        <v>1831</v>
      </c>
    </row>
    <row r="674" customFormat="false" ht="14.25" hidden="false" customHeight="true" outlineLevel="0" collapsed="false">
      <c r="A674" s="190" t="s">
        <v>3413</v>
      </c>
      <c r="B674" s="190" t="s">
        <v>3414</v>
      </c>
      <c r="C674" s="190" t="s">
        <v>3415</v>
      </c>
      <c r="D674" s="190" t="n">
        <v>1</v>
      </c>
      <c r="E674" s="190" t="n">
        <v>2.2</v>
      </c>
      <c r="F674" s="190" t="n">
        <v>40</v>
      </c>
      <c r="G674" s="190" t="n">
        <v>8.82</v>
      </c>
      <c r="H674" s="190" t="s">
        <v>22</v>
      </c>
      <c r="I674" s="190" t="s">
        <v>3270</v>
      </c>
      <c r="J674" s="190" t="s">
        <v>1825</v>
      </c>
    </row>
    <row r="675" customFormat="false" ht="14.25" hidden="false" customHeight="true" outlineLevel="0" collapsed="false">
      <c r="A675" s="190" t="s">
        <v>3416</v>
      </c>
      <c r="B675" s="190" t="s">
        <v>3417</v>
      </c>
      <c r="C675" s="190" t="s">
        <v>3418</v>
      </c>
      <c r="D675" s="190" t="n">
        <v>1</v>
      </c>
      <c r="E675" s="190" t="n">
        <v>0.5</v>
      </c>
      <c r="F675" s="190" t="n">
        <v>3</v>
      </c>
      <c r="G675" s="190" t="n">
        <v>45</v>
      </c>
      <c r="H675" s="190" t="s">
        <v>22</v>
      </c>
      <c r="I675" s="190" t="n">
        <v>21</v>
      </c>
      <c r="J675" s="190" t="s">
        <v>2991</v>
      </c>
    </row>
    <row r="676" customFormat="false" ht="14.25" hidden="false" customHeight="true" outlineLevel="0" collapsed="false">
      <c r="A676" s="190" t="s">
        <v>3419</v>
      </c>
      <c r="B676" s="190" t="s">
        <v>3420</v>
      </c>
      <c r="C676" s="190" t="s">
        <v>3421</v>
      </c>
      <c r="D676" s="190" t="n">
        <v>1</v>
      </c>
      <c r="E676" s="190" t="n">
        <v>0.5</v>
      </c>
      <c r="F676" s="190" t="n">
        <v>3.25</v>
      </c>
      <c r="G676" s="190" t="n">
        <v>6.02</v>
      </c>
      <c r="H676" s="190" t="s">
        <v>22</v>
      </c>
      <c r="I676" s="190" t="n">
        <v>21</v>
      </c>
      <c r="J676" s="190" t="s">
        <v>2991</v>
      </c>
    </row>
    <row r="677" customFormat="false" ht="14.25" hidden="false" customHeight="true" outlineLevel="0" collapsed="false">
      <c r="A677" s="190" t="s">
        <v>3422</v>
      </c>
      <c r="B677" s="190" t="s">
        <v>3423</v>
      </c>
      <c r="C677" s="190" t="s">
        <v>3424</v>
      </c>
      <c r="D677" s="190" t="n">
        <v>1</v>
      </c>
      <c r="E677" s="190" t="n">
        <v>3.52</v>
      </c>
      <c r="F677" s="190" t="n">
        <v>24.5</v>
      </c>
      <c r="G677" s="190" t="n">
        <v>386.2</v>
      </c>
      <c r="H677" s="190" t="s">
        <v>22</v>
      </c>
      <c r="I677" s="190" t="s">
        <v>2799</v>
      </c>
      <c r="J677" s="190" t="s">
        <v>3026</v>
      </c>
    </row>
    <row r="678" customFormat="false" ht="14.25" hidden="false" customHeight="true" outlineLevel="0" collapsed="false">
      <c r="A678" s="190" t="s">
        <v>3425</v>
      </c>
      <c r="B678" s="190" t="s">
        <v>3426</v>
      </c>
      <c r="C678" s="190" t="s">
        <v>3427</v>
      </c>
      <c r="D678" s="190" t="n">
        <v>1</v>
      </c>
      <c r="E678" s="190" t="n">
        <v>0.22</v>
      </c>
      <c r="F678" s="190" t="n">
        <v>8</v>
      </c>
      <c r="G678" s="190" t="n">
        <v>4.87</v>
      </c>
      <c r="H678" s="190" t="s">
        <v>22</v>
      </c>
      <c r="I678" s="190" t="s">
        <v>3428</v>
      </c>
      <c r="J678" s="190" t="s">
        <v>1743</v>
      </c>
    </row>
    <row r="679" customFormat="false" ht="14.25" hidden="false" customHeight="true" outlineLevel="0" collapsed="false">
      <c r="A679" s="190" t="s">
        <v>3429</v>
      </c>
      <c r="B679" s="190" t="s">
        <v>3430</v>
      </c>
      <c r="C679" s="190" t="s">
        <v>3431</v>
      </c>
      <c r="D679" s="190" t="n">
        <v>1</v>
      </c>
      <c r="E679" s="190" t="n">
        <v>0.22</v>
      </c>
      <c r="F679" s="190" t="n">
        <v>7</v>
      </c>
      <c r="G679" s="190" t="n">
        <v>4.87</v>
      </c>
      <c r="H679" s="190" t="s">
        <v>22</v>
      </c>
      <c r="I679" s="190" t="s">
        <v>3428</v>
      </c>
      <c r="J679" s="190" t="s">
        <v>1831</v>
      </c>
    </row>
    <row r="680" customFormat="false" ht="14.25" hidden="false" customHeight="true" outlineLevel="0" collapsed="false">
      <c r="A680" s="190" t="s">
        <v>3432</v>
      </c>
      <c r="B680" s="190" t="s">
        <v>3433</v>
      </c>
      <c r="C680" s="190" t="s">
        <v>3434</v>
      </c>
      <c r="D680" s="190" t="n">
        <v>1</v>
      </c>
      <c r="E680" s="190" t="n">
        <v>2.63</v>
      </c>
      <c r="F680" s="190" t="n">
        <v>19</v>
      </c>
      <c r="G680" s="190" t="n">
        <v>329.3</v>
      </c>
      <c r="H680" s="190" t="s">
        <v>22</v>
      </c>
      <c r="I680" s="190" t="s">
        <v>3435</v>
      </c>
      <c r="J680" s="190" t="s">
        <v>3436</v>
      </c>
    </row>
    <row r="681" customFormat="false" ht="14.25" hidden="false" customHeight="true" outlineLevel="0" collapsed="false">
      <c r="A681" s="190" t="s">
        <v>3437</v>
      </c>
      <c r="B681" s="190" t="s">
        <v>3438</v>
      </c>
      <c r="C681" s="190" t="s">
        <v>3439</v>
      </c>
      <c r="D681" s="190" t="n">
        <v>1</v>
      </c>
      <c r="E681" s="190" t="n">
        <v>0.55</v>
      </c>
      <c r="F681" s="190" t="n">
        <v>4</v>
      </c>
      <c r="G681" s="190" t="n">
        <v>2</v>
      </c>
      <c r="H681" s="190" t="s">
        <v>22</v>
      </c>
      <c r="I681" s="190" t="s">
        <v>3440</v>
      </c>
      <c r="J681" s="190" t="s">
        <v>1831</v>
      </c>
    </row>
    <row r="682" customFormat="false" ht="14.25" hidden="false" customHeight="true" outlineLevel="0" collapsed="false">
      <c r="A682" s="190" t="s">
        <v>290</v>
      </c>
      <c r="B682" s="190" t="s">
        <v>288</v>
      </c>
      <c r="C682" s="190" t="s">
        <v>289</v>
      </c>
      <c r="D682" s="190" t="n">
        <v>1</v>
      </c>
      <c r="E682" s="190" t="n">
        <v>8</v>
      </c>
      <c r="F682" s="190" t="n">
        <v>4</v>
      </c>
      <c r="G682" s="190" t="n">
        <v>2</v>
      </c>
      <c r="H682" s="190" t="s">
        <v>22</v>
      </c>
      <c r="I682" s="190" t="s">
        <v>291</v>
      </c>
      <c r="J682" s="190" t="s">
        <v>1831</v>
      </c>
    </row>
    <row r="683" customFormat="false" ht="14.25" hidden="false" customHeight="true" outlineLevel="0" collapsed="false">
      <c r="A683" s="190" t="s">
        <v>294</v>
      </c>
      <c r="B683" s="190" t="s">
        <v>292</v>
      </c>
      <c r="C683" s="190" t="s">
        <v>293</v>
      </c>
      <c r="D683" s="190" t="n">
        <v>1</v>
      </c>
      <c r="E683" s="190" t="n">
        <v>0.87</v>
      </c>
      <c r="F683" s="190" t="n">
        <v>6</v>
      </c>
      <c r="G683" s="190" t="n">
        <v>2.07</v>
      </c>
      <c r="H683" s="190" t="s">
        <v>22</v>
      </c>
      <c r="I683" s="190" t="s">
        <v>295</v>
      </c>
      <c r="J683" s="190" t="s">
        <v>1831</v>
      </c>
    </row>
    <row r="684" customFormat="false" ht="14.25" hidden="false" customHeight="true" outlineLevel="0" collapsed="false">
      <c r="A684" s="190" t="s">
        <v>298</v>
      </c>
      <c r="B684" s="190" t="s">
        <v>296</v>
      </c>
      <c r="C684" s="190" t="s">
        <v>297</v>
      </c>
      <c r="D684" s="190" t="n">
        <v>1</v>
      </c>
      <c r="E684" s="190" t="n">
        <v>0.22</v>
      </c>
      <c r="F684" s="190" t="n">
        <v>4</v>
      </c>
      <c r="G684" s="190" t="n">
        <v>1.02</v>
      </c>
      <c r="H684" s="190" t="s">
        <v>22</v>
      </c>
      <c r="I684" s="190" t="s">
        <v>299</v>
      </c>
      <c r="J684" s="190" t="s">
        <v>1842</v>
      </c>
    </row>
    <row r="685" customFormat="false" ht="14.25" hidden="false" customHeight="true" outlineLevel="0" collapsed="false">
      <c r="A685" s="190" t="s">
        <v>3441</v>
      </c>
      <c r="B685" s="190" t="s">
        <v>3442</v>
      </c>
      <c r="C685" s="190" t="s">
        <v>3443</v>
      </c>
      <c r="D685" s="190" t="n">
        <v>1</v>
      </c>
      <c r="E685" s="190" t="n">
        <v>1.1</v>
      </c>
      <c r="F685" s="190" t="n">
        <v>4</v>
      </c>
      <c r="G685" s="190" t="n">
        <v>2</v>
      </c>
      <c r="H685" s="190" t="s">
        <v>22</v>
      </c>
      <c r="I685" s="190" t="s">
        <v>3444</v>
      </c>
      <c r="J685" s="190" t="s">
        <v>1831</v>
      </c>
    </row>
    <row r="686" customFormat="false" ht="14.25" hidden="false" customHeight="true" outlineLevel="0" collapsed="false">
      <c r="A686" s="190" t="s">
        <v>3445</v>
      </c>
      <c r="B686" s="190" t="s">
        <v>3446</v>
      </c>
      <c r="C686" s="190" t="s">
        <v>3447</v>
      </c>
      <c r="D686" s="190" t="n">
        <v>1</v>
      </c>
      <c r="E686" s="190" t="n">
        <v>0.35</v>
      </c>
      <c r="F686" s="190" t="n">
        <v>9</v>
      </c>
      <c r="G686" s="190" t="n">
        <v>2.4</v>
      </c>
      <c r="H686" s="190" t="s">
        <v>22</v>
      </c>
      <c r="I686" s="190" t="s">
        <v>3444</v>
      </c>
      <c r="J686" s="190" t="s">
        <v>1743</v>
      </c>
    </row>
    <row r="687" customFormat="false" ht="14.25" hidden="false" customHeight="true" outlineLevel="0" collapsed="false">
      <c r="A687" s="190" t="s">
        <v>3448</v>
      </c>
      <c r="B687" s="190" t="s">
        <v>3449</v>
      </c>
      <c r="C687" s="190" t="s">
        <v>3450</v>
      </c>
      <c r="D687" s="190" t="n">
        <v>1</v>
      </c>
      <c r="E687" s="190" t="n">
        <v>0.22</v>
      </c>
      <c r="F687" s="190" t="n">
        <v>4</v>
      </c>
      <c r="G687" s="190" t="n">
        <v>2</v>
      </c>
      <c r="H687" s="190" t="s">
        <v>22</v>
      </c>
      <c r="I687" s="190" t="s">
        <v>3451</v>
      </c>
      <c r="J687" s="190" t="s">
        <v>1831</v>
      </c>
    </row>
    <row r="688" customFormat="false" ht="14.25" hidden="false" customHeight="true" outlineLevel="0" collapsed="false">
      <c r="A688" s="190" t="s">
        <v>3452</v>
      </c>
      <c r="B688" s="190" t="s">
        <v>3453</v>
      </c>
      <c r="C688" s="190" t="s">
        <v>3454</v>
      </c>
      <c r="D688" s="190" t="n">
        <v>1</v>
      </c>
      <c r="E688" s="190" t="n">
        <v>0.22</v>
      </c>
      <c r="F688" s="190" t="n">
        <v>4</v>
      </c>
      <c r="G688" s="190" t="n">
        <v>2</v>
      </c>
      <c r="H688" s="190" t="s">
        <v>22</v>
      </c>
      <c r="I688" s="190" t="s">
        <v>3455</v>
      </c>
      <c r="J688" s="190" t="s">
        <v>1831</v>
      </c>
    </row>
    <row r="689" customFormat="false" ht="14.25" hidden="false" customHeight="true" outlineLevel="0" collapsed="false">
      <c r="A689" s="190" t="s">
        <v>3456</v>
      </c>
      <c r="B689" s="190" t="s">
        <v>3457</v>
      </c>
      <c r="C689" s="190" t="s">
        <v>3458</v>
      </c>
      <c r="D689" s="190" t="n">
        <v>1</v>
      </c>
      <c r="E689" s="190" t="n">
        <v>0.22</v>
      </c>
      <c r="F689" s="190" t="n">
        <v>3</v>
      </c>
      <c r="G689" s="190" t="n">
        <v>2</v>
      </c>
      <c r="H689" s="190" t="s">
        <v>22</v>
      </c>
      <c r="I689" s="190" t="s">
        <v>3459</v>
      </c>
      <c r="J689" s="190" t="s">
        <v>1831</v>
      </c>
    </row>
    <row r="690" customFormat="false" ht="14.25" hidden="false" customHeight="true" outlineLevel="0" collapsed="false">
      <c r="A690" s="190" t="s">
        <v>3460</v>
      </c>
      <c r="B690" s="190" t="s">
        <v>3461</v>
      </c>
      <c r="C690" s="190" t="s">
        <v>3462</v>
      </c>
      <c r="D690" s="190" t="n">
        <v>1</v>
      </c>
      <c r="E690" s="190" t="n">
        <v>0.22</v>
      </c>
      <c r="F690" s="190" t="n">
        <v>4</v>
      </c>
      <c r="G690" s="190" t="n">
        <v>2</v>
      </c>
      <c r="H690" s="190" t="s">
        <v>22</v>
      </c>
      <c r="I690" s="190" t="s">
        <v>3463</v>
      </c>
      <c r="J690" s="190" t="s">
        <v>1831</v>
      </c>
    </row>
    <row r="691" customFormat="false" ht="14.25" hidden="false" customHeight="true" outlineLevel="0" collapsed="false">
      <c r="A691" s="190" t="s">
        <v>3464</v>
      </c>
      <c r="B691" s="190" t="s">
        <v>3465</v>
      </c>
      <c r="C691" s="190" t="s">
        <v>3466</v>
      </c>
      <c r="D691" s="190" t="n">
        <v>1</v>
      </c>
      <c r="E691" s="190" t="n">
        <v>0.1</v>
      </c>
      <c r="F691" s="190" t="n">
        <v>6</v>
      </c>
      <c r="G691" s="190" t="n">
        <v>1.03</v>
      </c>
      <c r="H691" s="190" t="s">
        <v>22</v>
      </c>
      <c r="I691" s="190" t="s">
        <v>1762</v>
      </c>
      <c r="J691" s="190" t="s">
        <v>2968</v>
      </c>
    </row>
    <row r="692" customFormat="false" ht="14.25" hidden="false" customHeight="true" outlineLevel="0" collapsed="false">
      <c r="A692" s="190" t="s">
        <v>3467</v>
      </c>
      <c r="B692" s="190" t="s">
        <v>3468</v>
      </c>
      <c r="C692" s="190" t="s">
        <v>3469</v>
      </c>
      <c r="D692" s="190" t="n">
        <v>1</v>
      </c>
      <c r="E692" s="190" t="n">
        <v>0.05</v>
      </c>
      <c r="F692" s="190" t="n">
        <v>6</v>
      </c>
      <c r="G692" s="190" t="n">
        <v>1.03</v>
      </c>
      <c r="H692" s="190" t="s">
        <v>22</v>
      </c>
      <c r="I692" s="190" t="s">
        <v>3470</v>
      </c>
      <c r="J692" s="190" t="s">
        <v>2968</v>
      </c>
    </row>
    <row r="693" customFormat="false" ht="14.25" hidden="false" customHeight="true" outlineLevel="0" collapsed="false">
      <c r="A693" s="190" t="s">
        <v>3471</v>
      </c>
      <c r="B693" s="190" t="s">
        <v>3472</v>
      </c>
      <c r="C693" s="190" t="s">
        <v>3473</v>
      </c>
      <c r="D693" s="190" t="n">
        <v>1</v>
      </c>
      <c r="E693" s="190" t="n">
        <v>0.32</v>
      </c>
      <c r="F693" s="190" t="n">
        <v>3</v>
      </c>
      <c r="G693" s="190" t="n">
        <v>1.02</v>
      </c>
      <c r="H693" s="190" t="s">
        <v>22</v>
      </c>
      <c r="I693" s="190" t="s">
        <v>3474</v>
      </c>
      <c r="J693" s="190" t="s">
        <v>1831</v>
      </c>
    </row>
    <row r="694" customFormat="false" ht="14.25" hidden="false" customHeight="true" outlineLevel="0" collapsed="false">
      <c r="A694" s="190" t="s">
        <v>3475</v>
      </c>
      <c r="B694" s="190" t="s">
        <v>3476</v>
      </c>
      <c r="C694" s="190" t="s">
        <v>3477</v>
      </c>
      <c r="D694" s="190" t="n">
        <v>1</v>
      </c>
      <c r="E694" s="190" t="n">
        <v>0.32</v>
      </c>
      <c r="F694" s="190" t="n">
        <v>4</v>
      </c>
      <c r="G694" s="190" t="n">
        <v>2</v>
      </c>
      <c r="H694" s="190" t="s">
        <v>22</v>
      </c>
      <c r="I694" s="190" t="s">
        <v>3478</v>
      </c>
      <c r="J694" s="190" t="s">
        <v>1831</v>
      </c>
    </row>
    <row r="695" customFormat="false" ht="14.25" hidden="false" customHeight="true" outlineLevel="0" collapsed="false">
      <c r="A695" s="190" t="s">
        <v>3479</v>
      </c>
      <c r="B695" s="190" t="s">
        <v>3480</v>
      </c>
      <c r="C695" s="190" t="s">
        <v>3481</v>
      </c>
      <c r="D695" s="190" t="n">
        <v>1</v>
      </c>
      <c r="E695" s="190" t="n">
        <v>0.65</v>
      </c>
      <c r="F695" s="190" t="n">
        <v>4</v>
      </c>
      <c r="G695" s="190" t="n">
        <v>2</v>
      </c>
      <c r="H695" s="190" t="s">
        <v>22</v>
      </c>
      <c r="I695" s="190" t="s">
        <v>3482</v>
      </c>
      <c r="J695" s="190" t="s">
        <v>1831</v>
      </c>
    </row>
    <row r="696" customFormat="false" ht="14.25" hidden="false" customHeight="true" outlineLevel="0" collapsed="false">
      <c r="A696" s="190" t="s">
        <v>3483</v>
      </c>
      <c r="B696" s="190" t="s">
        <v>3484</v>
      </c>
      <c r="C696" s="190" t="s">
        <v>3485</v>
      </c>
      <c r="D696" s="190" t="n">
        <v>1</v>
      </c>
      <c r="E696" s="190" t="n">
        <v>0.22</v>
      </c>
      <c r="F696" s="190" t="n">
        <v>4</v>
      </c>
      <c r="G696" s="190" t="n">
        <v>2.02</v>
      </c>
      <c r="H696" s="190" t="s">
        <v>22</v>
      </c>
      <c r="I696" s="190" t="s">
        <v>3482</v>
      </c>
      <c r="J696" s="190" t="s">
        <v>1831</v>
      </c>
    </row>
    <row r="697" customFormat="false" ht="14.25" hidden="false" customHeight="true" outlineLevel="0" collapsed="false">
      <c r="A697" s="190" t="s">
        <v>302</v>
      </c>
      <c r="B697" s="190" t="s">
        <v>300</v>
      </c>
      <c r="C697" s="190" t="s">
        <v>301</v>
      </c>
      <c r="D697" s="190" t="n">
        <v>1</v>
      </c>
      <c r="E697" s="190" t="n">
        <v>0.5</v>
      </c>
      <c r="F697" s="190" t="n">
        <v>1</v>
      </c>
      <c r="G697" s="190" t="n">
        <v>1</v>
      </c>
      <c r="H697" s="190" t="s">
        <v>22</v>
      </c>
      <c r="I697" s="190" t="s">
        <v>53</v>
      </c>
      <c r="J697" s="190"/>
    </row>
    <row r="698" customFormat="false" ht="14.25" hidden="false" customHeight="true" outlineLevel="0" collapsed="false">
      <c r="A698" s="190" t="s">
        <v>321</v>
      </c>
      <c r="B698" s="190" t="s">
        <v>319</v>
      </c>
      <c r="C698" s="190" t="s">
        <v>320</v>
      </c>
      <c r="D698" s="190" t="n">
        <v>1</v>
      </c>
      <c r="E698" s="190" t="n">
        <v>6</v>
      </c>
      <c r="F698" s="190" t="n">
        <v>15</v>
      </c>
      <c r="G698" s="190" t="n">
        <v>6.5</v>
      </c>
      <c r="H698" s="190" t="s">
        <v>22</v>
      </c>
      <c r="I698" s="190" t="s">
        <v>204</v>
      </c>
      <c r="J698" s="190" t="s">
        <v>1737</v>
      </c>
    </row>
    <row r="699" customFormat="false" ht="14.25" hidden="false" customHeight="true" outlineLevel="0" collapsed="false">
      <c r="A699" s="190" t="s">
        <v>375</v>
      </c>
      <c r="B699" s="190" t="s">
        <v>373</v>
      </c>
      <c r="C699" s="190" t="s">
        <v>374</v>
      </c>
      <c r="D699" s="190" t="n">
        <v>1</v>
      </c>
      <c r="E699" s="190" t="n">
        <v>0.02</v>
      </c>
      <c r="F699" s="190" t="n">
        <v>0.75</v>
      </c>
      <c r="G699" s="190" t="n">
        <v>0.75</v>
      </c>
      <c r="H699" s="190" t="s">
        <v>22</v>
      </c>
      <c r="I699" s="190" t="s">
        <v>63</v>
      </c>
      <c r="J699" s="190" t="s">
        <v>1816</v>
      </c>
    </row>
    <row r="700" customFormat="false" ht="14.25" hidden="false" customHeight="true" outlineLevel="0" collapsed="false">
      <c r="A700" s="190" t="s">
        <v>378</v>
      </c>
      <c r="B700" s="190" t="s">
        <v>376</v>
      </c>
      <c r="C700" s="190" t="s">
        <v>377</v>
      </c>
      <c r="D700" s="190" t="n">
        <v>1</v>
      </c>
      <c r="E700" s="190" t="n">
        <v>3.3</v>
      </c>
      <c r="F700" s="190" t="n">
        <v>0.75</v>
      </c>
      <c r="G700" s="190" t="n">
        <v>0.75</v>
      </c>
      <c r="H700" s="190" t="s">
        <v>22</v>
      </c>
      <c r="I700" s="190" t="s">
        <v>74</v>
      </c>
      <c r="J700" s="190" t="s">
        <v>1816</v>
      </c>
    </row>
    <row r="701" customFormat="false" ht="14.25" hidden="false" customHeight="true" outlineLevel="0" collapsed="false">
      <c r="A701" s="190" t="s">
        <v>3486</v>
      </c>
      <c r="B701" s="190" t="s">
        <v>3487</v>
      </c>
      <c r="C701" s="190" t="s">
        <v>3488</v>
      </c>
      <c r="D701" s="190" t="n">
        <v>1</v>
      </c>
      <c r="E701" s="190" t="n">
        <v>38.5</v>
      </c>
      <c r="F701" s="190" t="n">
        <v>8.25</v>
      </c>
      <c r="G701" s="190" t="n">
        <v>27.9</v>
      </c>
      <c r="H701" s="190" t="s">
        <v>22</v>
      </c>
      <c r="I701" s="190" t="s">
        <v>1894</v>
      </c>
      <c r="J701" s="190" t="s">
        <v>2934</v>
      </c>
    </row>
    <row r="702" customFormat="false" ht="14.25" hidden="false" customHeight="true" outlineLevel="0" collapsed="false">
      <c r="A702" s="190" t="s">
        <v>381</v>
      </c>
      <c r="B702" s="190" t="s">
        <v>379</v>
      </c>
      <c r="C702" s="190" t="s">
        <v>380</v>
      </c>
      <c r="D702" s="190" t="n">
        <v>1</v>
      </c>
      <c r="E702" s="190" t="n">
        <v>0.22</v>
      </c>
      <c r="F702" s="190" t="n">
        <v>2</v>
      </c>
      <c r="G702" s="190" t="n">
        <v>1</v>
      </c>
      <c r="H702" s="190" t="s">
        <v>22</v>
      </c>
      <c r="I702" s="190" t="s">
        <v>226</v>
      </c>
      <c r="J702" s="190" t="s">
        <v>1831</v>
      </c>
    </row>
    <row r="703" customFormat="false" ht="14.25" hidden="false" customHeight="true" outlineLevel="0" collapsed="false">
      <c r="A703" s="190" t="s">
        <v>3489</v>
      </c>
      <c r="B703" s="190" t="s">
        <v>3490</v>
      </c>
      <c r="C703" s="190" t="s">
        <v>3491</v>
      </c>
      <c r="D703" s="190" t="n">
        <v>1</v>
      </c>
      <c r="E703" s="190" t="n">
        <v>1.25</v>
      </c>
      <c r="F703" s="190" t="n">
        <v>15.5</v>
      </c>
      <c r="G703" s="190" t="n">
        <v>393.3</v>
      </c>
      <c r="H703" s="190" t="s">
        <v>22</v>
      </c>
      <c r="I703" s="190" t="n">
        <v>25</v>
      </c>
      <c r="J703" s="190" t="s">
        <v>1731</v>
      </c>
    </row>
    <row r="704" customFormat="false" ht="14.25" hidden="false" customHeight="true" outlineLevel="0" collapsed="false">
      <c r="A704" s="190" t="s">
        <v>3492</v>
      </c>
      <c r="B704" s="190" t="s">
        <v>3493</v>
      </c>
      <c r="C704" s="190" t="s">
        <v>3494</v>
      </c>
      <c r="D704" s="190" t="n">
        <v>1</v>
      </c>
      <c r="E704" s="190" t="n">
        <v>0.22</v>
      </c>
      <c r="F704" s="190" t="n">
        <v>16</v>
      </c>
      <c r="G704" s="190" t="n">
        <v>266.6</v>
      </c>
      <c r="H704" s="190" t="s">
        <v>22</v>
      </c>
      <c r="I704" s="190" t="s">
        <v>3495</v>
      </c>
      <c r="J704" s="190" t="s">
        <v>3496</v>
      </c>
    </row>
    <row r="705" customFormat="false" ht="14.25" hidden="false" customHeight="true" outlineLevel="0" collapsed="false">
      <c r="A705" s="190" t="s">
        <v>3497</v>
      </c>
      <c r="B705" s="190" t="s">
        <v>3498</v>
      </c>
      <c r="C705" s="190" t="s">
        <v>3499</v>
      </c>
      <c r="D705" s="190" t="n">
        <v>1</v>
      </c>
      <c r="E705" s="190" t="n">
        <v>0.43</v>
      </c>
      <c r="F705" s="190" t="n">
        <v>5</v>
      </c>
      <c r="G705" s="190" t="n">
        <v>2.93</v>
      </c>
      <c r="H705" s="190" t="s">
        <v>22</v>
      </c>
      <c r="I705" s="190" t="s">
        <v>1900</v>
      </c>
      <c r="J705" s="190" t="s">
        <v>1831</v>
      </c>
    </row>
    <row r="706" customFormat="false" ht="14.25" hidden="false" customHeight="true" outlineLevel="0" collapsed="false">
      <c r="A706" s="190" t="s">
        <v>3500</v>
      </c>
      <c r="B706" s="190" t="s">
        <v>3501</v>
      </c>
      <c r="C706" s="190" t="s">
        <v>3502</v>
      </c>
      <c r="D706" s="190" t="n">
        <v>1</v>
      </c>
      <c r="E706" s="190" t="n">
        <v>0.43</v>
      </c>
      <c r="F706" s="190" t="n">
        <v>5</v>
      </c>
      <c r="G706" s="190" t="n">
        <v>2.92</v>
      </c>
      <c r="H706" s="190" t="s">
        <v>22</v>
      </c>
      <c r="I706" s="190" t="s">
        <v>1900</v>
      </c>
      <c r="J706" s="190" t="s">
        <v>1831</v>
      </c>
    </row>
    <row r="707" customFormat="false" ht="14.25" hidden="false" customHeight="true" outlineLevel="0" collapsed="false">
      <c r="A707" s="190" t="s">
        <v>3503</v>
      </c>
      <c r="B707" s="190" t="s">
        <v>3504</v>
      </c>
      <c r="C707" s="190" t="s">
        <v>3505</v>
      </c>
      <c r="D707" s="190" t="n">
        <v>1</v>
      </c>
      <c r="E707" s="190" t="n">
        <v>0.87</v>
      </c>
      <c r="F707" s="190" t="n">
        <v>7</v>
      </c>
      <c r="G707" s="190" t="n">
        <v>1.92</v>
      </c>
      <c r="H707" s="190" t="s">
        <v>22</v>
      </c>
      <c r="I707" s="190" t="s">
        <v>1900</v>
      </c>
      <c r="J707" s="190" t="s">
        <v>3506</v>
      </c>
    </row>
    <row r="708" customFormat="false" ht="14.25" hidden="false" customHeight="true" outlineLevel="0" collapsed="false">
      <c r="A708" s="190" t="s">
        <v>3507</v>
      </c>
      <c r="B708" s="190" t="s">
        <v>3508</v>
      </c>
      <c r="C708" s="190" t="s">
        <v>3509</v>
      </c>
      <c r="D708" s="190" t="n">
        <v>1</v>
      </c>
      <c r="E708" s="190" t="n">
        <v>0.87</v>
      </c>
      <c r="F708" s="190" t="n">
        <v>7</v>
      </c>
      <c r="G708" s="190" t="n">
        <v>1.85</v>
      </c>
      <c r="H708" s="190" t="s">
        <v>22</v>
      </c>
      <c r="I708" s="190" t="s">
        <v>1900</v>
      </c>
      <c r="J708" s="190" t="s">
        <v>3506</v>
      </c>
    </row>
    <row r="709" customFormat="false" ht="14.25" hidden="false" customHeight="true" outlineLevel="0" collapsed="false">
      <c r="A709" s="190" t="s">
        <v>3510</v>
      </c>
      <c r="B709" s="190" t="s">
        <v>3511</v>
      </c>
      <c r="C709" s="190" t="s">
        <v>3512</v>
      </c>
      <c r="D709" s="190" t="n">
        <v>1</v>
      </c>
      <c r="E709" s="190" t="n">
        <v>0.72</v>
      </c>
      <c r="F709" s="190" t="n">
        <v>8.5</v>
      </c>
      <c r="G709" s="190" t="n">
        <v>2.18</v>
      </c>
      <c r="H709" s="190" t="s">
        <v>22</v>
      </c>
      <c r="I709" s="190" t="s">
        <v>1830</v>
      </c>
      <c r="J709" s="190" t="s">
        <v>1821</v>
      </c>
    </row>
    <row r="710" customFormat="false" ht="14.25" hidden="false" customHeight="true" outlineLevel="0" collapsed="false">
      <c r="A710" s="190" t="s">
        <v>3513</v>
      </c>
      <c r="B710" s="190" t="s">
        <v>3514</v>
      </c>
      <c r="C710" s="190" t="s">
        <v>3515</v>
      </c>
      <c r="D710" s="190" t="n">
        <v>1</v>
      </c>
      <c r="E710" s="190" t="n">
        <v>0.43</v>
      </c>
      <c r="F710" s="190" t="n">
        <v>0.83</v>
      </c>
      <c r="G710" s="190" t="n">
        <v>0.83</v>
      </c>
      <c r="H710" s="190" t="s">
        <v>22</v>
      </c>
      <c r="I710" s="190" t="s">
        <v>1830</v>
      </c>
      <c r="J710" s="190" t="s">
        <v>2934</v>
      </c>
    </row>
    <row r="711" customFormat="false" ht="14.25" hidden="false" customHeight="true" outlineLevel="0" collapsed="false">
      <c r="A711" s="190" t="s">
        <v>3516</v>
      </c>
      <c r="B711" s="190" t="s">
        <v>3517</v>
      </c>
      <c r="C711" s="190" t="s">
        <v>3518</v>
      </c>
      <c r="D711" s="190" t="n">
        <v>1</v>
      </c>
      <c r="E711" s="190" t="n">
        <v>0.43</v>
      </c>
      <c r="F711" s="190" t="n">
        <v>6.5</v>
      </c>
      <c r="G711" s="190" t="n">
        <v>2.13</v>
      </c>
      <c r="H711" s="190" t="s">
        <v>22</v>
      </c>
      <c r="I711" s="190" t="s">
        <v>1830</v>
      </c>
      <c r="J711" s="190" t="s">
        <v>1743</v>
      </c>
    </row>
    <row r="712" customFormat="false" ht="14.25" hidden="false" customHeight="true" outlineLevel="0" collapsed="false">
      <c r="A712" s="190" t="s">
        <v>3519</v>
      </c>
      <c r="B712" s="190" t="s">
        <v>3520</v>
      </c>
      <c r="C712" s="190" t="s">
        <v>3521</v>
      </c>
      <c r="D712" s="190" t="n">
        <v>1</v>
      </c>
      <c r="E712" s="190" t="n">
        <v>0.65</v>
      </c>
      <c r="F712" s="190" t="n">
        <v>6.5</v>
      </c>
      <c r="G712" s="190" t="n">
        <v>4.8</v>
      </c>
      <c r="H712" s="190" t="s">
        <v>22</v>
      </c>
      <c r="I712" s="190" t="s">
        <v>1830</v>
      </c>
      <c r="J712" s="190" t="s">
        <v>1831</v>
      </c>
    </row>
    <row r="713" customFormat="false" ht="14.25" hidden="false" customHeight="true" outlineLevel="0" collapsed="false">
      <c r="A713" s="190" t="s">
        <v>3522</v>
      </c>
      <c r="B713" s="190" t="s">
        <v>3523</v>
      </c>
      <c r="C713" s="190" t="s">
        <v>3524</v>
      </c>
      <c r="D713" s="190" t="n">
        <v>1</v>
      </c>
      <c r="E713" s="190" t="n">
        <v>1.32</v>
      </c>
      <c r="F713" s="190" t="n">
        <v>11</v>
      </c>
      <c r="G713" s="190" t="n">
        <v>3.43</v>
      </c>
      <c r="H713" s="190" t="s">
        <v>22</v>
      </c>
      <c r="I713" s="190" t="s">
        <v>3525</v>
      </c>
      <c r="J713" s="190" t="s">
        <v>1959</v>
      </c>
    </row>
    <row r="714" customFormat="false" ht="14.25" hidden="false" customHeight="true" outlineLevel="0" collapsed="false">
      <c r="A714" s="190" t="s">
        <v>3526</v>
      </c>
      <c r="B714" s="190" t="s">
        <v>3527</v>
      </c>
      <c r="C714" s="190" t="s">
        <v>3528</v>
      </c>
      <c r="D714" s="190" t="n">
        <v>1</v>
      </c>
      <c r="E714" s="190" t="n">
        <v>4.4</v>
      </c>
      <c r="F714" s="190" t="n">
        <v>76.2</v>
      </c>
      <c r="G714" s="190" t="n">
        <v>90</v>
      </c>
      <c r="H714" s="190" t="s">
        <v>22</v>
      </c>
      <c r="I714" s="190" t="s">
        <v>3525</v>
      </c>
      <c r="J714" s="190" t="s">
        <v>1959</v>
      </c>
    </row>
    <row r="715" customFormat="false" ht="14.25" hidden="false" customHeight="true" outlineLevel="0" collapsed="false">
      <c r="A715" s="190" t="s">
        <v>388</v>
      </c>
      <c r="B715" s="190" t="s">
        <v>386</v>
      </c>
      <c r="C715" s="190" t="s">
        <v>387</v>
      </c>
      <c r="D715" s="190" t="n">
        <v>1</v>
      </c>
      <c r="E715" s="190" t="n">
        <v>0.22</v>
      </c>
      <c r="F715" s="190" t="n">
        <v>0.75</v>
      </c>
      <c r="G715" s="190" t="n">
        <v>0.75</v>
      </c>
      <c r="H715" s="190" t="s">
        <v>22</v>
      </c>
      <c r="I715" s="190" t="s">
        <v>84</v>
      </c>
      <c r="J715" s="190" t="s">
        <v>2934</v>
      </c>
    </row>
    <row r="716" customFormat="false" ht="14.25" hidden="false" customHeight="true" outlineLevel="0" collapsed="false">
      <c r="A716" s="190" t="s">
        <v>3529</v>
      </c>
      <c r="B716" s="190" t="s">
        <v>3530</v>
      </c>
      <c r="C716" s="190" t="s">
        <v>3531</v>
      </c>
      <c r="D716" s="190" t="n">
        <v>1</v>
      </c>
      <c r="E716" s="190" t="n">
        <v>0.22</v>
      </c>
      <c r="F716" s="190" t="n">
        <v>3</v>
      </c>
      <c r="G716" s="190" t="n">
        <v>1.52</v>
      </c>
      <c r="H716" s="190" t="s">
        <v>22</v>
      </c>
      <c r="I716" s="190" t="s">
        <v>1904</v>
      </c>
      <c r="J716" s="190" t="s">
        <v>1743</v>
      </c>
    </row>
    <row r="717" customFormat="false" ht="14.25" hidden="false" customHeight="true" outlineLevel="0" collapsed="false">
      <c r="A717" s="190" t="s">
        <v>3532</v>
      </c>
      <c r="B717" s="190" t="s">
        <v>3533</v>
      </c>
      <c r="C717" s="190" t="s">
        <v>3534</v>
      </c>
      <c r="D717" s="190" t="n">
        <v>1</v>
      </c>
      <c r="E717" s="190" t="n">
        <v>4.4</v>
      </c>
      <c r="F717" s="190" t="n">
        <v>13.17</v>
      </c>
      <c r="G717" s="190" t="n">
        <v>139.7</v>
      </c>
      <c r="H717" s="190" t="s">
        <v>22</v>
      </c>
      <c r="I717" s="190" t="s">
        <v>1904</v>
      </c>
      <c r="J717" s="190" t="s">
        <v>3535</v>
      </c>
    </row>
    <row r="718" customFormat="false" ht="14.25" hidden="false" customHeight="true" outlineLevel="0" collapsed="false">
      <c r="A718" s="190" t="s">
        <v>3536</v>
      </c>
      <c r="B718" s="190" t="s">
        <v>3537</v>
      </c>
      <c r="C718" s="190" t="s">
        <v>3538</v>
      </c>
      <c r="D718" s="190" t="n">
        <v>1</v>
      </c>
      <c r="E718" s="190" t="n">
        <v>4.4</v>
      </c>
      <c r="F718" s="190" t="n">
        <v>7.67</v>
      </c>
      <c r="G718" s="190" t="n">
        <v>137.3</v>
      </c>
      <c r="H718" s="190" t="s">
        <v>22</v>
      </c>
      <c r="I718" s="190" t="s">
        <v>1904</v>
      </c>
      <c r="J718" s="190" t="s">
        <v>3535</v>
      </c>
    </row>
    <row r="719" customFormat="false" ht="14.25" hidden="false" customHeight="true" outlineLevel="0" collapsed="false">
      <c r="A719" s="190" t="s">
        <v>3539</v>
      </c>
      <c r="B719" s="190" t="s">
        <v>3540</v>
      </c>
      <c r="C719" s="190" t="s">
        <v>3541</v>
      </c>
      <c r="D719" s="190" t="n">
        <v>1</v>
      </c>
      <c r="E719" s="190" t="n">
        <v>0.87</v>
      </c>
      <c r="F719" s="190" t="n">
        <v>36</v>
      </c>
      <c r="G719" s="190" t="n">
        <v>764.2</v>
      </c>
      <c r="H719" s="190" t="s">
        <v>22</v>
      </c>
      <c r="I719" s="190" t="s">
        <v>1909</v>
      </c>
      <c r="J719" s="190" t="s">
        <v>1743</v>
      </c>
    </row>
    <row r="720" customFormat="false" ht="14.25" hidden="false" customHeight="true" outlineLevel="0" collapsed="false">
      <c r="A720" s="190" t="s">
        <v>3542</v>
      </c>
      <c r="B720" s="190" t="s">
        <v>3543</v>
      </c>
      <c r="C720" s="190" t="s">
        <v>3544</v>
      </c>
      <c r="D720" s="190" t="n">
        <v>1</v>
      </c>
      <c r="E720" s="190" t="n">
        <v>0.22</v>
      </c>
      <c r="F720" s="190" t="n">
        <v>37</v>
      </c>
      <c r="G720" s="190" t="n">
        <v>148.4</v>
      </c>
      <c r="H720" s="190" t="s">
        <v>22</v>
      </c>
      <c r="I720" s="190" t="s">
        <v>1909</v>
      </c>
      <c r="J720" s="190" t="s">
        <v>2934</v>
      </c>
    </row>
    <row r="721" customFormat="false" ht="14.25" hidden="false" customHeight="true" outlineLevel="0" collapsed="false">
      <c r="A721" s="190" t="s">
        <v>3545</v>
      </c>
      <c r="B721" s="190" t="s">
        <v>3546</v>
      </c>
      <c r="C721" s="190" t="s">
        <v>3547</v>
      </c>
      <c r="D721" s="190" t="n">
        <v>1</v>
      </c>
      <c r="E721" s="190" t="n">
        <v>1.32</v>
      </c>
      <c r="F721" s="190" t="n">
        <v>19</v>
      </c>
      <c r="G721" s="190" t="n">
        <v>76.4</v>
      </c>
      <c r="H721" s="190" t="s">
        <v>22</v>
      </c>
      <c r="I721" s="190" t="s">
        <v>1909</v>
      </c>
      <c r="J721" s="190" t="s">
        <v>3548</v>
      </c>
    </row>
    <row r="722" customFormat="false" ht="14.25" hidden="false" customHeight="true" outlineLevel="0" collapsed="false">
      <c r="A722" s="190" t="s">
        <v>3549</v>
      </c>
      <c r="B722" s="190" t="s">
        <v>3550</v>
      </c>
      <c r="C722" s="190" t="s">
        <v>3551</v>
      </c>
      <c r="D722" s="190" t="n">
        <v>1</v>
      </c>
      <c r="E722" s="190" t="n">
        <v>0.72</v>
      </c>
      <c r="F722" s="190" t="n">
        <v>5.08</v>
      </c>
      <c r="G722" s="190" t="n">
        <v>2.67</v>
      </c>
      <c r="H722" s="190" t="s">
        <v>22</v>
      </c>
      <c r="I722" s="190" t="s">
        <v>1909</v>
      </c>
      <c r="J722" s="190" t="s">
        <v>1737</v>
      </c>
    </row>
    <row r="723" customFormat="false" ht="14.25" hidden="false" customHeight="true" outlineLevel="0" collapsed="false">
      <c r="A723" s="190" t="s">
        <v>3552</v>
      </c>
      <c r="B723" s="190" t="s">
        <v>3553</v>
      </c>
      <c r="C723" s="190" t="s">
        <v>3554</v>
      </c>
      <c r="D723" s="190" t="n">
        <v>1</v>
      </c>
      <c r="E723" s="190" t="n">
        <v>2.2</v>
      </c>
      <c r="F723" s="190" t="n">
        <v>40.6</v>
      </c>
      <c r="G723" s="190" t="n">
        <v>7.4</v>
      </c>
      <c r="H723" s="190" t="s">
        <v>22</v>
      </c>
      <c r="I723" s="190" t="s">
        <v>3555</v>
      </c>
      <c r="J723" s="190" t="s">
        <v>3556</v>
      </c>
    </row>
    <row r="724" customFormat="false" ht="14.25" hidden="false" customHeight="true" outlineLevel="0" collapsed="false">
      <c r="A724" s="190" t="s">
        <v>3557</v>
      </c>
      <c r="B724" s="190" t="s">
        <v>3558</v>
      </c>
      <c r="C724" s="190" t="s">
        <v>3559</v>
      </c>
      <c r="D724" s="190" t="n">
        <v>1</v>
      </c>
      <c r="E724" s="190" t="n">
        <v>5.5</v>
      </c>
      <c r="F724" s="190" t="n">
        <v>36.8</v>
      </c>
      <c r="G724" s="190" t="n">
        <v>9.23</v>
      </c>
      <c r="H724" s="190" t="s">
        <v>22</v>
      </c>
      <c r="I724" s="190" t="s">
        <v>3560</v>
      </c>
      <c r="J724" s="190" t="s">
        <v>3535</v>
      </c>
    </row>
    <row r="725" customFormat="false" ht="14.25" hidden="false" customHeight="true" outlineLevel="0" collapsed="false">
      <c r="A725" s="190" t="s">
        <v>3561</v>
      </c>
      <c r="B725" s="190" t="s">
        <v>3562</v>
      </c>
      <c r="C725" s="190" t="s">
        <v>3563</v>
      </c>
      <c r="D725" s="190" t="n">
        <v>1</v>
      </c>
      <c r="E725" s="190" t="n">
        <v>1.03</v>
      </c>
      <c r="F725" s="190" t="n">
        <v>18.25</v>
      </c>
      <c r="G725" s="190" t="n">
        <v>4.45</v>
      </c>
      <c r="H725" s="190" t="s">
        <v>22</v>
      </c>
      <c r="I725" s="190" t="s">
        <v>3560</v>
      </c>
      <c r="J725" s="190" t="s">
        <v>1874</v>
      </c>
    </row>
    <row r="726" customFormat="false" ht="14.25" hidden="false" customHeight="true" outlineLevel="0" collapsed="false">
      <c r="A726" s="190" t="s">
        <v>3564</v>
      </c>
      <c r="B726" s="190" t="s">
        <v>3565</v>
      </c>
      <c r="C726" s="190" t="s">
        <v>3566</v>
      </c>
      <c r="D726" s="190" t="n">
        <v>1</v>
      </c>
      <c r="E726" s="190" t="n">
        <v>0.22</v>
      </c>
      <c r="F726" s="190" t="n">
        <v>21</v>
      </c>
      <c r="G726" s="190" t="n">
        <v>8.75</v>
      </c>
      <c r="H726" s="190" t="s">
        <v>22</v>
      </c>
      <c r="I726" s="190" t="s">
        <v>3567</v>
      </c>
      <c r="J726" s="190" t="s">
        <v>1905</v>
      </c>
    </row>
    <row r="727" customFormat="false" ht="14.25" hidden="false" customHeight="true" outlineLevel="0" collapsed="false">
      <c r="A727" s="190" t="s">
        <v>3568</v>
      </c>
      <c r="B727" s="190" t="s">
        <v>3569</v>
      </c>
      <c r="C727" s="190" t="s">
        <v>3570</v>
      </c>
      <c r="D727" s="190" t="n">
        <v>1</v>
      </c>
      <c r="E727" s="190" t="n">
        <v>0.5</v>
      </c>
      <c r="F727" s="190" t="n">
        <v>4</v>
      </c>
      <c r="G727" s="190" t="n">
        <v>1</v>
      </c>
      <c r="H727" s="190" t="s">
        <v>22</v>
      </c>
      <c r="I727" s="190" t="s">
        <v>1919</v>
      </c>
      <c r="J727" s="190" t="s">
        <v>1737</v>
      </c>
    </row>
    <row r="728" customFormat="false" ht="14.25" hidden="false" customHeight="true" outlineLevel="0" collapsed="false">
      <c r="A728" s="190" t="s">
        <v>3571</v>
      </c>
      <c r="B728" s="190" t="s">
        <v>3572</v>
      </c>
      <c r="C728" s="190" t="s">
        <v>3573</v>
      </c>
      <c r="D728" s="190" t="n">
        <v>1</v>
      </c>
      <c r="E728" s="190" t="n">
        <v>0.1</v>
      </c>
      <c r="F728" s="190" t="n">
        <v>12.08</v>
      </c>
      <c r="G728" s="190" t="n">
        <v>3.43</v>
      </c>
      <c r="H728" s="190" t="s">
        <v>22</v>
      </c>
      <c r="I728" s="190" t="s">
        <v>3574</v>
      </c>
      <c r="J728" s="190" t="s">
        <v>1874</v>
      </c>
    </row>
    <row r="729" customFormat="false" ht="14.25" hidden="false" customHeight="true" outlineLevel="0" collapsed="false">
      <c r="A729" s="190" t="s">
        <v>3575</v>
      </c>
      <c r="B729" s="190" t="s">
        <v>3576</v>
      </c>
      <c r="C729" s="190" t="s">
        <v>3577</v>
      </c>
      <c r="D729" s="190" t="n">
        <v>1</v>
      </c>
      <c r="E729" s="190" t="n">
        <v>0.32</v>
      </c>
      <c r="F729" s="190" t="n">
        <v>4</v>
      </c>
      <c r="G729" s="190" t="n">
        <v>20.55</v>
      </c>
      <c r="H729" s="190" t="s">
        <v>22</v>
      </c>
      <c r="I729" s="190" t="s">
        <v>1919</v>
      </c>
      <c r="J729" s="190" t="s">
        <v>1755</v>
      </c>
    </row>
    <row r="730" customFormat="false" ht="14.25" hidden="false" customHeight="true" outlineLevel="0" collapsed="false">
      <c r="A730" s="190" t="s">
        <v>3578</v>
      </c>
      <c r="B730" s="190" t="s">
        <v>3579</v>
      </c>
      <c r="C730" s="190" t="s">
        <v>3580</v>
      </c>
      <c r="D730" s="190" t="n">
        <v>1</v>
      </c>
      <c r="E730" s="190" t="n">
        <v>0.32</v>
      </c>
      <c r="F730" s="190" t="n">
        <v>5</v>
      </c>
      <c r="G730" s="190" t="n">
        <v>5.1</v>
      </c>
      <c r="H730" s="190" t="s">
        <v>22</v>
      </c>
      <c r="I730" s="190" t="s">
        <v>1919</v>
      </c>
      <c r="J730" s="190" t="s">
        <v>1736</v>
      </c>
    </row>
    <row r="731" customFormat="false" ht="14.25" hidden="false" customHeight="true" outlineLevel="0" collapsed="false">
      <c r="A731" s="190" t="s">
        <v>3581</v>
      </c>
      <c r="B731" s="190" t="s">
        <v>3582</v>
      </c>
      <c r="C731" s="190" t="s">
        <v>3583</v>
      </c>
      <c r="D731" s="190" t="n">
        <v>1</v>
      </c>
      <c r="E731" s="190" t="n">
        <v>0.1</v>
      </c>
      <c r="F731" s="190" t="n">
        <v>0.5</v>
      </c>
      <c r="G731" s="190" t="n">
        <v>0.5</v>
      </c>
      <c r="H731" s="190" t="s">
        <v>22</v>
      </c>
      <c r="I731" s="190" t="s">
        <v>1919</v>
      </c>
      <c r="J731" s="190" t="s">
        <v>1816</v>
      </c>
    </row>
    <row r="732" customFormat="false" ht="14.25" hidden="false" customHeight="true" outlineLevel="0" collapsed="false">
      <c r="A732" s="190" t="s">
        <v>3584</v>
      </c>
      <c r="B732" s="190" t="s">
        <v>3585</v>
      </c>
      <c r="C732" s="190" t="s">
        <v>3586</v>
      </c>
      <c r="D732" s="190" t="n">
        <v>1</v>
      </c>
      <c r="E732" s="190" t="n">
        <v>0.87</v>
      </c>
      <c r="F732" s="190" t="n">
        <v>56.1</v>
      </c>
      <c r="G732" s="190" t="n">
        <v>26.4</v>
      </c>
      <c r="H732" s="190" t="s">
        <v>22</v>
      </c>
      <c r="I732" s="190" t="s">
        <v>1919</v>
      </c>
      <c r="J732" s="190" t="s">
        <v>1842</v>
      </c>
    </row>
    <row r="733" customFormat="false" ht="14.25" hidden="false" customHeight="true" outlineLevel="0" collapsed="false">
      <c r="A733" s="190" t="s">
        <v>3587</v>
      </c>
      <c r="B733" s="190" t="s">
        <v>3588</v>
      </c>
      <c r="C733" s="190" t="s">
        <v>3589</v>
      </c>
      <c r="D733" s="190" t="n">
        <v>1</v>
      </c>
      <c r="E733" s="190" t="n">
        <v>1.1</v>
      </c>
      <c r="F733" s="190" t="n">
        <v>8.5</v>
      </c>
      <c r="G733" s="190" t="n">
        <v>25.1</v>
      </c>
      <c r="H733" s="190" t="s">
        <v>22</v>
      </c>
      <c r="I733" s="190" t="s">
        <v>1919</v>
      </c>
      <c r="J733" s="190" t="s">
        <v>1847</v>
      </c>
    </row>
    <row r="734" customFormat="false" ht="14.25" hidden="false" customHeight="true" outlineLevel="0" collapsed="false">
      <c r="A734" s="190" t="s">
        <v>3590</v>
      </c>
      <c r="B734" s="190" t="s">
        <v>3591</v>
      </c>
      <c r="C734" s="190" t="s">
        <v>3592</v>
      </c>
      <c r="D734" s="190" t="n">
        <v>1</v>
      </c>
      <c r="E734" s="190" t="n">
        <v>0.72</v>
      </c>
      <c r="F734" s="190" t="n">
        <v>8</v>
      </c>
      <c r="G734" s="190" t="n">
        <v>4.32</v>
      </c>
      <c r="H734" s="190" t="s">
        <v>22</v>
      </c>
      <c r="I734" s="190" t="s">
        <v>1919</v>
      </c>
      <c r="J734" s="190" t="s">
        <v>1831</v>
      </c>
    </row>
    <row r="735" customFormat="false" ht="14.25" hidden="false" customHeight="true" outlineLevel="0" collapsed="false">
      <c r="A735" s="190" t="s">
        <v>3593</v>
      </c>
      <c r="B735" s="190" t="s">
        <v>3594</v>
      </c>
      <c r="C735" s="190" t="s">
        <v>3595</v>
      </c>
      <c r="D735" s="190" t="n">
        <v>1</v>
      </c>
      <c r="E735" s="190" t="n">
        <v>0.65</v>
      </c>
      <c r="F735" s="190" t="n">
        <v>9</v>
      </c>
      <c r="G735" s="190" t="n">
        <v>4.05</v>
      </c>
      <c r="H735" s="190" t="s">
        <v>22</v>
      </c>
      <c r="I735" s="190" t="s">
        <v>2708</v>
      </c>
      <c r="J735" s="190" t="s">
        <v>1905</v>
      </c>
    </row>
    <row r="736" customFormat="false" ht="14.25" hidden="false" customHeight="true" outlineLevel="0" collapsed="false">
      <c r="A736" s="190" t="s">
        <v>3596</v>
      </c>
      <c r="B736" s="190" t="s">
        <v>3597</v>
      </c>
      <c r="C736" s="190" t="s">
        <v>3598</v>
      </c>
      <c r="D736" s="190" t="n">
        <v>1</v>
      </c>
      <c r="E736" s="190" t="n">
        <v>0.22</v>
      </c>
      <c r="F736" s="190" t="n">
        <v>20</v>
      </c>
      <c r="G736" s="190" t="n">
        <v>37.8</v>
      </c>
      <c r="H736" s="190" t="s">
        <v>22</v>
      </c>
      <c r="I736" s="190" t="s">
        <v>2708</v>
      </c>
      <c r="J736" s="190" t="s">
        <v>1905</v>
      </c>
    </row>
    <row r="737" customFormat="false" ht="14.25" hidden="false" customHeight="true" outlineLevel="0" collapsed="false">
      <c r="A737" s="190" t="s">
        <v>3599</v>
      </c>
      <c r="B737" s="190" t="s">
        <v>3600</v>
      </c>
      <c r="C737" s="190" t="s">
        <v>3601</v>
      </c>
      <c r="D737" s="190" t="n">
        <v>1</v>
      </c>
      <c r="E737" s="190" t="n">
        <v>0.22</v>
      </c>
      <c r="F737" s="190" t="n">
        <v>14.75</v>
      </c>
      <c r="G737" s="190" t="n">
        <v>37.8</v>
      </c>
      <c r="H737" s="190" t="s">
        <v>22</v>
      </c>
      <c r="I737" s="190" t="s">
        <v>2708</v>
      </c>
      <c r="J737" s="190" t="s">
        <v>1905</v>
      </c>
    </row>
    <row r="738" customFormat="false" ht="14.25" hidden="false" customHeight="true" outlineLevel="0" collapsed="false">
      <c r="A738" s="190" t="s">
        <v>3602</v>
      </c>
      <c r="B738" s="190" t="s">
        <v>3603</v>
      </c>
      <c r="C738" s="190" t="s">
        <v>3604</v>
      </c>
      <c r="D738" s="190" t="n">
        <v>1</v>
      </c>
      <c r="E738" s="190" t="n">
        <v>1.8</v>
      </c>
      <c r="F738" s="190" t="n">
        <v>0.67</v>
      </c>
      <c r="G738" s="190" t="n">
        <v>52.6</v>
      </c>
      <c r="H738" s="190" t="s">
        <v>22</v>
      </c>
      <c r="I738" s="190" t="s">
        <v>3605</v>
      </c>
      <c r="J738" s="190" t="s">
        <v>1736</v>
      </c>
    </row>
    <row r="739" customFormat="false" ht="14.25" hidden="false" customHeight="true" outlineLevel="0" collapsed="false">
      <c r="A739" s="190" t="s">
        <v>3606</v>
      </c>
      <c r="B739" s="190" t="s">
        <v>3607</v>
      </c>
      <c r="C739" s="190" t="s">
        <v>3608</v>
      </c>
      <c r="D739" s="190" t="n">
        <v>1</v>
      </c>
      <c r="E739" s="190" t="n">
        <v>1.8</v>
      </c>
      <c r="F739" s="190" t="n">
        <v>0.58</v>
      </c>
      <c r="G739" s="190" t="n">
        <v>42.8</v>
      </c>
      <c r="H739" s="190" t="s">
        <v>22</v>
      </c>
      <c r="I739" s="190" t="s">
        <v>3605</v>
      </c>
      <c r="J739" s="190" t="s">
        <v>1736</v>
      </c>
    </row>
    <row r="740" customFormat="false" ht="14.25" hidden="false" customHeight="true" outlineLevel="0" collapsed="false">
      <c r="A740" s="190" t="s">
        <v>3609</v>
      </c>
      <c r="B740" s="190" t="s">
        <v>3610</v>
      </c>
      <c r="C740" s="190" t="s">
        <v>3611</v>
      </c>
      <c r="D740" s="190" t="n">
        <v>1</v>
      </c>
      <c r="E740" s="190" t="n">
        <v>1.4</v>
      </c>
      <c r="F740" s="190" t="n">
        <v>11</v>
      </c>
      <c r="G740" s="190" t="n">
        <v>37.7</v>
      </c>
      <c r="H740" s="190" t="s">
        <v>22</v>
      </c>
      <c r="I740" s="190" t="s">
        <v>2708</v>
      </c>
      <c r="J740" s="190" t="s">
        <v>3612</v>
      </c>
    </row>
    <row r="741" customFormat="false" ht="14.25" hidden="false" customHeight="true" outlineLevel="0" collapsed="false">
      <c r="A741" s="190" t="s">
        <v>3613</v>
      </c>
      <c r="B741" s="190" t="s">
        <v>3614</v>
      </c>
      <c r="C741" s="190" t="s">
        <v>3615</v>
      </c>
      <c r="D741" s="190" t="n">
        <v>1</v>
      </c>
      <c r="E741" s="190" t="n">
        <v>1.4</v>
      </c>
      <c r="F741" s="190" t="n">
        <v>10.75</v>
      </c>
      <c r="G741" s="190" t="n">
        <v>37.7</v>
      </c>
      <c r="H741" s="190" t="s">
        <v>22</v>
      </c>
      <c r="I741" s="190" t="s">
        <v>2708</v>
      </c>
      <c r="J741" s="190" t="s">
        <v>3612</v>
      </c>
    </row>
    <row r="742" customFormat="false" ht="14.25" hidden="false" customHeight="true" outlineLevel="0" collapsed="false">
      <c r="A742" s="190" t="s">
        <v>3616</v>
      </c>
      <c r="B742" s="190" t="s">
        <v>3617</v>
      </c>
      <c r="C742" s="190" t="s">
        <v>3618</v>
      </c>
      <c r="D742" s="190" t="n">
        <v>1</v>
      </c>
      <c r="E742" s="190" t="n">
        <v>4.48</v>
      </c>
      <c r="F742" s="190" t="n">
        <v>9</v>
      </c>
      <c r="G742" s="190" t="n">
        <v>2.6</v>
      </c>
      <c r="H742" s="190" t="s">
        <v>22</v>
      </c>
      <c r="I742" s="190" t="s">
        <v>3605</v>
      </c>
      <c r="J742" s="190" t="s">
        <v>2934</v>
      </c>
    </row>
    <row r="743" customFormat="false" ht="14.25" hidden="false" customHeight="true" outlineLevel="0" collapsed="false">
      <c r="A743" s="190" t="s">
        <v>3619</v>
      </c>
      <c r="B743" s="190" t="s">
        <v>3620</v>
      </c>
      <c r="C743" s="190" t="s">
        <v>3621</v>
      </c>
      <c r="D743" s="190" t="n">
        <v>1</v>
      </c>
      <c r="E743" s="190" t="n">
        <v>4.48</v>
      </c>
      <c r="F743" s="190" t="n">
        <v>13</v>
      </c>
      <c r="G743" s="190" t="n">
        <v>3.33</v>
      </c>
      <c r="H743" s="190" t="s">
        <v>22</v>
      </c>
      <c r="I743" s="190" t="s">
        <v>3605</v>
      </c>
      <c r="J743" s="190" t="s">
        <v>2934</v>
      </c>
    </row>
    <row r="744" customFormat="false" ht="14.25" hidden="false" customHeight="true" outlineLevel="0" collapsed="false">
      <c r="A744" s="190" t="s">
        <v>3622</v>
      </c>
      <c r="B744" s="190" t="s">
        <v>3623</v>
      </c>
      <c r="C744" s="190" t="s">
        <v>3624</v>
      </c>
      <c r="D744" s="190" t="n">
        <v>1</v>
      </c>
      <c r="E744" s="190" t="n">
        <v>1.4</v>
      </c>
      <c r="F744" s="190" t="n">
        <v>6.92</v>
      </c>
      <c r="G744" s="190" t="n">
        <v>389.2</v>
      </c>
      <c r="H744" s="190" t="s">
        <v>22</v>
      </c>
      <c r="I744" s="190" t="s">
        <v>3605</v>
      </c>
      <c r="J744" s="190" t="s">
        <v>1751</v>
      </c>
    </row>
    <row r="745" customFormat="false" ht="14.25" hidden="false" customHeight="true" outlineLevel="0" collapsed="false">
      <c r="A745" s="190" t="s">
        <v>3625</v>
      </c>
      <c r="B745" s="190" t="s">
        <v>3626</v>
      </c>
      <c r="C745" s="190" t="s">
        <v>3627</v>
      </c>
      <c r="D745" s="190" t="n">
        <v>1</v>
      </c>
      <c r="E745" s="190" t="n">
        <v>1.4</v>
      </c>
      <c r="F745" s="190" t="n">
        <v>11.25</v>
      </c>
      <c r="G745" s="190" t="n">
        <v>412.2</v>
      </c>
      <c r="H745" s="190" t="s">
        <v>22</v>
      </c>
      <c r="I745" s="190" t="s">
        <v>3605</v>
      </c>
      <c r="J745" s="190" t="s">
        <v>1751</v>
      </c>
    </row>
    <row r="746" customFormat="false" ht="14.25" hidden="false" customHeight="true" outlineLevel="0" collapsed="false">
      <c r="A746" s="190" t="s">
        <v>3628</v>
      </c>
      <c r="B746" s="190" t="s">
        <v>3629</v>
      </c>
      <c r="C746" s="190" t="s">
        <v>3630</v>
      </c>
      <c r="D746" s="190" t="n">
        <v>1</v>
      </c>
      <c r="E746" s="190" t="n">
        <v>6.23</v>
      </c>
      <c r="F746" s="190" t="n">
        <v>10.67</v>
      </c>
      <c r="G746" s="190" t="n">
        <v>13.75</v>
      </c>
      <c r="H746" s="190" t="s">
        <v>22</v>
      </c>
      <c r="I746" s="190" t="s">
        <v>3631</v>
      </c>
      <c r="J746" s="190" t="s">
        <v>2131</v>
      </c>
    </row>
    <row r="747" customFormat="false" ht="14.25" hidden="false" customHeight="true" outlineLevel="0" collapsed="false">
      <c r="A747" s="190" t="s">
        <v>3632</v>
      </c>
      <c r="B747" s="190" t="s">
        <v>3633</v>
      </c>
      <c r="C747" s="190" t="s">
        <v>3634</v>
      </c>
      <c r="D747" s="190" t="n">
        <v>1</v>
      </c>
      <c r="E747" s="190" t="n">
        <v>6.23</v>
      </c>
      <c r="F747" s="190" t="n">
        <v>8.67</v>
      </c>
      <c r="G747" s="190" t="n">
        <v>13.73</v>
      </c>
      <c r="H747" s="190" t="s">
        <v>22</v>
      </c>
      <c r="I747" s="190" t="s">
        <v>3631</v>
      </c>
      <c r="J747" s="190" t="s">
        <v>2131</v>
      </c>
    </row>
    <row r="748" customFormat="false" ht="14.25" hidden="false" customHeight="true" outlineLevel="0" collapsed="false">
      <c r="A748" s="190" t="s">
        <v>3635</v>
      </c>
      <c r="B748" s="190" t="s">
        <v>3636</v>
      </c>
      <c r="C748" s="190" t="s">
        <v>3637</v>
      </c>
      <c r="D748" s="190" t="n">
        <v>1</v>
      </c>
      <c r="E748" s="190" t="n">
        <v>0.43</v>
      </c>
      <c r="F748" s="190" t="n">
        <v>3</v>
      </c>
      <c r="G748" s="190" t="n">
        <v>42</v>
      </c>
      <c r="H748" s="190" t="s">
        <v>22</v>
      </c>
      <c r="I748" s="190" t="s">
        <v>1936</v>
      </c>
      <c r="J748" s="190" t="s">
        <v>1736</v>
      </c>
    </row>
    <row r="749" customFormat="false" ht="14.25" hidden="false" customHeight="true" outlineLevel="0" collapsed="false">
      <c r="A749" s="190" t="s">
        <v>3638</v>
      </c>
      <c r="B749" s="190" t="s">
        <v>3639</v>
      </c>
      <c r="C749" s="190" t="s">
        <v>3640</v>
      </c>
      <c r="D749" s="190" t="n">
        <v>1</v>
      </c>
      <c r="E749" s="190" t="n">
        <v>0.43</v>
      </c>
      <c r="F749" s="190" t="n">
        <v>1.83</v>
      </c>
      <c r="G749" s="190" t="n">
        <v>43.3</v>
      </c>
      <c r="H749" s="190" t="s">
        <v>22</v>
      </c>
      <c r="I749" s="190" t="s">
        <v>1936</v>
      </c>
      <c r="J749" s="190" t="s">
        <v>1736</v>
      </c>
    </row>
    <row r="750" customFormat="false" ht="14.25" hidden="false" customHeight="true" outlineLevel="0" collapsed="false">
      <c r="A750" s="190" t="s">
        <v>3641</v>
      </c>
      <c r="B750" s="190" t="s">
        <v>3642</v>
      </c>
      <c r="C750" s="190" t="s">
        <v>3643</v>
      </c>
      <c r="D750" s="190" t="n">
        <v>1</v>
      </c>
      <c r="E750" s="190" t="n">
        <v>4.48</v>
      </c>
      <c r="F750" s="190" t="n">
        <v>3</v>
      </c>
      <c r="G750" s="190" t="n">
        <v>388.9</v>
      </c>
      <c r="H750" s="190" t="s">
        <v>22</v>
      </c>
      <c r="I750" s="190" t="s">
        <v>1936</v>
      </c>
      <c r="J750" s="190" t="s">
        <v>1751</v>
      </c>
    </row>
    <row r="751" customFormat="false" ht="14.25" hidden="false" customHeight="true" outlineLevel="0" collapsed="false">
      <c r="A751" s="190" t="s">
        <v>3644</v>
      </c>
      <c r="B751" s="190" t="s">
        <v>3645</v>
      </c>
      <c r="C751" s="190" t="s">
        <v>3646</v>
      </c>
      <c r="D751" s="190" t="n">
        <v>1</v>
      </c>
      <c r="E751" s="190" t="n">
        <v>4.48</v>
      </c>
      <c r="F751" s="190" t="n">
        <v>4.08</v>
      </c>
      <c r="G751" s="190" t="n">
        <v>389.9</v>
      </c>
      <c r="H751" s="190" t="s">
        <v>22</v>
      </c>
      <c r="I751" s="190" t="s">
        <v>1936</v>
      </c>
      <c r="J751" s="190" t="s">
        <v>1751</v>
      </c>
    </row>
    <row r="752" customFormat="false" ht="14.25" hidden="false" customHeight="true" outlineLevel="0" collapsed="false">
      <c r="A752" s="190" t="s">
        <v>3647</v>
      </c>
      <c r="B752" s="190" t="s">
        <v>3648</v>
      </c>
      <c r="C752" s="190" t="s">
        <v>3649</v>
      </c>
      <c r="D752" s="190" t="n">
        <v>1</v>
      </c>
      <c r="E752" s="190" t="n">
        <v>0.08</v>
      </c>
      <c r="F752" s="190" t="n">
        <v>0.92</v>
      </c>
      <c r="G752" s="190" t="n">
        <v>0.92</v>
      </c>
      <c r="H752" s="190" t="s">
        <v>22</v>
      </c>
      <c r="I752" s="190" t="s">
        <v>3650</v>
      </c>
      <c r="J752" s="190" t="s">
        <v>1816</v>
      </c>
    </row>
    <row r="753" customFormat="false" ht="14.25" hidden="false" customHeight="true" outlineLevel="0" collapsed="false">
      <c r="A753" s="190" t="s">
        <v>3651</v>
      </c>
      <c r="B753" s="190" t="s">
        <v>3652</v>
      </c>
      <c r="C753" s="190" t="s">
        <v>3653</v>
      </c>
      <c r="D753" s="190" t="n">
        <v>1</v>
      </c>
      <c r="E753" s="190" t="n">
        <v>0.08</v>
      </c>
      <c r="F753" s="190" t="n">
        <v>1</v>
      </c>
      <c r="G753" s="190" t="n">
        <v>1</v>
      </c>
      <c r="H753" s="190" t="s">
        <v>22</v>
      </c>
      <c r="I753" s="190" t="s">
        <v>3650</v>
      </c>
      <c r="J753" s="190" t="s">
        <v>1816</v>
      </c>
    </row>
    <row r="754" customFormat="false" ht="14.25" hidden="false" customHeight="true" outlineLevel="0" collapsed="false">
      <c r="A754" s="190" t="s">
        <v>3654</v>
      </c>
      <c r="B754" s="190" t="s">
        <v>3655</v>
      </c>
      <c r="C754" s="190" t="s">
        <v>3656</v>
      </c>
      <c r="D754" s="190" t="n">
        <v>1</v>
      </c>
      <c r="E754" s="190" t="n">
        <v>0.43</v>
      </c>
      <c r="F754" s="190" t="n">
        <v>6</v>
      </c>
      <c r="G754" s="190" t="n">
        <v>3.85</v>
      </c>
      <c r="H754" s="190" t="s">
        <v>22</v>
      </c>
      <c r="I754" s="190" t="s">
        <v>1958</v>
      </c>
      <c r="J754" s="190" t="s">
        <v>1736</v>
      </c>
    </row>
    <row r="755" customFormat="false" ht="14.25" hidden="false" customHeight="true" outlineLevel="0" collapsed="false">
      <c r="A755" s="190" t="s">
        <v>3657</v>
      </c>
      <c r="B755" s="190" t="s">
        <v>3658</v>
      </c>
      <c r="C755" s="190" t="s">
        <v>3659</v>
      </c>
      <c r="D755" s="190" t="n">
        <v>1</v>
      </c>
      <c r="E755" s="190" t="n">
        <v>0.43</v>
      </c>
      <c r="F755" s="190" t="n">
        <v>5</v>
      </c>
      <c r="G755" s="190" t="n">
        <v>3.83</v>
      </c>
      <c r="H755" s="190" t="s">
        <v>22</v>
      </c>
      <c r="I755" s="190" t="s">
        <v>1958</v>
      </c>
      <c r="J755" s="190" t="s">
        <v>1736</v>
      </c>
    </row>
    <row r="756" customFormat="false" ht="14.25" hidden="false" customHeight="true" outlineLevel="0" collapsed="false">
      <c r="A756" s="190" t="s">
        <v>3660</v>
      </c>
      <c r="B756" s="190" t="s">
        <v>3661</v>
      </c>
      <c r="C756" s="190" t="s">
        <v>3662</v>
      </c>
      <c r="D756" s="190" t="n">
        <v>1</v>
      </c>
      <c r="E756" s="190" t="n">
        <v>0.22</v>
      </c>
      <c r="F756" s="190" t="n">
        <v>10</v>
      </c>
      <c r="G756" s="190" t="n">
        <v>3</v>
      </c>
      <c r="H756" s="190" t="s">
        <v>22</v>
      </c>
      <c r="I756" s="190" t="s">
        <v>3663</v>
      </c>
      <c r="J756" s="190" t="s">
        <v>2077</v>
      </c>
    </row>
    <row r="757" customFormat="false" ht="14.25" hidden="false" customHeight="true" outlineLevel="0" collapsed="false">
      <c r="A757" s="190" t="s">
        <v>3664</v>
      </c>
      <c r="B757" s="190" t="s">
        <v>3665</v>
      </c>
      <c r="C757" s="190" t="s">
        <v>3666</v>
      </c>
      <c r="D757" s="190" t="n">
        <v>1</v>
      </c>
      <c r="E757" s="190" t="n">
        <v>0.43</v>
      </c>
      <c r="F757" s="190" t="n">
        <v>2.5</v>
      </c>
      <c r="G757" s="190" t="n">
        <v>8.22</v>
      </c>
      <c r="H757" s="190" t="s">
        <v>22</v>
      </c>
      <c r="I757" s="190" t="s">
        <v>2716</v>
      </c>
      <c r="J757" s="190" t="s">
        <v>1736</v>
      </c>
    </row>
    <row r="758" customFormat="false" ht="14.25" hidden="false" customHeight="true" outlineLevel="0" collapsed="false">
      <c r="A758" s="190" t="s">
        <v>3667</v>
      </c>
      <c r="B758" s="190" t="s">
        <v>3668</v>
      </c>
      <c r="C758" s="190" t="s">
        <v>3669</v>
      </c>
      <c r="D758" s="190" t="n">
        <v>1</v>
      </c>
      <c r="E758" s="190" t="n">
        <v>0.43</v>
      </c>
      <c r="F758" s="190" t="n">
        <v>4.25</v>
      </c>
      <c r="G758" s="190" t="n">
        <v>8.15</v>
      </c>
      <c r="H758" s="190" t="s">
        <v>22</v>
      </c>
      <c r="I758" s="190" t="s">
        <v>2716</v>
      </c>
      <c r="J758" s="190" t="s">
        <v>1736</v>
      </c>
    </row>
    <row r="759" customFormat="false" ht="14.25" hidden="false" customHeight="true" outlineLevel="0" collapsed="false">
      <c r="A759" s="190" t="s">
        <v>3670</v>
      </c>
      <c r="B759" s="190" t="s">
        <v>3671</v>
      </c>
      <c r="C759" s="190" t="s">
        <v>3672</v>
      </c>
      <c r="D759" s="190" t="n">
        <v>1</v>
      </c>
      <c r="E759" s="190" t="n">
        <v>0.87</v>
      </c>
      <c r="F759" s="190" t="n">
        <v>6</v>
      </c>
      <c r="G759" s="190" t="n">
        <v>3.02</v>
      </c>
      <c r="H759" s="190" t="s">
        <v>22</v>
      </c>
      <c r="I759" s="190" t="s">
        <v>1742</v>
      </c>
      <c r="J759" s="190" t="s">
        <v>1831</v>
      </c>
    </row>
    <row r="760" customFormat="false" ht="14.25" hidden="false" customHeight="true" outlineLevel="0" collapsed="false">
      <c r="A760" s="190" t="s">
        <v>3673</v>
      </c>
      <c r="B760" s="190" t="s">
        <v>3674</v>
      </c>
      <c r="C760" s="190" t="s">
        <v>3675</v>
      </c>
      <c r="D760" s="190" t="n">
        <v>1</v>
      </c>
      <c r="E760" s="190" t="n">
        <v>0.55</v>
      </c>
      <c r="F760" s="190" t="n">
        <v>7.5</v>
      </c>
      <c r="G760" s="190" t="n">
        <v>4.8</v>
      </c>
      <c r="H760" s="190" t="s">
        <v>22</v>
      </c>
      <c r="I760" s="190" t="s">
        <v>1742</v>
      </c>
      <c r="J760" s="190" t="s">
        <v>3676</v>
      </c>
    </row>
    <row r="761" customFormat="false" ht="14.25" hidden="false" customHeight="true" outlineLevel="0" collapsed="false">
      <c r="A761" s="190" t="s">
        <v>3677</v>
      </c>
      <c r="B761" s="190" t="s">
        <v>3678</v>
      </c>
      <c r="C761" s="190" t="s">
        <v>3679</v>
      </c>
      <c r="D761" s="190" t="n">
        <v>1</v>
      </c>
      <c r="E761" s="190" t="n">
        <v>0.22</v>
      </c>
      <c r="F761" s="190" t="n">
        <v>7</v>
      </c>
      <c r="G761" s="190" t="n">
        <v>2.12</v>
      </c>
      <c r="H761" s="190" t="s">
        <v>22</v>
      </c>
      <c r="I761" s="190" t="s">
        <v>3680</v>
      </c>
      <c r="J761" s="190" t="s">
        <v>1831</v>
      </c>
    </row>
    <row r="762" customFormat="false" ht="14.25" hidden="false" customHeight="true" outlineLevel="0" collapsed="false">
      <c r="A762" s="190" t="s">
        <v>3681</v>
      </c>
      <c r="B762" s="190" t="s">
        <v>3682</v>
      </c>
      <c r="C762" s="190" t="s">
        <v>3683</v>
      </c>
      <c r="D762" s="190" t="n">
        <v>1</v>
      </c>
      <c r="E762" s="190" t="n">
        <v>0.22</v>
      </c>
      <c r="F762" s="190" t="n">
        <v>4</v>
      </c>
      <c r="G762" s="190" t="n">
        <v>2</v>
      </c>
      <c r="H762" s="190" t="s">
        <v>22</v>
      </c>
      <c r="I762" s="190" t="s">
        <v>3680</v>
      </c>
      <c r="J762" s="190" t="s">
        <v>1831</v>
      </c>
    </row>
    <row r="763" customFormat="false" ht="14.25" hidden="false" customHeight="true" outlineLevel="0" collapsed="false">
      <c r="A763" s="190" t="s">
        <v>3684</v>
      </c>
      <c r="B763" s="190" t="s">
        <v>3685</v>
      </c>
      <c r="C763" s="190" t="s">
        <v>3686</v>
      </c>
      <c r="D763" s="190" t="n">
        <v>1</v>
      </c>
      <c r="E763" s="190" t="n">
        <v>0.43</v>
      </c>
      <c r="F763" s="190" t="n">
        <v>4</v>
      </c>
      <c r="G763" s="190" t="n">
        <v>2</v>
      </c>
      <c r="H763" s="190" t="s">
        <v>22</v>
      </c>
      <c r="I763" s="190" t="s">
        <v>1970</v>
      </c>
      <c r="J763" s="190" t="s">
        <v>1831</v>
      </c>
    </row>
    <row r="764" customFormat="false" ht="14.25" hidden="false" customHeight="true" outlineLevel="0" collapsed="false">
      <c r="A764" s="190" t="s">
        <v>3687</v>
      </c>
      <c r="B764" s="190" t="s">
        <v>3688</v>
      </c>
      <c r="C764" s="190" t="s">
        <v>3689</v>
      </c>
      <c r="D764" s="190" t="n">
        <v>1</v>
      </c>
      <c r="E764" s="190" t="n">
        <v>1.65</v>
      </c>
      <c r="F764" s="190" t="n">
        <v>8</v>
      </c>
      <c r="G764" s="190" t="n">
        <v>2.02</v>
      </c>
      <c r="H764" s="190" t="s">
        <v>22</v>
      </c>
      <c r="I764" s="190" t="s">
        <v>3680</v>
      </c>
      <c r="J764" s="190" t="s">
        <v>1842</v>
      </c>
    </row>
    <row r="765" customFormat="false" ht="14.25" hidden="false" customHeight="true" outlineLevel="0" collapsed="false">
      <c r="A765" s="190" t="s">
        <v>3690</v>
      </c>
      <c r="B765" s="190" t="s">
        <v>3691</v>
      </c>
      <c r="C765" s="190" t="s">
        <v>3692</v>
      </c>
      <c r="D765" s="190" t="n">
        <v>1</v>
      </c>
      <c r="E765" s="190" t="n">
        <v>0.55</v>
      </c>
      <c r="F765" s="190" t="n">
        <v>3</v>
      </c>
      <c r="G765" s="190" t="n">
        <v>3</v>
      </c>
      <c r="H765" s="190" t="s">
        <v>22</v>
      </c>
      <c r="I765" s="190" t="n">
        <v>29</v>
      </c>
      <c r="J765" s="190" t="s">
        <v>1831</v>
      </c>
    </row>
    <row r="766" customFormat="false" ht="14.25" hidden="false" customHeight="true" outlineLevel="0" collapsed="false">
      <c r="A766" s="190" t="s">
        <v>3693</v>
      </c>
      <c r="B766" s="190" t="s">
        <v>3694</v>
      </c>
      <c r="C766" s="190" t="s">
        <v>3695</v>
      </c>
      <c r="D766" s="190" t="n">
        <v>1</v>
      </c>
      <c r="E766" s="190" t="n">
        <v>0.6</v>
      </c>
      <c r="F766" s="190" t="n">
        <v>7</v>
      </c>
      <c r="G766" s="190" t="n">
        <v>4</v>
      </c>
      <c r="H766" s="190" t="s">
        <v>22</v>
      </c>
      <c r="I766" s="190" t="n">
        <v>29</v>
      </c>
      <c r="J766" s="190" t="s">
        <v>2086</v>
      </c>
    </row>
    <row r="767" customFormat="false" ht="14.25" hidden="false" customHeight="true" outlineLevel="0" collapsed="false">
      <c r="A767" s="190" t="s">
        <v>3696</v>
      </c>
      <c r="B767" s="190" t="s">
        <v>3697</v>
      </c>
      <c r="C767" s="190" t="s">
        <v>3698</v>
      </c>
      <c r="D767" s="190" t="n">
        <v>1</v>
      </c>
      <c r="E767" s="190" t="n">
        <v>0.65</v>
      </c>
      <c r="F767" s="190" t="n">
        <v>40</v>
      </c>
      <c r="G767" s="190" t="n">
        <v>8.05</v>
      </c>
      <c r="H767" s="190" t="s">
        <v>22</v>
      </c>
      <c r="I767" s="190" t="s">
        <v>1970</v>
      </c>
      <c r="J767" s="190" t="s">
        <v>1743</v>
      </c>
    </row>
    <row r="768" customFormat="false" ht="14.25" hidden="false" customHeight="true" outlineLevel="0" collapsed="false">
      <c r="A768" s="190" t="s">
        <v>3699</v>
      </c>
      <c r="B768" s="190" t="s">
        <v>3700</v>
      </c>
      <c r="C768" s="190" t="s">
        <v>3701</v>
      </c>
      <c r="D768" s="190" t="n">
        <v>1</v>
      </c>
      <c r="E768" s="190" t="n">
        <v>0.22</v>
      </c>
      <c r="F768" s="190" t="n">
        <v>1</v>
      </c>
      <c r="G768" s="190" t="n">
        <v>1</v>
      </c>
      <c r="H768" s="190" t="s">
        <v>22</v>
      </c>
      <c r="I768" s="190" t="s">
        <v>3702</v>
      </c>
      <c r="J768" s="190" t="s">
        <v>1743</v>
      </c>
    </row>
    <row r="769" customFormat="false" ht="14.25" hidden="false" customHeight="true" outlineLevel="0" collapsed="false">
      <c r="A769" s="190" t="s">
        <v>3703</v>
      </c>
      <c r="B769" s="190" t="s">
        <v>3704</v>
      </c>
      <c r="C769" s="190" t="s">
        <v>3705</v>
      </c>
      <c r="D769" s="190" t="n">
        <v>1</v>
      </c>
      <c r="E769" s="190" t="n">
        <v>0.87</v>
      </c>
      <c r="F769" s="190" t="n">
        <v>2.5</v>
      </c>
      <c r="G769" s="190" t="n">
        <v>16.27</v>
      </c>
      <c r="H769" s="190" t="s">
        <v>22</v>
      </c>
      <c r="I769" s="190" t="s">
        <v>3706</v>
      </c>
      <c r="J769" s="190" t="s">
        <v>1736</v>
      </c>
    </row>
    <row r="770" customFormat="false" ht="14.25" hidden="false" customHeight="true" outlineLevel="0" collapsed="false">
      <c r="A770" s="190" t="s">
        <v>3707</v>
      </c>
      <c r="B770" s="190" t="s">
        <v>3708</v>
      </c>
      <c r="C770" s="190" t="s">
        <v>3709</v>
      </c>
      <c r="D770" s="190" t="n">
        <v>1</v>
      </c>
      <c r="E770" s="190" t="n">
        <v>0.87</v>
      </c>
      <c r="F770" s="190" t="n">
        <v>6.5</v>
      </c>
      <c r="G770" s="190" t="n">
        <v>5.62</v>
      </c>
      <c r="H770" s="190" t="s">
        <v>22</v>
      </c>
      <c r="I770" s="190" t="s">
        <v>3706</v>
      </c>
      <c r="J770" s="190" t="s">
        <v>1736</v>
      </c>
    </row>
    <row r="771" customFormat="false" ht="14.25" hidden="false" customHeight="true" outlineLevel="0" collapsed="false">
      <c r="A771" s="190" t="s">
        <v>3710</v>
      </c>
      <c r="B771" s="190" t="s">
        <v>3711</v>
      </c>
      <c r="C771" s="190" t="s">
        <v>3712</v>
      </c>
      <c r="D771" s="190" t="n">
        <v>1</v>
      </c>
      <c r="E771" s="190" t="n">
        <v>0.55</v>
      </c>
      <c r="F771" s="190" t="n">
        <v>9</v>
      </c>
      <c r="G771" s="190" t="n">
        <v>2.07</v>
      </c>
      <c r="H771" s="190" t="s">
        <v>22</v>
      </c>
      <c r="I771" s="190" t="s">
        <v>3713</v>
      </c>
      <c r="J771" s="190" t="s">
        <v>1743</v>
      </c>
    </row>
    <row r="772" customFormat="false" ht="14.25" hidden="false" customHeight="true" outlineLevel="0" collapsed="false">
      <c r="A772" s="190" t="s">
        <v>3714</v>
      </c>
      <c r="B772" s="190" t="s">
        <v>3715</v>
      </c>
      <c r="C772" s="190" t="s">
        <v>3716</v>
      </c>
      <c r="D772" s="190" t="n">
        <v>1</v>
      </c>
      <c r="E772" s="190" t="n">
        <v>0.32</v>
      </c>
      <c r="F772" s="190" t="n">
        <v>4</v>
      </c>
      <c r="G772" s="190" t="n">
        <v>2</v>
      </c>
      <c r="H772" s="190" t="s">
        <v>22</v>
      </c>
      <c r="I772" s="190" t="s">
        <v>3344</v>
      </c>
      <c r="J772" s="190" t="s">
        <v>1831</v>
      </c>
    </row>
    <row r="773" customFormat="false" ht="14.25" hidden="false" customHeight="true" outlineLevel="0" collapsed="false">
      <c r="A773" s="190" t="s">
        <v>3717</v>
      </c>
      <c r="B773" s="190" t="s">
        <v>3718</v>
      </c>
      <c r="C773" s="190" t="s">
        <v>3719</v>
      </c>
      <c r="D773" s="190" t="n">
        <v>1</v>
      </c>
      <c r="E773" s="190" t="n">
        <v>1.27</v>
      </c>
      <c r="F773" s="190" t="n">
        <v>4</v>
      </c>
      <c r="G773" s="190" t="n">
        <v>2</v>
      </c>
      <c r="H773" s="190" t="s">
        <v>22</v>
      </c>
      <c r="I773" s="190" t="s">
        <v>3344</v>
      </c>
      <c r="J773" s="190" t="s">
        <v>1831</v>
      </c>
    </row>
    <row r="774" customFormat="false" ht="14.25" hidden="false" customHeight="true" outlineLevel="0" collapsed="false">
      <c r="A774" s="190" t="s">
        <v>3720</v>
      </c>
      <c r="B774" s="190" t="s">
        <v>3721</v>
      </c>
      <c r="C774" s="190" t="s">
        <v>3722</v>
      </c>
      <c r="D774" s="190" t="n">
        <v>1</v>
      </c>
      <c r="E774" s="190" t="n">
        <v>0.43</v>
      </c>
      <c r="F774" s="190" t="n">
        <v>4</v>
      </c>
      <c r="G774" s="190" t="n">
        <v>2</v>
      </c>
      <c r="H774" s="190" t="s">
        <v>22</v>
      </c>
      <c r="I774" s="190" t="s">
        <v>3723</v>
      </c>
      <c r="J774" s="190" t="s">
        <v>1831</v>
      </c>
    </row>
    <row r="775" customFormat="false" ht="14.25" hidden="false" customHeight="true" outlineLevel="0" collapsed="false">
      <c r="A775" s="190" t="s">
        <v>3724</v>
      </c>
      <c r="B775" s="190" t="s">
        <v>3725</v>
      </c>
      <c r="C775" s="190" t="s">
        <v>3726</v>
      </c>
      <c r="D775" s="190" t="n">
        <v>1</v>
      </c>
      <c r="E775" s="190" t="n">
        <v>0.87</v>
      </c>
      <c r="F775" s="190" t="n">
        <v>4</v>
      </c>
      <c r="G775" s="190" t="n">
        <v>1.02</v>
      </c>
      <c r="H775" s="190" t="s">
        <v>22</v>
      </c>
      <c r="I775" s="190" t="s">
        <v>3727</v>
      </c>
      <c r="J775" s="190" t="s">
        <v>1838</v>
      </c>
    </row>
    <row r="776" customFormat="false" ht="14.25" hidden="false" customHeight="true" outlineLevel="0" collapsed="false">
      <c r="A776" s="190" t="s">
        <v>3728</v>
      </c>
      <c r="B776" s="190" t="s">
        <v>3729</v>
      </c>
      <c r="C776" s="190" t="s">
        <v>3730</v>
      </c>
      <c r="D776" s="190" t="n">
        <v>1</v>
      </c>
      <c r="E776" s="190" t="n">
        <v>0.43</v>
      </c>
      <c r="F776" s="190" t="n">
        <v>4</v>
      </c>
      <c r="G776" s="190" t="n">
        <v>1.02</v>
      </c>
      <c r="H776" s="190" t="s">
        <v>22</v>
      </c>
      <c r="I776" s="190" t="s">
        <v>3727</v>
      </c>
      <c r="J776" s="190" t="s">
        <v>1838</v>
      </c>
    </row>
    <row r="777" customFormat="false" ht="14.25" hidden="false" customHeight="true" outlineLevel="0" collapsed="false">
      <c r="A777" s="190" t="s">
        <v>3731</v>
      </c>
      <c r="B777" s="190" t="s">
        <v>3732</v>
      </c>
      <c r="C777" s="190" t="s">
        <v>3733</v>
      </c>
      <c r="D777" s="190" t="n">
        <v>1</v>
      </c>
      <c r="E777" s="190" t="n">
        <v>13.63</v>
      </c>
      <c r="F777" s="190" t="n">
        <v>4.5</v>
      </c>
      <c r="G777" s="190" t="n">
        <v>1.52</v>
      </c>
      <c r="H777" s="190" t="s">
        <v>22</v>
      </c>
      <c r="I777" s="190" t="s">
        <v>3734</v>
      </c>
      <c r="J777" s="190" t="s">
        <v>1874</v>
      </c>
    </row>
    <row r="778" customFormat="false" ht="14.25" hidden="false" customHeight="true" outlineLevel="0" collapsed="false">
      <c r="A778" s="190" t="s">
        <v>3735</v>
      </c>
      <c r="B778" s="190" t="s">
        <v>3736</v>
      </c>
      <c r="C778" s="190" t="s">
        <v>3737</v>
      </c>
      <c r="D778" s="190" t="n">
        <v>1</v>
      </c>
      <c r="E778" s="190" t="n">
        <v>13.63</v>
      </c>
      <c r="F778" s="190" t="n">
        <v>5</v>
      </c>
      <c r="G778" s="190" t="n">
        <v>72.7</v>
      </c>
      <c r="H778" s="190" t="s">
        <v>22</v>
      </c>
      <c r="I778" s="190" t="s">
        <v>3734</v>
      </c>
      <c r="J778" s="190" t="s">
        <v>1874</v>
      </c>
    </row>
    <row r="779" customFormat="false" ht="14.25" hidden="false" customHeight="true" outlineLevel="0" collapsed="false">
      <c r="A779" s="190" t="s">
        <v>3738</v>
      </c>
      <c r="B779" s="190" t="s">
        <v>3739</v>
      </c>
      <c r="C779" s="190" t="s">
        <v>3740</v>
      </c>
      <c r="D779" s="190" t="n">
        <v>1</v>
      </c>
      <c r="E779" s="190" t="n">
        <v>1.75</v>
      </c>
      <c r="F779" s="190" t="n">
        <v>13</v>
      </c>
      <c r="G779" s="190" t="n">
        <v>8</v>
      </c>
      <c r="H779" s="190" t="s">
        <v>22</v>
      </c>
      <c r="I779" s="190" t="s">
        <v>3741</v>
      </c>
      <c r="J779" s="190" t="s">
        <v>1831</v>
      </c>
    </row>
    <row r="780" customFormat="false" ht="14.25" hidden="false" customHeight="true" outlineLevel="0" collapsed="false">
      <c r="A780" s="190" t="s">
        <v>3742</v>
      </c>
      <c r="B780" s="190" t="s">
        <v>3743</v>
      </c>
      <c r="C780" s="190" t="s">
        <v>3744</v>
      </c>
      <c r="D780" s="190" t="n">
        <v>1</v>
      </c>
      <c r="E780" s="190" t="n">
        <v>1.75</v>
      </c>
      <c r="F780" s="190" t="n">
        <v>7</v>
      </c>
      <c r="G780" s="190" t="n">
        <v>2</v>
      </c>
      <c r="H780" s="190" t="s">
        <v>22</v>
      </c>
      <c r="I780" s="190" t="s">
        <v>3741</v>
      </c>
      <c r="J780" s="190" t="s">
        <v>1831</v>
      </c>
    </row>
    <row r="781" customFormat="false" ht="14.25" hidden="false" customHeight="true" outlineLevel="0" collapsed="false">
      <c r="A781" s="190" t="s">
        <v>3745</v>
      </c>
      <c r="B781" s="190" t="s">
        <v>3746</v>
      </c>
      <c r="C781" s="190" t="s">
        <v>3747</v>
      </c>
      <c r="D781" s="190" t="n">
        <v>1</v>
      </c>
      <c r="E781" s="190" t="n">
        <v>38.7</v>
      </c>
      <c r="F781" s="190" t="n">
        <v>84</v>
      </c>
      <c r="G781" s="190" t="n">
        <v>121.6</v>
      </c>
      <c r="H781" s="190" t="s">
        <v>22</v>
      </c>
      <c r="I781" s="190" t="s">
        <v>3748</v>
      </c>
      <c r="J781" s="190" t="s">
        <v>3749</v>
      </c>
    </row>
    <row r="782" customFormat="false" ht="14.25" hidden="false" customHeight="true" outlineLevel="0" collapsed="false">
      <c r="A782" s="190" t="s">
        <v>3750</v>
      </c>
      <c r="B782" s="190" t="s">
        <v>3751</v>
      </c>
      <c r="C782" s="190" t="s">
        <v>3752</v>
      </c>
      <c r="D782" s="190" t="n">
        <v>1</v>
      </c>
      <c r="E782" s="190" t="n">
        <v>38.7</v>
      </c>
      <c r="F782" s="190" t="n">
        <v>106.1</v>
      </c>
      <c r="G782" s="190" t="n">
        <v>53.3</v>
      </c>
      <c r="H782" s="190" t="s">
        <v>22</v>
      </c>
      <c r="I782" s="190" t="s">
        <v>3748</v>
      </c>
      <c r="J782" s="190" t="s">
        <v>3749</v>
      </c>
    </row>
    <row r="783" customFormat="false" ht="14.25" hidden="false" customHeight="true" outlineLevel="0" collapsed="false">
      <c r="A783" s="190" t="s">
        <v>3753</v>
      </c>
      <c r="B783" s="190" t="s">
        <v>3754</v>
      </c>
      <c r="C783" s="190" t="s">
        <v>3755</v>
      </c>
      <c r="D783" s="190" t="n">
        <v>1</v>
      </c>
      <c r="E783" s="190" t="n">
        <v>0.87</v>
      </c>
      <c r="F783" s="190" t="n">
        <v>3</v>
      </c>
      <c r="G783" s="190" t="n">
        <v>1.03</v>
      </c>
      <c r="H783" s="190" t="s">
        <v>22</v>
      </c>
      <c r="I783" s="190" t="s">
        <v>3734</v>
      </c>
      <c r="J783" s="190" t="s">
        <v>1831</v>
      </c>
    </row>
    <row r="784" customFormat="false" ht="14.25" hidden="false" customHeight="true" outlineLevel="0" collapsed="false">
      <c r="A784" s="190" t="s">
        <v>3756</v>
      </c>
      <c r="B784" s="190" t="s">
        <v>3757</v>
      </c>
      <c r="C784" s="190" t="s">
        <v>3758</v>
      </c>
      <c r="D784" s="190" t="n">
        <v>1</v>
      </c>
      <c r="E784" s="190" t="n">
        <v>0.38</v>
      </c>
      <c r="F784" s="190" t="n">
        <v>4.5</v>
      </c>
      <c r="G784" s="190" t="n">
        <v>2.8</v>
      </c>
      <c r="H784" s="190" t="s">
        <v>22</v>
      </c>
      <c r="I784" s="190" t="s">
        <v>1977</v>
      </c>
      <c r="J784" s="190" t="s">
        <v>1831</v>
      </c>
    </row>
    <row r="785" customFormat="false" ht="14.25" hidden="false" customHeight="true" outlineLevel="0" collapsed="false">
      <c r="A785" s="190" t="s">
        <v>3759</v>
      </c>
      <c r="B785" s="190" t="s">
        <v>3760</v>
      </c>
      <c r="C785" s="190" t="s">
        <v>3761</v>
      </c>
      <c r="D785" s="190" t="n">
        <v>1</v>
      </c>
      <c r="E785" s="190" t="n">
        <v>0.65</v>
      </c>
      <c r="F785" s="190" t="n">
        <v>1</v>
      </c>
      <c r="G785" s="190" t="n">
        <v>1</v>
      </c>
      <c r="H785" s="190" t="s">
        <v>22</v>
      </c>
      <c r="I785" s="190" t="s">
        <v>2373</v>
      </c>
      <c r="J785" s="190" t="s">
        <v>1816</v>
      </c>
    </row>
    <row r="786" customFormat="false" ht="14.25" hidden="false" customHeight="true" outlineLevel="0" collapsed="false">
      <c r="A786" s="190" t="s">
        <v>3762</v>
      </c>
      <c r="B786" s="190" t="s">
        <v>3763</v>
      </c>
      <c r="C786" s="190" t="s">
        <v>3764</v>
      </c>
      <c r="D786" s="190" t="n">
        <v>1</v>
      </c>
      <c r="E786" s="190" t="n">
        <v>0.22</v>
      </c>
      <c r="F786" s="190" t="n">
        <v>3</v>
      </c>
      <c r="G786" s="190" t="n">
        <v>3</v>
      </c>
      <c r="H786" s="190" t="s">
        <v>22</v>
      </c>
      <c r="I786" s="190" t="s">
        <v>3765</v>
      </c>
      <c r="J786" s="190" t="s">
        <v>1831</v>
      </c>
    </row>
    <row r="787" customFormat="false" ht="14.25" hidden="false" customHeight="true" outlineLevel="0" collapsed="false">
      <c r="A787" s="190" t="s">
        <v>3766</v>
      </c>
      <c r="B787" s="190" t="s">
        <v>3767</v>
      </c>
      <c r="C787" s="190" t="s">
        <v>3768</v>
      </c>
      <c r="D787" s="190" t="n">
        <v>1</v>
      </c>
      <c r="E787" s="190" t="n">
        <v>2.2</v>
      </c>
      <c r="F787" s="190" t="n">
        <v>2</v>
      </c>
      <c r="G787" s="190" t="n">
        <v>2</v>
      </c>
      <c r="H787" s="190" t="s">
        <v>22</v>
      </c>
      <c r="I787" s="190" t="s">
        <v>1977</v>
      </c>
      <c r="J787" s="190" t="s">
        <v>1831</v>
      </c>
    </row>
    <row r="788" customFormat="false" ht="14.25" hidden="false" customHeight="true" outlineLevel="0" collapsed="false">
      <c r="A788" s="190" t="s">
        <v>3769</v>
      </c>
      <c r="B788" s="190" t="s">
        <v>3770</v>
      </c>
      <c r="C788" s="190" t="s">
        <v>3771</v>
      </c>
      <c r="D788" s="190" t="n">
        <v>1</v>
      </c>
      <c r="E788" s="190" t="n">
        <v>1.1</v>
      </c>
      <c r="F788" s="190" t="n">
        <v>3</v>
      </c>
      <c r="G788" s="190" t="n">
        <v>3</v>
      </c>
      <c r="H788" s="190" t="s">
        <v>22</v>
      </c>
      <c r="I788" s="190" t="s">
        <v>1977</v>
      </c>
      <c r="J788" s="190" t="s">
        <v>1831</v>
      </c>
    </row>
    <row r="789" customFormat="false" ht="14.25" hidden="false" customHeight="true" outlineLevel="0" collapsed="false">
      <c r="A789" s="190" t="s">
        <v>3772</v>
      </c>
      <c r="B789" s="190" t="s">
        <v>3773</v>
      </c>
      <c r="C789" s="190" t="s">
        <v>3774</v>
      </c>
      <c r="D789" s="190" t="n">
        <v>1</v>
      </c>
      <c r="E789" s="190" t="n">
        <v>8.92</v>
      </c>
      <c r="F789" s="190" t="n">
        <v>25.5</v>
      </c>
      <c r="G789" s="190" t="n">
        <v>463.6</v>
      </c>
      <c r="H789" s="190" t="s">
        <v>22</v>
      </c>
      <c r="I789" s="190" t="s">
        <v>1977</v>
      </c>
      <c r="J789" s="190" t="s">
        <v>3775</v>
      </c>
    </row>
    <row r="790" customFormat="false" ht="14.25" hidden="false" customHeight="true" outlineLevel="0" collapsed="false">
      <c r="A790" s="190" t="s">
        <v>3776</v>
      </c>
      <c r="B790" s="190" t="s">
        <v>3777</v>
      </c>
      <c r="C790" s="190" t="s">
        <v>3778</v>
      </c>
      <c r="D790" s="190" t="n">
        <v>1</v>
      </c>
      <c r="E790" s="190" t="n">
        <v>10.12</v>
      </c>
      <c r="F790" s="190" t="n">
        <v>2</v>
      </c>
      <c r="G790" s="190" t="n">
        <v>2</v>
      </c>
      <c r="H790" s="190" t="s">
        <v>22</v>
      </c>
      <c r="I790" s="190" t="s">
        <v>3779</v>
      </c>
      <c r="J790" s="190" t="s">
        <v>1831</v>
      </c>
    </row>
    <row r="791" customFormat="false" ht="14.25" hidden="false" customHeight="true" outlineLevel="0" collapsed="false">
      <c r="A791" s="190" t="s">
        <v>3780</v>
      </c>
      <c r="B791" s="190" t="s">
        <v>3781</v>
      </c>
      <c r="C791" s="190" t="s">
        <v>3782</v>
      </c>
      <c r="D791" s="190" t="n">
        <v>1</v>
      </c>
      <c r="E791" s="190" t="n">
        <v>2.17</v>
      </c>
      <c r="F791" s="190" t="n">
        <v>7</v>
      </c>
      <c r="G791" s="190" t="n">
        <v>3</v>
      </c>
      <c r="H791" s="190" t="s">
        <v>22</v>
      </c>
      <c r="I791" s="190" t="s">
        <v>3783</v>
      </c>
      <c r="J791" s="190" t="s">
        <v>1743</v>
      </c>
    </row>
    <row r="792" customFormat="false" ht="14.25" hidden="false" customHeight="true" outlineLevel="0" collapsed="false">
      <c r="A792" s="190" t="s">
        <v>3784</v>
      </c>
      <c r="B792" s="190" t="s">
        <v>3785</v>
      </c>
      <c r="C792" s="190" t="s">
        <v>3786</v>
      </c>
      <c r="D792" s="190" t="n">
        <v>1</v>
      </c>
      <c r="E792" s="190" t="n">
        <v>1.32</v>
      </c>
      <c r="F792" s="190" t="n">
        <v>2</v>
      </c>
      <c r="G792" s="190" t="n">
        <v>2</v>
      </c>
      <c r="H792" s="190" t="s">
        <v>22</v>
      </c>
      <c r="I792" s="190" t="s">
        <v>3787</v>
      </c>
      <c r="J792" s="190" t="s">
        <v>1831</v>
      </c>
    </row>
    <row r="793" customFormat="false" ht="14.25" hidden="false" customHeight="true" outlineLevel="0" collapsed="false">
      <c r="A793" s="190" t="s">
        <v>3788</v>
      </c>
      <c r="B793" s="190" t="s">
        <v>3789</v>
      </c>
      <c r="C793" s="190" t="s">
        <v>3790</v>
      </c>
      <c r="D793" s="190" t="n">
        <v>1</v>
      </c>
      <c r="E793" s="190" t="n">
        <v>0.22</v>
      </c>
      <c r="F793" s="190" t="n">
        <v>8</v>
      </c>
      <c r="G793" s="190" t="n">
        <v>3</v>
      </c>
      <c r="H793" s="190" t="s">
        <v>22</v>
      </c>
      <c r="I793" s="190" t="s">
        <v>3779</v>
      </c>
      <c r="J793" s="190" t="s">
        <v>1743</v>
      </c>
    </row>
    <row r="794" customFormat="false" ht="14.25" hidden="false" customHeight="true" outlineLevel="0" collapsed="false">
      <c r="A794" s="190" t="s">
        <v>3791</v>
      </c>
      <c r="B794" s="190" t="s">
        <v>3792</v>
      </c>
      <c r="C794" s="190" t="s">
        <v>3793</v>
      </c>
      <c r="D794" s="190" t="n">
        <v>1</v>
      </c>
      <c r="E794" s="190" t="n">
        <v>1.75</v>
      </c>
      <c r="F794" s="190" t="n">
        <v>10</v>
      </c>
      <c r="G794" s="190" t="n">
        <v>3.02</v>
      </c>
      <c r="H794" s="190" t="s">
        <v>22</v>
      </c>
      <c r="I794" s="190" t="s">
        <v>3794</v>
      </c>
      <c r="J794" s="190" t="s">
        <v>1838</v>
      </c>
    </row>
    <row r="795" customFormat="false" ht="14.25" hidden="false" customHeight="true" outlineLevel="0" collapsed="false">
      <c r="A795" s="190" t="s">
        <v>394</v>
      </c>
      <c r="B795" s="190" t="s">
        <v>392</v>
      </c>
      <c r="C795" s="190" t="s">
        <v>393</v>
      </c>
      <c r="D795" s="190" t="n">
        <v>1</v>
      </c>
      <c r="E795" s="190" t="n">
        <v>0.22</v>
      </c>
      <c r="F795" s="190" t="n">
        <v>9</v>
      </c>
      <c r="G795" s="190" t="n">
        <v>3.08</v>
      </c>
      <c r="H795" s="190" t="s">
        <v>22</v>
      </c>
      <c r="I795" s="190" t="s">
        <v>395</v>
      </c>
      <c r="J795" s="190" t="s">
        <v>1743</v>
      </c>
    </row>
    <row r="796" customFormat="false" ht="14.25" hidden="false" customHeight="true" outlineLevel="0" collapsed="false">
      <c r="A796" s="190" t="s">
        <v>3795</v>
      </c>
      <c r="B796" s="190" t="s">
        <v>3796</v>
      </c>
      <c r="C796" s="190" t="s">
        <v>3797</v>
      </c>
      <c r="D796" s="190" t="n">
        <v>1</v>
      </c>
      <c r="E796" s="190" t="n">
        <v>1</v>
      </c>
      <c r="F796" s="190" t="n">
        <v>6.5</v>
      </c>
      <c r="G796" s="190" t="n">
        <v>2.6</v>
      </c>
      <c r="H796" s="190" t="s">
        <v>22</v>
      </c>
      <c r="I796" s="190" t="s">
        <v>3798</v>
      </c>
      <c r="J796" s="190" t="s">
        <v>1743</v>
      </c>
    </row>
    <row r="797" customFormat="false" ht="14.25" hidden="false" customHeight="true" outlineLevel="0" collapsed="false">
      <c r="A797" s="190" t="s">
        <v>3799</v>
      </c>
      <c r="B797" s="190" t="s">
        <v>3800</v>
      </c>
      <c r="C797" s="190" t="s">
        <v>3801</v>
      </c>
      <c r="D797" s="190" t="n">
        <v>1</v>
      </c>
      <c r="E797" s="190" t="n">
        <v>0.43</v>
      </c>
      <c r="F797" s="190" t="n">
        <v>8</v>
      </c>
      <c r="G797" s="190" t="n">
        <v>1.02</v>
      </c>
      <c r="H797" s="190" t="s">
        <v>22</v>
      </c>
      <c r="I797" s="190" t="s">
        <v>3006</v>
      </c>
      <c r="J797" s="190" t="s">
        <v>1959</v>
      </c>
    </row>
    <row r="798" customFormat="false" ht="14.25" hidden="false" customHeight="true" outlineLevel="0" collapsed="false">
      <c r="A798" s="190" t="s">
        <v>3802</v>
      </c>
      <c r="B798" s="190" t="s">
        <v>3803</v>
      </c>
      <c r="C798" s="190" t="s">
        <v>3804</v>
      </c>
      <c r="D798" s="190" t="n">
        <v>1</v>
      </c>
      <c r="E798" s="190" t="n">
        <v>0.22</v>
      </c>
      <c r="F798" s="190" t="n">
        <v>6</v>
      </c>
      <c r="G798" s="190" t="n">
        <v>1.03</v>
      </c>
      <c r="H798" s="190" t="s">
        <v>22</v>
      </c>
      <c r="I798" s="190" t="s">
        <v>3006</v>
      </c>
      <c r="J798" s="190" t="s">
        <v>1743</v>
      </c>
    </row>
    <row r="799" customFormat="false" ht="14.25" hidden="false" customHeight="true" outlineLevel="0" collapsed="false">
      <c r="A799" s="190" t="s">
        <v>3805</v>
      </c>
      <c r="B799" s="190" t="s">
        <v>3806</v>
      </c>
      <c r="C799" s="190" t="s">
        <v>3807</v>
      </c>
      <c r="D799" s="190" t="n">
        <v>1</v>
      </c>
      <c r="E799" s="190" t="n">
        <v>0.43</v>
      </c>
      <c r="F799" s="190" t="n">
        <v>8</v>
      </c>
      <c r="G799" s="190" t="n">
        <v>1.02</v>
      </c>
      <c r="H799" s="190" t="s">
        <v>22</v>
      </c>
      <c r="I799" s="190" t="s">
        <v>3006</v>
      </c>
      <c r="J799" s="190" t="s">
        <v>1959</v>
      </c>
    </row>
    <row r="800" customFormat="false" ht="14.25" hidden="false" customHeight="true" outlineLevel="0" collapsed="false">
      <c r="A800" s="190" t="s">
        <v>3808</v>
      </c>
      <c r="B800" s="190" t="s">
        <v>3809</v>
      </c>
      <c r="C800" s="190" t="s">
        <v>3810</v>
      </c>
      <c r="D800" s="190" t="n">
        <v>1</v>
      </c>
      <c r="E800" s="190" t="n">
        <v>0.43</v>
      </c>
      <c r="F800" s="190" t="n">
        <v>4</v>
      </c>
      <c r="G800" s="190" t="n">
        <v>2</v>
      </c>
      <c r="H800" s="190" t="s">
        <v>22</v>
      </c>
      <c r="I800" s="190" t="s">
        <v>3006</v>
      </c>
      <c r="J800" s="190" t="s">
        <v>1831</v>
      </c>
    </row>
    <row r="801" customFormat="false" ht="14.25" hidden="false" customHeight="true" outlineLevel="0" collapsed="false">
      <c r="A801" s="190" t="s">
        <v>3811</v>
      </c>
      <c r="B801" s="190" t="s">
        <v>3812</v>
      </c>
      <c r="C801" s="190" t="s">
        <v>3813</v>
      </c>
      <c r="D801" s="190" t="n">
        <v>1</v>
      </c>
      <c r="E801" s="190" t="n">
        <v>0.43</v>
      </c>
      <c r="F801" s="190" t="n">
        <v>4</v>
      </c>
      <c r="G801" s="190" t="n">
        <v>2</v>
      </c>
      <c r="H801" s="190" t="s">
        <v>22</v>
      </c>
      <c r="I801" s="190" t="s">
        <v>3006</v>
      </c>
      <c r="J801" s="190" t="s">
        <v>1831</v>
      </c>
    </row>
    <row r="802" customFormat="false" ht="14.25" hidden="false" customHeight="true" outlineLevel="0" collapsed="false">
      <c r="A802" s="190" t="s">
        <v>3814</v>
      </c>
      <c r="B802" s="190" t="s">
        <v>3815</v>
      </c>
      <c r="C802" s="190" t="s">
        <v>3816</v>
      </c>
      <c r="D802" s="190" t="n">
        <v>1</v>
      </c>
      <c r="E802" s="190" t="n">
        <v>0.65</v>
      </c>
      <c r="F802" s="190" t="n">
        <v>4</v>
      </c>
      <c r="G802" s="190" t="n">
        <v>2</v>
      </c>
      <c r="H802" s="190" t="s">
        <v>22</v>
      </c>
      <c r="I802" s="190" t="s">
        <v>3817</v>
      </c>
      <c r="J802" s="190" t="s">
        <v>1831</v>
      </c>
    </row>
    <row r="803" customFormat="false" ht="14.25" hidden="false" customHeight="true" outlineLevel="0" collapsed="false">
      <c r="A803" s="190" t="s">
        <v>3818</v>
      </c>
      <c r="B803" s="190" t="s">
        <v>3819</v>
      </c>
      <c r="C803" s="190" t="s">
        <v>3820</v>
      </c>
      <c r="D803" s="190" t="n">
        <v>1</v>
      </c>
      <c r="E803" s="190" t="n">
        <v>0.22</v>
      </c>
      <c r="F803" s="190" t="n">
        <v>4.5</v>
      </c>
      <c r="G803" s="190" t="n">
        <v>1.37</v>
      </c>
      <c r="H803" s="190" t="s">
        <v>22</v>
      </c>
      <c r="I803" s="190" t="s">
        <v>3821</v>
      </c>
      <c r="J803" s="190" t="s">
        <v>1959</v>
      </c>
    </row>
    <row r="804" customFormat="false" ht="14.25" hidden="false" customHeight="true" outlineLevel="0" collapsed="false">
      <c r="A804" s="190" t="s">
        <v>3822</v>
      </c>
      <c r="B804" s="190" t="s">
        <v>3823</v>
      </c>
      <c r="C804" s="190" t="s">
        <v>3824</v>
      </c>
      <c r="D804" s="190" t="n">
        <v>1</v>
      </c>
      <c r="E804" s="190" t="n">
        <v>0.92</v>
      </c>
      <c r="F804" s="190" t="n">
        <v>13</v>
      </c>
      <c r="G804" s="190" t="n">
        <v>2.17</v>
      </c>
      <c r="H804" s="190" t="s">
        <v>22</v>
      </c>
      <c r="I804" s="190" t="s">
        <v>3821</v>
      </c>
      <c r="J804" s="190" t="s">
        <v>1743</v>
      </c>
    </row>
    <row r="805" customFormat="false" ht="14.25" hidden="false" customHeight="true" outlineLevel="0" collapsed="false">
      <c r="A805" s="190" t="s">
        <v>3825</v>
      </c>
      <c r="B805" s="190" t="s">
        <v>3826</v>
      </c>
      <c r="C805" s="190" t="s">
        <v>3827</v>
      </c>
      <c r="D805" s="190" t="n">
        <v>1</v>
      </c>
      <c r="E805" s="190" t="n">
        <v>0.43</v>
      </c>
      <c r="F805" s="190" t="n">
        <v>4</v>
      </c>
      <c r="G805" s="190" t="n">
        <v>2</v>
      </c>
      <c r="H805" s="190" t="s">
        <v>22</v>
      </c>
      <c r="I805" s="190" t="s">
        <v>3828</v>
      </c>
      <c r="J805" s="190" t="s">
        <v>1737</v>
      </c>
    </row>
    <row r="806" customFormat="false" ht="14.25" hidden="false" customHeight="true" outlineLevel="0" collapsed="false">
      <c r="A806" s="190" t="s">
        <v>3829</v>
      </c>
      <c r="B806" s="190" t="s">
        <v>3830</v>
      </c>
      <c r="C806" s="190" t="s">
        <v>3831</v>
      </c>
      <c r="D806" s="190" t="n">
        <v>1</v>
      </c>
      <c r="E806" s="190" t="n">
        <v>0.22</v>
      </c>
      <c r="F806" s="190" t="n">
        <v>8</v>
      </c>
      <c r="G806" s="190" t="n">
        <v>1.02</v>
      </c>
      <c r="H806" s="190" t="s">
        <v>22</v>
      </c>
      <c r="I806" s="190" t="s">
        <v>3832</v>
      </c>
      <c r="J806" s="190" t="s">
        <v>1959</v>
      </c>
    </row>
    <row r="807" customFormat="false" ht="14.25" hidden="false" customHeight="true" outlineLevel="0" collapsed="false">
      <c r="A807" s="190" t="s">
        <v>398</v>
      </c>
      <c r="B807" s="190" t="s">
        <v>396</v>
      </c>
      <c r="C807" s="190" t="s">
        <v>397</v>
      </c>
      <c r="D807" s="190" t="n">
        <v>1</v>
      </c>
      <c r="E807" s="190" t="n">
        <v>0.22</v>
      </c>
      <c r="F807" s="190" t="n">
        <v>1</v>
      </c>
      <c r="G807" s="190" t="n">
        <v>1</v>
      </c>
      <c r="H807" s="190" t="s">
        <v>22</v>
      </c>
      <c r="I807" s="190" t="s">
        <v>399</v>
      </c>
      <c r="J807" s="190" t="s">
        <v>1831</v>
      </c>
    </row>
    <row r="808" customFormat="false" ht="14.25" hidden="false" customHeight="true" outlineLevel="0" collapsed="false">
      <c r="A808" s="190" t="s">
        <v>402</v>
      </c>
      <c r="B808" s="190" t="s">
        <v>400</v>
      </c>
      <c r="C808" s="190" t="s">
        <v>401</v>
      </c>
      <c r="D808" s="190" t="n">
        <v>1</v>
      </c>
      <c r="E808" s="190" t="n">
        <v>0.55</v>
      </c>
      <c r="F808" s="190" t="n">
        <v>10</v>
      </c>
      <c r="G808" s="190" t="n">
        <v>4.37</v>
      </c>
      <c r="H808" s="190" t="s">
        <v>22</v>
      </c>
      <c r="I808" s="190" t="s">
        <v>399</v>
      </c>
      <c r="J808" s="190" t="s">
        <v>1736</v>
      </c>
    </row>
    <row r="809" customFormat="false" ht="14.25" hidden="false" customHeight="true" outlineLevel="0" collapsed="false">
      <c r="A809" s="190" t="s">
        <v>413</v>
      </c>
      <c r="B809" s="190" t="s">
        <v>411</v>
      </c>
      <c r="C809" s="190" t="s">
        <v>412</v>
      </c>
      <c r="D809" s="190" t="n">
        <v>1</v>
      </c>
      <c r="E809" s="190" t="n">
        <v>2.25</v>
      </c>
      <c r="F809" s="190" t="n">
        <v>3.5</v>
      </c>
      <c r="G809" s="190" t="n">
        <v>1.65</v>
      </c>
      <c r="H809" s="190" t="s">
        <v>22</v>
      </c>
      <c r="I809" s="190" t="s">
        <v>414</v>
      </c>
      <c r="J809" s="190" t="s">
        <v>1736</v>
      </c>
    </row>
    <row r="810" customFormat="false" ht="14.25" hidden="false" customHeight="true" outlineLevel="0" collapsed="false">
      <c r="A810" s="190" t="s">
        <v>417</v>
      </c>
      <c r="B810" s="190" t="s">
        <v>415</v>
      </c>
      <c r="C810" s="190" t="s">
        <v>416</v>
      </c>
      <c r="D810" s="190" t="n">
        <v>1</v>
      </c>
      <c r="E810" s="190" t="n">
        <v>0.43</v>
      </c>
      <c r="F810" s="190" t="n">
        <v>3.5</v>
      </c>
      <c r="G810" s="190" t="n">
        <v>3.27</v>
      </c>
      <c r="H810" s="190" t="s">
        <v>22</v>
      </c>
      <c r="I810" s="190" t="s">
        <v>257</v>
      </c>
      <c r="J810" s="190" t="s">
        <v>1736</v>
      </c>
    </row>
    <row r="811" customFormat="false" ht="14.25" hidden="false" customHeight="true" outlineLevel="0" collapsed="false">
      <c r="A811" s="190" t="s">
        <v>3833</v>
      </c>
      <c r="B811" s="190" t="s">
        <v>3834</v>
      </c>
      <c r="C811" s="190" t="s">
        <v>3835</v>
      </c>
      <c r="D811" s="190" t="n">
        <v>1</v>
      </c>
      <c r="E811" s="190" t="n">
        <v>0.43</v>
      </c>
      <c r="F811" s="190" t="n">
        <v>9.5</v>
      </c>
      <c r="G811" s="190" t="n">
        <v>4.8</v>
      </c>
      <c r="H811" s="190" t="s">
        <v>22</v>
      </c>
      <c r="I811" s="190" t="s">
        <v>2413</v>
      </c>
      <c r="J811" s="190" t="s">
        <v>1743</v>
      </c>
    </row>
    <row r="812" customFormat="false" ht="14.25" hidden="false" customHeight="true" outlineLevel="0" collapsed="false">
      <c r="A812" s="190" t="s">
        <v>3836</v>
      </c>
      <c r="B812" s="190" t="s">
        <v>3837</v>
      </c>
      <c r="C812" s="190" t="s">
        <v>3838</v>
      </c>
      <c r="D812" s="190" t="n">
        <v>1</v>
      </c>
      <c r="E812" s="190" t="n">
        <v>0.43</v>
      </c>
      <c r="F812" s="190" t="n">
        <v>9.5</v>
      </c>
      <c r="G812" s="190" t="n">
        <v>4.77</v>
      </c>
      <c r="H812" s="190" t="s">
        <v>22</v>
      </c>
      <c r="I812" s="190" t="s">
        <v>2413</v>
      </c>
      <c r="J812" s="190" t="s">
        <v>1743</v>
      </c>
    </row>
    <row r="813" customFormat="false" ht="14.25" hidden="false" customHeight="true" outlineLevel="0" collapsed="false">
      <c r="A813" s="190" t="s">
        <v>3839</v>
      </c>
      <c r="B813" s="190" t="s">
        <v>3840</v>
      </c>
      <c r="C813" s="190" t="s">
        <v>3841</v>
      </c>
      <c r="D813" s="190" t="n">
        <v>1</v>
      </c>
      <c r="E813" s="190" t="n">
        <v>2.2</v>
      </c>
      <c r="F813" s="190" t="n">
        <v>12</v>
      </c>
      <c r="G813" s="190" t="n">
        <v>6.42</v>
      </c>
      <c r="H813" s="190" t="s">
        <v>22</v>
      </c>
      <c r="I813" s="190" t="s">
        <v>2413</v>
      </c>
      <c r="J813" s="190" t="s">
        <v>1743</v>
      </c>
    </row>
    <row r="814" customFormat="false" ht="14.25" hidden="false" customHeight="true" outlineLevel="0" collapsed="false">
      <c r="A814" s="190" t="s">
        <v>3842</v>
      </c>
      <c r="B814" s="190" t="s">
        <v>3843</v>
      </c>
      <c r="C814" s="190" t="s">
        <v>3844</v>
      </c>
      <c r="D814" s="190" t="n">
        <v>1</v>
      </c>
      <c r="E814" s="190" t="n">
        <v>2.2</v>
      </c>
      <c r="F814" s="190" t="n">
        <v>12</v>
      </c>
      <c r="G814" s="190" t="n">
        <v>6.4</v>
      </c>
      <c r="H814" s="190" t="s">
        <v>22</v>
      </c>
      <c r="I814" s="190" t="s">
        <v>2413</v>
      </c>
      <c r="J814" s="190" t="s">
        <v>1743</v>
      </c>
    </row>
    <row r="815" customFormat="false" ht="14.25" hidden="false" customHeight="true" outlineLevel="0" collapsed="false">
      <c r="A815" s="190" t="s">
        <v>3845</v>
      </c>
      <c r="B815" s="190" t="s">
        <v>3846</v>
      </c>
      <c r="C815" s="190" t="s">
        <v>3847</v>
      </c>
      <c r="D815" s="190" t="n">
        <v>1</v>
      </c>
      <c r="E815" s="190" t="n">
        <v>4.4</v>
      </c>
      <c r="F815" s="190" t="n">
        <v>42.7</v>
      </c>
      <c r="G815" s="190" t="n">
        <v>22.27</v>
      </c>
      <c r="H815" s="190" t="s">
        <v>22</v>
      </c>
      <c r="I815" s="190" t="s">
        <v>1988</v>
      </c>
      <c r="J815" s="190" t="s">
        <v>1743</v>
      </c>
    </row>
    <row r="816" customFormat="false" ht="14.25" hidden="false" customHeight="true" outlineLevel="0" collapsed="false">
      <c r="A816" s="190" t="s">
        <v>3848</v>
      </c>
      <c r="B816" s="190" t="s">
        <v>3849</v>
      </c>
      <c r="C816" s="190" t="s">
        <v>3850</v>
      </c>
      <c r="D816" s="190" t="n">
        <v>1</v>
      </c>
      <c r="E816" s="190" t="n">
        <v>2.2</v>
      </c>
      <c r="F816" s="190" t="n">
        <v>41.3</v>
      </c>
      <c r="G816" s="190" t="n">
        <v>20.33</v>
      </c>
      <c r="H816" s="190" t="s">
        <v>22</v>
      </c>
      <c r="I816" s="190" t="s">
        <v>1988</v>
      </c>
      <c r="J816" s="190" t="s">
        <v>1743</v>
      </c>
    </row>
    <row r="817" customFormat="false" ht="14.25" hidden="false" customHeight="true" outlineLevel="0" collapsed="false">
      <c r="A817" s="190" t="s">
        <v>3851</v>
      </c>
      <c r="B817" s="190" t="s">
        <v>3852</v>
      </c>
      <c r="C817" s="190" t="s">
        <v>3853</v>
      </c>
      <c r="D817" s="190" t="n">
        <v>1</v>
      </c>
      <c r="E817" s="190" t="n">
        <v>0.22</v>
      </c>
      <c r="F817" s="190" t="n">
        <v>15</v>
      </c>
      <c r="G817" s="190" t="n">
        <v>3.02</v>
      </c>
      <c r="H817" s="190" t="s">
        <v>22</v>
      </c>
      <c r="I817" s="190" t="s">
        <v>426</v>
      </c>
      <c r="J817" s="190" t="s">
        <v>1874</v>
      </c>
    </row>
    <row r="818" customFormat="false" ht="14.25" hidden="false" customHeight="true" outlineLevel="0" collapsed="false">
      <c r="A818" s="190" t="s">
        <v>425</v>
      </c>
      <c r="B818" s="190" t="s">
        <v>423</v>
      </c>
      <c r="C818" s="190" t="s">
        <v>424</v>
      </c>
      <c r="D818" s="190" t="n">
        <v>1</v>
      </c>
      <c r="E818" s="190" t="n">
        <v>0.65</v>
      </c>
      <c r="F818" s="190" t="n">
        <v>4.5</v>
      </c>
      <c r="G818" s="190" t="n">
        <v>4</v>
      </c>
      <c r="H818" s="190" t="s">
        <v>22</v>
      </c>
      <c r="I818" s="190" t="s">
        <v>426</v>
      </c>
      <c r="J818" s="190" t="s">
        <v>3854</v>
      </c>
    </row>
    <row r="819" customFormat="false" ht="14.25" hidden="false" customHeight="true" outlineLevel="0" collapsed="false">
      <c r="A819" s="190" t="s">
        <v>3855</v>
      </c>
      <c r="B819" s="190" t="s">
        <v>3856</v>
      </c>
      <c r="C819" s="190" t="s">
        <v>3857</v>
      </c>
      <c r="D819" s="190" t="n">
        <v>1</v>
      </c>
      <c r="E819" s="190" t="n">
        <v>3.12</v>
      </c>
      <c r="F819" s="190" t="n">
        <v>3.5</v>
      </c>
      <c r="G819" s="190" t="n">
        <v>36.7</v>
      </c>
      <c r="H819" s="190" t="s">
        <v>22</v>
      </c>
      <c r="I819" s="190" t="s">
        <v>3858</v>
      </c>
      <c r="J819" s="190" t="s">
        <v>1736</v>
      </c>
    </row>
    <row r="820" customFormat="false" ht="14.25" hidden="false" customHeight="true" outlineLevel="0" collapsed="false">
      <c r="A820" s="190" t="s">
        <v>3859</v>
      </c>
      <c r="B820" s="190" t="s">
        <v>3860</v>
      </c>
      <c r="C820" s="190" t="s">
        <v>3861</v>
      </c>
      <c r="D820" s="190" t="n">
        <v>1</v>
      </c>
      <c r="E820" s="190" t="n">
        <v>0.28</v>
      </c>
      <c r="F820" s="190" t="n">
        <v>6</v>
      </c>
      <c r="G820" s="190" t="n">
        <v>34</v>
      </c>
      <c r="H820" s="190" t="s">
        <v>22</v>
      </c>
      <c r="I820" s="190" t="s">
        <v>3862</v>
      </c>
      <c r="J820" s="190" t="s">
        <v>1736</v>
      </c>
    </row>
    <row r="821" customFormat="false" ht="14.25" hidden="false" customHeight="true" outlineLevel="0" collapsed="false">
      <c r="A821" s="190" t="s">
        <v>3863</v>
      </c>
      <c r="B821" s="190" t="s">
        <v>3864</v>
      </c>
      <c r="C821" s="190" t="s">
        <v>3865</v>
      </c>
      <c r="D821" s="190" t="n">
        <v>1</v>
      </c>
      <c r="E821" s="190" t="n">
        <v>0.22</v>
      </c>
      <c r="F821" s="190" t="n">
        <v>0.5</v>
      </c>
      <c r="G821" s="190" t="n">
        <v>0.5</v>
      </c>
      <c r="H821" s="190" t="s">
        <v>22</v>
      </c>
      <c r="I821" s="190" t="s">
        <v>3866</v>
      </c>
      <c r="J821" s="190" t="s">
        <v>2934</v>
      </c>
    </row>
    <row r="822" customFormat="false" ht="14.25" hidden="false" customHeight="true" outlineLevel="0" collapsed="false">
      <c r="A822" s="190" t="s">
        <v>429</v>
      </c>
      <c r="B822" s="190" t="s">
        <v>427</v>
      </c>
      <c r="C822" s="190" t="s">
        <v>428</v>
      </c>
      <c r="D822" s="190" t="n">
        <v>1</v>
      </c>
      <c r="E822" s="190" t="n">
        <v>5</v>
      </c>
      <c r="F822" s="190" t="n">
        <v>54</v>
      </c>
      <c r="G822" s="190" t="n">
        <v>220.4</v>
      </c>
      <c r="H822" s="190" t="s">
        <v>22</v>
      </c>
      <c r="I822" s="190" t="s">
        <v>430</v>
      </c>
      <c r="J822" s="190" t="s">
        <v>3676</v>
      </c>
    </row>
    <row r="823" customFormat="false" ht="14.25" hidden="false" customHeight="true" outlineLevel="0" collapsed="false">
      <c r="A823" s="190" t="s">
        <v>436</v>
      </c>
      <c r="B823" s="190" t="s">
        <v>434</v>
      </c>
      <c r="C823" s="190" t="s">
        <v>435</v>
      </c>
      <c r="D823" s="190" t="n">
        <v>1</v>
      </c>
      <c r="E823" s="190" t="n">
        <v>5</v>
      </c>
      <c r="F823" s="190" t="n">
        <v>58.5</v>
      </c>
      <c r="G823" s="190" t="n">
        <v>220.8</v>
      </c>
      <c r="H823" s="190" t="s">
        <v>22</v>
      </c>
      <c r="I823" s="190" t="s">
        <v>430</v>
      </c>
      <c r="J823" s="190" t="s">
        <v>3676</v>
      </c>
    </row>
    <row r="824" customFormat="false" ht="14.25" hidden="false" customHeight="true" outlineLevel="0" collapsed="false">
      <c r="A824" s="190" t="s">
        <v>439</v>
      </c>
      <c r="B824" s="190" t="s">
        <v>437</v>
      </c>
      <c r="C824" s="190" t="s">
        <v>438</v>
      </c>
      <c r="D824" s="190" t="n">
        <v>1</v>
      </c>
      <c r="E824" s="190" t="n">
        <v>5</v>
      </c>
      <c r="F824" s="190" t="n">
        <v>68.3</v>
      </c>
      <c r="G824" s="190" t="n">
        <v>87.3</v>
      </c>
      <c r="H824" s="190" t="s">
        <v>22</v>
      </c>
      <c r="I824" s="190" t="s">
        <v>430</v>
      </c>
      <c r="J824" s="190" t="s">
        <v>3676</v>
      </c>
    </row>
    <row r="825" customFormat="false" ht="14.25" hidden="false" customHeight="true" outlineLevel="0" collapsed="false">
      <c r="A825" s="190" t="s">
        <v>451</v>
      </c>
      <c r="B825" s="190" t="s">
        <v>449</v>
      </c>
      <c r="C825" s="190" t="s">
        <v>450</v>
      </c>
      <c r="D825" s="190" t="n">
        <v>1</v>
      </c>
      <c r="E825" s="190" t="n">
        <v>1.53</v>
      </c>
      <c r="F825" s="190" t="n">
        <v>33.5</v>
      </c>
      <c r="G825" s="190" t="n">
        <v>534.8</v>
      </c>
      <c r="H825" s="190" t="s">
        <v>22</v>
      </c>
      <c r="I825" s="190" t="s">
        <v>430</v>
      </c>
      <c r="J825" s="190" t="s">
        <v>1998</v>
      </c>
    </row>
    <row r="826" customFormat="false" ht="14.25" hidden="false" customHeight="true" outlineLevel="0" collapsed="false">
      <c r="A826" s="190" t="s">
        <v>454</v>
      </c>
      <c r="B826" s="190" t="s">
        <v>452</v>
      </c>
      <c r="C826" s="190" t="s">
        <v>453</v>
      </c>
      <c r="D826" s="190" t="n">
        <v>1</v>
      </c>
      <c r="E826" s="190" t="n">
        <v>5</v>
      </c>
      <c r="F826" s="190" t="n">
        <v>23.75</v>
      </c>
      <c r="G826" s="190" t="n">
        <v>157.7</v>
      </c>
      <c r="H826" s="190" t="s">
        <v>22</v>
      </c>
      <c r="I826" s="190" t="s">
        <v>430</v>
      </c>
      <c r="J826" s="190" t="s">
        <v>3676</v>
      </c>
    </row>
    <row r="827" customFormat="false" ht="14.25" hidden="false" customHeight="true" outlineLevel="0" collapsed="false">
      <c r="A827" s="190" t="s">
        <v>457</v>
      </c>
      <c r="B827" s="190" t="s">
        <v>455</v>
      </c>
      <c r="C827" s="190" t="s">
        <v>456</v>
      </c>
      <c r="D827" s="190" t="n">
        <v>1</v>
      </c>
      <c r="E827" s="190" t="n">
        <v>0.87</v>
      </c>
      <c r="F827" s="190" t="n">
        <v>7.5</v>
      </c>
      <c r="G827" s="190" t="n">
        <v>2.5</v>
      </c>
      <c r="H827" s="190" t="s">
        <v>22</v>
      </c>
      <c r="I827" s="190" t="s">
        <v>430</v>
      </c>
      <c r="J827" s="190" t="s">
        <v>3867</v>
      </c>
    </row>
    <row r="828" customFormat="false" ht="14.25" hidden="false" customHeight="true" outlineLevel="0" collapsed="false">
      <c r="A828" s="190" t="s">
        <v>460</v>
      </c>
      <c r="B828" s="190" t="s">
        <v>458</v>
      </c>
      <c r="C828" s="190" t="s">
        <v>459</v>
      </c>
      <c r="D828" s="190" t="n">
        <v>1</v>
      </c>
      <c r="E828" s="190" t="n">
        <v>1.75</v>
      </c>
      <c r="F828" s="190" t="n">
        <v>8.5</v>
      </c>
      <c r="G828" s="190" t="n">
        <v>3.43</v>
      </c>
      <c r="H828" s="190" t="s">
        <v>22</v>
      </c>
      <c r="I828" s="190" t="s">
        <v>430</v>
      </c>
      <c r="J828" s="190" t="s">
        <v>3867</v>
      </c>
    </row>
    <row r="829" customFormat="false" ht="14.25" hidden="false" customHeight="true" outlineLevel="0" collapsed="false">
      <c r="A829" s="190" t="s">
        <v>466</v>
      </c>
      <c r="B829" s="190" t="s">
        <v>464</v>
      </c>
      <c r="C829" s="190" t="s">
        <v>465</v>
      </c>
      <c r="D829" s="190" t="n">
        <v>1</v>
      </c>
      <c r="E829" s="190" t="n">
        <v>0.87</v>
      </c>
      <c r="F829" s="190" t="n">
        <v>23.17</v>
      </c>
      <c r="G829" s="190" t="n">
        <v>601</v>
      </c>
      <c r="H829" s="190" t="s">
        <v>22</v>
      </c>
      <c r="I829" s="190" t="s">
        <v>430</v>
      </c>
      <c r="J829" s="190" t="s">
        <v>3868</v>
      </c>
    </row>
    <row r="830" customFormat="false" ht="14.25" hidden="false" customHeight="true" outlineLevel="0" collapsed="false">
      <c r="A830" s="190" t="s">
        <v>469</v>
      </c>
      <c r="B830" s="190" t="s">
        <v>467</v>
      </c>
      <c r="C830" s="190" t="s">
        <v>468</v>
      </c>
      <c r="D830" s="190" t="n">
        <v>1</v>
      </c>
      <c r="E830" s="190" t="n">
        <v>0.87</v>
      </c>
      <c r="F830" s="190" t="n">
        <v>11.5</v>
      </c>
      <c r="G830" s="190" t="n">
        <v>3.87</v>
      </c>
      <c r="H830" s="190" t="s">
        <v>22</v>
      </c>
      <c r="I830" s="190" t="s">
        <v>430</v>
      </c>
      <c r="J830" s="190" t="s">
        <v>3867</v>
      </c>
    </row>
    <row r="831" customFormat="false" ht="14.25" hidden="false" customHeight="true" outlineLevel="0" collapsed="false">
      <c r="A831" s="190" t="s">
        <v>472</v>
      </c>
      <c r="B831" s="190" t="s">
        <v>470</v>
      </c>
      <c r="C831" s="190" t="s">
        <v>471</v>
      </c>
      <c r="D831" s="190" t="n">
        <v>1</v>
      </c>
      <c r="E831" s="190" t="n">
        <v>0.87</v>
      </c>
      <c r="F831" s="190" t="n">
        <v>7.5</v>
      </c>
      <c r="G831" s="190" t="n">
        <v>4.58</v>
      </c>
      <c r="H831" s="190" t="s">
        <v>22</v>
      </c>
      <c r="I831" s="190" t="s">
        <v>430</v>
      </c>
      <c r="J831" s="190" t="s">
        <v>3867</v>
      </c>
    </row>
    <row r="832" customFormat="false" ht="14.25" hidden="false" customHeight="true" outlineLevel="0" collapsed="false">
      <c r="A832" s="190" t="s">
        <v>475</v>
      </c>
      <c r="B832" s="190" t="s">
        <v>473</v>
      </c>
      <c r="C832" s="190" t="s">
        <v>474</v>
      </c>
      <c r="D832" s="190" t="n">
        <v>1</v>
      </c>
      <c r="E832" s="190" t="n">
        <v>0.43</v>
      </c>
      <c r="F832" s="190" t="n">
        <v>8</v>
      </c>
      <c r="G832" s="190" t="n">
        <v>5.37</v>
      </c>
      <c r="H832" s="190" t="s">
        <v>22</v>
      </c>
      <c r="I832" s="190" t="s">
        <v>430</v>
      </c>
      <c r="J832" s="190" t="s">
        <v>3867</v>
      </c>
    </row>
    <row r="833" customFormat="false" ht="14.25" hidden="false" customHeight="true" outlineLevel="0" collapsed="false">
      <c r="A833" s="190" t="s">
        <v>481</v>
      </c>
      <c r="B833" s="190" t="s">
        <v>479</v>
      </c>
      <c r="C833" s="190" t="s">
        <v>480</v>
      </c>
      <c r="D833" s="190" t="n">
        <v>1</v>
      </c>
      <c r="E833" s="190" t="n">
        <v>0.43</v>
      </c>
      <c r="F833" s="190" t="n">
        <v>16</v>
      </c>
      <c r="G833" s="190" t="n">
        <v>47</v>
      </c>
      <c r="H833" s="190" t="s">
        <v>22</v>
      </c>
      <c r="I833" s="190" t="s">
        <v>430</v>
      </c>
      <c r="J833" s="190" t="s">
        <v>3867</v>
      </c>
    </row>
    <row r="834" customFormat="false" ht="14.25" hidden="false" customHeight="true" outlineLevel="0" collapsed="false">
      <c r="A834" s="190" t="s">
        <v>484</v>
      </c>
      <c r="B834" s="190" t="s">
        <v>482</v>
      </c>
      <c r="C834" s="190" t="s">
        <v>483</v>
      </c>
      <c r="D834" s="190" t="n">
        <v>1</v>
      </c>
      <c r="E834" s="190" t="n">
        <v>3.68</v>
      </c>
      <c r="F834" s="190" t="n">
        <v>12.5</v>
      </c>
      <c r="G834" s="190" t="n">
        <v>47.5</v>
      </c>
      <c r="H834" s="190" t="s">
        <v>22</v>
      </c>
      <c r="I834" s="190" t="s">
        <v>430</v>
      </c>
      <c r="J834" s="190" t="s">
        <v>1743</v>
      </c>
    </row>
    <row r="835" customFormat="false" ht="14.25" hidden="false" customHeight="true" outlineLevel="0" collapsed="false">
      <c r="A835" s="190" t="s">
        <v>487</v>
      </c>
      <c r="B835" s="190" t="s">
        <v>485</v>
      </c>
      <c r="C835" s="190" t="s">
        <v>486</v>
      </c>
      <c r="D835" s="190" t="n">
        <v>1</v>
      </c>
      <c r="E835" s="190" t="n">
        <v>0.87</v>
      </c>
      <c r="F835" s="190" t="n">
        <v>16</v>
      </c>
      <c r="G835" s="190" t="n">
        <v>4</v>
      </c>
      <c r="H835" s="190" t="s">
        <v>22</v>
      </c>
      <c r="I835" s="190" t="s">
        <v>269</v>
      </c>
      <c r="J835" s="190" t="s">
        <v>1889</v>
      </c>
    </row>
    <row r="836" customFormat="false" ht="14.25" hidden="false" customHeight="true" outlineLevel="0" collapsed="false">
      <c r="A836" s="190" t="s">
        <v>501</v>
      </c>
      <c r="B836" s="190" t="s">
        <v>499</v>
      </c>
      <c r="C836" s="190" t="s">
        <v>500</v>
      </c>
      <c r="D836" s="190" t="n">
        <v>1</v>
      </c>
      <c r="E836" s="190" t="n">
        <v>3.52</v>
      </c>
      <c r="F836" s="190" t="n">
        <v>7.4</v>
      </c>
      <c r="G836" s="190" t="n">
        <v>3.25</v>
      </c>
      <c r="H836" s="190" t="s">
        <v>22</v>
      </c>
      <c r="I836" s="190" t="s">
        <v>491</v>
      </c>
      <c r="J836" s="190" t="s">
        <v>1959</v>
      </c>
    </row>
    <row r="837" customFormat="false" ht="14.25" hidden="false" customHeight="true" outlineLevel="0" collapsed="false">
      <c r="A837" s="190" t="s">
        <v>3869</v>
      </c>
      <c r="B837" s="190" t="s">
        <v>3870</v>
      </c>
      <c r="C837" s="190" t="s">
        <v>3871</v>
      </c>
      <c r="D837" s="190" t="n">
        <v>1</v>
      </c>
      <c r="E837" s="190" t="n">
        <v>0.43</v>
      </c>
      <c r="F837" s="190" t="n">
        <v>2</v>
      </c>
      <c r="G837" s="190" t="n">
        <v>1</v>
      </c>
      <c r="H837" s="190" t="s">
        <v>22</v>
      </c>
      <c r="I837" s="190" t="s">
        <v>269</v>
      </c>
      <c r="J837" s="190" t="s">
        <v>1737</v>
      </c>
    </row>
    <row r="838" customFormat="false" ht="14.25" hidden="false" customHeight="true" outlineLevel="0" collapsed="false">
      <c r="A838" s="190" t="s">
        <v>504</v>
      </c>
      <c r="B838" s="190" t="s">
        <v>502</v>
      </c>
      <c r="C838" s="190" t="s">
        <v>503</v>
      </c>
      <c r="D838" s="190" t="n">
        <v>1</v>
      </c>
      <c r="E838" s="190" t="n">
        <v>0.55</v>
      </c>
      <c r="F838" s="190" t="n">
        <v>7.75</v>
      </c>
      <c r="G838" s="190" t="n">
        <v>3.87</v>
      </c>
      <c r="H838" s="190" t="s">
        <v>22</v>
      </c>
      <c r="I838" s="190" t="s">
        <v>265</v>
      </c>
      <c r="J838" s="190" t="s">
        <v>1736</v>
      </c>
    </row>
    <row r="839" customFormat="false" ht="14.25" hidden="false" customHeight="true" outlineLevel="0" collapsed="false">
      <c r="A839" s="190" t="s">
        <v>507</v>
      </c>
      <c r="B839" s="190" t="s">
        <v>505</v>
      </c>
      <c r="C839" s="190" t="s">
        <v>506</v>
      </c>
      <c r="D839" s="190" t="n">
        <v>1</v>
      </c>
      <c r="E839" s="190" t="n">
        <v>0.32</v>
      </c>
      <c r="F839" s="190" t="n">
        <v>4.75</v>
      </c>
      <c r="G839" s="190" t="n">
        <v>3</v>
      </c>
      <c r="H839" s="190" t="s">
        <v>22</v>
      </c>
      <c r="I839" s="190" t="s">
        <v>265</v>
      </c>
      <c r="J839" s="190" t="s">
        <v>1831</v>
      </c>
    </row>
    <row r="840" customFormat="false" ht="14.25" hidden="false" customHeight="true" outlineLevel="0" collapsed="false">
      <c r="A840" s="190" t="s">
        <v>511</v>
      </c>
      <c r="B840" s="190" t="s">
        <v>509</v>
      </c>
      <c r="C840" s="190" t="s">
        <v>510</v>
      </c>
      <c r="D840" s="190" t="n">
        <v>1</v>
      </c>
      <c r="E840" s="190" t="n">
        <v>0.43</v>
      </c>
      <c r="F840" s="190" t="n">
        <v>4</v>
      </c>
      <c r="G840" s="190" t="n">
        <v>2</v>
      </c>
      <c r="H840" s="190" t="s">
        <v>22</v>
      </c>
      <c r="I840" s="190" t="s">
        <v>265</v>
      </c>
      <c r="J840" s="190" t="s">
        <v>1831</v>
      </c>
    </row>
    <row r="841" customFormat="false" ht="14.25" hidden="false" customHeight="true" outlineLevel="0" collapsed="false">
      <c r="A841" s="190" t="s">
        <v>514</v>
      </c>
      <c r="B841" s="190" t="s">
        <v>512</v>
      </c>
      <c r="C841" s="190" t="s">
        <v>513</v>
      </c>
      <c r="D841" s="190" t="n">
        <v>1</v>
      </c>
      <c r="E841" s="190" t="n">
        <v>0.12</v>
      </c>
      <c r="F841" s="190" t="n">
        <v>4.5</v>
      </c>
      <c r="G841" s="190" t="n">
        <v>3.1</v>
      </c>
      <c r="H841" s="190" t="s">
        <v>22</v>
      </c>
      <c r="I841" s="190" t="s">
        <v>265</v>
      </c>
      <c r="J841" s="190" t="s">
        <v>1831</v>
      </c>
    </row>
    <row r="842" customFormat="false" ht="14.25" hidden="false" customHeight="true" outlineLevel="0" collapsed="false">
      <c r="A842" s="190" t="s">
        <v>517</v>
      </c>
      <c r="B842" s="190" t="s">
        <v>515</v>
      </c>
      <c r="C842" s="190" t="s">
        <v>516</v>
      </c>
      <c r="D842" s="190" t="n">
        <v>1</v>
      </c>
      <c r="E842" s="190" t="n">
        <v>0.1</v>
      </c>
      <c r="F842" s="190" t="n">
        <v>4</v>
      </c>
      <c r="G842" s="190" t="n">
        <v>2</v>
      </c>
      <c r="H842" s="190" t="s">
        <v>22</v>
      </c>
      <c r="I842" s="190" t="s">
        <v>265</v>
      </c>
      <c r="J842" s="190" t="s">
        <v>1831</v>
      </c>
    </row>
    <row r="843" customFormat="false" ht="14.25" hidden="false" customHeight="true" outlineLevel="0" collapsed="false">
      <c r="A843" s="190" t="s">
        <v>520</v>
      </c>
      <c r="B843" s="190" t="s">
        <v>518</v>
      </c>
      <c r="C843" s="190" t="s">
        <v>519</v>
      </c>
      <c r="D843" s="190" t="n">
        <v>1</v>
      </c>
      <c r="E843" s="190" t="n">
        <v>0.1</v>
      </c>
      <c r="F843" s="190" t="n">
        <v>6</v>
      </c>
      <c r="G843" s="190" t="n">
        <v>3.02</v>
      </c>
      <c r="H843" s="190" t="s">
        <v>22</v>
      </c>
      <c r="I843" s="190" t="s">
        <v>521</v>
      </c>
      <c r="J843" s="190" t="s">
        <v>1831</v>
      </c>
    </row>
    <row r="844" customFormat="false" ht="14.25" hidden="false" customHeight="true" outlineLevel="0" collapsed="false">
      <c r="A844" s="190" t="s">
        <v>524</v>
      </c>
      <c r="B844" s="190" t="s">
        <v>522</v>
      </c>
      <c r="C844" s="190" t="s">
        <v>523</v>
      </c>
      <c r="D844" s="190" t="n">
        <v>1</v>
      </c>
      <c r="E844" s="190" t="n">
        <v>0.22</v>
      </c>
      <c r="F844" s="190" t="n">
        <v>6</v>
      </c>
      <c r="G844" s="190" t="n">
        <v>1</v>
      </c>
      <c r="H844" s="190" t="s">
        <v>22</v>
      </c>
      <c r="I844" s="190" t="s">
        <v>525</v>
      </c>
      <c r="J844" s="190" t="s">
        <v>3867</v>
      </c>
    </row>
    <row r="845" customFormat="false" ht="14.25" hidden="false" customHeight="true" outlineLevel="0" collapsed="false">
      <c r="A845" s="190" t="s">
        <v>528</v>
      </c>
      <c r="B845" s="190" t="s">
        <v>526</v>
      </c>
      <c r="C845" s="190" t="s">
        <v>527</v>
      </c>
      <c r="D845" s="190" t="n">
        <v>1</v>
      </c>
      <c r="E845" s="190" t="n">
        <v>0.22</v>
      </c>
      <c r="F845" s="190" t="n">
        <v>10</v>
      </c>
      <c r="G845" s="190" t="n">
        <v>4.23</v>
      </c>
      <c r="H845" s="190" t="s">
        <v>22</v>
      </c>
      <c r="I845" s="190" t="s">
        <v>525</v>
      </c>
      <c r="J845" s="190" t="s">
        <v>1831</v>
      </c>
    </row>
    <row r="846" customFormat="false" ht="14.25" hidden="false" customHeight="true" outlineLevel="0" collapsed="false">
      <c r="A846" s="190" t="s">
        <v>531</v>
      </c>
      <c r="B846" s="190" t="s">
        <v>529</v>
      </c>
      <c r="C846" s="190" t="s">
        <v>530</v>
      </c>
      <c r="D846" s="190" t="n">
        <v>1</v>
      </c>
      <c r="E846" s="190" t="n">
        <v>0.92</v>
      </c>
      <c r="F846" s="190" t="n">
        <v>2</v>
      </c>
      <c r="G846" s="190" t="n">
        <v>72.2</v>
      </c>
      <c r="H846" s="190" t="s">
        <v>22</v>
      </c>
      <c r="I846" s="190" t="s">
        <v>97</v>
      </c>
      <c r="J846" s="190"/>
    </row>
    <row r="847" customFormat="false" ht="14.25" hidden="false" customHeight="true" outlineLevel="0" collapsed="false">
      <c r="A847" s="190" t="s">
        <v>534</v>
      </c>
      <c r="B847" s="190" t="s">
        <v>532</v>
      </c>
      <c r="C847" s="190" t="s">
        <v>533</v>
      </c>
      <c r="D847" s="190" t="n">
        <v>1</v>
      </c>
      <c r="E847" s="190" t="n">
        <v>0.42</v>
      </c>
      <c r="F847" s="190" t="n">
        <v>2.25</v>
      </c>
      <c r="G847" s="190" t="n">
        <v>7.25</v>
      </c>
      <c r="H847" s="190" t="s">
        <v>22</v>
      </c>
      <c r="I847" s="190" t="s">
        <v>97</v>
      </c>
      <c r="J847" s="190" t="s">
        <v>1736</v>
      </c>
    </row>
    <row r="848" customFormat="false" ht="14.25" hidden="false" customHeight="true" outlineLevel="0" collapsed="false">
      <c r="A848" s="190" t="s">
        <v>537</v>
      </c>
      <c r="B848" s="190" t="s">
        <v>535</v>
      </c>
      <c r="C848" s="190" t="s">
        <v>536</v>
      </c>
      <c r="D848" s="190" t="n">
        <v>1</v>
      </c>
      <c r="E848" s="190" t="n">
        <v>2.33</v>
      </c>
      <c r="F848" s="190" t="n">
        <v>12.03</v>
      </c>
      <c r="G848" s="190" t="n">
        <v>26.2</v>
      </c>
      <c r="H848" s="190" t="s">
        <v>22</v>
      </c>
      <c r="I848" s="190" t="s">
        <v>97</v>
      </c>
      <c r="J848" s="190" t="s">
        <v>1736</v>
      </c>
    </row>
    <row r="849" customFormat="false" ht="14.25" hidden="false" customHeight="true" outlineLevel="0" collapsed="false">
      <c r="A849" s="190" t="s">
        <v>540</v>
      </c>
      <c r="B849" s="190" t="s">
        <v>538</v>
      </c>
      <c r="C849" s="190" t="s">
        <v>539</v>
      </c>
      <c r="D849" s="190" t="n">
        <v>1</v>
      </c>
      <c r="E849" s="190" t="n">
        <v>2.33</v>
      </c>
      <c r="F849" s="190" t="n">
        <v>3</v>
      </c>
      <c r="G849" s="190" t="n">
        <v>2</v>
      </c>
      <c r="H849" s="190" t="s">
        <v>22</v>
      </c>
      <c r="I849" s="190" t="s">
        <v>97</v>
      </c>
      <c r="J849" s="190" t="s">
        <v>1736</v>
      </c>
    </row>
    <row r="850" customFormat="false" ht="14.25" hidden="false" customHeight="true" outlineLevel="0" collapsed="false">
      <c r="A850" s="190" t="s">
        <v>3872</v>
      </c>
      <c r="B850" s="190" t="s">
        <v>3873</v>
      </c>
      <c r="C850" s="190" t="s">
        <v>3874</v>
      </c>
      <c r="D850" s="190" t="n">
        <v>1</v>
      </c>
      <c r="E850" s="190" t="n">
        <v>1.32</v>
      </c>
      <c r="F850" s="190" t="n">
        <v>3.5</v>
      </c>
      <c r="G850" s="190" t="n">
        <v>3.15</v>
      </c>
      <c r="H850" s="190" t="s">
        <v>22</v>
      </c>
      <c r="I850" s="190" t="s">
        <v>3875</v>
      </c>
      <c r="J850" s="190" t="s">
        <v>1831</v>
      </c>
    </row>
    <row r="851" customFormat="false" ht="14.25" hidden="false" customHeight="true" outlineLevel="0" collapsed="false">
      <c r="A851" s="190" t="s">
        <v>3876</v>
      </c>
      <c r="B851" s="190" t="s">
        <v>3877</v>
      </c>
      <c r="C851" s="190" t="s">
        <v>3878</v>
      </c>
      <c r="D851" s="190" t="n">
        <v>1</v>
      </c>
      <c r="E851" s="190" t="n">
        <v>1.5</v>
      </c>
      <c r="F851" s="190" t="n">
        <v>3</v>
      </c>
      <c r="G851" s="190" t="n">
        <v>2.6</v>
      </c>
      <c r="H851" s="190" t="s">
        <v>22</v>
      </c>
      <c r="I851" s="190" t="n">
        <v>53</v>
      </c>
      <c r="J851" s="190" t="s">
        <v>1736</v>
      </c>
    </row>
    <row r="852" customFormat="false" ht="14.25" hidden="false" customHeight="true" outlineLevel="0" collapsed="false">
      <c r="A852" s="190" t="s">
        <v>3879</v>
      </c>
      <c r="B852" s="190" t="s">
        <v>3880</v>
      </c>
      <c r="C852" s="190" t="s">
        <v>3881</v>
      </c>
      <c r="D852" s="190" t="n">
        <v>1</v>
      </c>
      <c r="E852" s="190" t="n">
        <v>1.1</v>
      </c>
      <c r="F852" s="190" t="n">
        <v>6</v>
      </c>
      <c r="G852" s="190" t="n">
        <v>5.88</v>
      </c>
      <c r="H852" s="190" t="s">
        <v>22</v>
      </c>
      <c r="I852" s="190" t="s">
        <v>2120</v>
      </c>
      <c r="J852" s="190" t="s">
        <v>3882</v>
      </c>
    </row>
    <row r="853" customFormat="false" ht="14.25" hidden="false" customHeight="true" outlineLevel="0" collapsed="false">
      <c r="A853" s="190" t="s">
        <v>3883</v>
      </c>
      <c r="B853" s="190" t="s">
        <v>3884</v>
      </c>
      <c r="C853" s="190" t="s">
        <v>3885</v>
      </c>
      <c r="D853" s="190" t="n">
        <v>1</v>
      </c>
      <c r="E853" s="190" t="n">
        <v>4.03</v>
      </c>
      <c r="F853" s="190" t="n">
        <v>2.52</v>
      </c>
      <c r="G853" s="190" t="n">
        <v>34</v>
      </c>
      <c r="H853" s="190" t="s">
        <v>22</v>
      </c>
      <c r="I853" s="190" t="n">
        <v>53</v>
      </c>
      <c r="J853" s="190" t="s">
        <v>1736</v>
      </c>
    </row>
    <row r="854" customFormat="false" ht="14.25" hidden="false" customHeight="true" outlineLevel="0" collapsed="false">
      <c r="A854" s="190" t="s">
        <v>3886</v>
      </c>
      <c r="B854" s="190" t="s">
        <v>3887</v>
      </c>
      <c r="C854" s="190" t="s">
        <v>3888</v>
      </c>
      <c r="D854" s="190" t="n">
        <v>1</v>
      </c>
      <c r="E854" s="190" t="n">
        <v>3</v>
      </c>
      <c r="F854" s="190" t="n">
        <v>5</v>
      </c>
      <c r="G854" s="190" t="n">
        <v>77.1</v>
      </c>
      <c r="H854" s="190" t="s">
        <v>22</v>
      </c>
      <c r="I854" s="190" t="n">
        <v>53</v>
      </c>
      <c r="J854" s="190"/>
    </row>
    <row r="855" customFormat="false" ht="14.25" hidden="false" customHeight="true" outlineLevel="0" collapsed="false">
      <c r="A855" s="190" t="s">
        <v>3889</v>
      </c>
      <c r="B855" s="190" t="s">
        <v>3890</v>
      </c>
      <c r="C855" s="190" t="s">
        <v>3891</v>
      </c>
      <c r="D855" s="190" t="n">
        <v>1</v>
      </c>
      <c r="E855" s="190" t="n">
        <v>0.22</v>
      </c>
      <c r="F855" s="190" t="n">
        <v>3.5</v>
      </c>
      <c r="G855" s="190" t="n">
        <v>3.15</v>
      </c>
      <c r="H855" s="190" t="s">
        <v>22</v>
      </c>
      <c r="I855" s="190" t="s">
        <v>3892</v>
      </c>
      <c r="J855" s="190" t="s">
        <v>1831</v>
      </c>
    </row>
    <row r="856" customFormat="false" ht="14.25" hidden="false" customHeight="true" outlineLevel="0" collapsed="false">
      <c r="A856" s="190" t="s">
        <v>3893</v>
      </c>
      <c r="B856" s="190" t="s">
        <v>3894</v>
      </c>
      <c r="C856" s="190" t="s">
        <v>3895</v>
      </c>
      <c r="D856" s="190" t="n">
        <v>1</v>
      </c>
      <c r="E856" s="190" t="n">
        <v>0.92</v>
      </c>
      <c r="F856" s="190" t="n">
        <v>2.67</v>
      </c>
      <c r="G856" s="190" t="n">
        <v>72.2</v>
      </c>
      <c r="H856" s="190" t="s">
        <v>22</v>
      </c>
      <c r="I856" s="190" t="s">
        <v>121</v>
      </c>
      <c r="J856" s="190"/>
    </row>
    <row r="857" customFormat="false" ht="14.25" hidden="false" customHeight="true" outlineLevel="0" collapsed="false">
      <c r="A857" s="190" t="s">
        <v>3896</v>
      </c>
      <c r="B857" s="190" t="s">
        <v>3897</v>
      </c>
      <c r="C857" s="190" t="s">
        <v>3898</v>
      </c>
      <c r="D857" s="190" t="n">
        <v>1</v>
      </c>
      <c r="E857" s="190" t="n">
        <v>2.85</v>
      </c>
      <c r="F857" s="190" t="n">
        <v>12.52</v>
      </c>
      <c r="G857" s="190" t="n">
        <v>552.6</v>
      </c>
      <c r="H857" s="190" t="s">
        <v>22</v>
      </c>
      <c r="I857" s="190" t="s">
        <v>121</v>
      </c>
      <c r="J857" s="190" t="s">
        <v>1751</v>
      </c>
    </row>
    <row r="858" customFormat="false" ht="14.25" hidden="false" customHeight="true" outlineLevel="0" collapsed="false">
      <c r="A858" s="190" t="s">
        <v>3899</v>
      </c>
      <c r="B858" s="190" t="s">
        <v>3900</v>
      </c>
      <c r="C858" s="190" t="s">
        <v>3901</v>
      </c>
      <c r="D858" s="190" t="n">
        <v>1</v>
      </c>
      <c r="E858" s="190" t="n">
        <v>1.5</v>
      </c>
      <c r="F858" s="190" t="n">
        <v>3.52</v>
      </c>
      <c r="G858" s="190" t="n">
        <v>12.35</v>
      </c>
      <c r="H858" s="190" t="s">
        <v>22</v>
      </c>
      <c r="I858" s="190" t="s">
        <v>121</v>
      </c>
      <c r="J858" s="190" t="s">
        <v>1736</v>
      </c>
    </row>
    <row r="859" customFormat="false" ht="14.25" hidden="false" customHeight="true" outlineLevel="0" collapsed="false">
      <c r="A859" s="190" t="s">
        <v>3902</v>
      </c>
      <c r="B859" s="190" t="s">
        <v>3903</v>
      </c>
      <c r="C859" s="190" t="s">
        <v>3904</v>
      </c>
      <c r="D859" s="190" t="n">
        <v>1</v>
      </c>
      <c r="E859" s="190" t="n">
        <v>37.5</v>
      </c>
      <c r="F859" s="190" t="n">
        <v>5.02</v>
      </c>
      <c r="G859" s="190" t="n">
        <v>12.77</v>
      </c>
      <c r="H859" s="190" t="s">
        <v>22</v>
      </c>
      <c r="I859" s="190" t="s">
        <v>121</v>
      </c>
      <c r="J859" s="190" t="s">
        <v>1731</v>
      </c>
    </row>
    <row r="860" customFormat="false" ht="14.25" hidden="false" customHeight="true" outlineLevel="0" collapsed="false">
      <c r="A860" s="190" t="s">
        <v>3905</v>
      </c>
      <c r="B860" s="190" t="s">
        <v>3906</v>
      </c>
      <c r="C860" s="190" t="s">
        <v>3907</v>
      </c>
      <c r="D860" s="190" t="n">
        <v>1</v>
      </c>
      <c r="E860" s="190" t="n">
        <v>0.1</v>
      </c>
      <c r="F860" s="190" t="n">
        <v>3.5</v>
      </c>
      <c r="G860" s="190" t="n">
        <v>3.13</v>
      </c>
      <c r="H860" s="190" t="s">
        <v>22</v>
      </c>
      <c r="I860" s="190" t="s">
        <v>3908</v>
      </c>
      <c r="J860" s="190" t="s">
        <v>1831</v>
      </c>
    </row>
    <row r="861" customFormat="false" ht="14.25" hidden="false" customHeight="true" outlineLevel="0" collapsed="false">
      <c r="A861" s="190" t="s">
        <v>3909</v>
      </c>
      <c r="B861" s="190" t="s">
        <v>3910</v>
      </c>
      <c r="C861" s="190" t="s">
        <v>3911</v>
      </c>
      <c r="D861" s="190" t="n">
        <v>1</v>
      </c>
      <c r="E861" s="190" t="n">
        <v>0.22</v>
      </c>
      <c r="F861" s="190" t="n">
        <v>3.5</v>
      </c>
      <c r="G861" s="190" t="n">
        <v>3.15</v>
      </c>
      <c r="H861" s="190" t="s">
        <v>22</v>
      </c>
      <c r="I861" s="190" t="s">
        <v>3908</v>
      </c>
      <c r="J861" s="190" t="s">
        <v>1831</v>
      </c>
    </row>
    <row r="862" customFormat="false" ht="14.25" hidden="false" customHeight="true" outlineLevel="0" collapsed="false">
      <c r="A862" s="190" t="s">
        <v>3912</v>
      </c>
      <c r="B862" s="190" t="s">
        <v>3913</v>
      </c>
      <c r="C862" s="190" t="s">
        <v>3914</v>
      </c>
      <c r="D862" s="190" t="n">
        <v>1</v>
      </c>
      <c r="E862" s="190" t="n">
        <v>0.43</v>
      </c>
      <c r="F862" s="190" t="n">
        <v>4.17</v>
      </c>
      <c r="G862" s="190" t="n">
        <v>41.7</v>
      </c>
      <c r="H862" s="190" t="s">
        <v>22</v>
      </c>
      <c r="I862" s="190" t="s">
        <v>3915</v>
      </c>
      <c r="J862" s="190" t="s">
        <v>1736</v>
      </c>
    </row>
    <row r="863" customFormat="false" ht="14.25" hidden="false" customHeight="true" outlineLevel="0" collapsed="false">
      <c r="A863" s="190" t="s">
        <v>3916</v>
      </c>
      <c r="B863" s="190" t="s">
        <v>3917</v>
      </c>
      <c r="C863" s="190" t="s">
        <v>3918</v>
      </c>
      <c r="D863" s="190" t="n">
        <v>1</v>
      </c>
      <c r="E863" s="190" t="n">
        <v>0.43</v>
      </c>
      <c r="F863" s="190" t="n">
        <v>3.25</v>
      </c>
      <c r="G863" s="190" t="n">
        <v>40.6</v>
      </c>
      <c r="H863" s="190" t="s">
        <v>22</v>
      </c>
      <c r="I863" s="190" t="s">
        <v>3915</v>
      </c>
      <c r="J863" s="190" t="s">
        <v>1736</v>
      </c>
    </row>
    <row r="864" customFormat="false" ht="14.25" hidden="false" customHeight="true" outlineLevel="0" collapsed="false">
      <c r="A864" s="190" t="s">
        <v>3919</v>
      </c>
      <c r="B864" s="190" t="s">
        <v>3920</v>
      </c>
      <c r="C864" s="190" t="s">
        <v>3921</v>
      </c>
      <c r="D864" s="190" t="n">
        <v>1</v>
      </c>
      <c r="E864" s="190" t="n">
        <v>2.63</v>
      </c>
      <c r="F864" s="190" t="n">
        <v>2.5</v>
      </c>
      <c r="G864" s="190" t="n">
        <v>39.8</v>
      </c>
      <c r="H864" s="190" t="s">
        <v>22</v>
      </c>
      <c r="I864" s="190" t="s">
        <v>3915</v>
      </c>
      <c r="J864" s="190" t="s">
        <v>1736</v>
      </c>
    </row>
    <row r="865" customFormat="false" ht="14.25" hidden="false" customHeight="true" outlineLevel="0" collapsed="false">
      <c r="A865" s="190" t="s">
        <v>3922</v>
      </c>
      <c r="B865" s="190" t="s">
        <v>3923</v>
      </c>
      <c r="C865" s="190" t="s">
        <v>3924</v>
      </c>
      <c r="D865" s="190" t="n">
        <v>1</v>
      </c>
      <c r="E865" s="190" t="n">
        <v>2.63</v>
      </c>
      <c r="F865" s="190" t="n">
        <v>3.5</v>
      </c>
      <c r="G865" s="190" t="n">
        <v>40.8</v>
      </c>
      <c r="H865" s="190" t="s">
        <v>22</v>
      </c>
      <c r="I865" s="190" t="s">
        <v>3915</v>
      </c>
      <c r="J865" s="190" t="s">
        <v>1736</v>
      </c>
    </row>
    <row r="866" customFormat="false" ht="14.25" hidden="false" customHeight="true" outlineLevel="0" collapsed="false">
      <c r="A866" s="190" t="s">
        <v>3925</v>
      </c>
      <c r="B866" s="190" t="s">
        <v>3926</v>
      </c>
      <c r="C866" s="190" t="s">
        <v>3927</v>
      </c>
      <c r="D866" s="190" t="n">
        <v>1</v>
      </c>
      <c r="E866" s="190" t="n">
        <v>1.1</v>
      </c>
      <c r="F866" s="190" t="n">
        <v>5.58</v>
      </c>
      <c r="G866" s="190" t="n">
        <v>39.9</v>
      </c>
      <c r="H866" s="190" t="s">
        <v>22</v>
      </c>
      <c r="I866" s="190" t="s">
        <v>146</v>
      </c>
      <c r="J866" s="190" t="s">
        <v>1736</v>
      </c>
    </row>
    <row r="867" customFormat="false" ht="14.25" hidden="false" customHeight="true" outlineLevel="0" collapsed="false">
      <c r="A867" s="190" t="s">
        <v>3928</v>
      </c>
      <c r="B867" s="190" t="s">
        <v>3929</v>
      </c>
      <c r="C867" s="190" t="s">
        <v>3930</v>
      </c>
      <c r="D867" s="190" t="n">
        <v>1</v>
      </c>
      <c r="E867" s="190" t="n">
        <v>1.1</v>
      </c>
      <c r="F867" s="190" t="n">
        <v>2.33</v>
      </c>
      <c r="G867" s="190" t="n">
        <v>40.5</v>
      </c>
      <c r="H867" s="190" t="s">
        <v>22</v>
      </c>
      <c r="I867" s="190" t="s">
        <v>146</v>
      </c>
      <c r="J867" s="190" t="s">
        <v>1736</v>
      </c>
    </row>
    <row r="868" customFormat="false" ht="14.25" hidden="false" customHeight="true" outlineLevel="0" collapsed="false">
      <c r="A868" s="190" t="s">
        <v>3931</v>
      </c>
      <c r="B868" s="190" t="s">
        <v>3932</v>
      </c>
      <c r="C868" s="190" t="s">
        <v>3933</v>
      </c>
      <c r="D868" s="190" t="n">
        <v>1</v>
      </c>
      <c r="E868" s="190" t="n">
        <v>0.87</v>
      </c>
      <c r="F868" s="190" t="n">
        <v>6</v>
      </c>
      <c r="G868" s="190" t="n">
        <v>40.1</v>
      </c>
      <c r="H868" s="190" t="s">
        <v>22</v>
      </c>
      <c r="I868" s="190" t="s">
        <v>2143</v>
      </c>
      <c r="J868" s="190" t="s">
        <v>1736</v>
      </c>
    </row>
    <row r="869" customFormat="false" ht="14.25" hidden="false" customHeight="true" outlineLevel="0" collapsed="false">
      <c r="A869" s="190" t="s">
        <v>3934</v>
      </c>
      <c r="B869" s="190" t="s">
        <v>3935</v>
      </c>
      <c r="C869" s="190" t="s">
        <v>3936</v>
      </c>
      <c r="D869" s="190" t="n">
        <v>1</v>
      </c>
      <c r="E869" s="190" t="n">
        <v>0.87</v>
      </c>
      <c r="F869" s="190" t="n">
        <v>3.83</v>
      </c>
      <c r="G869" s="190" t="n">
        <v>41</v>
      </c>
      <c r="H869" s="190" t="s">
        <v>22</v>
      </c>
      <c r="I869" s="190" t="s">
        <v>2143</v>
      </c>
      <c r="J869" s="190" t="s">
        <v>1736</v>
      </c>
    </row>
    <row r="870" customFormat="false" ht="14.25" hidden="false" customHeight="true" outlineLevel="0" collapsed="false">
      <c r="A870" s="190" t="s">
        <v>3937</v>
      </c>
      <c r="B870" s="190" t="s">
        <v>3938</v>
      </c>
      <c r="C870" s="190" t="s">
        <v>3939</v>
      </c>
      <c r="D870" s="190" t="n">
        <v>1</v>
      </c>
      <c r="E870" s="190" t="n">
        <v>3.08</v>
      </c>
      <c r="F870" s="190" t="n">
        <v>84.5</v>
      </c>
      <c r="G870" s="190" t="n">
        <v>425.5</v>
      </c>
      <c r="H870" s="190" t="s">
        <v>22</v>
      </c>
      <c r="I870" s="190" t="s">
        <v>234</v>
      </c>
      <c r="J870" s="190"/>
    </row>
    <row r="871" customFormat="false" ht="14.25" hidden="false" customHeight="true" outlineLevel="0" collapsed="false">
      <c r="A871" s="190" t="s">
        <v>543</v>
      </c>
      <c r="B871" s="190" t="s">
        <v>541</v>
      </c>
      <c r="C871" s="190" t="s">
        <v>542</v>
      </c>
      <c r="D871" s="190" t="n">
        <v>1</v>
      </c>
      <c r="E871" s="190" t="n">
        <v>0.43</v>
      </c>
      <c r="F871" s="190" t="n">
        <v>1</v>
      </c>
      <c r="G871" s="190" t="n">
        <v>1</v>
      </c>
      <c r="H871" s="190" t="s">
        <v>22</v>
      </c>
      <c r="I871" s="190" t="s">
        <v>269</v>
      </c>
      <c r="J871" s="190" t="s">
        <v>1737</v>
      </c>
    </row>
    <row r="872" customFormat="false" ht="14.25" hidden="false" customHeight="true" outlineLevel="0" collapsed="false">
      <c r="A872" s="190" t="s">
        <v>3940</v>
      </c>
      <c r="B872" s="190" t="s">
        <v>3941</v>
      </c>
      <c r="C872" s="190" t="s">
        <v>3942</v>
      </c>
      <c r="D872" s="190" t="n">
        <v>1</v>
      </c>
      <c r="E872" s="190" t="n">
        <v>0.22</v>
      </c>
      <c r="F872" s="190" t="n">
        <v>0.5</v>
      </c>
      <c r="G872" s="190" t="n">
        <v>0.5</v>
      </c>
      <c r="H872" s="190" t="s">
        <v>22</v>
      </c>
      <c r="I872" s="190" t="s">
        <v>3943</v>
      </c>
      <c r="J872" s="190" t="s">
        <v>2934</v>
      </c>
    </row>
    <row r="873" customFormat="false" ht="14.25" hidden="false" customHeight="true" outlineLevel="0" collapsed="false">
      <c r="A873" s="190" t="s">
        <v>3944</v>
      </c>
      <c r="B873" s="190" t="s">
        <v>3945</v>
      </c>
      <c r="C873" s="190" t="s">
        <v>3946</v>
      </c>
      <c r="D873" s="190" t="n">
        <v>1</v>
      </c>
      <c r="E873" s="190" t="n">
        <v>0.22</v>
      </c>
      <c r="F873" s="190" t="n">
        <v>0.5</v>
      </c>
      <c r="G873" s="190" t="n">
        <v>0.5</v>
      </c>
      <c r="H873" s="190" t="s">
        <v>22</v>
      </c>
      <c r="I873" s="190" t="s">
        <v>3943</v>
      </c>
      <c r="J873" s="190" t="s">
        <v>2934</v>
      </c>
    </row>
    <row r="874" customFormat="false" ht="14.25" hidden="false" customHeight="true" outlineLevel="0" collapsed="false">
      <c r="A874" s="190" t="s">
        <v>3947</v>
      </c>
      <c r="B874" s="190" t="s">
        <v>3948</v>
      </c>
      <c r="C874" s="190" t="s">
        <v>3949</v>
      </c>
      <c r="D874" s="190" t="n">
        <v>1</v>
      </c>
      <c r="E874" s="190" t="n">
        <v>1.97</v>
      </c>
      <c r="F874" s="190" t="n">
        <v>2</v>
      </c>
      <c r="G874" s="190" t="n">
        <v>16.03</v>
      </c>
      <c r="H874" s="190" t="s">
        <v>22</v>
      </c>
      <c r="I874" s="190" t="s">
        <v>2036</v>
      </c>
      <c r="J874" s="190" t="s">
        <v>3950</v>
      </c>
    </row>
    <row r="875" customFormat="false" ht="14.25" hidden="false" customHeight="true" outlineLevel="0" collapsed="false">
      <c r="A875" s="190" t="s">
        <v>3951</v>
      </c>
      <c r="B875" s="190" t="s">
        <v>3952</v>
      </c>
      <c r="C875" s="190" t="s">
        <v>3953</v>
      </c>
      <c r="D875" s="190" t="n">
        <v>1</v>
      </c>
      <c r="E875" s="190" t="n">
        <v>1.97</v>
      </c>
      <c r="F875" s="190" t="n">
        <v>5.83</v>
      </c>
      <c r="G875" s="190" t="n">
        <v>4.6</v>
      </c>
      <c r="H875" s="190" t="s">
        <v>22</v>
      </c>
      <c r="I875" s="190" t="s">
        <v>2036</v>
      </c>
      <c r="J875" s="190" t="s">
        <v>1736</v>
      </c>
    </row>
    <row r="876" customFormat="false" ht="14.25" hidden="false" customHeight="true" outlineLevel="0" collapsed="false">
      <c r="A876" s="190" t="s">
        <v>3954</v>
      </c>
      <c r="B876" s="190" t="s">
        <v>3955</v>
      </c>
      <c r="C876" s="190" t="s">
        <v>3956</v>
      </c>
      <c r="D876" s="190" t="n">
        <v>1</v>
      </c>
      <c r="E876" s="190" t="n">
        <v>1.1</v>
      </c>
      <c r="F876" s="190" t="n">
        <v>3</v>
      </c>
      <c r="G876" s="190" t="n">
        <v>3</v>
      </c>
      <c r="H876" s="190" t="s">
        <v>22</v>
      </c>
      <c r="I876" s="190" t="s">
        <v>3957</v>
      </c>
      <c r="J876" s="190" t="s">
        <v>1743</v>
      </c>
    </row>
    <row r="877" customFormat="false" ht="14.25" hidden="false" customHeight="true" outlineLevel="0" collapsed="false">
      <c r="A877" s="190" t="s">
        <v>3958</v>
      </c>
      <c r="B877" s="190" t="s">
        <v>3959</v>
      </c>
      <c r="C877" s="190" t="s">
        <v>3960</v>
      </c>
      <c r="D877" s="190" t="n">
        <v>1</v>
      </c>
      <c r="E877" s="190" t="n">
        <v>1.1</v>
      </c>
      <c r="F877" s="190" t="n">
        <v>3</v>
      </c>
      <c r="G877" s="190" t="n">
        <v>3</v>
      </c>
      <c r="H877" s="190" t="s">
        <v>22</v>
      </c>
      <c r="I877" s="190" t="s">
        <v>3957</v>
      </c>
      <c r="J877" s="190" t="s">
        <v>1743</v>
      </c>
    </row>
    <row r="878" customFormat="false" ht="14.25" hidden="false" customHeight="true" outlineLevel="0" collapsed="false">
      <c r="A878" s="190" t="s">
        <v>3961</v>
      </c>
      <c r="B878" s="190" t="s">
        <v>3962</v>
      </c>
      <c r="C878" s="190" t="s">
        <v>3963</v>
      </c>
      <c r="D878" s="190" t="n">
        <v>1</v>
      </c>
      <c r="E878" s="190" t="n">
        <v>1.75</v>
      </c>
      <c r="F878" s="190" t="n">
        <v>3</v>
      </c>
      <c r="G878" s="190" t="n">
        <v>16.3</v>
      </c>
      <c r="H878" s="190" t="s">
        <v>22</v>
      </c>
      <c r="I878" s="190" t="s">
        <v>2036</v>
      </c>
      <c r="J878" s="190" t="s">
        <v>2934</v>
      </c>
    </row>
    <row r="879" customFormat="false" ht="14.25" hidden="false" customHeight="true" outlineLevel="0" collapsed="false">
      <c r="A879" s="190" t="s">
        <v>3964</v>
      </c>
      <c r="B879" s="190" t="s">
        <v>3965</v>
      </c>
      <c r="C879" s="190" t="s">
        <v>3966</v>
      </c>
      <c r="D879" s="190" t="n">
        <v>1</v>
      </c>
      <c r="E879" s="190" t="n">
        <v>1.75</v>
      </c>
      <c r="F879" s="190" t="n">
        <v>2</v>
      </c>
      <c r="G879" s="190" t="n">
        <v>3.52</v>
      </c>
      <c r="H879" s="190" t="s">
        <v>22</v>
      </c>
      <c r="I879" s="190" t="s">
        <v>2036</v>
      </c>
      <c r="J879" s="190" t="s">
        <v>2934</v>
      </c>
    </row>
    <row r="880" customFormat="false" ht="14.25" hidden="false" customHeight="true" outlineLevel="0" collapsed="false">
      <c r="A880" s="190" t="s">
        <v>3967</v>
      </c>
      <c r="B880" s="190" t="s">
        <v>3968</v>
      </c>
      <c r="C880" s="190" t="s">
        <v>3969</v>
      </c>
      <c r="D880" s="190" t="n">
        <v>1</v>
      </c>
      <c r="E880" s="190" t="n">
        <v>1.83</v>
      </c>
      <c r="F880" s="190" t="n">
        <v>1.83</v>
      </c>
      <c r="G880" s="190" t="n">
        <v>16.12</v>
      </c>
      <c r="H880" s="190" t="s">
        <v>22</v>
      </c>
      <c r="I880" s="190" t="s">
        <v>2036</v>
      </c>
      <c r="J880" s="190" t="s">
        <v>1736</v>
      </c>
    </row>
    <row r="881" customFormat="false" ht="14.25" hidden="false" customHeight="true" outlineLevel="0" collapsed="false">
      <c r="A881" s="190" t="s">
        <v>3970</v>
      </c>
      <c r="B881" s="190" t="s">
        <v>3971</v>
      </c>
      <c r="C881" s="190" t="s">
        <v>3972</v>
      </c>
      <c r="D881" s="190" t="n">
        <v>1</v>
      </c>
      <c r="E881" s="190" t="n">
        <v>1.83</v>
      </c>
      <c r="F881" s="190" t="n">
        <v>6.5</v>
      </c>
      <c r="G881" s="190" t="n">
        <v>4.8</v>
      </c>
      <c r="H881" s="190" t="s">
        <v>22</v>
      </c>
      <c r="I881" s="190" t="s">
        <v>2036</v>
      </c>
      <c r="J881" s="190" t="s">
        <v>1736</v>
      </c>
    </row>
    <row r="882" customFormat="false" ht="14.25" hidden="false" customHeight="true" outlineLevel="0" collapsed="false">
      <c r="A882" s="190" t="s">
        <v>3973</v>
      </c>
      <c r="B882" s="190" t="s">
        <v>3974</v>
      </c>
      <c r="C882" s="190" t="s">
        <v>3975</v>
      </c>
      <c r="D882" s="190" t="n">
        <v>1</v>
      </c>
      <c r="E882" s="190" t="n">
        <v>0.5</v>
      </c>
      <c r="F882" s="190" t="n">
        <v>1</v>
      </c>
      <c r="G882" s="190" t="n">
        <v>1</v>
      </c>
      <c r="H882" s="190" t="s">
        <v>22</v>
      </c>
      <c r="I882" s="190" t="s">
        <v>2036</v>
      </c>
      <c r="J882" s="190"/>
    </row>
    <row r="883" customFormat="false" ht="14.25" hidden="false" customHeight="true" outlineLevel="0" collapsed="false">
      <c r="A883" s="190" t="s">
        <v>3976</v>
      </c>
      <c r="B883" s="190" t="s">
        <v>3977</v>
      </c>
      <c r="C883" s="190" t="s">
        <v>3978</v>
      </c>
      <c r="D883" s="190" t="n">
        <v>1</v>
      </c>
      <c r="E883" s="190" t="n">
        <v>2.55</v>
      </c>
      <c r="F883" s="190" t="n">
        <v>13</v>
      </c>
      <c r="G883" s="190" t="n">
        <v>4.33</v>
      </c>
      <c r="H883" s="190" t="s">
        <v>22</v>
      </c>
      <c r="I883" s="190" t="s">
        <v>3979</v>
      </c>
      <c r="J883" s="190" t="s">
        <v>1736</v>
      </c>
    </row>
    <row r="884" customFormat="false" ht="14.25" hidden="false" customHeight="true" outlineLevel="0" collapsed="false">
      <c r="A884" s="190" t="s">
        <v>3980</v>
      </c>
      <c r="B884" s="190" t="s">
        <v>3981</v>
      </c>
      <c r="C884" s="190" t="s">
        <v>3982</v>
      </c>
      <c r="D884" s="190" t="n">
        <v>1</v>
      </c>
      <c r="E884" s="190" t="n">
        <v>2.55</v>
      </c>
      <c r="F884" s="190" t="n">
        <v>17</v>
      </c>
      <c r="G884" s="190" t="n">
        <v>4.77</v>
      </c>
      <c r="H884" s="190" t="s">
        <v>22</v>
      </c>
      <c r="I884" s="190" t="s">
        <v>3979</v>
      </c>
      <c r="J884" s="190" t="s">
        <v>1736</v>
      </c>
    </row>
    <row r="885" customFormat="false" ht="14.25" hidden="false" customHeight="true" outlineLevel="0" collapsed="false">
      <c r="A885" s="190" t="s">
        <v>3983</v>
      </c>
      <c r="B885" s="190" t="s">
        <v>3984</v>
      </c>
      <c r="C885" s="190" t="s">
        <v>3985</v>
      </c>
      <c r="D885" s="190" t="n">
        <v>1</v>
      </c>
      <c r="E885" s="190" t="n">
        <v>2.42</v>
      </c>
      <c r="F885" s="190" t="n">
        <v>1.25</v>
      </c>
      <c r="G885" s="190" t="n">
        <v>41.2</v>
      </c>
      <c r="H885" s="190" t="s">
        <v>22</v>
      </c>
      <c r="I885" s="190" t="s">
        <v>3979</v>
      </c>
      <c r="J885" s="190" t="s">
        <v>3361</v>
      </c>
    </row>
    <row r="886" customFormat="false" ht="14.25" hidden="false" customHeight="true" outlineLevel="0" collapsed="false">
      <c r="A886" s="190" t="s">
        <v>3986</v>
      </c>
      <c r="B886" s="190" t="s">
        <v>3987</v>
      </c>
      <c r="C886" s="190" t="s">
        <v>3988</v>
      </c>
      <c r="D886" s="190" t="n">
        <v>1</v>
      </c>
      <c r="E886" s="190" t="n">
        <v>2.42</v>
      </c>
      <c r="F886" s="190" t="n">
        <v>1.25</v>
      </c>
      <c r="G886" s="190" t="n">
        <v>41.5</v>
      </c>
      <c r="H886" s="190" t="s">
        <v>22</v>
      </c>
      <c r="I886" s="190" t="s">
        <v>3979</v>
      </c>
      <c r="J886" s="190" t="s">
        <v>3361</v>
      </c>
    </row>
    <row r="887" customFormat="false" ht="14.25" hidden="false" customHeight="true" outlineLevel="0" collapsed="false">
      <c r="A887" s="190" t="s">
        <v>3989</v>
      </c>
      <c r="B887" s="190" t="s">
        <v>3990</v>
      </c>
      <c r="C887" s="190" t="s">
        <v>3991</v>
      </c>
      <c r="D887" s="190" t="n">
        <v>1</v>
      </c>
      <c r="E887" s="190" t="n">
        <v>1.32</v>
      </c>
      <c r="F887" s="190" t="n">
        <v>1</v>
      </c>
      <c r="G887" s="190" t="n">
        <v>1</v>
      </c>
      <c r="H887" s="190" t="s">
        <v>22</v>
      </c>
      <c r="I887" s="190" t="s">
        <v>2043</v>
      </c>
      <c r="J887" s="190" t="s">
        <v>1816</v>
      </c>
    </row>
    <row r="888" customFormat="false" ht="14.25" hidden="false" customHeight="true" outlineLevel="0" collapsed="false">
      <c r="A888" s="190" t="s">
        <v>3992</v>
      </c>
      <c r="B888" s="190" t="s">
        <v>3993</v>
      </c>
      <c r="C888" s="190" t="s">
        <v>3994</v>
      </c>
      <c r="D888" s="190" t="n">
        <v>1</v>
      </c>
      <c r="E888" s="190" t="n">
        <v>1.32</v>
      </c>
      <c r="F888" s="190" t="n">
        <v>1</v>
      </c>
      <c r="G888" s="190" t="n">
        <v>1</v>
      </c>
      <c r="H888" s="190" t="s">
        <v>22</v>
      </c>
      <c r="I888" s="190" t="s">
        <v>2043</v>
      </c>
      <c r="J888" s="190" t="s">
        <v>1816</v>
      </c>
    </row>
    <row r="889" customFormat="false" ht="14.25" hidden="false" customHeight="true" outlineLevel="0" collapsed="false">
      <c r="A889" s="190" t="s">
        <v>3995</v>
      </c>
      <c r="B889" s="190" t="s">
        <v>3996</v>
      </c>
      <c r="C889" s="190" t="s">
        <v>3997</v>
      </c>
      <c r="D889" s="190" t="n">
        <v>1</v>
      </c>
      <c r="E889" s="190" t="n">
        <v>2.2</v>
      </c>
      <c r="F889" s="190" t="n">
        <v>13</v>
      </c>
      <c r="G889" s="190" t="n">
        <v>4.33</v>
      </c>
      <c r="H889" s="190" t="s">
        <v>22</v>
      </c>
      <c r="I889" s="190" t="s">
        <v>2043</v>
      </c>
      <c r="J889" s="190" t="s">
        <v>1736</v>
      </c>
    </row>
    <row r="890" customFormat="false" ht="14.25" hidden="false" customHeight="true" outlineLevel="0" collapsed="false">
      <c r="A890" s="190" t="s">
        <v>3998</v>
      </c>
      <c r="B890" s="190" t="s">
        <v>3999</v>
      </c>
      <c r="C890" s="190" t="s">
        <v>4000</v>
      </c>
      <c r="D890" s="190" t="n">
        <v>1</v>
      </c>
      <c r="E890" s="190" t="n">
        <v>2.2</v>
      </c>
      <c r="F890" s="190" t="n">
        <v>21</v>
      </c>
      <c r="G890" s="190" t="n">
        <v>4.75</v>
      </c>
      <c r="H890" s="190" t="s">
        <v>22</v>
      </c>
      <c r="I890" s="190" t="s">
        <v>2043</v>
      </c>
      <c r="J890" s="190" t="s">
        <v>1736</v>
      </c>
    </row>
    <row r="891" customFormat="false" ht="14.25" hidden="false" customHeight="true" outlineLevel="0" collapsed="false">
      <c r="A891" s="190" t="s">
        <v>4001</v>
      </c>
      <c r="B891" s="190" t="s">
        <v>4002</v>
      </c>
      <c r="C891" s="190" t="s">
        <v>4003</v>
      </c>
      <c r="D891" s="190" t="n">
        <v>1</v>
      </c>
      <c r="E891" s="190" t="n">
        <v>2.77</v>
      </c>
      <c r="F891" s="190" t="n">
        <v>1.42</v>
      </c>
      <c r="G891" s="190" t="n">
        <v>40.9</v>
      </c>
      <c r="H891" s="190" t="s">
        <v>22</v>
      </c>
      <c r="I891" s="190" t="s">
        <v>2043</v>
      </c>
      <c r="J891" s="190" t="s">
        <v>3361</v>
      </c>
    </row>
    <row r="892" customFormat="false" ht="14.25" hidden="false" customHeight="true" outlineLevel="0" collapsed="false">
      <c r="A892" s="190" t="s">
        <v>4004</v>
      </c>
      <c r="B892" s="190" t="s">
        <v>4005</v>
      </c>
      <c r="C892" s="190" t="s">
        <v>4006</v>
      </c>
      <c r="D892" s="190" t="n">
        <v>1</v>
      </c>
      <c r="E892" s="190" t="n">
        <v>2.77</v>
      </c>
      <c r="F892" s="190" t="n">
        <v>1.25</v>
      </c>
      <c r="G892" s="190" t="n">
        <v>41.2</v>
      </c>
      <c r="H892" s="190" t="s">
        <v>22</v>
      </c>
      <c r="I892" s="190" t="s">
        <v>2043</v>
      </c>
      <c r="J892" s="190" t="s">
        <v>3361</v>
      </c>
    </row>
    <row r="893" customFormat="false" ht="14.25" hidden="false" customHeight="true" outlineLevel="0" collapsed="false">
      <c r="A893" s="190" t="s">
        <v>4007</v>
      </c>
      <c r="B893" s="190" t="s">
        <v>4008</v>
      </c>
      <c r="C893" s="190" t="s">
        <v>4009</v>
      </c>
      <c r="D893" s="190" t="n">
        <v>1</v>
      </c>
      <c r="E893" s="190" t="n">
        <v>2</v>
      </c>
      <c r="F893" s="190" t="n">
        <v>9</v>
      </c>
      <c r="G893" s="190" t="n">
        <v>4.02</v>
      </c>
      <c r="H893" s="190" t="s">
        <v>22</v>
      </c>
      <c r="I893" s="190" t="n">
        <v>72</v>
      </c>
      <c r="J893" s="190" t="s">
        <v>1831</v>
      </c>
    </row>
    <row r="894" customFormat="false" ht="14.25" hidden="false" customHeight="true" outlineLevel="0" collapsed="false">
      <c r="A894" s="190" t="s">
        <v>4010</v>
      </c>
      <c r="B894" s="190" t="s">
        <v>4011</v>
      </c>
      <c r="C894" s="190" t="s">
        <v>4012</v>
      </c>
      <c r="D894" s="190" t="n">
        <v>1</v>
      </c>
      <c r="E894" s="190" t="n">
        <v>2</v>
      </c>
      <c r="F894" s="190" t="n">
        <v>9</v>
      </c>
      <c r="G894" s="190" t="n">
        <v>4.02</v>
      </c>
      <c r="H894" s="190" t="s">
        <v>22</v>
      </c>
      <c r="I894" s="190" t="n">
        <v>72</v>
      </c>
      <c r="J894" s="190" t="s">
        <v>1831</v>
      </c>
    </row>
    <row r="895" customFormat="false" ht="14.25" hidden="false" customHeight="true" outlineLevel="0" collapsed="false">
      <c r="A895" s="190" t="s">
        <v>4013</v>
      </c>
      <c r="B895" s="190" t="s">
        <v>4014</v>
      </c>
      <c r="C895" s="190" t="s">
        <v>4015</v>
      </c>
      <c r="D895" s="190" t="n">
        <v>1</v>
      </c>
      <c r="E895" s="190" t="n">
        <v>0.98</v>
      </c>
      <c r="F895" s="190" t="n">
        <v>8.17</v>
      </c>
      <c r="G895" s="190" t="n">
        <v>329.8</v>
      </c>
      <c r="H895" s="190" t="s">
        <v>22</v>
      </c>
      <c r="I895" s="190" t="s">
        <v>2057</v>
      </c>
      <c r="J895" s="190" t="s">
        <v>1736</v>
      </c>
    </row>
    <row r="896" customFormat="false" ht="14.25" hidden="false" customHeight="true" outlineLevel="0" collapsed="false">
      <c r="A896" s="190" t="s">
        <v>4016</v>
      </c>
      <c r="B896" s="190" t="s">
        <v>4017</v>
      </c>
      <c r="C896" s="190" t="s">
        <v>4018</v>
      </c>
      <c r="D896" s="190" t="n">
        <v>1</v>
      </c>
      <c r="E896" s="190" t="n">
        <v>0.98</v>
      </c>
      <c r="F896" s="190" t="n">
        <v>14.17</v>
      </c>
      <c r="G896" s="190" t="n">
        <v>332.1</v>
      </c>
      <c r="H896" s="190" t="s">
        <v>22</v>
      </c>
      <c r="I896" s="190" t="s">
        <v>2057</v>
      </c>
      <c r="J896" s="190" t="s">
        <v>1736</v>
      </c>
    </row>
    <row r="897" customFormat="false" ht="14.25" hidden="false" customHeight="true" outlineLevel="0" collapsed="false">
      <c r="A897" s="190" t="s">
        <v>4019</v>
      </c>
      <c r="B897" s="190" t="s">
        <v>4020</v>
      </c>
      <c r="C897" s="190" t="s">
        <v>4021</v>
      </c>
      <c r="D897" s="190" t="n">
        <v>1</v>
      </c>
      <c r="E897" s="190" t="n">
        <v>0.87</v>
      </c>
      <c r="F897" s="190" t="n">
        <v>4</v>
      </c>
      <c r="G897" s="190" t="n">
        <v>16</v>
      </c>
      <c r="H897" s="190" t="s">
        <v>22</v>
      </c>
      <c r="I897" s="190" t="s">
        <v>4022</v>
      </c>
      <c r="J897" s="190" t="s">
        <v>1736</v>
      </c>
    </row>
    <row r="898" customFormat="false" ht="14.25" hidden="false" customHeight="true" outlineLevel="0" collapsed="false">
      <c r="A898" s="190" t="s">
        <v>4023</v>
      </c>
      <c r="B898" s="190" t="s">
        <v>4024</v>
      </c>
      <c r="C898" s="190" t="s">
        <v>4025</v>
      </c>
      <c r="D898" s="190" t="n">
        <v>1</v>
      </c>
      <c r="E898" s="190" t="n">
        <v>0.87</v>
      </c>
      <c r="F898" s="190" t="n">
        <v>10.33</v>
      </c>
      <c r="G898" s="190" t="n">
        <v>4.38</v>
      </c>
      <c r="H898" s="190" t="s">
        <v>22</v>
      </c>
      <c r="I898" s="190" t="s">
        <v>4022</v>
      </c>
      <c r="J898" s="190" t="s">
        <v>1736</v>
      </c>
    </row>
    <row r="899" customFormat="false" ht="14.25" hidden="false" customHeight="true" outlineLevel="0" collapsed="false">
      <c r="A899" s="190" t="s">
        <v>4026</v>
      </c>
      <c r="B899" s="190" t="s">
        <v>4027</v>
      </c>
      <c r="C899" s="190" t="s">
        <v>4028</v>
      </c>
      <c r="D899" s="190" t="n">
        <v>1</v>
      </c>
      <c r="E899" s="190" t="n">
        <v>0.87</v>
      </c>
      <c r="F899" s="190" t="n">
        <v>14.5</v>
      </c>
      <c r="G899" s="190" t="n">
        <v>5.97</v>
      </c>
      <c r="H899" s="190" t="s">
        <v>22</v>
      </c>
      <c r="I899" s="190" t="s">
        <v>4029</v>
      </c>
      <c r="J899" s="190" t="s">
        <v>1743</v>
      </c>
    </row>
    <row r="900" customFormat="false" ht="14.25" hidden="false" customHeight="true" outlineLevel="0" collapsed="false">
      <c r="A900" s="190" t="s">
        <v>4030</v>
      </c>
      <c r="B900" s="190" t="s">
        <v>4031</v>
      </c>
      <c r="C900" s="190" t="s">
        <v>4032</v>
      </c>
      <c r="D900" s="190" t="n">
        <v>1</v>
      </c>
      <c r="E900" s="190" t="n">
        <v>0.87</v>
      </c>
      <c r="F900" s="190" t="n">
        <v>14.5</v>
      </c>
      <c r="G900" s="190" t="n">
        <v>5.97</v>
      </c>
      <c r="H900" s="190" t="s">
        <v>22</v>
      </c>
      <c r="I900" s="190" t="s">
        <v>4029</v>
      </c>
      <c r="J900" s="190" t="s">
        <v>1743</v>
      </c>
    </row>
    <row r="901" customFormat="false" ht="14.25" hidden="false" customHeight="true" outlineLevel="0" collapsed="false">
      <c r="A901" s="190" t="s">
        <v>4033</v>
      </c>
      <c r="B901" s="190" t="s">
        <v>4034</v>
      </c>
      <c r="C901" s="190" t="s">
        <v>4035</v>
      </c>
      <c r="D901" s="190" t="n">
        <v>1</v>
      </c>
      <c r="E901" s="190" t="n">
        <v>1.42</v>
      </c>
      <c r="F901" s="190" t="n">
        <v>8.17</v>
      </c>
      <c r="G901" s="190" t="n">
        <v>329.8</v>
      </c>
      <c r="H901" s="190" t="s">
        <v>22</v>
      </c>
      <c r="I901" s="190" t="s">
        <v>4029</v>
      </c>
      <c r="J901" s="190" t="s">
        <v>1736</v>
      </c>
    </row>
    <row r="902" customFormat="false" ht="14.25" hidden="false" customHeight="true" outlineLevel="0" collapsed="false">
      <c r="A902" s="190" t="s">
        <v>4036</v>
      </c>
      <c r="B902" s="190" t="s">
        <v>4037</v>
      </c>
      <c r="C902" s="190" t="s">
        <v>4038</v>
      </c>
      <c r="D902" s="190" t="n">
        <v>1</v>
      </c>
      <c r="E902" s="190" t="n">
        <v>1.42</v>
      </c>
      <c r="F902" s="190" t="n">
        <v>15.17</v>
      </c>
      <c r="G902" s="190" t="n">
        <v>329.8</v>
      </c>
      <c r="H902" s="190" t="s">
        <v>22</v>
      </c>
      <c r="I902" s="190" t="s">
        <v>4029</v>
      </c>
      <c r="J902" s="190" t="s">
        <v>1736</v>
      </c>
    </row>
    <row r="903" customFormat="false" ht="14.25" hidden="false" customHeight="true" outlineLevel="0" collapsed="false">
      <c r="A903" s="190" t="s">
        <v>4039</v>
      </c>
      <c r="B903" s="190" t="s">
        <v>4040</v>
      </c>
      <c r="C903" s="190" t="s">
        <v>4041</v>
      </c>
      <c r="D903" s="190" t="n">
        <v>1</v>
      </c>
      <c r="E903" s="190" t="n">
        <v>1.32</v>
      </c>
      <c r="F903" s="190" t="n">
        <v>13.75</v>
      </c>
      <c r="G903" s="190" t="n">
        <v>453.7</v>
      </c>
      <c r="H903" s="190" t="s">
        <v>22</v>
      </c>
      <c r="I903" s="190" t="s">
        <v>2057</v>
      </c>
      <c r="J903" s="190" t="s">
        <v>1723</v>
      </c>
    </row>
    <row r="904" customFormat="false" ht="14.25" hidden="false" customHeight="true" outlineLevel="0" collapsed="false">
      <c r="A904" s="190" t="s">
        <v>4042</v>
      </c>
      <c r="B904" s="190" t="s">
        <v>4043</v>
      </c>
      <c r="C904" s="190" t="s">
        <v>4044</v>
      </c>
      <c r="D904" s="190" t="n">
        <v>1</v>
      </c>
      <c r="E904" s="190" t="n">
        <v>12.47</v>
      </c>
      <c r="F904" s="190" t="n">
        <v>1.33</v>
      </c>
      <c r="G904" s="190" t="n">
        <v>1</v>
      </c>
      <c r="H904" s="190" t="s">
        <v>22</v>
      </c>
      <c r="I904" s="190" t="s">
        <v>146</v>
      </c>
      <c r="J904" s="190" t="s">
        <v>1816</v>
      </c>
    </row>
    <row r="905" customFormat="false" ht="14.25" hidden="false" customHeight="true" outlineLevel="0" collapsed="false">
      <c r="A905" s="190" t="s">
        <v>4045</v>
      </c>
      <c r="B905" s="190" t="s">
        <v>4046</v>
      </c>
      <c r="C905" s="190" t="s">
        <v>4047</v>
      </c>
      <c r="D905" s="190" t="n">
        <v>1</v>
      </c>
      <c r="E905" s="190" t="n">
        <v>0.87</v>
      </c>
      <c r="F905" s="190" t="n">
        <v>1</v>
      </c>
      <c r="G905" s="190" t="n">
        <v>1</v>
      </c>
      <c r="H905" s="190" t="s">
        <v>22</v>
      </c>
      <c r="I905" s="190" t="s">
        <v>146</v>
      </c>
      <c r="J905" s="190" t="s">
        <v>1816</v>
      </c>
    </row>
    <row r="906" customFormat="false" ht="14.25" hidden="false" customHeight="true" outlineLevel="0" collapsed="false">
      <c r="A906" s="190" t="s">
        <v>4048</v>
      </c>
      <c r="B906" s="190" t="s">
        <v>4049</v>
      </c>
      <c r="C906" s="190" t="s">
        <v>4050</v>
      </c>
      <c r="D906" s="190" t="n">
        <v>1</v>
      </c>
      <c r="E906" s="190" t="n">
        <v>0.43</v>
      </c>
      <c r="F906" s="190" t="n">
        <v>0.25</v>
      </c>
      <c r="G906" s="190" t="n">
        <v>0.25</v>
      </c>
      <c r="H906" s="190" t="s">
        <v>22</v>
      </c>
      <c r="I906" s="190" t="s">
        <v>146</v>
      </c>
      <c r="J906" s="190" t="s">
        <v>2934</v>
      </c>
    </row>
    <row r="907" customFormat="false" ht="14.25" hidden="false" customHeight="true" outlineLevel="0" collapsed="false">
      <c r="A907" s="190" t="s">
        <v>4051</v>
      </c>
      <c r="B907" s="190" t="s">
        <v>4052</v>
      </c>
      <c r="C907" s="190" t="s">
        <v>4053</v>
      </c>
      <c r="D907" s="190" t="n">
        <v>1</v>
      </c>
      <c r="E907" s="190" t="n">
        <v>0.43</v>
      </c>
      <c r="F907" s="190" t="n">
        <v>0.25</v>
      </c>
      <c r="G907" s="190" t="n">
        <v>0.25</v>
      </c>
      <c r="H907" s="190" t="s">
        <v>22</v>
      </c>
      <c r="I907" s="190" t="s">
        <v>146</v>
      </c>
      <c r="J907" s="190" t="s">
        <v>2934</v>
      </c>
    </row>
    <row r="908" customFormat="false" ht="14.25" hidden="false" customHeight="true" outlineLevel="0" collapsed="false">
      <c r="A908" s="190" t="s">
        <v>4054</v>
      </c>
      <c r="B908" s="190" t="s">
        <v>4055</v>
      </c>
      <c r="C908" s="190" t="s">
        <v>4056</v>
      </c>
      <c r="D908" s="190" t="n">
        <v>1</v>
      </c>
      <c r="E908" s="190" t="n">
        <v>0.43</v>
      </c>
      <c r="F908" s="190" t="n">
        <v>0.08</v>
      </c>
      <c r="G908" s="190" t="n">
        <v>0.08</v>
      </c>
      <c r="H908" s="190" t="s">
        <v>22</v>
      </c>
      <c r="I908" s="190" t="s">
        <v>146</v>
      </c>
      <c r="J908" s="190" t="s">
        <v>2934</v>
      </c>
    </row>
    <row r="909" customFormat="false" ht="14.25" hidden="false" customHeight="true" outlineLevel="0" collapsed="false">
      <c r="A909" s="190" t="s">
        <v>4057</v>
      </c>
      <c r="B909" s="190" t="s">
        <v>4058</v>
      </c>
      <c r="C909" s="190" t="s">
        <v>4059</v>
      </c>
      <c r="D909" s="190" t="n">
        <v>1</v>
      </c>
      <c r="E909" s="190" t="n">
        <v>75.7</v>
      </c>
      <c r="F909" s="190" t="n">
        <v>0.5</v>
      </c>
      <c r="G909" s="190" t="n">
        <v>0.5</v>
      </c>
      <c r="H909" s="190" t="s">
        <v>22</v>
      </c>
      <c r="I909" s="190" t="s">
        <v>146</v>
      </c>
      <c r="J909" s="190" t="s">
        <v>2934</v>
      </c>
    </row>
    <row r="910" customFormat="false" ht="14.25" hidden="false" customHeight="true" outlineLevel="0" collapsed="false">
      <c r="A910" s="190" t="s">
        <v>4060</v>
      </c>
      <c r="B910" s="190" t="s">
        <v>4061</v>
      </c>
      <c r="C910" s="190" t="s">
        <v>4062</v>
      </c>
      <c r="D910" s="190" t="n">
        <v>1</v>
      </c>
      <c r="E910" s="190" t="n">
        <v>1.1</v>
      </c>
      <c r="F910" s="190" t="n">
        <v>8.33</v>
      </c>
      <c r="G910" s="190" t="n">
        <v>17.13</v>
      </c>
      <c r="H910" s="190" t="s">
        <v>22</v>
      </c>
      <c r="I910" s="190" t="s">
        <v>146</v>
      </c>
      <c r="J910" s="190" t="s">
        <v>2934</v>
      </c>
    </row>
    <row r="911" customFormat="false" ht="14.25" hidden="false" customHeight="true" outlineLevel="0" collapsed="false">
      <c r="A911" s="190" t="s">
        <v>4063</v>
      </c>
      <c r="B911" s="190" t="s">
        <v>4064</v>
      </c>
      <c r="C911" s="190" t="s">
        <v>4065</v>
      </c>
      <c r="D911" s="190" t="n">
        <v>1</v>
      </c>
      <c r="E911" s="190" t="n">
        <v>0.43</v>
      </c>
      <c r="F911" s="190" t="n">
        <v>8</v>
      </c>
      <c r="G911" s="190" t="n">
        <v>49.7</v>
      </c>
      <c r="H911" s="190" t="s">
        <v>22</v>
      </c>
      <c r="I911" s="190" t="s">
        <v>3165</v>
      </c>
      <c r="J911" s="190" t="s">
        <v>2934</v>
      </c>
    </row>
    <row r="912" customFormat="false" ht="14.25" hidden="false" customHeight="true" outlineLevel="0" collapsed="false">
      <c r="A912" s="190" t="s">
        <v>4066</v>
      </c>
      <c r="B912" s="190" t="s">
        <v>4067</v>
      </c>
      <c r="C912" s="190" t="s">
        <v>4068</v>
      </c>
      <c r="D912" s="190" t="n">
        <v>1</v>
      </c>
      <c r="E912" s="190" t="n">
        <v>1.32</v>
      </c>
      <c r="F912" s="190" t="n">
        <v>0.75</v>
      </c>
      <c r="G912" s="190" t="n">
        <v>0.75</v>
      </c>
      <c r="H912" s="190" t="s">
        <v>22</v>
      </c>
      <c r="I912" s="190" t="s">
        <v>3165</v>
      </c>
      <c r="J912" s="190" t="s">
        <v>2934</v>
      </c>
    </row>
    <row r="913" customFormat="false" ht="14.25" hidden="false" customHeight="true" outlineLevel="0" collapsed="false">
      <c r="A913" s="190" t="s">
        <v>4069</v>
      </c>
      <c r="B913" s="190" t="s">
        <v>4070</v>
      </c>
      <c r="C913" s="190" t="s">
        <v>4071</v>
      </c>
      <c r="D913" s="190" t="n">
        <v>1</v>
      </c>
      <c r="E913" s="190" t="n">
        <v>0.87</v>
      </c>
      <c r="F913" s="190" t="n">
        <v>46.8</v>
      </c>
      <c r="G913" s="190" t="n">
        <v>5.2</v>
      </c>
      <c r="H913" s="190" t="s">
        <v>22</v>
      </c>
      <c r="I913" s="190" t="s">
        <v>3165</v>
      </c>
      <c r="J913" s="190" t="s">
        <v>2934</v>
      </c>
    </row>
    <row r="914" customFormat="false" ht="14.25" hidden="false" customHeight="true" outlineLevel="0" collapsed="false">
      <c r="A914" s="190" t="s">
        <v>4072</v>
      </c>
      <c r="B914" s="190" t="s">
        <v>4073</v>
      </c>
      <c r="C914" s="190" t="s">
        <v>4074</v>
      </c>
      <c r="D914" s="190" t="n">
        <v>1</v>
      </c>
      <c r="E914" s="190" t="n">
        <v>0.38</v>
      </c>
      <c r="F914" s="190" t="n">
        <v>1.83</v>
      </c>
      <c r="G914" s="190" t="n">
        <v>1.02</v>
      </c>
      <c r="H914" s="190" t="s">
        <v>22</v>
      </c>
      <c r="I914" s="190" t="s">
        <v>2538</v>
      </c>
      <c r="J914" s="190" t="s">
        <v>2934</v>
      </c>
    </row>
    <row r="915" customFormat="false" ht="14.25" hidden="false" customHeight="true" outlineLevel="0" collapsed="false">
      <c r="A915" s="190" t="s">
        <v>4075</v>
      </c>
      <c r="B915" s="190" t="s">
        <v>4076</v>
      </c>
      <c r="C915" s="190" t="s">
        <v>4077</v>
      </c>
      <c r="D915" s="190" t="n">
        <v>1</v>
      </c>
      <c r="E915" s="190" t="n">
        <v>0.38</v>
      </c>
      <c r="F915" s="190" t="n">
        <v>2</v>
      </c>
      <c r="G915" s="190" t="n">
        <v>1.07</v>
      </c>
      <c r="H915" s="190" t="s">
        <v>22</v>
      </c>
      <c r="I915" s="190" t="s">
        <v>2538</v>
      </c>
      <c r="J915" s="190" t="s">
        <v>2934</v>
      </c>
    </row>
    <row r="916" customFormat="false" ht="14.25" hidden="false" customHeight="true" outlineLevel="0" collapsed="false">
      <c r="A916" s="190" t="s">
        <v>4078</v>
      </c>
      <c r="B916" s="190" t="s">
        <v>4079</v>
      </c>
      <c r="C916" s="190" t="s">
        <v>4080</v>
      </c>
      <c r="D916" s="190" t="n">
        <v>1</v>
      </c>
      <c r="E916" s="190" t="n">
        <v>0.87</v>
      </c>
      <c r="F916" s="190" t="n">
        <v>1</v>
      </c>
      <c r="G916" s="190" t="n">
        <v>1</v>
      </c>
      <c r="H916" s="190" t="s">
        <v>22</v>
      </c>
      <c r="I916" s="190" t="s">
        <v>2538</v>
      </c>
      <c r="J916" s="190" t="s">
        <v>2934</v>
      </c>
    </row>
    <row r="917" customFormat="false" ht="14.25" hidden="false" customHeight="true" outlineLevel="0" collapsed="false">
      <c r="A917" s="190" t="s">
        <v>4081</v>
      </c>
      <c r="B917" s="190" t="s">
        <v>4082</v>
      </c>
      <c r="C917" s="190" t="s">
        <v>4083</v>
      </c>
      <c r="D917" s="190" t="n">
        <v>1</v>
      </c>
      <c r="E917" s="190" t="n">
        <v>0.87</v>
      </c>
      <c r="F917" s="190" t="n">
        <v>1</v>
      </c>
      <c r="G917" s="190" t="n">
        <v>1</v>
      </c>
      <c r="H917" s="190" t="s">
        <v>22</v>
      </c>
      <c r="I917" s="190" t="s">
        <v>2538</v>
      </c>
      <c r="J917" s="190" t="s">
        <v>2934</v>
      </c>
    </row>
    <row r="918" customFormat="false" ht="14.25" hidden="false" customHeight="true" outlineLevel="0" collapsed="false">
      <c r="A918" s="190" t="s">
        <v>4084</v>
      </c>
      <c r="B918" s="190" t="s">
        <v>4085</v>
      </c>
      <c r="C918" s="190" t="s">
        <v>4086</v>
      </c>
      <c r="D918" s="190" t="n">
        <v>1</v>
      </c>
      <c r="E918" s="190" t="n">
        <v>0.87</v>
      </c>
      <c r="F918" s="190" t="n">
        <v>7.5</v>
      </c>
      <c r="G918" s="190" t="n">
        <v>62.7</v>
      </c>
      <c r="H918" s="190" t="s">
        <v>22</v>
      </c>
      <c r="I918" s="190" t="s">
        <v>2538</v>
      </c>
      <c r="J918" s="190" t="s">
        <v>1736</v>
      </c>
    </row>
    <row r="919" customFormat="false" ht="14.25" hidden="false" customHeight="true" outlineLevel="0" collapsed="false">
      <c r="A919" s="190" t="s">
        <v>4087</v>
      </c>
      <c r="B919" s="190" t="s">
        <v>4088</v>
      </c>
      <c r="C919" s="190" t="s">
        <v>4089</v>
      </c>
      <c r="D919" s="190" t="n">
        <v>1</v>
      </c>
      <c r="E919" s="190" t="n">
        <v>0.87</v>
      </c>
      <c r="F919" s="190" t="n">
        <v>12</v>
      </c>
      <c r="G919" s="190" t="n">
        <v>50.6</v>
      </c>
      <c r="H919" s="190" t="s">
        <v>22</v>
      </c>
      <c r="I919" s="190" t="s">
        <v>2538</v>
      </c>
      <c r="J919" s="190" t="s">
        <v>1736</v>
      </c>
    </row>
    <row r="920" customFormat="false" ht="14.25" hidden="false" customHeight="true" outlineLevel="0" collapsed="false">
      <c r="A920" s="190" t="s">
        <v>4090</v>
      </c>
      <c r="B920" s="190" t="s">
        <v>4091</v>
      </c>
      <c r="C920" s="190" t="s">
        <v>4092</v>
      </c>
      <c r="D920" s="190" t="n">
        <v>1</v>
      </c>
      <c r="E920" s="190" t="n">
        <v>0.87</v>
      </c>
      <c r="F920" s="190" t="n">
        <v>1</v>
      </c>
      <c r="G920" s="190" t="n">
        <v>1</v>
      </c>
      <c r="H920" s="190" t="s">
        <v>22</v>
      </c>
      <c r="I920" s="190" t="s">
        <v>2538</v>
      </c>
      <c r="J920" s="190" t="s">
        <v>2934</v>
      </c>
    </row>
    <row r="921" customFormat="false" ht="14.25" hidden="false" customHeight="true" outlineLevel="0" collapsed="false">
      <c r="A921" s="190" t="s">
        <v>4093</v>
      </c>
      <c r="B921" s="190" t="s">
        <v>4094</v>
      </c>
      <c r="C921" s="190" t="s">
        <v>4095</v>
      </c>
      <c r="D921" s="190" t="n">
        <v>1</v>
      </c>
      <c r="E921" s="190" t="n">
        <v>0.87</v>
      </c>
      <c r="F921" s="190" t="n">
        <v>1</v>
      </c>
      <c r="G921" s="190" t="n">
        <v>1</v>
      </c>
      <c r="H921" s="190" t="s">
        <v>22</v>
      </c>
      <c r="I921" s="190" t="s">
        <v>2538</v>
      </c>
      <c r="J921" s="190" t="s">
        <v>2934</v>
      </c>
    </row>
    <row r="922" customFormat="false" ht="14.25" hidden="false" customHeight="true" outlineLevel="0" collapsed="false">
      <c r="A922" s="190" t="s">
        <v>4096</v>
      </c>
      <c r="B922" s="190" t="s">
        <v>4097</v>
      </c>
      <c r="C922" s="190" t="s">
        <v>4098</v>
      </c>
      <c r="D922" s="190" t="n">
        <v>1</v>
      </c>
      <c r="E922" s="190" t="n">
        <v>0.65</v>
      </c>
      <c r="F922" s="190" t="n">
        <v>0.83</v>
      </c>
      <c r="G922" s="190" t="n">
        <v>0.6</v>
      </c>
      <c r="H922" s="190" t="s">
        <v>22</v>
      </c>
      <c r="I922" s="190" t="s">
        <v>2538</v>
      </c>
      <c r="J922" s="190" t="s">
        <v>2934</v>
      </c>
    </row>
    <row r="923" customFormat="false" ht="14.25" hidden="false" customHeight="true" outlineLevel="0" collapsed="false">
      <c r="A923" s="190" t="s">
        <v>4099</v>
      </c>
      <c r="B923" s="190" t="s">
        <v>4100</v>
      </c>
      <c r="C923" s="190" t="s">
        <v>4101</v>
      </c>
      <c r="D923" s="190" t="n">
        <v>1</v>
      </c>
      <c r="E923" s="190" t="n">
        <v>0.65</v>
      </c>
      <c r="F923" s="190" t="n">
        <v>1.17</v>
      </c>
      <c r="G923" s="190" t="n">
        <v>0.98</v>
      </c>
      <c r="H923" s="190" t="s">
        <v>22</v>
      </c>
      <c r="I923" s="190" t="s">
        <v>2538</v>
      </c>
      <c r="J923" s="190" t="s">
        <v>2934</v>
      </c>
    </row>
    <row r="924" customFormat="false" ht="14.25" hidden="false" customHeight="true" outlineLevel="0" collapsed="false">
      <c r="A924" s="190" t="s">
        <v>4102</v>
      </c>
      <c r="B924" s="190" t="s">
        <v>4103</v>
      </c>
      <c r="C924" s="190" t="s">
        <v>4104</v>
      </c>
      <c r="D924" s="190" t="n">
        <v>1</v>
      </c>
      <c r="E924" s="190" t="n">
        <v>1.4</v>
      </c>
      <c r="F924" s="190" t="n">
        <v>1</v>
      </c>
      <c r="G924" s="190" t="n">
        <v>1</v>
      </c>
      <c r="H924" s="190" t="s">
        <v>22</v>
      </c>
      <c r="I924" s="190" t="s">
        <v>2363</v>
      </c>
      <c r="J924" s="190" t="s">
        <v>2934</v>
      </c>
    </row>
    <row r="925" customFormat="false" ht="14.25" hidden="false" customHeight="true" outlineLevel="0" collapsed="false">
      <c r="A925" s="190" t="s">
        <v>4105</v>
      </c>
      <c r="B925" s="190" t="s">
        <v>4106</v>
      </c>
      <c r="C925" s="190" t="s">
        <v>4107</v>
      </c>
      <c r="D925" s="190" t="n">
        <v>1</v>
      </c>
      <c r="E925" s="190" t="n">
        <v>1.4</v>
      </c>
      <c r="F925" s="190" t="n">
        <v>1</v>
      </c>
      <c r="G925" s="190" t="n">
        <v>1</v>
      </c>
      <c r="H925" s="190" t="s">
        <v>22</v>
      </c>
      <c r="I925" s="190" t="s">
        <v>2363</v>
      </c>
      <c r="J925" s="190" t="s">
        <v>2934</v>
      </c>
    </row>
    <row r="926" customFormat="false" ht="14.25" hidden="false" customHeight="true" outlineLevel="0" collapsed="false">
      <c r="A926" s="190" t="s">
        <v>4108</v>
      </c>
      <c r="B926" s="190" t="s">
        <v>4109</v>
      </c>
      <c r="C926" s="190" t="s">
        <v>4110</v>
      </c>
      <c r="D926" s="190" t="n">
        <v>1</v>
      </c>
      <c r="E926" s="190" t="n">
        <v>1.4</v>
      </c>
      <c r="F926" s="190" t="n">
        <v>1.25</v>
      </c>
      <c r="G926" s="190" t="n">
        <v>49.9</v>
      </c>
      <c r="H926" s="190" t="s">
        <v>22</v>
      </c>
      <c r="I926" s="190" t="s">
        <v>2363</v>
      </c>
      <c r="J926" s="190" t="s">
        <v>2934</v>
      </c>
    </row>
    <row r="927" customFormat="false" ht="14.25" hidden="false" customHeight="true" outlineLevel="0" collapsed="false">
      <c r="A927" s="190" t="s">
        <v>4111</v>
      </c>
      <c r="B927" s="190" t="s">
        <v>4112</v>
      </c>
      <c r="C927" s="190" t="s">
        <v>4113</v>
      </c>
      <c r="D927" s="190" t="n">
        <v>1</v>
      </c>
      <c r="E927" s="190" t="n">
        <v>1.4</v>
      </c>
      <c r="F927" s="190" t="n">
        <v>1.5</v>
      </c>
      <c r="G927" s="190" t="n">
        <v>2.35</v>
      </c>
      <c r="H927" s="190" t="s">
        <v>22</v>
      </c>
      <c r="I927" s="190" t="s">
        <v>2363</v>
      </c>
      <c r="J927" s="190" t="s">
        <v>2934</v>
      </c>
    </row>
    <row r="928" customFormat="false" ht="14.25" hidden="false" customHeight="true" outlineLevel="0" collapsed="false">
      <c r="A928" s="190" t="s">
        <v>4114</v>
      </c>
      <c r="B928" s="190" t="s">
        <v>4115</v>
      </c>
      <c r="C928" s="190" t="s">
        <v>4116</v>
      </c>
      <c r="D928" s="190" t="n">
        <v>1</v>
      </c>
      <c r="E928" s="190" t="n">
        <v>0.43</v>
      </c>
      <c r="F928" s="190" t="n">
        <v>0.5</v>
      </c>
      <c r="G928" s="190" t="n">
        <v>0.5</v>
      </c>
      <c r="H928" s="190" t="s">
        <v>22</v>
      </c>
      <c r="I928" s="190" t="s">
        <v>4117</v>
      </c>
      <c r="J928" s="190" t="s">
        <v>3882</v>
      </c>
    </row>
    <row r="929" customFormat="false" ht="14.25" hidden="false" customHeight="true" outlineLevel="0" collapsed="false">
      <c r="A929" s="190" t="s">
        <v>4118</v>
      </c>
      <c r="B929" s="190" t="s">
        <v>4119</v>
      </c>
      <c r="C929" s="190" t="s">
        <v>4120</v>
      </c>
      <c r="D929" s="190" t="n">
        <v>1</v>
      </c>
      <c r="E929" s="190" t="n">
        <v>0.22</v>
      </c>
      <c r="F929" s="190" t="n">
        <v>0.25</v>
      </c>
      <c r="G929" s="190" t="n">
        <v>0.25</v>
      </c>
      <c r="H929" s="190" t="s">
        <v>22</v>
      </c>
      <c r="I929" s="190" t="s">
        <v>158</v>
      </c>
      <c r="J929" s="190" t="s">
        <v>1816</v>
      </c>
    </row>
    <row r="930" customFormat="false" ht="14.25" hidden="false" customHeight="true" outlineLevel="0" collapsed="false">
      <c r="A930" s="190" t="s">
        <v>4121</v>
      </c>
      <c r="B930" s="190" t="s">
        <v>4122</v>
      </c>
      <c r="C930" s="190" t="s">
        <v>4123</v>
      </c>
      <c r="D930" s="190" t="n">
        <v>1</v>
      </c>
      <c r="E930" s="190" t="n">
        <v>0.22</v>
      </c>
      <c r="F930" s="190" t="n">
        <v>0.65</v>
      </c>
      <c r="G930" s="190" t="n">
        <v>0.65</v>
      </c>
      <c r="H930" s="190" t="s">
        <v>22</v>
      </c>
      <c r="I930" s="190" t="s">
        <v>158</v>
      </c>
      <c r="J930" s="190" t="s">
        <v>1816</v>
      </c>
    </row>
    <row r="931" customFormat="false" ht="14.25" hidden="false" customHeight="true" outlineLevel="0" collapsed="false">
      <c r="A931" s="190" t="s">
        <v>4124</v>
      </c>
      <c r="B931" s="190" t="s">
        <v>4125</v>
      </c>
      <c r="C931" s="190" t="s">
        <v>4126</v>
      </c>
      <c r="D931" s="190" t="n">
        <v>1</v>
      </c>
      <c r="E931" s="190" t="n">
        <v>0.43</v>
      </c>
      <c r="F931" s="190" t="n">
        <v>0.08</v>
      </c>
      <c r="G931" s="190" t="n">
        <v>0.08</v>
      </c>
      <c r="H931" s="190" t="s">
        <v>22</v>
      </c>
      <c r="I931" s="190" t="s">
        <v>158</v>
      </c>
      <c r="J931" s="190" t="s">
        <v>1816</v>
      </c>
    </row>
    <row r="932" customFormat="false" ht="14.25" hidden="false" customHeight="true" outlineLevel="0" collapsed="false">
      <c r="A932" s="190" t="s">
        <v>4127</v>
      </c>
      <c r="B932" s="190" t="s">
        <v>4128</v>
      </c>
      <c r="C932" s="190" t="s">
        <v>4129</v>
      </c>
      <c r="D932" s="190" t="n">
        <v>1</v>
      </c>
      <c r="E932" s="190" t="n">
        <v>0.22</v>
      </c>
      <c r="F932" s="190" t="n">
        <v>5</v>
      </c>
      <c r="G932" s="190" t="n">
        <v>3</v>
      </c>
      <c r="H932" s="190" t="s">
        <v>22</v>
      </c>
      <c r="I932" s="190" t="s">
        <v>1909</v>
      </c>
      <c r="J932" s="190" t="s">
        <v>1737</v>
      </c>
    </row>
    <row r="933" customFormat="false" ht="14.25" hidden="false" customHeight="true" outlineLevel="0" collapsed="false">
      <c r="A933" s="190" t="s">
        <v>4130</v>
      </c>
      <c r="B933" s="190" t="s">
        <v>4131</v>
      </c>
      <c r="C933" s="190" t="s">
        <v>4132</v>
      </c>
      <c r="D933" s="190" t="n">
        <v>1</v>
      </c>
      <c r="E933" s="190" t="n">
        <v>0.43</v>
      </c>
      <c r="F933" s="190" t="n">
        <v>2</v>
      </c>
      <c r="G933" s="190" t="n">
        <v>1</v>
      </c>
      <c r="H933" s="190" t="s">
        <v>22</v>
      </c>
      <c r="I933" s="190" t="s">
        <v>269</v>
      </c>
      <c r="J933" s="190" t="s">
        <v>1874</v>
      </c>
    </row>
    <row r="934" customFormat="false" ht="14.25" hidden="false" customHeight="true" outlineLevel="0" collapsed="false">
      <c r="A934" s="190" t="s">
        <v>4133</v>
      </c>
      <c r="B934" s="190" t="s">
        <v>4134</v>
      </c>
      <c r="C934" s="190" t="s">
        <v>4135</v>
      </c>
      <c r="D934" s="190" t="n">
        <v>1</v>
      </c>
      <c r="E934" s="190" t="n">
        <v>7.22</v>
      </c>
      <c r="F934" s="190" t="n">
        <v>14</v>
      </c>
      <c r="G934" s="190" t="n">
        <v>447.4</v>
      </c>
      <c r="H934" s="190" t="s">
        <v>22</v>
      </c>
      <c r="I934" s="190" t="s">
        <v>2084</v>
      </c>
      <c r="J934" s="190" t="s">
        <v>4136</v>
      </c>
    </row>
    <row r="935" customFormat="false" ht="14.25" hidden="false" customHeight="true" outlineLevel="0" collapsed="false">
      <c r="A935" s="190" t="s">
        <v>4137</v>
      </c>
      <c r="B935" s="190" t="s">
        <v>4138</v>
      </c>
      <c r="C935" s="190" t="s">
        <v>4139</v>
      </c>
      <c r="D935" s="190" t="n">
        <v>1</v>
      </c>
      <c r="E935" s="190" t="n">
        <v>0.5</v>
      </c>
      <c r="F935" s="190" t="n">
        <v>3.5</v>
      </c>
      <c r="G935" s="190" t="n">
        <v>32.8</v>
      </c>
      <c r="H935" s="190" t="s">
        <v>22</v>
      </c>
      <c r="I935" s="190" t="s">
        <v>4140</v>
      </c>
      <c r="J935" s="190" t="s">
        <v>1736</v>
      </c>
    </row>
    <row r="936" customFormat="false" ht="14.25" hidden="false" customHeight="true" outlineLevel="0" collapsed="false">
      <c r="A936" s="190" t="s">
        <v>551</v>
      </c>
      <c r="B936" s="190" t="s">
        <v>549</v>
      </c>
      <c r="C936" s="190" t="s">
        <v>550</v>
      </c>
      <c r="D936" s="190" t="n">
        <v>1</v>
      </c>
      <c r="E936" s="190" t="n">
        <v>0.87</v>
      </c>
      <c r="F936" s="190" t="n">
        <v>6</v>
      </c>
      <c r="G936" s="190" t="n">
        <v>2.02</v>
      </c>
      <c r="H936" s="190" t="s">
        <v>22</v>
      </c>
      <c r="I936" s="190" t="s">
        <v>269</v>
      </c>
      <c r="J936" s="190" t="s">
        <v>1737</v>
      </c>
    </row>
    <row r="937" customFormat="false" ht="14.25" hidden="false" customHeight="true" outlineLevel="0" collapsed="false">
      <c r="A937" s="190" t="s">
        <v>554</v>
      </c>
      <c r="B937" s="190" t="s">
        <v>552</v>
      </c>
      <c r="C937" s="190" t="s">
        <v>553</v>
      </c>
      <c r="D937" s="190" t="n">
        <v>1</v>
      </c>
      <c r="E937" s="190" t="n">
        <v>0.87</v>
      </c>
      <c r="F937" s="190" t="n">
        <v>6</v>
      </c>
      <c r="G937" s="190" t="n">
        <v>2</v>
      </c>
      <c r="H937" s="190" t="s">
        <v>22</v>
      </c>
      <c r="I937" s="190" t="s">
        <v>269</v>
      </c>
      <c r="J937" s="190" t="s">
        <v>1737</v>
      </c>
    </row>
    <row r="938" customFormat="false" ht="14.25" hidden="false" customHeight="true" outlineLevel="0" collapsed="false">
      <c r="A938" s="190" t="s">
        <v>4141</v>
      </c>
      <c r="B938" s="190" t="s">
        <v>4142</v>
      </c>
      <c r="C938" s="190" t="s">
        <v>4143</v>
      </c>
      <c r="D938" s="190" t="n">
        <v>1</v>
      </c>
      <c r="E938" s="190" t="n">
        <v>0.15</v>
      </c>
      <c r="F938" s="190" t="n">
        <v>9</v>
      </c>
      <c r="G938" s="190" t="n">
        <v>7.38</v>
      </c>
      <c r="H938" s="190" t="s">
        <v>22</v>
      </c>
      <c r="I938" s="190" t="n">
        <v>53</v>
      </c>
      <c r="J938" s="190"/>
    </row>
    <row r="939" customFormat="false" ht="14.25" hidden="false" customHeight="true" outlineLevel="0" collapsed="false">
      <c r="A939" s="190" t="s">
        <v>4144</v>
      </c>
      <c r="B939" s="190" t="s">
        <v>4145</v>
      </c>
      <c r="C939" s="190" t="s">
        <v>4146</v>
      </c>
      <c r="D939" s="190" t="n">
        <v>1</v>
      </c>
      <c r="E939" s="190" t="n">
        <v>0.77</v>
      </c>
      <c r="F939" s="190" t="n">
        <v>17.5</v>
      </c>
      <c r="G939" s="190" t="n">
        <v>202.9</v>
      </c>
      <c r="H939" s="190" t="s">
        <v>22</v>
      </c>
      <c r="I939" s="190" t="s">
        <v>1762</v>
      </c>
      <c r="J939" s="190" t="s">
        <v>1751</v>
      </c>
    </row>
    <row r="940" customFormat="false" ht="14.25" hidden="false" customHeight="true" outlineLevel="0" collapsed="false">
      <c r="A940" s="190" t="s">
        <v>4147</v>
      </c>
      <c r="B940" s="190" t="s">
        <v>4148</v>
      </c>
      <c r="C940" s="190" t="s">
        <v>4149</v>
      </c>
      <c r="D940" s="190" t="n">
        <v>1</v>
      </c>
      <c r="E940" s="190" t="n">
        <v>3.6</v>
      </c>
      <c r="F940" s="190" t="n">
        <v>26.5</v>
      </c>
      <c r="G940" s="190" t="n">
        <v>344.3</v>
      </c>
      <c r="H940" s="190" t="s">
        <v>22</v>
      </c>
      <c r="I940" s="190" t="s">
        <v>1762</v>
      </c>
      <c r="J940" s="190" t="s">
        <v>4150</v>
      </c>
    </row>
    <row r="941" customFormat="false" ht="14.25" hidden="false" customHeight="true" outlineLevel="0" collapsed="false">
      <c r="A941" s="190" t="s">
        <v>4151</v>
      </c>
      <c r="B941" s="190" t="s">
        <v>4152</v>
      </c>
      <c r="C941" s="190" t="s">
        <v>4153</v>
      </c>
      <c r="D941" s="190" t="n">
        <v>1</v>
      </c>
      <c r="E941" s="190" t="n">
        <v>0.65</v>
      </c>
      <c r="F941" s="190" t="n">
        <v>20.75</v>
      </c>
      <c r="G941" s="190" t="n">
        <v>202.9</v>
      </c>
      <c r="H941" s="190" t="s">
        <v>22</v>
      </c>
      <c r="I941" s="190" t="s">
        <v>121</v>
      </c>
      <c r="J941" s="190" t="s">
        <v>1751</v>
      </c>
    </row>
    <row r="942" customFormat="false" ht="14.25" hidden="false" customHeight="true" outlineLevel="0" collapsed="false">
      <c r="A942" s="190" t="s">
        <v>4154</v>
      </c>
      <c r="B942" s="190" t="s">
        <v>4155</v>
      </c>
      <c r="C942" s="190" t="s">
        <v>4156</v>
      </c>
      <c r="D942" s="190" t="n">
        <v>1</v>
      </c>
      <c r="E942" s="190" t="n">
        <v>2.5</v>
      </c>
      <c r="F942" s="190" t="n">
        <v>0.5</v>
      </c>
      <c r="G942" s="190" t="n">
        <v>53.3</v>
      </c>
      <c r="H942" s="190" t="s">
        <v>22</v>
      </c>
      <c r="I942" s="190" t="s">
        <v>3094</v>
      </c>
      <c r="J942" s="190" t="s">
        <v>1731</v>
      </c>
    </row>
    <row r="943" customFormat="false" ht="14.25" hidden="false" customHeight="true" outlineLevel="0" collapsed="false">
      <c r="A943" s="190" t="s">
        <v>4157</v>
      </c>
      <c r="B943" s="190" t="s">
        <v>4158</v>
      </c>
      <c r="C943" s="190" t="s">
        <v>4159</v>
      </c>
      <c r="D943" s="190" t="n">
        <v>1</v>
      </c>
      <c r="E943" s="190" t="n">
        <v>0.87</v>
      </c>
      <c r="F943" s="190" t="n">
        <v>1</v>
      </c>
      <c r="G943" s="190" t="n">
        <v>1</v>
      </c>
      <c r="H943" s="190" t="s">
        <v>22</v>
      </c>
      <c r="I943" s="190" t="s">
        <v>146</v>
      </c>
      <c r="J943" s="190" t="s">
        <v>1816</v>
      </c>
    </row>
    <row r="944" customFormat="false" ht="14.25" hidden="false" customHeight="true" outlineLevel="0" collapsed="false">
      <c r="A944" s="190" t="s">
        <v>557</v>
      </c>
      <c r="B944" s="190" t="s">
        <v>555</v>
      </c>
      <c r="C944" s="190" t="s">
        <v>556</v>
      </c>
      <c r="D944" s="190" t="n">
        <v>1</v>
      </c>
      <c r="E944" s="190" t="n">
        <v>0.22</v>
      </c>
      <c r="F944" s="190" t="n">
        <v>1</v>
      </c>
      <c r="G944" s="190" t="n">
        <v>1</v>
      </c>
      <c r="H944" s="190" t="s">
        <v>22</v>
      </c>
      <c r="I944" s="190" t="s">
        <v>158</v>
      </c>
      <c r="J944" s="190" t="s">
        <v>3882</v>
      </c>
    </row>
    <row r="945" customFormat="false" ht="14.25" hidden="false" customHeight="true" outlineLevel="0" collapsed="false">
      <c r="A945" s="190" t="s">
        <v>4160</v>
      </c>
      <c r="B945" s="190" t="s">
        <v>4161</v>
      </c>
      <c r="C945" s="190" t="s">
        <v>4162</v>
      </c>
      <c r="D945" s="190" t="n">
        <v>1</v>
      </c>
      <c r="E945" s="190" t="n">
        <v>28.5</v>
      </c>
      <c r="F945" s="190" t="n">
        <v>137.5</v>
      </c>
      <c r="G945" s="190" t="n">
        <v>314.6</v>
      </c>
      <c r="H945" s="190" t="s">
        <v>22</v>
      </c>
      <c r="I945" s="190" t="s">
        <v>2097</v>
      </c>
      <c r="J945" s="190" t="s">
        <v>4163</v>
      </c>
    </row>
    <row r="946" customFormat="false" ht="14.25" hidden="false" customHeight="true" outlineLevel="0" collapsed="false">
      <c r="A946" s="190" t="s">
        <v>4164</v>
      </c>
      <c r="B946" s="190" t="s">
        <v>4165</v>
      </c>
      <c r="C946" s="190" t="s">
        <v>4166</v>
      </c>
      <c r="D946" s="190" t="n">
        <v>1</v>
      </c>
      <c r="E946" s="190" t="n">
        <v>2.5</v>
      </c>
      <c r="F946" s="190" t="n">
        <v>14.5</v>
      </c>
      <c r="G946" s="190" t="n">
        <v>292.7</v>
      </c>
      <c r="H946" s="190" t="s">
        <v>22</v>
      </c>
      <c r="I946" s="190" t="s">
        <v>4167</v>
      </c>
      <c r="J946" s="190" t="s">
        <v>4168</v>
      </c>
    </row>
    <row r="947" customFormat="false" ht="14.25" hidden="false" customHeight="true" outlineLevel="0" collapsed="false">
      <c r="A947" s="190" t="s">
        <v>4169</v>
      </c>
      <c r="B947" s="190" t="s">
        <v>4170</v>
      </c>
      <c r="C947" s="190" t="s">
        <v>4171</v>
      </c>
      <c r="D947" s="190" t="n">
        <v>1</v>
      </c>
      <c r="E947" s="190" t="n">
        <v>2</v>
      </c>
      <c r="F947" s="190" t="n">
        <v>0</v>
      </c>
      <c r="G947" s="190" t="n">
        <v>0</v>
      </c>
      <c r="H947" s="190" t="s">
        <v>22</v>
      </c>
      <c r="I947" s="190" t="s">
        <v>269</v>
      </c>
      <c r="J947" s="190" t="s">
        <v>4168</v>
      </c>
    </row>
    <row r="948" customFormat="false" ht="14.25" hidden="false" customHeight="true" outlineLevel="0" collapsed="false">
      <c r="A948" s="190" t="s">
        <v>4172</v>
      </c>
      <c r="B948" s="190" t="s">
        <v>4173</v>
      </c>
      <c r="C948" s="190" t="s">
        <v>4174</v>
      </c>
      <c r="D948" s="190" t="n">
        <v>1</v>
      </c>
      <c r="E948" s="190" t="n">
        <v>30.6</v>
      </c>
      <c r="F948" s="190" t="n">
        <v>144.6</v>
      </c>
      <c r="G948" s="190" t="n">
        <v>417.8</v>
      </c>
      <c r="H948" s="190" t="s">
        <v>22</v>
      </c>
      <c r="I948" s="190" t="s">
        <v>2782</v>
      </c>
      <c r="J948" s="190" t="s">
        <v>2121</v>
      </c>
    </row>
    <row r="949" customFormat="false" ht="14.25" hidden="false" customHeight="true" outlineLevel="0" collapsed="false">
      <c r="A949" s="190" t="s">
        <v>560</v>
      </c>
      <c r="B949" s="190" t="s">
        <v>558</v>
      </c>
      <c r="C949" s="190" t="s">
        <v>559</v>
      </c>
      <c r="D949" s="190" t="n">
        <v>1</v>
      </c>
      <c r="E949" s="190" t="n">
        <v>2.5</v>
      </c>
      <c r="F949" s="190" t="n">
        <v>2.5</v>
      </c>
      <c r="G949" s="190" t="n">
        <v>0.52</v>
      </c>
      <c r="H949" s="190" t="s">
        <v>22</v>
      </c>
      <c r="I949" s="190" t="s">
        <v>430</v>
      </c>
      <c r="J949" s="190"/>
    </row>
    <row r="950" customFormat="false" ht="14.25" hidden="false" customHeight="true" outlineLevel="0" collapsed="false">
      <c r="A950" s="190" t="s">
        <v>566</v>
      </c>
      <c r="B950" s="190" t="s">
        <v>564</v>
      </c>
      <c r="C950" s="190" t="s">
        <v>565</v>
      </c>
      <c r="D950" s="190" t="n">
        <v>1</v>
      </c>
      <c r="E950" s="190" t="n">
        <v>3.52</v>
      </c>
      <c r="F950" s="190" t="n">
        <v>22.5</v>
      </c>
      <c r="G950" s="190" t="n">
        <v>552.4</v>
      </c>
      <c r="H950" s="190" t="s">
        <v>22</v>
      </c>
      <c r="I950" s="190" t="s">
        <v>567</v>
      </c>
      <c r="J950" s="190" t="s">
        <v>4175</v>
      </c>
    </row>
    <row r="951" customFormat="false" ht="14.25" hidden="false" customHeight="true" outlineLevel="0" collapsed="false">
      <c r="A951" s="190" t="s">
        <v>4176</v>
      </c>
      <c r="B951" s="190" t="s">
        <v>4177</v>
      </c>
      <c r="C951" s="190" t="s">
        <v>4178</v>
      </c>
      <c r="D951" s="190" t="n">
        <v>1</v>
      </c>
      <c r="E951" s="190" t="n">
        <v>1.1</v>
      </c>
      <c r="F951" s="190" t="n">
        <v>9</v>
      </c>
      <c r="G951" s="190" t="n">
        <v>551</v>
      </c>
      <c r="H951" s="190" t="s">
        <v>22</v>
      </c>
      <c r="I951" s="190" t="s">
        <v>2010</v>
      </c>
      <c r="J951" s="190" t="s">
        <v>1731</v>
      </c>
    </row>
    <row r="952" customFormat="false" ht="14.25" hidden="false" customHeight="true" outlineLevel="0" collapsed="false">
      <c r="A952" s="190" t="s">
        <v>573</v>
      </c>
      <c r="B952" s="190" t="s">
        <v>571</v>
      </c>
      <c r="C952" s="190" t="s">
        <v>572</v>
      </c>
      <c r="D952" s="190" t="n">
        <v>1</v>
      </c>
      <c r="E952" s="190" t="n">
        <v>6.3</v>
      </c>
      <c r="F952" s="190" t="n">
        <v>14.5</v>
      </c>
      <c r="G952" s="190" t="n">
        <v>68.9</v>
      </c>
      <c r="H952" s="190" t="s">
        <v>22</v>
      </c>
      <c r="I952" s="190" t="s">
        <v>97</v>
      </c>
      <c r="J952" s="190" t="s">
        <v>1750</v>
      </c>
    </row>
    <row r="953" customFormat="false" ht="14.25" hidden="false" customHeight="true" outlineLevel="0" collapsed="false">
      <c r="A953" s="190" t="s">
        <v>4179</v>
      </c>
      <c r="B953" s="190" t="s">
        <v>4180</v>
      </c>
      <c r="C953" s="190" t="s">
        <v>4181</v>
      </c>
      <c r="D953" s="190" t="n">
        <v>1</v>
      </c>
      <c r="E953" s="190" t="n">
        <v>0.65</v>
      </c>
      <c r="F953" s="190" t="n">
        <v>13.5</v>
      </c>
      <c r="G953" s="190" t="n">
        <v>2.75</v>
      </c>
      <c r="H953" s="190" t="s">
        <v>22</v>
      </c>
      <c r="I953" s="190" t="s">
        <v>2120</v>
      </c>
      <c r="J953" s="190" t="s">
        <v>3361</v>
      </c>
    </row>
    <row r="954" customFormat="false" ht="14.25" hidden="false" customHeight="true" outlineLevel="0" collapsed="false">
      <c r="A954" s="190" t="s">
        <v>4182</v>
      </c>
      <c r="B954" s="190" t="s">
        <v>4183</v>
      </c>
      <c r="C954" s="190" t="s">
        <v>4184</v>
      </c>
      <c r="D954" s="190" t="n">
        <v>1</v>
      </c>
      <c r="E954" s="190" t="n">
        <v>3</v>
      </c>
      <c r="F954" s="190" t="n">
        <v>3.03</v>
      </c>
      <c r="G954" s="190" t="n">
        <v>33.5</v>
      </c>
      <c r="H954" s="190" t="s">
        <v>22</v>
      </c>
      <c r="I954" s="190" t="n">
        <v>53</v>
      </c>
      <c r="J954" s="190"/>
    </row>
    <row r="955" customFormat="false" ht="14.25" hidden="false" customHeight="true" outlineLevel="0" collapsed="false">
      <c r="A955" s="190" t="s">
        <v>4185</v>
      </c>
      <c r="B955" s="190" t="s">
        <v>4186</v>
      </c>
      <c r="C955" s="190" t="s">
        <v>4187</v>
      </c>
      <c r="D955" s="190" t="n">
        <v>1</v>
      </c>
      <c r="E955" s="190" t="n">
        <v>3.3</v>
      </c>
      <c r="F955" s="190" t="n">
        <v>1.02</v>
      </c>
      <c r="G955" s="190" t="n">
        <v>3.48</v>
      </c>
      <c r="H955" s="190" t="s">
        <v>22</v>
      </c>
      <c r="I955" s="190" t="s">
        <v>1762</v>
      </c>
      <c r="J955" s="190" t="s">
        <v>4188</v>
      </c>
    </row>
    <row r="956" customFormat="false" ht="14.25" hidden="false" customHeight="true" outlineLevel="0" collapsed="false">
      <c r="A956" s="190" t="s">
        <v>576</v>
      </c>
      <c r="B956" s="190" t="s">
        <v>574</v>
      </c>
      <c r="C956" s="190" t="s">
        <v>575</v>
      </c>
      <c r="D956" s="190" t="n">
        <v>1</v>
      </c>
      <c r="E956" s="190" t="n">
        <v>2.1</v>
      </c>
      <c r="F956" s="190" t="n">
        <v>6.17</v>
      </c>
      <c r="G956" s="190" t="n">
        <v>20.72</v>
      </c>
      <c r="H956" s="190" t="s">
        <v>22</v>
      </c>
      <c r="I956" s="190" t="n">
        <v>53</v>
      </c>
      <c r="J956" s="190"/>
    </row>
    <row r="957" customFormat="false" ht="14.25" hidden="false" customHeight="true" outlineLevel="0" collapsed="false">
      <c r="A957" s="190" t="s">
        <v>4189</v>
      </c>
      <c r="B957" s="190" t="s">
        <v>4190</v>
      </c>
      <c r="C957" s="190" t="s">
        <v>4191</v>
      </c>
      <c r="D957" s="190" t="n">
        <v>1</v>
      </c>
      <c r="E957" s="190" t="n">
        <v>1.5</v>
      </c>
      <c r="F957" s="190" t="n">
        <v>3.03</v>
      </c>
      <c r="G957" s="190" t="n">
        <v>17.2</v>
      </c>
      <c r="H957" s="190" t="s">
        <v>22</v>
      </c>
      <c r="I957" s="190" t="s">
        <v>1762</v>
      </c>
      <c r="J957" s="190" t="s">
        <v>4192</v>
      </c>
    </row>
    <row r="958" customFormat="false" ht="14.25" hidden="false" customHeight="true" outlineLevel="0" collapsed="false">
      <c r="A958" s="190" t="s">
        <v>4193</v>
      </c>
      <c r="B958" s="190" t="s">
        <v>4194</v>
      </c>
      <c r="C958" s="190" t="s">
        <v>4195</v>
      </c>
      <c r="D958" s="190" t="n">
        <v>1</v>
      </c>
      <c r="E958" s="190" t="n">
        <v>5.5</v>
      </c>
      <c r="F958" s="190" t="n">
        <v>24</v>
      </c>
      <c r="G958" s="190" t="n">
        <v>549.5</v>
      </c>
      <c r="H958" s="190" t="s">
        <v>22</v>
      </c>
      <c r="I958" s="190" t="s">
        <v>1762</v>
      </c>
      <c r="J958" s="190" t="s">
        <v>4196</v>
      </c>
    </row>
    <row r="959" customFormat="false" ht="14.25" hidden="false" customHeight="true" outlineLevel="0" collapsed="false">
      <c r="A959" s="190" t="s">
        <v>4197</v>
      </c>
      <c r="B959" s="190" t="s">
        <v>4198</v>
      </c>
      <c r="C959" s="190" t="s">
        <v>4199</v>
      </c>
      <c r="D959" s="190" t="n">
        <v>1</v>
      </c>
      <c r="E959" s="190" t="n">
        <v>0.6</v>
      </c>
      <c r="F959" s="190" t="n">
        <v>2.75</v>
      </c>
      <c r="G959" s="190" t="n">
        <v>18.32</v>
      </c>
      <c r="H959" s="190" t="s">
        <v>22</v>
      </c>
      <c r="I959" s="190" t="s">
        <v>121</v>
      </c>
      <c r="J959" s="190" t="s">
        <v>1736</v>
      </c>
    </row>
    <row r="960" customFormat="false" ht="14.25" hidden="false" customHeight="true" outlineLevel="0" collapsed="false">
      <c r="A960" s="190" t="s">
        <v>583</v>
      </c>
      <c r="B960" s="190" t="s">
        <v>581</v>
      </c>
      <c r="C960" s="190" t="s">
        <v>582</v>
      </c>
      <c r="D960" s="190" t="n">
        <v>1</v>
      </c>
      <c r="E960" s="190" t="n">
        <v>0.67</v>
      </c>
      <c r="F960" s="190" t="n">
        <v>8.5</v>
      </c>
      <c r="G960" s="190" t="n">
        <v>13.55</v>
      </c>
      <c r="H960" s="190" t="s">
        <v>22</v>
      </c>
      <c r="I960" s="190" t="s">
        <v>584</v>
      </c>
      <c r="J960" s="190" t="s">
        <v>1736</v>
      </c>
    </row>
    <row r="961" customFormat="false" ht="14.25" hidden="false" customHeight="true" outlineLevel="0" collapsed="false">
      <c r="A961" s="190" t="s">
        <v>4200</v>
      </c>
      <c r="B961" s="190" t="s">
        <v>4201</v>
      </c>
      <c r="C961" s="190" t="s">
        <v>4202</v>
      </c>
      <c r="D961" s="190" t="n">
        <v>1</v>
      </c>
      <c r="E961" s="190" t="n">
        <v>1.22</v>
      </c>
      <c r="F961" s="190" t="n">
        <v>7</v>
      </c>
      <c r="G961" s="190" t="n">
        <v>40.3</v>
      </c>
      <c r="H961" s="190" t="s">
        <v>22</v>
      </c>
      <c r="I961" s="190" t="s">
        <v>2143</v>
      </c>
      <c r="J961" s="190" t="s">
        <v>1731</v>
      </c>
    </row>
    <row r="962" customFormat="false" ht="14.25" hidden="false" customHeight="true" outlineLevel="0" collapsed="false">
      <c r="A962" s="190" t="s">
        <v>4203</v>
      </c>
      <c r="B962" s="190" t="s">
        <v>4204</v>
      </c>
      <c r="C962" s="190" t="s">
        <v>4205</v>
      </c>
      <c r="D962" s="190" t="n">
        <v>1</v>
      </c>
      <c r="E962" s="190" t="n">
        <v>0.93</v>
      </c>
      <c r="F962" s="190" t="n">
        <v>3.83</v>
      </c>
      <c r="G962" s="190" t="n">
        <v>23.57</v>
      </c>
      <c r="H962" s="190" t="s">
        <v>22</v>
      </c>
      <c r="I962" s="190" t="s">
        <v>2143</v>
      </c>
      <c r="J962" s="190" t="s">
        <v>1731</v>
      </c>
    </row>
    <row r="963" customFormat="false" ht="14.25" hidden="false" customHeight="true" outlineLevel="0" collapsed="false">
      <c r="A963" s="190" t="s">
        <v>4206</v>
      </c>
      <c r="B963" s="190" t="s">
        <v>4207</v>
      </c>
      <c r="C963" s="190" t="s">
        <v>4208</v>
      </c>
      <c r="D963" s="190" t="n">
        <v>1</v>
      </c>
      <c r="E963" s="190" t="n">
        <v>0.43</v>
      </c>
      <c r="F963" s="190" t="n">
        <v>1.5</v>
      </c>
      <c r="G963" s="190" t="n">
        <v>29.1</v>
      </c>
      <c r="H963" s="190" t="s">
        <v>22</v>
      </c>
      <c r="I963" s="190" t="s">
        <v>1782</v>
      </c>
      <c r="J963" s="190" t="s">
        <v>1731</v>
      </c>
    </row>
    <row r="964" customFormat="false" ht="14.25" hidden="false" customHeight="true" outlineLevel="0" collapsed="false">
      <c r="A964" s="190" t="s">
        <v>4209</v>
      </c>
      <c r="B964" s="190" t="s">
        <v>4210</v>
      </c>
      <c r="C964" s="190" t="s">
        <v>4211</v>
      </c>
      <c r="D964" s="190" t="n">
        <v>1</v>
      </c>
      <c r="E964" s="190" t="n">
        <v>0.43</v>
      </c>
      <c r="F964" s="190" t="n">
        <v>8.25</v>
      </c>
      <c r="G964" s="190" t="n">
        <v>4.23</v>
      </c>
      <c r="H964" s="190" t="s">
        <v>22</v>
      </c>
      <c r="I964" s="190" t="s">
        <v>1782</v>
      </c>
      <c r="J964" s="190" t="s">
        <v>4212</v>
      </c>
    </row>
    <row r="965" customFormat="false" ht="14.25" hidden="false" customHeight="true" outlineLevel="0" collapsed="false">
      <c r="A965" s="190" t="s">
        <v>4213</v>
      </c>
      <c r="B965" s="190" t="s">
        <v>4214</v>
      </c>
      <c r="C965" s="190" t="s">
        <v>4215</v>
      </c>
      <c r="D965" s="190" t="n">
        <v>1</v>
      </c>
      <c r="E965" s="190" t="n">
        <v>0.87</v>
      </c>
      <c r="F965" s="190" t="n">
        <v>2.75</v>
      </c>
      <c r="G965" s="190" t="n">
        <v>52.9</v>
      </c>
      <c r="H965" s="190" t="s">
        <v>22</v>
      </c>
      <c r="I965" s="190" t="s">
        <v>1782</v>
      </c>
      <c r="J965" s="190" t="s">
        <v>1731</v>
      </c>
    </row>
    <row r="966" customFormat="false" ht="14.25" hidden="false" customHeight="true" outlineLevel="0" collapsed="false">
      <c r="A966" s="190" t="s">
        <v>4216</v>
      </c>
      <c r="B966" s="190" t="s">
        <v>4217</v>
      </c>
      <c r="C966" s="190" t="s">
        <v>4218</v>
      </c>
      <c r="D966" s="190" t="n">
        <v>1</v>
      </c>
      <c r="E966" s="190" t="n">
        <v>0.87</v>
      </c>
      <c r="F966" s="190" t="n">
        <v>1.25</v>
      </c>
      <c r="G966" s="190" t="n">
        <v>0.92</v>
      </c>
      <c r="H966" s="190" t="s">
        <v>22</v>
      </c>
      <c r="I966" s="190" t="s">
        <v>1782</v>
      </c>
      <c r="J966" s="190" t="s">
        <v>1731</v>
      </c>
    </row>
    <row r="967" customFormat="false" ht="14.25" hidden="false" customHeight="true" outlineLevel="0" collapsed="false">
      <c r="A967" s="190" t="s">
        <v>4219</v>
      </c>
      <c r="B967" s="190" t="s">
        <v>4220</v>
      </c>
      <c r="C967" s="190" t="s">
        <v>4221</v>
      </c>
      <c r="D967" s="190" t="n">
        <v>1</v>
      </c>
      <c r="E967" s="190" t="n">
        <v>3.12</v>
      </c>
      <c r="F967" s="190" t="n">
        <v>6.7</v>
      </c>
      <c r="G967" s="190" t="n">
        <v>641.5</v>
      </c>
      <c r="H967" s="190" t="s">
        <v>22</v>
      </c>
      <c r="I967" s="190" t="s">
        <v>1782</v>
      </c>
      <c r="J967" s="190" t="s">
        <v>2085</v>
      </c>
    </row>
    <row r="968" customFormat="false" ht="14.25" hidden="false" customHeight="true" outlineLevel="0" collapsed="false">
      <c r="A968" s="190" t="s">
        <v>4222</v>
      </c>
      <c r="B968" s="190" t="s">
        <v>4223</v>
      </c>
      <c r="C968" s="190" t="s">
        <v>4224</v>
      </c>
      <c r="D968" s="190" t="n">
        <v>1</v>
      </c>
      <c r="E968" s="190" t="n">
        <v>0.87</v>
      </c>
      <c r="F968" s="190" t="n">
        <v>1.5</v>
      </c>
      <c r="G968" s="190" t="n">
        <v>53</v>
      </c>
      <c r="H968" s="190" t="s">
        <v>22</v>
      </c>
      <c r="I968" s="190" t="s">
        <v>584</v>
      </c>
      <c r="J968" s="190" t="s">
        <v>1731</v>
      </c>
    </row>
    <row r="969" customFormat="false" ht="14.25" hidden="false" customHeight="true" outlineLevel="0" collapsed="false">
      <c r="A969" s="190" t="s">
        <v>4225</v>
      </c>
      <c r="B969" s="190" t="s">
        <v>4226</v>
      </c>
      <c r="C969" s="190" t="s">
        <v>4227</v>
      </c>
      <c r="D969" s="190" t="n">
        <v>1</v>
      </c>
      <c r="E969" s="190" t="n">
        <v>0.87</v>
      </c>
      <c r="F969" s="190" t="n">
        <v>1.25</v>
      </c>
      <c r="G969" s="190" t="n">
        <v>1</v>
      </c>
      <c r="H969" s="190" t="s">
        <v>22</v>
      </c>
      <c r="I969" s="190" t="s">
        <v>584</v>
      </c>
      <c r="J969" s="190" t="s">
        <v>1731</v>
      </c>
    </row>
    <row r="970" customFormat="false" ht="14.25" hidden="false" customHeight="true" outlineLevel="0" collapsed="false">
      <c r="A970" s="190" t="s">
        <v>4228</v>
      </c>
      <c r="B970" s="190" t="s">
        <v>4229</v>
      </c>
      <c r="C970" s="190" t="s">
        <v>4230</v>
      </c>
      <c r="D970" s="190" t="n">
        <v>1</v>
      </c>
      <c r="E970" s="190" t="n">
        <v>0.42</v>
      </c>
      <c r="F970" s="190" t="n">
        <v>0.88</v>
      </c>
      <c r="G970" s="190" t="n">
        <v>53.9</v>
      </c>
      <c r="H970" s="190" t="s">
        <v>22</v>
      </c>
      <c r="I970" s="190" t="n">
        <v>57</v>
      </c>
      <c r="J970" s="190" t="s">
        <v>1736</v>
      </c>
    </row>
    <row r="971" customFormat="false" ht="14.25" hidden="false" customHeight="true" outlineLevel="0" collapsed="false">
      <c r="A971" s="190" t="s">
        <v>4231</v>
      </c>
      <c r="B971" s="190" t="s">
        <v>4232</v>
      </c>
      <c r="C971" s="190" t="s">
        <v>4233</v>
      </c>
      <c r="D971" s="190" t="n">
        <v>1</v>
      </c>
      <c r="E971" s="190" t="n">
        <v>3.3</v>
      </c>
      <c r="F971" s="190" t="n">
        <v>2.17</v>
      </c>
      <c r="G971" s="190" t="n">
        <v>53</v>
      </c>
      <c r="H971" s="190" t="s">
        <v>22</v>
      </c>
      <c r="I971" s="190" t="s">
        <v>584</v>
      </c>
      <c r="J971" s="190" t="s">
        <v>1731</v>
      </c>
    </row>
    <row r="972" customFormat="false" ht="14.25" hidden="false" customHeight="true" outlineLevel="0" collapsed="false">
      <c r="A972" s="190" t="s">
        <v>4234</v>
      </c>
      <c r="B972" s="190" t="s">
        <v>4235</v>
      </c>
      <c r="C972" s="190" t="s">
        <v>4236</v>
      </c>
      <c r="D972" s="190" t="n">
        <v>1</v>
      </c>
      <c r="E972" s="190" t="n">
        <v>3.3</v>
      </c>
      <c r="F972" s="190" t="n">
        <v>1.25</v>
      </c>
      <c r="G972" s="190" t="n">
        <v>43.1</v>
      </c>
      <c r="H972" s="190" t="s">
        <v>22</v>
      </c>
      <c r="I972" s="190" t="s">
        <v>584</v>
      </c>
      <c r="J972" s="190" t="s">
        <v>1731</v>
      </c>
    </row>
    <row r="973" customFormat="false" ht="14.25" hidden="false" customHeight="true" outlineLevel="0" collapsed="false">
      <c r="A973" s="190" t="s">
        <v>4237</v>
      </c>
      <c r="B973" s="190" t="s">
        <v>4238</v>
      </c>
      <c r="C973" s="190" t="s">
        <v>4239</v>
      </c>
      <c r="D973" s="190" t="n">
        <v>1</v>
      </c>
      <c r="E973" s="190" t="n">
        <v>1.32</v>
      </c>
      <c r="F973" s="190" t="n">
        <v>3.87</v>
      </c>
      <c r="G973" s="190" t="n">
        <v>52.8</v>
      </c>
      <c r="H973" s="190" t="s">
        <v>22</v>
      </c>
      <c r="I973" s="190" t="s">
        <v>3094</v>
      </c>
      <c r="J973" s="190" t="s">
        <v>1731</v>
      </c>
    </row>
    <row r="974" customFormat="false" ht="14.25" hidden="false" customHeight="true" outlineLevel="0" collapsed="false">
      <c r="A974" s="190" t="s">
        <v>4240</v>
      </c>
      <c r="B974" s="190" t="s">
        <v>4241</v>
      </c>
      <c r="C974" s="190" t="s">
        <v>4242</v>
      </c>
      <c r="D974" s="190" t="n">
        <v>1</v>
      </c>
      <c r="E974" s="190" t="n">
        <v>1.32</v>
      </c>
      <c r="F974" s="190" t="n">
        <v>7.25</v>
      </c>
      <c r="G974" s="190" t="n">
        <v>4.27</v>
      </c>
      <c r="H974" s="190" t="s">
        <v>22</v>
      </c>
      <c r="I974" s="190" t="s">
        <v>3094</v>
      </c>
      <c r="J974" s="190" t="s">
        <v>1731</v>
      </c>
    </row>
    <row r="975" customFormat="false" ht="14.25" hidden="false" customHeight="true" outlineLevel="0" collapsed="false">
      <c r="A975" s="190" t="s">
        <v>4243</v>
      </c>
      <c r="B975" s="190" t="s">
        <v>4244</v>
      </c>
      <c r="C975" s="190" t="s">
        <v>4245</v>
      </c>
      <c r="D975" s="190" t="n">
        <v>1</v>
      </c>
      <c r="E975" s="190" t="n">
        <v>1.35</v>
      </c>
      <c r="F975" s="190" t="n">
        <v>7</v>
      </c>
      <c r="G975" s="190" t="n">
        <v>153.7</v>
      </c>
      <c r="H975" s="190" t="s">
        <v>22</v>
      </c>
      <c r="I975" s="190" t="s">
        <v>3094</v>
      </c>
      <c r="J975" s="190" t="s">
        <v>1731</v>
      </c>
    </row>
    <row r="976" customFormat="false" ht="14.25" hidden="false" customHeight="true" outlineLevel="0" collapsed="false">
      <c r="A976" s="190" t="s">
        <v>4246</v>
      </c>
      <c r="B976" s="190" t="s">
        <v>4247</v>
      </c>
      <c r="C976" s="190" t="s">
        <v>4248</v>
      </c>
      <c r="D976" s="190" t="n">
        <v>1</v>
      </c>
      <c r="E976" s="190" t="n">
        <v>1.35</v>
      </c>
      <c r="F976" s="190" t="n">
        <v>12.75</v>
      </c>
      <c r="G976" s="190" t="n">
        <v>81.5</v>
      </c>
      <c r="H976" s="190" t="s">
        <v>22</v>
      </c>
      <c r="I976" s="190" t="s">
        <v>3094</v>
      </c>
      <c r="J976" s="190" t="s">
        <v>1731</v>
      </c>
    </row>
    <row r="977" customFormat="false" ht="14.25" hidden="false" customHeight="true" outlineLevel="0" collapsed="false">
      <c r="A977" s="190" t="s">
        <v>4249</v>
      </c>
      <c r="B977" s="190" t="s">
        <v>4250</v>
      </c>
      <c r="C977" s="190" t="s">
        <v>4251</v>
      </c>
      <c r="D977" s="190" t="n">
        <v>1</v>
      </c>
      <c r="E977" s="190" t="n">
        <v>6.42</v>
      </c>
      <c r="F977" s="190" t="n">
        <v>2</v>
      </c>
      <c r="G977" s="190" t="n">
        <v>41.6</v>
      </c>
      <c r="H977" s="190" t="s">
        <v>22</v>
      </c>
      <c r="I977" s="190" t="s">
        <v>3075</v>
      </c>
      <c r="J977" s="190" t="s">
        <v>1731</v>
      </c>
    </row>
    <row r="978" customFormat="false" ht="14.25" hidden="false" customHeight="true" outlineLevel="0" collapsed="false">
      <c r="A978" s="190" t="s">
        <v>4252</v>
      </c>
      <c r="B978" s="190" t="s">
        <v>4253</v>
      </c>
      <c r="C978" s="190" t="s">
        <v>4254</v>
      </c>
      <c r="D978" s="190" t="n">
        <v>1</v>
      </c>
      <c r="E978" s="190" t="n">
        <v>6.42</v>
      </c>
      <c r="F978" s="190" t="n">
        <v>8.75</v>
      </c>
      <c r="G978" s="190" t="n">
        <v>67.8</v>
      </c>
      <c r="H978" s="190" t="s">
        <v>22</v>
      </c>
      <c r="I978" s="190" t="s">
        <v>3075</v>
      </c>
      <c r="J978" s="190" t="s">
        <v>1731</v>
      </c>
    </row>
    <row r="979" customFormat="false" ht="14.25" hidden="false" customHeight="true" outlineLevel="0" collapsed="false">
      <c r="A979" s="190" t="s">
        <v>4255</v>
      </c>
      <c r="B979" s="190" t="s">
        <v>4256</v>
      </c>
      <c r="C979" s="190" t="s">
        <v>4257</v>
      </c>
      <c r="D979" s="190" t="n">
        <v>1</v>
      </c>
      <c r="E979" s="190" t="n">
        <v>0.92</v>
      </c>
      <c r="F979" s="190" t="n">
        <v>5</v>
      </c>
      <c r="G979" s="190" t="n">
        <v>13.08</v>
      </c>
      <c r="H979" s="190" t="s">
        <v>22</v>
      </c>
      <c r="I979" s="190" t="s">
        <v>2735</v>
      </c>
      <c r="J979" s="190" t="s">
        <v>1731</v>
      </c>
    </row>
    <row r="980" customFormat="false" ht="14.25" hidden="false" customHeight="true" outlineLevel="0" collapsed="false">
      <c r="A980" s="190" t="s">
        <v>4258</v>
      </c>
      <c r="B980" s="190" t="s">
        <v>4259</v>
      </c>
      <c r="C980" s="190" t="s">
        <v>4260</v>
      </c>
      <c r="D980" s="190" t="n">
        <v>1</v>
      </c>
      <c r="E980" s="190" t="n">
        <v>0.92</v>
      </c>
      <c r="F980" s="190" t="n">
        <v>21.5</v>
      </c>
      <c r="G980" s="190" t="n">
        <v>139.2</v>
      </c>
      <c r="H980" s="190" t="s">
        <v>22</v>
      </c>
      <c r="I980" s="190" t="s">
        <v>2735</v>
      </c>
      <c r="J980" s="190" t="s">
        <v>1731</v>
      </c>
    </row>
    <row r="981" customFormat="false" ht="14.25" hidden="false" customHeight="true" outlineLevel="0" collapsed="false">
      <c r="A981" s="190" t="s">
        <v>4261</v>
      </c>
      <c r="B981" s="190" t="s">
        <v>4262</v>
      </c>
      <c r="C981" s="190" t="s">
        <v>4263</v>
      </c>
      <c r="D981" s="190" t="n">
        <v>1</v>
      </c>
      <c r="E981" s="190" t="n">
        <v>0.48</v>
      </c>
      <c r="F981" s="190" t="n">
        <v>0.55</v>
      </c>
      <c r="G981" s="190" t="n">
        <v>41</v>
      </c>
      <c r="H981" s="190" t="s">
        <v>22</v>
      </c>
      <c r="I981" s="190" t="s">
        <v>2735</v>
      </c>
      <c r="J981" s="190" t="s">
        <v>1731</v>
      </c>
    </row>
    <row r="982" customFormat="false" ht="14.25" hidden="false" customHeight="true" outlineLevel="0" collapsed="false">
      <c r="A982" s="190" t="s">
        <v>4264</v>
      </c>
      <c r="B982" s="190" t="s">
        <v>4265</v>
      </c>
      <c r="C982" s="190" t="s">
        <v>4266</v>
      </c>
      <c r="D982" s="190" t="n">
        <v>1</v>
      </c>
      <c r="E982" s="190" t="n">
        <v>0.48</v>
      </c>
      <c r="F982" s="190" t="n">
        <v>1.33</v>
      </c>
      <c r="G982" s="190" t="n">
        <v>42.6</v>
      </c>
      <c r="H982" s="190" t="s">
        <v>22</v>
      </c>
      <c r="I982" s="190" t="s">
        <v>2735</v>
      </c>
      <c r="J982" s="190" t="s">
        <v>1731</v>
      </c>
    </row>
    <row r="983" customFormat="false" ht="14.25" hidden="false" customHeight="true" outlineLevel="0" collapsed="false">
      <c r="A983" s="190" t="s">
        <v>4267</v>
      </c>
      <c r="B983" s="190" t="s">
        <v>4268</v>
      </c>
      <c r="C983" s="190" t="s">
        <v>4269</v>
      </c>
      <c r="D983" s="190" t="n">
        <v>1</v>
      </c>
      <c r="E983" s="190" t="n">
        <v>0.48</v>
      </c>
      <c r="F983" s="190" t="n">
        <v>1.5</v>
      </c>
      <c r="G983" s="190" t="n">
        <v>1.95</v>
      </c>
      <c r="H983" s="190" t="s">
        <v>22</v>
      </c>
      <c r="I983" s="190" t="s">
        <v>2771</v>
      </c>
      <c r="J983" s="190" t="s">
        <v>1731</v>
      </c>
    </row>
    <row r="984" customFormat="false" ht="14.25" hidden="false" customHeight="true" outlineLevel="0" collapsed="false">
      <c r="A984" s="190" t="s">
        <v>4270</v>
      </c>
      <c r="B984" s="190" t="s">
        <v>4271</v>
      </c>
      <c r="C984" s="190" t="s">
        <v>4272</v>
      </c>
      <c r="D984" s="190" t="n">
        <v>1</v>
      </c>
      <c r="E984" s="190" t="n">
        <v>0.48</v>
      </c>
      <c r="F984" s="190" t="n">
        <v>4.33</v>
      </c>
      <c r="G984" s="190" t="n">
        <v>77.4</v>
      </c>
      <c r="H984" s="190" t="s">
        <v>22</v>
      </c>
      <c r="I984" s="190" t="s">
        <v>2771</v>
      </c>
      <c r="J984" s="190" t="s">
        <v>1731</v>
      </c>
    </row>
    <row r="985" customFormat="false" ht="14.25" hidden="false" customHeight="true" outlineLevel="0" collapsed="false">
      <c r="A985" s="190" t="s">
        <v>4273</v>
      </c>
      <c r="B985" s="190" t="s">
        <v>4274</v>
      </c>
      <c r="C985" s="190" t="s">
        <v>4275</v>
      </c>
      <c r="D985" s="190" t="n">
        <v>1</v>
      </c>
      <c r="E985" s="190" t="n">
        <v>0.48</v>
      </c>
      <c r="F985" s="190" t="n">
        <v>2.52</v>
      </c>
      <c r="G985" s="190" t="n">
        <v>42.2</v>
      </c>
      <c r="H985" s="190" t="s">
        <v>22</v>
      </c>
      <c r="I985" s="190" t="s">
        <v>2771</v>
      </c>
      <c r="J985" s="190" t="s">
        <v>4276</v>
      </c>
    </row>
    <row r="986" customFormat="false" ht="14.25" hidden="false" customHeight="true" outlineLevel="0" collapsed="false">
      <c r="A986" s="190" t="s">
        <v>4277</v>
      </c>
      <c r="B986" s="190" t="s">
        <v>4278</v>
      </c>
      <c r="C986" s="190" t="s">
        <v>4279</v>
      </c>
      <c r="D986" s="190" t="n">
        <v>1</v>
      </c>
      <c r="E986" s="190" t="n">
        <v>0.48</v>
      </c>
      <c r="F986" s="190" t="n">
        <v>1.08</v>
      </c>
      <c r="G986" s="190" t="n">
        <v>42.9</v>
      </c>
      <c r="H986" s="190" t="s">
        <v>22</v>
      </c>
      <c r="I986" s="190" t="s">
        <v>2771</v>
      </c>
      <c r="J986" s="190" t="s">
        <v>1731</v>
      </c>
    </row>
    <row r="987" customFormat="false" ht="14.25" hidden="false" customHeight="true" outlineLevel="0" collapsed="false">
      <c r="A987" s="190" t="s">
        <v>4280</v>
      </c>
      <c r="B987" s="190" t="s">
        <v>4281</v>
      </c>
      <c r="C987" s="190" t="s">
        <v>4282</v>
      </c>
      <c r="D987" s="190" t="n">
        <v>1</v>
      </c>
      <c r="E987" s="190" t="n">
        <v>0.48</v>
      </c>
      <c r="F987" s="190" t="n">
        <v>1.5</v>
      </c>
      <c r="G987" s="190" t="n">
        <v>2.07</v>
      </c>
      <c r="H987" s="190" t="s">
        <v>22</v>
      </c>
      <c r="I987" s="190" t="s">
        <v>2775</v>
      </c>
      <c r="J987" s="190" t="s">
        <v>1731</v>
      </c>
    </row>
    <row r="988" customFormat="false" ht="14.25" hidden="false" customHeight="true" outlineLevel="0" collapsed="false">
      <c r="A988" s="190" t="s">
        <v>4283</v>
      </c>
      <c r="B988" s="190" t="s">
        <v>4284</v>
      </c>
      <c r="C988" s="190" t="s">
        <v>4285</v>
      </c>
      <c r="D988" s="190" t="n">
        <v>1</v>
      </c>
      <c r="E988" s="190" t="n">
        <v>0.48</v>
      </c>
      <c r="F988" s="190" t="n">
        <v>5.33</v>
      </c>
      <c r="G988" s="190" t="n">
        <v>43</v>
      </c>
      <c r="H988" s="190" t="s">
        <v>22</v>
      </c>
      <c r="I988" s="190" t="s">
        <v>2775</v>
      </c>
      <c r="J988" s="190" t="s">
        <v>1731</v>
      </c>
    </row>
    <row r="989" customFormat="false" ht="14.25" hidden="false" customHeight="true" outlineLevel="0" collapsed="false">
      <c r="A989" s="190" t="s">
        <v>4286</v>
      </c>
      <c r="B989" s="190" t="s">
        <v>4287</v>
      </c>
      <c r="C989" s="190" t="s">
        <v>4288</v>
      </c>
      <c r="D989" s="190" t="n">
        <v>1</v>
      </c>
      <c r="E989" s="190" t="n">
        <v>0.48</v>
      </c>
      <c r="F989" s="190" t="n">
        <v>3.52</v>
      </c>
      <c r="G989" s="190" t="n">
        <v>42.4</v>
      </c>
      <c r="H989" s="190" t="s">
        <v>22</v>
      </c>
      <c r="I989" s="190" t="s">
        <v>2775</v>
      </c>
      <c r="J989" s="190" t="s">
        <v>1731</v>
      </c>
    </row>
    <row r="990" customFormat="false" ht="14.25" hidden="false" customHeight="true" outlineLevel="0" collapsed="false">
      <c r="A990" s="190" t="s">
        <v>4289</v>
      </c>
      <c r="B990" s="190" t="s">
        <v>4290</v>
      </c>
      <c r="C990" s="190" t="s">
        <v>4291</v>
      </c>
      <c r="D990" s="190" t="n">
        <v>1</v>
      </c>
      <c r="E990" s="190" t="n">
        <v>0.48</v>
      </c>
      <c r="F990" s="190" t="n">
        <v>2</v>
      </c>
      <c r="G990" s="190" t="n">
        <v>43</v>
      </c>
      <c r="H990" s="190" t="s">
        <v>22</v>
      </c>
      <c r="I990" s="190" t="s">
        <v>2775</v>
      </c>
      <c r="J990" s="190" t="s">
        <v>1731</v>
      </c>
    </row>
    <row r="991" customFormat="false" ht="14.25" hidden="false" customHeight="true" outlineLevel="0" collapsed="false">
      <c r="A991" s="190" t="s">
        <v>4292</v>
      </c>
      <c r="B991" s="190" t="s">
        <v>4293</v>
      </c>
      <c r="C991" s="190" t="s">
        <v>4294</v>
      </c>
      <c r="D991" s="190" t="n">
        <v>1</v>
      </c>
      <c r="E991" s="190" t="n">
        <v>0.48</v>
      </c>
      <c r="F991" s="190" t="n">
        <v>0.67</v>
      </c>
      <c r="G991" s="190" t="n">
        <v>3.32</v>
      </c>
      <c r="H991" s="190" t="s">
        <v>22</v>
      </c>
      <c r="I991" s="190" t="s">
        <v>2745</v>
      </c>
      <c r="J991" s="190" t="s">
        <v>1731</v>
      </c>
    </row>
    <row r="992" customFormat="false" ht="14.25" hidden="false" customHeight="true" outlineLevel="0" collapsed="false">
      <c r="A992" s="190" t="s">
        <v>4295</v>
      </c>
      <c r="B992" s="190" t="s">
        <v>4296</v>
      </c>
      <c r="C992" s="190" t="s">
        <v>4297</v>
      </c>
      <c r="D992" s="190" t="n">
        <v>1</v>
      </c>
      <c r="E992" s="190" t="n">
        <v>0.48</v>
      </c>
      <c r="F992" s="190" t="n">
        <v>5.08</v>
      </c>
      <c r="G992" s="190" t="n">
        <v>42.6</v>
      </c>
      <c r="H992" s="190" t="s">
        <v>22</v>
      </c>
      <c r="I992" s="190" t="s">
        <v>2745</v>
      </c>
      <c r="J992" s="190" t="s">
        <v>1731</v>
      </c>
    </row>
    <row r="993" customFormat="false" ht="14.25" hidden="false" customHeight="true" outlineLevel="0" collapsed="false">
      <c r="A993" s="190" t="s">
        <v>4298</v>
      </c>
      <c r="B993" s="190" t="s">
        <v>4299</v>
      </c>
      <c r="C993" s="190" t="s">
        <v>4300</v>
      </c>
      <c r="D993" s="190" t="n">
        <v>1</v>
      </c>
      <c r="E993" s="190" t="n">
        <v>0.48</v>
      </c>
      <c r="F993" s="190" t="n">
        <v>3</v>
      </c>
      <c r="G993" s="190" t="n">
        <v>42</v>
      </c>
      <c r="H993" s="190" t="s">
        <v>22</v>
      </c>
      <c r="I993" s="190" t="s">
        <v>2745</v>
      </c>
      <c r="J993" s="190" t="s">
        <v>1731</v>
      </c>
    </row>
    <row r="994" customFormat="false" ht="14.25" hidden="false" customHeight="true" outlineLevel="0" collapsed="false">
      <c r="A994" s="190" t="s">
        <v>4301</v>
      </c>
      <c r="B994" s="190" t="s">
        <v>4302</v>
      </c>
      <c r="C994" s="190" t="s">
        <v>4303</v>
      </c>
      <c r="D994" s="190" t="n">
        <v>1</v>
      </c>
      <c r="E994" s="190" t="n">
        <v>0.48</v>
      </c>
      <c r="F994" s="190" t="n">
        <v>1.08</v>
      </c>
      <c r="G994" s="190" t="n">
        <v>43.5</v>
      </c>
      <c r="H994" s="190" t="s">
        <v>22</v>
      </c>
      <c r="I994" s="190" t="s">
        <v>2745</v>
      </c>
      <c r="J994" s="190" t="s">
        <v>1731</v>
      </c>
    </row>
    <row r="995" customFormat="false" ht="14.25" hidden="false" customHeight="true" outlineLevel="0" collapsed="false">
      <c r="A995" s="190" t="s">
        <v>4304</v>
      </c>
      <c r="B995" s="190" t="s">
        <v>4305</v>
      </c>
      <c r="C995" s="190" t="s">
        <v>4306</v>
      </c>
      <c r="D995" s="190" t="n">
        <v>1</v>
      </c>
      <c r="E995" s="190" t="n">
        <v>0.48</v>
      </c>
      <c r="F995" s="190" t="n">
        <v>2.25</v>
      </c>
      <c r="G995" s="190" t="n">
        <v>3.32</v>
      </c>
      <c r="H995" s="190" t="s">
        <v>22</v>
      </c>
      <c r="I995" s="190" t="s">
        <v>2758</v>
      </c>
      <c r="J995" s="190" t="s">
        <v>1731</v>
      </c>
    </row>
    <row r="996" customFormat="false" ht="14.25" hidden="false" customHeight="true" outlineLevel="0" collapsed="false">
      <c r="A996" s="190" t="s">
        <v>4307</v>
      </c>
      <c r="B996" s="190" t="s">
        <v>4308</v>
      </c>
      <c r="C996" s="190" t="s">
        <v>4309</v>
      </c>
      <c r="D996" s="190" t="n">
        <v>1</v>
      </c>
      <c r="E996" s="190" t="n">
        <v>0.48</v>
      </c>
      <c r="F996" s="190" t="n">
        <v>0.58</v>
      </c>
      <c r="G996" s="190" t="n">
        <v>44.7</v>
      </c>
      <c r="H996" s="190" t="s">
        <v>22</v>
      </c>
      <c r="I996" s="190" t="s">
        <v>2758</v>
      </c>
      <c r="J996" s="190" t="s">
        <v>1731</v>
      </c>
    </row>
    <row r="997" customFormat="false" ht="14.25" hidden="false" customHeight="true" outlineLevel="0" collapsed="false">
      <c r="A997" s="190" t="s">
        <v>4310</v>
      </c>
      <c r="B997" s="190" t="s">
        <v>4311</v>
      </c>
      <c r="C997" s="190" t="s">
        <v>4312</v>
      </c>
      <c r="D997" s="190" t="n">
        <v>1</v>
      </c>
      <c r="E997" s="190" t="n">
        <v>0.7</v>
      </c>
      <c r="F997" s="190" t="n">
        <v>3</v>
      </c>
      <c r="G997" s="190" t="n">
        <v>42.1</v>
      </c>
      <c r="H997" s="190" t="s">
        <v>22</v>
      </c>
      <c r="I997" s="190" t="s">
        <v>2758</v>
      </c>
      <c r="J997" s="190" t="s">
        <v>1731</v>
      </c>
    </row>
    <row r="998" customFormat="false" ht="14.25" hidden="false" customHeight="true" outlineLevel="0" collapsed="false">
      <c r="A998" s="190" t="s">
        <v>4313</v>
      </c>
      <c r="B998" s="190" t="s">
        <v>4314</v>
      </c>
      <c r="C998" s="190" t="s">
        <v>4315</v>
      </c>
      <c r="D998" s="190" t="n">
        <v>1</v>
      </c>
      <c r="E998" s="190" t="n">
        <v>0.7</v>
      </c>
      <c r="F998" s="190" t="n">
        <v>2.08</v>
      </c>
      <c r="G998" s="190" t="n">
        <v>45.4</v>
      </c>
      <c r="H998" s="190" t="s">
        <v>22</v>
      </c>
      <c r="I998" s="190" t="s">
        <v>2758</v>
      </c>
      <c r="J998" s="190" t="s">
        <v>1731</v>
      </c>
    </row>
    <row r="999" customFormat="false" ht="14.25" hidden="false" customHeight="true" outlineLevel="0" collapsed="false">
      <c r="A999" s="190" t="s">
        <v>4316</v>
      </c>
      <c r="B999" s="190" t="s">
        <v>4317</v>
      </c>
      <c r="C999" s="190" t="s">
        <v>4318</v>
      </c>
      <c r="D999" s="190" t="n">
        <v>1</v>
      </c>
      <c r="E999" s="190" t="n">
        <v>5.37</v>
      </c>
      <c r="F999" s="190" t="n">
        <v>25</v>
      </c>
      <c r="G999" s="190" t="n">
        <v>26.5</v>
      </c>
      <c r="H999" s="190" t="s">
        <v>22</v>
      </c>
      <c r="I999" s="190" t="s">
        <v>1790</v>
      </c>
      <c r="J999" s="190" t="s">
        <v>1731</v>
      </c>
    </row>
    <row r="1000" customFormat="false" ht="14.25" hidden="false" customHeight="true" outlineLevel="0" collapsed="false">
      <c r="A1000" s="190" t="s">
        <v>4319</v>
      </c>
      <c r="B1000" s="190" t="s">
        <v>4320</v>
      </c>
      <c r="C1000" s="190" t="s">
        <v>4321</v>
      </c>
      <c r="D1000" s="190" t="n">
        <v>1</v>
      </c>
      <c r="E1000" s="190" t="n">
        <v>5.37</v>
      </c>
      <c r="F1000" s="190" t="n">
        <v>0.58</v>
      </c>
      <c r="G1000" s="190" t="n">
        <v>42.5</v>
      </c>
      <c r="H1000" s="190" t="s">
        <v>22</v>
      </c>
      <c r="I1000" s="190" t="s">
        <v>1790</v>
      </c>
      <c r="J1000" s="190" t="s">
        <v>1731</v>
      </c>
    </row>
    <row r="1001" customFormat="false" ht="14.25" hidden="false" customHeight="true" outlineLevel="0" collapsed="false">
      <c r="A1001" s="190" t="s">
        <v>4322</v>
      </c>
      <c r="B1001" s="190" t="s">
        <v>4323</v>
      </c>
      <c r="C1001" s="190" t="s">
        <v>4324</v>
      </c>
      <c r="D1001" s="190" t="n">
        <v>1</v>
      </c>
      <c r="E1001" s="190" t="n">
        <v>2.63</v>
      </c>
      <c r="F1001" s="190" t="n">
        <v>1.5</v>
      </c>
      <c r="G1001" s="190" t="n">
        <v>25.4</v>
      </c>
      <c r="H1001" s="190" t="s">
        <v>22</v>
      </c>
      <c r="I1001" s="190" t="s">
        <v>1790</v>
      </c>
      <c r="J1001" s="190" t="s">
        <v>1731</v>
      </c>
    </row>
    <row r="1002" customFormat="false" ht="14.25" hidden="false" customHeight="true" outlineLevel="0" collapsed="false">
      <c r="A1002" s="190" t="s">
        <v>4325</v>
      </c>
      <c r="B1002" s="190" t="s">
        <v>4326</v>
      </c>
      <c r="C1002" s="190" t="s">
        <v>4327</v>
      </c>
      <c r="D1002" s="190" t="n">
        <v>1</v>
      </c>
      <c r="E1002" s="190" t="n">
        <v>2.63</v>
      </c>
      <c r="F1002" s="190" t="n">
        <v>1.58</v>
      </c>
      <c r="G1002" s="190" t="n">
        <v>30.2</v>
      </c>
      <c r="H1002" s="190" t="s">
        <v>22</v>
      </c>
      <c r="I1002" s="190" t="s">
        <v>1790</v>
      </c>
      <c r="J1002" s="190" t="s">
        <v>1731</v>
      </c>
    </row>
    <row r="1003" customFormat="false" ht="14.25" hidden="false" customHeight="true" outlineLevel="0" collapsed="false">
      <c r="A1003" s="190" t="s">
        <v>4328</v>
      </c>
      <c r="B1003" s="190" t="s">
        <v>4329</v>
      </c>
      <c r="C1003" s="190" t="s">
        <v>4330</v>
      </c>
      <c r="D1003" s="190" t="n">
        <v>1</v>
      </c>
      <c r="E1003" s="190" t="n">
        <v>2.2</v>
      </c>
      <c r="F1003" s="190" t="n">
        <v>14.67</v>
      </c>
      <c r="G1003" s="190" t="n">
        <v>166.6</v>
      </c>
      <c r="H1003" s="190" t="s">
        <v>22</v>
      </c>
      <c r="I1003" s="190" t="s">
        <v>1790</v>
      </c>
      <c r="J1003" s="190" t="s">
        <v>1731</v>
      </c>
    </row>
    <row r="1004" customFormat="false" ht="14.25" hidden="false" customHeight="true" outlineLevel="0" collapsed="false">
      <c r="A1004" s="190" t="s">
        <v>4331</v>
      </c>
      <c r="B1004" s="190" t="s">
        <v>4332</v>
      </c>
      <c r="C1004" s="190" t="s">
        <v>4333</v>
      </c>
      <c r="D1004" s="190" t="n">
        <v>1</v>
      </c>
      <c r="E1004" s="190" t="n">
        <v>2.2</v>
      </c>
      <c r="F1004" s="190" t="n">
        <v>8.33</v>
      </c>
      <c r="G1004" s="190" t="n">
        <v>24</v>
      </c>
      <c r="H1004" s="190" t="s">
        <v>22</v>
      </c>
      <c r="I1004" s="190" t="s">
        <v>1790</v>
      </c>
      <c r="J1004" s="190" t="s">
        <v>1731</v>
      </c>
    </row>
    <row r="1005" customFormat="false" ht="14.25" hidden="false" customHeight="true" outlineLevel="0" collapsed="false">
      <c r="A1005" s="190" t="s">
        <v>4334</v>
      </c>
      <c r="B1005" s="190" t="s">
        <v>4335</v>
      </c>
      <c r="C1005" s="190" t="s">
        <v>4336</v>
      </c>
      <c r="D1005" s="190" t="n">
        <v>1</v>
      </c>
      <c r="E1005" s="190" t="n">
        <v>0.43</v>
      </c>
      <c r="F1005" s="190" t="n">
        <v>1.5</v>
      </c>
      <c r="G1005" s="190" t="n">
        <v>28.1</v>
      </c>
      <c r="H1005" s="190" t="s">
        <v>22</v>
      </c>
      <c r="I1005" s="190" t="s">
        <v>1790</v>
      </c>
      <c r="J1005" s="190" t="s">
        <v>1731</v>
      </c>
    </row>
    <row r="1006" customFormat="false" ht="14.25" hidden="false" customHeight="true" outlineLevel="0" collapsed="false">
      <c r="A1006" s="190" t="s">
        <v>4337</v>
      </c>
      <c r="B1006" s="190" t="s">
        <v>4338</v>
      </c>
      <c r="C1006" s="190" t="s">
        <v>4339</v>
      </c>
      <c r="D1006" s="190" t="n">
        <v>1</v>
      </c>
      <c r="E1006" s="190" t="n">
        <v>0.43</v>
      </c>
      <c r="F1006" s="190" t="n">
        <v>6.03</v>
      </c>
      <c r="G1006" s="190" t="n">
        <v>23.02</v>
      </c>
      <c r="H1006" s="190" t="s">
        <v>22</v>
      </c>
      <c r="I1006" s="190" t="s">
        <v>1790</v>
      </c>
      <c r="J1006" s="190" t="s">
        <v>1731</v>
      </c>
    </row>
    <row r="1007" customFormat="false" ht="14.25" hidden="false" customHeight="true" outlineLevel="0" collapsed="false">
      <c r="A1007" s="190" t="s">
        <v>4340</v>
      </c>
      <c r="B1007" s="190" t="s">
        <v>4341</v>
      </c>
      <c r="C1007" s="190" t="s">
        <v>4342</v>
      </c>
      <c r="D1007" s="190" t="n">
        <v>1</v>
      </c>
      <c r="E1007" s="190" t="n">
        <v>4.67</v>
      </c>
      <c r="F1007" s="190" t="n">
        <v>42.2</v>
      </c>
      <c r="G1007" s="190" t="n">
        <v>30.7</v>
      </c>
      <c r="H1007" s="190" t="s">
        <v>22</v>
      </c>
      <c r="I1007" s="190" t="s">
        <v>4343</v>
      </c>
      <c r="J1007" s="190"/>
    </row>
    <row r="1008" customFormat="false" ht="14.25" hidden="false" customHeight="true" outlineLevel="0" collapsed="false">
      <c r="A1008" s="190" t="s">
        <v>4344</v>
      </c>
      <c r="B1008" s="190" t="s">
        <v>4345</v>
      </c>
      <c r="C1008" s="190" t="s">
        <v>4346</v>
      </c>
      <c r="D1008" s="190" t="n">
        <v>1</v>
      </c>
      <c r="E1008" s="190" t="n">
        <v>0</v>
      </c>
      <c r="F1008" s="190" t="n">
        <v>0.17</v>
      </c>
      <c r="G1008" s="190" t="n">
        <v>0.17</v>
      </c>
      <c r="H1008" s="190" t="s">
        <v>22</v>
      </c>
      <c r="I1008" s="190" t="n">
        <v>53</v>
      </c>
      <c r="J1008" s="190"/>
    </row>
    <row r="1009" customFormat="false" ht="14.25" hidden="false" customHeight="true" outlineLevel="0" collapsed="false">
      <c r="A1009" s="190" t="s">
        <v>4347</v>
      </c>
      <c r="B1009" s="190" t="s">
        <v>4348</v>
      </c>
      <c r="C1009" s="190" t="s">
        <v>4349</v>
      </c>
      <c r="D1009" s="190" t="n">
        <v>1</v>
      </c>
      <c r="E1009" s="190" t="n">
        <v>0</v>
      </c>
      <c r="F1009" s="190" t="n">
        <v>0.17</v>
      </c>
      <c r="G1009" s="190" t="n">
        <v>0.17</v>
      </c>
      <c r="H1009" s="190" t="s">
        <v>22</v>
      </c>
      <c r="I1009" s="190" t="n">
        <v>53</v>
      </c>
      <c r="J1009" s="190"/>
    </row>
    <row r="1010" customFormat="false" ht="14.25" hidden="false" customHeight="true" outlineLevel="0" collapsed="false">
      <c r="A1010" s="190" t="s">
        <v>4350</v>
      </c>
      <c r="B1010" s="190" t="s">
        <v>4351</v>
      </c>
      <c r="C1010" s="190" t="s">
        <v>4352</v>
      </c>
      <c r="D1010" s="190" t="s">
        <v>4353</v>
      </c>
      <c r="E1010" s="190" t="n">
        <v>0.5</v>
      </c>
      <c r="F1010" s="190" t="n">
        <v>3</v>
      </c>
      <c r="G1010" s="190" t="n">
        <v>72.6</v>
      </c>
      <c r="H1010" s="190" t="s">
        <v>22</v>
      </c>
      <c r="I1010" s="190" t="n">
        <v>32</v>
      </c>
      <c r="J1010" s="190"/>
    </row>
    <row r="1011" customFormat="false" ht="14.25" hidden="false" customHeight="true" outlineLevel="0" collapsed="false">
      <c r="A1011" s="190" t="s">
        <v>599</v>
      </c>
      <c r="B1011" s="190" t="s">
        <v>597</v>
      </c>
      <c r="C1011" s="190" t="s">
        <v>598</v>
      </c>
      <c r="D1011" s="190" t="n">
        <v>1</v>
      </c>
      <c r="E1011" s="190" t="n">
        <v>1.5</v>
      </c>
      <c r="F1011" s="190" t="n">
        <v>5</v>
      </c>
      <c r="G1011" s="190" t="n">
        <v>3.58</v>
      </c>
      <c r="H1011" s="190" t="s">
        <v>22</v>
      </c>
      <c r="I1011" s="190" t="n">
        <v>25</v>
      </c>
      <c r="J1011" s="190"/>
    </row>
    <row r="1012" customFormat="false" ht="14.25" hidden="false" customHeight="true" outlineLevel="0" collapsed="false">
      <c r="A1012" s="190" t="s">
        <v>4354</v>
      </c>
      <c r="B1012" s="190" t="s">
        <v>4355</v>
      </c>
      <c r="C1012" s="190" t="s">
        <v>4356</v>
      </c>
      <c r="D1012" s="190" t="s">
        <v>2196</v>
      </c>
      <c r="E1012" s="190" t="n">
        <v>3</v>
      </c>
      <c r="F1012" s="190" t="n">
        <v>22</v>
      </c>
      <c r="G1012" s="190" t="n">
        <v>114.4</v>
      </c>
      <c r="H1012" s="190" t="s">
        <v>22</v>
      </c>
      <c r="I1012" s="190" t="n">
        <v>23</v>
      </c>
      <c r="J1012" s="190"/>
    </row>
    <row r="1013" customFormat="false" ht="14.25" hidden="false" customHeight="true" outlineLevel="0" collapsed="false">
      <c r="A1013" s="190" t="s">
        <v>602</v>
      </c>
      <c r="B1013" s="190" t="s">
        <v>600</v>
      </c>
      <c r="C1013" s="190" t="s">
        <v>601</v>
      </c>
      <c r="D1013" s="190" t="s">
        <v>4357</v>
      </c>
      <c r="E1013" s="190" t="n">
        <v>0.5</v>
      </c>
      <c r="F1013" s="190" t="n">
        <v>4</v>
      </c>
      <c r="G1013" s="190" t="n">
        <v>3.03</v>
      </c>
      <c r="H1013" s="190" t="s">
        <v>22</v>
      </c>
      <c r="I1013" s="190" t="n">
        <v>25</v>
      </c>
      <c r="J1013" s="190"/>
    </row>
    <row r="1014" customFormat="false" ht="14.25" hidden="false" customHeight="true" outlineLevel="0" collapsed="false">
      <c r="A1014" s="190" t="s">
        <v>4358</v>
      </c>
      <c r="B1014" s="190" t="s">
        <v>4359</v>
      </c>
      <c r="C1014" s="190" t="s">
        <v>4360</v>
      </c>
      <c r="D1014" s="190" t="s">
        <v>1861</v>
      </c>
      <c r="E1014" s="190" t="n">
        <v>15.87</v>
      </c>
      <c r="F1014" s="190" t="n">
        <v>94.2</v>
      </c>
      <c r="G1014" s="190" t="n">
        <v>30.5</v>
      </c>
      <c r="H1014" s="190" t="s">
        <v>22</v>
      </c>
      <c r="I1014" s="190" t="n">
        <v>27</v>
      </c>
      <c r="J1014" s="190"/>
    </row>
    <row r="1015" customFormat="false" ht="14.25" hidden="false" customHeight="true" outlineLevel="0" collapsed="false">
      <c r="A1015" s="190" t="s">
        <v>4361</v>
      </c>
      <c r="B1015" s="190" t="s">
        <v>4362</v>
      </c>
      <c r="C1015" s="190" t="s">
        <v>4363</v>
      </c>
      <c r="D1015" s="190" t="s">
        <v>1861</v>
      </c>
      <c r="E1015" s="190" t="n">
        <v>2</v>
      </c>
      <c r="F1015" s="190" t="n">
        <v>21</v>
      </c>
      <c r="G1015" s="190" t="n">
        <v>29.3</v>
      </c>
      <c r="H1015" s="190" t="s">
        <v>22</v>
      </c>
      <c r="I1015" s="190" t="n">
        <v>31</v>
      </c>
      <c r="J1015" s="190"/>
    </row>
    <row r="1016" customFormat="false" ht="14.25" hidden="false" customHeight="true" outlineLevel="0" collapsed="false">
      <c r="A1016" s="190" t="s">
        <v>4364</v>
      </c>
      <c r="B1016" s="190" t="s">
        <v>4365</v>
      </c>
      <c r="C1016" s="190" t="s">
        <v>4366</v>
      </c>
      <c r="D1016" s="190" t="s">
        <v>1861</v>
      </c>
      <c r="E1016" s="190" t="n">
        <v>4.92</v>
      </c>
      <c r="F1016" s="190" t="n">
        <v>16</v>
      </c>
      <c r="G1016" s="190" t="n">
        <v>67.2</v>
      </c>
      <c r="H1016" s="190" t="s">
        <v>22</v>
      </c>
      <c r="I1016" s="190" t="n">
        <v>31</v>
      </c>
      <c r="J1016" s="190"/>
    </row>
    <row r="1017" customFormat="false" ht="14.25" hidden="false" customHeight="true" outlineLevel="0" collapsed="false">
      <c r="A1017" s="190" t="s">
        <v>4367</v>
      </c>
      <c r="B1017" s="190" t="s">
        <v>4368</v>
      </c>
      <c r="C1017" s="190" t="s">
        <v>4369</v>
      </c>
      <c r="D1017" s="190" t="s">
        <v>1861</v>
      </c>
      <c r="E1017" s="190" t="n">
        <v>2.5</v>
      </c>
      <c r="F1017" s="190" t="n">
        <v>16</v>
      </c>
      <c r="G1017" s="190" t="n">
        <v>3.03</v>
      </c>
      <c r="H1017" s="190" t="s">
        <v>22</v>
      </c>
      <c r="I1017" s="190" t="n">
        <v>31</v>
      </c>
      <c r="J1017" s="190"/>
    </row>
    <row r="1018" customFormat="false" ht="14.25" hidden="false" customHeight="true" outlineLevel="0" collapsed="false">
      <c r="A1018" s="190" t="s">
        <v>606</v>
      </c>
      <c r="B1018" s="190" t="s">
        <v>604</v>
      </c>
      <c r="C1018" s="190" t="s">
        <v>605</v>
      </c>
      <c r="D1018" s="190" t="s">
        <v>2200</v>
      </c>
      <c r="E1018" s="190" t="n">
        <v>2.5</v>
      </c>
      <c r="F1018" s="190" t="n">
        <v>19</v>
      </c>
      <c r="G1018" s="190" t="n">
        <v>70.3</v>
      </c>
      <c r="H1018" s="190" t="s">
        <v>22</v>
      </c>
      <c r="I1018" s="190" t="n">
        <v>31</v>
      </c>
      <c r="J1018" s="190"/>
    </row>
    <row r="1019" customFormat="false" ht="14.25" hidden="false" customHeight="true" outlineLevel="0" collapsed="false">
      <c r="A1019" s="190" t="s">
        <v>4370</v>
      </c>
      <c r="B1019" s="190" t="s">
        <v>4371</v>
      </c>
      <c r="C1019" s="190" t="s">
        <v>2221</v>
      </c>
      <c r="D1019" s="190" t="s">
        <v>2200</v>
      </c>
      <c r="E1019" s="190" t="n">
        <v>12.75</v>
      </c>
      <c r="F1019" s="190" t="n">
        <v>22.83</v>
      </c>
      <c r="G1019" s="190" t="n">
        <v>379.4</v>
      </c>
      <c r="H1019" s="190" t="s">
        <v>22</v>
      </c>
      <c r="I1019" s="190" t="n">
        <v>32</v>
      </c>
      <c r="J1019" s="190"/>
    </row>
    <row r="1020" customFormat="false" ht="14.25" hidden="false" customHeight="true" outlineLevel="0" collapsed="false">
      <c r="A1020" s="190" t="s">
        <v>623</v>
      </c>
      <c r="B1020" s="190" t="s">
        <v>621</v>
      </c>
      <c r="C1020" s="190" t="s">
        <v>622</v>
      </c>
      <c r="D1020" s="190" t="s">
        <v>2196</v>
      </c>
      <c r="E1020" s="190" t="n">
        <v>18</v>
      </c>
      <c r="F1020" s="190" t="n">
        <v>98.2</v>
      </c>
      <c r="G1020" s="190" t="n">
        <v>336.3</v>
      </c>
      <c r="H1020" s="190" t="s">
        <v>22</v>
      </c>
      <c r="I1020" s="190" t="n">
        <v>46</v>
      </c>
      <c r="J1020" s="190"/>
    </row>
    <row r="1021" customFormat="false" ht="14.25" hidden="false" customHeight="true" outlineLevel="0" collapsed="false">
      <c r="A1021" s="190" t="s">
        <v>627</v>
      </c>
      <c r="B1021" s="190" t="s">
        <v>625</v>
      </c>
      <c r="C1021" s="190" t="s">
        <v>626</v>
      </c>
      <c r="D1021" s="190" t="s">
        <v>2196</v>
      </c>
      <c r="E1021" s="190" t="n">
        <v>18.5</v>
      </c>
      <c r="F1021" s="190" t="n">
        <v>65</v>
      </c>
      <c r="G1021" s="190" t="n">
        <v>359.8</v>
      </c>
      <c r="H1021" s="190" t="s">
        <v>22</v>
      </c>
      <c r="I1021" s="190" t="n">
        <v>46</v>
      </c>
      <c r="J1021" s="190"/>
    </row>
    <row r="1022" customFormat="false" ht="14.25" hidden="false" customHeight="true" outlineLevel="0" collapsed="false">
      <c r="A1022" s="190" t="s">
        <v>630</v>
      </c>
      <c r="B1022" s="190" t="s">
        <v>628</v>
      </c>
      <c r="C1022" s="190" t="s">
        <v>629</v>
      </c>
      <c r="D1022" s="190" t="s">
        <v>2196</v>
      </c>
      <c r="E1022" s="190" t="n">
        <v>2.5</v>
      </c>
      <c r="F1022" s="190" t="n">
        <v>25</v>
      </c>
      <c r="G1022" s="190" t="n">
        <v>157.7</v>
      </c>
      <c r="H1022" s="190" t="s">
        <v>22</v>
      </c>
      <c r="I1022" s="190" t="n">
        <v>46</v>
      </c>
      <c r="J1022" s="190"/>
    </row>
    <row r="1023" customFormat="false" ht="14.25" hidden="false" customHeight="true" outlineLevel="0" collapsed="false">
      <c r="A1023" s="190" t="s">
        <v>633</v>
      </c>
      <c r="B1023" s="190" t="s">
        <v>631</v>
      </c>
      <c r="C1023" s="190" t="s">
        <v>632</v>
      </c>
      <c r="D1023" s="190" t="s">
        <v>1861</v>
      </c>
      <c r="E1023" s="190" t="n">
        <v>4</v>
      </c>
      <c r="F1023" s="190" t="n">
        <v>25.2</v>
      </c>
      <c r="G1023" s="190" t="n">
        <v>5.68</v>
      </c>
      <c r="H1023" s="190" t="s">
        <v>22</v>
      </c>
      <c r="I1023" s="190" t="n">
        <v>46</v>
      </c>
      <c r="J1023" s="190"/>
    </row>
    <row r="1024" customFormat="false" ht="14.25" hidden="false" customHeight="true" outlineLevel="0" collapsed="false">
      <c r="A1024" s="190" t="s">
        <v>636</v>
      </c>
      <c r="B1024" s="190" t="s">
        <v>634</v>
      </c>
      <c r="C1024" s="190" t="s">
        <v>635</v>
      </c>
      <c r="D1024" s="190" t="s">
        <v>1861</v>
      </c>
      <c r="E1024" s="190" t="n">
        <v>2.5</v>
      </c>
      <c r="F1024" s="190" t="n">
        <v>17.25</v>
      </c>
      <c r="G1024" s="190" t="n">
        <v>17.9</v>
      </c>
      <c r="H1024" s="190" t="s">
        <v>22</v>
      </c>
      <c r="I1024" s="190" t="n">
        <v>46</v>
      </c>
      <c r="J1024" s="190"/>
    </row>
    <row r="1025" customFormat="false" ht="14.25" hidden="false" customHeight="true" outlineLevel="0" collapsed="false">
      <c r="A1025" s="190" t="s">
        <v>4372</v>
      </c>
      <c r="B1025" s="190" t="s">
        <v>4373</v>
      </c>
      <c r="C1025" s="190" t="s">
        <v>4374</v>
      </c>
      <c r="D1025" s="190" t="s">
        <v>1861</v>
      </c>
      <c r="E1025" s="190" t="n">
        <v>6.5</v>
      </c>
      <c r="F1025" s="190" t="n">
        <v>2.6</v>
      </c>
      <c r="G1025" s="190" t="n">
        <v>10.68</v>
      </c>
      <c r="H1025" s="190" t="s">
        <v>22</v>
      </c>
      <c r="I1025" s="190" t="s">
        <v>2799</v>
      </c>
      <c r="J1025" s="190" t="s">
        <v>4375</v>
      </c>
    </row>
    <row r="1026" customFormat="false" ht="14.25" hidden="false" customHeight="true" outlineLevel="0" collapsed="false">
      <c r="A1026" s="190" t="s">
        <v>4376</v>
      </c>
      <c r="B1026" s="190" t="s">
        <v>4377</v>
      </c>
      <c r="C1026" s="190" t="s">
        <v>4378</v>
      </c>
      <c r="D1026" s="190" t="s">
        <v>2552</v>
      </c>
      <c r="E1026" s="190" t="n">
        <v>2</v>
      </c>
      <c r="F1026" s="190" t="n">
        <v>21</v>
      </c>
      <c r="G1026" s="190" t="n">
        <v>5.17</v>
      </c>
      <c r="H1026" s="190" t="s">
        <v>22</v>
      </c>
      <c r="I1026" s="190" t="n">
        <v>36</v>
      </c>
      <c r="J1026" s="190"/>
    </row>
    <row r="1027" customFormat="false" ht="14.25" hidden="false" customHeight="true" outlineLevel="0" collapsed="false">
      <c r="A1027" s="190" t="s">
        <v>657</v>
      </c>
      <c r="B1027" s="190" t="s">
        <v>655</v>
      </c>
      <c r="C1027" s="190" t="s">
        <v>656</v>
      </c>
      <c r="D1027" s="190" t="s">
        <v>1720</v>
      </c>
      <c r="E1027" s="190" t="n">
        <v>0</v>
      </c>
      <c r="F1027" s="190" t="n">
        <v>4</v>
      </c>
      <c r="G1027" s="190" t="n">
        <v>5.98</v>
      </c>
      <c r="H1027" s="190" t="s">
        <v>22</v>
      </c>
      <c r="I1027" s="190" t="s">
        <v>234</v>
      </c>
      <c r="J1027" s="190"/>
    </row>
    <row r="1028" customFormat="false" ht="14.25" hidden="false" customHeight="true" outlineLevel="0" collapsed="false">
      <c r="A1028" s="190" t="s">
        <v>4379</v>
      </c>
      <c r="B1028" s="190" t="s">
        <v>4380</v>
      </c>
      <c r="C1028" s="190" t="s">
        <v>4381</v>
      </c>
      <c r="D1028" s="190" t="n">
        <v>1</v>
      </c>
      <c r="E1028" s="190" t="n">
        <v>1.75</v>
      </c>
      <c r="F1028" s="190" t="n">
        <v>49.6</v>
      </c>
      <c r="G1028" s="190" t="n">
        <v>545.2</v>
      </c>
      <c r="H1028" s="190" t="s">
        <v>22</v>
      </c>
      <c r="I1028" s="190" t="s">
        <v>3525</v>
      </c>
      <c r="J1028" s="190"/>
    </row>
    <row r="1029" customFormat="false" ht="14.25" hidden="false" customHeight="true" outlineLevel="0" collapsed="false">
      <c r="A1029" s="190" t="s">
        <v>4382</v>
      </c>
      <c r="B1029" s="190" t="s">
        <v>4383</v>
      </c>
      <c r="C1029" s="190" t="s">
        <v>4384</v>
      </c>
      <c r="D1029" s="190" t="n">
        <v>1</v>
      </c>
      <c r="E1029" s="190" t="n">
        <v>1.75</v>
      </c>
      <c r="F1029" s="190" t="n">
        <v>71.6</v>
      </c>
      <c r="G1029" s="190" t="n">
        <v>502.4</v>
      </c>
      <c r="H1029" s="190" t="s">
        <v>22</v>
      </c>
      <c r="I1029" s="190" t="s">
        <v>3525</v>
      </c>
      <c r="J1029" s="190"/>
    </row>
    <row r="1030" customFormat="false" ht="14.25" hidden="false" customHeight="true" outlineLevel="0" collapsed="false">
      <c r="A1030" s="190" t="s">
        <v>4385</v>
      </c>
      <c r="B1030" s="190" t="s">
        <v>4386</v>
      </c>
      <c r="C1030" s="190" t="s">
        <v>4387</v>
      </c>
      <c r="D1030" s="190" t="n">
        <v>1</v>
      </c>
      <c r="E1030" s="190" t="n">
        <v>1.75</v>
      </c>
      <c r="F1030" s="190" t="n">
        <v>69.5</v>
      </c>
      <c r="G1030" s="190" t="n">
        <v>440.4</v>
      </c>
      <c r="H1030" s="190" t="s">
        <v>22</v>
      </c>
      <c r="I1030" s="190" t="s">
        <v>3525</v>
      </c>
      <c r="J1030" s="190"/>
    </row>
    <row r="1031" customFormat="false" ht="14.25" hidden="false" customHeight="true" outlineLevel="0" collapsed="false">
      <c r="A1031" s="190" t="s">
        <v>4388</v>
      </c>
      <c r="B1031" s="190" t="s">
        <v>4389</v>
      </c>
      <c r="C1031" s="190" t="s">
        <v>4390</v>
      </c>
      <c r="D1031" s="190" t="n">
        <v>1</v>
      </c>
      <c r="E1031" s="190" t="n">
        <v>1.75</v>
      </c>
      <c r="F1031" s="190" t="n">
        <v>56.8</v>
      </c>
      <c r="G1031" s="190" t="n">
        <v>502.4</v>
      </c>
      <c r="H1031" s="190" t="s">
        <v>22</v>
      </c>
      <c r="I1031" s="190" t="s">
        <v>3525</v>
      </c>
      <c r="J1031" s="190"/>
    </row>
    <row r="1032" customFormat="false" ht="14.25" hidden="false" customHeight="true" outlineLevel="0" collapsed="false">
      <c r="A1032" s="190" t="s">
        <v>4391</v>
      </c>
      <c r="B1032" s="190" t="s">
        <v>4392</v>
      </c>
      <c r="C1032" s="190" t="s">
        <v>4393</v>
      </c>
      <c r="D1032" s="190" t="s">
        <v>2204</v>
      </c>
      <c r="E1032" s="190" t="n">
        <v>2.08</v>
      </c>
      <c r="F1032" s="190" t="n">
        <v>3</v>
      </c>
      <c r="G1032" s="190" t="n">
        <v>1.15</v>
      </c>
      <c r="H1032" s="190" t="s">
        <v>22</v>
      </c>
      <c r="I1032" s="190" t="s">
        <v>1883</v>
      </c>
      <c r="J1032" s="190" t="s">
        <v>1743</v>
      </c>
    </row>
    <row r="1033" customFormat="false" ht="14.25" hidden="false" customHeight="true" outlineLevel="0" collapsed="false">
      <c r="A1033" s="190" t="s">
        <v>4394</v>
      </c>
      <c r="B1033" s="190" t="s">
        <v>4395</v>
      </c>
      <c r="C1033" s="190" t="s">
        <v>4396</v>
      </c>
      <c r="D1033" s="190" t="s">
        <v>2204</v>
      </c>
      <c r="E1033" s="190" t="n">
        <v>2.08</v>
      </c>
      <c r="F1033" s="190" t="n">
        <v>3.97</v>
      </c>
      <c r="G1033" s="190" t="n">
        <v>3.3</v>
      </c>
      <c r="H1033" s="190" t="s">
        <v>22</v>
      </c>
      <c r="I1033" s="190" t="s">
        <v>1883</v>
      </c>
      <c r="J1033" s="190" t="s">
        <v>1743</v>
      </c>
    </row>
    <row r="1034" customFormat="false" ht="14.25" hidden="false" customHeight="true" outlineLevel="0" collapsed="false">
      <c r="A1034" s="190" t="s">
        <v>4397</v>
      </c>
      <c r="B1034" s="190" t="s">
        <v>4398</v>
      </c>
      <c r="C1034" s="190" t="s">
        <v>4399</v>
      </c>
      <c r="D1034" s="190" t="n">
        <v>1</v>
      </c>
      <c r="E1034" s="190" t="n">
        <v>13.6</v>
      </c>
      <c r="F1034" s="190" t="n">
        <v>125.5</v>
      </c>
      <c r="G1034" s="190" t="n">
        <v>41.2</v>
      </c>
      <c r="H1034" s="190" t="s">
        <v>22</v>
      </c>
      <c r="I1034" s="190" t="n">
        <v>72</v>
      </c>
      <c r="J1034" s="190" t="s">
        <v>4400</v>
      </c>
    </row>
    <row r="1035" customFormat="false" ht="14.25" hidden="false" customHeight="true" outlineLevel="0" collapsed="false">
      <c r="A1035" s="190" t="s">
        <v>4401</v>
      </c>
      <c r="B1035" s="190" t="s">
        <v>4402</v>
      </c>
      <c r="C1035" s="190" t="s">
        <v>4403</v>
      </c>
      <c r="D1035" s="190" t="s">
        <v>1720</v>
      </c>
      <c r="E1035" s="190" t="n">
        <v>2</v>
      </c>
      <c r="F1035" s="190" t="n">
        <v>2.5</v>
      </c>
      <c r="G1035" s="190" t="n">
        <v>2490.4</v>
      </c>
      <c r="H1035" s="190" t="s">
        <v>22</v>
      </c>
      <c r="I1035" s="190" t="s">
        <v>699</v>
      </c>
      <c r="J1035" s="190"/>
    </row>
    <row r="1036" customFormat="false" ht="14.25" hidden="false" customHeight="true" outlineLevel="0" collapsed="false">
      <c r="A1036" s="190" t="s">
        <v>669</v>
      </c>
      <c r="B1036" s="190" t="s">
        <v>667</v>
      </c>
      <c r="C1036" s="190" t="s">
        <v>668</v>
      </c>
      <c r="D1036" s="190" t="s">
        <v>1720</v>
      </c>
      <c r="E1036" s="190" t="n">
        <v>9</v>
      </c>
      <c r="F1036" s="190" t="n">
        <v>1.72</v>
      </c>
      <c r="G1036" s="190" t="n">
        <v>12.43</v>
      </c>
      <c r="H1036" s="190" t="s">
        <v>22</v>
      </c>
      <c r="I1036" s="190" t="n">
        <v>20</v>
      </c>
      <c r="J1036" s="190" t="s">
        <v>4404</v>
      </c>
    </row>
    <row r="1037" customFormat="false" ht="14.25" hidden="false" customHeight="true" outlineLevel="0" collapsed="false">
      <c r="A1037" s="190" t="s">
        <v>673</v>
      </c>
      <c r="B1037" s="190" t="s">
        <v>671</v>
      </c>
      <c r="C1037" s="190" t="s">
        <v>672</v>
      </c>
      <c r="D1037" s="190" t="s">
        <v>1720</v>
      </c>
      <c r="E1037" s="190" t="n">
        <v>13</v>
      </c>
      <c r="F1037" s="190" t="n">
        <v>0</v>
      </c>
      <c r="G1037" s="190" t="n">
        <v>0</v>
      </c>
      <c r="H1037" s="190" t="s">
        <v>22</v>
      </c>
      <c r="I1037" s="190" t="n">
        <v>20</v>
      </c>
      <c r="J1037" s="190" t="s">
        <v>4405</v>
      </c>
    </row>
    <row r="1038" customFormat="false" ht="14.25" hidden="false" customHeight="true" outlineLevel="0" collapsed="false">
      <c r="A1038" s="190" t="s">
        <v>679</v>
      </c>
      <c r="B1038" s="190" t="s">
        <v>677</v>
      </c>
      <c r="C1038" s="190" t="s">
        <v>678</v>
      </c>
      <c r="D1038" s="190" t="s">
        <v>1720</v>
      </c>
      <c r="E1038" s="190" t="n">
        <v>2</v>
      </c>
      <c r="F1038" s="190" t="n">
        <v>0.17</v>
      </c>
      <c r="G1038" s="190" t="n">
        <v>0.17</v>
      </c>
      <c r="H1038" s="190" t="s">
        <v>22</v>
      </c>
      <c r="I1038" s="190" t="n">
        <v>20</v>
      </c>
      <c r="J1038" s="190" t="s">
        <v>1737</v>
      </c>
    </row>
    <row r="1039" customFormat="false" ht="14.25" hidden="false" customHeight="true" outlineLevel="0" collapsed="false">
      <c r="A1039" s="190" t="s">
        <v>4406</v>
      </c>
      <c r="B1039" s="190" t="s">
        <v>4407</v>
      </c>
      <c r="C1039" s="190" t="s">
        <v>4408</v>
      </c>
      <c r="D1039" s="190" t="n">
        <v>1</v>
      </c>
      <c r="E1039" s="190" t="n">
        <v>0.03</v>
      </c>
      <c r="F1039" s="190" t="n">
        <v>4.5</v>
      </c>
      <c r="G1039" s="190" t="n">
        <v>2.87</v>
      </c>
      <c r="H1039" s="190" t="s">
        <v>22</v>
      </c>
      <c r="I1039" s="190" t="s">
        <v>3455</v>
      </c>
      <c r="J1039" s="190" t="s">
        <v>1831</v>
      </c>
    </row>
    <row r="1040" customFormat="false" ht="14.25" hidden="false" customHeight="true" outlineLevel="0" collapsed="false">
      <c r="A1040" s="190" t="s">
        <v>4409</v>
      </c>
      <c r="B1040" s="190" t="s">
        <v>4410</v>
      </c>
      <c r="C1040" s="190" t="s">
        <v>4411</v>
      </c>
      <c r="D1040" s="190" t="n">
        <v>1</v>
      </c>
      <c r="E1040" s="190" t="n">
        <v>3</v>
      </c>
      <c r="F1040" s="190" t="n">
        <v>7.5</v>
      </c>
      <c r="G1040" s="190" t="n">
        <v>293.9</v>
      </c>
      <c r="H1040" s="190" t="s">
        <v>22</v>
      </c>
      <c r="I1040" s="190" t="s">
        <v>146</v>
      </c>
      <c r="J1040" s="190"/>
    </row>
    <row r="1041" customFormat="false" ht="14.25" hidden="false" customHeight="true" outlineLevel="0" collapsed="false">
      <c r="A1041" s="190" t="s">
        <v>4412</v>
      </c>
      <c r="B1041" s="190" t="s">
        <v>4413</v>
      </c>
      <c r="C1041" s="190" t="s">
        <v>4414</v>
      </c>
      <c r="D1041" s="190" t="n">
        <v>1</v>
      </c>
      <c r="E1041" s="190" t="n">
        <v>2</v>
      </c>
      <c r="F1041" s="190" t="n">
        <v>4</v>
      </c>
      <c r="G1041" s="190" t="n">
        <v>2</v>
      </c>
      <c r="H1041" s="190" t="s">
        <v>22</v>
      </c>
      <c r="I1041" s="190" t="s">
        <v>146</v>
      </c>
      <c r="J1041" s="190"/>
    </row>
    <row r="1042" customFormat="false" ht="14.25" hidden="false" customHeight="true" outlineLevel="0" collapsed="false">
      <c r="A1042" s="190" t="s">
        <v>4415</v>
      </c>
      <c r="B1042" s="190" t="s">
        <v>4416</v>
      </c>
      <c r="C1042" s="190" t="s">
        <v>4417</v>
      </c>
      <c r="D1042" s="190" t="n">
        <v>1</v>
      </c>
      <c r="E1042" s="190" t="n">
        <v>4</v>
      </c>
      <c r="F1042" s="190" t="n">
        <v>3</v>
      </c>
      <c r="G1042" s="190" t="n">
        <v>2</v>
      </c>
      <c r="H1042" s="190" t="s">
        <v>22</v>
      </c>
      <c r="I1042" s="190" t="s">
        <v>146</v>
      </c>
      <c r="J1042" s="190"/>
    </row>
    <row r="1043" customFormat="false" ht="14.25" hidden="false" customHeight="true" outlineLevel="0" collapsed="false">
      <c r="A1043" s="190" t="s">
        <v>4418</v>
      </c>
      <c r="B1043" s="190" t="s">
        <v>4419</v>
      </c>
      <c r="C1043" s="190" t="s">
        <v>4420</v>
      </c>
      <c r="D1043" s="190" t="n">
        <v>1</v>
      </c>
      <c r="E1043" s="190" t="n">
        <v>4</v>
      </c>
      <c r="F1043" s="190" t="n">
        <v>3</v>
      </c>
      <c r="G1043" s="190" t="n">
        <v>2</v>
      </c>
      <c r="H1043" s="190" t="s">
        <v>22</v>
      </c>
      <c r="I1043" s="190" t="s">
        <v>146</v>
      </c>
      <c r="J1043" s="190"/>
    </row>
    <row r="1044" customFormat="false" ht="14.25" hidden="false" customHeight="true" outlineLevel="0" collapsed="false">
      <c r="A1044" s="190" t="s">
        <v>4421</v>
      </c>
      <c r="B1044" s="190" t="s">
        <v>4422</v>
      </c>
      <c r="C1044" s="190" t="s">
        <v>4423</v>
      </c>
      <c r="D1044" s="190" t="n">
        <v>1</v>
      </c>
      <c r="E1044" s="190" t="n">
        <v>4</v>
      </c>
      <c r="F1044" s="190" t="n">
        <v>3</v>
      </c>
      <c r="G1044" s="190" t="n">
        <v>2.02</v>
      </c>
      <c r="H1044" s="190" t="s">
        <v>22</v>
      </c>
      <c r="I1044" s="190" t="s">
        <v>146</v>
      </c>
      <c r="J1044" s="190"/>
    </row>
    <row r="1045" customFormat="false" ht="14.25" hidden="false" customHeight="true" outlineLevel="0" collapsed="false">
      <c r="A1045" s="190" t="s">
        <v>4424</v>
      </c>
      <c r="B1045" s="190" t="s">
        <v>4425</v>
      </c>
      <c r="C1045" s="190" t="s">
        <v>4426</v>
      </c>
      <c r="D1045" s="190" t="n">
        <v>1</v>
      </c>
      <c r="E1045" s="190" t="n">
        <v>4</v>
      </c>
      <c r="F1045" s="190" t="n">
        <v>5</v>
      </c>
      <c r="G1045" s="190" t="n">
        <v>3.02</v>
      </c>
      <c r="H1045" s="190" t="s">
        <v>22</v>
      </c>
      <c r="I1045" s="190" t="s">
        <v>146</v>
      </c>
      <c r="J1045" s="190"/>
    </row>
    <row r="1046" customFormat="false" ht="14.25" hidden="false" customHeight="true" outlineLevel="0" collapsed="false">
      <c r="A1046" s="190" t="s">
        <v>4427</v>
      </c>
      <c r="B1046" s="190" t="s">
        <v>4428</v>
      </c>
      <c r="C1046" s="190" t="s">
        <v>4429</v>
      </c>
      <c r="D1046" s="190" t="n">
        <v>1</v>
      </c>
      <c r="E1046" s="190" t="n">
        <v>2</v>
      </c>
      <c r="F1046" s="190" t="n">
        <v>1</v>
      </c>
      <c r="G1046" s="190" t="n">
        <v>1</v>
      </c>
      <c r="H1046" s="190" t="s">
        <v>22</v>
      </c>
      <c r="I1046" s="190" t="s">
        <v>146</v>
      </c>
      <c r="J1046" s="190"/>
    </row>
    <row r="1047" customFormat="false" ht="14.25" hidden="false" customHeight="true" outlineLevel="0" collapsed="false">
      <c r="A1047" s="190" t="s">
        <v>4430</v>
      </c>
      <c r="B1047" s="190" t="s">
        <v>4431</v>
      </c>
      <c r="C1047" s="190" t="s">
        <v>4432</v>
      </c>
      <c r="D1047" s="190" t="n">
        <v>1</v>
      </c>
      <c r="E1047" s="190" t="n">
        <v>12</v>
      </c>
      <c r="F1047" s="190" t="n">
        <v>12</v>
      </c>
      <c r="G1047" s="190" t="n">
        <v>71.4</v>
      </c>
      <c r="H1047" s="190" t="s">
        <v>22</v>
      </c>
      <c r="I1047" s="190" t="s">
        <v>146</v>
      </c>
      <c r="J1047" s="190"/>
    </row>
    <row r="1048" customFormat="false" ht="14.25" hidden="false" customHeight="true" outlineLevel="0" collapsed="false">
      <c r="A1048" s="190" t="s">
        <v>4433</v>
      </c>
      <c r="B1048" s="190" t="s">
        <v>4434</v>
      </c>
      <c r="C1048" s="190" t="s">
        <v>4435</v>
      </c>
      <c r="D1048" s="190" t="n">
        <v>1</v>
      </c>
      <c r="E1048" s="190" t="n">
        <v>0</v>
      </c>
      <c r="F1048" s="190" t="n">
        <v>137.7</v>
      </c>
      <c r="G1048" s="190" t="n">
        <v>534.8</v>
      </c>
      <c r="H1048" s="190" t="s">
        <v>22</v>
      </c>
      <c r="I1048" s="190" t="s">
        <v>146</v>
      </c>
      <c r="J1048" s="190"/>
    </row>
    <row r="1049" customFormat="false" ht="14.25" hidden="false" customHeight="true" outlineLevel="0" collapsed="false">
      <c r="A1049" s="190" t="s">
        <v>4436</v>
      </c>
      <c r="B1049" s="190" t="s">
        <v>4437</v>
      </c>
      <c r="C1049" s="190" t="s">
        <v>4438</v>
      </c>
      <c r="D1049" s="190" t="n">
        <v>1</v>
      </c>
      <c r="E1049" s="190" t="n">
        <v>0</v>
      </c>
      <c r="F1049" s="190" t="n">
        <v>77.7</v>
      </c>
      <c r="G1049" s="190" t="n">
        <v>610.5</v>
      </c>
      <c r="H1049" s="190" t="s">
        <v>22</v>
      </c>
      <c r="I1049" s="190" t="s">
        <v>146</v>
      </c>
      <c r="J1049" s="190"/>
    </row>
    <row r="1050" customFormat="false" ht="14.25" hidden="false" customHeight="true" outlineLevel="0" collapsed="false">
      <c r="A1050" s="190" t="s">
        <v>4439</v>
      </c>
      <c r="B1050" s="190" t="s">
        <v>4440</v>
      </c>
      <c r="C1050" s="190" t="s">
        <v>4441</v>
      </c>
      <c r="D1050" s="190" t="n">
        <v>1</v>
      </c>
      <c r="E1050" s="190" t="n">
        <v>4</v>
      </c>
      <c r="F1050" s="190" t="n">
        <v>8</v>
      </c>
      <c r="G1050" s="190" t="n">
        <v>4</v>
      </c>
      <c r="H1050" s="190" t="s">
        <v>22</v>
      </c>
      <c r="I1050" s="190" t="s">
        <v>2363</v>
      </c>
      <c r="J1050" s="190"/>
    </row>
    <row r="1051" customFormat="false" ht="14.25" hidden="false" customHeight="true" outlineLevel="0" collapsed="false">
      <c r="A1051" s="190" t="s">
        <v>4442</v>
      </c>
      <c r="B1051" s="190" t="s">
        <v>4443</v>
      </c>
      <c r="C1051" s="190" t="s">
        <v>4444</v>
      </c>
      <c r="D1051" s="190" t="n">
        <v>1</v>
      </c>
      <c r="E1051" s="190" t="n">
        <v>8</v>
      </c>
      <c r="F1051" s="190" t="n">
        <v>8.5</v>
      </c>
      <c r="G1051" s="190" t="n">
        <v>6.5</v>
      </c>
      <c r="H1051" s="190" t="s">
        <v>22</v>
      </c>
      <c r="I1051" s="190" t="s">
        <v>2363</v>
      </c>
      <c r="J1051" s="190"/>
    </row>
    <row r="1052" customFormat="false" ht="14.25" hidden="false" customHeight="true" outlineLevel="0" collapsed="false">
      <c r="A1052" s="190" t="s">
        <v>4445</v>
      </c>
      <c r="B1052" s="190" t="s">
        <v>4446</v>
      </c>
      <c r="C1052" s="190" t="s">
        <v>4447</v>
      </c>
      <c r="D1052" s="190" t="n">
        <v>1</v>
      </c>
      <c r="E1052" s="190" t="n">
        <v>2</v>
      </c>
      <c r="F1052" s="190" t="n">
        <v>64</v>
      </c>
      <c r="G1052" s="190" t="n">
        <v>485.1</v>
      </c>
      <c r="H1052" s="190" t="s">
        <v>22</v>
      </c>
      <c r="I1052" s="190" t="s">
        <v>2363</v>
      </c>
      <c r="J1052" s="190"/>
    </row>
    <row r="1053" customFormat="false" ht="14.25" hidden="false" customHeight="true" outlineLevel="0" collapsed="false">
      <c r="A1053" s="190" t="s">
        <v>4448</v>
      </c>
      <c r="B1053" s="190" t="s">
        <v>4449</v>
      </c>
      <c r="C1053" s="190" t="s">
        <v>4450</v>
      </c>
      <c r="D1053" s="190" t="n">
        <v>1</v>
      </c>
      <c r="E1053" s="190" t="n">
        <v>4</v>
      </c>
      <c r="F1053" s="190" t="n">
        <v>14</v>
      </c>
      <c r="G1053" s="190" t="n">
        <v>171.8</v>
      </c>
      <c r="H1053" s="190" t="s">
        <v>22</v>
      </c>
      <c r="I1053" s="190" t="s">
        <v>146</v>
      </c>
      <c r="J1053" s="190"/>
    </row>
    <row r="1054" customFormat="false" ht="14.25" hidden="false" customHeight="true" outlineLevel="0" collapsed="false">
      <c r="A1054" s="190" t="s">
        <v>4451</v>
      </c>
      <c r="B1054" s="190" t="s">
        <v>4452</v>
      </c>
      <c r="C1054" s="190" t="s">
        <v>4453</v>
      </c>
      <c r="D1054" s="190" t="n">
        <v>1</v>
      </c>
      <c r="E1054" s="190" t="n">
        <v>2</v>
      </c>
      <c r="F1054" s="190" t="n">
        <v>2</v>
      </c>
      <c r="G1054" s="190" t="n">
        <v>1</v>
      </c>
      <c r="H1054" s="190" t="s">
        <v>22</v>
      </c>
      <c r="I1054" s="190" t="s">
        <v>2363</v>
      </c>
      <c r="J1054" s="190"/>
    </row>
    <row r="1055" customFormat="false" ht="14.25" hidden="false" customHeight="true" outlineLevel="0" collapsed="false">
      <c r="A1055" s="190" t="s">
        <v>4454</v>
      </c>
      <c r="B1055" s="190" t="s">
        <v>4455</v>
      </c>
      <c r="C1055" s="190" t="s">
        <v>4456</v>
      </c>
      <c r="D1055" s="190" t="n">
        <v>1</v>
      </c>
      <c r="E1055" s="190" t="n">
        <v>4</v>
      </c>
      <c r="F1055" s="190" t="n">
        <v>9</v>
      </c>
      <c r="G1055" s="190" t="n">
        <v>375.8</v>
      </c>
      <c r="H1055" s="190" t="s">
        <v>22</v>
      </c>
      <c r="I1055" s="190" t="s">
        <v>2363</v>
      </c>
      <c r="J1055" s="190"/>
    </row>
    <row r="1056" customFormat="false" ht="14.25" hidden="false" customHeight="true" outlineLevel="0" collapsed="false">
      <c r="A1056" s="190" t="s">
        <v>4457</v>
      </c>
      <c r="B1056" s="190" t="s">
        <v>4458</v>
      </c>
      <c r="C1056" s="190" t="s">
        <v>4459</v>
      </c>
      <c r="D1056" s="190" t="n">
        <v>1</v>
      </c>
      <c r="E1056" s="190" t="n">
        <v>4</v>
      </c>
      <c r="F1056" s="190" t="n">
        <v>4</v>
      </c>
      <c r="G1056" s="190" t="n">
        <v>4</v>
      </c>
      <c r="H1056" s="190" t="s">
        <v>22</v>
      </c>
      <c r="I1056" s="190" t="s">
        <v>2363</v>
      </c>
      <c r="J1056" s="190"/>
    </row>
    <row r="1057" customFormat="false" ht="14.25" hidden="false" customHeight="true" outlineLevel="0" collapsed="false">
      <c r="A1057" s="190" t="s">
        <v>4460</v>
      </c>
      <c r="B1057" s="190" t="s">
        <v>4461</v>
      </c>
      <c r="C1057" s="190" t="s">
        <v>4462</v>
      </c>
      <c r="D1057" s="190" t="n">
        <v>1</v>
      </c>
      <c r="E1057" s="190" t="n">
        <v>0</v>
      </c>
      <c r="F1057" s="190" t="n">
        <v>2.08</v>
      </c>
      <c r="G1057" s="190" t="n">
        <v>168.2</v>
      </c>
      <c r="H1057" s="190" t="s">
        <v>22</v>
      </c>
      <c r="I1057" s="190" t="s">
        <v>1958</v>
      </c>
      <c r="J1057" s="190"/>
    </row>
    <row r="1058" customFormat="false" ht="14.25" hidden="false" customHeight="true" outlineLevel="0" collapsed="false">
      <c r="A1058" s="190" t="s">
        <v>4463</v>
      </c>
      <c r="B1058" s="190" t="s">
        <v>4464</v>
      </c>
      <c r="C1058" s="190" t="s">
        <v>4465</v>
      </c>
      <c r="D1058" s="190" t="n">
        <v>1</v>
      </c>
      <c r="E1058" s="190" t="n">
        <v>4</v>
      </c>
      <c r="F1058" s="190" t="n">
        <v>4</v>
      </c>
      <c r="G1058" s="190" t="n">
        <v>4</v>
      </c>
      <c r="H1058" s="190" t="s">
        <v>22</v>
      </c>
      <c r="I1058" s="190" t="s">
        <v>146</v>
      </c>
      <c r="J1058" s="190"/>
    </row>
    <row r="1059" customFormat="false" ht="14.25" hidden="false" customHeight="true" outlineLevel="0" collapsed="false">
      <c r="A1059" s="190" t="s">
        <v>4466</v>
      </c>
      <c r="B1059" s="190" t="s">
        <v>4467</v>
      </c>
      <c r="C1059" s="190" t="s">
        <v>4468</v>
      </c>
      <c r="D1059" s="190" t="n">
        <v>1</v>
      </c>
      <c r="E1059" s="190" t="n">
        <v>2</v>
      </c>
      <c r="F1059" s="190" t="n">
        <v>4</v>
      </c>
      <c r="G1059" s="190" t="n">
        <v>2</v>
      </c>
      <c r="H1059" s="190" t="s">
        <v>22</v>
      </c>
      <c r="I1059" s="190" t="s">
        <v>146</v>
      </c>
      <c r="J1059" s="190"/>
    </row>
    <row r="1060" customFormat="false" ht="14.25" hidden="false" customHeight="true" outlineLevel="0" collapsed="false">
      <c r="A1060" s="190" t="s">
        <v>4469</v>
      </c>
      <c r="B1060" s="190" t="s">
        <v>4470</v>
      </c>
      <c r="C1060" s="190" t="s">
        <v>4471</v>
      </c>
      <c r="D1060" s="190" t="n">
        <v>1</v>
      </c>
      <c r="E1060" s="190" t="n">
        <v>6</v>
      </c>
      <c r="F1060" s="190" t="n">
        <v>5.5</v>
      </c>
      <c r="G1060" s="190" t="n">
        <v>220.1</v>
      </c>
      <c r="H1060" s="190" t="s">
        <v>22</v>
      </c>
      <c r="I1060" s="190" t="s">
        <v>146</v>
      </c>
      <c r="J1060" s="190"/>
    </row>
    <row r="1061" customFormat="false" ht="14.25" hidden="false" customHeight="true" outlineLevel="0" collapsed="false">
      <c r="A1061" s="190" t="s">
        <v>4472</v>
      </c>
      <c r="B1061" s="190" t="s">
        <v>4473</v>
      </c>
      <c r="C1061" s="190" t="s">
        <v>4474</v>
      </c>
      <c r="D1061" s="190" t="n">
        <v>1</v>
      </c>
      <c r="E1061" s="190" t="n">
        <v>2</v>
      </c>
      <c r="F1061" s="190" t="n">
        <v>3</v>
      </c>
      <c r="G1061" s="190" t="n">
        <v>1.5</v>
      </c>
      <c r="H1061" s="190" t="s">
        <v>22</v>
      </c>
      <c r="I1061" s="190" t="s">
        <v>146</v>
      </c>
      <c r="J1061" s="190"/>
    </row>
    <row r="1062" customFormat="false" ht="14.25" hidden="false" customHeight="true" outlineLevel="0" collapsed="false">
      <c r="A1062" s="190" t="s">
        <v>4475</v>
      </c>
      <c r="B1062" s="190" t="s">
        <v>4476</v>
      </c>
      <c r="C1062" s="190" t="s">
        <v>4477</v>
      </c>
      <c r="D1062" s="190" t="n">
        <v>1</v>
      </c>
      <c r="E1062" s="190" t="n">
        <v>2</v>
      </c>
      <c r="F1062" s="190" t="n">
        <v>1</v>
      </c>
      <c r="G1062" s="190" t="n">
        <v>1</v>
      </c>
      <c r="H1062" s="190" t="s">
        <v>22</v>
      </c>
      <c r="I1062" s="190" t="s">
        <v>146</v>
      </c>
      <c r="J1062" s="190"/>
    </row>
    <row r="1063" customFormat="false" ht="14.25" hidden="false" customHeight="true" outlineLevel="0" collapsed="false">
      <c r="A1063" s="190" t="s">
        <v>4478</v>
      </c>
      <c r="B1063" s="190" t="s">
        <v>4479</v>
      </c>
      <c r="C1063" s="190" t="s">
        <v>4480</v>
      </c>
      <c r="D1063" s="190" t="n">
        <v>1</v>
      </c>
      <c r="E1063" s="190" t="n">
        <v>3</v>
      </c>
      <c r="F1063" s="190" t="n">
        <v>3</v>
      </c>
      <c r="G1063" s="190" t="n">
        <v>3</v>
      </c>
      <c r="H1063" s="190" t="s">
        <v>22</v>
      </c>
      <c r="I1063" s="190" t="s">
        <v>146</v>
      </c>
      <c r="J1063" s="190"/>
    </row>
    <row r="1064" customFormat="false" ht="14.25" hidden="false" customHeight="true" outlineLevel="0" collapsed="false">
      <c r="A1064" s="190" t="s">
        <v>4481</v>
      </c>
      <c r="B1064" s="190" t="s">
        <v>4482</v>
      </c>
      <c r="C1064" s="190" t="s">
        <v>4483</v>
      </c>
      <c r="D1064" s="190" t="n">
        <v>1</v>
      </c>
      <c r="E1064" s="190" t="n">
        <v>2</v>
      </c>
      <c r="F1064" s="190" t="n">
        <v>2</v>
      </c>
      <c r="G1064" s="190" t="n">
        <v>2</v>
      </c>
      <c r="H1064" s="190" t="s">
        <v>22</v>
      </c>
      <c r="I1064" s="190" t="s">
        <v>2363</v>
      </c>
      <c r="J1064" s="190"/>
    </row>
    <row r="1065" customFormat="false" ht="14.25" hidden="false" customHeight="true" outlineLevel="0" collapsed="false">
      <c r="A1065" s="190" t="s">
        <v>4484</v>
      </c>
      <c r="B1065" s="190" t="s">
        <v>4485</v>
      </c>
      <c r="C1065" s="190" t="s">
        <v>4486</v>
      </c>
      <c r="D1065" s="190" t="n">
        <v>1</v>
      </c>
      <c r="E1065" s="190" t="n">
        <v>2</v>
      </c>
      <c r="F1065" s="190" t="n">
        <v>4</v>
      </c>
      <c r="G1065" s="190" t="n">
        <v>2.02</v>
      </c>
      <c r="H1065" s="190" t="s">
        <v>22</v>
      </c>
      <c r="I1065" s="190" t="s">
        <v>2363</v>
      </c>
      <c r="J1065" s="190"/>
    </row>
    <row r="1066" customFormat="false" ht="14.25" hidden="false" customHeight="true" outlineLevel="0" collapsed="false">
      <c r="A1066" s="190" t="s">
        <v>4487</v>
      </c>
      <c r="B1066" s="190" t="s">
        <v>4488</v>
      </c>
      <c r="C1066" s="190" t="s">
        <v>4489</v>
      </c>
      <c r="D1066" s="190" t="n">
        <v>1</v>
      </c>
      <c r="E1066" s="190" t="n">
        <v>8</v>
      </c>
      <c r="F1066" s="190" t="n">
        <v>2</v>
      </c>
      <c r="G1066" s="190" t="n">
        <v>2</v>
      </c>
      <c r="H1066" s="190" t="s">
        <v>22</v>
      </c>
      <c r="I1066" s="190" t="s">
        <v>2363</v>
      </c>
      <c r="J1066" s="190"/>
    </row>
    <row r="1067" customFormat="false" ht="14.25" hidden="false" customHeight="true" outlineLevel="0" collapsed="false">
      <c r="A1067" s="190" t="s">
        <v>4490</v>
      </c>
      <c r="B1067" s="190" t="s">
        <v>4491</v>
      </c>
      <c r="C1067" s="190" t="s">
        <v>4492</v>
      </c>
      <c r="D1067" s="190" t="n">
        <v>1</v>
      </c>
      <c r="E1067" s="190" t="n">
        <v>10</v>
      </c>
      <c r="F1067" s="190" t="n">
        <v>10</v>
      </c>
      <c r="G1067" s="190" t="n">
        <v>5.02</v>
      </c>
      <c r="H1067" s="190" t="s">
        <v>22</v>
      </c>
      <c r="I1067" s="190" t="s">
        <v>4117</v>
      </c>
      <c r="J1067" s="190"/>
    </row>
    <row r="1068" customFormat="false" ht="14.25" hidden="false" customHeight="true" outlineLevel="0" collapsed="false">
      <c r="A1068" s="190" t="s">
        <v>4493</v>
      </c>
      <c r="B1068" s="190" t="s">
        <v>4494</v>
      </c>
      <c r="C1068" s="190" t="s">
        <v>4495</v>
      </c>
      <c r="D1068" s="190" t="n">
        <v>1</v>
      </c>
      <c r="E1068" s="190" t="n">
        <v>2</v>
      </c>
      <c r="F1068" s="190" t="n">
        <v>2</v>
      </c>
      <c r="G1068" s="190" t="n">
        <v>2</v>
      </c>
      <c r="H1068" s="190" t="s">
        <v>22</v>
      </c>
      <c r="I1068" s="190" t="s">
        <v>2363</v>
      </c>
      <c r="J1068" s="190"/>
    </row>
    <row r="1069" customFormat="false" ht="14.25" hidden="false" customHeight="true" outlineLevel="0" collapsed="false">
      <c r="A1069" s="190" t="s">
        <v>4496</v>
      </c>
      <c r="B1069" s="190" t="s">
        <v>4497</v>
      </c>
      <c r="C1069" s="190" t="s">
        <v>4498</v>
      </c>
      <c r="D1069" s="190" t="n">
        <v>1</v>
      </c>
      <c r="E1069" s="190" t="n">
        <v>2</v>
      </c>
      <c r="F1069" s="190" t="n">
        <v>2</v>
      </c>
      <c r="G1069" s="190" t="n">
        <v>1.55</v>
      </c>
      <c r="H1069" s="190" t="s">
        <v>22</v>
      </c>
      <c r="I1069" s="190" t="s">
        <v>4117</v>
      </c>
      <c r="J1069" s="190"/>
    </row>
    <row r="1070" customFormat="false" ht="14.25" hidden="false" customHeight="true" outlineLevel="0" collapsed="false">
      <c r="A1070" s="190" t="s">
        <v>4499</v>
      </c>
      <c r="B1070" s="190" t="s">
        <v>4500</v>
      </c>
      <c r="C1070" s="190" t="s">
        <v>4501</v>
      </c>
      <c r="D1070" s="190" t="n">
        <v>1</v>
      </c>
      <c r="E1070" s="190" t="n">
        <v>8</v>
      </c>
      <c r="F1070" s="190" t="n">
        <v>2</v>
      </c>
      <c r="G1070" s="190" t="n">
        <v>2</v>
      </c>
      <c r="H1070" s="190" t="s">
        <v>22</v>
      </c>
      <c r="I1070" s="190" t="s">
        <v>2363</v>
      </c>
      <c r="J1070" s="190"/>
    </row>
    <row r="1071" customFormat="false" ht="14.25" hidden="false" customHeight="true" outlineLevel="0" collapsed="false">
      <c r="A1071" s="190" t="s">
        <v>4502</v>
      </c>
      <c r="B1071" s="190" t="s">
        <v>4503</v>
      </c>
      <c r="C1071" s="190" t="s">
        <v>4504</v>
      </c>
      <c r="D1071" s="190" t="n">
        <v>1</v>
      </c>
      <c r="E1071" s="190" t="n">
        <v>3</v>
      </c>
      <c r="F1071" s="190" t="n">
        <v>3</v>
      </c>
      <c r="G1071" s="190" t="n">
        <v>1.5</v>
      </c>
      <c r="H1071" s="190" t="s">
        <v>22</v>
      </c>
      <c r="I1071" s="190" t="s">
        <v>2363</v>
      </c>
      <c r="J1071" s="190"/>
    </row>
    <row r="1072" customFormat="false" ht="14.25" hidden="false" customHeight="true" outlineLevel="0" collapsed="false">
      <c r="A1072" s="190" t="s">
        <v>4505</v>
      </c>
      <c r="B1072" s="190" t="s">
        <v>4506</v>
      </c>
      <c r="C1072" s="190" t="s">
        <v>4507</v>
      </c>
      <c r="D1072" s="190" t="n">
        <v>1</v>
      </c>
      <c r="E1072" s="190" t="n">
        <v>2</v>
      </c>
      <c r="F1072" s="190" t="n">
        <v>9.5</v>
      </c>
      <c r="G1072" s="190" t="n">
        <v>6.78</v>
      </c>
      <c r="H1072" s="190" t="s">
        <v>22</v>
      </c>
      <c r="I1072" s="190" t="s">
        <v>2373</v>
      </c>
      <c r="J1072" s="190"/>
    </row>
    <row r="1073" customFormat="false" ht="14.25" hidden="false" customHeight="true" outlineLevel="0" collapsed="false">
      <c r="A1073" s="190" t="s">
        <v>4508</v>
      </c>
      <c r="B1073" s="190" t="s">
        <v>4509</v>
      </c>
      <c r="C1073" s="190" t="s">
        <v>4510</v>
      </c>
      <c r="D1073" s="190" t="n">
        <v>1</v>
      </c>
      <c r="E1073" s="190" t="n">
        <v>0</v>
      </c>
      <c r="F1073" s="190" t="n">
        <v>74.8</v>
      </c>
      <c r="G1073" s="190" t="n">
        <v>677.5</v>
      </c>
      <c r="H1073" s="190" t="s">
        <v>22</v>
      </c>
      <c r="I1073" s="190" t="s">
        <v>1894</v>
      </c>
      <c r="J1073" s="190"/>
    </row>
    <row r="1074" customFormat="false" ht="14.25" hidden="false" customHeight="true" outlineLevel="0" collapsed="false">
      <c r="A1074" s="190" t="s">
        <v>4511</v>
      </c>
      <c r="B1074" s="190" t="s">
        <v>4512</v>
      </c>
      <c r="C1074" s="190" t="s">
        <v>4513</v>
      </c>
      <c r="D1074" s="190" t="n">
        <v>1</v>
      </c>
      <c r="E1074" s="190" t="n">
        <v>3</v>
      </c>
      <c r="F1074" s="190" t="n">
        <v>63</v>
      </c>
      <c r="G1074" s="190" t="n">
        <v>461.9</v>
      </c>
      <c r="H1074" s="190" t="s">
        <v>22</v>
      </c>
      <c r="I1074" s="190" t="s">
        <v>1894</v>
      </c>
      <c r="J1074" s="190"/>
    </row>
    <row r="1075" customFormat="false" ht="14.25" hidden="false" customHeight="true" outlineLevel="0" collapsed="false">
      <c r="A1075" s="190" t="s">
        <v>4514</v>
      </c>
      <c r="B1075" s="190" t="s">
        <v>4515</v>
      </c>
      <c r="C1075" s="190" t="s">
        <v>4516</v>
      </c>
      <c r="D1075" s="190" t="n">
        <v>1</v>
      </c>
      <c r="E1075" s="190" t="n">
        <v>4</v>
      </c>
      <c r="F1075" s="190" t="n">
        <v>53.7</v>
      </c>
      <c r="G1075" s="190" t="n">
        <v>178</v>
      </c>
      <c r="H1075" s="190" t="s">
        <v>22</v>
      </c>
      <c r="I1075" s="190" t="s">
        <v>1894</v>
      </c>
      <c r="J1075" s="190"/>
    </row>
    <row r="1076" customFormat="false" ht="14.25" hidden="false" customHeight="true" outlineLevel="0" collapsed="false">
      <c r="A1076" s="190" t="s">
        <v>4517</v>
      </c>
      <c r="B1076" s="190" t="s">
        <v>4518</v>
      </c>
      <c r="C1076" s="190" t="s">
        <v>4519</v>
      </c>
      <c r="D1076" s="190" t="n">
        <v>1</v>
      </c>
      <c r="E1076" s="190" t="n">
        <v>4</v>
      </c>
      <c r="F1076" s="190" t="n">
        <v>27.6</v>
      </c>
      <c r="G1076" s="190" t="n">
        <v>318</v>
      </c>
      <c r="H1076" s="190" t="s">
        <v>22</v>
      </c>
      <c r="I1076" s="190" t="s">
        <v>1894</v>
      </c>
      <c r="J1076" s="190"/>
    </row>
    <row r="1077" customFormat="false" ht="14.25" hidden="false" customHeight="true" outlineLevel="0" collapsed="false">
      <c r="A1077" s="190" t="s">
        <v>4520</v>
      </c>
      <c r="B1077" s="190" t="s">
        <v>4521</v>
      </c>
      <c r="C1077" s="190" t="s">
        <v>4522</v>
      </c>
      <c r="D1077" s="190" t="n">
        <v>1</v>
      </c>
      <c r="E1077" s="190" t="n">
        <v>4</v>
      </c>
      <c r="F1077" s="190" t="n">
        <v>29.7</v>
      </c>
      <c r="G1077" s="190" t="n">
        <v>204.1</v>
      </c>
      <c r="H1077" s="190" t="s">
        <v>22</v>
      </c>
      <c r="I1077" s="190" t="s">
        <v>1894</v>
      </c>
      <c r="J1077" s="190"/>
    </row>
    <row r="1078" customFormat="false" ht="14.25" hidden="false" customHeight="true" outlineLevel="0" collapsed="false">
      <c r="A1078" s="190" t="s">
        <v>4523</v>
      </c>
      <c r="B1078" s="190" t="s">
        <v>4524</v>
      </c>
      <c r="C1078" s="190" t="s">
        <v>4525</v>
      </c>
      <c r="D1078" s="190" t="n">
        <v>1</v>
      </c>
      <c r="E1078" s="190" t="n">
        <v>2</v>
      </c>
      <c r="F1078" s="190" t="n">
        <v>3</v>
      </c>
      <c r="G1078" s="190" t="n">
        <v>3</v>
      </c>
      <c r="H1078" s="190" t="s">
        <v>22</v>
      </c>
      <c r="I1078" s="190" t="s">
        <v>1894</v>
      </c>
      <c r="J1078" s="190"/>
    </row>
    <row r="1079" customFormat="false" ht="14.25" hidden="false" customHeight="true" outlineLevel="0" collapsed="false">
      <c r="A1079" s="190" t="s">
        <v>4526</v>
      </c>
      <c r="B1079" s="190" t="s">
        <v>4527</v>
      </c>
      <c r="C1079" s="190" t="s">
        <v>4528</v>
      </c>
      <c r="D1079" s="190" t="n">
        <v>1</v>
      </c>
      <c r="E1079" s="190" t="n">
        <v>4</v>
      </c>
      <c r="F1079" s="190" t="n">
        <v>16.25</v>
      </c>
      <c r="G1079" s="190" t="n">
        <v>4.25</v>
      </c>
      <c r="H1079" s="190" t="s">
        <v>22</v>
      </c>
      <c r="I1079" s="190" t="s">
        <v>158</v>
      </c>
      <c r="J1079" s="190"/>
    </row>
    <row r="1080" customFormat="false" ht="14.25" hidden="false" customHeight="true" outlineLevel="0" collapsed="false">
      <c r="A1080" s="190" t="s">
        <v>4529</v>
      </c>
      <c r="B1080" s="190" t="s">
        <v>4530</v>
      </c>
      <c r="C1080" s="190" t="s">
        <v>4531</v>
      </c>
      <c r="D1080" s="190" t="n">
        <v>1</v>
      </c>
      <c r="E1080" s="190" t="n">
        <v>8</v>
      </c>
      <c r="F1080" s="190" t="n">
        <v>8</v>
      </c>
      <c r="G1080" s="190" t="n">
        <v>3.52</v>
      </c>
      <c r="H1080" s="190" t="s">
        <v>22</v>
      </c>
      <c r="I1080" s="190" t="s">
        <v>158</v>
      </c>
      <c r="J1080" s="190"/>
    </row>
    <row r="1081" customFormat="false" ht="14.25" hidden="false" customHeight="true" outlineLevel="0" collapsed="false">
      <c r="A1081" s="190" t="s">
        <v>4532</v>
      </c>
      <c r="B1081" s="190" t="s">
        <v>4533</v>
      </c>
      <c r="C1081" s="190" t="s">
        <v>4534</v>
      </c>
      <c r="D1081" s="190" t="n">
        <v>1</v>
      </c>
      <c r="E1081" s="190" t="n">
        <v>4</v>
      </c>
      <c r="F1081" s="190" t="n">
        <v>8.5</v>
      </c>
      <c r="G1081" s="190" t="n">
        <v>6.2</v>
      </c>
      <c r="H1081" s="190" t="s">
        <v>22</v>
      </c>
      <c r="I1081" s="190" t="s">
        <v>158</v>
      </c>
      <c r="J1081" s="190"/>
    </row>
    <row r="1082" customFormat="false" ht="14.25" hidden="false" customHeight="true" outlineLevel="0" collapsed="false">
      <c r="A1082" s="190" t="s">
        <v>4535</v>
      </c>
      <c r="B1082" s="190" t="s">
        <v>4536</v>
      </c>
      <c r="C1082" s="190" t="s">
        <v>4537</v>
      </c>
      <c r="D1082" s="190" t="n">
        <v>1</v>
      </c>
      <c r="E1082" s="190" t="n">
        <v>8</v>
      </c>
      <c r="F1082" s="190" t="n">
        <v>8</v>
      </c>
      <c r="G1082" s="190" t="n">
        <v>2.03</v>
      </c>
      <c r="H1082" s="190" t="s">
        <v>22</v>
      </c>
      <c r="I1082" s="190" t="s">
        <v>158</v>
      </c>
      <c r="J1082" s="190"/>
    </row>
    <row r="1083" customFormat="false" ht="14.25" hidden="false" customHeight="true" outlineLevel="0" collapsed="false">
      <c r="A1083" s="190" t="s">
        <v>4538</v>
      </c>
      <c r="B1083" s="190" t="s">
        <v>4539</v>
      </c>
      <c r="C1083" s="190" t="s">
        <v>4540</v>
      </c>
      <c r="D1083" s="190" t="n">
        <v>1</v>
      </c>
      <c r="E1083" s="190" t="n">
        <v>4</v>
      </c>
      <c r="F1083" s="190" t="n">
        <v>33.5</v>
      </c>
      <c r="G1083" s="190" t="n">
        <v>152.5</v>
      </c>
      <c r="H1083" s="190" t="s">
        <v>22</v>
      </c>
      <c r="I1083" s="190" t="s">
        <v>158</v>
      </c>
      <c r="J1083" s="190"/>
    </row>
    <row r="1084" customFormat="false" ht="14.25" hidden="false" customHeight="true" outlineLevel="0" collapsed="false">
      <c r="A1084" s="190" t="s">
        <v>4541</v>
      </c>
      <c r="B1084" s="190" t="s">
        <v>4542</v>
      </c>
      <c r="C1084" s="190" t="s">
        <v>4543</v>
      </c>
      <c r="D1084" s="190" t="n">
        <v>1</v>
      </c>
      <c r="E1084" s="190" t="n">
        <v>4</v>
      </c>
      <c r="F1084" s="190" t="n">
        <v>9.5</v>
      </c>
      <c r="G1084" s="190" t="n">
        <v>216</v>
      </c>
      <c r="H1084" s="190" t="s">
        <v>22</v>
      </c>
      <c r="I1084" s="190" t="s">
        <v>158</v>
      </c>
      <c r="J1084" s="190"/>
    </row>
    <row r="1085" customFormat="false" ht="14.25" hidden="false" customHeight="true" outlineLevel="0" collapsed="false">
      <c r="A1085" s="190" t="s">
        <v>4544</v>
      </c>
      <c r="B1085" s="190" t="s">
        <v>4545</v>
      </c>
      <c r="C1085" s="190" t="s">
        <v>4546</v>
      </c>
      <c r="D1085" s="190" t="n">
        <v>1</v>
      </c>
      <c r="E1085" s="190" t="n">
        <v>6</v>
      </c>
      <c r="F1085" s="190" t="n">
        <v>6</v>
      </c>
      <c r="G1085" s="190" t="n">
        <v>6</v>
      </c>
      <c r="H1085" s="190" t="s">
        <v>22</v>
      </c>
      <c r="I1085" s="190" t="s">
        <v>158</v>
      </c>
      <c r="J1085" s="190"/>
    </row>
    <row r="1086" customFormat="false" ht="14.25" hidden="false" customHeight="true" outlineLevel="0" collapsed="false">
      <c r="A1086" s="190" t="s">
        <v>4547</v>
      </c>
      <c r="B1086" s="190" t="s">
        <v>4548</v>
      </c>
      <c r="C1086" s="190" t="s">
        <v>4549</v>
      </c>
      <c r="D1086" s="190" t="n">
        <v>1</v>
      </c>
      <c r="E1086" s="190" t="n">
        <v>6.5</v>
      </c>
      <c r="F1086" s="190" t="n">
        <v>6.5</v>
      </c>
      <c r="G1086" s="190" t="n">
        <v>6.5</v>
      </c>
      <c r="H1086" s="190" t="s">
        <v>22</v>
      </c>
      <c r="I1086" s="190" t="s">
        <v>158</v>
      </c>
      <c r="J1086" s="190"/>
    </row>
    <row r="1087" customFormat="false" ht="14.25" hidden="false" customHeight="true" outlineLevel="0" collapsed="false">
      <c r="A1087" s="190" t="s">
        <v>4550</v>
      </c>
      <c r="B1087" s="190" t="s">
        <v>4551</v>
      </c>
      <c r="C1087" s="190" t="s">
        <v>4552</v>
      </c>
      <c r="D1087" s="190" t="n">
        <v>1</v>
      </c>
      <c r="E1087" s="190" t="n">
        <v>8</v>
      </c>
      <c r="F1087" s="190" t="n">
        <v>12</v>
      </c>
      <c r="G1087" s="190" t="n">
        <v>6</v>
      </c>
      <c r="H1087" s="190" t="s">
        <v>22</v>
      </c>
      <c r="I1087" s="190" t="s">
        <v>158</v>
      </c>
      <c r="J1087" s="190"/>
    </row>
    <row r="1088" customFormat="false" ht="14.25" hidden="false" customHeight="true" outlineLevel="0" collapsed="false">
      <c r="A1088" s="190" t="s">
        <v>4553</v>
      </c>
      <c r="B1088" s="190" t="s">
        <v>4554</v>
      </c>
      <c r="C1088" s="190" t="s">
        <v>4555</v>
      </c>
      <c r="D1088" s="190" t="n">
        <v>1</v>
      </c>
      <c r="E1088" s="190" t="n">
        <v>2</v>
      </c>
      <c r="F1088" s="190" t="n">
        <v>9.5</v>
      </c>
      <c r="G1088" s="190" t="n">
        <v>6.97</v>
      </c>
      <c r="H1088" s="190" t="s">
        <v>22</v>
      </c>
      <c r="I1088" s="190" t="s">
        <v>158</v>
      </c>
      <c r="J1088" s="190"/>
    </row>
    <row r="1089" customFormat="false" ht="14.25" hidden="false" customHeight="true" outlineLevel="0" collapsed="false">
      <c r="A1089" s="190" t="s">
        <v>4556</v>
      </c>
      <c r="B1089" s="190" t="s">
        <v>4557</v>
      </c>
      <c r="C1089" s="190" t="s">
        <v>703</v>
      </c>
      <c r="D1089" s="190" t="n">
        <v>1</v>
      </c>
      <c r="E1089" s="190" t="n">
        <v>12</v>
      </c>
      <c r="F1089" s="190" t="n">
        <v>12</v>
      </c>
      <c r="G1089" s="190" t="n">
        <v>6</v>
      </c>
      <c r="H1089" s="190" t="s">
        <v>22</v>
      </c>
      <c r="I1089" s="190" t="s">
        <v>358</v>
      </c>
      <c r="J1089" s="190"/>
    </row>
    <row r="1090" customFormat="false" ht="14.25" hidden="false" customHeight="true" outlineLevel="0" collapsed="false">
      <c r="A1090" s="190" t="s">
        <v>4558</v>
      </c>
      <c r="B1090" s="190" t="s">
        <v>4559</v>
      </c>
      <c r="C1090" s="190" t="s">
        <v>704</v>
      </c>
      <c r="D1090" s="190" t="n">
        <v>1</v>
      </c>
      <c r="E1090" s="190" t="n">
        <v>120</v>
      </c>
      <c r="F1090" s="190" t="n">
        <v>120.5</v>
      </c>
      <c r="G1090" s="190" t="n">
        <v>53.3</v>
      </c>
      <c r="H1090" s="190" t="s">
        <v>22</v>
      </c>
      <c r="I1090" s="190" t="s">
        <v>358</v>
      </c>
      <c r="J1090" s="190"/>
    </row>
    <row r="1091" customFormat="false" ht="14.25" hidden="false" customHeight="true" outlineLevel="0" collapsed="false">
      <c r="A1091" s="190" t="s">
        <v>4560</v>
      </c>
      <c r="B1091" s="190" t="s">
        <v>4561</v>
      </c>
      <c r="C1091" s="190" t="s">
        <v>706</v>
      </c>
      <c r="D1091" s="190" t="n">
        <v>1</v>
      </c>
      <c r="E1091" s="190" t="n">
        <v>22</v>
      </c>
      <c r="F1091" s="190" t="n">
        <v>22</v>
      </c>
      <c r="G1091" s="190" t="n">
        <v>106.1</v>
      </c>
      <c r="H1091" s="190" t="s">
        <v>22</v>
      </c>
      <c r="I1091" s="190" t="s">
        <v>358</v>
      </c>
      <c r="J1091" s="190"/>
    </row>
    <row r="1092" customFormat="false" ht="14.25" hidden="false" customHeight="true" outlineLevel="0" collapsed="false">
      <c r="A1092" s="190" t="s">
        <v>4562</v>
      </c>
      <c r="B1092" s="190" t="s">
        <v>4563</v>
      </c>
      <c r="C1092" s="190" t="s">
        <v>707</v>
      </c>
      <c r="D1092" s="190" t="n">
        <v>1</v>
      </c>
      <c r="E1092" s="190" t="n">
        <v>5</v>
      </c>
      <c r="F1092" s="190" t="n">
        <v>6</v>
      </c>
      <c r="G1092" s="190" t="n">
        <v>728.7</v>
      </c>
      <c r="H1092" s="190" t="s">
        <v>22</v>
      </c>
      <c r="I1092" s="190" t="s">
        <v>358</v>
      </c>
      <c r="J1092" s="190"/>
    </row>
    <row r="1093" customFormat="false" ht="14.25" hidden="false" customHeight="true" outlineLevel="0" collapsed="false">
      <c r="A1093" s="190" t="s">
        <v>4564</v>
      </c>
      <c r="B1093" s="190" t="s">
        <v>4565</v>
      </c>
      <c r="C1093" s="190" t="s">
        <v>708</v>
      </c>
      <c r="D1093" s="190" t="n">
        <v>1</v>
      </c>
      <c r="E1093" s="190" t="n">
        <v>3</v>
      </c>
      <c r="F1093" s="190" t="n">
        <v>3</v>
      </c>
      <c r="G1093" s="190" t="n">
        <v>1.5</v>
      </c>
      <c r="H1093" s="190" t="s">
        <v>22</v>
      </c>
      <c r="I1093" s="190" t="s">
        <v>358</v>
      </c>
      <c r="J1093" s="190"/>
    </row>
    <row r="1094" customFormat="false" ht="14.25" hidden="false" customHeight="true" outlineLevel="0" collapsed="false">
      <c r="A1094" s="190" t="s">
        <v>4566</v>
      </c>
      <c r="B1094" s="190" t="s">
        <v>4567</v>
      </c>
      <c r="C1094" s="190" t="s">
        <v>709</v>
      </c>
      <c r="D1094" s="190" t="n">
        <v>1</v>
      </c>
      <c r="E1094" s="190" t="n">
        <v>3</v>
      </c>
      <c r="F1094" s="190" t="n">
        <v>3</v>
      </c>
      <c r="G1094" s="190" t="n">
        <v>3</v>
      </c>
      <c r="H1094" s="190" t="s">
        <v>22</v>
      </c>
      <c r="I1094" s="190" t="s">
        <v>358</v>
      </c>
      <c r="J1094" s="190"/>
    </row>
    <row r="1095" customFormat="false" ht="14.25" hidden="false" customHeight="true" outlineLevel="0" collapsed="false">
      <c r="A1095" s="190" t="s">
        <v>4568</v>
      </c>
      <c r="B1095" s="190" t="s">
        <v>4569</v>
      </c>
      <c r="C1095" s="190" t="s">
        <v>710</v>
      </c>
      <c r="D1095" s="190" t="n">
        <v>1</v>
      </c>
      <c r="E1095" s="190" t="n">
        <v>13</v>
      </c>
      <c r="F1095" s="190" t="n">
        <v>13</v>
      </c>
      <c r="G1095" s="190" t="n">
        <v>105.7</v>
      </c>
      <c r="H1095" s="190" t="s">
        <v>22</v>
      </c>
      <c r="I1095" s="190" t="s">
        <v>358</v>
      </c>
      <c r="J1095" s="190"/>
    </row>
    <row r="1096" customFormat="false" ht="14.25" hidden="false" customHeight="true" outlineLevel="0" collapsed="false">
      <c r="A1096" s="190" t="s">
        <v>4570</v>
      </c>
      <c r="B1096" s="190" t="s">
        <v>4571</v>
      </c>
      <c r="C1096" s="190" t="s">
        <v>711</v>
      </c>
      <c r="D1096" s="190" t="n">
        <v>1</v>
      </c>
      <c r="E1096" s="190" t="n">
        <v>3</v>
      </c>
      <c r="F1096" s="190" t="n">
        <v>3</v>
      </c>
      <c r="G1096" s="190" t="n">
        <v>3.03</v>
      </c>
      <c r="H1096" s="190" t="s">
        <v>22</v>
      </c>
      <c r="I1096" s="190" t="s">
        <v>358</v>
      </c>
      <c r="J1096" s="190"/>
    </row>
    <row r="1097" customFormat="false" ht="14.25" hidden="false" customHeight="true" outlineLevel="0" collapsed="false">
      <c r="A1097" s="190" t="s">
        <v>4572</v>
      </c>
      <c r="B1097" s="190" t="s">
        <v>4573</v>
      </c>
      <c r="C1097" s="190" t="s">
        <v>4574</v>
      </c>
      <c r="D1097" s="190" t="n">
        <v>1</v>
      </c>
      <c r="E1097" s="190" t="n">
        <v>3</v>
      </c>
      <c r="F1097" s="190" t="n">
        <v>4</v>
      </c>
      <c r="G1097" s="190" t="n">
        <v>4.1</v>
      </c>
      <c r="H1097" s="190" t="s">
        <v>22</v>
      </c>
      <c r="I1097" s="190" t="s">
        <v>2363</v>
      </c>
      <c r="J1097" s="190"/>
    </row>
    <row r="1098" customFormat="false" ht="14.25" hidden="false" customHeight="true" outlineLevel="0" collapsed="false">
      <c r="A1098" s="190" t="s">
        <v>4575</v>
      </c>
      <c r="B1098" s="190" t="s">
        <v>4576</v>
      </c>
      <c r="C1098" s="190" t="s">
        <v>4577</v>
      </c>
      <c r="D1098" s="190" t="n">
        <v>1</v>
      </c>
      <c r="E1098" s="190" t="n">
        <v>5</v>
      </c>
      <c r="F1098" s="190" t="n">
        <v>5</v>
      </c>
      <c r="G1098" s="190" t="n">
        <v>2</v>
      </c>
      <c r="H1098" s="190" t="s">
        <v>22</v>
      </c>
      <c r="I1098" s="190" t="s">
        <v>2363</v>
      </c>
      <c r="J1098" s="190"/>
    </row>
    <row r="1099" customFormat="false" ht="14.25" hidden="false" customHeight="true" outlineLevel="0" collapsed="false">
      <c r="A1099" s="190" t="s">
        <v>4578</v>
      </c>
      <c r="B1099" s="190" t="s">
        <v>4579</v>
      </c>
      <c r="C1099" s="190" t="s">
        <v>712</v>
      </c>
      <c r="D1099" s="190" t="n">
        <v>1</v>
      </c>
      <c r="E1099" s="190" t="n">
        <v>2</v>
      </c>
      <c r="F1099" s="190" t="n">
        <v>2</v>
      </c>
      <c r="G1099" s="190" t="n">
        <v>2</v>
      </c>
      <c r="H1099" s="190" t="s">
        <v>22</v>
      </c>
      <c r="I1099" s="190" t="s">
        <v>358</v>
      </c>
      <c r="J1099" s="190"/>
    </row>
    <row r="1100" customFormat="false" ht="14.25" hidden="false" customHeight="true" outlineLevel="0" collapsed="false">
      <c r="A1100" s="190" t="s">
        <v>4580</v>
      </c>
      <c r="B1100" s="190" t="s">
        <v>4581</v>
      </c>
      <c r="C1100" s="190" t="s">
        <v>4582</v>
      </c>
      <c r="D1100" s="190" t="n">
        <v>1</v>
      </c>
      <c r="E1100" s="190" t="n">
        <v>4</v>
      </c>
      <c r="F1100" s="190" t="n">
        <v>3.67</v>
      </c>
      <c r="G1100" s="190" t="n">
        <v>422.1</v>
      </c>
      <c r="H1100" s="190" t="s">
        <v>22</v>
      </c>
      <c r="I1100" s="190" t="s">
        <v>2363</v>
      </c>
      <c r="J1100" s="190"/>
    </row>
    <row r="1101" customFormat="false" ht="14.25" hidden="false" customHeight="true" outlineLevel="0" collapsed="false">
      <c r="A1101" s="190" t="s">
        <v>4583</v>
      </c>
      <c r="B1101" s="190" t="s">
        <v>4584</v>
      </c>
      <c r="C1101" s="190" t="s">
        <v>4585</v>
      </c>
      <c r="D1101" s="190" t="n">
        <v>1</v>
      </c>
      <c r="E1101" s="190" t="n">
        <v>12</v>
      </c>
      <c r="F1101" s="190" t="n">
        <v>78.5</v>
      </c>
      <c r="G1101" s="190" t="n">
        <v>407.5</v>
      </c>
      <c r="H1101" s="190" t="s">
        <v>22</v>
      </c>
      <c r="I1101" s="190" t="s">
        <v>2538</v>
      </c>
      <c r="J1101" s="190"/>
    </row>
    <row r="1102" customFormat="false" ht="14.25" hidden="false" customHeight="true" outlineLevel="0" collapsed="false">
      <c r="A1102" s="190" t="s">
        <v>4586</v>
      </c>
      <c r="B1102" s="190" t="s">
        <v>4587</v>
      </c>
      <c r="C1102" s="190" t="s">
        <v>4588</v>
      </c>
      <c r="D1102" s="190" t="n">
        <v>1</v>
      </c>
      <c r="E1102" s="190" t="n">
        <v>8</v>
      </c>
      <c r="F1102" s="190" t="n">
        <v>40.7</v>
      </c>
      <c r="G1102" s="190" t="n">
        <v>399.8</v>
      </c>
      <c r="H1102" s="190" t="s">
        <v>22</v>
      </c>
      <c r="I1102" s="190" t="s">
        <v>2538</v>
      </c>
      <c r="J1102" s="190"/>
    </row>
    <row r="1103" customFormat="false" ht="14.25" hidden="false" customHeight="true" outlineLevel="0" collapsed="false">
      <c r="A1103" s="190" t="s">
        <v>4589</v>
      </c>
      <c r="B1103" s="190" t="s">
        <v>4590</v>
      </c>
      <c r="C1103" s="190" t="s">
        <v>715</v>
      </c>
      <c r="D1103" s="190" t="n">
        <v>1</v>
      </c>
      <c r="E1103" s="190" t="n">
        <v>0</v>
      </c>
      <c r="F1103" s="190" t="n">
        <v>1</v>
      </c>
      <c r="G1103" s="190" t="n">
        <v>1</v>
      </c>
      <c r="H1103" s="190" t="s">
        <v>22</v>
      </c>
      <c r="I1103" s="190" t="s">
        <v>257</v>
      </c>
      <c r="J1103" s="190"/>
    </row>
    <row r="1104" customFormat="false" ht="14.25" hidden="false" customHeight="true" outlineLevel="0" collapsed="false">
      <c r="A1104" s="190" t="s">
        <v>4591</v>
      </c>
      <c r="B1104" s="190" t="s">
        <v>4592</v>
      </c>
      <c r="C1104" s="190" t="s">
        <v>4593</v>
      </c>
      <c r="D1104" s="190" t="n">
        <v>1</v>
      </c>
      <c r="E1104" s="190" t="n">
        <v>4</v>
      </c>
      <c r="F1104" s="190" t="n">
        <v>5.5</v>
      </c>
      <c r="G1104" s="190" t="n">
        <v>2.85</v>
      </c>
      <c r="H1104" s="190" t="s">
        <v>22</v>
      </c>
      <c r="I1104" s="190" t="s">
        <v>158</v>
      </c>
      <c r="J1104" s="190"/>
    </row>
    <row r="1105" customFormat="false" ht="14.25" hidden="false" customHeight="true" outlineLevel="0" collapsed="false">
      <c r="A1105" s="190" t="s">
        <v>4594</v>
      </c>
      <c r="B1105" s="190" t="s">
        <v>4595</v>
      </c>
      <c r="C1105" s="190" t="s">
        <v>4596</v>
      </c>
      <c r="D1105" s="190" t="n">
        <v>1</v>
      </c>
      <c r="E1105" s="190" t="n">
        <v>4</v>
      </c>
      <c r="F1105" s="190" t="n">
        <v>13</v>
      </c>
      <c r="G1105" s="190" t="n">
        <v>8</v>
      </c>
      <c r="H1105" s="190" t="s">
        <v>22</v>
      </c>
      <c r="I1105" s="190" t="s">
        <v>1988</v>
      </c>
      <c r="J1105" s="190"/>
    </row>
    <row r="1106" customFormat="false" ht="14.25" hidden="false" customHeight="true" outlineLevel="0" collapsed="false">
      <c r="A1106" s="190" t="s">
        <v>4597</v>
      </c>
      <c r="B1106" s="190" t="s">
        <v>4598</v>
      </c>
      <c r="C1106" s="190" t="s">
        <v>716</v>
      </c>
      <c r="D1106" s="190" t="n">
        <v>1</v>
      </c>
      <c r="E1106" s="190" t="n">
        <v>24</v>
      </c>
      <c r="F1106" s="190" t="n">
        <v>24</v>
      </c>
      <c r="G1106" s="190" t="n">
        <v>128.6</v>
      </c>
      <c r="H1106" s="190" t="s">
        <v>22</v>
      </c>
      <c r="I1106" s="190" t="s">
        <v>358</v>
      </c>
      <c r="J1106" s="190"/>
    </row>
    <row r="1107" customFormat="false" ht="14.25" hidden="false" customHeight="true" outlineLevel="0" collapsed="false">
      <c r="A1107" s="190" t="s">
        <v>4599</v>
      </c>
      <c r="B1107" s="190" t="s">
        <v>4600</v>
      </c>
      <c r="C1107" s="190" t="s">
        <v>717</v>
      </c>
      <c r="D1107" s="190" t="n">
        <v>1</v>
      </c>
      <c r="E1107" s="190" t="n">
        <v>24</v>
      </c>
      <c r="F1107" s="190" t="n">
        <v>24</v>
      </c>
      <c r="G1107" s="190" t="n">
        <v>8</v>
      </c>
      <c r="H1107" s="190" t="s">
        <v>22</v>
      </c>
      <c r="I1107" s="190" t="s">
        <v>358</v>
      </c>
      <c r="J1107" s="190"/>
    </row>
    <row r="1108" customFormat="false" ht="14.25" hidden="false" customHeight="true" outlineLevel="0" collapsed="false">
      <c r="A1108" s="190" t="s">
        <v>4601</v>
      </c>
      <c r="B1108" s="190" t="s">
        <v>4602</v>
      </c>
      <c r="C1108" s="190" t="s">
        <v>718</v>
      </c>
      <c r="D1108" s="190" t="n">
        <v>1</v>
      </c>
      <c r="E1108" s="190" t="n">
        <v>47</v>
      </c>
      <c r="F1108" s="190" t="n">
        <v>47</v>
      </c>
      <c r="G1108" s="190" t="n">
        <v>56.1</v>
      </c>
      <c r="H1108" s="190" t="s">
        <v>22</v>
      </c>
      <c r="I1108" s="190" t="s">
        <v>358</v>
      </c>
      <c r="J1108" s="190"/>
    </row>
    <row r="1109" customFormat="false" ht="14.25" hidden="false" customHeight="true" outlineLevel="0" collapsed="false">
      <c r="A1109" s="190" t="s">
        <v>4603</v>
      </c>
      <c r="B1109" s="190" t="s">
        <v>4604</v>
      </c>
      <c r="C1109" s="190" t="s">
        <v>719</v>
      </c>
      <c r="D1109" s="190" t="n">
        <v>1</v>
      </c>
      <c r="E1109" s="190" t="n">
        <v>52</v>
      </c>
      <c r="F1109" s="190" t="n">
        <v>52</v>
      </c>
      <c r="G1109" s="190" t="n">
        <v>627.4</v>
      </c>
      <c r="H1109" s="190" t="s">
        <v>22</v>
      </c>
      <c r="I1109" s="190" t="s">
        <v>358</v>
      </c>
      <c r="J1109" s="190"/>
    </row>
    <row r="1110" customFormat="false" ht="14.25" hidden="false" customHeight="true" outlineLevel="0" collapsed="false">
      <c r="A1110" s="190" t="s">
        <v>4605</v>
      </c>
      <c r="B1110" s="190" t="s">
        <v>4606</v>
      </c>
      <c r="C1110" s="190" t="s">
        <v>4607</v>
      </c>
      <c r="D1110" s="190" t="n">
        <v>1</v>
      </c>
      <c r="E1110" s="190" t="n">
        <v>2</v>
      </c>
      <c r="F1110" s="190" t="n">
        <v>2.67</v>
      </c>
      <c r="G1110" s="190" t="n">
        <v>329.8</v>
      </c>
      <c r="H1110" s="190" t="s">
        <v>22</v>
      </c>
      <c r="I1110" s="190" t="s">
        <v>269</v>
      </c>
      <c r="J1110" s="190" t="s">
        <v>4168</v>
      </c>
    </row>
    <row r="1111" customFormat="false" ht="14.25" hidden="false" customHeight="true" outlineLevel="0" collapsed="false">
      <c r="A1111" s="190" t="s">
        <v>4608</v>
      </c>
      <c r="B1111" s="190" t="s">
        <v>4609</v>
      </c>
      <c r="C1111" s="190" t="s">
        <v>4610</v>
      </c>
      <c r="D1111" s="190" t="n">
        <v>1</v>
      </c>
      <c r="E1111" s="190" t="n">
        <v>2</v>
      </c>
      <c r="F1111" s="190" t="n">
        <v>14.33</v>
      </c>
      <c r="G1111" s="190" t="n">
        <v>331.2</v>
      </c>
      <c r="H1111" s="190" t="s">
        <v>22</v>
      </c>
      <c r="I1111" s="190" t="s">
        <v>269</v>
      </c>
      <c r="J1111" s="190" t="s">
        <v>4168</v>
      </c>
    </row>
    <row r="1112" customFormat="false" ht="14.25" hidden="false" customHeight="true" outlineLevel="0" collapsed="false">
      <c r="A1112" s="190" t="s">
        <v>4611</v>
      </c>
      <c r="B1112" s="190" t="s">
        <v>4612</v>
      </c>
      <c r="C1112" s="190" t="s">
        <v>4613</v>
      </c>
      <c r="D1112" s="190" t="s">
        <v>1720</v>
      </c>
      <c r="E1112" s="190" t="n">
        <v>7</v>
      </c>
      <c r="F1112" s="190" t="n">
        <v>7</v>
      </c>
      <c r="G1112" s="190" t="n">
        <v>911</v>
      </c>
      <c r="H1112" s="190" t="s">
        <v>22</v>
      </c>
      <c r="I1112" s="190" t="n">
        <v>11</v>
      </c>
      <c r="J1112" s="190"/>
    </row>
    <row r="1113" customFormat="false" ht="14.25" hidden="false" customHeight="true" outlineLevel="0" collapsed="false">
      <c r="A1113" s="190" t="s">
        <v>4614</v>
      </c>
      <c r="B1113" s="190" t="s">
        <v>4615</v>
      </c>
      <c r="C1113" s="190" t="s">
        <v>4616</v>
      </c>
      <c r="D1113" s="190" t="s">
        <v>1861</v>
      </c>
      <c r="E1113" s="190" t="n">
        <v>2.5</v>
      </c>
      <c r="F1113" s="190" t="n">
        <v>5.5</v>
      </c>
      <c r="G1113" s="190" t="n">
        <v>25.8</v>
      </c>
      <c r="H1113" s="190" t="s">
        <v>22</v>
      </c>
      <c r="I1113" s="190" t="n">
        <v>11</v>
      </c>
      <c r="J1113" s="190"/>
    </row>
    <row r="1114" customFormat="false" ht="14.25" hidden="false" customHeight="true" outlineLevel="0" collapsed="false">
      <c r="A1114" s="190" t="s">
        <v>4617</v>
      </c>
      <c r="B1114" s="190" t="s">
        <v>4618</v>
      </c>
      <c r="C1114" s="190" t="s">
        <v>4619</v>
      </c>
      <c r="D1114" s="190" t="s">
        <v>2552</v>
      </c>
      <c r="E1114" s="190" t="n">
        <v>2</v>
      </c>
      <c r="F1114" s="190" t="n">
        <v>20</v>
      </c>
      <c r="G1114" s="190" t="n">
        <v>20.57</v>
      </c>
      <c r="H1114" s="190" t="s">
        <v>22</v>
      </c>
      <c r="I1114" s="190" t="n">
        <v>21</v>
      </c>
      <c r="J1114" s="190"/>
    </row>
    <row r="1115" customFormat="false" ht="14.25" hidden="false" customHeight="true" outlineLevel="0" collapsed="false">
      <c r="A1115" s="190" t="s">
        <v>4620</v>
      </c>
      <c r="B1115" s="190" t="s">
        <v>4621</v>
      </c>
      <c r="C1115" s="190" t="s">
        <v>4622</v>
      </c>
      <c r="D1115" s="190" t="s">
        <v>2552</v>
      </c>
      <c r="E1115" s="190" t="n">
        <v>1</v>
      </c>
      <c r="F1115" s="190" t="n">
        <v>6</v>
      </c>
      <c r="G1115" s="190" t="n">
        <v>2.05</v>
      </c>
      <c r="H1115" s="190" t="s">
        <v>22</v>
      </c>
      <c r="I1115" s="190" t="n">
        <v>31</v>
      </c>
      <c r="J1115" s="190"/>
    </row>
    <row r="1116" customFormat="false" ht="14.25" hidden="false" customHeight="true" outlineLevel="0" collapsed="false">
      <c r="A1116" s="190" t="s">
        <v>4623</v>
      </c>
      <c r="B1116" s="190" t="s">
        <v>4624</v>
      </c>
      <c r="C1116" s="190" t="s">
        <v>4625</v>
      </c>
      <c r="D1116" s="190" t="s">
        <v>1861</v>
      </c>
      <c r="E1116" s="190" t="n">
        <v>1.5</v>
      </c>
      <c r="F1116" s="190" t="n">
        <v>2.67</v>
      </c>
      <c r="G1116" s="190" t="n">
        <v>285.8</v>
      </c>
      <c r="H1116" s="190" t="s">
        <v>22</v>
      </c>
      <c r="I1116" s="190" t="n">
        <v>32</v>
      </c>
      <c r="J1116" s="190" t="s">
        <v>2934</v>
      </c>
    </row>
    <row r="1117" customFormat="false" ht="14.25" hidden="false" customHeight="true" outlineLevel="0" collapsed="false">
      <c r="A1117" s="190" t="s">
        <v>4626</v>
      </c>
      <c r="B1117" s="190" t="s">
        <v>4627</v>
      </c>
      <c r="C1117" s="190" t="s">
        <v>4628</v>
      </c>
      <c r="D1117" s="190" t="s">
        <v>2225</v>
      </c>
      <c r="E1117" s="190" t="n">
        <v>4</v>
      </c>
      <c r="F1117" s="190" t="n">
        <v>0.5</v>
      </c>
      <c r="G1117" s="190" t="n">
        <v>0.32</v>
      </c>
      <c r="H1117" s="190" t="s">
        <v>22</v>
      </c>
      <c r="I1117" s="190" t="n">
        <v>36</v>
      </c>
      <c r="J1117" s="190"/>
    </row>
    <row r="1118" customFormat="false" ht="14.25" hidden="false" customHeight="true" outlineLevel="0" collapsed="false">
      <c r="A1118" s="190" t="s">
        <v>4629</v>
      </c>
      <c r="B1118" s="190" t="s">
        <v>4630</v>
      </c>
      <c r="C1118" s="190" t="s">
        <v>721</v>
      </c>
      <c r="D1118" s="190" t="s">
        <v>2552</v>
      </c>
      <c r="E1118" s="190" t="n">
        <v>2</v>
      </c>
      <c r="F1118" s="190" t="n">
        <v>4</v>
      </c>
      <c r="G1118" s="190" t="n">
        <v>4.42</v>
      </c>
      <c r="H1118" s="190" t="s">
        <v>22</v>
      </c>
      <c r="I1118" s="190" t="n">
        <v>38</v>
      </c>
      <c r="J1118" s="190"/>
    </row>
    <row r="1119" customFormat="false" ht="14.25" hidden="false" customHeight="true" outlineLevel="0" collapsed="false">
      <c r="A1119" s="190" t="s">
        <v>4631</v>
      </c>
      <c r="B1119" s="190" t="s">
        <v>4632</v>
      </c>
      <c r="C1119" s="190" t="s">
        <v>723</v>
      </c>
      <c r="D1119" s="190" t="n">
        <v>1</v>
      </c>
      <c r="E1119" s="190" t="n">
        <v>1</v>
      </c>
      <c r="F1119" s="190" t="n">
        <v>1</v>
      </c>
      <c r="G1119" s="190" t="n">
        <v>1</v>
      </c>
      <c r="H1119" s="190" t="s">
        <v>22</v>
      </c>
      <c r="I1119" s="190" t="s">
        <v>358</v>
      </c>
      <c r="J1119" s="190"/>
    </row>
    <row r="1120" customFormat="false" ht="14.25" hidden="false" customHeight="true" outlineLevel="0" collapsed="false">
      <c r="A1120" s="190" t="s">
        <v>4633</v>
      </c>
      <c r="B1120" s="190" t="s">
        <v>4634</v>
      </c>
      <c r="C1120" s="190" t="s">
        <v>4635</v>
      </c>
      <c r="D1120" s="190" t="n">
        <v>1</v>
      </c>
      <c r="E1120" s="190" t="n">
        <v>4</v>
      </c>
      <c r="F1120" s="190" t="n">
        <v>8.5</v>
      </c>
      <c r="G1120" s="190" t="n">
        <v>2.5</v>
      </c>
      <c r="H1120" s="190" t="s">
        <v>22</v>
      </c>
      <c r="I1120" s="190" t="s">
        <v>38</v>
      </c>
      <c r="J1120" s="190"/>
    </row>
    <row r="1121" customFormat="false" ht="14.25" hidden="false" customHeight="true" outlineLevel="0" collapsed="false">
      <c r="A1121" s="190" t="s">
        <v>4636</v>
      </c>
      <c r="B1121" s="190" t="s">
        <v>4637</v>
      </c>
      <c r="C1121" s="190" t="s">
        <v>4638</v>
      </c>
      <c r="D1121" s="190" t="n">
        <v>1</v>
      </c>
      <c r="E1121" s="190" t="n">
        <v>4</v>
      </c>
      <c r="F1121" s="190" t="n">
        <v>4</v>
      </c>
      <c r="G1121" s="190" t="n">
        <v>1.02</v>
      </c>
      <c r="H1121" s="190" t="s">
        <v>22</v>
      </c>
      <c r="I1121" s="190" t="s">
        <v>38</v>
      </c>
      <c r="J1121" s="190"/>
    </row>
    <row r="1122" customFormat="false" ht="14.25" hidden="false" customHeight="true" outlineLevel="0" collapsed="false">
      <c r="A1122" s="190" t="s">
        <v>4639</v>
      </c>
      <c r="B1122" s="190" t="s">
        <v>4640</v>
      </c>
      <c r="C1122" s="190" t="s">
        <v>724</v>
      </c>
      <c r="D1122" s="190" t="n">
        <v>1</v>
      </c>
      <c r="E1122" s="190" t="n">
        <v>6.5</v>
      </c>
      <c r="F1122" s="190" t="n">
        <v>6.5</v>
      </c>
      <c r="G1122" s="190" t="n">
        <v>59.3</v>
      </c>
      <c r="H1122" s="190" t="s">
        <v>22</v>
      </c>
      <c r="I1122" s="190" t="s">
        <v>358</v>
      </c>
      <c r="J1122" s="190"/>
    </row>
    <row r="1123" customFormat="false" ht="14.25" hidden="false" customHeight="true" outlineLevel="0" collapsed="false">
      <c r="A1123" s="190" t="s">
        <v>4641</v>
      </c>
      <c r="B1123" s="190" t="s">
        <v>4642</v>
      </c>
      <c r="C1123" s="190" t="s">
        <v>4643</v>
      </c>
      <c r="D1123" s="190" t="n">
        <v>1</v>
      </c>
      <c r="E1123" s="190" t="n">
        <v>8</v>
      </c>
      <c r="F1123" s="190" t="n">
        <v>19</v>
      </c>
      <c r="G1123" s="190" t="n">
        <v>243.8</v>
      </c>
      <c r="H1123" s="190" t="s">
        <v>22</v>
      </c>
      <c r="I1123" s="190" t="s">
        <v>2363</v>
      </c>
      <c r="J1123" s="190"/>
    </row>
    <row r="1124" customFormat="false" ht="14.25" hidden="false" customHeight="true" outlineLevel="0" collapsed="false">
      <c r="A1124" s="190" t="s">
        <v>4644</v>
      </c>
      <c r="B1124" s="190" t="s">
        <v>4645</v>
      </c>
      <c r="C1124" s="190" t="s">
        <v>4646</v>
      </c>
      <c r="D1124" s="190" t="n">
        <v>1</v>
      </c>
      <c r="E1124" s="190" t="n">
        <v>0.22</v>
      </c>
      <c r="F1124" s="190" t="n">
        <v>1</v>
      </c>
      <c r="G1124" s="190" t="n">
        <v>1</v>
      </c>
      <c r="H1124" s="190" t="s">
        <v>22</v>
      </c>
      <c r="I1124" s="190" t="s">
        <v>269</v>
      </c>
      <c r="J1124" s="190" t="s">
        <v>1737</v>
      </c>
    </row>
    <row r="1125" customFormat="false" ht="14.25" hidden="false" customHeight="true" outlineLevel="0" collapsed="false">
      <c r="A1125" s="190" t="s">
        <v>4647</v>
      </c>
      <c r="B1125" s="190" t="s">
        <v>4648</v>
      </c>
      <c r="C1125" s="190" t="s">
        <v>4649</v>
      </c>
      <c r="D1125" s="190" t="n">
        <v>1</v>
      </c>
      <c r="E1125" s="190" t="n">
        <v>8</v>
      </c>
      <c r="F1125" s="190" t="n">
        <v>3.08</v>
      </c>
      <c r="G1125" s="190" t="n">
        <v>1.35</v>
      </c>
      <c r="H1125" s="190" t="s">
        <v>22</v>
      </c>
      <c r="I1125" s="190" t="s">
        <v>2363</v>
      </c>
      <c r="J1125" s="190"/>
    </row>
    <row r="1126" customFormat="false" ht="14.25" hidden="false" customHeight="true" outlineLevel="0" collapsed="false">
      <c r="A1126" s="190" t="s">
        <v>4650</v>
      </c>
      <c r="B1126" s="190" t="s">
        <v>4651</v>
      </c>
      <c r="C1126" s="190" t="s">
        <v>4652</v>
      </c>
      <c r="D1126" s="190" t="n">
        <v>1</v>
      </c>
      <c r="E1126" s="190" t="n">
        <v>0</v>
      </c>
      <c r="F1126" s="190" t="n">
        <v>6</v>
      </c>
      <c r="G1126" s="190" t="n">
        <v>216.1</v>
      </c>
      <c r="H1126" s="190" t="s">
        <v>22</v>
      </c>
      <c r="I1126" s="190" t="s">
        <v>38</v>
      </c>
      <c r="J1126" s="190"/>
    </row>
    <row r="1127" customFormat="false" ht="14.25" hidden="false" customHeight="true" outlineLevel="0" collapsed="false">
      <c r="A1127" s="190" t="s">
        <v>4653</v>
      </c>
      <c r="B1127" s="190" t="s">
        <v>4654</v>
      </c>
      <c r="C1127" s="190" t="s">
        <v>725</v>
      </c>
      <c r="D1127" s="190" t="n">
        <v>1</v>
      </c>
      <c r="E1127" s="190" t="n">
        <v>3.5</v>
      </c>
      <c r="F1127" s="190" t="n">
        <v>3</v>
      </c>
      <c r="G1127" s="190" t="n">
        <v>1.5</v>
      </c>
      <c r="H1127" s="190" t="s">
        <v>22</v>
      </c>
      <c r="I1127" s="190" t="s">
        <v>358</v>
      </c>
      <c r="J1127" s="190"/>
    </row>
    <row r="1128" customFormat="false" ht="14.25" hidden="false" customHeight="true" outlineLevel="0" collapsed="false">
      <c r="A1128" s="190" t="s">
        <v>4655</v>
      </c>
      <c r="B1128" s="190" t="s">
        <v>4656</v>
      </c>
      <c r="C1128" s="190" t="s">
        <v>726</v>
      </c>
      <c r="D1128" s="190" t="n">
        <v>1</v>
      </c>
      <c r="E1128" s="190" t="n">
        <v>29</v>
      </c>
      <c r="F1128" s="190" t="n">
        <v>29</v>
      </c>
      <c r="G1128" s="190" t="n">
        <v>128.6</v>
      </c>
      <c r="H1128" s="190" t="s">
        <v>22</v>
      </c>
      <c r="I1128" s="190" t="s">
        <v>358</v>
      </c>
      <c r="J1128" s="190"/>
    </row>
    <row r="1129" customFormat="false" ht="14.25" hidden="false" customHeight="true" outlineLevel="0" collapsed="false">
      <c r="A1129" s="190" t="s">
        <v>4657</v>
      </c>
      <c r="B1129" s="190" t="s">
        <v>4658</v>
      </c>
      <c r="C1129" s="190" t="s">
        <v>731</v>
      </c>
      <c r="D1129" s="190" t="n">
        <v>1</v>
      </c>
      <c r="E1129" s="190" t="n">
        <v>2</v>
      </c>
      <c r="F1129" s="190" t="n">
        <v>2</v>
      </c>
      <c r="G1129" s="190" t="n">
        <v>2</v>
      </c>
      <c r="H1129" s="190" t="s">
        <v>22</v>
      </c>
      <c r="I1129" s="190" t="s">
        <v>358</v>
      </c>
      <c r="J1129" s="190"/>
    </row>
    <row r="1130" customFormat="false" ht="14.25" hidden="false" customHeight="true" outlineLevel="0" collapsed="false">
      <c r="A1130" s="190" t="s">
        <v>4659</v>
      </c>
      <c r="B1130" s="190" t="s">
        <v>4660</v>
      </c>
      <c r="C1130" s="190" t="s">
        <v>4661</v>
      </c>
      <c r="D1130" s="190" t="n">
        <v>1</v>
      </c>
      <c r="E1130" s="190" t="n">
        <v>6</v>
      </c>
      <c r="F1130" s="190" t="n">
        <v>5.5</v>
      </c>
      <c r="G1130" s="190" t="n">
        <v>2.75</v>
      </c>
      <c r="H1130" s="190" t="s">
        <v>22</v>
      </c>
      <c r="I1130" s="190" t="s">
        <v>2363</v>
      </c>
      <c r="J1130" s="190"/>
    </row>
    <row r="1131" customFormat="false" ht="14.25" hidden="false" customHeight="true" outlineLevel="0" collapsed="false">
      <c r="A1131" s="190" t="s">
        <v>4662</v>
      </c>
      <c r="B1131" s="190" t="s">
        <v>4663</v>
      </c>
      <c r="C1131" s="190" t="s">
        <v>4664</v>
      </c>
      <c r="D1131" s="190" t="n">
        <v>1</v>
      </c>
      <c r="E1131" s="190" t="n">
        <v>6</v>
      </c>
      <c r="F1131" s="190" t="n">
        <v>22.5</v>
      </c>
      <c r="G1131" s="190" t="n">
        <v>5.03</v>
      </c>
      <c r="H1131" s="190" t="s">
        <v>22</v>
      </c>
      <c r="I1131" s="190" t="s">
        <v>2363</v>
      </c>
      <c r="J1131" s="190"/>
    </row>
    <row r="1132" customFormat="false" ht="14.25" hidden="false" customHeight="true" outlineLevel="0" collapsed="false">
      <c r="A1132" s="190" t="s">
        <v>4665</v>
      </c>
      <c r="B1132" s="190" t="s">
        <v>4666</v>
      </c>
      <c r="C1132" s="190" t="s">
        <v>4667</v>
      </c>
      <c r="D1132" s="190" t="n">
        <v>1</v>
      </c>
      <c r="E1132" s="190" t="n">
        <v>4</v>
      </c>
      <c r="F1132" s="190" t="n">
        <v>5</v>
      </c>
      <c r="G1132" s="190" t="n">
        <v>2</v>
      </c>
      <c r="H1132" s="190" t="s">
        <v>22</v>
      </c>
      <c r="I1132" s="190" t="s">
        <v>2363</v>
      </c>
      <c r="J1132" s="190"/>
    </row>
    <row r="1133" customFormat="false" ht="14.25" hidden="false" customHeight="true" outlineLevel="0" collapsed="false">
      <c r="A1133" s="190" t="s">
        <v>4668</v>
      </c>
      <c r="B1133" s="190" t="s">
        <v>4669</v>
      </c>
      <c r="C1133" s="190" t="s">
        <v>4670</v>
      </c>
      <c r="D1133" s="190" t="n">
        <v>1</v>
      </c>
      <c r="E1133" s="190" t="n">
        <v>8</v>
      </c>
      <c r="F1133" s="190" t="n">
        <v>1.5</v>
      </c>
      <c r="G1133" s="190" t="n">
        <v>0.5</v>
      </c>
      <c r="H1133" s="190" t="s">
        <v>22</v>
      </c>
      <c r="I1133" s="190" t="s">
        <v>158</v>
      </c>
      <c r="J1133" s="190"/>
    </row>
    <row r="1134" customFormat="false" ht="14.25" hidden="false" customHeight="true" outlineLevel="0" collapsed="false">
      <c r="A1134" s="190" t="s">
        <v>4671</v>
      </c>
      <c r="B1134" s="190" t="s">
        <v>4672</v>
      </c>
      <c r="C1134" s="190" t="s">
        <v>4673</v>
      </c>
      <c r="D1134" s="190" t="n">
        <v>1</v>
      </c>
      <c r="E1134" s="190" t="n">
        <v>8</v>
      </c>
      <c r="F1134" s="190" t="n">
        <v>0.5</v>
      </c>
      <c r="G1134" s="190" t="n">
        <v>342.2</v>
      </c>
      <c r="H1134" s="190" t="s">
        <v>22</v>
      </c>
      <c r="I1134" s="190" t="n">
        <v>71</v>
      </c>
      <c r="J1134" s="190"/>
    </row>
    <row r="1135" customFormat="false" ht="14.25" hidden="false" customHeight="true" outlineLevel="0" collapsed="false">
      <c r="A1135" s="190" t="s">
        <v>4674</v>
      </c>
      <c r="B1135" s="190" t="s">
        <v>4675</v>
      </c>
      <c r="C1135" s="190" t="s">
        <v>738</v>
      </c>
      <c r="D1135" s="190" t="n">
        <v>1</v>
      </c>
      <c r="E1135" s="190" t="n">
        <v>2</v>
      </c>
      <c r="F1135" s="190" t="n">
        <v>2</v>
      </c>
      <c r="G1135" s="190" t="n">
        <v>2.02</v>
      </c>
      <c r="H1135" s="190" t="s">
        <v>22</v>
      </c>
      <c r="I1135" s="190" t="s">
        <v>358</v>
      </c>
      <c r="J1135" s="190"/>
    </row>
    <row r="1136" customFormat="false" ht="14.25" hidden="false" customHeight="true" outlineLevel="0" collapsed="false">
      <c r="A1136" s="190" t="s">
        <v>4676</v>
      </c>
      <c r="B1136" s="190" t="s">
        <v>4677</v>
      </c>
      <c r="C1136" s="190" t="s">
        <v>739</v>
      </c>
      <c r="D1136" s="190" t="n">
        <v>1</v>
      </c>
      <c r="E1136" s="190" t="n">
        <v>6</v>
      </c>
      <c r="F1136" s="190" t="n">
        <v>6</v>
      </c>
      <c r="G1136" s="190" t="n">
        <v>6.02</v>
      </c>
      <c r="H1136" s="190" t="s">
        <v>22</v>
      </c>
      <c r="I1136" s="190" t="s">
        <v>358</v>
      </c>
      <c r="J1136" s="190"/>
    </row>
    <row r="1137" customFormat="false" ht="14.25" hidden="false" customHeight="true" outlineLevel="0" collapsed="false">
      <c r="A1137" s="190" t="s">
        <v>4678</v>
      </c>
      <c r="B1137" s="190" t="s">
        <v>4679</v>
      </c>
      <c r="C1137" s="190" t="s">
        <v>740</v>
      </c>
      <c r="D1137" s="190" t="n">
        <v>1</v>
      </c>
      <c r="E1137" s="190" t="n">
        <v>6</v>
      </c>
      <c r="F1137" s="190" t="n">
        <v>6.5</v>
      </c>
      <c r="G1137" s="190" t="n">
        <v>6.5</v>
      </c>
      <c r="H1137" s="190" t="s">
        <v>22</v>
      </c>
      <c r="I1137" s="190" t="s">
        <v>358</v>
      </c>
      <c r="J1137" s="190"/>
    </row>
    <row r="1138" customFormat="false" ht="14.25" hidden="false" customHeight="true" outlineLevel="0" collapsed="false">
      <c r="A1138" s="190" t="s">
        <v>4680</v>
      </c>
      <c r="B1138" s="190" t="s">
        <v>4681</v>
      </c>
      <c r="C1138" s="190" t="s">
        <v>741</v>
      </c>
      <c r="D1138" s="190" t="n">
        <v>1</v>
      </c>
      <c r="E1138" s="190" t="n">
        <v>5</v>
      </c>
      <c r="F1138" s="190" t="n">
        <v>5</v>
      </c>
      <c r="G1138" s="190" t="n">
        <v>3</v>
      </c>
      <c r="H1138" s="190" t="s">
        <v>22</v>
      </c>
      <c r="I1138" s="190" t="s">
        <v>358</v>
      </c>
      <c r="J1138" s="190"/>
    </row>
    <row r="1139" customFormat="false" ht="14.25" hidden="false" customHeight="true" outlineLevel="0" collapsed="false">
      <c r="A1139" s="190" t="s">
        <v>4682</v>
      </c>
      <c r="B1139" s="190" t="s">
        <v>4683</v>
      </c>
      <c r="C1139" s="190" t="s">
        <v>742</v>
      </c>
      <c r="D1139" s="190" t="n">
        <v>1</v>
      </c>
      <c r="E1139" s="190" t="n">
        <v>2</v>
      </c>
      <c r="F1139" s="190" t="n">
        <v>2</v>
      </c>
      <c r="G1139" s="190" t="n">
        <v>44.3</v>
      </c>
      <c r="H1139" s="190" t="s">
        <v>22</v>
      </c>
      <c r="I1139" s="190" t="s">
        <v>358</v>
      </c>
      <c r="J1139" s="190"/>
    </row>
    <row r="1140" customFormat="false" ht="14.25" hidden="false" customHeight="true" outlineLevel="0" collapsed="false">
      <c r="A1140" s="190" t="s">
        <v>4684</v>
      </c>
      <c r="B1140" s="190" t="s">
        <v>4685</v>
      </c>
      <c r="C1140" s="190" t="s">
        <v>743</v>
      </c>
      <c r="D1140" s="190" t="n">
        <v>1</v>
      </c>
      <c r="E1140" s="190" t="n">
        <v>2</v>
      </c>
      <c r="F1140" s="190" t="n">
        <v>2</v>
      </c>
      <c r="G1140" s="190" t="n">
        <v>2.02</v>
      </c>
      <c r="H1140" s="190" t="s">
        <v>22</v>
      </c>
      <c r="I1140" s="190" t="s">
        <v>358</v>
      </c>
      <c r="J1140" s="190"/>
    </row>
    <row r="1141" customFormat="false" ht="14.25" hidden="false" customHeight="true" outlineLevel="0" collapsed="false">
      <c r="A1141" s="190" t="s">
        <v>4686</v>
      </c>
      <c r="B1141" s="190" t="s">
        <v>4687</v>
      </c>
      <c r="C1141" s="190" t="s">
        <v>744</v>
      </c>
      <c r="D1141" s="190" t="n">
        <v>1</v>
      </c>
      <c r="E1141" s="190" t="n">
        <v>32.5</v>
      </c>
      <c r="F1141" s="190" t="n">
        <v>32.5</v>
      </c>
      <c r="G1141" s="190" t="n">
        <v>27.8</v>
      </c>
      <c r="H1141" s="190" t="s">
        <v>22</v>
      </c>
      <c r="I1141" s="190" t="s">
        <v>358</v>
      </c>
      <c r="J1141" s="190"/>
    </row>
    <row r="1142" customFormat="false" ht="14.25" hidden="false" customHeight="true" outlineLevel="0" collapsed="false">
      <c r="A1142" s="190" t="s">
        <v>4688</v>
      </c>
      <c r="B1142" s="190" t="s">
        <v>4689</v>
      </c>
      <c r="C1142" s="190" t="s">
        <v>750</v>
      </c>
      <c r="D1142" s="190" t="n">
        <v>1</v>
      </c>
      <c r="E1142" s="190" t="n">
        <v>0</v>
      </c>
      <c r="F1142" s="190" t="n">
        <v>6</v>
      </c>
      <c r="G1142" s="190" t="n">
        <v>2.17</v>
      </c>
      <c r="H1142" s="190" t="s">
        <v>22</v>
      </c>
      <c r="I1142" s="190" t="s">
        <v>68</v>
      </c>
      <c r="J1142" s="190"/>
    </row>
    <row r="1143" customFormat="false" ht="14.25" hidden="false" customHeight="true" outlineLevel="0" collapsed="false">
      <c r="A1143" s="190" t="s">
        <v>4690</v>
      </c>
      <c r="B1143" s="190" t="s">
        <v>4691</v>
      </c>
      <c r="C1143" s="190" t="s">
        <v>4692</v>
      </c>
      <c r="D1143" s="190" t="n">
        <v>1</v>
      </c>
      <c r="E1143" s="190" t="n">
        <v>0</v>
      </c>
      <c r="F1143" s="190" t="n">
        <v>66.5</v>
      </c>
      <c r="G1143" s="190" t="n">
        <v>18.93</v>
      </c>
      <c r="H1143" s="190" t="s">
        <v>22</v>
      </c>
      <c r="I1143" s="190" t="s">
        <v>1936</v>
      </c>
      <c r="J1143" s="190"/>
    </row>
    <row r="1144" customFormat="false" ht="14.25" hidden="false" customHeight="true" outlineLevel="0" collapsed="false">
      <c r="A1144" s="190" t="s">
        <v>4693</v>
      </c>
      <c r="B1144" s="190" t="s">
        <v>4694</v>
      </c>
      <c r="C1144" s="190" t="s">
        <v>4695</v>
      </c>
      <c r="D1144" s="190" t="n">
        <v>1</v>
      </c>
      <c r="E1144" s="190" t="n">
        <v>0</v>
      </c>
      <c r="F1144" s="190" t="n">
        <v>68</v>
      </c>
      <c r="G1144" s="190" t="n">
        <v>19.5</v>
      </c>
      <c r="H1144" s="190" t="s">
        <v>22</v>
      </c>
      <c r="I1144" s="190" t="s">
        <v>1936</v>
      </c>
      <c r="J1144" s="190"/>
    </row>
    <row r="1145" customFormat="false" ht="14.25" hidden="false" customHeight="true" outlineLevel="0" collapsed="false">
      <c r="A1145" s="190" t="s">
        <v>4696</v>
      </c>
      <c r="B1145" s="190" t="s">
        <v>4697</v>
      </c>
      <c r="C1145" s="190" t="s">
        <v>4698</v>
      </c>
      <c r="D1145" s="190" t="n">
        <v>1</v>
      </c>
      <c r="E1145" s="190" t="n">
        <v>0</v>
      </c>
      <c r="F1145" s="190" t="n">
        <v>15.92</v>
      </c>
      <c r="G1145" s="190" t="n">
        <v>9.33</v>
      </c>
      <c r="H1145" s="190" t="s">
        <v>22</v>
      </c>
      <c r="I1145" s="190" t="s">
        <v>121</v>
      </c>
      <c r="J1145" s="190"/>
    </row>
    <row r="1146" customFormat="false" ht="14.25" hidden="false" customHeight="true" outlineLevel="0" collapsed="false">
      <c r="A1146" s="190" t="s">
        <v>4699</v>
      </c>
      <c r="B1146" s="190" t="s">
        <v>4700</v>
      </c>
      <c r="C1146" s="190" t="s">
        <v>4701</v>
      </c>
      <c r="D1146" s="190" t="n">
        <v>1</v>
      </c>
      <c r="E1146" s="190" t="n">
        <v>4</v>
      </c>
      <c r="F1146" s="190" t="n">
        <v>31.2</v>
      </c>
      <c r="G1146" s="190" t="n">
        <v>572.6</v>
      </c>
      <c r="H1146" s="190" t="s">
        <v>22</v>
      </c>
      <c r="I1146" s="190" t="s">
        <v>2538</v>
      </c>
      <c r="J1146" s="190"/>
    </row>
    <row r="1147" customFormat="false" ht="14.25" hidden="false" customHeight="true" outlineLevel="0" collapsed="false">
      <c r="A1147" s="190" t="s">
        <v>4702</v>
      </c>
      <c r="B1147" s="190" t="s">
        <v>4703</v>
      </c>
      <c r="C1147" s="190" t="s">
        <v>4704</v>
      </c>
      <c r="D1147" s="190" t="n">
        <v>1</v>
      </c>
      <c r="E1147" s="190" t="n">
        <v>8</v>
      </c>
      <c r="F1147" s="190" t="n">
        <v>10.02</v>
      </c>
      <c r="G1147" s="190" t="n">
        <v>24.6</v>
      </c>
      <c r="H1147" s="190" t="s">
        <v>22</v>
      </c>
      <c r="I1147" s="190" t="s">
        <v>146</v>
      </c>
      <c r="J1147" s="190"/>
    </row>
    <row r="1148" customFormat="false" ht="14.25" hidden="false" customHeight="true" outlineLevel="0" collapsed="false">
      <c r="A1148" s="190" t="s">
        <v>4705</v>
      </c>
      <c r="B1148" s="190" t="s">
        <v>4706</v>
      </c>
      <c r="C1148" s="190" t="s">
        <v>4707</v>
      </c>
      <c r="D1148" s="190" t="n">
        <v>1</v>
      </c>
      <c r="E1148" s="190" t="n">
        <v>8</v>
      </c>
      <c r="F1148" s="190" t="n">
        <v>8</v>
      </c>
      <c r="G1148" s="190" t="n">
        <v>4.02</v>
      </c>
      <c r="H1148" s="190" t="s">
        <v>22</v>
      </c>
      <c r="I1148" s="190" t="s">
        <v>146</v>
      </c>
      <c r="J1148" s="190"/>
    </row>
    <row r="1149" customFormat="false" ht="14.25" hidden="false" customHeight="true" outlineLevel="0" collapsed="false">
      <c r="A1149" s="190" t="s">
        <v>4708</v>
      </c>
      <c r="B1149" s="190" t="s">
        <v>4709</v>
      </c>
      <c r="C1149" s="190" t="s">
        <v>4710</v>
      </c>
      <c r="D1149" s="190" t="n">
        <v>1</v>
      </c>
      <c r="E1149" s="190" t="n">
        <v>12</v>
      </c>
      <c r="F1149" s="190" t="n">
        <v>2</v>
      </c>
      <c r="G1149" s="190" t="n">
        <v>2</v>
      </c>
      <c r="H1149" s="190" t="s">
        <v>22</v>
      </c>
      <c r="I1149" s="190" t="s">
        <v>146</v>
      </c>
      <c r="J1149" s="190"/>
    </row>
    <row r="1150" customFormat="false" ht="14.25" hidden="false" customHeight="true" outlineLevel="0" collapsed="false">
      <c r="A1150" s="190" t="s">
        <v>4711</v>
      </c>
      <c r="B1150" s="190" t="s">
        <v>4712</v>
      </c>
      <c r="C1150" s="190" t="s">
        <v>4713</v>
      </c>
      <c r="D1150" s="190" t="n">
        <v>1</v>
      </c>
      <c r="E1150" s="190" t="n">
        <v>4</v>
      </c>
      <c r="F1150" s="190" t="n">
        <v>5.5</v>
      </c>
      <c r="G1150" s="190" t="n">
        <v>2.5</v>
      </c>
      <c r="H1150" s="190" t="s">
        <v>22</v>
      </c>
      <c r="I1150" s="190" t="s">
        <v>146</v>
      </c>
      <c r="J1150" s="190"/>
    </row>
    <row r="1151" customFormat="false" ht="14.25" hidden="false" customHeight="true" outlineLevel="0" collapsed="false">
      <c r="A1151" s="190" t="s">
        <v>4714</v>
      </c>
      <c r="B1151" s="190" t="s">
        <v>4715</v>
      </c>
      <c r="C1151" s="190" t="s">
        <v>4716</v>
      </c>
      <c r="D1151" s="190" t="n">
        <v>1</v>
      </c>
      <c r="E1151" s="190" t="n">
        <v>3</v>
      </c>
      <c r="F1151" s="190" t="n">
        <v>3.5</v>
      </c>
      <c r="G1151" s="190" t="n">
        <v>3.5</v>
      </c>
      <c r="H1151" s="190" t="s">
        <v>22</v>
      </c>
      <c r="I1151" s="190" t="s">
        <v>146</v>
      </c>
      <c r="J1151" s="190"/>
    </row>
    <row r="1152" customFormat="false" ht="14.25" hidden="false" customHeight="true" outlineLevel="0" collapsed="false">
      <c r="A1152" s="190" t="s">
        <v>4717</v>
      </c>
      <c r="B1152" s="190" t="s">
        <v>4718</v>
      </c>
      <c r="C1152" s="190" t="s">
        <v>4719</v>
      </c>
      <c r="D1152" s="190" t="n">
        <v>1</v>
      </c>
      <c r="E1152" s="190" t="n">
        <v>8</v>
      </c>
      <c r="F1152" s="190" t="n">
        <v>18</v>
      </c>
      <c r="G1152" s="190" t="n">
        <v>6</v>
      </c>
      <c r="H1152" s="190" t="s">
        <v>22</v>
      </c>
      <c r="I1152" s="190" t="s">
        <v>146</v>
      </c>
      <c r="J1152" s="190"/>
    </row>
    <row r="1153" customFormat="false" ht="14.25" hidden="false" customHeight="true" outlineLevel="0" collapsed="false">
      <c r="A1153" s="190" t="s">
        <v>4720</v>
      </c>
      <c r="B1153" s="190" t="s">
        <v>4721</v>
      </c>
      <c r="C1153" s="190" t="s">
        <v>4722</v>
      </c>
      <c r="D1153" s="190" t="n">
        <v>1</v>
      </c>
      <c r="E1153" s="190" t="n">
        <v>0</v>
      </c>
      <c r="F1153" s="190" t="n">
        <v>5</v>
      </c>
      <c r="G1153" s="190" t="n">
        <v>125.5</v>
      </c>
      <c r="H1153" s="190" t="s">
        <v>22</v>
      </c>
      <c r="I1153" s="190" t="s">
        <v>146</v>
      </c>
      <c r="J1153" s="190"/>
    </row>
    <row r="1154" customFormat="false" ht="14.25" hidden="false" customHeight="true" outlineLevel="0" collapsed="false">
      <c r="A1154" s="190" t="s">
        <v>4723</v>
      </c>
      <c r="B1154" s="190" t="s">
        <v>4724</v>
      </c>
      <c r="C1154" s="190" t="s">
        <v>4725</v>
      </c>
      <c r="D1154" s="190" t="n">
        <v>1</v>
      </c>
      <c r="E1154" s="190" t="n">
        <v>6</v>
      </c>
      <c r="F1154" s="190" t="n">
        <v>16.5</v>
      </c>
      <c r="G1154" s="190" t="n">
        <v>5.25</v>
      </c>
      <c r="H1154" s="190" t="s">
        <v>22</v>
      </c>
      <c r="I1154" s="190" t="s">
        <v>146</v>
      </c>
      <c r="J1154" s="190"/>
    </row>
    <row r="1155" customFormat="false" ht="14.25" hidden="false" customHeight="true" outlineLevel="0" collapsed="false">
      <c r="A1155" s="190" t="s">
        <v>4726</v>
      </c>
      <c r="B1155" s="190" t="s">
        <v>4727</v>
      </c>
      <c r="C1155" s="190" t="s">
        <v>4728</v>
      </c>
      <c r="D1155" s="190" t="n">
        <v>1</v>
      </c>
      <c r="E1155" s="190" t="n">
        <v>4</v>
      </c>
      <c r="F1155" s="190" t="n">
        <v>4</v>
      </c>
      <c r="G1155" s="190" t="n">
        <v>2</v>
      </c>
      <c r="H1155" s="190" t="s">
        <v>22</v>
      </c>
      <c r="I1155" s="190" t="s">
        <v>146</v>
      </c>
      <c r="J1155" s="190"/>
    </row>
    <row r="1156" customFormat="false" ht="14.25" hidden="false" customHeight="true" outlineLevel="0" collapsed="false">
      <c r="A1156" s="190" t="s">
        <v>4729</v>
      </c>
      <c r="B1156" s="190" t="s">
        <v>4730</v>
      </c>
      <c r="C1156" s="190" t="s">
        <v>4731</v>
      </c>
      <c r="D1156" s="190" t="n">
        <v>1</v>
      </c>
      <c r="E1156" s="190" t="n">
        <v>6</v>
      </c>
      <c r="F1156" s="190" t="n">
        <v>32.5</v>
      </c>
      <c r="G1156" s="190" t="n">
        <v>408.9</v>
      </c>
      <c r="H1156" s="190" t="s">
        <v>22</v>
      </c>
      <c r="I1156" s="190" t="s">
        <v>2363</v>
      </c>
      <c r="J1156" s="190"/>
    </row>
    <row r="1157" customFormat="false" ht="14.25" hidden="false" customHeight="true" outlineLevel="0" collapsed="false">
      <c r="A1157" s="190" t="s">
        <v>4732</v>
      </c>
      <c r="B1157" s="190" t="s">
        <v>4733</v>
      </c>
      <c r="C1157" s="190" t="s">
        <v>4734</v>
      </c>
      <c r="D1157" s="190" t="n">
        <v>1</v>
      </c>
      <c r="E1157" s="190" t="n">
        <v>3</v>
      </c>
      <c r="F1157" s="190" t="n">
        <v>9.33</v>
      </c>
      <c r="G1157" s="190" t="n">
        <v>166.6</v>
      </c>
      <c r="H1157" s="190" t="s">
        <v>22</v>
      </c>
      <c r="I1157" s="190" t="s">
        <v>2363</v>
      </c>
      <c r="J1157" s="190"/>
    </row>
    <row r="1158" customFormat="false" ht="14.25" hidden="false" customHeight="true" outlineLevel="0" collapsed="false">
      <c r="A1158" s="190" t="s">
        <v>4735</v>
      </c>
      <c r="B1158" s="190" t="s">
        <v>4736</v>
      </c>
      <c r="C1158" s="190" t="s">
        <v>4737</v>
      </c>
      <c r="D1158" s="190" t="n">
        <v>1</v>
      </c>
      <c r="E1158" s="190" t="n">
        <v>6</v>
      </c>
      <c r="F1158" s="190" t="n">
        <v>10.33</v>
      </c>
      <c r="G1158" s="190" t="n">
        <v>243</v>
      </c>
      <c r="H1158" s="190" t="s">
        <v>22</v>
      </c>
      <c r="I1158" s="190" t="s">
        <v>2036</v>
      </c>
      <c r="J1158" s="190"/>
    </row>
    <row r="1159" customFormat="false" ht="14.25" hidden="false" customHeight="true" outlineLevel="0" collapsed="false">
      <c r="A1159" s="190" t="s">
        <v>4738</v>
      </c>
      <c r="B1159" s="190" t="s">
        <v>4739</v>
      </c>
      <c r="C1159" s="190" t="s">
        <v>4740</v>
      </c>
      <c r="D1159" s="190" t="n">
        <v>1</v>
      </c>
      <c r="E1159" s="190" t="n">
        <v>3</v>
      </c>
      <c r="F1159" s="190" t="n">
        <v>4.5</v>
      </c>
      <c r="G1159" s="190" t="n">
        <v>134.7</v>
      </c>
      <c r="H1159" s="190" t="s">
        <v>22</v>
      </c>
      <c r="I1159" s="190" t="s">
        <v>2036</v>
      </c>
      <c r="J1159" s="190"/>
    </row>
    <row r="1160" customFormat="false" ht="14.25" hidden="false" customHeight="true" outlineLevel="0" collapsed="false">
      <c r="A1160" s="190" t="s">
        <v>4741</v>
      </c>
      <c r="B1160" s="190" t="s">
        <v>4742</v>
      </c>
      <c r="C1160" s="190" t="s">
        <v>4743</v>
      </c>
      <c r="D1160" s="190" t="n">
        <v>1</v>
      </c>
      <c r="E1160" s="190" t="n">
        <v>2</v>
      </c>
      <c r="F1160" s="190" t="n">
        <v>2</v>
      </c>
      <c r="G1160" s="190" t="n">
        <v>1.22</v>
      </c>
      <c r="H1160" s="190" t="s">
        <v>22</v>
      </c>
      <c r="I1160" s="190" t="s">
        <v>146</v>
      </c>
      <c r="J1160" s="190"/>
    </row>
    <row r="1161" customFormat="false" ht="14.25" hidden="false" customHeight="true" outlineLevel="0" collapsed="false">
      <c r="A1161" s="190" t="s">
        <v>4744</v>
      </c>
      <c r="B1161" s="190" t="s">
        <v>4745</v>
      </c>
      <c r="C1161" s="190" t="s">
        <v>4746</v>
      </c>
      <c r="D1161" s="190" t="n">
        <v>1</v>
      </c>
      <c r="E1161" s="190" t="n">
        <v>6</v>
      </c>
      <c r="F1161" s="190" t="n">
        <v>8</v>
      </c>
      <c r="G1161" s="190" t="n">
        <v>460.5</v>
      </c>
      <c r="H1161" s="190" t="s">
        <v>22</v>
      </c>
      <c r="I1161" s="190" t="s">
        <v>2363</v>
      </c>
      <c r="J1161" s="190"/>
    </row>
    <row r="1162" customFormat="false" ht="14.25" hidden="false" customHeight="true" outlineLevel="0" collapsed="false">
      <c r="A1162" s="190" t="s">
        <v>4747</v>
      </c>
      <c r="B1162" s="190" t="s">
        <v>4748</v>
      </c>
      <c r="C1162" s="190" t="s">
        <v>4749</v>
      </c>
      <c r="D1162" s="190" t="n">
        <v>1</v>
      </c>
      <c r="E1162" s="190" t="n">
        <v>4</v>
      </c>
      <c r="F1162" s="190" t="n">
        <v>4</v>
      </c>
      <c r="G1162" s="190" t="n">
        <v>2</v>
      </c>
      <c r="H1162" s="190" t="s">
        <v>22</v>
      </c>
      <c r="I1162" s="190" t="s">
        <v>2363</v>
      </c>
      <c r="J1162" s="190"/>
    </row>
    <row r="1163" customFormat="false" ht="14.25" hidden="false" customHeight="true" outlineLevel="0" collapsed="false">
      <c r="A1163" s="190" t="s">
        <v>4750</v>
      </c>
      <c r="B1163" s="190" t="s">
        <v>4751</v>
      </c>
      <c r="C1163" s="190" t="s">
        <v>4752</v>
      </c>
      <c r="D1163" s="190" t="n">
        <v>1</v>
      </c>
      <c r="E1163" s="190" t="n">
        <v>18</v>
      </c>
      <c r="F1163" s="190" t="n">
        <v>19</v>
      </c>
      <c r="G1163" s="190" t="n">
        <v>14.45</v>
      </c>
      <c r="H1163" s="190" t="s">
        <v>22</v>
      </c>
      <c r="I1163" s="190" t="s">
        <v>2363</v>
      </c>
      <c r="J1163" s="190"/>
    </row>
    <row r="1164" customFormat="false" ht="14.25" hidden="false" customHeight="true" outlineLevel="0" collapsed="false">
      <c r="A1164" s="190" t="s">
        <v>4753</v>
      </c>
      <c r="B1164" s="190" t="s">
        <v>4754</v>
      </c>
      <c r="C1164" s="190" t="s">
        <v>4755</v>
      </c>
      <c r="D1164" s="190" t="n">
        <v>1</v>
      </c>
      <c r="E1164" s="190" t="n">
        <v>18</v>
      </c>
      <c r="F1164" s="190" t="n">
        <v>18.25</v>
      </c>
      <c r="G1164" s="190" t="n">
        <v>23.07</v>
      </c>
      <c r="H1164" s="190" t="s">
        <v>22</v>
      </c>
      <c r="I1164" s="190" t="s">
        <v>2363</v>
      </c>
      <c r="J1164" s="190"/>
    </row>
    <row r="1165" customFormat="false" ht="14.25" hidden="false" customHeight="true" outlineLevel="0" collapsed="false">
      <c r="A1165" s="190" t="s">
        <v>4756</v>
      </c>
      <c r="B1165" s="190" t="s">
        <v>4757</v>
      </c>
      <c r="C1165" s="190" t="s">
        <v>4758</v>
      </c>
      <c r="D1165" s="190" t="n">
        <v>1</v>
      </c>
      <c r="E1165" s="190" t="n">
        <v>18</v>
      </c>
      <c r="F1165" s="190" t="n">
        <v>19</v>
      </c>
      <c r="G1165" s="190" t="n">
        <v>14.48</v>
      </c>
      <c r="H1165" s="190" t="s">
        <v>22</v>
      </c>
      <c r="I1165" s="190" t="s">
        <v>2363</v>
      </c>
      <c r="J1165" s="190"/>
    </row>
    <row r="1166" customFormat="false" ht="14.25" hidden="false" customHeight="true" outlineLevel="0" collapsed="false">
      <c r="A1166" s="190" t="s">
        <v>4759</v>
      </c>
      <c r="B1166" s="190" t="s">
        <v>4760</v>
      </c>
      <c r="C1166" s="190" t="s">
        <v>764</v>
      </c>
      <c r="D1166" s="190" t="n">
        <v>1</v>
      </c>
      <c r="E1166" s="190" t="n">
        <v>2</v>
      </c>
      <c r="F1166" s="190" t="n">
        <v>3</v>
      </c>
      <c r="G1166" s="190" t="n">
        <v>3</v>
      </c>
      <c r="H1166" s="190" t="s">
        <v>22</v>
      </c>
      <c r="I1166" s="190" t="n">
        <v>25</v>
      </c>
      <c r="J1166" s="190"/>
    </row>
    <row r="1167" customFormat="false" ht="14.25" hidden="false" customHeight="true" outlineLevel="0" collapsed="false">
      <c r="A1167" s="190" t="s">
        <v>4761</v>
      </c>
      <c r="B1167" s="190" t="s">
        <v>4762</v>
      </c>
      <c r="C1167" s="190" t="s">
        <v>765</v>
      </c>
      <c r="D1167" s="190" t="n">
        <v>1</v>
      </c>
      <c r="E1167" s="190" t="n">
        <v>2</v>
      </c>
      <c r="F1167" s="190" t="n">
        <v>6</v>
      </c>
      <c r="G1167" s="190" t="n">
        <v>2.32</v>
      </c>
      <c r="H1167" s="190" t="s">
        <v>22</v>
      </c>
      <c r="I1167" s="190" t="n">
        <v>25</v>
      </c>
      <c r="J1167" s="190"/>
    </row>
    <row r="1168" customFormat="false" ht="14.25" hidden="false" customHeight="true" outlineLevel="0" collapsed="false">
      <c r="A1168" s="190" t="s">
        <v>4763</v>
      </c>
      <c r="B1168" s="190" t="s">
        <v>4764</v>
      </c>
      <c r="C1168" s="190" t="s">
        <v>767</v>
      </c>
      <c r="D1168" s="190" t="n">
        <v>1</v>
      </c>
      <c r="E1168" s="190" t="n">
        <v>2</v>
      </c>
      <c r="F1168" s="190" t="n">
        <v>6</v>
      </c>
      <c r="G1168" s="190" t="n">
        <v>2.37</v>
      </c>
      <c r="H1168" s="190" t="s">
        <v>22</v>
      </c>
      <c r="I1168" s="190" t="n">
        <v>25</v>
      </c>
      <c r="J1168" s="190"/>
    </row>
    <row r="1169" customFormat="false" ht="14.25" hidden="false" customHeight="true" outlineLevel="0" collapsed="false">
      <c r="A1169" s="190" t="s">
        <v>4765</v>
      </c>
      <c r="B1169" s="190" t="s">
        <v>4766</v>
      </c>
      <c r="C1169" s="190" t="s">
        <v>768</v>
      </c>
      <c r="D1169" s="190" t="n">
        <v>1</v>
      </c>
      <c r="E1169" s="190" t="n">
        <v>2</v>
      </c>
      <c r="F1169" s="190" t="n">
        <v>3</v>
      </c>
      <c r="G1169" s="190" t="n">
        <v>3</v>
      </c>
      <c r="H1169" s="190" t="s">
        <v>22</v>
      </c>
      <c r="I1169" s="190" t="n">
        <v>25</v>
      </c>
      <c r="J1169" s="190"/>
    </row>
    <row r="1170" customFormat="false" ht="14.25" hidden="false" customHeight="true" outlineLevel="0" collapsed="false">
      <c r="A1170" s="190" t="s">
        <v>1159</v>
      </c>
      <c r="B1170" s="190" t="s">
        <v>1158</v>
      </c>
      <c r="C1170" s="190" t="s">
        <v>769</v>
      </c>
      <c r="D1170" s="190" t="n">
        <v>1</v>
      </c>
      <c r="E1170" s="190" t="n">
        <v>0</v>
      </c>
      <c r="F1170" s="190" t="n">
        <v>21.83</v>
      </c>
      <c r="G1170" s="190" t="n">
        <v>566.2</v>
      </c>
      <c r="H1170" s="190" t="s">
        <v>22</v>
      </c>
      <c r="I1170" s="190" t="s">
        <v>177</v>
      </c>
      <c r="J1170" s="190"/>
    </row>
    <row r="1171" customFormat="false" ht="14.25" hidden="false" customHeight="true" outlineLevel="0" collapsed="false">
      <c r="A1171" s="190" t="s">
        <v>4767</v>
      </c>
      <c r="B1171" s="190" t="s">
        <v>4768</v>
      </c>
      <c r="C1171" s="190" t="s">
        <v>771</v>
      </c>
      <c r="D1171" s="190" t="n">
        <v>1</v>
      </c>
      <c r="E1171" s="190" t="n">
        <v>4</v>
      </c>
      <c r="F1171" s="190" t="n">
        <v>4</v>
      </c>
      <c r="G1171" s="190" t="n">
        <v>4</v>
      </c>
      <c r="H1171" s="190" t="s">
        <v>22</v>
      </c>
      <c r="I1171" s="190" t="s">
        <v>177</v>
      </c>
      <c r="J1171" s="190"/>
    </row>
    <row r="1172" customFormat="false" ht="14.25" hidden="false" customHeight="true" outlineLevel="0" collapsed="false">
      <c r="A1172" s="190" t="s">
        <v>4769</v>
      </c>
      <c r="B1172" s="190" t="s">
        <v>4770</v>
      </c>
      <c r="C1172" s="190" t="s">
        <v>773</v>
      </c>
      <c r="D1172" s="190" t="n">
        <v>1</v>
      </c>
      <c r="E1172" s="190" t="n">
        <v>2</v>
      </c>
      <c r="F1172" s="190" t="n">
        <v>2</v>
      </c>
      <c r="G1172" s="190" t="n">
        <v>1</v>
      </c>
      <c r="H1172" s="190" t="s">
        <v>22</v>
      </c>
      <c r="I1172" s="190" t="s">
        <v>177</v>
      </c>
      <c r="J1172" s="190"/>
    </row>
    <row r="1173" customFormat="false" ht="14.25" hidden="false" customHeight="true" outlineLevel="0" collapsed="false">
      <c r="A1173" s="190" t="s">
        <v>4771</v>
      </c>
      <c r="B1173" s="190" t="s">
        <v>4772</v>
      </c>
      <c r="C1173" s="190" t="s">
        <v>4773</v>
      </c>
      <c r="D1173" s="190" t="n">
        <v>1</v>
      </c>
      <c r="E1173" s="190" t="n">
        <v>8</v>
      </c>
      <c r="F1173" s="190" t="n">
        <v>10.67</v>
      </c>
      <c r="G1173" s="190" t="n">
        <v>6.68</v>
      </c>
      <c r="H1173" s="190" t="s">
        <v>22</v>
      </c>
      <c r="I1173" s="190" t="s">
        <v>2363</v>
      </c>
      <c r="J1173" s="190"/>
    </row>
    <row r="1174" customFormat="false" ht="14.25" hidden="false" customHeight="true" outlineLevel="0" collapsed="false">
      <c r="A1174" s="190" t="s">
        <v>4774</v>
      </c>
      <c r="B1174" s="190" t="s">
        <v>4775</v>
      </c>
      <c r="C1174" s="190" t="s">
        <v>774</v>
      </c>
      <c r="D1174" s="190" t="n">
        <v>1</v>
      </c>
      <c r="E1174" s="190" t="n">
        <v>3</v>
      </c>
      <c r="F1174" s="190" t="n">
        <v>4.02</v>
      </c>
      <c r="G1174" s="190" t="n">
        <v>4.02</v>
      </c>
      <c r="H1174" s="190" t="s">
        <v>22</v>
      </c>
      <c r="I1174" s="190" t="s">
        <v>177</v>
      </c>
      <c r="J1174" s="190"/>
    </row>
    <row r="1175" customFormat="false" ht="14.25" hidden="false" customHeight="true" outlineLevel="0" collapsed="false">
      <c r="A1175" s="190" t="s">
        <v>4776</v>
      </c>
      <c r="B1175" s="190" t="s">
        <v>4777</v>
      </c>
      <c r="C1175" s="190" t="s">
        <v>4778</v>
      </c>
      <c r="D1175" s="190" t="n">
        <v>1</v>
      </c>
      <c r="E1175" s="190" t="n">
        <v>6</v>
      </c>
      <c r="F1175" s="190" t="n">
        <v>2</v>
      </c>
      <c r="G1175" s="190" t="n">
        <v>2</v>
      </c>
      <c r="H1175" s="190" t="s">
        <v>22</v>
      </c>
      <c r="I1175" s="190" t="s">
        <v>3165</v>
      </c>
      <c r="J1175" s="190"/>
    </row>
    <row r="1176" customFormat="false" ht="14.25" hidden="false" customHeight="true" outlineLevel="0" collapsed="false">
      <c r="A1176" s="190" t="s">
        <v>4779</v>
      </c>
      <c r="B1176" s="190" t="s">
        <v>4780</v>
      </c>
      <c r="C1176" s="190" t="s">
        <v>4781</v>
      </c>
      <c r="D1176" s="190" t="n">
        <v>1</v>
      </c>
      <c r="E1176" s="190" t="n">
        <v>8</v>
      </c>
      <c r="F1176" s="190" t="n">
        <v>21.5</v>
      </c>
      <c r="G1176" s="190" t="n">
        <v>47.3</v>
      </c>
      <c r="H1176" s="190" t="s">
        <v>22</v>
      </c>
      <c r="I1176" s="190" t="s">
        <v>2538</v>
      </c>
      <c r="J1176" s="190"/>
    </row>
    <row r="1177" customFormat="false" ht="14.25" hidden="false" customHeight="true" outlineLevel="0" collapsed="false">
      <c r="A1177" s="190" t="s">
        <v>4782</v>
      </c>
      <c r="B1177" s="190" t="s">
        <v>4783</v>
      </c>
      <c r="C1177" s="190" t="s">
        <v>4784</v>
      </c>
      <c r="D1177" s="190" t="n">
        <v>1</v>
      </c>
      <c r="E1177" s="190" t="n">
        <v>8</v>
      </c>
      <c r="F1177" s="190" t="n">
        <v>15.5</v>
      </c>
      <c r="G1177" s="190" t="n">
        <v>74.3</v>
      </c>
      <c r="H1177" s="190" t="s">
        <v>22</v>
      </c>
      <c r="I1177" s="190" t="s">
        <v>3165</v>
      </c>
      <c r="J1177" s="190"/>
    </row>
    <row r="1178" customFormat="false" ht="14.25" hidden="false" customHeight="true" outlineLevel="0" collapsed="false">
      <c r="A1178" s="190" t="s">
        <v>4785</v>
      </c>
      <c r="B1178" s="190" t="s">
        <v>4786</v>
      </c>
      <c r="C1178" s="190" t="s">
        <v>4787</v>
      </c>
      <c r="D1178" s="190" t="n">
        <v>1</v>
      </c>
      <c r="E1178" s="190" t="n">
        <v>0</v>
      </c>
      <c r="F1178" s="190" t="n">
        <v>4</v>
      </c>
      <c r="G1178" s="190" t="n">
        <v>124.5</v>
      </c>
      <c r="H1178" s="190" t="s">
        <v>22</v>
      </c>
      <c r="I1178" s="190" t="s">
        <v>3165</v>
      </c>
      <c r="J1178" s="190"/>
    </row>
    <row r="1179" customFormat="false" ht="14.25" hidden="false" customHeight="true" outlineLevel="0" collapsed="false">
      <c r="A1179" s="190" t="s">
        <v>4788</v>
      </c>
      <c r="B1179" s="190" t="s">
        <v>4789</v>
      </c>
      <c r="C1179" s="190" t="s">
        <v>4790</v>
      </c>
      <c r="D1179" s="190" t="n">
        <v>1</v>
      </c>
      <c r="E1179" s="190" t="n">
        <v>4</v>
      </c>
      <c r="F1179" s="190" t="n">
        <v>5.28</v>
      </c>
      <c r="G1179" s="190" t="n">
        <v>269.5</v>
      </c>
      <c r="H1179" s="190" t="s">
        <v>22</v>
      </c>
      <c r="I1179" s="190" t="n">
        <v>51</v>
      </c>
      <c r="J1179" s="190"/>
    </row>
    <row r="1180" customFormat="false" ht="14.25" hidden="false" customHeight="true" outlineLevel="0" collapsed="false">
      <c r="A1180" s="190" t="s">
        <v>4791</v>
      </c>
      <c r="B1180" s="190" t="s">
        <v>4792</v>
      </c>
      <c r="C1180" s="190" t="s">
        <v>4793</v>
      </c>
      <c r="D1180" s="190" t="n">
        <v>1</v>
      </c>
      <c r="E1180" s="190" t="n">
        <v>8</v>
      </c>
      <c r="F1180" s="190" t="n">
        <v>2.92</v>
      </c>
      <c r="G1180" s="190" t="n">
        <v>4.17</v>
      </c>
      <c r="H1180" s="190" t="s">
        <v>22</v>
      </c>
      <c r="I1180" s="190" t="s">
        <v>3165</v>
      </c>
      <c r="J1180" s="190"/>
    </row>
    <row r="1181" customFormat="false" ht="14.25" hidden="false" customHeight="true" outlineLevel="0" collapsed="false">
      <c r="A1181" s="190" t="s">
        <v>4794</v>
      </c>
      <c r="B1181" s="190" t="s">
        <v>4795</v>
      </c>
      <c r="C1181" s="190" t="s">
        <v>4796</v>
      </c>
      <c r="D1181" s="190" t="n">
        <v>1</v>
      </c>
      <c r="E1181" s="190" t="n">
        <v>8</v>
      </c>
      <c r="F1181" s="190" t="n">
        <v>7.5</v>
      </c>
      <c r="G1181" s="190" t="n">
        <v>8.57</v>
      </c>
      <c r="H1181" s="190" t="s">
        <v>22</v>
      </c>
      <c r="I1181" s="190" t="s">
        <v>3165</v>
      </c>
      <c r="J1181" s="190"/>
    </row>
    <row r="1182" customFormat="false" ht="14.25" hidden="false" customHeight="true" outlineLevel="0" collapsed="false">
      <c r="A1182" s="190" t="s">
        <v>4797</v>
      </c>
      <c r="B1182" s="190" t="s">
        <v>4798</v>
      </c>
      <c r="C1182" s="190" t="s">
        <v>4799</v>
      </c>
      <c r="D1182" s="190" t="n">
        <v>1</v>
      </c>
      <c r="E1182" s="190" t="n">
        <v>4</v>
      </c>
      <c r="F1182" s="190" t="n">
        <v>3</v>
      </c>
      <c r="G1182" s="190" t="n">
        <v>1.5</v>
      </c>
      <c r="H1182" s="190" t="s">
        <v>22</v>
      </c>
      <c r="I1182" s="190" t="s">
        <v>4800</v>
      </c>
      <c r="J1182" s="190"/>
    </row>
    <row r="1183" customFormat="false" ht="14.25" hidden="false" customHeight="true" outlineLevel="0" collapsed="false">
      <c r="A1183" s="190" t="s">
        <v>4801</v>
      </c>
      <c r="B1183" s="190" t="s">
        <v>4802</v>
      </c>
      <c r="C1183" s="190" t="s">
        <v>775</v>
      </c>
      <c r="D1183" s="190" t="n">
        <v>1</v>
      </c>
      <c r="E1183" s="190" t="n">
        <v>2</v>
      </c>
      <c r="F1183" s="190" t="n">
        <v>0.5</v>
      </c>
      <c r="G1183" s="190" t="n">
        <v>0.5</v>
      </c>
      <c r="H1183" s="190" t="s">
        <v>22</v>
      </c>
      <c r="I1183" s="190" t="n">
        <v>25</v>
      </c>
      <c r="J1183" s="190"/>
    </row>
    <row r="1184" customFormat="false" ht="14.25" hidden="false" customHeight="true" outlineLevel="0" collapsed="false">
      <c r="A1184" s="190" t="s">
        <v>4803</v>
      </c>
      <c r="B1184" s="190" t="s">
        <v>4804</v>
      </c>
      <c r="C1184" s="190" t="s">
        <v>4805</v>
      </c>
      <c r="D1184" s="190" t="n">
        <v>1</v>
      </c>
      <c r="E1184" s="190" t="n">
        <v>4</v>
      </c>
      <c r="F1184" s="190" t="n">
        <v>11</v>
      </c>
      <c r="G1184" s="190" t="n">
        <v>152.7</v>
      </c>
      <c r="H1184" s="190" t="s">
        <v>22</v>
      </c>
      <c r="I1184" s="190" t="s">
        <v>3165</v>
      </c>
      <c r="J1184" s="190"/>
    </row>
    <row r="1185" customFormat="false" ht="14.25" hidden="false" customHeight="true" outlineLevel="0" collapsed="false">
      <c r="A1185" s="190" t="s">
        <v>4806</v>
      </c>
      <c r="B1185" s="190" t="s">
        <v>4807</v>
      </c>
      <c r="C1185" s="190" t="s">
        <v>4808</v>
      </c>
      <c r="D1185" s="190" t="n">
        <v>1</v>
      </c>
      <c r="E1185" s="190" t="n">
        <v>2</v>
      </c>
      <c r="F1185" s="190" t="n">
        <v>2.5</v>
      </c>
      <c r="G1185" s="190" t="n">
        <v>359.8</v>
      </c>
      <c r="H1185" s="190" t="s">
        <v>22</v>
      </c>
      <c r="I1185" s="190" t="s">
        <v>3165</v>
      </c>
      <c r="J1185" s="190"/>
    </row>
    <row r="1186" customFormat="false" ht="14.25" hidden="false" customHeight="true" outlineLevel="0" collapsed="false">
      <c r="A1186" s="190" t="s">
        <v>4809</v>
      </c>
      <c r="B1186" s="190" t="s">
        <v>4810</v>
      </c>
      <c r="C1186" s="190" t="s">
        <v>4811</v>
      </c>
      <c r="D1186" s="190" t="n">
        <v>1</v>
      </c>
      <c r="E1186" s="190" t="n">
        <v>2</v>
      </c>
      <c r="F1186" s="190" t="n">
        <v>2</v>
      </c>
      <c r="G1186" s="190" t="n">
        <v>2</v>
      </c>
      <c r="H1186" s="190" t="s">
        <v>22</v>
      </c>
      <c r="I1186" s="190" t="s">
        <v>2538</v>
      </c>
      <c r="J1186" s="190"/>
    </row>
    <row r="1187" customFormat="false" ht="14.25" hidden="false" customHeight="true" outlineLevel="0" collapsed="false">
      <c r="A1187" s="190" t="s">
        <v>4812</v>
      </c>
      <c r="B1187" s="190" t="s">
        <v>4813</v>
      </c>
      <c r="C1187" s="190" t="s">
        <v>4814</v>
      </c>
      <c r="D1187" s="190" t="n">
        <v>1</v>
      </c>
      <c r="E1187" s="190" t="n">
        <v>8</v>
      </c>
      <c r="F1187" s="190" t="n">
        <v>3.5</v>
      </c>
      <c r="G1187" s="190" t="n">
        <v>1.83</v>
      </c>
      <c r="H1187" s="190" t="s">
        <v>22</v>
      </c>
      <c r="I1187" s="190" t="s">
        <v>2538</v>
      </c>
      <c r="J1187" s="190"/>
    </row>
    <row r="1188" customFormat="false" ht="14.25" hidden="false" customHeight="true" outlineLevel="0" collapsed="false">
      <c r="A1188" s="190" t="s">
        <v>4815</v>
      </c>
      <c r="B1188" s="190" t="s">
        <v>4816</v>
      </c>
      <c r="C1188" s="190" t="s">
        <v>778</v>
      </c>
      <c r="D1188" s="190" t="n">
        <v>1</v>
      </c>
      <c r="E1188" s="190" t="n">
        <v>2</v>
      </c>
      <c r="F1188" s="190" t="n">
        <v>2.58</v>
      </c>
      <c r="G1188" s="190" t="n">
        <v>31</v>
      </c>
      <c r="H1188" s="190" t="s">
        <v>22</v>
      </c>
      <c r="I1188" s="190" t="s">
        <v>79</v>
      </c>
      <c r="J1188" s="190"/>
    </row>
    <row r="1189" customFormat="false" ht="14.25" hidden="false" customHeight="true" outlineLevel="0" collapsed="false">
      <c r="A1189" s="190" t="s">
        <v>4817</v>
      </c>
      <c r="B1189" s="190" t="s">
        <v>4818</v>
      </c>
      <c r="C1189" s="190" t="s">
        <v>779</v>
      </c>
      <c r="D1189" s="190" t="n">
        <v>1</v>
      </c>
      <c r="E1189" s="190" t="n">
        <v>0</v>
      </c>
      <c r="F1189" s="190" t="n">
        <v>2</v>
      </c>
      <c r="G1189" s="190" t="n">
        <v>2</v>
      </c>
      <c r="H1189" s="190" t="s">
        <v>22</v>
      </c>
      <c r="I1189" s="190" t="n">
        <v>25</v>
      </c>
      <c r="J1189" s="190"/>
    </row>
    <row r="1190" customFormat="false" ht="14.25" hidden="false" customHeight="true" outlineLevel="0" collapsed="false">
      <c r="A1190" s="190" t="s">
        <v>4819</v>
      </c>
      <c r="B1190" s="190" t="s">
        <v>4820</v>
      </c>
      <c r="C1190" s="190" t="s">
        <v>781</v>
      </c>
      <c r="D1190" s="190" t="n">
        <v>1</v>
      </c>
      <c r="E1190" s="190" t="n">
        <v>0</v>
      </c>
      <c r="F1190" s="190" t="n">
        <v>2</v>
      </c>
      <c r="G1190" s="190" t="n">
        <v>2</v>
      </c>
      <c r="H1190" s="190" t="s">
        <v>22</v>
      </c>
      <c r="I1190" s="190" t="n">
        <v>25</v>
      </c>
      <c r="J1190" s="190"/>
    </row>
    <row r="1191" customFormat="false" ht="14.25" hidden="false" customHeight="true" outlineLevel="0" collapsed="false">
      <c r="A1191" s="190" t="s">
        <v>4821</v>
      </c>
      <c r="B1191" s="190" t="s">
        <v>4822</v>
      </c>
      <c r="C1191" s="190" t="s">
        <v>783</v>
      </c>
      <c r="D1191" s="190" t="n">
        <v>1</v>
      </c>
      <c r="E1191" s="190" t="n">
        <v>4</v>
      </c>
      <c r="F1191" s="190" t="n">
        <v>5.83</v>
      </c>
      <c r="G1191" s="190" t="n">
        <v>2.12</v>
      </c>
      <c r="H1191" s="190" t="s">
        <v>22</v>
      </c>
      <c r="I1191" s="190" t="n">
        <v>25</v>
      </c>
      <c r="J1191" s="190"/>
    </row>
    <row r="1192" customFormat="false" ht="14.25" hidden="false" customHeight="true" outlineLevel="0" collapsed="false">
      <c r="A1192" s="190" t="s">
        <v>4823</v>
      </c>
      <c r="B1192" s="190" t="s">
        <v>4824</v>
      </c>
      <c r="C1192" s="190" t="s">
        <v>784</v>
      </c>
      <c r="D1192" s="190" t="n">
        <v>1</v>
      </c>
      <c r="E1192" s="190" t="n">
        <v>4</v>
      </c>
      <c r="F1192" s="190" t="n">
        <v>6.17</v>
      </c>
      <c r="G1192" s="190" t="n">
        <v>2.55</v>
      </c>
      <c r="H1192" s="190" t="s">
        <v>22</v>
      </c>
      <c r="I1192" s="190" t="n">
        <v>25</v>
      </c>
      <c r="J1192" s="190"/>
    </row>
    <row r="1193" customFormat="false" ht="14.25" hidden="false" customHeight="true" outlineLevel="0" collapsed="false">
      <c r="A1193" s="190" t="s">
        <v>4825</v>
      </c>
      <c r="B1193" s="190" t="s">
        <v>4826</v>
      </c>
      <c r="C1193" s="190" t="s">
        <v>785</v>
      </c>
      <c r="D1193" s="190" t="n">
        <v>1</v>
      </c>
      <c r="E1193" s="190" t="n">
        <v>0</v>
      </c>
      <c r="F1193" s="190" t="n">
        <v>1</v>
      </c>
      <c r="G1193" s="190" t="n">
        <v>1</v>
      </c>
      <c r="H1193" s="190" t="s">
        <v>22</v>
      </c>
      <c r="I1193" s="190" t="n">
        <v>25</v>
      </c>
      <c r="J1193" s="190"/>
    </row>
    <row r="1194" customFormat="false" ht="14.25" hidden="false" customHeight="true" outlineLevel="0" collapsed="false">
      <c r="A1194" s="190" t="s">
        <v>4827</v>
      </c>
      <c r="B1194" s="190" t="s">
        <v>4828</v>
      </c>
      <c r="C1194" s="190" t="s">
        <v>786</v>
      </c>
      <c r="D1194" s="190" t="n">
        <v>1</v>
      </c>
      <c r="E1194" s="190" t="n">
        <v>0</v>
      </c>
      <c r="F1194" s="190" t="n">
        <v>3.5</v>
      </c>
      <c r="G1194" s="190" t="n">
        <v>3.5</v>
      </c>
      <c r="H1194" s="190" t="s">
        <v>22</v>
      </c>
      <c r="I1194" s="190" t="n">
        <v>25</v>
      </c>
      <c r="J1194" s="190"/>
    </row>
    <row r="1195" customFormat="false" ht="14.25" hidden="false" customHeight="true" outlineLevel="0" collapsed="false">
      <c r="A1195" s="190" t="s">
        <v>4829</v>
      </c>
      <c r="B1195" s="190" t="s">
        <v>4830</v>
      </c>
      <c r="C1195" s="190" t="s">
        <v>787</v>
      </c>
      <c r="D1195" s="190" t="n">
        <v>1</v>
      </c>
      <c r="E1195" s="190" t="n">
        <v>0</v>
      </c>
      <c r="F1195" s="190" t="n">
        <v>3</v>
      </c>
      <c r="G1195" s="190" t="n">
        <v>3</v>
      </c>
      <c r="H1195" s="190" t="s">
        <v>22</v>
      </c>
      <c r="I1195" s="190" t="n">
        <v>25</v>
      </c>
      <c r="J1195" s="190"/>
    </row>
    <row r="1196" customFormat="false" ht="14.25" hidden="false" customHeight="true" outlineLevel="0" collapsed="false">
      <c r="A1196" s="190" t="s">
        <v>4831</v>
      </c>
      <c r="B1196" s="190" t="s">
        <v>4832</v>
      </c>
      <c r="C1196" s="190" t="s">
        <v>788</v>
      </c>
      <c r="D1196" s="190" t="n">
        <v>1</v>
      </c>
      <c r="E1196" s="190" t="n">
        <v>4</v>
      </c>
      <c r="F1196" s="190" t="n">
        <v>4</v>
      </c>
      <c r="G1196" s="190" t="n">
        <v>2</v>
      </c>
      <c r="H1196" s="190" t="s">
        <v>22</v>
      </c>
      <c r="I1196" s="190" t="n">
        <v>25</v>
      </c>
      <c r="J1196" s="190"/>
    </row>
    <row r="1197" customFormat="false" ht="14.25" hidden="false" customHeight="true" outlineLevel="0" collapsed="false">
      <c r="A1197" s="190" t="s">
        <v>4833</v>
      </c>
      <c r="B1197" s="190" t="s">
        <v>4834</v>
      </c>
      <c r="C1197" s="190" t="s">
        <v>790</v>
      </c>
      <c r="D1197" s="190" t="n">
        <v>1</v>
      </c>
      <c r="E1197" s="190" t="n">
        <v>0</v>
      </c>
      <c r="F1197" s="190" t="n">
        <v>2</v>
      </c>
      <c r="G1197" s="190" t="n">
        <v>2</v>
      </c>
      <c r="H1197" s="190" t="s">
        <v>22</v>
      </c>
      <c r="I1197" s="190" t="n">
        <v>25</v>
      </c>
      <c r="J1197" s="190"/>
    </row>
    <row r="1198" customFormat="false" ht="14.25" hidden="false" customHeight="true" outlineLevel="0" collapsed="false">
      <c r="A1198" s="190" t="s">
        <v>4835</v>
      </c>
      <c r="B1198" s="190" t="s">
        <v>4836</v>
      </c>
      <c r="C1198" s="190" t="s">
        <v>791</v>
      </c>
      <c r="D1198" s="190" t="n">
        <v>1</v>
      </c>
      <c r="E1198" s="190" t="n">
        <v>0</v>
      </c>
      <c r="F1198" s="190" t="n">
        <v>3.5</v>
      </c>
      <c r="G1198" s="190" t="n">
        <v>3.5</v>
      </c>
      <c r="H1198" s="190" t="s">
        <v>22</v>
      </c>
      <c r="I1198" s="190" t="n">
        <v>25</v>
      </c>
      <c r="J1198" s="190"/>
    </row>
    <row r="1199" customFormat="false" ht="14.25" hidden="false" customHeight="true" outlineLevel="0" collapsed="false">
      <c r="A1199" s="190" t="s">
        <v>4837</v>
      </c>
      <c r="B1199" s="190" t="s">
        <v>4838</v>
      </c>
      <c r="C1199" s="190" t="s">
        <v>792</v>
      </c>
      <c r="D1199" s="190" t="n">
        <v>1</v>
      </c>
      <c r="E1199" s="190" t="n">
        <v>0</v>
      </c>
      <c r="F1199" s="190" t="n">
        <v>2</v>
      </c>
      <c r="G1199" s="190" t="n">
        <v>2</v>
      </c>
      <c r="H1199" s="190" t="s">
        <v>22</v>
      </c>
      <c r="I1199" s="190" t="n">
        <v>25</v>
      </c>
      <c r="J1199" s="190"/>
    </row>
    <row r="1200" customFormat="false" ht="14.25" hidden="false" customHeight="true" outlineLevel="0" collapsed="false">
      <c r="A1200" s="190" t="s">
        <v>4839</v>
      </c>
      <c r="B1200" s="190" t="s">
        <v>4840</v>
      </c>
      <c r="C1200" s="190" t="s">
        <v>794</v>
      </c>
      <c r="D1200" s="190" t="n">
        <v>1</v>
      </c>
      <c r="E1200" s="190" t="n">
        <v>0</v>
      </c>
      <c r="F1200" s="190" t="n">
        <v>3.5</v>
      </c>
      <c r="G1200" s="190" t="n">
        <v>3.5</v>
      </c>
      <c r="H1200" s="190" t="s">
        <v>22</v>
      </c>
      <c r="I1200" s="190" t="n">
        <v>25</v>
      </c>
      <c r="J1200" s="190"/>
    </row>
    <row r="1201" customFormat="false" ht="14.25" hidden="false" customHeight="true" outlineLevel="0" collapsed="false">
      <c r="A1201" s="190" t="s">
        <v>4841</v>
      </c>
      <c r="B1201" s="190" t="s">
        <v>4842</v>
      </c>
      <c r="C1201" s="190" t="s">
        <v>795</v>
      </c>
      <c r="D1201" s="190" t="n">
        <v>1</v>
      </c>
      <c r="E1201" s="190" t="n">
        <v>0</v>
      </c>
      <c r="F1201" s="190" t="n">
        <v>3</v>
      </c>
      <c r="G1201" s="190" t="n">
        <v>3</v>
      </c>
      <c r="H1201" s="190" t="s">
        <v>22</v>
      </c>
      <c r="I1201" s="190" t="n">
        <v>25</v>
      </c>
      <c r="J1201" s="190"/>
    </row>
    <row r="1202" customFormat="false" ht="14.25" hidden="false" customHeight="true" outlineLevel="0" collapsed="false">
      <c r="A1202" s="190" t="s">
        <v>4843</v>
      </c>
      <c r="B1202" s="190" t="s">
        <v>4844</v>
      </c>
      <c r="C1202" s="190" t="s">
        <v>796</v>
      </c>
      <c r="D1202" s="190" t="n">
        <v>1</v>
      </c>
      <c r="E1202" s="190" t="n">
        <v>0</v>
      </c>
      <c r="F1202" s="190" t="n">
        <v>1</v>
      </c>
      <c r="G1202" s="190" t="n">
        <v>1</v>
      </c>
      <c r="H1202" s="190" t="s">
        <v>22</v>
      </c>
      <c r="I1202" s="190" t="n">
        <v>25</v>
      </c>
      <c r="J1202" s="190"/>
    </row>
    <row r="1203" customFormat="false" ht="14.25" hidden="false" customHeight="true" outlineLevel="0" collapsed="false">
      <c r="A1203" s="190" t="s">
        <v>4845</v>
      </c>
      <c r="B1203" s="190" t="s">
        <v>4846</v>
      </c>
      <c r="C1203" s="190" t="s">
        <v>798</v>
      </c>
      <c r="D1203" s="190" t="n">
        <v>1</v>
      </c>
      <c r="E1203" s="190" t="n">
        <v>0</v>
      </c>
      <c r="F1203" s="190" t="n">
        <v>3</v>
      </c>
      <c r="G1203" s="190" t="n">
        <v>3</v>
      </c>
      <c r="H1203" s="190" t="s">
        <v>22</v>
      </c>
      <c r="I1203" s="190" t="n">
        <v>25</v>
      </c>
      <c r="J1203" s="190"/>
    </row>
    <row r="1204" customFormat="false" ht="14.25" hidden="false" customHeight="true" outlineLevel="0" collapsed="false">
      <c r="A1204" s="190" t="s">
        <v>4847</v>
      </c>
      <c r="B1204" s="190" t="s">
        <v>4848</v>
      </c>
      <c r="C1204" s="190" t="s">
        <v>799</v>
      </c>
      <c r="D1204" s="190" t="n">
        <v>1</v>
      </c>
      <c r="E1204" s="190" t="n">
        <v>0</v>
      </c>
      <c r="F1204" s="190" t="n">
        <v>1</v>
      </c>
      <c r="G1204" s="190" t="n">
        <v>1</v>
      </c>
      <c r="H1204" s="190" t="s">
        <v>22</v>
      </c>
      <c r="I1204" s="190" t="n">
        <v>25</v>
      </c>
      <c r="J1204" s="190"/>
    </row>
    <row r="1205" customFormat="false" ht="14.25" hidden="false" customHeight="true" outlineLevel="0" collapsed="false">
      <c r="A1205" s="190" t="s">
        <v>4849</v>
      </c>
      <c r="B1205" s="190" t="s">
        <v>4850</v>
      </c>
      <c r="C1205" s="190" t="s">
        <v>4851</v>
      </c>
      <c r="D1205" s="190" t="n">
        <v>1</v>
      </c>
      <c r="E1205" s="190" t="n">
        <v>10</v>
      </c>
      <c r="F1205" s="190" t="n">
        <v>12.5</v>
      </c>
      <c r="G1205" s="190" t="n">
        <v>48.7</v>
      </c>
      <c r="H1205" s="190" t="s">
        <v>22</v>
      </c>
      <c r="I1205" s="190" t="s">
        <v>1909</v>
      </c>
      <c r="J1205" s="190"/>
    </row>
    <row r="1206" customFormat="false" ht="14.25" hidden="false" customHeight="true" outlineLevel="0" collapsed="false">
      <c r="A1206" s="190" t="s">
        <v>4852</v>
      </c>
      <c r="B1206" s="190" t="s">
        <v>4853</v>
      </c>
      <c r="C1206" s="190" t="s">
        <v>4854</v>
      </c>
      <c r="D1206" s="190" t="n">
        <v>1</v>
      </c>
      <c r="E1206" s="190" t="n">
        <v>0</v>
      </c>
      <c r="F1206" s="190" t="n">
        <v>19.08</v>
      </c>
      <c r="G1206" s="190" t="n">
        <v>7.5</v>
      </c>
      <c r="H1206" s="190" t="s">
        <v>22</v>
      </c>
      <c r="I1206" s="190" t="s">
        <v>3165</v>
      </c>
      <c r="J1206" s="190"/>
    </row>
    <row r="1207" customFormat="false" ht="14.25" hidden="false" customHeight="true" outlineLevel="0" collapsed="false">
      <c r="A1207" s="190" t="s">
        <v>4855</v>
      </c>
      <c r="B1207" s="190" t="s">
        <v>4856</v>
      </c>
      <c r="C1207" s="190" t="s">
        <v>4857</v>
      </c>
      <c r="D1207" s="190" t="n">
        <v>1</v>
      </c>
      <c r="E1207" s="190" t="n">
        <v>0</v>
      </c>
      <c r="F1207" s="190" t="n">
        <v>2.58</v>
      </c>
      <c r="G1207" s="190" t="n">
        <v>1.33</v>
      </c>
      <c r="H1207" s="190" t="s">
        <v>22</v>
      </c>
      <c r="I1207" s="190" t="s">
        <v>1900</v>
      </c>
      <c r="J1207" s="190" t="s">
        <v>4858</v>
      </c>
    </row>
    <row r="1208" customFormat="false" ht="14.25" hidden="false" customHeight="true" outlineLevel="0" collapsed="false">
      <c r="A1208" s="190" t="s">
        <v>4859</v>
      </c>
      <c r="B1208" s="190" t="s">
        <v>4860</v>
      </c>
      <c r="C1208" s="190" t="s">
        <v>4861</v>
      </c>
      <c r="D1208" s="190" t="n">
        <v>1</v>
      </c>
      <c r="E1208" s="190" t="n">
        <v>0</v>
      </c>
      <c r="F1208" s="190" t="n">
        <v>4</v>
      </c>
      <c r="G1208" s="190" t="n">
        <v>2.17</v>
      </c>
      <c r="H1208" s="190" t="s">
        <v>22</v>
      </c>
      <c r="I1208" s="190" t="s">
        <v>3075</v>
      </c>
      <c r="J1208" s="190" t="s">
        <v>4858</v>
      </c>
    </row>
    <row r="1209" customFormat="false" ht="14.25" hidden="false" customHeight="true" outlineLevel="0" collapsed="false">
      <c r="A1209" s="190" t="s">
        <v>4862</v>
      </c>
      <c r="B1209" s="190" t="s">
        <v>4863</v>
      </c>
      <c r="C1209" s="190" t="s">
        <v>4864</v>
      </c>
      <c r="D1209" s="190" t="n">
        <v>1</v>
      </c>
      <c r="E1209" s="190" t="n">
        <v>0</v>
      </c>
      <c r="F1209" s="190" t="n">
        <v>0.17</v>
      </c>
      <c r="G1209" s="190" t="n">
        <v>0.17</v>
      </c>
      <c r="H1209" s="190" t="s">
        <v>22</v>
      </c>
      <c r="I1209" s="190" t="s">
        <v>38</v>
      </c>
      <c r="J1209" s="190"/>
    </row>
    <row r="1210" customFormat="false" ht="14.25" hidden="false" customHeight="true" outlineLevel="0" collapsed="false">
      <c r="A1210" s="190" t="s">
        <v>4865</v>
      </c>
      <c r="B1210" s="190" t="s">
        <v>4866</v>
      </c>
      <c r="C1210" s="190" t="s">
        <v>4867</v>
      </c>
      <c r="D1210" s="190" t="n">
        <v>1</v>
      </c>
      <c r="E1210" s="190" t="n">
        <v>6</v>
      </c>
      <c r="F1210" s="190" t="n">
        <v>10</v>
      </c>
      <c r="G1210" s="190" t="n">
        <v>580.3</v>
      </c>
      <c r="H1210" s="190" t="s">
        <v>22</v>
      </c>
      <c r="I1210" s="190" t="s">
        <v>3165</v>
      </c>
      <c r="J1210" s="190"/>
    </row>
    <row r="1211" customFormat="false" ht="14.25" hidden="false" customHeight="true" outlineLevel="0" collapsed="false">
      <c r="A1211" s="190" t="s">
        <v>4868</v>
      </c>
      <c r="B1211" s="190" t="s">
        <v>4869</v>
      </c>
      <c r="C1211" s="190" t="s">
        <v>4870</v>
      </c>
      <c r="D1211" s="190" t="n">
        <v>1</v>
      </c>
      <c r="E1211" s="190" t="n">
        <v>8</v>
      </c>
      <c r="F1211" s="190" t="n">
        <v>20.5</v>
      </c>
      <c r="G1211" s="190" t="n">
        <v>536.4</v>
      </c>
      <c r="H1211" s="190" t="s">
        <v>22</v>
      </c>
      <c r="I1211" s="190" t="s">
        <v>3165</v>
      </c>
      <c r="J1211" s="190"/>
    </row>
    <row r="1212" customFormat="false" ht="14.25" hidden="false" customHeight="true" outlineLevel="0" collapsed="false">
      <c r="A1212" s="190" t="s">
        <v>4871</v>
      </c>
      <c r="B1212" s="190" t="s">
        <v>4872</v>
      </c>
      <c r="C1212" s="190" t="s">
        <v>4873</v>
      </c>
      <c r="D1212" s="190" t="n">
        <v>1</v>
      </c>
      <c r="E1212" s="190" t="n">
        <v>10</v>
      </c>
      <c r="F1212" s="190" t="n">
        <v>14</v>
      </c>
      <c r="G1212" s="190" t="n">
        <v>30</v>
      </c>
      <c r="H1212" s="190" t="s">
        <v>22</v>
      </c>
      <c r="I1212" s="190" t="s">
        <v>3165</v>
      </c>
      <c r="J1212" s="190"/>
    </row>
    <row r="1213" customFormat="false" ht="14.25" hidden="false" customHeight="true" outlineLevel="0" collapsed="false">
      <c r="A1213" s="190" t="s">
        <v>4874</v>
      </c>
      <c r="B1213" s="190" t="s">
        <v>4875</v>
      </c>
      <c r="C1213" s="190" t="s">
        <v>4876</v>
      </c>
      <c r="D1213" s="190" t="n">
        <v>1</v>
      </c>
      <c r="E1213" s="190" t="n">
        <v>8</v>
      </c>
      <c r="F1213" s="190" t="n">
        <v>9</v>
      </c>
      <c r="G1213" s="190" t="n">
        <v>12.58</v>
      </c>
      <c r="H1213" s="190" t="s">
        <v>22</v>
      </c>
      <c r="I1213" s="190" t="s">
        <v>3165</v>
      </c>
      <c r="J1213" s="190"/>
    </row>
    <row r="1214" customFormat="false" ht="14.25" hidden="false" customHeight="true" outlineLevel="0" collapsed="false">
      <c r="A1214" s="190" t="s">
        <v>4877</v>
      </c>
      <c r="B1214" s="190" t="s">
        <v>4878</v>
      </c>
      <c r="C1214" s="190" t="s">
        <v>4879</v>
      </c>
      <c r="D1214" s="190" t="n">
        <v>1</v>
      </c>
      <c r="E1214" s="190" t="n">
        <v>8</v>
      </c>
      <c r="F1214" s="190" t="n">
        <v>8</v>
      </c>
      <c r="G1214" s="190" t="n">
        <v>5.02</v>
      </c>
      <c r="H1214" s="190" t="s">
        <v>22</v>
      </c>
      <c r="I1214" s="190" t="s">
        <v>3165</v>
      </c>
      <c r="J1214" s="190"/>
    </row>
    <row r="1215" customFormat="false" ht="14.25" hidden="false" customHeight="true" outlineLevel="0" collapsed="false">
      <c r="A1215" s="190" t="s">
        <v>4880</v>
      </c>
      <c r="B1215" s="190" t="s">
        <v>4881</v>
      </c>
      <c r="C1215" s="190" t="s">
        <v>4882</v>
      </c>
      <c r="D1215" s="190" t="n">
        <v>1</v>
      </c>
      <c r="E1215" s="190" t="n">
        <v>0</v>
      </c>
      <c r="F1215" s="190" t="n">
        <v>2</v>
      </c>
      <c r="G1215" s="190" t="n">
        <v>139.8</v>
      </c>
      <c r="H1215" s="190" t="s">
        <v>22</v>
      </c>
      <c r="I1215" s="190" t="s">
        <v>3165</v>
      </c>
      <c r="J1215" s="190"/>
    </row>
    <row r="1216" customFormat="false" ht="14.25" hidden="false" customHeight="true" outlineLevel="0" collapsed="false">
      <c r="A1216" s="190" t="s">
        <v>4883</v>
      </c>
      <c r="B1216" s="190" t="s">
        <v>4884</v>
      </c>
      <c r="C1216" s="190" t="s">
        <v>4885</v>
      </c>
      <c r="D1216" s="190" t="n">
        <v>1</v>
      </c>
      <c r="E1216" s="190" t="n">
        <v>8</v>
      </c>
      <c r="F1216" s="190" t="n">
        <v>16.05</v>
      </c>
      <c r="G1216" s="190" t="n">
        <v>3.85</v>
      </c>
      <c r="H1216" s="190" t="s">
        <v>22</v>
      </c>
      <c r="I1216" s="190" t="s">
        <v>2538</v>
      </c>
      <c r="J1216" s="190"/>
    </row>
    <row r="1217" customFormat="false" ht="14.25" hidden="false" customHeight="true" outlineLevel="0" collapsed="false">
      <c r="A1217" s="190" t="s">
        <v>4886</v>
      </c>
      <c r="B1217" s="190" t="s">
        <v>4887</v>
      </c>
      <c r="C1217" s="190" t="s">
        <v>4888</v>
      </c>
      <c r="D1217" s="190" t="n">
        <v>1</v>
      </c>
      <c r="E1217" s="190" t="n">
        <v>8</v>
      </c>
      <c r="F1217" s="190" t="n">
        <v>5.03</v>
      </c>
      <c r="G1217" s="190" t="n">
        <v>4.57</v>
      </c>
      <c r="H1217" s="190" t="s">
        <v>22</v>
      </c>
      <c r="I1217" s="190" t="s">
        <v>2538</v>
      </c>
      <c r="J1217" s="190"/>
    </row>
    <row r="1218" customFormat="false" ht="14.25" hidden="false" customHeight="true" outlineLevel="0" collapsed="false">
      <c r="A1218" s="190" t="s">
        <v>4889</v>
      </c>
      <c r="B1218" s="190" t="s">
        <v>4890</v>
      </c>
      <c r="C1218" s="190" t="s">
        <v>4891</v>
      </c>
      <c r="D1218" s="190" t="n">
        <v>1</v>
      </c>
      <c r="E1218" s="190" t="n">
        <v>0</v>
      </c>
      <c r="F1218" s="190" t="n">
        <v>28.8</v>
      </c>
      <c r="G1218" s="190" t="n">
        <v>16.33</v>
      </c>
      <c r="H1218" s="190" t="s">
        <v>22</v>
      </c>
      <c r="I1218" s="190" t="s">
        <v>121</v>
      </c>
      <c r="J1218" s="190" t="s">
        <v>4858</v>
      </c>
    </row>
    <row r="1219" customFormat="false" ht="14.25" hidden="false" customHeight="true" outlineLevel="0" collapsed="false">
      <c r="A1219" s="190" t="s">
        <v>4892</v>
      </c>
      <c r="B1219" s="190" t="s">
        <v>4893</v>
      </c>
      <c r="C1219" s="190" t="s">
        <v>4894</v>
      </c>
      <c r="D1219" s="190" t="n">
        <v>1</v>
      </c>
      <c r="E1219" s="190" t="n">
        <v>6</v>
      </c>
      <c r="F1219" s="190" t="n">
        <v>6.5</v>
      </c>
      <c r="G1219" s="190" t="n">
        <v>409.2</v>
      </c>
      <c r="H1219" s="190" t="s">
        <v>22</v>
      </c>
      <c r="I1219" s="190" t="s">
        <v>38</v>
      </c>
      <c r="J1219" s="190"/>
    </row>
    <row r="1220" customFormat="false" ht="14.25" hidden="false" customHeight="true" outlineLevel="0" collapsed="false">
      <c r="A1220" s="190" t="s">
        <v>4895</v>
      </c>
      <c r="B1220" s="190" t="s">
        <v>4896</v>
      </c>
      <c r="C1220" s="190" t="s">
        <v>4897</v>
      </c>
      <c r="D1220" s="190" t="n">
        <v>1</v>
      </c>
      <c r="E1220" s="190" t="n">
        <v>0</v>
      </c>
      <c r="F1220" s="190" t="n">
        <v>10.83</v>
      </c>
      <c r="G1220" s="190" t="n">
        <v>169.2</v>
      </c>
      <c r="H1220" s="190" t="s">
        <v>22</v>
      </c>
      <c r="I1220" s="190" t="n">
        <v>51</v>
      </c>
      <c r="J1220" s="190"/>
    </row>
    <row r="1221" customFormat="false" ht="14.25" hidden="false" customHeight="true" outlineLevel="0" collapsed="false">
      <c r="A1221" s="190" t="s">
        <v>4898</v>
      </c>
      <c r="B1221" s="190" t="s">
        <v>4899</v>
      </c>
      <c r="C1221" s="190" t="s">
        <v>4900</v>
      </c>
      <c r="D1221" s="190" t="n">
        <v>1</v>
      </c>
      <c r="E1221" s="190" t="n">
        <v>0</v>
      </c>
      <c r="F1221" s="190" t="n">
        <v>3.5</v>
      </c>
      <c r="G1221" s="190" t="n">
        <v>169</v>
      </c>
      <c r="H1221" s="190" t="s">
        <v>22</v>
      </c>
      <c r="I1221" s="190" t="n">
        <v>51</v>
      </c>
      <c r="J1221" s="190"/>
    </row>
    <row r="1222" customFormat="false" ht="14.25" hidden="false" customHeight="true" outlineLevel="0" collapsed="false">
      <c r="A1222" s="190" t="s">
        <v>4901</v>
      </c>
      <c r="B1222" s="190" t="s">
        <v>4902</v>
      </c>
      <c r="C1222" s="190" t="s">
        <v>4903</v>
      </c>
      <c r="D1222" s="190" t="n">
        <v>1</v>
      </c>
      <c r="E1222" s="190" t="n">
        <v>16</v>
      </c>
      <c r="F1222" s="190" t="n">
        <v>20</v>
      </c>
      <c r="G1222" s="190" t="n">
        <v>8.05</v>
      </c>
      <c r="H1222" s="190" t="s">
        <v>22</v>
      </c>
      <c r="I1222" s="190" t="s">
        <v>234</v>
      </c>
      <c r="J1222" s="190"/>
    </row>
    <row r="1223" customFormat="false" ht="14.25" hidden="false" customHeight="true" outlineLevel="0" collapsed="false">
      <c r="A1223" s="190" t="s">
        <v>4904</v>
      </c>
      <c r="B1223" s="190" t="s">
        <v>4905</v>
      </c>
      <c r="C1223" s="190" t="s">
        <v>4906</v>
      </c>
      <c r="D1223" s="190" t="n">
        <v>1</v>
      </c>
      <c r="E1223" s="190" t="n">
        <v>0</v>
      </c>
      <c r="F1223" s="190" t="n">
        <v>22.5</v>
      </c>
      <c r="G1223" s="190" t="n">
        <v>471.7</v>
      </c>
      <c r="H1223" s="190" t="s">
        <v>22</v>
      </c>
      <c r="I1223" s="190" t="s">
        <v>121</v>
      </c>
      <c r="J1223" s="190"/>
    </row>
    <row r="1224" customFormat="false" ht="14.25" hidden="false" customHeight="true" outlineLevel="0" collapsed="false">
      <c r="A1224" s="190" t="s">
        <v>4907</v>
      </c>
      <c r="B1224" s="190" t="s">
        <v>4908</v>
      </c>
      <c r="C1224" s="190" t="s">
        <v>4909</v>
      </c>
      <c r="D1224" s="190" t="n">
        <v>1</v>
      </c>
      <c r="E1224" s="190" t="n">
        <v>8</v>
      </c>
      <c r="F1224" s="190" t="n">
        <v>5.6</v>
      </c>
      <c r="G1224" s="190" t="n">
        <v>298.3</v>
      </c>
      <c r="H1224" s="190" t="s">
        <v>22</v>
      </c>
      <c r="I1224" s="190" t="s">
        <v>274</v>
      </c>
      <c r="J1224" s="190"/>
    </row>
    <row r="1225" customFormat="false" ht="14.25" hidden="false" customHeight="true" outlineLevel="0" collapsed="false">
      <c r="A1225" s="190" t="s">
        <v>4910</v>
      </c>
      <c r="B1225" s="190" t="s">
        <v>4911</v>
      </c>
      <c r="C1225" s="190" t="s">
        <v>4912</v>
      </c>
      <c r="D1225" s="190" t="n">
        <v>1</v>
      </c>
      <c r="E1225" s="190" t="n">
        <v>16</v>
      </c>
      <c r="F1225" s="190" t="n">
        <v>5.67</v>
      </c>
      <c r="G1225" s="190" t="n">
        <v>432.6</v>
      </c>
      <c r="H1225" s="190" t="s">
        <v>22</v>
      </c>
      <c r="I1225" s="190" t="s">
        <v>274</v>
      </c>
      <c r="J1225" s="190"/>
    </row>
    <row r="1226" customFormat="false" ht="14.25" hidden="false" customHeight="true" outlineLevel="0" collapsed="false">
      <c r="A1226" s="190" t="s">
        <v>4913</v>
      </c>
      <c r="B1226" s="190" t="s">
        <v>4914</v>
      </c>
      <c r="C1226" s="190" t="s">
        <v>4915</v>
      </c>
      <c r="D1226" s="190" t="n">
        <v>1</v>
      </c>
      <c r="E1226" s="190" t="n">
        <v>8</v>
      </c>
      <c r="F1226" s="190" t="n">
        <v>5.15</v>
      </c>
      <c r="G1226" s="190" t="n">
        <v>25</v>
      </c>
      <c r="H1226" s="190" t="s">
        <v>22</v>
      </c>
      <c r="I1226" s="190" t="s">
        <v>274</v>
      </c>
      <c r="J1226" s="190"/>
    </row>
    <row r="1227" customFormat="false" ht="14.25" hidden="false" customHeight="true" outlineLevel="0" collapsed="false">
      <c r="A1227" s="190" t="s">
        <v>4916</v>
      </c>
      <c r="B1227" s="190" t="s">
        <v>1135</v>
      </c>
      <c r="C1227" s="190" t="s">
        <v>804</v>
      </c>
      <c r="D1227" s="190" t="s">
        <v>1720</v>
      </c>
      <c r="E1227" s="190" t="n">
        <v>0</v>
      </c>
      <c r="F1227" s="190" t="n">
        <v>36.6</v>
      </c>
      <c r="G1227" s="190" t="n">
        <v>763.1</v>
      </c>
      <c r="H1227" s="190" t="s">
        <v>22</v>
      </c>
      <c r="I1227" s="190" t="n">
        <v>52</v>
      </c>
      <c r="J1227" s="190"/>
    </row>
    <row r="1228" customFormat="false" ht="14.25" hidden="false" customHeight="true" outlineLevel="0" collapsed="false">
      <c r="A1228" s="190" t="s">
        <v>4917</v>
      </c>
      <c r="B1228" s="190" t="s">
        <v>4918</v>
      </c>
      <c r="C1228" s="190" t="s">
        <v>4919</v>
      </c>
      <c r="D1228" s="190" t="s">
        <v>2552</v>
      </c>
      <c r="E1228" s="190" t="n">
        <v>0.58</v>
      </c>
      <c r="F1228" s="190" t="n">
        <v>10</v>
      </c>
      <c r="G1228" s="190" t="n">
        <v>4.22</v>
      </c>
      <c r="H1228" s="190" t="s">
        <v>22</v>
      </c>
      <c r="I1228" s="190" t="s">
        <v>222</v>
      </c>
      <c r="J1228" s="190"/>
    </row>
    <row r="1229" customFormat="false" ht="14.25" hidden="false" customHeight="true" outlineLevel="0" collapsed="false">
      <c r="A1229" s="190" t="s">
        <v>4920</v>
      </c>
      <c r="B1229" s="190" t="s">
        <v>4921</v>
      </c>
      <c r="C1229" s="190" t="s">
        <v>4922</v>
      </c>
      <c r="D1229" s="190" t="n">
        <v>1</v>
      </c>
      <c r="E1229" s="190" t="n">
        <v>8</v>
      </c>
      <c r="F1229" s="190" t="n">
        <v>4.55</v>
      </c>
      <c r="G1229" s="190" t="n">
        <v>3.2</v>
      </c>
      <c r="H1229" s="190" t="s">
        <v>22</v>
      </c>
      <c r="I1229" s="190" t="s">
        <v>274</v>
      </c>
      <c r="J1229" s="190"/>
    </row>
    <row r="1230" customFormat="false" ht="14.25" hidden="false" customHeight="true" outlineLevel="0" collapsed="false">
      <c r="A1230" s="190" t="s">
        <v>4923</v>
      </c>
      <c r="B1230" s="190" t="s">
        <v>4924</v>
      </c>
      <c r="C1230" s="190" t="s">
        <v>4925</v>
      </c>
      <c r="D1230" s="190" t="n">
        <v>1</v>
      </c>
      <c r="E1230" s="190" t="n">
        <v>16</v>
      </c>
      <c r="F1230" s="190" t="n">
        <v>0.83</v>
      </c>
      <c r="G1230" s="190" t="n">
        <v>141.8</v>
      </c>
      <c r="H1230" s="190" t="s">
        <v>22</v>
      </c>
      <c r="I1230" s="190" t="s">
        <v>274</v>
      </c>
      <c r="J1230" s="190"/>
    </row>
    <row r="1231" customFormat="false" ht="14.25" hidden="false" customHeight="true" outlineLevel="0" collapsed="false">
      <c r="A1231" s="190" t="s">
        <v>4926</v>
      </c>
      <c r="B1231" s="190" t="s">
        <v>4927</v>
      </c>
      <c r="C1231" s="190" t="s">
        <v>4928</v>
      </c>
      <c r="D1231" s="190" t="n">
        <v>1</v>
      </c>
      <c r="E1231" s="190" t="n">
        <v>0</v>
      </c>
      <c r="F1231" s="190" t="n">
        <v>29</v>
      </c>
      <c r="G1231" s="190" t="n">
        <v>23.5</v>
      </c>
      <c r="H1231" s="190" t="s">
        <v>22</v>
      </c>
      <c r="I1231" s="190" t="s">
        <v>4929</v>
      </c>
      <c r="J1231" s="190"/>
    </row>
    <row r="1232" customFormat="false" ht="14.25" hidden="false" customHeight="true" outlineLevel="0" collapsed="false">
      <c r="A1232" s="190" t="s">
        <v>4930</v>
      </c>
      <c r="B1232" s="190" t="s">
        <v>4931</v>
      </c>
      <c r="C1232" s="190" t="s">
        <v>4932</v>
      </c>
      <c r="D1232" s="190" t="n">
        <v>1</v>
      </c>
      <c r="E1232" s="190" t="n">
        <v>0</v>
      </c>
      <c r="F1232" s="190" t="n">
        <v>2</v>
      </c>
      <c r="G1232" s="190" t="n">
        <v>313</v>
      </c>
      <c r="H1232" s="190" t="s">
        <v>22</v>
      </c>
      <c r="I1232" s="190" t="n">
        <v>51</v>
      </c>
      <c r="J1232" s="190"/>
    </row>
    <row r="1233" customFormat="false" ht="14.25" hidden="false" customHeight="true" outlineLevel="0" collapsed="false">
      <c r="A1233" s="190" t="s">
        <v>4933</v>
      </c>
      <c r="B1233" s="190" t="s">
        <v>4934</v>
      </c>
      <c r="C1233" s="190" t="s">
        <v>4935</v>
      </c>
      <c r="D1233" s="190" t="n">
        <v>1</v>
      </c>
      <c r="E1233" s="190" t="n">
        <v>0</v>
      </c>
      <c r="F1233" s="190" t="n">
        <v>1.83</v>
      </c>
      <c r="G1233" s="190" t="n">
        <v>290.5</v>
      </c>
      <c r="H1233" s="190" t="s">
        <v>22</v>
      </c>
      <c r="I1233" s="190" t="n">
        <v>51</v>
      </c>
      <c r="J1233" s="190"/>
    </row>
    <row r="1234" customFormat="false" ht="14.25" hidden="false" customHeight="true" outlineLevel="0" collapsed="false">
      <c r="A1234" s="190" t="s">
        <v>4936</v>
      </c>
      <c r="B1234" s="190" t="s">
        <v>4937</v>
      </c>
      <c r="C1234" s="190" t="s">
        <v>806</v>
      </c>
      <c r="D1234" s="190" t="n">
        <v>1</v>
      </c>
      <c r="E1234" s="190" t="n">
        <v>0</v>
      </c>
      <c r="F1234" s="190" t="n">
        <v>3.5</v>
      </c>
      <c r="G1234" s="190" t="n">
        <v>5.6</v>
      </c>
      <c r="H1234" s="190" t="s">
        <v>22</v>
      </c>
      <c r="I1234" s="190" t="s">
        <v>265</v>
      </c>
      <c r="J1234" s="190"/>
    </row>
    <row r="1235" customFormat="false" ht="14.25" hidden="false" customHeight="true" outlineLevel="0" collapsed="false">
      <c r="A1235" s="190" t="s">
        <v>4938</v>
      </c>
      <c r="B1235" s="190" t="s">
        <v>4939</v>
      </c>
      <c r="C1235" s="190" t="s">
        <v>4940</v>
      </c>
      <c r="D1235" s="190" t="n">
        <v>1</v>
      </c>
      <c r="E1235" s="190" t="n">
        <v>8</v>
      </c>
      <c r="F1235" s="190" t="n">
        <v>4.05</v>
      </c>
      <c r="G1235" s="190" t="n">
        <v>3.15</v>
      </c>
      <c r="H1235" s="190" t="s">
        <v>22</v>
      </c>
      <c r="I1235" s="190" t="s">
        <v>274</v>
      </c>
      <c r="J1235" s="190"/>
    </row>
    <row r="1236" customFormat="false" ht="14.25" hidden="false" customHeight="true" outlineLevel="0" collapsed="false">
      <c r="A1236" s="190" t="s">
        <v>4941</v>
      </c>
      <c r="B1236" s="190" t="s">
        <v>4942</v>
      </c>
      <c r="C1236" s="190" t="s">
        <v>4943</v>
      </c>
      <c r="D1236" s="190" t="n">
        <v>1</v>
      </c>
      <c r="E1236" s="190" t="n">
        <v>8</v>
      </c>
      <c r="F1236" s="190" t="n">
        <v>5.15</v>
      </c>
      <c r="G1236" s="190" t="n">
        <v>3.13</v>
      </c>
      <c r="H1236" s="190" t="s">
        <v>22</v>
      </c>
      <c r="I1236" s="190" t="s">
        <v>274</v>
      </c>
      <c r="J1236" s="190"/>
    </row>
    <row r="1237" customFormat="false" ht="14.25" hidden="false" customHeight="true" outlineLevel="0" collapsed="false">
      <c r="A1237" s="190" t="s">
        <v>4944</v>
      </c>
      <c r="B1237" s="190" t="s">
        <v>4945</v>
      </c>
      <c r="C1237" s="190" t="s">
        <v>4946</v>
      </c>
      <c r="D1237" s="190" t="n">
        <v>1</v>
      </c>
      <c r="E1237" s="190" t="n">
        <v>0</v>
      </c>
      <c r="F1237" s="190" t="n">
        <v>0.67</v>
      </c>
      <c r="G1237" s="190" t="n">
        <v>289.7</v>
      </c>
      <c r="H1237" s="190" t="s">
        <v>22</v>
      </c>
      <c r="I1237" s="190" t="n">
        <v>51</v>
      </c>
      <c r="J1237" s="190"/>
    </row>
    <row r="1238" customFormat="false" ht="14.25" hidden="false" customHeight="true" outlineLevel="0" collapsed="false">
      <c r="A1238" s="190" t="s">
        <v>4947</v>
      </c>
      <c r="B1238" s="190" t="s">
        <v>4948</v>
      </c>
      <c r="C1238" s="190" t="s">
        <v>4949</v>
      </c>
      <c r="D1238" s="190" t="n">
        <v>1</v>
      </c>
      <c r="E1238" s="190" t="n">
        <v>16</v>
      </c>
      <c r="F1238" s="190" t="n">
        <v>3.17</v>
      </c>
      <c r="G1238" s="190" t="n">
        <v>97</v>
      </c>
      <c r="H1238" s="190" t="s">
        <v>22</v>
      </c>
      <c r="I1238" s="190" t="s">
        <v>274</v>
      </c>
      <c r="J1238" s="190"/>
    </row>
    <row r="1239" customFormat="false" ht="14.25" hidden="false" customHeight="true" outlineLevel="0" collapsed="false">
      <c r="A1239" s="190" t="s">
        <v>4950</v>
      </c>
      <c r="B1239" s="190" t="s">
        <v>4951</v>
      </c>
      <c r="C1239" s="190" t="s">
        <v>807</v>
      </c>
      <c r="D1239" s="190" t="n">
        <v>1</v>
      </c>
      <c r="E1239" s="190" t="n">
        <v>0</v>
      </c>
      <c r="F1239" s="190" t="n">
        <v>4</v>
      </c>
      <c r="G1239" s="190" t="n">
        <v>6</v>
      </c>
      <c r="H1239" s="190" t="s">
        <v>22</v>
      </c>
      <c r="I1239" s="190" t="s">
        <v>265</v>
      </c>
      <c r="J1239" s="190"/>
    </row>
    <row r="1240" customFormat="false" ht="14.25" hidden="false" customHeight="true" outlineLevel="0" collapsed="false">
      <c r="A1240" s="190" t="s">
        <v>4952</v>
      </c>
      <c r="B1240" s="190" t="s">
        <v>4953</v>
      </c>
      <c r="C1240" s="190" t="s">
        <v>4954</v>
      </c>
      <c r="D1240" s="190" t="n">
        <v>1</v>
      </c>
      <c r="E1240" s="190" t="n">
        <v>0</v>
      </c>
      <c r="F1240" s="190" t="n">
        <v>6.17</v>
      </c>
      <c r="G1240" s="190" t="n">
        <v>245.7</v>
      </c>
      <c r="H1240" s="190" t="s">
        <v>22</v>
      </c>
      <c r="I1240" s="190" t="n">
        <v>51</v>
      </c>
      <c r="J1240" s="190"/>
    </row>
    <row r="1241" customFormat="false" ht="14.25" hidden="false" customHeight="true" outlineLevel="0" collapsed="false">
      <c r="A1241" s="190" t="s">
        <v>4955</v>
      </c>
      <c r="B1241" s="190" t="s">
        <v>4956</v>
      </c>
      <c r="C1241" s="190" t="s">
        <v>4957</v>
      </c>
      <c r="D1241" s="190" t="n">
        <v>1</v>
      </c>
      <c r="E1241" s="190" t="n">
        <v>0</v>
      </c>
      <c r="F1241" s="190" t="n">
        <v>0.83</v>
      </c>
      <c r="G1241" s="190" t="n">
        <v>289.5</v>
      </c>
      <c r="H1241" s="190" t="s">
        <v>22</v>
      </c>
      <c r="I1241" s="190" t="n">
        <v>51</v>
      </c>
      <c r="J1241" s="190"/>
    </row>
    <row r="1242" customFormat="false" ht="14.25" hidden="false" customHeight="true" outlineLevel="0" collapsed="false">
      <c r="A1242" s="190" t="s">
        <v>4958</v>
      </c>
      <c r="B1242" s="190" t="s">
        <v>4959</v>
      </c>
      <c r="C1242" s="190" t="s">
        <v>4960</v>
      </c>
      <c r="D1242" s="190" t="n">
        <v>1</v>
      </c>
      <c r="E1242" s="190" t="n">
        <v>8</v>
      </c>
      <c r="F1242" s="190" t="n">
        <v>2</v>
      </c>
      <c r="G1242" s="190" t="n">
        <v>1.02</v>
      </c>
      <c r="H1242" s="190" t="s">
        <v>22</v>
      </c>
      <c r="I1242" s="190" t="s">
        <v>2363</v>
      </c>
      <c r="J1242" s="190"/>
    </row>
    <row r="1243" customFormat="false" ht="14.25" hidden="false" customHeight="true" outlineLevel="0" collapsed="false">
      <c r="A1243" s="190" t="s">
        <v>4961</v>
      </c>
      <c r="B1243" s="190" t="s">
        <v>4962</v>
      </c>
      <c r="C1243" s="190" t="s">
        <v>4963</v>
      </c>
      <c r="D1243" s="190" t="n">
        <v>1</v>
      </c>
      <c r="E1243" s="190" t="n">
        <v>8</v>
      </c>
      <c r="F1243" s="190" t="n">
        <v>7</v>
      </c>
      <c r="G1243" s="190" t="n">
        <v>7.08</v>
      </c>
      <c r="H1243" s="190" t="s">
        <v>22</v>
      </c>
      <c r="I1243" s="190" t="s">
        <v>2363</v>
      </c>
      <c r="J1243" s="190"/>
    </row>
    <row r="1244" customFormat="false" ht="14.25" hidden="false" customHeight="true" outlineLevel="0" collapsed="false">
      <c r="A1244" s="190" t="s">
        <v>4964</v>
      </c>
      <c r="B1244" s="190" t="s">
        <v>4965</v>
      </c>
      <c r="C1244" s="190" t="s">
        <v>4966</v>
      </c>
      <c r="D1244" s="190" t="n">
        <v>1</v>
      </c>
      <c r="E1244" s="190" t="n">
        <v>8</v>
      </c>
      <c r="F1244" s="190" t="n">
        <v>1.5</v>
      </c>
      <c r="G1244" s="190" t="n">
        <v>7.67</v>
      </c>
      <c r="H1244" s="190" t="s">
        <v>22</v>
      </c>
      <c r="I1244" s="190" t="s">
        <v>2363</v>
      </c>
      <c r="J1244" s="190"/>
    </row>
    <row r="1245" customFormat="false" ht="14.25" hidden="false" customHeight="true" outlineLevel="0" collapsed="false">
      <c r="A1245" s="190" t="s">
        <v>4967</v>
      </c>
      <c r="B1245" s="190" t="s">
        <v>4968</v>
      </c>
      <c r="C1245" s="190" t="s">
        <v>4969</v>
      </c>
      <c r="D1245" s="190" t="n">
        <v>1</v>
      </c>
      <c r="E1245" s="190" t="n">
        <v>16</v>
      </c>
      <c r="F1245" s="190" t="n">
        <v>36.7</v>
      </c>
      <c r="G1245" s="190" t="n">
        <v>141.7</v>
      </c>
      <c r="H1245" s="190" t="s">
        <v>22</v>
      </c>
      <c r="I1245" s="190" t="s">
        <v>3555</v>
      </c>
      <c r="J1245" s="190"/>
    </row>
    <row r="1246" customFormat="false" ht="14.25" hidden="false" customHeight="true" outlineLevel="0" collapsed="false">
      <c r="A1246" s="190" t="s">
        <v>4970</v>
      </c>
      <c r="B1246" s="190" t="s">
        <v>4971</v>
      </c>
      <c r="C1246" s="190" t="s">
        <v>810</v>
      </c>
      <c r="D1246" s="190" t="n">
        <v>1</v>
      </c>
      <c r="E1246" s="190" t="n">
        <v>1.5</v>
      </c>
      <c r="F1246" s="190" t="n">
        <v>11</v>
      </c>
      <c r="G1246" s="190" t="n">
        <v>3</v>
      </c>
      <c r="H1246" s="190" t="s">
        <v>22</v>
      </c>
      <c r="I1246" s="190" t="s">
        <v>177</v>
      </c>
      <c r="J1246" s="190"/>
    </row>
    <row r="1247" customFormat="false" ht="14.25" hidden="false" customHeight="true" outlineLevel="0" collapsed="false">
      <c r="A1247" s="190" t="s">
        <v>4972</v>
      </c>
      <c r="B1247" s="190" t="s">
        <v>4973</v>
      </c>
      <c r="C1247" s="190" t="s">
        <v>811</v>
      </c>
      <c r="D1247" s="190" t="n">
        <v>1</v>
      </c>
      <c r="E1247" s="190" t="n">
        <v>1.5</v>
      </c>
      <c r="F1247" s="190" t="n">
        <v>2.5</v>
      </c>
      <c r="G1247" s="190" t="n">
        <v>2.5</v>
      </c>
      <c r="H1247" s="190" t="s">
        <v>22</v>
      </c>
      <c r="I1247" s="190" t="s">
        <v>177</v>
      </c>
      <c r="J1247" s="190"/>
    </row>
    <row r="1248" customFormat="false" ht="14.25" hidden="false" customHeight="true" outlineLevel="0" collapsed="false">
      <c r="A1248" s="190" t="s">
        <v>4974</v>
      </c>
      <c r="B1248" s="190" t="s">
        <v>4975</v>
      </c>
      <c r="C1248" s="190" t="s">
        <v>812</v>
      </c>
      <c r="D1248" s="190" t="n">
        <v>1</v>
      </c>
      <c r="E1248" s="190" t="n">
        <v>0</v>
      </c>
      <c r="F1248" s="190" t="n">
        <v>2</v>
      </c>
      <c r="G1248" s="190" t="n">
        <v>2</v>
      </c>
      <c r="H1248" s="190" t="s">
        <v>22</v>
      </c>
      <c r="I1248" s="190" t="s">
        <v>177</v>
      </c>
      <c r="J1248" s="190"/>
    </row>
    <row r="1249" customFormat="false" ht="14.25" hidden="false" customHeight="true" outlineLevel="0" collapsed="false">
      <c r="A1249" s="190" t="s">
        <v>4976</v>
      </c>
      <c r="B1249" s="190" t="s">
        <v>4977</v>
      </c>
      <c r="C1249" s="190" t="s">
        <v>819</v>
      </c>
      <c r="D1249" s="190" t="n">
        <v>1</v>
      </c>
      <c r="E1249" s="190" t="n">
        <v>2</v>
      </c>
      <c r="F1249" s="190" t="n">
        <v>3</v>
      </c>
      <c r="G1249" s="190" t="n">
        <v>416</v>
      </c>
      <c r="H1249" s="190" t="s">
        <v>22</v>
      </c>
      <c r="I1249" s="190" t="s">
        <v>177</v>
      </c>
      <c r="J1249" s="190"/>
    </row>
    <row r="1250" customFormat="false" ht="14.25" hidden="false" customHeight="true" outlineLevel="0" collapsed="false">
      <c r="A1250" s="190" t="s">
        <v>4978</v>
      </c>
      <c r="B1250" s="190" t="s">
        <v>4979</v>
      </c>
      <c r="C1250" s="190" t="s">
        <v>4980</v>
      </c>
      <c r="D1250" s="190" t="n">
        <v>1</v>
      </c>
      <c r="E1250" s="190" t="n">
        <v>8</v>
      </c>
      <c r="F1250" s="190" t="n">
        <v>8.5</v>
      </c>
      <c r="G1250" s="190" t="n">
        <v>1.53</v>
      </c>
      <c r="H1250" s="190" t="s">
        <v>22</v>
      </c>
      <c r="I1250" s="190" t="s">
        <v>1954</v>
      </c>
      <c r="J1250" s="190"/>
    </row>
    <row r="1251" customFormat="false" ht="14.25" hidden="false" customHeight="true" outlineLevel="0" collapsed="false">
      <c r="A1251" s="190" t="s">
        <v>4981</v>
      </c>
      <c r="B1251" s="190" t="s">
        <v>4982</v>
      </c>
      <c r="C1251" s="190" t="s">
        <v>4983</v>
      </c>
      <c r="D1251" s="190" t="n">
        <v>1</v>
      </c>
      <c r="E1251" s="190" t="n">
        <v>19.5</v>
      </c>
      <c r="F1251" s="190" t="n">
        <v>19.5</v>
      </c>
      <c r="G1251" s="190" t="n">
        <v>6.52</v>
      </c>
      <c r="H1251" s="190" t="s">
        <v>22</v>
      </c>
      <c r="I1251" s="190" t="s">
        <v>146</v>
      </c>
      <c r="J1251" s="190"/>
    </row>
    <row r="1252" customFormat="false" ht="14.25" hidden="false" customHeight="true" outlineLevel="0" collapsed="false">
      <c r="A1252" s="190" t="s">
        <v>4984</v>
      </c>
      <c r="B1252" s="190" t="s">
        <v>4985</v>
      </c>
      <c r="C1252" s="190" t="s">
        <v>4986</v>
      </c>
      <c r="D1252" s="190" t="n">
        <v>1</v>
      </c>
      <c r="E1252" s="190" t="n">
        <v>0</v>
      </c>
      <c r="F1252" s="190" t="n">
        <v>11</v>
      </c>
      <c r="G1252" s="190" t="n">
        <v>129.2</v>
      </c>
      <c r="H1252" s="190" t="s">
        <v>22</v>
      </c>
      <c r="I1252" s="190" t="s">
        <v>38</v>
      </c>
      <c r="J1252" s="190"/>
    </row>
    <row r="1253" customFormat="false" ht="14.25" hidden="false" customHeight="true" outlineLevel="0" collapsed="false">
      <c r="A1253" s="190" t="s">
        <v>4987</v>
      </c>
      <c r="B1253" s="190" t="s">
        <v>4988</v>
      </c>
      <c r="C1253" s="190" t="s">
        <v>4989</v>
      </c>
      <c r="D1253" s="190" t="n">
        <v>1</v>
      </c>
      <c r="E1253" s="190" t="n">
        <v>8</v>
      </c>
      <c r="F1253" s="190" t="n">
        <v>16</v>
      </c>
      <c r="G1253" s="190" t="n">
        <v>464.8</v>
      </c>
      <c r="H1253" s="190" t="s">
        <v>22</v>
      </c>
      <c r="I1253" s="190" t="s">
        <v>38</v>
      </c>
      <c r="J1253" s="190"/>
    </row>
    <row r="1254" customFormat="false" ht="14.25" hidden="false" customHeight="true" outlineLevel="0" collapsed="false">
      <c r="A1254" s="190" t="s">
        <v>4990</v>
      </c>
      <c r="B1254" s="190" t="s">
        <v>4991</v>
      </c>
      <c r="C1254" s="190" t="s">
        <v>4992</v>
      </c>
      <c r="D1254" s="190" t="n">
        <v>1</v>
      </c>
      <c r="E1254" s="190" t="n">
        <v>8</v>
      </c>
      <c r="F1254" s="190" t="n">
        <v>10</v>
      </c>
      <c r="G1254" s="190" t="n">
        <v>459.9</v>
      </c>
      <c r="H1254" s="190" t="s">
        <v>22</v>
      </c>
      <c r="I1254" s="190" t="s">
        <v>38</v>
      </c>
      <c r="J1254" s="190"/>
    </row>
    <row r="1255" customFormat="false" ht="14.25" hidden="false" customHeight="true" outlineLevel="0" collapsed="false">
      <c r="A1255" s="190" t="s">
        <v>4993</v>
      </c>
      <c r="B1255" s="190" t="s">
        <v>4994</v>
      </c>
      <c r="C1255" s="190" t="s">
        <v>4995</v>
      </c>
      <c r="D1255" s="190" t="n">
        <v>1</v>
      </c>
      <c r="E1255" s="190" t="n">
        <v>19.5</v>
      </c>
      <c r="F1255" s="190" t="n">
        <v>19.5</v>
      </c>
      <c r="G1255" s="190" t="n">
        <v>6.5</v>
      </c>
      <c r="H1255" s="190" t="s">
        <v>22</v>
      </c>
      <c r="I1255" s="190" t="s">
        <v>4996</v>
      </c>
      <c r="J1255" s="190"/>
    </row>
    <row r="1256" customFormat="false" ht="14.25" hidden="false" customHeight="true" outlineLevel="0" collapsed="false">
      <c r="A1256" s="190" t="s">
        <v>4997</v>
      </c>
      <c r="B1256" s="190" t="s">
        <v>4998</v>
      </c>
      <c r="C1256" s="190" t="s">
        <v>825</v>
      </c>
      <c r="D1256" s="190" t="n">
        <v>1</v>
      </c>
      <c r="E1256" s="190" t="n">
        <v>0</v>
      </c>
      <c r="F1256" s="190" t="n">
        <v>4</v>
      </c>
      <c r="G1256" s="190" t="n">
        <v>2</v>
      </c>
      <c r="H1256" s="190" t="s">
        <v>22</v>
      </c>
      <c r="I1256" s="190" t="s">
        <v>699</v>
      </c>
      <c r="J1256" s="190"/>
    </row>
    <row r="1257" customFormat="false" ht="14.25" hidden="false" customHeight="true" outlineLevel="0" collapsed="false">
      <c r="A1257" s="190" t="s">
        <v>4999</v>
      </c>
      <c r="B1257" s="190" t="s">
        <v>5000</v>
      </c>
      <c r="C1257" s="190" t="s">
        <v>829</v>
      </c>
      <c r="D1257" s="190" t="n">
        <v>1</v>
      </c>
      <c r="E1257" s="190" t="n">
        <v>0</v>
      </c>
      <c r="F1257" s="190" t="n">
        <v>2</v>
      </c>
      <c r="G1257" s="190" t="n">
        <v>2</v>
      </c>
      <c r="H1257" s="190" t="s">
        <v>22</v>
      </c>
      <c r="I1257" s="190" t="n">
        <v>25</v>
      </c>
      <c r="J1257" s="190"/>
    </row>
    <row r="1258" customFormat="false" ht="14.25" hidden="false" customHeight="true" outlineLevel="0" collapsed="false">
      <c r="A1258" s="190" t="s">
        <v>5001</v>
      </c>
      <c r="B1258" s="190" t="s">
        <v>5002</v>
      </c>
      <c r="C1258" s="190" t="s">
        <v>5003</v>
      </c>
      <c r="D1258" s="190" t="n">
        <v>1</v>
      </c>
      <c r="E1258" s="190" t="n">
        <v>13</v>
      </c>
      <c r="F1258" s="190" t="n">
        <v>13.58</v>
      </c>
      <c r="G1258" s="190" t="n">
        <v>122.5</v>
      </c>
      <c r="H1258" s="190" t="s">
        <v>22</v>
      </c>
      <c r="I1258" s="190" t="s">
        <v>2363</v>
      </c>
      <c r="J1258" s="190"/>
    </row>
    <row r="1259" customFormat="false" ht="14.25" hidden="false" customHeight="true" outlineLevel="0" collapsed="false">
      <c r="A1259" s="190" t="s">
        <v>5004</v>
      </c>
      <c r="B1259" s="190" t="s">
        <v>5005</v>
      </c>
      <c r="C1259" s="190" t="s">
        <v>5006</v>
      </c>
      <c r="D1259" s="190" t="n">
        <v>1</v>
      </c>
      <c r="E1259" s="190" t="n">
        <v>30</v>
      </c>
      <c r="F1259" s="190" t="n">
        <v>33</v>
      </c>
      <c r="G1259" s="190" t="n">
        <v>676.8</v>
      </c>
      <c r="H1259" s="190" t="s">
        <v>22</v>
      </c>
      <c r="I1259" s="190" t="s">
        <v>2363</v>
      </c>
      <c r="J1259" s="190"/>
    </row>
    <row r="1260" customFormat="false" ht="14.25" hidden="false" customHeight="true" outlineLevel="0" collapsed="false">
      <c r="A1260" s="190" t="s">
        <v>5007</v>
      </c>
      <c r="B1260" s="190" t="s">
        <v>5008</v>
      </c>
      <c r="C1260" s="190" t="s">
        <v>830</v>
      </c>
      <c r="D1260" s="190" t="n">
        <v>1</v>
      </c>
      <c r="E1260" s="190" t="n">
        <v>4</v>
      </c>
      <c r="F1260" s="190" t="n">
        <v>4</v>
      </c>
      <c r="G1260" s="190" t="n">
        <v>2</v>
      </c>
      <c r="H1260" s="190" t="s">
        <v>22</v>
      </c>
      <c r="I1260" s="190" t="n">
        <v>25</v>
      </c>
      <c r="J1260" s="190"/>
    </row>
    <row r="1261" customFormat="false" ht="14.25" hidden="false" customHeight="true" outlineLevel="0" collapsed="false">
      <c r="A1261" s="190" t="s">
        <v>5009</v>
      </c>
      <c r="B1261" s="190" t="s">
        <v>5010</v>
      </c>
      <c r="C1261" s="190" t="s">
        <v>5011</v>
      </c>
      <c r="D1261" s="190" t="n">
        <v>1</v>
      </c>
      <c r="E1261" s="190" t="n">
        <v>20</v>
      </c>
      <c r="F1261" s="190" t="n">
        <v>22.35</v>
      </c>
      <c r="G1261" s="190" t="n">
        <v>81.8</v>
      </c>
      <c r="H1261" s="190" t="s">
        <v>22</v>
      </c>
      <c r="I1261" s="190" t="s">
        <v>5012</v>
      </c>
      <c r="J1261" s="190"/>
    </row>
    <row r="1262" customFormat="false" ht="14.25" hidden="false" customHeight="true" outlineLevel="0" collapsed="false">
      <c r="A1262" s="190" t="s">
        <v>5013</v>
      </c>
      <c r="B1262" s="190" t="s">
        <v>5014</v>
      </c>
      <c r="C1262" s="190" t="s">
        <v>5015</v>
      </c>
      <c r="D1262" s="190" t="n">
        <v>1</v>
      </c>
      <c r="E1262" s="190" t="n">
        <v>15</v>
      </c>
      <c r="F1262" s="190" t="n">
        <v>12.08</v>
      </c>
      <c r="G1262" s="190" t="n">
        <v>99.1</v>
      </c>
      <c r="H1262" s="190" t="s">
        <v>22</v>
      </c>
      <c r="I1262" s="190" t="s">
        <v>146</v>
      </c>
      <c r="J1262" s="190"/>
    </row>
    <row r="1263" customFormat="false" ht="14.25" hidden="false" customHeight="true" outlineLevel="0" collapsed="false">
      <c r="A1263" s="190" t="s">
        <v>5016</v>
      </c>
      <c r="B1263" s="190" t="s">
        <v>5017</v>
      </c>
      <c r="C1263" s="190" t="s">
        <v>832</v>
      </c>
      <c r="D1263" s="190" t="n">
        <v>1</v>
      </c>
      <c r="E1263" s="190" t="n">
        <v>0</v>
      </c>
      <c r="F1263" s="190" t="n">
        <v>1</v>
      </c>
      <c r="G1263" s="190" t="n">
        <v>1</v>
      </c>
      <c r="H1263" s="190" t="s">
        <v>22</v>
      </c>
      <c r="I1263" s="190" t="n">
        <v>25</v>
      </c>
      <c r="J1263" s="190"/>
    </row>
    <row r="1264" customFormat="false" ht="14.25" hidden="false" customHeight="true" outlineLevel="0" collapsed="false">
      <c r="A1264" s="190" t="s">
        <v>5018</v>
      </c>
      <c r="B1264" s="190" t="s">
        <v>5019</v>
      </c>
      <c r="C1264" s="190" t="s">
        <v>833</v>
      </c>
      <c r="D1264" s="190" t="n">
        <v>1</v>
      </c>
      <c r="E1264" s="190" t="n">
        <v>0</v>
      </c>
      <c r="F1264" s="190" t="n">
        <v>2</v>
      </c>
      <c r="G1264" s="190" t="n">
        <v>2</v>
      </c>
      <c r="H1264" s="190" t="s">
        <v>22</v>
      </c>
      <c r="I1264" s="190" t="n">
        <v>25</v>
      </c>
      <c r="J1264" s="190"/>
    </row>
    <row r="1265" customFormat="false" ht="14.25" hidden="false" customHeight="true" outlineLevel="0" collapsed="false">
      <c r="A1265" s="190" t="s">
        <v>5020</v>
      </c>
      <c r="B1265" s="190" t="s">
        <v>5021</v>
      </c>
      <c r="C1265" s="190" t="s">
        <v>835</v>
      </c>
      <c r="D1265" s="190" t="n">
        <v>1</v>
      </c>
      <c r="E1265" s="190" t="n">
        <v>0</v>
      </c>
      <c r="F1265" s="190" t="n">
        <v>1</v>
      </c>
      <c r="G1265" s="190" t="n">
        <v>1</v>
      </c>
      <c r="H1265" s="190" t="s">
        <v>22</v>
      </c>
      <c r="I1265" s="190" t="n">
        <v>25</v>
      </c>
      <c r="J1265" s="190"/>
    </row>
    <row r="1266" customFormat="false" ht="14.25" hidden="false" customHeight="true" outlineLevel="0" collapsed="false">
      <c r="A1266" s="190" t="s">
        <v>5022</v>
      </c>
      <c r="B1266" s="190" t="s">
        <v>5023</v>
      </c>
      <c r="C1266" s="190" t="s">
        <v>838</v>
      </c>
      <c r="D1266" s="190" t="n">
        <v>1</v>
      </c>
      <c r="E1266" s="190" t="n">
        <v>0</v>
      </c>
      <c r="F1266" s="190" t="n">
        <v>13</v>
      </c>
      <c r="G1266" s="190" t="n">
        <v>6.5</v>
      </c>
      <c r="H1266" s="190" t="s">
        <v>22</v>
      </c>
      <c r="I1266" s="190" t="n">
        <v>25</v>
      </c>
      <c r="J1266" s="190"/>
    </row>
    <row r="1267" customFormat="false" ht="14.25" hidden="false" customHeight="true" outlineLevel="0" collapsed="false">
      <c r="A1267" s="190" t="s">
        <v>5024</v>
      </c>
      <c r="B1267" s="190" t="s">
        <v>5025</v>
      </c>
      <c r="C1267" s="190" t="s">
        <v>840</v>
      </c>
      <c r="D1267" s="190" t="n">
        <v>1</v>
      </c>
      <c r="E1267" s="190" t="n">
        <v>0</v>
      </c>
      <c r="F1267" s="190" t="n">
        <v>1</v>
      </c>
      <c r="G1267" s="190" t="n">
        <v>1</v>
      </c>
      <c r="H1267" s="190" t="s">
        <v>22</v>
      </c>
      <c r="I1267" s="190" t="n">
        <v>25</v>
      </c>
      <c r="J1267" s="190"/>
    </row>
    <row r="1268" customFormat="false" ht="14.25" hidden="false" customHeight="true" outlineLevel="0" collapsed="false">
      <c r="A1268" s="190" t="s">
        <v>5026</v>
      </c>
      <c r="B1268" s="190" t="s">
        <v>5027</v>
      </c>
      <c r="C1268" s="190" t="s">
        <v>841</v>
      </c>
      <c r="D1268" s="190" t="n">
        <v>1</v>
      </c>
      <c r="E1268" s="190" t="n">
        <v>4</v>
      </c>
      <c r="F1268" s="190" t="n">
        <v>4</v>
      </c>
      <c r="G1268" s="190" t="n">
        <v>2</v>
      </c>
      <c r="H1268" s="190" t="s">
        <v>22</v>
      </c>
      <c r="I1268" s="190" t="n">
        <v>25</v>
      </c>
      <c r="J1268" s="190"/>
    </row>
    <row r="1269" customFormat="false" ht="14.25" hidden="false" customHeight="true" outlineLevel="0" collapsed="false">
      <c r="A1269" s="190" t="s">
        <v>5028</v>
      </c>
      <c r="B1269" s="190" t="s">
        <v>5029</v>
      </c>
      <c r="C1269" s="190" t="s">
        <v>842</v>
      </c>
      <c r="D1269" s="190" t="n">
        <v>1</v>
      </c>
      <c r="E1269" s="190" t="n">
        <v>0</v>
      </c>
      <c r="F1269" s="190" t="n">
        <v>2</v>
      </c>
      <c r="G1269" s="190" t="n">
        <v>2</v>
      </c>
      <c r="H1269" s="190" t="s">
        <v>22</v>
      </c>
      <c r="I1269" s="190" t="s">
        <v>177</v>
      </c>
      <c r="J1269" s="190"/>
    </row>
    <row r="1270" customFormat="false" ht="14.25" hidden="false" customHeight="true" outlineLevel="0" collapsed="false">
      <c r="A1270" s="190" t="s">
        <v>5030</v>
      </c>
      <c r="B1270" s="190" t="s">
        <v>5031</v>
      </c>
      <c r="C1270" s="190" t="s">
        <v>5032</v>
      </c>
      <c r="D1270" s="190" t="n">
        <v>1</v>
      </c>
      <c r="E1270" s="190" t="n">
        <v>8</v>
      </c>
      <c r="F1270" s="190" t="n">
        <v>17.58</v>
      </c>
      <c r="G1270" s="190" t="n">
        <v>26.4</v>
      </c>
      <c r="H1270" s="190" t="s">
        <v>22</v>
      </c>
      <c r="I1270" s="190" t="s">
        <v>2036</v>
      </c>
      <c r="J1270" s="190"/>
    </row>
    <row r="1271" customFormat="false" ht="14.25" hidden="false" customHeight="true" outlineLevel="0" collapsed="false">
      <c r="A1271" s="190" t="s">
        <v>5033</v>
      </c>
      <c r="B1271" s="190" t="s">
        <v>5034</v>
      </c>
      <c r="C1271" s="190" t="s">
        <v>5035</v>
      </c>
      <c r="D1271" s="190" t="n">
        <v>1</v>
      </c>
      <c r="E1271" s="190" t="n">
        <v>8</v>
      </c>
      <c r="F1271" s="190" t="n">
        <v>11</v>
      </c>
      <c r="G1271" s="190" t="n">
        <v>2.02</v>
      </c>
      <c r="H1271" s="190" t="s">
        <v>22</v>
      </c>
      <c r="I1271" s="190" t="s">
        <v>2036</v>
      </c>
      <c r="J1271" s="190"/>
    </row>
    <row r="1272" customFormat="false" ht="14.25" hidden="false" customHeight="true" outlineLevel="0" collapsed="false">
      <c r="A1272" s="190" t="s">
        <v>5036</v>
      </c>
      <c r="B1272" s="190" t="s">
        <v>5037</v>
      </c>
      <c r="C1272" s="190" t="s">
        <v>5038</v>
      </c>
      <c r="D1272" s="190" t="n">
        <v>1</v>
      </c>
      <c r="E1272" s="190" t="n">
        <v>2</v>
      </c>
      <c r="F1272" s="190" t="n">
        <v>2</v>
      </c>
      <c r="G1272" s="190" t="n">
        <v>2</v>
      </c>
      <c r="H1272" s="190" t="s">
        <v>22</v>
      </c>
      <c r="I1272" s="190" t="s">
        <v>2036</v>
      </c>
      <c r="J1272" s="190"/>
    </row>
    <row r="1273" customFormat="false" ht="14.25" hidden="false" customHeight="true" outlineLevel="0" collapsed="false">
      <c r="A1273" s="190" t="s">
        <v>5039</v>
      </c>
      <c r="B1273" s="190" t="s">
        <v>5040</v>
      </c>
      <c r="C1273" s="190" t="s">
        <v>5041</v>
      </c>
      <c r="D1273" s="190" t="n">
        <v>1</v>
      </c>
      <c r="E1273" s="190" t="n">
        <v>0</v>
      </c>
      <c r="F1273" s="190" t="n">
        <v>40.5</v>
      </c>
      <c r="G1273" s="190" t="n">
        <v>535.5</v>
      </c>
      <c r="H1273" s="190" t="s">
        <v>22</v>
      </c>
      <c r="I1273" s="190" t="s">
        <v>2036</v>
      </c>
      <c r="J1273" s="190"/>
    </row>
    <row r="1274" customFormat="false" ht="14.25" hidden="false" customHeight="true" outlineLevel="0" collapsed="false">
      <c r="A1274" s="190" t="s">
        <v>5042</v>
      </c>
      <c r="B1274" s="190" t="s">
        <v>5043</v>
      </c>
      <c r="C1274" s="190" t="s">
        <v>5044</v>
      </c>
      <c r="D1274" s="190" t="n">
        <v>1</v>
      </c>
      <c r="E1274" s="190" t="n">
        <v>30</v>
      </c>
      <c r="F1274" s="190" t="n">
        <v>29</v>
      </c>
      <c r="G1274" s="190" t="n">
        <v>6.53</v>
      </c>
      <c r="H1274" s="190" t="s">
        <v>22</v>
      </c>
      <c r="I1274" s="190" t="s">
        <v>5045</v>
      </c>
      <c r="J1274" s="190"/>
    </row>
    <row r="1275" customFormat="false" ht="14.25" hidden="false" customHeight="true" outlineLevel="0" collapsed="false">
      <c r="A1275" s="190" t="s">
        <v>5046</v>
      </c>
      <c r="B1275" s="190" t="s">
        <v>5047</v>
      </c>
      <c r="C1275" s="190" t="s">
        <v>5048</v>
      </c>
      <c r="D1275" s="190" t="n">
        <v>1</v>
      </c>
      <c r="E1275" s="190" t="n">
        <v>6</v>
      </c>
      <c r="F1275" s="190" t="n">
        <v>7.75</v>
      </c>
      <c r="G1275" s="190" t="n">
        <v>408.4</v>
      </c>
      <c r="H1275" s="190" t="s">
        <v>22</v>
      </c>
      <c r="I1275" s="190" t="s">
        <v>2036</v>
      </c>
      <c r="J1275" s="190"/>
    </row>
    <row r="1276" customFormat="false" ht="14.25" hidden="false" customHeight="true" outlineLevel="0" collapsed="false">
      <c r="A1276" s="190" t="s">
        <v>5049</v>
      </c>
      <c r="B1276" s="190" t="s">
        <v>5050</v>
      </c>
      <c r="C1276" s="190" t="s">
        <v>5051</v>
      </c>
      <c r="D1276" s="190" t="n">
        <v>1</v>
      </c>
      <c r="E1276" s="190" t="n">
        <v>6</v>
      </c>
      <c r="F1276" s="190" t="n">
        <v>6.5</v>
      </c>
      <c r="G1276" s="190" t="n">
        <v>2.5</v>
      </c>
      <c r="H1276" s="190" t="s">
        <v>22</v>
      </c>
      <c r="I1276" s="190" t="s">
        <v>2036</v>
      </c>
      <c r="J1276" s="190"/>
    </row>
    <row r="1277" customFormat="false" ht="14.25" hidden="false" customHeight="true" outlineLevel="0" collapsed="false">
      <c r="A1277" s="190" t="s">
        <v>5052</v>
      </c>
      <c r="B1277" s="190" t="s">
        <v>5053</v>
      </c>
      <c r="C1277" s="190" t="s">
        <v>5054</v>
      </c>
      <c r="D1277" s="190" t="n">
        <v>1</v>
      </c>
      <c r="E1277" s="190" t="n">
        <v>3</v>
      </c>
      <c r="F1277" s="190" t="n">
        <v>2.5</v>
      </c>
      <c r="G1277" s="190" t="n">
        <v>234.8</v>
      </c>
      <c r="H1277" s="190" t="s">
        <v>22</v>
      </c>
      <c r="I1277" s="190" t="s">
        <v>3706</v>
      </c>
      <c r="J1277" s="190"/>
    </row>
    <row r="1278" customFormat="false" ht="14.25" hidden="false" customHeight="true" outlineLevel="0" collapsed="false">
      <c r="A1278" s="190" t="s">
        <v>5055</v>
      </c>
      <c r="B1278" s="190" t="s">
        <v>5056</v>
      </c>
      <c r="C1278" s="190" t="s">
        <v>5057</v>
      </c>
      <c r="D1278" s="190" t="n">
        <v>1</v>
      </c>
      <c r="E1278" s="190" t="n">
        <v>4</v>
      </c>
      <c r="F1278" s="190" t="n">
        <v>3</v>
      </c>
      <c r="G1278" s="190" t="n">
        <v>215.4</v>
      </c>
      <c r="H1278" s="190" t="s">
        <v>22</v>
      </c>
      <c r="I1278" s="190" t="s">
        <v>38</v>
      </c>
      <c r="J1278" s="190"/>
    </row>
    <row r="1279" customFormat="false" ht="14.25" hidden="false" customHeight="true" outlineLevel="0" collapsed="false">
      <c r="A1279" s="190" t="s">
        <v>5058</v>
      </c>
      <c r="B1279" s="190" t="s">
        <v>5059</v>
      </c>
      <c r="C1279" s="190" t="s">
        <v>5060</v>
      </c>
      <c r="D1279" s="190" t="n">
        <v>1</v>
      </c>
      <c r="E1279" s="190" t="n">
        <v>4</v>
      </c>
      <c r="F1279" s="190" t="n">
        <v>1</v>
      </c>
      <c r="G1279" s="190" t="n">
        <v>0.58</v>
      </c>
      <c r="H1279" s="190" t="s">
        <v>22</v>
      </c>
      <c r="I1279" s="190" t="s">
        <v>2538</v>
      </c>
      <c r="J1279" s="190"/>
    </row>
    <row r="1280" customFormat="false" ht="14.25" hidden="false" customHeight="true" outlineLevel="0" collapsed="false">
      <c r="A1280" s="190" t="s">
        <v>5061</v>
      </c>
      <c r="B1280" s="190" t="s">
        <v>5062</v>
      </c>
      <c r="C1280" s="190" t="s">
        <v>5063</v>
      </c>
      <c r="D1280" s="190" t="n">
        <v>1</v>
      </c>
      <c r="E1280" s="190" t="n">
        <v>4</v>
      </c>
      <c r="F1280" s="190" t="n">
        <v>0.5</v>
      </c>
      <c r="G1280" s="190" t="n">
        <v>0.5</v>
      </c>
      <c r="H1280" s="190" t="s">
        <v>22</v>
      </c>
      <c r="I1280" s="190" t="s">
        <v>2538</v>
      </c>
      <c r="J1280" s="190"/>
    </row>
    <row r="1281" customFormat="false" ht="14.25" hidden="false" customHeight="true" outlineLevel="0" collapsed="false">
      <c r="A1281" s="190" t="s">
        <v>5064</v>
      </c>
      <c r="B1281" s="190" t="s">
        <v>5065</v>
      </c>
      <c r="C1281" s="190" t="s">
        <v>5066</v>
      </c>
      <c r="D1281" s="190" t="n">
        <v>1</v>
      </c>
      <c r="E1281" s="190" t="n">
        <v>0</v>
      </c>
      <c r="F1281" s="190" t="n">
        <v>9.25</v>
      </c>
      <c r="G1281" s="190" t="n">
        <v>402.5</v>
      </c>
      <c r="H1281" s="190" t="s">
        <v>22</v>
      </c>
      <c r="I1281" s="190" t="s">
        <v>2538</v>
      </c>
      <c r="J1281" s="190"/>
    </row>
    <row r="1282" customFormat="false" ht="14.25" hidden="false" customHeight="true" outlineLevel="0" collapsed="false">
      <c r="A1282" s="190" t="s">
        <v>5067</v>
      </c>
      <c r="B1282" s="190" t="s">
        <v>5068</v>
      </c>
      <c r="C1282" s="190" t="s">
        <v>5069</v>
      </c>
      <c r="D1282" s="190" t="n">
        <v>1</v>
      </c>
      <c r="E1282" s="190" t="n">
        <v>0</v>
      </c>
      <c r="F1282" s="190" t="n">
        <v>6.42</v>
      </c>
      <c r="G1282" s="190" t="n">
        <v>408.3</v>
      </c>
      <c r="H1282" s="190" t="s">
        <v>22</v>
      </c>
      <c r="I1282" s="190" t="s">
        <v>2538</v>
      </c>
      <c r="J1282" s="190"/>
    </row>
    <row r="1283" customFormat="false" ht="14.25" hidden="false" customHeight="true" outlineLevel="0" collapsed="false">
      <c r="A1283" s="190" t="s">
        <v>5070</v>
      </c>
      <c r="B1283" s="190" t="s">
        <v>5071</v>
      </c>
      <c r="C1283" s="190" t="s">
        <v>846</v>
      </c>
      <c r="D1283" s="190" t="n">
        <v>1</v>
      </c>
      <c r="E1283" s="190" t="n">
        <v>1.5</v>
      </c>
      <c r="F1283" s="190" t="n">
        <v>1.5</v>
      </c>
      <c r="G1283" s="190" t="n">
        <v>1.68</v>
      </c>
      <c r="H1283" s="190" t="s">
        <v>22</v>
      </c>
      <c r="I1283" s="190" t="s">
        <v>358</v>
      </c>
      <c r="J1283" s="190"/>
    </row>
    <row r="1284" customFormat="false" ht="14.25" hidden="false" customHeight="true" outlineLevel="0" collapsed="false">
      <c r="A1284" s="190" t="s">
        <v>5072</v>
      </c>
      <c r="B1284" s="190" t="s">
        <v>5073</v>
      </c>
      <c r="C1284" s="190" t="s">
        <v>848</v>
      </c>
      <c r="D1284" s="190" t="n">
        <v>1</v>
      </c>
      <c r="E1284" s="190" t="n">
        <v>8</v>
      </c>
      <c r="F1284" s="190" t="n">
        <v>8</v>
      </c>
      <c r="G1284" s="190" t="n">
        <v>2.07</v>
      </c>
      <c r="H1284" s="190" t="s">
        <v>22</v>
      </c>
      <c r="I1284" s="190" t="s">
        <v>358</v>
      </c>
      <c r="J1284" s="190"/>
    </row>
    <row r="1285" customFormat="false" ht="14.25" hidden="false" customHeight="true" outlineLevel="0" collapsed="false">
      <c r="A1285" s="190" t="s">
        <v>5074</v>
      </c>
      <c r="B1285" s="190" t="s">
        <v>5075</v>
      </c>
      <c r="C1285" s="190" t="s">
        <v>849</v>
      </c>
      <c r="D1285" s="190" t="n">
        <v>1</v>
      </c>
      <c r="E1285" s="190" t="n">
        <v>8</v>
      </c>
      <c r="F1285" s="190" t="n">
        <v>8</v>
      </c>
      <c r="G1285" s="190" t="n">
        <v>2.08</v>
      </c>
      <c r="H1285" s="190" t="s">
        <v>22</v>
      </c>
      <c r="I1285" s="190" t="s">
        <v>358</v>
      </c>
      <c r="J1285" s="190"/>
    </row>
    <row r="1286" customFormat="false" ht="14.25" hidden="false" customHeight="true" outlineLevel="0" collapsed="false">
      <c r="A1286" s="190" t="s">
        <v>5076</v>
      </c>
      <c r="B1286" s="190" t="s">
        <v>5077</v>
      </c>
      <c r="C1286" s="190" t="s">
        <v>850</v>
      </c>
      <c r="D1286" s="190" t="n">
        <v>1</v>
      </c>
      <c r="E1286" s="190" t="n">
        <v>6</v>
      </c>
      <c r="F1286" s="190" t="n">
        <v>8</v>
      </c>
      <c r="G1286" s="190" t="n">
        <v>2.03</v>
      </c>
      <c r="H1286" s="190" t="s">
        <v>22</v>
      </c>
      <c r="I1286" s="190" t="s">
        <v>358</v>
      </c>
      <c r="J1286" s="190"/>
    </row>
    <row r="1287" customFormat="false" ht="14.25" hidden="false" customHeight="true" outlineLevel="0" collapsed="false">
      <c r="A1287" s="190" t="s">
        <v>5078</v>
      </c>
      <c r="B1287" s="190" t="s">
        <v>5079</v>
      </c>
      <c r="C1287" s="190" t="s">
        <v>851</v>
      </c>
      <c r="D1287" s="190" t="n">
        <v>1</v>
      </c>
      <c r="E1287" s="190" t="n">
        <v>6</v>
      </c>
      <c r="F1287" s="190" t="n">
        <v>9</v>
      </c>
      <c r="G1287" s="190" t="n">
        <v>3.1</v>
      </c>
      <c r="H1287" s="190" t="s">
        <v>22</v>
      </c>
      <c r="I1287" s="190" t="s">
        <v>358</v>
      </c>
      <c r="J1287" s="190"/>
    </row>
    <row r="1288" customFormat="false" ht="14.25" hidden="false" customHeight="true" outlineLevel="0" collapsed="false">
      <c r="A1288" s="190" t="s">
        <v>5080</v>
      </c>
      <c r="B1288" s="190" t="s">
        <v>5081</v>
      </c>
      <c r="C1288" s="190" t="s">
        <v>852</v>
      </c>
      <c r="D1288" s="190" t="n">
        <v>1</v>
      </c>
      <c r="E1288" s="190" t="n">
        <v>4</v>
      </c>
      <c r="F1288" s="190" t="n">
        <v>8</v>
      </c>
      <c r="G1288" s="190" t="n">
        <v>2.05</v>
      </c>
      <c r="H1288" s="190" t="s">
        <v>22</v>
      </c>
      <c r="I1288" s="190" t="s">
        <v>358</v>
      </c>
      <c r="J1288" s="190"/>
    </row>
    <row r="1289" customFormat="false" ht="14.25" hidden="false" customHeight="true" outlineLevel="0" collapsed="false">
      <c r="A1289" s="190" t="s">
        <v>5082</v>
      </c>
      <c r="B1289" s="190" t="s">
        <v>5083</v>
      </c>
      <c r="C1289" s="190" t="s">
        <v>853</v>
      </c>
      <c r="D1289" s="190" t="n">
        <v>1</v>
      </c>
      <c r="E1289" s="190" t="n">
        <v>0</v>
      </c>
      <c r="F1289" s="190" t="n">
        <v>1.5</v>
      </c>
      <c r="G1289" s="190" t="n">
        <v>1.75</v>
      </c>
      <c r="H1289" s="190" t="s">
        <v>22</v>
      </c>
      <c r="I1289" s="190" t="s">
        <v>358</v>
      </c>
      <c r="J1289" s="190"/>
    </row>
    <row r="1290" customFormat="false" ht="14.25" hidden="false" customHeight="true" outlineLevel="0" collapsed="false">
      <c r="A1290" s="190" t="s">
        <v>5084</v>
      </c>
      <c r="B1290" s="190" t="s">
        <v>5085</v>
      </c>
      <c r="C1290" s="190" t="s">
        <v>854</v>
      </c>
      <c r="D1290" s="190" t="n">
        <v>1</v>
      </c>
      <c r="E1290" s="190" t="n">
        <v>0</v>
      </c>
      <c r="F1290" s="190" t="n">
        <v>2.08</v>
      </c>
      <c r="G1290" s="190" t="n">
        <v>30.8</v>
      </c>
      <c r="H1290" s="190" t="s">
        <v>22</v>
      </c>
      <c r="I1290" s="190" t="s">
        <v>358</v>
      </c>
      <c r="J1290" s="190"/>
    </row>
    <row r="1291" customFormat="false" ht="14.25" hidden="false" customHeight="true" outlineLevel="0" collapsed="false">
      <c r="A1291" s="190" t="s">
        <v>5086</v>
      </c>
      <c r="B1291" s="190" t="s">
        <v>5087</v>
      </c>
      <c r="C1291" s="190" t="s">
        <v>855</v>
      </c>
      <c r="D1291" s="190" t="n">
        <v>1</v>
      </c>
      <c r="E1291" s="190" t="n">
        <v>0</v>
      </c>
      <c r="F1291" s="190" t="n">
        <v>2.08</v>
      </c>
      <c r="G1291" s="190" t="n">
        <v>29.7</v>
      </c>
      <c r="H1291" s="190" t="s">
        <v>22</v>
      </c>
      <c r="I1291" s="190" t="s">
        <v>358</v>
      </c>
      <c r="J1291" s="190"/>
    </row>
    <row r="1292" customFormat="false" ht="14.25" hidden="false" customHeight="true" outlineLevel="0" collapsed="false">
      <c r="A1292" s="190" t="s">
        <v>5088</v>
      </c>
      <c r="B1292" s="190" t="s">
        <v>5089</v>
      </c>
      <c r="C1292" s="190" t="s">
        <v>856</v>
      </c>
      <c r="D1292" s="190" t="n">
        <v>1</v>
      </c>
      <c r="E1292" s="190" t="n">
        <v>0</v>
      </c>
      <c r="F1292" s="190" t="n">
        <v>2.08</v>
      </c>
      <c r="G1292" s="190" t="n">
        <v>30.7</v>
      </c>
      <c r="H1292" s="190" t="s">
        <v>22</v>
      </c>
      <c r="I1292" s="190" t="s">
        <v>358</v>
      </c>
      <c r="J1292" s="190"/>
    </row>
    <row r="1293" customFormat="false" ht="14.25" hidden="false" customHeight="true" outlineLevel="0" collapsed="false">
      <c r="A1293" s="190" t="s">
        <v>5090</v>
      </c>
      <c r="B1293" s="190" t="s">
        <v>5091</v>
      </c>
      <c r="C1293" s="190" t="s">
        <v>857</v>
      </c>
      <c r="D1293" s="190" t="n">
        <v>1</v>
      </c>
      <c r="E1293" s="190" t="n">
        <v>0</v>
      </c>
      <c r="F1293" s="190" t="n">
        <v>2.08</v>
      </c>
      <c r="G1293" s="190" t="n">
        <v>30.7</v>
      </c>
      <c r="H1293" s="190" t="s">
        <v>22</v>
      </c>
      <c r="I1293" s="190" t="s">
        <v>358</v>
      </c>
      <c r="J1293" s="190"/>
    </row>
    <row r="1294" customFormat="false" ht="14.25" hidden="false" customHeight="true" outlineLevel="0" collapsed="false">
      <c r="A1294" s="190" t="s">
        <v>5092</v>
      </c>
      <c r="B1294" s="190" t="s">
        <v>5093</v>
      </c>
      <c r="C1294" s="190" t="s">
        <v>5094</v>
      </c>
      <c r="D1294" s="190" t="n">
        <v>1</v>
      </c>
      <c r="E1294" s="190" t="n">
        <v>8</v>
      </c>
      <c r="F1294" s="190" t="n">
        <v>24.1</v>
      </c>
      <c r="G1294" s="190" t="n">
        <v>99</v>
      </c>
      <c r="H1294" s="190" t="s">
        <v>22</v>
      </c>
      <c r="I1294" s="190" t="s">
        <v>2036</v>
      </c>
      <c r="J1294" s="190"/>
    </row>
    <row r="1295" customFormat="false" ht="14.25" hidden="false" customHeight="true" outlineLevel="0" collapsed="false">
      <c r="A1295" s="190" t="s">
        <v>5095</v>
      </c>
      <c r="B1295" s="190" t="s">
        <v>5096</v>
      </c>
      <c r="C1295" s="190" t="s">
        <v>5097</v>
      </c>
      <c r="D1295" s="190" t="n">
        <v>1</v>
      </c>
      <c r="E1295" s="190" t="n">
        <v>8</v>
      </c>
      <c r="F1295" s="190" t="n">
        <v>116.6</v>
      </c>
      <c r="G1295" s="190" t="n">
        <v>541.5</v>
      </c>
      <c r="H1295" s="190" t="s">
        <v>22</v>
      </c>
      <c r="I1295" s="190" t="s">
        <v>2036</v>
      </c>
      <c r="J1295" s="190"/>
    </row>
    <row r="1296" customFormat="false" ht="14.25" hidden="false" customHeight="true" outlineLevel="0" collapsed="false">
      <c r="A1296" s="190" t="s">
        <v>5098</v>
      </c>
      <c r="B1296" s="190" t="s">
        <v>5099</v>
      </c>
      <c r="C1296" s="190" t="s">
        <v>5100</v>
      </c>
      <c r="D1296" s="190" t="n">
        <v>1</v>
      </c>
      <c r="E1296" s="190" t="n">
        <v>8</v>
      </c>
      <c r="F1296" s="190" t="n">
        <v>29.7</v>
      </c>
      <c r="G1296" s="190" t="n">
        <v>557</v>
      </c>
      <c r="H1296" s="190" t="s">
        <v>22</v>
      </c>
      <c r="I1296" s="190" t="s">
        <v>2036</v>
      </c>
      <c r="J1296" s="190"/>
    </row>
    <row r="1297" customFormat="false" ht="14.25" hidden="false" customHeight="true" outlineLevel="0" collapsed="false">
      <c r="A1297" s="190" t="s">
        <v>5101</v>
      </c>
      <c r="B1297" s="190" t="s">
        <v>5102</v>
      </c>
      <c r="C1297" s="190" t="s">
        <v>5103</v>
      </c>
      <c r="D1297" s="190" t="n">
        <v>1</v>
      </c>
      <c r="E1297" s="190" t="n">
        <v>3</v>
      </c>
      <c r="F1297" s="190" t="n">
        <v>27.2</v>
      </c>
      <c r="G1297" s="190" t="n">
        <v>486.4</v>
      </c>
      <c r="H1297" s="190" t="s">
        <v>22</v>
      </c>
      <c r="I1297" s="190" t="s">
        <v>2036</v>
      </c>
      <c r="J1297" s="190"/>
    </row>
    <row r="1298" customFormat="false" ht="14.25" hidden="false" customHeight="true" outlineLevel="0" collapsed="false">
      <c r="A1298" s="190" t="s">
        <v>5104</v>
      </c>
      <c r="B1298" s="190" t="s">
        <v>5105</v>
      </c>
      <c r="C1298" s="190" t="s">
        <v>5106</v>
      </c>
      <c r="D1298" s="190" t="n">
        <v>1</v>
      </c>
      <c r="E1298" s="190" t="n">
        <v>4</v>
      </c>
      <c r="F1298" s="190" t="n">
        <v>35.5</v>
      </c>
      <c r="G1298" s="190" t="n">
        <v>482.4</v>
      </c>
      <c r="H1298" s="190" t="s">
        <v>22</v>
      </c>
      <c r="I1298" s="190" t="s">
        <v>2036</v>
      </c>
      <c r="J1298" s="190"/>
    </row>
    <row r="1299" customFormat="false" ht="14.25" hidden="false" customHeight="true" outlineLevel="0" collapsed="false">
      <c r="A1299" s="190" t="s">
        <v>5107</v>
      </c>
      <c r="B1299" s="190" t="s">
        <v>5108</v>
      </c>
      <c r="C1299" s="190" t="s">
        <v>5109</v>
      </c>
      <c r="D1299" s="190" t="n">
        <v>1</v>
      </c>
      <c r="E1299" s="190" t="n">
        <v>2</v>
      </c>
      <c r="F1299" s="190" t="n">
        <v>2</v>
      </c>
      <c r="G1299" s="190" t="n">
        <v>2</v>
      </c>
      <c r="H1299" s="190" t="s">
        <v>22</v>
      </c>
      <c r="I1299" s="190" t="s">
        <v>2036</v>
      </c>
      <c r="J1299" s="190"/>
    </row>
    <row r="1300" customFormat="false" ht="14.25" hidden="false" customHeight="true" outlineLevel="0" collapsed="false">
      <c r="A1300" s="190" t="s">
        <v>5110</v>
      </c>
      <c r="B1300" s="190" t="s">
        <v>5111</v>
      </c>
      <c r="C1300" s="190" t="s">
        <v>5112</v>
      </c>
      <c r="D1300" s="190" t="n">
        <v>1</v>
      </c>
      <c r="E1300" s="190" t="n">
        <v>3</v>
      </c>
      <c r="F1300" s="190" t="n">
        <v>4.25</v>
      </c>
      <c r="G1300" s="190" t="n">
        <v>249.5</v>
      </c>
      <c r="H1300" s="190" t="s">
        <v>22</v>
      </c>
      <c r="I1300" s="190" t="s">
        <v>2036</v>
      </c>
      <c r="J1300" s="190"/>
    </row>
    <row r="1301" customFormat="false" ht="14.25" hidden="false" customHeight="true" outlineLevel="0" collapsed="false">
      <c r="A1301" s="190" t="s">
        <v>5113</v>
      </c>
      <c r="B1301" s="190" t="s">
        <v>5114</v>
      </c>
      <c r="C1301" s="190" t="s">
        <v>5115</v>
      </c>
      <c r="D1301" s="190" t="n">
        <v>1</v>
      </c>
      <c r="E1301" s="190" t="n">
        <v>5.5</v>
      </c>
      <c r="F1301" s="190" t="n">
        <v>109.8</v>
      </c>
      <c r="G1301" s="190" t="n">
        <v>514</v>
      </c>
      <c r="H1301" s="190" t="s">
        <v>22</v>
      </c>
      <c r="I1301" s="190" t="s">
        <v>2036</v>
      </c>
      <c r="J1301" s="190"/>
    </row>
    <row r="1302" customFormat="false" ht="14.25" hidden="false" customHeight="true" outlineLevel="0" collapsed="false">
      <c r="A1302" s="190" t="s">
        <v>5116</v>
      </c>
      <c r="B1302" s="190" t="s">
        <v>5117</v>
      </c>
      <c r="C1302" s="190" t="s">
        <v>5118</v>
      </c>
      <c r="D1302" s="190" t="n">
        <v>1</v>
      </c>
      <c r="E1302" s="190" t="n">
        <v>4</v>
      </c>
      <c r="F1302" s="190" t="n">
        <v>10.25</v>
      </c>
      <c r="G1302" s="190" t="n">
        <v>385.8</v>
      </c>
      <c r="H1302" s="190" t="s">
        <v>22</v>
      </c>
      <c r="I1302" s="190" t="s">
        <v>38</v>
      </c>
      <c r="J1302" s="190"/>
    </row>
    <row r="1303" customFormat="false" ht="14.25" hidden="false" customHeight="true" outlineLevel="0" collapsed="false">
      <c r="A1303" s="190" t="s">
        <v>5119</v>
      </c>
      <c r="B1303" s="190" t="s">
        <v>5120</v>
      </c>
      <c r="C1303" s="190" t="s">
        <v>5121</v>
      </c>
      <c r="D1303" s="190" t="n">
        <v>1</v>
      </c>
      <c r="E1303" s="190" t="n">
        <v>8</v>
      </c>
      <c r="F1303" s="190" t="n">
        <v>1</v>
      </c>
      <c r="G1303" s="190" t="n">
        <v>0.62</v>
      </c>
      <c r="H1303" s="190" t="s">
        <v>22</v>
      </c>
      <c r="I1303" s="190" t="s">
        <v>2538</v>
      </c>
      <c r="J1303" s="190"/>
    </row>
    <row r="1304" customFormat="false" ht="14.25" hidden="false" customHeight="true" outlineLevel="0" collapsed="false">
      <c r="A1304" s="190" t="s">
        <v>5122</v>
      </c>
      <c r="B1304" s="190" t="s">
        <v>5123</v>
      </c>
      <c r="C1304" s="190" t="s">
        <v>5124</v>
      </c>
      <c r="D1304" s="190" t="n">
        <v>1</v>
      </c>
      <c r="E1304" s="190" t="n">
        <v>0</v>
      </c>
      <c r="F1304" s="190" t="n">
        <v>10.17</v>
      </c>
      <c r="G1304" s="190" t="n">
        <v>404.2</v>
      </c>
      <c r="H1304" s="190" t="s">
        <v>22</v>
      </c>
      <c r="I1304" s="190" t="s">
        <v>2538</v>
      </c>
      <c r="J1304" s="190"/>
    </row>
    <row r="1305" customFormat="false" ht="14.25" hidden="false" customHeight="true" outlineLevel="0" collapsed="false">
      <c r="A1305" s="190" t="s">
        <v>5125</v>
      </c>
      <c r="B1305" s="190" t="s">
        <v>5126</v>
      </c>
      <c r="C1305" s="190" t="s">
        <v>862</v>
      </c>
      <c r="D1305" s="190" t="n">
        <v>1</v>
      </c>
      <c r="E1305" s="190" t="n">
        <v>5</v>
      </c>
      <c r="F1305" s="190" t="n">
        <v>5</v>
      </c>
      <c r="G1305" s="190" t="n">
        <v>86.1</v>
      </c>
      <c r="H1305" s="190" t="s">
        <v>22</v>
      </c>
      <c r="I1305" s="190" t="n">
        <v>25</v>
      </c>
      <c r="J1305" s="190"/>
    </row>
    <row r="1306" customFormat="false" ht="14.25" hidden="false" customHeight="true" outlineLevel="0" collapsed="false">
      <c r="A1306" s="190" t="s">
        <v>5127</v>
      </c>
      <c r="B1306" s="190" t="s">
        <v>5128</v>
      </c>
      <c r="C1306" s="190" t="s">
        <v>865</v>
      </c>
      <c r="D1306" s="190" t="n">
        <v>1</v>
      </c>
      <c r="E1306" s="190" t="n">
        <v>2</v>
      </c>
      <c r="F1306" s="190" t="n">
        <v>2</v>
      </c>
      <c r="G1306" s="190" t="n">
        <v>2</v>
      </c>
      <c r="H1306" s="190" t="s">
        <v>22</v>
      </c>
      <c r="I1306" s="190" t="s">
        <v>358</v>
      </c>
      <c r="J1306" s="190"/>
    </row>
    <row r="1307" customFormat="false" ht="14.25" hidden="false" customHeight="true" outlineLevel="0" collapsed="false">
      <c r="A1307" s="190" t="s">
        <v>5129</v>
      </c>
      <c r="B1307" s="190" t="s">
        <v>5130</v>
      </c>
      <c r="C1307" s="190" t="s">
        <v>866</v>
      </c>
      <c r="D1307" s="190" t="n">
        <v>1</v>
      </c>
      <c r="E1307" s="190" t="n">
        <v>0</v>
      </c>
      <c r="F1307" s="190" t="n">
        <v>20</v>
      </c>
      <c r="G1307" s="190" t="n">
        <v>697.6</v>
      </c>
      <c r="H1307" s="190" t="s">
        <v>22</v>
      </c>
      <c r="I1307" s="190" t="s">
        <v>121</v>
      </c>
      <c r="J1307" s="190"/>
    </row>
    <row r="1308" customFormat="false" ht="14.25" hidden="false" customHeight="true" outlineLevel="0" collapsed="false">
      <c r="A1308" s="190" t="s">
        <v>5131</v>
      </c>
      <c r="B1308" s="190" t="s">
        <v>5132</v>
      </c>
      <c r="C1308" s="190" t="s">
        <v>867</v>
      </c>
      <c r="D1308" s="190" t="n">
        <v>1</v>
      </c>
      <c r="E1308" s="190" t="n">
        <v>0</v>
      </c>
      <c r="F1308" s="190" t="n">
        <v>16</v>
      </c>
      <c r="G1308" s="190" t="n">
        <v>697.4</v>
      </c>
      <c r="H1308" s="190" t="s">
        <v>22</v>
      </c>
      <c r="I1308" s="190" t="s">
        <v>121</v>
      </c>
      <c r="J1308" s="190"/>
    </row>
    <row r="1309" customFormat="false" ht="14.25" hidden="false" customHeight="true" outlineLevel="0" collapsed="false">
      <c r="A1309" s="190" t="s">
        <v>5133</v>
      </c>
      <c r="B1309" s="190" t="s">
        <v>5134</v>
      </c>
      <c r="C1309" s="190" t="s">
        <v>868</v>
      </c>
      <c r="D1309" s="190" t="n">
        <v>1</v>
      </c>
      <c r="E1309" s="190" t="n">
        <v>0</v>
      </c>
      <c r="F1309" s="190" t="n">
        <v>6.67</v>
      </c>
      <c r="G1309" s="190" t="n">
        <v>10.67</v>
      </c>
      <c r="H1309" s="190" t="s">
        <v>22</v>
      </c>
      <c r="I1309" s="190" t="n">
        <v>25</v>
      </c>
      <c r="J1309" s="190"/>
    </row>
    <row r="1310" customFormat="false" ht="14.25" hidden="false" customHeight="true" outlineLevel="0" collapsed="false">
      <c r="A1310" s="190" t="s">
        <v>5135</v>
      </c>
      <c r="B1310" s="190" t="s">
        <v>5136</v>
      </c>
      <c r="C1310" s="190" t="s">
        <v>5137</v>
      </c>
      <c r="D1310" s="190" t="n">
        <v>1</v>
      </c>
      <c r="E1310" s="190" t="n">
        <v>0</v>
      </c>
      <c r="F1310" s="190" t="n">
        <v>62.8</v>
      </c>
      <c r="G1310" s="190" t="n">
        <v>96.2</v>
      </c>
      <c r="H1310" s="190" t="s">
        <v>22</v>
      </c>
      <c r="I1310" s="190" t="s">
        <v>5138</v>
      </c>
      <c r="J1310" s="190"/>
    </row>
    <row r="1311" customFormat="false" ht="14.25" hidden="false" customHeight="true" outlineLevel="0" collapsed="false">
      <c r="A1311" s="190" t="s">
        <v>5139</v>
      </c>
      <c r="B1311" s="190" t="s">
        <v>5140</v>
      </c>
      <c r="C1311" s="190" t="s">
        <v>876</v>
      </c>
      <c r="D1311" s="190" t="n">
        <v>1</v>
      </c>
      <c r="E1311" s="190" t="n">
        <v>0</v>
      </c>
      <c r="F1311" s="190" t="n">
        <v>1</v>
      </c>
      <c r="G1311" s="190" t="n">
        <v>1</v>
      </c>
      <c r="H1311" s="190" t="s">
        <v>22</v>
      </c>
      <c r="I1311" s="190" t="s">
        <v>177</v>
      </c>
      <c r="J1311" s="190"/>
    </row>
    <row r="1312" customFormat="false" ht="14.25" hidden="false" customHeight="true" outlineLevel="0" collapsed="false">
      <c r="A1312" s="190" t="s">
        <v>5141</v>
      </c>
      <c r="B1312" s="190" t="s">
        <v>5142</v>
      </c>
      <c r="C1312" s="190" t="s">
        <v>877</v>
      </c>
      <c r="D1312" s="190" t="n">
        <v>1</v>
      </c>
      <c r="E1312" s="190" t="n">
        <v>0</v>
      </c>
      <c r="F1312" s="190" t="n">
        <v>1</v>
      </c>
      <c r="G1312" s="190" t="n">
        <v>1</v>
      </c>
      <c r="H1312" s="190" t="s">
        <v>22</v>
      </c>
      <c r="I1312" s="190" t="s">
        <v>177</v>
      </c>
      <c r="J1312" s="190"/>
    </row>
    <row r="1313" customFormat="false" ht="14.25" hidden="false" customHeight="true" outlineLevel="0" collapsed="false">
      <c r="A1313" s="190" t="s">
        <v>5143</v>
      </c>
      <c r="B1313" s="190" t="s">
        <v>5144</v>
      </c>
      <c r="C1313" s="190" t="s">
        <v>878</v>
      </c>
      <c r="D1313" s="190" t="n">
        <v>1</v>
      </c>
      <c r="E1313" s="190" t="n">
        <v>0</v>
      </c>
      <c r="F1313" s="190" t="n">
        <v>1</v>
      </c>
      <c r="G1313" s="190" t="n">
        <v>1</v>
      </c>
      <c r="H1313" s="190" t="s">
        <v>22</v>
      </c>
      <c r="I1313" s="190" t="s">
        <v>177</v>
      </c>
      <c r="J1313" s="190"/>
    </row>
    <row r="1314" customFormat="false" ht="14.25" hidden="false" customHeight="true" outlineLevel="0" collapsed="false">
      <c r="A1314" s="190" t="s">
        <v>5145</v>
      </c>
      <c r="B1314" s="190" t="s">
        <v>5146</v>
      </c>
      <c r="C1314" s="190" t="s">
        <v>5147</v>
      </c>
      <c r="D1314" s="190" t="n">
        <v>1</v>
      </c>
      <c r="E1314" s="190" t="n">
        <v>0</v>
      </c>
      <c r="F1314" s="190" t="n">
        <v>55.8</v>
      </c>
      <c r="G1314" s="190" t="n">
        <v>564.6</v>
      </c>
      <c r="H1314" s="190" t="s">
        <v>22</v>
      </c>
      <c r="I1314" s="190" t="s">
        <v>38</v>
      </c>
      <c r="J1314" s="190"/>
    </row>
    <row r="1315" customFormat="false" ht="14.25" hidden="false" customHeight="true" outlineLevel="0" collapsed="false">
      <c r="A1315" s="190" t="s">
        <v>5148</v>
      </c>
      <c r="B1315" s="190" t="s">
        <v>5149</v>
      </c>
      <c r="C1315" s="190" t="s">
        <v>5150</v>
      </c>
      <c r="D1315" s="190" t="n">
        <v>1</v>
      </c>
      <c r="E1315" s="190" t="n">
        <v>0</v>
      </c>
      <c r="F1315" s="190" t="n">
        <v>6.83</v>
      </c>
      <c r="G1315" s="190" t="n">
        <v>61.3</v>
      </c>
      <c r="H1315" s="190" t="s">
        <v>22</v>
      </c>
      <c r="I1315" s="190" t="s">
        <v>584</v>
      </c>
      <c r="J1315" s="190"/>
    </row>
    <row r="1316" customFormat="false" ht="14.25" hidden="false" customHeight="true" outlineLevel="0" collapsed="false">
      <c r="A1316" s="190" t="s">
        <v>5151</v>
      </c>
      <c r="B1316" s="190" t="s">
        <v>5152</v>
      </c>
      <c r="C1316" s="190" t="s">
        <v>5153</v>
      </c>
      <c r="D1316" s="190" t="n">
        <v>1</v>
      </c>
      <c r="E1316" s="190" t="n">
        <v>19</v>
      </c>
      <c r="F1316" s="190" t="n">
        <v>13</v>
      </c>
      <c r="G1316" s="190" t="n">
        <v>6.52</v>
      </c>
      <c r="H1316" s="190" t="s">
        <v>22</v>
      </c>
      <c r="I1316" s="190" t="s">
        <v>2363</v>
      </c>
      <c r="J1316" s="190"/>
    </row>
    <row r="1317" customFormat="false" ht="14.25" hidden="false" customHeight="true" outlineLevel="0" collapsed="false">
      <c r="A1317" s="190" t="s">
        <v>5154</v>
      </c>
      <c r="B1317" s="190" t="s">
        <v>5155</v>
      </c>
      <c r="C1317" s="190" t="s">
        <v>5156</v>
      </c>
      <c r="D1317" s="190" t="n">
        <v>1</v>
      </c>
      <c r="E1317" s="190" t="n">
        <v>8</v>
      </c>
      <c r="F1317" s="190" t="n">
        <v>4.25</v>
      </c>
      <c r="G1317" s="190" t="n">
        <v>2</v>
      </c>
      <c r="H1317" s="190" t="s">
        <v>22</v>
      </c>
      <c r="I1317" s="190" t="s">
        <v>3915</v>
      </c>
      <c r="J1317" s="190"/>
    </row>
    <row r="1318" customFormat="false" ht="14.25" hidden="false" customHeight="true" outlineLevel="0" collapsed="false">
      <c r="A1318" s="190" t="s">
        <v>5157</v>
      </c>
      <c r="B1318" s="190" t="s">
        <v>5158</v>
      </c>
      <c r="C1318" s="190" t="s">
        <v>5159</v>
      </c>
      <c r="D1318" s="190" t="n">
        <v>1</v>
      </c>
      <c r="E1318" s="190" t="n">
        <v>6</v>
      </c>
      <c r="F1318" s="190" t="n">
        <v>12.33</v>
      </c>
      <c r="G1318" s="190" t="n">
        <v>167</v>
      </c>
      <c r="H1318" s="190" t="s">
        <v>22</v>
      </c>
      <c r="I1318" s="190" t="s">
        <v>2363</v>
      </c>
      <c r="J1318" s="190"/>
    </row>
    <row r="1319" customFormat="false" ht="14.25" hidden="false" customHeight="true" outlineLevel="0" collapsed="false">
      <c r="A1319" s="190" t="s">
        <v>5160</v>
      </c>
      <c r="B1319" s="190" t="s">
        <v>5161</v>
      </c>
      <c r="C1319" s="190" t="s">
        <v>5162</v>
      </c>
      <c r="D1319" s="190" t="n">
        <v>1</v>
      </c>
      <c r="E1319" s="190" t="n">
        <v>6</v>
      </c>
      <c r="F1319" s="190" t="n">
        <v>8.33</v>
      </c>
      <c r="G1319" s="190" t="n">
        <v>165.4</v>
      </c>
      <c r="H1319" s="190" t="s">
        <v>22</v>
      </c>
      <c r="I1319" s="190" t="s">
        <v>2363</v>
      </c>
      <c r="J1319" s="190"/>
    </row>
    <row r="1320" customFormat="false" ht="14.25" hidden="false" customHeight="true" outlineLevel="0" collapsed="false">
      <c r="A1320" s="190" t="s">
        <v>5163</v>
      </c>
      <c r="B1320" s="190" t="s">
        <v>5164</v>
      </c>
      <c r="C1320" s="190" t="s">
        <v>5165</v>
      </c>
      <c r="D1320" s="190" t="n">
        <v>1</v>
      </c>
      <c r="E1320" s="190" t="n">
        <v>0</v>
      </c>
      <c r="F1320" s="190" t="n">
        <v>38.8</v>
      </c>
      <c r="G1320" s="190" t="n">
        <v>451</v>
      </c>
      <c r="H1320" s="190" t="s">
        <v>22</v>
      </c>
      <c r="I1320" s="190" t="s">
        <v>2363</v>
      </c>
      <c r="J1320" s="190"/>
    </row>
    <row r="1321" customFormat="false" ht="14.25" hidden="false" customHeight="true" outlineLevel="0" collapsed="false">
      <c r="A1321" s="190" t="s">
        <v>5166</v>
      </c>
      <c r="B1321" s="190" t="s">
        <v>5167</v>
      </c>
      <c r="C1321" s="190" t="s">
        <v>5168</v>
      </c>
      <c r="D1321" s="190" t="n">
        <v>1</v>
      </c>
      <c r="E1321" s="190" t="n">
        <v>0</v>
      </c>
      <c r="F1321" s="190" t="n">
        <v>23.33</v>
      </c>
      <c r="G1321" s="190" t="n">
        <v>454</v>
      </c>
      <c r="H1321" s="190" t="s">
        <v>22</v>
      </c>
      <c r="I1321" s="190" t="s">
        <v>2363</v>
      </c>
      <c r="J1321" s="190"/>
    </row>
    <row r="1322" customFormat="false" ht="14.25" hidden="false" customHeight="true" outlineLevel="0" collapsed="false">
      <c r="A1322" s="190" t="s">
        <v>5169</v>
      </c>
      <c r="B1322" s="190" t="s">
        <v>5170</v>
      </c>
      <c r="C1322" s="190" t="s">
        <v>5171</v>
      </c>
      <c r="D1322" s="190" t="n">
        <v>1</v>
      </c>
      <c r="E1322" s="190" t="n">
        <v>0</v>
      </c>
      <c r="F1322" s="190" t="n">
        <v>19.33</v>
      </c>
      <c r="G1322" s="190" t="n">
        <v>455.5</v>
      </c>
      <c r="H1322" s="190" t="s">
        <v>22</v>
      </c>
      <c r="I1322" s="190" t="s">
        <v>2363</v>
      </c>
      <c r="J1322" s="190"/>
    </row>
    <row r="1323" customFormat="false" ht="14.25" hidden="false" customHeight="true" outlineLevel="0" collapsed="false">
      <c r="A1323" s="190" t="s">
        <v>5172</v>
      </c>
      <c r="B1323" s="190" t="s">
        <v>5173</v>
      </c>
      <c r="C1323" s="190" t="s">
        <v>5174</v>
      </c>
      <c r="D1323" s="190" t="n">
        <v>1</v>
      </c>
      <c r="E1323" s="190" t="n">
        <v>6</v>
      </c>
      <c r="F1323" s="190" t="n">
        <v>21.3</v>
      </c>
      <c r="G1323" s="190" t="n">
        <v>39</v>
      </c>
      <c r="H1323" s="190" t="s">
        <v>22</v>
      </c>
      <c r="I1323" s="190" t="s">
        <v>2363</v>
      </c>
      <c r="J1323" s="190"/>
    </row>
    <row r="1324" customFormat="false" ht="14.25" hidden="false" customHeight="true" outlineLevel="0" collapsed="false">
      <c r="A1324" s="190" t="s">
        <v>5175</v>
      </c>
      <c r="B1324" s="190" t="s">
        <v>5176</v>
      </c>
      <c r="C1324" s="190" t="s">
        <v>5177</v>
      </c>
      <c r="D1324" s="190" t="n">
        <v>1</v>
      </c>
      <c r="E1324" s="190" t="n">
        <v>6</v>
      </c>
      <c r="F1324" s="190" t="n">
        <v>16.65</v>
      </c>
      <c r="G1324" s="190" t="n">
        <v>252.7</v>
      </c>
      <c r="H1324" s="190" t="s">
        <v>22</v>
      </c>
      <c r="I1324" s="190" t="s">
        <v>2363</v>
      </c>
      <c r="J1324" s="190"/>
    </row>
    <row r="1325" customFormat="false" ht="14.25" hidden="false" customHeight="true" outlineLevel="0" collapsed="false">
      <c r="A1325" s="190" t="s">
        <v>5178</v>
      </c>
      <c r="B1325" s="190" t="s">
        <v>5179</v>
      </c>
      <c r="C1325" s="190" t="s">
        <v>885</v>
      </c>
      <c r="D1325" s="190" t="n">
        <v>1</v>
      </c>
      <c r="E1325" s="190" t="n">
        <v>24</v>
      </c>
      <c r="F1325" s="190" t="n">
        <v>24</v>
      </c>
      <c r="G1325" s="190" t="n">
        <v>8.02</v>
      </c>
      <c r="H1325" s="190" t="s">
        <v>22</v>
      </c>
      <c r="I1325" s="190" t="s">
        <v>358</v>
      </c>
      <c r="J1325" s="190"/>
    </row>
    <row r="1326" customFormat="false" ht="14.25" hidden="false" customHeight="true" outlineLevel="0" collapsed="false">
      <c r="A1326" s="190" t="s">
        <v>5180</v>
      </c>
      <c r="B1326" s="190" t="s">
        <v>5181</v>
      </c>
      <c r="C1326" s="190" t="s">
        <v>886</v>
      </c>
      <c r="D1326" s="190" t="n">
        <v>1</v>
      </c>
      <c r="E1326" s="190" t="n">
        <v>12</v>
      </c>
      <c r="F1326" s="190" t="n">
        <v>12</v>
      </c>
      <c r="G1326" s="190" t="n">
        <v>61.4</v>
      </c>
      <c r="H1326" s="190" t="s">
        <v>22</v>
      </c>
      <c r="I1326" s="190" t="s">
        <v>358</v>
      </c>
      <c r="J1326" s="190"/>
    </row>
    <row r="1327" customFormat="false" ht="14.25" hidden="false" customHeight="true" outlineLevel="0" collapsed="false">
      <c r="A1327" s="190" t="s">
        <v>5182</v>
      </c>
      <c r="B1327" s="190" t="s">
        <v>5183</v>
      </c>
      <c r="C1327" s="190" t="s">
        <v>5184</v>
      </c>
      <c r="D1327" s="190" t="n">
        <v>1</v>
      </c>
      <c r="E1327" s="190" t="n">
        <v>0</v>
      </c>
      <c r="F1327" s="190" t="n">
        <v>7</v>
      </c>
      <c r="G1327" s="190" t="n">
        <v>2.92</v>
      </c>
      <c r="H1327" s="190" t="s">
        <v>22</v>
      </c>
      <c r="I1327" s="190" t="s">
        <v>2043</v>
      </c>
      <c r="J1327" s="190"/>
    </row>
    <row r="1328" customFormat="false" ht="14.25" hidden="false" customHeight="true" outlineLevel="0" collapsed="false">
      <c r="A1328" s="190" t="s">
        <v>5185</v>
      </c>
      <c r="B1328" s="190" t="s">
        <v>5186</v>
      </c>
      <c r="C1328" s="190" t="s">
        <v>5187</v>
      </c>
      <c r="D1328" s="190" t="n">
        <v>1</v>
      </c>
      <c r="E1328" s="190" t="n">
        <v>0</v>
      </c>
      <c r="F1328" s="190" t="n">
        <v>5</v>
      </c>
      <c r="G1328" s="190" t="n">
        <v>8.43</v>
      </c>
      <c r="H1328" s="190" t="s">
        <v>22</v>
      </c>
      <c r="I1328" s="190" t="s">
        <v>3979</v>
      </c>
      <c r="J1328" s="190"/>
    </row>
    <row r="1329" customFormat="false" ht="14.25" hidden="false" customHeight="true" outlineLevel="0" collapsed="false">
      <c r="A1329" s="190" t="s">
        <v>5188</v>
      </c>
      <c r="B1329" s="190" t="s">
        <v>5189</v>
      </c>
      <c r="C1329" s="190" t="s">
        <v>5190</v>
      </c>
      <c r="D1329" s="190" t="n">
        <v>1</v>
      </c>
      <c r="E1329" s="190" t="n">
        <v>0</v>
      </c>
      <c r="F1329" s="190" t="n">
        <v>4.58</v>
      </c>
      <c r="G1329" s="190" t="n">
        <v>458.6</v>
      </c>
      <c r="H1329" s="190" t="s">
        <v>22</v>
      </c>
      <c r="I1329" s="190" t="s">
        <v>3979</v>
      </c>
      <c r="J1329" s="190"/>
    </row>
    <row r="1330" customFormat="false" ht="14.25" hidden="false" customHeight="true" outlineLevel="0" collapsed="false">
      <c r="A1330" s="190" t="s">
        <v>5191</v>
      </c>
      <c r="B1330" s="190" t="s">
        <v>5192</v>
      </c>
      <c r="C1330" s="190" t="s">
        <v>5193</v>
      </c>
      <c r="D1330" s="190" t="n">
        <v>1</v>
      </c>
      <c r="E1330" s="190" t="n">
        <v>0</v>
      </c>
      <c r="F1330" s="190" t="n">
        <v>4.08</v>
      </c>
      <c r="G1330" s="190" t="n">
        <v>2.43</v>
      </c>
      <c r="H1330" s="190" t="s">
        <v>22</v>
      </c>
      <c r="I1330" s="190" t="s">
        <v>2043</v>
      </c>
      <c r="J1330" s="190"/>
    </row>
    <row r="1331" customFormat="false" ht="14.25" hidden="false" customHeight="true" outlineLevel="0" collapsed="false">
      <c r="A1331" s="190" t="s">
        <v>5194</v>
      </c>
      <c r="B1331" s="190" t="s">
        <v>5195</v>
      </c>
      <c r="C1331" s="190" t="s">
        <v>888</v>
      </c>
      <c r="D1331" s="190" t="n">
        <v>1</v>
      </c>
      <c r="E1331" s="190" t="n">
        <v>2</v>
      </c>
      <c r="F1331" s="190" t="n">
        <v>2</v>
      </c>
      <c r="G1331" s="190" t="n">
        <v>184.9</v>
      </c>
      <c r="H1331" s="190" t="s">
        <v>22</v>
      </c>
      <c r="I1331" s="190" t="s">
        <v>358</v>
      </c>
      <c r="J1331" s="190"/>
    </row>
    <row r="1332" customFormat="false" ht="14.25" hidden="false" customHeight="true" outlineLevel="0" collapsed="false">
      <c r="A1332" s="190" t="s">
        <v>5196</v>
      </c>
      <c r="B1332" s="190" t="s">
        <v>5197</v>
      </c>
      <c r="C1332" s="190" t="s">
        <v>5198</v>
      </c>
      <c r="D1332" s="190" t="n">
        <v>1</v>
      </c>
      <c r="E1332" s="190" t="n">
        <v>14.5</v>
      </c>
      <c r="F1332" s="190" t="n">
        <v>16.5</v>
      </c>
      <c r="G1332" s="190" t="n">
        <v>338</v>
      </c>
      <c r="H1332" s="190" t="s">
        <v>22</v>
      </c>
      <c r="I1332" s="190" t="s">
        <v>146</v>
      </c>
      <c r="J1332" s="190"/>
    </row>
    <row r="1333" customFormat="false" ht="14.25" hidden="false" customHeight="true" outlineLevel="0" collapsed="false">
      <c r="A1333" s="190" t="s">
        <v>5199</v>
      </c>
      <c r="B1333" s="190" t="s">
        <v>5200</v>
      </c>
      <c r="C1333" s="190" t="s">
        <v>5201</v>
      </c>
      <c r="D1333" s="190" t="n">
        <v>1</v>
      </c>
      <c r="E1333" s="190" t="n">
        <v>9</v>
      </c>
      <c r="F1333" s="190" t="n">
        <v>9</v>
      </c>
      <c r="G1333" s="190" t="n">
        <v>3.02</v>
      </c>
      <c r="H1333" s="190" t="s">
        <v>22</v>
      </c>
      <c r="I1333" s="190" t="s">
        <v>146</v>
      </c>
      <c r="J1333" s="190"/>
    </row>
    <row r="1334" customFormat="false" ht="14.25" hidden="false" customHeight="true" outlineLevel="0" collapsed="false">
      <c r="A1334" s="190" t="s">
        <v>5202</v>
      </c>
      <c r="B1334" s="190" t="s">
        <v>5203</v>
      </c>
      <c r="C1334" s="190" t="s">
        <v>5204</v>
      </c>
      <c r="D1334" s="190" t="n">
        <v>1</v>
      </c>
      <c r="E1334" s="190" t="n">
        <v>0</v>
      </c>
      <c r="F1334" s="190" t="n">
        <v>12.33</v>
      </c>
      <c r="G1334" s="190" t="n">
        <v>69.8</v>
      </c>
      <c r="H1334" s="190" t="s">
        <v>22</v>
      </c>
      <c r="I1334" s="190" t="s">
        <v>5205</v>
      </c>
      <c r="J1334" s="190"/>
    </row>
    <row r="1335" customFormat="false" ht="14.25" hidden="false" customHeight="true" outlineLevel="0" collapsed="false">
      <c r="A1335" s="190" t="s">
        <v>5206</v>
      </c>
      <c r="B1335" s="190" t="s">
        <v>5207</v>
      </c>
      <c r="C1335" s="190" t="s">
        <v>5208</v>
      </c>
      <c r="D1335" s="190" t="n">
        <v>1</v>
      </c>
      <c r="E1335" s="190" t="n">
        <v>0</v>
      </c>
      <c r="F1335" s="190" t="n">
        <v>7.17</v>
      </c>
      <c r="G1335" s="190" t="n">
        <v>63</v>
      </c>
      <c r="H1335" s="190" t="s">
        <v>22</v>
      </c>
      <c r="I1335" s="190" t="s">
        <v>584</v>
      </c>
      <c r="J1335" s="190"/>
    </row>
    <row r="1336" customFormat="false" ht="14.25" hidden="false" customHeight="true" outlineLevel="0" collapsed="false">
      <c r="A1336" s="190" t="s">
        <v>5209</v>
      </c>
      <c r="B1336" s="190" t="s">
        <v>5210</v>
      </c>
      <c r="C1336" s="190" t="s">
        <v>5211</v>
      </c>
      <c r="D1336" s="190" t="n">
        <v>1</v>
      </c>
      <c r="E1336" s="190" t="n">
        <v>2</v>
      </c>
      <c r="F1336" s="190" t="n">
        <v>2</v>
      </c>
      <c r="G1336" s="190" t="n">
        <v>2.33</v>
      </c>
      <c r="H1336" s="190" t="s">
        <v>22</v>
      </c>
      <c r="I1336" s="190" t="s">
        <v>2704</v>
      </c>
      <c r="J1336" s="190"/>
    </row>
    <row r="1337" customFormat="false" ht="14.25" hidden="false" customHeight="true" outlineLevel="0" collapsed="false">
      <c r="A1337" s="190" t="s">
        <v>5212</v>
      </c>
      <c r="B1337" s="190" t="s">
        <v>5213</v>
      </c>
      <c r="C1337" s="190" t="s">
        <v>5214</v>
      </c>
      <c r="D1337" s="190" t="n">
        <v>1</v>
      </c>
      <c r="E1337" s="190" t="n">
        <v>0</v>
      </c>
      <c r="F1337" s="190" t="n">
        <v>59.9</v>
      </c>
      <c r="G1337" s="190" t="n">
        <v>366.7</v>
      </c>
      <c r="H1337" s="190" t="s">
        <v>22</v>
      </c>
      <c r="I1337" s="190" t="s">
        <v>146</v>
      </c>
      <c r="J1337" s="190"/>
    </row>
    <row r="1338" customFormat="false" ht="14.25" hidden="false" customHeight="true" outlineLevel="0" collapsed="false">
      <c r="A1338" s="190" t="s">
        <v>5215</v>
      </c>
      <c r="B1338" s="190" t="s">
        <v>5216</v>
      </c>
      <c r="C1338" s="190" t="s">
        <v>891</v>
      </c>
      <c r="D1338" s="190" t="n">
        <v>1</v>
      </c>
      <c r="E1338" s="190" t="n">
        <v>6.5</v>
      </c>
      <c r="F1338" s="190" t="n">
        <v>6.5</v>
      </c>
      <c r="G1338" s="190" t="n">
        <v>6.73</v>
      </c>
      <c r="H1338" s="190" t="s">
        <v>22</v>
      </c>
      <c r="I1338" s="190" t="s">
        <v>358</v>
      </c>
      <c r="J1338" s="190"/>
    </row>
    <row r="1339" customFormat="false" ht="14.25" hidden="false" customHeight="true" outlineLevel="0" collapsed="false">
      <c r="A1339" s="190" t="s">
        <v>5217</v>
      </c>
      <c r="B1339" s="190" t="s">
        <v>5218</v>
      </c>
      <c r="C1339" s="190" t="s">
        <v>5219</v>
      </c>
      <c r="D1339" s="190" t="n">
        <v>1</v>
      </c>
      <c r="E1339" s="190" t="n">
        <v>4</v>
      </c>
      <c r="F1339" s="190" t="n">
        <v>1</v>
      </c>
      <c r="G1339" s="190" t="n">
        <v>1</v>
      </c>
      <c r="H1339" s="190" t="s">
        <v>22</v>
      </c>
      <c r="I1339" s="190" t="s">
        <v>2799</v>
      </c>
      <c r="J1339" s="190"/>
    </row>
    <row r="1340" customFormat="false" ht="14.25" hidden="false" customHeight="true" outlineLevel="0" collapsed="false">
      <c r="A1340" s="190" t="s">
        <v>5220</v>
      </c>
      <c r="B1340" s="190" t="s">
        <v>5221</v>
      </c>
      <c r="C1340" s="190" t="s">
        <v>5222</v>
      </c>
      <c r="D1340" s="190" t="n">
        <v>1</v>
      </c>
      <c r="E1340" s="190" t="n">
        <v>8</v>
      </c>
      <c r="F1340" s="190" t="n">
        <v>8.25</v>
      </c>
      <c r="G1340" s="190" t="n">
        <v>383.2</v>
      </c>
      <c r="H1340" s="190" t="s">
        <v>22</v>
      </c>
      <c r="I1340" s="190" t="s">
        <v>274</v>
      </c>
      <c r="J1340" s="190"/>
    </row>
    <row r="1341" customFormat="false" ht="14.25" hidden="false" customHeight="true" outlineLevel="0" collapsed="false">
      <c r="A1341" s="190" t="s">
        <v>5223</v>
      </c>
      <c r="B1341" s="190" t="s">
        <v>5224</v>
      </c>
      <c r="C1341" s="190" t="s">
        <v>5225</v>
      </c>
      <c r="D1341" s="190" t="n">
        <v>1</v>
      </c>
      <c r="E1341" s="190" t="n">
        <v>6</v>
      </c>
      <c r="F1341" s="190" t="n">
        <v>6.5</v>
      </c>
      <c r="G1341" s="190" t="n">
        <v>463.9</v>
      </c>
      <c r="H1341" s="190" t="s">
        <v>22</v>
      </c>
      <c r="I1341" s="190" t="s">
        <v>3057</v>
      </c>
      <c r="J1341" s="190"/>
    </row>
    <row r="1342" customFormat="false" ht="14.25" hidden="false" customHeight="true" outlineLevel="0" collapsed="false">
      <c r="A1342" s="190" t="s">
        <v>5226</v>
      </c>
      <c r="B1342" s="190" t="s">
        <v>5227</v>
      </c>
      <c r="C1342" s="190" t="s">
        <v>892</v>
      </c>
      <c r="D1342" s="190" t="n">
        <v>1</v>
      </c>
      <c r="E1342" s="190" t="n">
        <v>13</v>
      </c>
      <c r="F1342" s="190" t="n">
        <v>14.5</v>
      </c>
      <c r="G1342" s="190" t="n">
        <v>419.5</v>
      </c>
      <c r="H1342" s="190" t="s">
        <v>22</v>
      </c>
      <c r="I1342" s="190" t="s">
        <v>2568</v>
      </c>
      <c r="J1342" s="190"/>
    </row>
    <row r="1343" customFormat="false" ht="14.25" hidden="false" customHeight="true" outlineLevel="0" collapsed="false">
      <c r="A1343" s="190" t="s">
        <v>5228</v>
      </c>
      <c r="B1343" s="190" t="s">
        <v>5229</v>
      </c>
      <c r="C1343" s="190" t="s">
        <v>5230</v>
      </c>
      <c r="D1343" s="190" t="n">
        <v>1</v>
      </c>
      <c r="E1343" s="190" t="n">
        <v>7</v>
      </c>
      <c r="F1343" s="190" t="n">
        <v>7</v>
      </c>
      <c r="G1343" s="190" t="n">
        <v>387.9</v>
      </c>
      <c r="H1343" s="190" t="s">
        <v>22</v>
      </c>
      <c r="I1343" s="190" t="s">
        <v>5231</v>
      </c>
      <c r="J1343" s="190"/>
    </row>
    <row r="1344" customFormat="false" ht="14.25" hidden="false" customHeight="true" outlineLevel="0" collapsed="false">
      <c r="A1344" s="190" t="s">
        <v>5232</v>
      </c>
      <c r="B1344" s="190" t="s">
        <v>5233</v>
      </c>
      <c r="C1344" s="190" t="s">
        <v>5234</v>
      </c>
      <c r="D1344" s="190" t="n">
        <v>1</v>
      </c>
      <c r="E1344" s="190" t="n">
        <v>2</v>
      </c>
      <c r="F1344" s="190" t="n">
        <v>2</v>
      </c>
      <c r="G1344" s="190" t="n">
        <v>1.02</v>
      </c>
      <c r="H1344" s="190" t="s">
        <v>22</v>
      </c>
      <c r="I1344" s="190" t="s">
        <v>5235</v>
      </c>
      <c r="J1344" s="190"/>
    </row>
    <row r="1345" customFormat="false" ht="14.25" hidden="false" customHeight="true" outlineLevel="0" collapsed="false">
      <c r="A1345" s="190" t="s">
        <v>5236</v>
      </c>
      <c r="B1345" s="190" t="s">
        <v>5237</v>
      </c>
      <c r="C1345" s="190" t="s">
        <v>5238</v>
      </c>
      <c r="D1345" s="190" t="n">
        <v>1</v>
      </c>
      <c r="E1345" s="190" t="n">
        <v>2</v>
      </c>
      <c r="F1345" s="190" t="n">
        <v>2</v>
      </c>
      <c r="G1345" s="190" t="n">
        <v>1</v>
      </c>
      <c r="H1345" s="190" t="s">
        <v>22</v>
      </c>
      <c r="I1345" s="190" t="s">
        <v>5235</v>
      </c>
      <c r="J1345" s="190"/>
    </row>
    <row r="1346" customFormat="false" ht="14.25" hidden="false" customHeight="true" outlineLevel="0" collapsed="false">
      <c r="A1346" s="190" t="s">
        <v>5239</v>
      </c>
      <c r="B1346" s="190" t="s">
        <v>5240</v>
      </c>
      <c r="C1346" s="190" t="s">
        <v>5241</v>
      </c>
      <c r="D1346" s="190" t="n">
        <v>1</v>
      </c>
      <c r="E1346" s="190" t="n">
        <v>100</v>
      </c>
      <c r="F1346" s="190" t="n">
        <v>4.5</v>
      </c>
      <c r="G1346" s="190" t="n">
        <v>392.7</v>
      </c>
      <c r="H1346" s="190" t="s">
        <v>22</v>
      </c>
      <c r="I1346" s="190" t="s">
        <v>146</v>
      </c>
      <c r="J1346" s="190"/>
    </row>
    <row r="1347" customFormat="false" ht="14.25" hidden="false" customHeight="true" outlineLevel="0" collapsed="false">
      <c r="A1347" s="190" t="s">
        <v>5242</v>
      </c>
      <c r="B1347" s="190" t="s">
        <v>5243</v>
      </c>
      <c r="C1347" s="190" t="s">
        <v>5244</v>
      </c>
      <c r="D1347" s="190" t="n">
        <v>1</v>
      </c>
      <c r="E1347" s="190" t="n">
        <v>2</v>
      </c>
      <c r="F1347" s="190" t="n">
        <v>2.5</v>
      </c>
      <c r="G1347" s="190" t="n">
        <v>359.9</v>
      </c>
      <c r="H1347" s="190" t="s">
        <v>22</v>
      </c>
      <c r="I1347" s="190" t="s">
        <v>2301</v>
      </c>
      <c r="J1347" s="190"/>
    </row>
    <row r="1348" customFormat="false" ht="14.25" hidden="false" customHeight="true" outlineLevel="0" collapsed="false">
      <c r="A1348" s="190" t="s">
        <v>5245</v>
      </c>
      <c r="B1348" s="190" t="s">
        <v>5246</v>
      </c>
      <c r="C1348" s="190" t="s">
        <v>5247</v>
      </c>
      <c r="D1348" s="190" t="n">
        <v>1</v>
      </c>
      <c r="E1348" s="190" t="n">
        <v>8</v>
      </c>
      <c r="F1348" s="190" t="n">
        <v>7.5</v>
      </c>
      <c r="G1348" s="190" t="n">
        <v>4.42</v>
      </c>
      <c r="H1348" s="190" t="s">
        <v>22</v>
      </c>
      <c r="I1348" s="190" t="s">
        <v>3858</v>
      </c>
      <c r="J1348" s="190"/>
    </row>
    <row r="1349" customFormat="false" ht="14.25" hidden="false" customHeight="true" outlineLevel="0" collapsed="false">
      <c r="A1349" s="190" t="s">
        <v>5248</v>
      </c>
      <c r="B1349" s="190" t="s">
        <v>5249</v>
      </c>
      <c r="C1349" s="190" t="s">
        <v>5250</v>
      </c>
      <c r="D1349" s="190" t="n">
        <v>1</v>
      </c>
      <c r="E1349" s="190" t="n">
        <v>9</v>
      </c>
      <c r="F1349" s="190" t="n">
        <v>9.5</v>
      </c>
      <c r="G1349" s="190" t="n">
        <v>357.2</v>
      </c>
      <c r="H1349" s="190" t="s">
        <v>22</v>
      </c>
      <c r="I1349" s="190" t="s">
        <v>5231</v>
      </c>
      <c r="J1349" s="190"/>
    </row>
    <row r="1350" customFormat="false" ht="14.25" hidden="false" customHeight="true" outlineLevel="0" collapsed="false">
      <c r="A1350" s="190" t="s">
        <v>5251</v>
      </c>
      <c r="B1350" s="190" t="s">
        <v>5252</v>
      </c>
      <c r="C1350" s="190" t="s">
        <v>5253</v>
      </c>
      <c r="D1350" s="190" t="n">
        <v>1</v>
      </c>
      <c r="E1350" s="190" t="n">
        <v>3</v>
      </c>
      <c r="F1350" s="190" t="n">
        <v>13.5</v>
      </c>
      <c r="G1350" s="190" t="n">
        <v>465.1</v>
      </c>
      <c r="H1350" s="190" t="s">
        <v>22</v>
      </c>
      <c r="I1350" s="190" t="s">
        <v>3165</v>
      </c>
      <c r="J1350" s="190"/>
    </row>
    <row r="1351" customFormat="false" ht="14.25" hidden="false" customHeight="true" outlineLevel="0" collapsed="false">
      <c r="A1351" s="190" t="s">
        <v>5254</v>
      </c>
      <c r="B1351" s="190" t="s">
        <v>5255</v>
      </c>
      <c r="C1351" s="190" t="s">
        <v>5256</v>
      </c>
      <c r="D1351" s="190" t="n">
        <v>1</v>
      </c>
      <c r="E1351" s="190" t="n">
        <v>6</v>
      </c>
      <c r="F1351" s="190" t="n">
        <v>8.3</v>
      </c>
      <c r="G1351" s="190" t="n">
        <v>4.02</v>
      </c>
      <c r="H1351" s="190" t="s">
        <v>22</v>
      </c>
      <c r="I1351" s="190" t="s">
        <v>3165</v>
      </c>
      <c r="J1351" s="190"/>
    </row>
    <row r="1352" customFormat="false" ht="14.25" hidden="false" customHeight="true" outlineLevel="0" collapsed="false">
      <c r="A1352" s="190" t="s">
        <v>5257</v>
      </c>
      <c r="B1352" s="190" t="s">
        <v>5258</v>
      </c>
      <c r="C1352" s="190" t="s">
        <v>5259</v>
      </c>
      <c r="D1352" s="190" t="n">
        <v>1</v>
      </c>
      <c r="E1352" s="190" t="n">
        <v>0</v>
      </c>
      <c r="F1352" s="190" t="n">
        <v>2.83</v>
      </c>
      <c r="G1352" s="190" t="n">
        <v>25.5</v>
      </c>
      <c r="H1352" s="190" t="s">
        <v>22</v>
      </c>
      <c r="I1352" s="190" t="s">
        <v>146</v>
      </c>
      <c r="J1352" s="190"/>
    </row>
    <row r="1353" customFormat="false" ht="14.25" hidden="false" customHeight="true" outlineLevel="0" collapsed="false">
      <c r="A1353" s="190" t="s">
        <v>5260</v>
      </c>
      <c r="B1353" s="190" t="s">
        <v>5261</v>
      </c>
      <c r="C1353" s="190" t="s">
        <v>5262</v>
      </c>
      <c r="D1353" s="190" t="n">
        <v>1</v>
      </c>
      <c r="E1353" s="190" t="n">
        <v>0</v>
      </c>
      <c r="F1353" s="190" t="n">
        <v>17.83</v>
      </c>
      <c r="G1353" s="190" t="n">
        <v>12.17</v>
      </c>
      <c r="H1353" s="190" t="s">
        <v>22</v>
      </c>
      <c r="I1353" s="190" t="s">
        <v>121</v>
      </c>
      <c r="J1353" s="190"/>
    </row>
    <row r="1354" customFormat="false" ht="14.25" hidden="false" customHeight="true" outlineLevel="0" collapsed="false">
      <c r="A1354" s="190" t="s">
        <v>5263</v>
      </c>
      <c r="B1354" s="190" t="s">
        <v>5264</v>
      </c>
      <c r="C1354" s="190" t="s">
        <v>5265</v>
      </c>
      <c r="D1354" s="190" t="n">
        <v>1</v>
      </c>
      <c r="E1354" s="190" t="n">
        <v>16</v>
      </c>
      <c r="F1354" s="190" t="n">
        <v>13.5</v>
      </c>
      <c r="G1354" s="190" t="n">
        <v>6.63</v>
      </c>
      <c r="H1354" s="190" t="s">
        <v>22</v>
      </c>
      <c r="I1354" s="190" t="s">
        <v>2735</v>
      </c>
      <c r="J1354" s="190"/>
    </row>
    <row r="1355" customFormat="false" ht="14.25" hidden="false" customHeight="true" outlineLevel="0" collapsed="false">
      <c r="A1355" s="190" t="s">
        <v>5266</v>
      </c>
      <c r="B1355" s="190" t="s">
        <v>5267</v>
      </c>
      <c r="C1355" s="190" t="s">
        <v>5268</v>
      </c>
      <c r="D1355" s="190" t="n">
        <v>1</v>
      </c>
      <c r="E1355" s="190" t="n">
        <v>6</v>
      </c>
      <c r="F1355" s="190" t="n">
        <v>17.58</v>
      </c>
      <c r="G1355" s="190" t="n">
        <v>3.5</v>
      </c>
      <c r="H1355" s="190" t="s">
        <v>22</v>
      </c>
      <c r="I1355" s="190" t="s">
        <v>2758</v>
      </c>
      <c r="J1355" s="190"/>
    </row>
    <row r="1356" customFormat="false" ht="14.25" hidden="false" customHeight="true" outlineLevel="0" collapsed="false">
      <c r="A1356" s="190" t="s">
        <v>5269</v>
      </c>
      <c r="B1356" s="190" t="s">
        <v>5270</v>
      </c>
      <c r="C1356" s="190" t="s">
        <v>5271</v>
      </c>
      <c r="D1356" s="190" t="s">
        <v>2200</v>
      </c>
      <c r="E1356" s="190" t="n">
        <v>2</v>
      </c>
      <c r="F1356" s="190" t="n">
        <v>23</v>
      </c>
      <c r="G1356" s="190" t="n">
        <v>21.92</v>
      </c>
      <c r="H1356" s="190" t="s">
        <v>22</v>
      </c>
      <c r="I1356" s="190" t="n">
        <v>31</v>
      </c>
      <c r="J1356" s="190"/>
    </row>
    <row r="1357" customFormat="false" ht="14.25" hidden="false" customHeight="true" outlineLevel="0" collapsed="false">
      <c r="A1357" s="190" t="s">
        <v>5272</v>
      </c>
      <c r="B1357" s="190" t="s">
        <v>5273</v>
      </c>
      <c r="C1357" s="190" t="s">
        <v>893</v>
      </c>
      <c r="D1357" s="190" t="n">
        <v>1</v>
      </c>
      <c r="E1357" s="190" t="n">
        <v>24</v>
      </c>
      <c r="F1357" s="190" t="n">
        <v>8</v>
      </c>
      <c r="G1357" s="190" t="n">
        <v>4.5</v>
      </c>
      <c r="H1357" s="190" t="s">
        <v>22</v>
      </c>
      <c r="I1357" s="190" t="n">
        <v>25</v>
      </c>
      <c r="J1357" s="190"/>
    </row>
    <row r="1358" customFormat="false" ht="14.25" hidden="false" customHeight="true" outlineLevel="0" collapsed="false">
      <c r="A1358" s="190" t="s">
        <v>5274</v>
      </c>
      <c r="B1358" s="190" t="s">
        <v>5275</v>
      </c>
      <c r="C1358" s="190" t="s">
        <v>5276</v>
      </c>
      <c r="D1358" s="190" t="n">
        <v>1</v>
      </c>
      <c r="E1358" s="190" t="n">
        <v>16</v>
      </c>
      <c r="F1358" s="190" t="n">
        <v>17</v>
      </c>
      <c r="G1358" s="190" t="n">
        <v>6.52</v>
      </c>
      <c r="H1358" s="190" t="s">
        <v>22</v>
      </c>
      <c r="I1358" s="190" t="s">
        <v>1782</v>
      </c>
      <c r="J1358" s="190"/>
    </row>
    <row r="1359" customFormat="false" ht="14.25" hidden="false" customHeight="true" outlineLevel="0" collapsed="false">
      <c r="A1359" s="190" t="s">
        <v>5277</v>
      </c>
      <c r="B1359" s="190" t="s">
        <v>5278</v>
      </c>
      <c r="C1359" s="190" t="s">
        <v>5279</v>
      </c>
      <c r="D1359" s="190" t="n">
        <v>1</v>
      </c>
      <c r="E1359" s="190" t="n">
        <v>8</v>
      </c>
      <c r="F1359" s="190" t="n">
        <v>68.1</v>
      </c>
      <c r="G1359" s="190" t="n">
        <v>198.8</v>
      </c>
      <c r="H1359" s="190" t="s">
        <v>22</v>
      </c>
      <c r="I1359" s="190" t="s">
        <v>146</v>
      </c>
      <c r="J1359" s="190"/>
    </row>
    <row r="1360" customFormat="false" ht="14.25" hidden="false" customHeight="true" outlineLevel="0" collapsed="false">
      <c r="A1360" s="190" t="s">
        <v>5280</v>
      </c>
      <c r="B1360" s="190" t="s">
        <v>5281</v>
      </c>
      <c r="C1360" s="190" t="s">
        <v>5282</v>
      </c>
      <c r="D1360" s="190" t="n">
        <v>1</v>
      </c>
      <c r="E1360" s="190" t="n">
        <v>6</v>
      </c>
      <c r="F1360" s="190" t="n">
        <v>17.75</v>
      </c>
      <c r="G1360" s="190" t="n">
        <v>164</v>
      </c>
      <c r="H1360" s="190" t="s">
        <v>22</v>
      </c>
      <c r="I1360" s="190" t="s">
        <v>1790</v>
      </c>
      <c r="J1360" s="190"/>
    </row>
    <row r="1361" customFormat="false" ht="14.25" hidden="false" customHeight="true" outlineLevel="0" collapsed="false">
      <c r="A1361" s="190" t="s">
        <v>5283</v>
      </c>
      <c r="B1361" s="190" t="s">
        <v>5284</v>
      </c>
      <c r="C1361" s="190" t="s">
        <v>5285</v>
      </c>
      <c r="D1361" s="190" t="n">
        <v>1</v>
      </c>
      <c r="E1361" s="190" t="n">
        <v>6</v>
      </c>
      <c r="F1361" s="190" t="n">
        <v>4.58</v>
      </c>
      <c r="G1361" s="190" t="n">
        <v>217.4</v>
      </c>
      <c r="H1361" s="190" t="s">
        <v>22</v>
      </c>
      <c r="I1361" s="190" t="s">
        <v>584</v>
      </c>
      <c r="J1361" s="190"/>
    </row>
    <row r="1362" customFormat="false" ht="14.25" hidden="false" customHeight="true" outlineLevel="0" collapsed="false">
      <c r="A1362" s="190" t="s">
        <v>5286</v>
      </c>
      <c r="B1362" s="190" t="s">
        <v>5287</v>
      </c>
      <c r="C1362" s="190" t="s">
        <v>5288</v>
      </c>
      <c r="D1362" s="190" t="n">
        <v>1</v>
      </c>
      <c r="E1362" s="190" t="n">
        <v>4</v>
      </c>
      <c r="F1362" s="190" t="n">
        <v>0.5</v>
      </c>
      <c r="G1362" s="190" t="n">
        <v>0.5</v>
      </c>
      <c r="H1362" s="190" t="s">
        <v>22</v>
      </c>
      <c r="I1362" s="190" t="s">
        <v>584</v>
      </c>
      <c r="J1362" s="190"/>
    </row>
    <row r="1363" customFormat="false" ht="14.25" hidden="false" customHeight="true" outlineLevel="0" collapsed="false">
      <c r="A1363" s="190" t="s">
        <v>5289</v>
      </c>
      <c r="B1363" s="190" t="s">
        <v>5290</v>
      </c>
      <c r="C1363" s="190" t="s">
        <v>5291</v>
      </c>
      <c r="D1363" s="190" t="n">
        <v>1</v>
      </c>
      <c r="E1363" s="190" t="n">
        <v>0</v>
      </c>
      <c r="F1363" s="190" t="n">
        <v>36.8</v>
      </c>
      <c r="G1363" s="190" t="n">
        <v>334.7</v>
      </c>
      <c r="H1363" s="190" t="s">
        <v>22</v>
      </c>
      <c r="I1363" s="190" t="s">
        <v>584</v>
      </c>
      <c r="J1363" s="190"/>
    </row>
    <row r="1364" customFormat="false" ht="14.25" hidden="false" customHeight="true" outlineLevel="0" collapsed="false">
      <c r="A1364" s="190" t="s">
        <v>5292</v>
      </c>
      <c r="B1364" s="190" t="s">
        <v>5293</v>
      </c>
      <c r="C1364" s="190" t="s">
        <v>5294</v>
      </c>
      <c r="D1364" s="190" t="n">
        <v>1</v>
      </c>
      <c r="E1364" s="190" t="n">
        <v>4</v>
      </c>
      <c r="F1364" s="190" t="n">
        <v>9.3</v>
      </c>
      <c r="G1364" s="190" t="n">
        <v>131.6</v>
      </c>
      <c r="H1364" s="190" t="s">
        <v>22</v>
      </c>
      <c r="I1364" s="190" t="s">
        <v>121</v>
      </c>
      <c r="J1364" s="190"/>
    </row>
    <row r="1365" customFormat="false" ht="14.25" hidden="false" customHeight="true" outlineLevel="0" collapsed="false">
      <c r="A1365" s="190" t="s">
        <v>5295</v>
      </c>
      <c r="B1365" s="190" t="s">
        <v>5296</v>
      </c>
      <c r="C1365" s="190" t="s">
        <v>5297</v>
      </c>
      <c r="D1365" s="190" t="n">
        <v>1</v>
      </c>
      <c r="E1365" s="190" t="n">
        <v>6</v>
      </c>
      <c r="F1365" s="190" t="n">
        <v>31.5</v>
      </c>
      <c r="G1365" s="190" t="n">
        <v>480.9</v>
      </c>
      <c r="H1365" s="190" t="s">
        <v>22</v>
      </c>
      <c r="I1365" s="190" t="s">
        <v>3094</v>
      </c>
      <c r="J1365" s="190"/>
    </row>
    <row r="1366" customFormat="false" ht="14.25" hidden="false" customHeight="true" outlineLevel="0" collapsed="false">
      <c r="A1366" s="190" t="s">
        <v>5298</v>
      </c>
      <c r="B1366" s="190" t="s">
        <v>5299</v>
      </c>
      <c r="C1366" s="190" t="s">
        <v>5300</v>
      </c>
      <c r="D1366" s="190" t="n">
        <v>1</v>
      </c>
      <c r="E1366" s="190" t="n">
        <v>0</v>
      </c>
      <c r="F1366" s="190" t="n">
        <v>1.17</v>
      </c>
      <c r="G1366" s="190" t="n">
        <v>121.5</v>
      </c>
      <c r="H1366" s="190" t="s">
        <v>22</v>
      </c>
      <c r="I1366" s="190" t="s">
        <v>584</v>
      </c>
      <c r="J1366" s="190"/>
    </row>
    <row r="1367" customFormat="false" ht="14.25" hidden="false" customHeight="true" outlineLevel="0" collapsed="false">
      <c r="A1367" s="190" t="s">
        <v>5301</v>
      </c>
      <c r="B1367" s="190" t="s">
        <v>5302</v>
      </c>
      <c r="C1367" s="190" t="s">
        <v>5303</v>
      </c>
      <c r="D1367" s="190" t="n">
        <v>1</v>
      </c>
      <c r="E1367" s="190" t="n">
        <v>8</v>
      </c>
      <c r="F1367" s="190" t="n">
        <v>8</v>
      </c>
      <c r="G1367" s="190" t="n">
        <v>4</v>
      </c>
      <c r="H1367" s="190" t="s">
        <v>22</v>
      </c>
      <c r="I1367" s="190" t="s">
        <v>38</v>
      </c>
      <c r="J1367" s="190"/>
    </row>
    <row r="1368" customFormat="false" ht="14.25" hidden="false" customHeight="true" outlineLevel="0" collapsed="false">
      <c r="A1368" s="190" t="s">
        <v>5304</v>
      </c>
      <c r="B1368" s="190" t="s">
        <v>5305</v>
      </c>
      <c r="C1368" s="190" t="s">
        <v>5306</v>
      </c>
      <c r="D1368" s="190" t="n">
        <v>1</v>
      </c>
      <c r="E1368" s="190" t="n">
        <v>12</v>
      </c>
      <c r="F1368" s="190" t="n">
        <v>12.08</v>
      </c>
      <c r="G1368" s="190" t="n">
        <v>37.5</v>
      </c>
      <c r="H1368" s="190" t="s">
        <v>22</v>
      </c>
      <c r="I1368" s="190" t="s">
        <v>1771</v>
      </c>
      <c r="J1368" s="190"/>
    </row>
    <row r="1369" customFormat="false" ht="14.25" hidden="false" customHeight="true" outlineLevel="0" collapsed="false">
      <c r="A1369" s="190" t="s">
        <v>5307</v>
      </c>
      <c r="B1369" s="190" t="s">
        <v>5308</v>
      </c>
      <c r="C1369" s="190" t="s">
        <v>5309</v>
      </c>
      <c r="D1369" s="190" t="n">
        <v>1</v>
      </c>
      <c r="E1369" s="190" t="n">
        <v>8</v>
      </c>
      <c r="F1369" s="190" t="n">
        <v>16.83</v>
      </c>
      <c r="G1369" s="190" t="n">
        <v>100</v>
      </c>
      <c r="H1369" s="190" t="s">
        <v>22</v>
      </c>
      <c r="I1369" s="190" t="s">
        <v>2084</v>
      </c>
      <c r="J1369" s="190"/>
    </row>
    <row r="1370" customFormat="false" ht="14.25" hidden="false" customHeight="true" outlineLevel="0" collapsed="false">
      <c r="A1370" s="190" t="s">
        <v>902</v>
      </c>
      <c r="B1370" s="190" t="s">
        <v>900</v>
      </c>
      <c r="C1370" s="190" t="s">
        <v>901</v>
      </c>
      <c r="D1370" s="190" t="n">
        <v>1</v>
      </c>
      <c r="E1370" s="190" t="n">
        <v>0</v>
      </c>
      <c r="F1370" s="190" t="n">
        <v>3</v>
      </c>
      <c r="G1370" s="190" t="n">
        <v>2.5</v>
      </c>
      <c r="H1370" s="190" t="s">
        <v>22</v>
      </c>
      <c r="I1370" s="190" t="s">
        <v>177</v>
      </c>
      <c r="J1370" s="190"/>
    </row>
    <row r="1371" customFormat="false" ht="14.25" hidden="false" customHeight="true" outlineLevel="0" collapsed="false">
      <c r="A1371" s="190" t="s">
        <v>5310</v>
      </c>
      <c r="B1371" s="190" t="s">
        <v>5311</v>
      </c>
      <c r="C1371" s="190" t="s">
        <v>5312</v>
      </c>
      <c r="D1371" s="190" t="n">
        <v>1</v>
      </c>
      <c r="E1371" s="190" t="n">
        <v>0</v>
      </c>
      <c r="F1371" s="190" t="n">
        <v>48</v>
      </c>
      <c r="G1371" s="190" t="n">
        <v>461.2</v>
      </c>
      <c r="H1371" s="190" t="s">
        <v>22</v>
      </c>
      <c r="I1371" s="190" t="n">
        <v>53</v>
      </c>
      <c r="J1371" s="190"/>
    </row>
    <row r="1372" customFormat="false" ht="14.25" hidden="false" customHeight="true" outlineLevel="0" collapsed="false">
      <c r="A1372" s="190" t="s">
        <v>905</v>
      </c>
      <c r="B1372" s="190" t="s">
        <v>903</v>
      </c>
      <c r="C1372" s="190" t="s">
        <v>904</v>
      </c>
      <c r="D1372" s="190" t="n">
        <v>1</v>
      </c>
      <c r="E1372" s="190" t="n">
        <v>6</v>
      </c>
      <c r="F1372" s="190" t="n">
        <v>17.75</v>
      </c>
      <c r="G1372" s="190" t="n">
        <v>4.02</v>
      </c>
      <c r="H1372" s="190" t="s">
        <v>22</v>
      </c>
      <c r="I1372" s="190" t="s">
        <v>1776</v>
      </c>
      <c r="J1372" s="190"/>
    </row>
    <row r="1373" customFormat="false" ht="14.25" hidden="false" customHeight="true" outlineLevel="0" collapsed="false">
      <c r="A1373" s="190" t="s">
        <v>5313</v>
      </c>
      <c r="B1373" s="190" t="s">
        <v>5314</v>
      </c>
      <c r="C1373" s="190" t="s">
        <v>5315</v>
      </c>
      <c r="D1373" s="190" t="n">
        <v>1</v>
      </c>
      <c r="E1373" s="190" t="n">
        <v>20</v>
      </c>
      <c r="F1373" s="190" t="n">
        <v>20.25</v>
      </c>
      <c r="G1373" s="190" t="n">
        <v>33.4</v>
      </c>
      <c r="H1373" s="190" t="s">
        <v>22</v>
      </c>
      <c r="I1373" s="190" t="s">
        <v>97</v>
      </c>
      <c r="J1373" s="190"/>
    </row>
    <row r="1374" customFormat="false" ht="14.25" hidden="false" customHeight="true" outlineLevel="0" collapsed="false">
      <c r="A1374" s="190" t="s">
        <v>5316</v>
      </c>
      <c r="B1374" s="190" t="s">
        <v>5317</v>
      </c>
      <c r="C1374" s="190" t="s">
        <v>5318</v>
      </c>
      <c r="D1374" s="190" t="n">
        <v>1</v>
      </c>
      <c r="E1374" s="190" t="n">
        <v>4.5</v>
      </c>
      <c r="F1374" s="190" t="n">
        <v>73.5</v>
      </c>
      <c r="G1374" s="190" t="n">
        <v>230.4</v>
      </c>
      <c r="H1374" s="190" t="s">
        <v>22</v>
      </c>
      <c r="I1374" s="190" t="n">
        <v>71</v>
      </c>
      <c r="J1374" s="190"/>
    </row>
    <row r="1375" customFormat="false" ht="14.25" hidden="false" customHeight="true" outlineLevel="0" collapsed="false">
      <c r="A1375" s="190" t="s">
        <v>5319</v>
      </c>
      <c r="B1375" s="190" t="s">
        <v>5320</v>
      </c>
      <c r="C1375" s="190" t="s">
        <v>5321</v>
      </c>
      <c r="D1375" s="190" t="n">
        <v>1</v>
      </c>
      <c r="E1375" s="190" t="n">
        <v>6</v>
      </c>
      <c r="F1375" s="190" t="n">
        <v>86.1</v>
      </c>
      <c r="G1375" s="190" t="n">
        <v>158.4</v>
      </c>
      <c r="H1375" s="190" t="s">
        <v>22</v>
      </c>
      <c r="I1375" s="190" t="n">
        <v>71</v>
      </c>
      <c r="J1375" s="190"/>
    </row>
    <row r="1376" customFormat="false" ht="14.25" hidden="false" customHeight="true" outlineLevel="0" collapsed="false">
      <c r="A1376" s="190" t="s">
        <v>5322</v>
      </c>
      <c r="B1376" s="190" t="s">
        <v>5323</v>
      </c>
      <c r="C1376" s="190" t="s">
        <v>5324</v>
      </c>
      <c r="D1376" s="190" t="n">
        <v>1</v>
      </c>
      <c r="E1376" s="190" t="n">
        <v>19.5</v>
      </c>
      <c r="F1376" s="190" t="n">
        <v>41</v>
      </c>
      <c r="G1376" s="190" t="n">
        <v>70.9</v>
      </c>
      <c r="H1376" s="190" t="s">
        <v>22</v>
      </c>
      <c r="I1376" s="190" t="n">
        <v>53</v>
      </c>
      <c r="J1376" s="190"/>
    </row>
    <row r="1377" customFormat="false" ht="14.25" hidden="false" customHeight="true" outlineLevel="0" collapsed="false">
      <c r="A1377" s="190" t="s">
        <v>5325</v>
      </c>
      <c r="B1377" s="190" t="s">
        <v>5326</v>
      </c>
      <c r="C1377" s="190" t="s">
        <v>5327</v>
      </c>
      <c r="D1377" s="190" t="s">
        <v>1720</v>
      </c>
      <c r="E1377" s="190" t="n">
        <v>4</v>
      </c>
      <c r="F1377" s="190" t="n">
        <v>7</v>
      </c>
      <c r="G1377" s="190" t="n">
        <v>328</v>
      </c>
      <c r="H1377" s="190" t="s">
        <v>22</v>
      </c>
      <c r="I1377" s="190" t="s">
        <v>5328</v>
      </c>
      <c r="J1377" s="190"/>
    </row>
    <row r="1378" customFormat="false" ht="14.25" hidden="false" customHeight="true" outlineLevel="0" collapsed="false">
      <c r="A1378" s="190" t="s">
        <v>920</v>
      </c>
      <c r="B1378" s="190" t="s">
        <v>918</v>
      </c>
      <c r="C1378" s="190" t="s">
        <v>919</v>
      </c>
      <c r="D1378" s="190" t="n">
        <v>1</v>
      </c>
      <c r="E1378" s="190" t="n">
        <v>24</v>
      </c>
      <c r="F1378" s="190" t="n">
        <v>9</v>
      </c>
      <c r="G1378" s="190" t="n">
        <v>47.4</v>
      </c>
      <c r="H1378" s="190" t="s">
        <v>22</v>
      </c>
      <c r="I1378" s="190" t="s">
        <v>430</v>
      </c>
      <c r="J1378" s="190"/>
    </row>
    <row r="1379" customFormat="false" ht="14.25" hidden="false" customHeight="true" outlineLevel="0" collapsed="false">
      <c r="A1379" s="190" t="s">
        <v>923</v>
      </c>
      <c r="B1379" s="190" t="s">
        <v>921</v>
      </c>
      <c r="C1379" s="190" t="s">
        <v>922</v>
      </c>
      <c r="D1379" s="190" t="n">
        <v>1</v>
      </c>
      <c r="E1379" s="190" t="n">
        <v>24</v>
      </c>
      <c r="F1379" s="190" t="n">
        <v>16.5</v>
      </c>
      <c r="G1379" s="190" t="n">
        <v>49.1</v>
      </c>
      <c r="H1379" s="190" t="s">
        <v>22</v>
      </c>
      <c r="I1379" s="190" t="s">
        <v>430</v>
      </c>
      <c r="J1379" s="190"/>
    </row>
    <row r="1380" customFormat="false" ht="14.25" hidden="false" customHeight="true" outlineLevel="0" collapsed="false">
      <c r="A1380" s="190" t="s">
        <v>926</v>
      </c>
      <c r="B1380" s="190" t="s">
        <v>924</v>
      </c>
      <c r="C1380" s="190" t="s">
        <v>925</v>
      </c>
      <c r="D1380" s="190" t="n">
        <v>1</v>
      </c>
      <c r="E1380" s="190" t="n">
        <v>0</v>
      </c>
      <c r="F1380" s="190" t="n">
        <v>2.67</v>
      </c>
      <c r="G1380" s="190" t="n">
        <v>437.7</v>
      </c>
      <c r="H1380" s="190" t="s">
        <v>22</v>
      </c>
      <c r="I1380" s="190" t="s">
        <v>146</v>
      </c>
      <c r="J1380" s="190"/>
    </row>
    <row r="1381" customFormat="false" ht="14.25" hidden="false" customHeight="true" outlineLevel="0" collapsed="false">
      <c r="A1381" s="190" t="s">
        <v>929</v>
      </c>
      <c r="B1381" s="190" t="s">
        <v>927</v>
      </c>
      <c r="C1381" s="190" t="s">
        <v>928</v>
      </c>
      <c r="D1381" s="190" t="n">
        <v>1</v>
      </c>
      <c r="E1381" s="190" t="n">
        <v>0</v>
      </c>
      <c r="F1381" s="190" t="n">
        <v>12.33</v>
      </c>
      <c r="G1381" s="190" t="n">
        <v>333.4</v>
      </c>
      <c r="H1381" s="190" t="s">
        <v>22</v>
      </c>
      <c r="I1381" s="190" t="s">
        <v>146</v>
      </c>
      <c r="J1381" s="190"/>
    </row>
    <row r="1382" customFormat="false" ht="14.25" hidden="false" customHeight="true" outlineLevel="0" collapsed="false">
      <c r="A1382" s="190" t="s">
        <v>5329</v>
      </c>
      <c r="B1382" s="190" t="s">
        <v>5330</v>
      </c>
      <c r="C1382" s="190" t="s">
        <v>937</v>
      </c>
      <c r="D1382" s="190" t="n">
        <v>1</v>
      </c>
      <c r="E1382" s="190" t="n">
        <v>0</v>
      </c>
      <c r="F1382" s="190" t="n">
        <v>47.5</v>
      </c>
      <c r="G1382" s="190" t="n">
        <v>549</v>
      </c>
      <c r="H1382" s="190" t="s">
        <v>22</v>
      </c>
      <c r="I1382" s="190" t="s">
        <v>5331</v>
      </c>
      <c r="J1382" s="190"/>
    </row>
    <row r="1383" customFormat="false" ht="14.25" hidden="false" customHeight="true" outlineLevel="0" collapsed="false">
      <c r="A1383" s="190" t="s">
        <v>5332</v>
      </c>
      <c r="B1383" s="190" t="s">
        <v>5333</v>
      </c>
      <c r="C1383" s="190" t="s">
        <v>938</v>
      </c>
      <c r="D1383" s="190" t="n">
        <v>1</v>
      </c>
      <c r="E1383" s="190" t="n">
        <v>0</v>
      </c>
      <c r="F1383" s="190" t="n">
        <v>2</v>
      </c>
      <c r="G1383" s="190" t="n">
        <v>2</v>
      </c>
      <c r="H1383" s="190" t="s">
        <v>22</v>
      </c>
      <c r="I1383" s="190" t="n">
        <v>25</v>
      </c>
      <c r="J1383" s="190"/>
    </row>
    <row r="1384" customFormat="false" ht="14.25" hidden="false" customHeight="true" outlineLevel="0" collapsed="false">
      <c r="A1384" s="190" t="s">
        <v>5334</v>
      </c>
      <c r="B1384" s="190" t="s">
        <v>5335</v>
      </c>
      <c r="C1384" s="190" t="s">
        <v>942</v>
      </c>
      <c r="D1384" s="190" t="n">
        <v>1</v>
      </c>
      <c r="E1384" s="190" t="n">
        <v>0</v>
      </c>
      <c r="F1384" s="190" t="n">
        <v>2.5</v>
      </c>
      <c r="G1384" s="190" t="n">
        <v>2.5</v>
      </c>
      <c r="H1384" s="190" t="s">
        <v>22</v>
      </c>
      <c r="I1384" s="190" t="n">
        <v>25</v>
      </c>
      <c r="J1384" s="190"/>
    </row>
    <row r="1385" customFormat="false" ht="14.25" hidden="false" customHeight="true" outlineLevel="0" collapsed="false">
      <c r="A1385" s="190" t="s">
        <v>5336</v>
      </c>
      <c r="B1385" s="190" t="s">
        <v>5337</v>
      </c>
      <c r="C1385" s="190" t="s">
        <v>943</v>
      </c>
      <c r="D1385" s="190" t="n">
        <v>1</v>
      </c>
      <c r="E1385" s="190" t="n">
        <v>0</v>
      </c>
      <c r="F1385" s="190" t="n">
        <v>2.5</v>
      </c>
      <c r="G1385" s="190" t="n">
        <v>2.5</v>
      </c>
      <c r="H1385" s="190" t="s">
        <v>22</v>
      </c>
      <c r="I1385" s="190" t="s">
        <v>177</v>
      </c>
      <c r="J1385" s="190"/>
    </row>
    <row r="1386" customFormat="false" ht="14.25" hidden="false" customHeight="true" outlineLevel="0" collapsed="false">
      <c r="A1386" s="190" t="s">
        <v>5338</v>
      </c>
      <c r="B1386" s="190" t="s">
        <v>5339</v>
      </c>
      <c r="C1386" s="190" t="s">
        <v>5340</v>
      </c>
      <c r="D1386" s="190" t="n">
        <v>1</v>
      </c>
      <c r="E1386" s="190" t="n">
        <v>0</v>
      </c>
      <c r="F1386" s="190" t="n">
        <v>6</v>
      </c>
      <c r="G1386" s="190" t="n">
        <v>2</v>
      </c>
      <c r="H1386" s="190" t="s">
        <v>22</v>
      </c>
      <c r="I1386" s="190" t="s">
        <v>584</v>
      </c>
      <c r="J1386" s="190"/>
    </row>
    <row r="1387" customFormat="false" ht="14.25" hidden="false" customHeight="true" outlineLevel="0" collapsed="false">
      <c r="A1387" s="190" t="s">
        <v>5341</v>
      </c>
      <c r="B1387" s="190" t="s">
        <v>5342</v>
      </c>
      <c r="C1387" s="190" t="s">
        <v>944</v>
      </c>
      <c r="D1387" s="190" t="n">
        <v>1</v>
      </c>
      <c r="E1387" s="190" t="n">
        <v>0</v>
      </c>
      <c r="F1387" s="190" t="n">
        <v>1</v>
      </c>
      <c r="G1387" s="190" t="n">
        <v>1</v>
      </c>
      <c r="H1387" s="190" t="s">
        <v>22</v>
      </c>
      <c r="I1387" s="190" t="n">
        <v>25</v>
      </c>
      <c r="J1387" s="190"/>
    </row>
    <row r="1388" customFormat="false" ht="14.25" hidden="false" customHeight="true" outlineLevel="0" collapsed="false">
      <c r="A1388" s="190" t="s">
        <v>5343</v>
      </c>
      <c r="B1388" s="190" t="s">
        <v>5344</v>
      </c>
      <c r="C1388" s="190" t="s">
        <v>945</v>
      </c>
      <c r="D1388" s="190" t="n">
        <v>1</v>
      </c>
      <c r="E1388" s="190" t="n">
        <v>0</v>
      </c>
      <c r="F1388" s="190" t="n">
        <v>1.5</v>
      </c>
      <c r="G1388" s="190" t="n">
        <v>173.4</v>
      </c>
      <c r="H1388" s="190" t="s">
        <v>22</v>
      </c>
      <c r="I1388" s="190" t="s">
        <v>177</v>
      </c>
      <c r="J1388" s="190"/>
    </row>
    <row r="1389" customFormat="false" ht="14.25" hidden="false" customHeight="true" outlineLevel="0" collapsed="false">
      <c r="A1389" s="190" t="s">
        <v>5345</v>
      </c>
      <c r="B1389" s="190" t="s">
        <v>5346</v>
      </c>
      <c r="C1389" s="190" t="s">
        <v>946</v>
      </c>
      <c r="D1389" s="190" t="n">
        <v>1</v>
      </c>
      <c r="E1389" s="190" t="n">
        <v>0</v>
      </c>
      <c r="F1389" s="190" t="n">
        <v>2.5</v>
      </c>
      <c r="G1389" s="190" t="n">
        <v>2.5</v>
      </c>
      <c r="H1389" s="190" t="s">
        <v>22</v>
      </c>
      <c r="I1389" s="190" t="n">
        <v>25</v>
      </c>
      <c r="J1389" s="190"/>
    </row>
    <row r="1390" customFormat="false" ht="14.25" hidden="false" customHeight="true" outlineLevel="0" collapsed="false">
      <c r="A1390" s="190" t="s">
        <v>5347</v>
      </c>
      <c r="B1390" s="190" t="s">
        <v>5348</v>
      </c>
      <c r="C1390" s="190" t="s">
        <v>5349</v>
      </c>
      <c r="D1390" s="190" t="n">
        <v>1</v>
      </c>
      <c r="E1390" s="190" t="n">
        <v>6</v>
      </c>
      <c r="F1390" s="190" t="n">
        <v>8</v>
      </c>
      <c r="G1390" s="190" t="n">
        <v>304.8</v>
      </c>
      <c r="H1390" s="190" t="s">
        <v>22</v>
      </c>
      <c r="I1390" s="190" t="s">
        <v>121</v>
      </c>
      <c r="J1390" s="190"/>
    </row>
    <row r="1391" customFormat="false" ht="14.25" hidden="false" customHeight="true" outlineLevel="0" collapsed="false">
      <c r="A1391" s="190" t="s">
        <v>5350</v>
      </c>
      <c r="B1391" s="190" t="s">
        <v>5351</v>
      </c>
      <c r="C1391" s="190" t="s">
        <v>5352</v>
      </c>
      <c r="D1391" s="190" t="n">
        <v>1</v>
      </c>
      <c r="E1391" s="190" t="n">
        <v>6</v>
      </c>
      <c r="F1391" s="190" t="n">
        <v>7</v>
      </c>
      <c r="G1391" s="190" t="n">
        <v>1.63</v>
      </c>
      <c r="H1391" s="190" t="s">
        <v>22</v>
      </c>
      <c r="I1391" s="190" t="s">
        <v>121</v>
      </c>
      <c r="J1391" s="190"/>
    </row>
    <row r="1392" customFormat="false" ht="14.25" hidden="false" customHeight="true" outlineLevel="0" collapsed="false">
      <c r="A1392" s="190" t="s">
        <v>5353</v>
      </c>
      <c r="B1392" s="190" t="s">
        <v>5354</v>
      </c>
      <c r="C1392" s="190" t="s">
        <v>947</v>
      </c>
      <c r="D1392" s="190" t="n">
        <v>1</v>
      </c>
      <c r="E1392" s="190" t="n">
        <v>9</v>
      </c>
      <c r="F1392" s="190" t="n">
        <v>10</v>
      </c>
      <c r="G1392" s="190" t="n">
        <v>5.15</v>
      </c>
      <c r="H1392" s="190" t="s">
        <v>22</v>
      </c>
      <c r="I1392" s="190" t="s">
        <v>97</v>
      </c>
      <c r="J1392" s="190"/>
    </row>
    <row r="1393" customFormat="false" ht="14.25" hidden="false" customHeight="true" outlineLevel="0" collapsed="false">
      <c r="A1393" s="190" t="s">
        <v>5355</v>
      </c>
      <c r="B1393" s="190" t="s">
        <v>5356</v>
      </c>
      <c r="C1393" s="190" t="s">
        <v>950</v>
      </c>
      <c r="D1393" s="190" t="n">
        <v>1</v>
      </c>
      <c r="E1393" s="190" t="n">
        <v>7</v>
      </c>
      <c r="F1393" s="190" t="n">
        <v>8</v>
      </c>
      <c r="G1393" s="190" t="n">
        <v>5.08</v>
      </c>
      <c r="H1393" s="190" t="s">
        <v>22</v>
      </c>
      <c r="I1393" s="190" t="s">
        <v>121</v>
      </c>
      <c r="J1393" s="190"/>
    </row>
    <row r="1394" customFormat="false" ht="14.25" hidden="false" customHeight="true" outlineLevel="0" collapsed="false">
      <c r="A1394" s="190" t="s">
        <v>5357</v>
      </c>
      <c r="B1394" s="190" t="s">
        <v>5358</v>
      </c>
      <c r="C1394" s="190" t="s">
        <v>951</v>
      </c>
      <c r="D1394" s="190" t="n">
        <v>1</v>
      </c>
      <c r="E1394" s="190" t="n">
        <v>0</v>
      </c>
      <c r="F1394" s="190" t="n">
        <v>7.58</v>
      </c>
      <c r="G1394" s="190" t="n">
        <v>5.93</v>
      </c>
      <c r="H1394" s="190" t="s">
        <v>22</v>
      </c>
      <c r="I1394" s="190" t="s">
        <v>177</v>
      </c>
      <c r="J1394" s="190"/>
    </row>
    <row r="1395" customFormat="false" ht="14.25" hidden="false" customHeight="true" outlineLevel="0" collapsed="false">
      <c r="A1395" s="190" t="s">
        <v>5359</v>
      </c>
      <c r="B1395" s="190" t="s">
        <v>5360</v>
      </c>
      <c r="C1395" s="190" t="s">
        <v>952</v>
      </c>
      <c r="D1395" s="190" t="n">
        <v>1</v>
      </c>
      <c r="E1395" s="190" t="n">
        <v>0</v>
      </c>
      <c r="F1395" s="190" t="n">
        <v>14.5</v>
      </c>
      <c r="G1395" s="190" t="n">
        <v>224.7</v>
      </c>
      <c r="H1395" s="190" t="s">
        <v>22</v>
      </c>
      <c r="I1395" s="190" t="s">
        <v>177</v>
      </c>
      <c r="J1395" s="190"/>
    </row>
    <row r="1396" customFormat="false" ht="14.25" hidden="false" customHeight="true" outlineLevel="0" collapsed="false">
      <c r="A1396" s="190" t="s">
        <v>5361</v>
      </c>
      <c r="B1396" s="190" t="s">
        <v>5362</v>
      </c>
      <c r="C1396" s="190" t="s">
        <v>954</v>
      </c>
      <c r="D1396" s="190" t="n">
        <v>1</v>
      </c>
      <c r="E1396" s="190" t="n">
        <v>0</v>
      </c>
      <c r="F1396" s="190" t="n">
        <v>1.5</v>
      </c>
      <c r="G1396" s="190" t="n">
        <v>1.5</v>
      </c>
      <c r="H1396" s="190" t="s">
        <v>22</v>
      </c>
      <c r="I1396" s="190" t="s">
        <v>177</v>
      </c>
      <c r="J1396" s="190"/>
    </row>
    <row r="1397" customFormat="false" ht="14.25" hidden="false" customHeight="true" outlineLevel="0" collapsed="false">
      <c r="A1397" s="190" t="s">
        <v>5363</v>
      </c>
      <c r="B1397" s="190" t="s">
        <v>5364</v>
      </c>
      <c r="C1397" s="190" t="s">
        <v>5365</v>
      </c>
      <c r="D1397" s="190" t="n">
        <v>1</v>
      </c>
      <c r="E1397" s="190" t="n">
        <v>0</v>
      </c>
      <c r="F1397" s="190" t="n">
        <v>17</v>
      </c>
      <c r="G1397" s="190" t="n">
        <v>149.2</v>
      </c>
      <c r="H1397" s="190" t="s">
        <v>22</v>
      </c>
      <c r="I1397" s="190" t="n">
        <v>55</v>
      </c>
      <c r="J1397" s="190"/>
    </row>
    <row r="1398" customFormat="false" ht="14.25" hidden="false" customHeight="true" outlineLevel="0" collapsed="false">
      <c r="A1398" s="190" t="s">
        <v>5366</v>
      </c>
      <c r="B1398" s="190" t="s">
        <v>5367</v>
      </c>
      <c r="C1398" s="190" t="s">
        <v>5368</v>
      </c>
      <c r="D1398" s="190" t="n">
        <v>1</v>
      </c>
      <c r="E1398" s="190" t="n">
        <v>8</v>
      </c>
      <c r="F1398" s="190" t="n">
        <v>22.5</v>
      </c>
      <c r="G1398" s="190" t="n">
        <v>8.12</v>
      </c>
      <c r="H1398" s="190" t="s">
        <v>22</v>
      </c>
      <c r="I1398" s="190" t="s">
        <v>2043</v>
      </c>
      <c r="J1398" s="190"/>
    </row>
    <row r="1399" customFormat="false" ht="14.25" hidden="false" customHeight="true" outlineLevel="0" collapsed="false">
      <c r="A1399" s="190" t="s">
        <v>5369</v>
      </c>
      <c r="B1399" s="190" t="s">
        <v>5370</v>
      </c>
      <c r="C1399" s="190" t="s">
        <v>5371</v>
      </c>
      <c r="D1399" s="190" t="n">
        <v>1</v>
      </c>
      <c r="E1399" s="190" t="n">
        <v>0</v>
      </c>
      <c r="F1399" s="190" t="n">
        <v>9.75</v>
      </c>
      <c r="G1399" s="190" t="n">
        <v>24.6</v>
      </c>
      <c r="H1399" s="190" t="s">
        <v>22</v>
      </c>
      <c r="I1399" s="190" t="s">
        <v>584</v>
      </c>
      <c r="J1399" s="190"/>
    </row>
    <row r="1400" customFormat="false" ht="14.25" hidden="false" customHeight="true" outlineLevel="0" collapsed="false">
      <c r="A1400" s="190" t="s">
        <v>5372</v>
      </c>
      <c r="B1400" s="190" t="s">
        <v>5373</v>
      </c>
      <c r="C1400" s="190" t="s">
        <v>5374</v>
      </c>
      <c r="D1400" s="190" t="n">
        <v>1</v>
      </c>
      <c r="E1400" s="190" t="n">
        <v>7</v>
      </c>
      <c r="F1400" s="190" t="n">
        <v>8.25</v>
      </c>
      <c r="G1400" s="190" t="n">
        <v>8.63</v>
      </c>
      <c r="H1400" s="190" t="s">
        <v>22</v>
      </c>
      <c r="I1400" s="190" t="s">
        <v>584</v>
      </c>
      <c r="J1400" s="190"/>
    </row>
    <row r="1401" customFormat="false" ht="14.25" hidden="false" customHeight="true" outlineLevel="0" collapsed="false">
      <c r="A1401" s="190" t="s">
        <v>5375</v>
      </c>
      <c r="B1401" s="190" t="s">
        <v>5376</v>
      </c>
      <c r="C1401" s="190" t="s">
        <v>5377</v>
      </c>
      <c r="D1401" s="190" t="n">
        <v>1</v>
      </c>
      <c r="E1401" s="190" t="n">
        <v>0</v>
      </c>
      <c r="F1401" s="190" t="n">
        <v>5.5</v>
      </c>
      <c r="G1401" s="190" t="n">
        <v>7.67</v>
      </c>
      <c r="H1401" s="190" t="s">
        <v>22</v>
      </c>
      <c r="I1401" s="190" t="s">
        <v>3979</v>
      </c>
      <c r="J1401" s="190"/>
    </row>
    <row r="1402" customFormat="false" ht="14.25" hidden="false" customHeight="true" outlineLevel="0" collapsed="false">
      <c r="A1402" s="190" t="s">
        <v>5378</v>
      </c>
      <c r="B1402" s="190" t="s">
        <v>5379</v>
      </c>
      <c r="C1402" s="190" t="s">
        <v>5380</v>
      </c>
      <c r="D1402" s="190" t="n">
        <v>1</v>
      </c>
      <c r="E1402" s="190" t="n">
        <v>0</v>
      </c>
      <c r="F1402" s="190" t="n">
        <v>16.83</v>
      </c>
      <c r="G1402" s="190" t="n">
        <v>76</v>
      </c>
      <c r="H1402" s="190" t="s">
        <v>22</v>
      </c>
      <c r="I1402" s="190" t="s">
        <v>584</v>
      </c>
      <c r="J1402" s="190"/>
    </row>
    <row r="1403" customFormat="false" ht="14.25" hidden="false" customHeight="true" outlineLevel="0" collapsed="false">
      <c r="A1403" s="190" t="s">
        <v>5381</v>
      </c>
      <c r="B1403" s="190" t="s">
        <v>5382</v>
      </c>
      <c r="C1403" s="190" t="s">
        <v>5383</v>
      </c>
      <c r="D1403" s="190" t="n">
        <v>1</v>
      </c>
      <c r="E1403" s="190" t="n">
        <v>9.75</v>
      </c>
      <c r="F1403" s="190" t="n">
        <v>10.75</v>
      </c>
      <c r="G1403" s="190" t="n">
        <v>24.7</v>
      </c>
      <c r="H1403" s="190" t="s">
        <v>22</v>
      </c>
      <c r="I1403" s="190" t="s">
        <v>584</v>
      </c>
      <c r="J1403" s="190"/>
    </row>
    <row r="1404" customFormat="false" ht="14.25" hidden="false" customHeight="true" outlineLevel="0" collapsed="false">
      <c r="A1404" s="190" t="s">
        <v>5384</v>
      </c>
      <c r="B1404" s="190" t="s">
        <v>5385</v>
      </c>
      <c r="C1404" s="190" t="s">
        <v>5386</v>
      </c>
      <c r="D1404" s="190" t="n">
        <v>1</v>
      </c>
      <c r="E1404" s="190" t="n">
        <v>8</v>
      </c>
      <c r="F1404" s="190" t="n">
        <v>9.25</v>
      </c>
      <c r="G1404" s="190" t="n">
        <v>8.18</v>
      </c>
      <c r="H1404" s="190" t="s">
        <v>22</v>
      </c>
      <c r="I1404" s="190" t="s">
        <v>584</v>
      </c>
      <c r="J1404" s="190"/>
    </row>
    <row r="1405" customFormat="false" ht="14.25" hidden="false" customHeight="true" outlineLevel="0" collapsed="false">
      <c r="A1405" s="190" t="s">
        <v>5387</v>
      </c>
      <c r="B1405" s="190" t="s">
        <v>5388</v>
      </c>
      <c r="C1405" s="190" t="s">
        <v>5389</v>
      </c>
      <c r="D1405" s="190" t="n">
        <v>1</v>
      </c>
      <c r="E1405" s="190" t="n">
        <v>0</v>
      </c>
      <c r="F1405" s="190" t="n">
        <v>26.5</v>
      </c>
      <c r="G1405" s="190" t="n">
        <v>45.3</v>
      </c>
      <c r="H1405" s="190" t="s">
        <v>22</v>
      </c>
      <c r="I1405" s="190" t="s">
        <v>1782</v>
      </c>
      <c r="J1405" s="190"/>
    </row>
    <row r="1406" customFormat="false" ht="14.25" hidden="false" customHeight="true" outlineLevel="0" collapsed="false">
      <c r="A1406" s="190" t="s">
        <v>5390</v>
      </c>
      <c r="B1406" s="190" t="s">
        <v>5391</v>
      </c>
      <c r="C1406" s="190" t="s">
        <v>5392</v>
      </c>
      <c r="D1406" s="190" t="n">
        <v>1</v>
      </c>
      <c r="E1406" s="190" t="n">
        <v>0</v>
      </c>
      <c r="F1406" s="190" t="n">
        <v>14.83</v>
      </c>
      <c r="G1406" s="190" t="n">
        <v>49.5</v>
      </c>
      <c r="H1406" s="190" t="s">
        <v>22</v>
      </c>
      <c r="I1406" s="190" t="s">
        <v>1782</v>
      </c>
      <c r="J1406" s="190"/>
    </row>
    <row r="1407" customFormat="false" ht="14.25" hidden="false" customHeight="true" outlineLevel="0" collapsed="false">
      <c r="A1407" s="190" t="s">
        <v>5393</v>
      </c>
      <c r="B1407" s="190" t="s">
        <v>5394</v>
      </c>
      <c r="C1407" s="190" t="s">
        <v>5395</v>
      </c>
      <c r="D1407" s="190" t="n">
        <v>1</v>
      </c>
      <c r="E1407" s="190" t="n">
        <v>30</v>
      </c>
      <c r="F1407" s="190" t="n">
        <v>28</v>
      </c>
      <c r="G1407" s="190" t="n">
        <v>485.3</v>
      </c>
      <c r="H1407" s="190" t="s">
        <v>22</v>
      </c>
      <c r="I1407" s="190" t="s">
        <v>137</v>
      </c>
      <c r="J1407" s="190"/>
    </row>
    <row r="1408" customFormat="false" ht="14.25" hidden="false" customHeight="true" outlineLevel="0" collapsed="false">
      <c r="A1408" s="190" t="s">
        <v>5396</v>
      </c>
      <c r="B1408" s="190" t="s">
        <v>5397</v>
      </c>
      <c r="C1408" s="190" t="s">
        <v>5398</v>
      </c>
      <c r="D1408" s="190" t="n">
        <v>1</v>
      </c>
      <c r="E1408" s="190" t="n">
        <v>0</v>
      </c>
      <c r="F1408" s="190" t="n">
        <v>2</v>
      </c>
      <c r="G1408" s="190" t="n">
        <v>2</v>
      </c>
      <c r="H1408" s="190" t="s">
        <v>22</v>
      </c>
      <c r="I1408" s="190" t="s">
        <v>1782</v>
      </c>
      <c r="J1408" s="190"/>
    </row>
    <row r="1409" customFormat="false" ht="14.25" hidden="false" customHeight="true" outlineLevel="0" collapsed="false">
      <c r="A1409" s="190" t="s">
        <v>963</v>
      </c>
      <c r="B1409" s="190" t="s">
        <v>961</v>
      </c>
      <c r="C1409" s="190" t="s">
        <v>962</v>
      </c>
      <c r="D1409" s="190" t="n">
        <v>1</v>
      </c>
      <c r="E1409" s="190" t="n">
        <v>0</v>
      </c>
      <c r="F1409" s="190" t="n">
        <v>28.1</v>
      </c>
      <c r="G1409" s="190" t="n">
        <v>120</v>
      </c>
      <c r="H1409" s="190" t="s">
        <v>22</v>
      </c>
      <c r="I1409" s="190" t="s">
        <v>121</v>
      </c>
      <c r="J1409" s="190"/>
    </row>
    <row r="1410" customFormat="false" ht="14.25" hidden="false" customHeight="true" outlineLevel="0" collapsed="false">
      <c r="A1410" s="190" t="s">
        <v>966</v>
      </c>
      <c r="B1410" s="190" t="s">
        <v>964</v>
      </c>
      <c r="C1410" s="190" t="s">
        <v>965</v>
      </c>
      <c r="D1410" s="190" t="n">
        <v>1</v>
      </c>
      <c r="E1410" s="190" t="n">
        <v>0</v>
      </c>
      <c r="F1410" s="190" t="n">
        <v>17.25</v>
      </c>
      <c r="G1410" s="190" t="n">
        <v>127.5</v>
      </c>
      <c r="H1410" s="190" t="s">
        <v>22</v>
      </c>
      <c r="I1410" s="190" t="s">
        <v>121</v>
      </c>
      <c r="J1410" s="190"/>
    </row>
    <row r="1411" customFormat="false" ht="14.25" hidden="false" customHeight="true" outlineLevel="0" collapsed="false">
      <c r="A1411" s="190" t="s">
        <v>5399</v>
      </c>
      <c r="B1411" s="190" t="s">
        <v>5400</v>
      </c>
      <c r="C1411" s="190" t="s">
        <v>5401</v>
      </c>
      <c r="D1411" s="190" t="n">
        <v>1</v>
      </c>
      <c r="E1411" s="190" t="n">
        <v>10</v>
      </c>
      <c r="F1411" s="190" t="n">
        <v>10</v>
      </c>
      <c r="G1411" s="190" t="n">
        <v>219.7</v>
      </c>
      <c r="H1411" s="190" t="s">
        <v>22</v>
      </c>
      <c r="I1411" s="190" t="s">
        <v>1790</v>
      </c>
      <c r="J1411" s="190"/>
    </row>
    <row r="1412" customFormat="false" ht="14.25" hidden="false" customHeight="true" outlineLevel="0" collapsed="false">
      <c r="A1412" s="190" t="s">
        <v>5402</v>
      </c>
      <c r="B1412" s="190" t="s">
        <v>5403</v>
      </c>
      <c r="C1412" s="190" t="s">
        <v>5404</v>
      </c>
      <c r="D1412" s="190" t="n">
        <v>1</v>
      </c>
      <c r="E1412" s="190" t="n">
        <v>4.5</v>
      </c>
      <c r="F1412" s="190" t="n">
        <v>15.08</v>
      </c>
      <c r="G1412" s="190" t="n">
        <v>3.5</v>
      </c>
      <c r="H1412" s="190" t="s">
        <v>22</v>
      </c>
      <c r="I1412" s="190" t="s">
        <v>234</v>
      </c>
      <c r="J1412" s="190"/>
    </row>
    <row r="1413" customFormat="false" ht="14.25" hidden="false" customHeight="true" outlineLevel="0" collapsed="false">
      <c r="A1413" s="190" t="s">
        <v>5405</v>
      </c>
      <c r="B1413" s="190" t="s">
        <v>5406</v>
      </c>
      <c r="C1413" s="190" t="s">
        <v>5407</v>
      </c>
      <c r="D1413" s="190" t="n">
        <v>1</v>
      </c>
      <c r="E1413" s="190" t="n">
        <v>8</v>
      </c>
      <c r="F1413" s="190" t="n">
        <v>15.08</v>
      </c>
      <c r="G1413" s="190" t="n">
        <v>96.8</v>
      </c>
      <c r="H1413" s="190" t="s">
        <v>22</v>
      </c>
      <c r="I1413" s="190" t="s">
        <v>2043</v>
      </c>
      <c r="J1413" s="190"/>
    </row>
    <row r="1414" customFormat="false" ht="14.25" hidden="false" customHeight="true" outlineLevel="0" collapsed="false">
      <c r="A1414" s="190" t="s">
        <v>5408</v>
      </c>
      <c r="B1414" s="190" t="s">
        <v>5409</v>
      </c>
      <c r="C1414" s="190" t="s">
        <v>5410</v>
      </c>
      <c r="D1414" s="190" t="n">
        <v>1</v>
      </c>
      <c r="E1414" s="190" t="n">
        <v>8</v>
      </c>
      <c r="F1414" s="190" t="n">
        <v>11.5</v>
      </c>
      <c r="G1414" s="190" t="n">
        <v>131.1</v>
      </c>
      <c r="H1414" s="190" t="s">
        <v>22</v>
      </c>
      <c r="I1414" s="190" t="s">
        <v>2043</v>
      </c>
      <c r="J1414" s="190"/>
    </row>
    <row r="1415" customFormat="false" ht="14.25" hidden="false" customHeight="true" outlineLevel="0" collapsed="false">
      <c r="A1415" s="190" t="s">
        <v>982</v>
      </c>
      <c r="B1415" s="190" t="s">
        <v>980</v>
      </c>
      <c r="C1415" s="190" t="s">
        <v>981</v>
      </c>
      <c r="D1415" s="190" t="n">
        <v>1</v>
      </c>
      <c r="E1415" s="190" t="n">
        <v>0</v>
      </c>
      <c r="F1415" s="190" t="n">
        <v>54.2</v>
      </c>
      <c r="G1415" s="190" t="n">
        <v>288.2</v>
      </c>
      <c r="H1415" s="190" t="s">
        <v>22</v>
      </c>
      <c r="I1415" s="190" t="s">
        <v>97</v>
      </c>
      <c r="J1415" s="190"/>
    </row>
    <row r="1416" customFormat="false" ht="14.25" hidden="false" customHeight="true" outlineLevel="0" collapsed="false">
      <c r="A1416" s="190" t="s">
        <v>5411</v>
      </c>
      <c r="B1416" s="190" t="s">
        <v>5412</v>
      </c>
      <c r="C1416" s="190" t="s">
        <v>5413</v>
      </c>
      <c r="D1416" s="190" t="n">
        <v>1</v>
      </c>
      <c r="E1416" s="190" t="n">
        <v>8</v>
      </c>
      <c r="F1416" s="190" t="n">
        <v>4.7</v>
      </c>
      <c r="G1416" s="190" t="n">
        <v>429.5</v>
      </c>
      <c r="H1416" s="190" t="s">
        <v>22</v>
      </c>
      <c r="I1416" s="190" t="s">
        <v>1790</v>
      </c>
      <c r="J1416" s="190"/>
    </row>
    <row r="1417" customFormat="false" ht="14.25" hidden="false" customHeight="true" outlineLevel="0" collapsed="false">
      <c r="A1417" s="190" t="s">
        <v>5414</v>
      </c>
      <c r="B1417" s="190" t="s">
        <v>5415</v>
      </c>
      <c r="C1417" s="190" t="s">
        <v>5416</v>
      </c>
      <c r="D1417" s="190" t="n">
        <v>1</v>
      </c>
      <c r="E1417" s="190" t="n">
        <v>6</v>
      </c>
      <c r="F1417" s="190" t="n">
        <v>48.8</v>
      </c>
      <c r="G1417" s="190" t="n">
        <v>86</v>
      </c>
      <c r="H1417" s="190" t="s">
        <v>22</v>
      </c>
      <c r="I1417" s="190" t="s">
        <v>2735</v>
      </c>
      <c r="J1417" s="190"/>
    </row>
    <row r="1418" customFormat="false" ht="14.25" hidden="false" customHeight="true" outlineLevel="0" collapsed="false">
      <c r="A1418" s="190" t="s">
        <v>5417</v>
      </c>
      <c r="B1418" s="190" t="s">
        <v>5418</v>
      </c>
      <c r="C1418" s="190" t="s">
        <v>5419</v>
      </c>
      <c r="D1418" s="190" t="n">
        <v>1</v>
      </c>
      <c r="E1418" s="190" t="n">
        <v>0</v>
      </c>
      <c r="F1418" s="190" t="n">
        <v>28.9</v>
      </c>
      <c r="G1418" s="190" t="n">
        <v>59.9</v>
      </c>
      <c r="H1418" s="190" t="s">
        <v>22</v>
      </c>
      <c r="I1418" s="190" t="n">
        <v>51</v>
      </c>
      <c r="J1418" s="190"/>
    </row>
    <row r="1419" customFormat="false" ht="14.25" hidden="false" customHeight="true" outlineLevel="0" collapsed="false">
      <c r="A1419" s="190" t="s">
        <v>5420</v>
      </c>
      <c r="B1419" s="190" t="s">
        <v>986</v>
      </c>
      <c r="C1419" s="190" t="s">
        <v>987</v>
      </c>
      <c r="D1419" s="190" t="n">
        <v>1</v>
      </c>
      <c r="E1419" s="190" t="n">
        <v>32</v>
      </c>
      <c r="F1419" s="190" t="n">
        <v>31</v>
      </c>
      <c r="G1419" s="190" t="n">
        <v>7.48</v>
      </c>
      <c r="H1419" s="190" t="s">
        <v>22</v>
      </c>
      <c r="I1419" s="190" t="s">
        <v>2568</v>
      </c>
      <c r="J1419" s="190"/>
    </row>
    <row r="1420" customFormat="false" ht="14.25" hidden="false" customHeight="true" outlineLevel="0" collapsed="false">
      <c r="A1420" s="190" t="s">
        <v>5421</v>
      </c>
      <c r="B1420" s="190" t="s">
        <v>5422</v>
      </c>
      <c r="C1420" s="190" t="s">
        <v>5423</v>
      </c>
      <c r="D1420" s="190" t="n">
        <v>1</v>
      </c>
      <c r="E1420" s="190" t="n">
        <v>7</v>
      </c>
      <c r="F1420" s="190" t="n">
        <v>6.5</v>
      </c>
      <c r="G1420" s="190" t="n">
        <v>6.5</v>
      </c>
      <c r="H1420" s="190" t="s">
        <v>22</v>
      </c>
      <c r="I1420" s="190" t="s">
        <v>5231</v>
      </c>
      <c r="J1420" s="190"/>
    </row>
    <row r="1421" customFormat="false" ht="14.25" hidden="false" customHeight="true" outlineLevel="0" collapsed="false">
      <c r="A1421" s="190" t="s">
        <v>5424</v>
      </c>
      <c r="B1421" s="190" t="s">
        <v>5425</v>
      </c>
      <c r="C1421" s="190" t="s">
        <v>5426</v>
      </c>
      <c r="D1421" s="190" t="n">
        <v>1</v>
      </c>
      <c r="E1421" s="190" t="n">
        <v>7</v>
      </c>
      <c r="F1421" s="190" t="n">
        <v>6.5</v>
      </c>
      <c r="G1421" s="190" t="n">
        <v>6.5</v>
      </c>
      <c r="H1421" s="190" t="s">
        <v>22</v>
      </c>
      <c r="I1421" s="190" t="s">
        <v>5231</v>
      </c>
      <c r="J1421" s="190"/>
    </row>
    <row r="1422" customFormat="false" ht="14.25" hidden="false" customHeight="true" outlineLevel="0" collapsed="false">
      <c r="A1422" s="190" t="s">
        <v>5427</v>
      </c>
      <c r="B1422" s="190" t="s">
        <v>5428</v>
      </c>
      <c r="C1422" s="190" t="s">
        <v>5429</v>
      </c>
      <c r="D1422" s="190" t="n">
        <v>1</v>
      </c>
      <c r="E1422" s="190" t="n">
        <v>4.5</v>
      </c>
      <c r="F1422" s="190" t="n">
        <v>47</v>
      </c>
      <c r="G1422" s="190" t="n">
        <v>158.5</v>
      </c>
      <c r="H1422" s="190" t="s">
        <v>22</v>
      </c>
      <c r="I1422" s="190" t="n">
        <v>71</v>
      </c>
      <c r="J1422" s="190"/>
    </row>
    <row r="1423" customFormat="false" ht="14.25" hidden="false" customHeight="true" outlineLevel="0" collapsed="false">
      <c r="A1423" s="190" t="s">
        <v>5430</v>
      </c>
      <c r="B1423" s="190" t="s">
        <v>5431</v>
      </c>
      <c r="C1423" s="190" t="s">
        <v>5432</v>
      </c>
      <c r="D1423" s="190" t="n">
        <v>1</v>
      </c>
      <c r="E1423" s="190" t="n">
        <v>0</v>
      </c>
      <c r="F1423" s="190" t="n">
        <v>1</v>
      </c>
      <c r="G1423" s="190" t="n">
        <v>1</v>
      </c>
      <c r="H1423" s="190" t="s">
        <v>22</v>
      </c>
      <c r="I1423" s="190" t="s">
        <v>121</v>
      </c>
      <c r="J1423" s="190"/>
    </row>
    <row r="1424" customFormat="false" ht="14.25" hidden="false" customHeight="true" outlineLevel="0" collapsed="false">
      <c r="A1424" s="190" t="s">
        <v>991</v>
      </c>
      <c r="B1424" s="190" t="s">
        <v>989</v>
      </c>
      <c r="C1424" s="190" t="s">
        <v>990</v>
      </c>
      <c r="D1424" s="190" t="n">
        <v>1</v>
      </c>
      <c r="E1424" s="190" t="n">
        <v>24</v>
      </c>
      <c r="F1424" s="190" t="n">
        <v>29</v>
      </c>
      <c r="G1424" s="190" t="n">
        <v>14.67</v>
      </c>
      <c r="H1424" s="190" t="s">
        <v>22</v>
      </c>
      <c r="I1424" s="190" t="s">
        <v>2568</v>
      </c>
      <c r="J1424" s="190"/>
    </row>
    <row r="1425" customFormat="false" ht="14.25" hidden="false" customHeight="true" outlineLevel="0" collapsed="false">
      <c r="A1425" s="190" t="s">
        <v>994</v>
      </c>
      <c r="B1425" s="190" t="s">
        <v>992</v>
      </c>
      <c r="C1425" s="190" t="s">
        <v>993</v>
      </c>
      <c r="D1425" s="190" t="n">
        <v>1</v>
      </c>
      <c r="E1425" s="190" t="n">
        <v>12</v>
      </c>
      <c r="F1425" s="190" t="n">
        <v>16</v>
      </c>
      <c r="G1425" s="190" t="n">
        <v>14.67</v>
      </c>
      <c r="H1425" s="190" t="s">
        <v>22</v>
      </c>
      <c r="I1425" s="190" t="s">
        <v>2568</v>
      </c>
      <c r="J1425" s="190"/>
    </row>
    <row r="1426" customFormat="false" ht="14.25" hidden="false" customHeight="true" outlineLevel="0" collapsed="false">
      <c r="A1426" s="190" t="s">
        <v>5433</v>
      </c>
      <c r="B1426" s="190" t="s">
        <v>5434</v>
      </c>
      <c r="C1426" s="190" t="s">
        <v>5435</v>
      </c>
      <c r="D1426" s="190" t="n">
        <v>1</v>
      </c>
      <c r="E1426" s="190" t="n">
        <v>1.7</v>
      </c>
      <c r="F1426" s="190" t="n">
        <v>6.67</v>
      </c>
      <c r="G1426" s="190" t="n">
        <v>311.7</v>
      </c>
      <c r="H1426" s="190" t="s">
        <v>22</v>
      </c>
      <c r="I1426" s="190" t="s">
        <v>121</v>
      </c>
      <c r="J1426" s="190" t="s">
        <v>1736</v>
      </c>
    </row>
    <row r="1427" customFormat="false" ht="14.25" hidden="false" customHeight="true" outlineLevel="0" collapsed="false">
      <c r="A1427" s="190" t="s">
        <v>5436</v>
      </c>
      <c r="B1427" s="190" t="s">
        <v>5437</v>
      </c>
      <c r="C1427" s="190" t="s">
        <v>5438</v>
      </c>
      <c r="D1427" s="190" t="n">
        <v>1</v>
      </c>
      <c r="E1427" s="190" t="n">
        <v>1.7</v>
      </c>
      <c r="F1427" s="190" t="n">
        <v>6.75</v>
      </c>
      <c r="G1427" s="190" t="n">
        <v>311.7</v>
      </c>
      <c r="H1427" s="190" t="s">
        <v>22</v>
      </c>
      <c r="I1427" s="190" t="n">
        <v>57</v>
      </c>
      <c r="J1427" s="190" t="s">
        <v>1736</v>
      </c>
    </row>
    <row r="1428" customFormat="false" ht="14.25" hidden="false" customHeight="true" outlineLevel="0" collapsed="false">
      <c r="A1428" s="190" t="s">
        <v>5439</v>
      </c>
      <c r="B1428" s="190" t="s">
        <v>5440</v>
      </c>
      <c r="C1428" s="190" t="s">
        <v>5441</v>
      </c>
      <c r="D1428" s="190" t="n">
        <v>1</v>
      </c>
      <c r="E1428" s="190" t="n">
        <v>0</v>
      </c>
      <c r="F1428" s="190" t="n">
        <v>5</v>
      </c>
      <c r="G1428" s="190" t="n">
        <v>2.02</v>
      </c>
      <c r="H1428" s="190" t="s">
        <v>22</v>
      </c>
      <c r="I1428" s="190" t="s">
        <v>2363</v>
      </c>
      <c r="J1428" s="190"/>
    </row>
    <row r="1429" customFormat="false" ht="14.25" hidden="false" customHeight="true" outlineLevel="0" collapsed="false">
      <c r="A1429" s="190" t="s">
        <v>5442</v>
      </c>
      <c r="B1429" s="190" t="s">
        <v>5443</v>
      </c>
      <c r="C1429" s="190" t="s">
        <v>5444</v>
      </c>
      <c r="D1429" s="190" t="n">
        <v>1</v>
      </c>
      <c r="E1429" s="190" t="n">
        <v>0</v>
      </c>
      <c r="F1429" s="190" t="n">
        <v>7</v>
      </c>
      <c r="G1429" s="190" t="n">
        <v>2.67</v>
      </c>
      <c r="H1429" s="190" t="s">
        <v>22</v>
      </c>
      <c r="I1429" s="190" t="s">
        <v>2363</v>
      </c>
      <c r="J1429" s="190"/>
    </row>
    <row r="1430" customFormat="false" ht="14.25" hidden="false" customHeight="true" outlineLevel="0" collapsed="false">
      <c r="A1430" s="190" t="s">
        <v>5445</v>
      </c>
      <c r="B1430" s="190" t="s">
        <v>998</v>
      </c>
      <c r="C1430" s="190" t="s">
        <v>999</v>
      </c>
      <c r="D1430" s="190" t="n">
        <v>1</v>
      </c>
      <c r="E1430" s="190" t="n">
        <v>6</v>
      </c>
      <c r="F1430" s="190" t="n">
        <v>7.5</v>
      </c>
      <c r="G1430" s="190" t="n">
        <v>6.5</v>
      </c>
      <c r="H1430" s="190" t="s">
        <v>22</v>
      </c>
      <c r="I1430" s="190" t="s">
        <v>2568</v>
      </c>
      <c r="J1430" s="190"/>
    </row>
    <row r="1431" customFormat="false" ht="14.25" hidden="false" customHeight="true" outlineLevel="0" collapsed="false">
      <c r="A1431" s="190" t="s">
        <v>5446</v>
      </c>
      <c r="B1431" s="190" t="s">
        <v>1000</v>
      </c>
      <c r="C1431" s="190" t="s">
        <v>1001</v>
      </c>
      <c r="D1431" s="190" t="n">
        <v>1</v>
      </c>
      <c r="E1431" s="190" t="n">
        <v>6</v>
      </c>
      <c r="F1431" s="190" t="n">
        <v>7.5</v>
      </c>
      <c r="G1431" s="190" t="n">
        <v>6.5</v>
      </c>
      <c r="H1431" s="190" t="s">
        <v>22</v>
      </c>
      <c r="I1431" s="190" t="s">
        <v>2568</v>
      </c>
      <c r="J1431" s="190"/>
    </row>
    <row r="1432" customFormat="false" ht="14.25" hidden="false" customHeight="true" outlineLevel="0" collapsed="false">
      <c r="A1432" s="190" t="s">
        <v>5447</v>
      </c>
      <c r="B1432" s="190" t="s">
        <v>1002</v>
      </c>
      <c r="C1432" s="190" t="s">
        <v>1003</v>
      </c>
      <c r="D1432" s="190" t="n">
        <v>1</v>
      </c>
      <c r="E1432" s="190" t="n">
        <v>6</v>
      </c>
      <c r="F1432" s="190" t="n">
        <v>6.5</v>
      </c>
      <c r="G1432" s="190" t="n">
        <v>6.5</v>
      </c>
      <c r="H1432" s="190" t="s">
        <v>22</v>
      </c>
      <c r="I1432" s="190" t="s">
        <v>2568</v>
      </c>
      <c r="J1432" s="190"/>
    </row>
    <row r="1433" customFormat="false" ht="14.25" hidden="false" customHeight="true" outlineLevel="0" collapsed="false">
      <c r="A1433" s="190" t="s">
        <v>5448</v>
      </c>
      <c r="B1433" s="190" t="s">
        <v>5449</v>
      </c>
      <c r="C1433" s="190" t="s">
        <v>1006</v>
      </c>
      <c r="D1433" s="190" t="n">
        <v>1</v>
      </c>
      <c r="E1433" s="190" t="n">
        <v>12</v>
      </c>
      <c r="F1433" s="190" t="n">
        <v>15</v>
      </c>
      <c r="G1433" s="190" t="n">
        <v>207.1</v>
      </c>
      <c r="H1433" s="190" t="s">
        <v>22</v>
      </c>
      <c r="I1433" s="190" t="s">
        <v>2568</v>
      </c>
      <c r="J1433" s="190"/>
    </row>
    <row r="1434" customFormat="false" ht="14.25" hidden="false" customHeight="true" outlineLevel="0" collapsed="false">
      <c r="A1434" s="190" t="s">
        <v>5450</v>
      </c>
      <c r="B1434" s="190" t="s">
        <v>5451</v>
      </c>
      <c r="C1434" s="190" t="s">
        <v>1008</v>
      </c>
      <c r="D1434" s="190" t="n">
        <v>1</v>
      </c>
      <c r="E1434" s="190" t="n">
        <v>12</v>
      </c>
      <c r="F1434" s="190" t="n">
        <v>19.5</v>
      </c>
      <c r="G1434" s="190" t="n">
        <v>27.6</v>
      </c>
      <c r="H1434" s="190" t="s">
        <v>22</v>
      </c>
      <c r="I1434" s="190" t="s">
        <v>2568</v>
      </c>
      <c r="J1434" s="190"/>
    </row>
    <row r="1435" customFormat="false" ht="14.25" hidden="false" customHeight="true" outlineLevel="0" collapsed="false">
      <c r="A1435" s="190" t="s">
        <v>5452</v>
      </c>
      <c r="B1435" s="190" t="s">
        <v>5453</v>
      </c>
      <c r="C1435" s="190" t="s">
        <v>1009</v>
      </c>
      <c r="D1435" s="190" t="n">
        <v>1</v>
      </c>
      <c r="E1435" s="190" t="n">
        <v>6</v>
      </c>
      <c r="F1435" s="190" t="n">
        <v>13</v>
      </c>
      <c r="G1435" s="190" t="n">
        <v>6.5</v>
      </c>
      <c r="H1435" s="190" t="s">
        <v>22</v>
      </c>
      <c r="I1435" s="190" t="s">
        <v>2568</v>
      </c>
      <c r="J1435" s="190"/>
    </row>
    <row r="1436" customFormat="false" ht="14.25" hidden="false" customHeight="true" outlineLevel="0" collapsed="false">
      <c r="A1436" s="190" t="s">
        <v>5454</v>
      </c>
      <c r="B1436" s="190" t="s">
        <v>5455</v>
      </c>
      <c r="C1436" s="190" t="s">
        <v>1010</v>
      </c>
      <c r="D1436" s="190" t="n">
        <v>1</v>
      </c>
      <c r="E1436" s="190" t="n">
        <v>12</v>
      </c>
      <c r="F1436" s="190" t="n">
        <v>19.5</v>
      </c>
      <c r="G1436" s="190" t="n">
        <v>21.32</v>
      </c>
      <c r="H1436" s="190" t="s">
        <v>22</v>
      </c>
      <c r="I1436" s="190" t="s">
        <v>2568</v>
      </c>
      <c r="J1436" s="190"/>
    </row>
    <row r="1437" customFormat="false" ht="14.25" hidden="false" customHeight="true" outlineLevel="0" collapsed="false">
      <c r="A1437" s="190" t="s">
        <v>5456</v>
      </c>
      <c r="B1437" s="190" t="s">
        <v>5457</v>
      </c>
      <c r="C1437" s="190" t="s">
        <v>1012</v>
      </c>
      <c r="D1437" s="190" t="n">
        <v>1</v>
      </c>
      <c r="E1437" s="190" t="n">
        <v>0</v>
      </c>
      <c r="F1437" s="190" t="n">
        <v>2</v>
      </c>
      <c r="G1437" s="190" t="n">
        <v>2</v>
      </c>
      <c r="H1437" s="190" t="s">
        <v>22</v>
      </c>
      <c r="I1437" s="190" t="s">
        <v>177</v>
      </c>
      <c r="J1437" s="190"/>
    </row>
    <row r="1438" customFormat="false" ht="14.25" hidden="false" customHeight="true" outlineLevel="0" collapsed="false">
      <c r="A1438" s="190" t="s">
        <v>5458</v>
      </c>
      <c r="B1438" s="190" t="s">
        <v>5459</v>
      </c>
      <c r="C1438" s="190" t="s">
        <v>1013</v>
      </c>
      <c r="D1438" s="190" t="n">
        <v>1</v>
      </c>
      <c r="E1438" s="190" t="n">
        <v>0</v>
      </c>
      <c r="F1438" s="190" t="n">
        <v>5</v>
      </c>
      <c r="G1438" s="190" t="n">
        <v>3</v>
      </c>
      <c r="H1438" s="190" t="s">
        <v>22</v>
      </c>
      <c r="I1438" s="190" t="s">
        <v>177</v>
      </c>
      <c r="J1438" s="190"/>
    </row>
    <row r="1439" customFormat="false" ht="14.25" hidden="false" customHeight="true" outlineLevel="0" collapsed="false">
      <c r="A1439" s="190" t="s">
        <v>5460</v>
      </c>
      <c r="B1439" s="190" t="s">
        <v>5461</v>
      </c>
      <c r="C1439" s="190" t="s">
        <v>1014</v>
      </c>
      <c r="D1439" s="190" t="n">
        <v>1</v>
      </c>
      <c r="E1439" s="190" t="n">
        <v>0</v>
      </c>
      <c r="F1439" s="190" t="n">
        <v>3.5</v>
      </c>
      <c r="G1439" s="190" t="n">
        <v>2.5</v>
      </c>
      <c r="H1439" s="190" t="s">
        <v>22</v>
      </c>
      <c r="I1439" s="190" t="s">
        <v>177</v>
      </c>
      <c r="J1439" s="190"/>
    </row>
    <row r="1440" customFormat="false" ht="14.25" hidden="false" customHeight="true" outlineLevel="0" collapsed="false">
      <c r="A1440" s="190" t="s">
        <v>5462</v>
      </c>
      <c r="B1440" s="190" t="s">
        <v>5463</v>
      </c>
      <c r="C1440" s="190" t="s">
        <v>5464</v>
      </c>
      <c r="D1440" s="190" t="n">
        <v>1</v>
      </c>
      <c r="E1440" s="190" t="n">
        <v>4</v>
      </c>
      <c r="F1440" s="190" t="n">
        <v>3</v>
      </c>
      <c r="G1440" s="190" t="n">
        <v>3</v>
      </c>
      <c r="H1440" s="190" t="s">
        <v>22</v>
      </c>
      <c r="I1440" s="190" t="s">
        <v>3020</v>
      </c>
      <c r="J1440" s="190"/>
    </row>
    <row r="1441" customFormat="false" ht="14.25" hidden="false" customHeight="true" outlineLevel="0" collapsed="false">
      <c r="A1441" s="190" t="s">
        <v>5465</v>
      </c>
      <c r="B1441" s="190" t="s">
        <v>5466</v>
      </c>
      <c r="C1441" s="190" t="s">
        <v>5467</v>
      </c>
      <c r="D1441" s="190" t="s">
        <v>1720</v>
      </c>
      <c r="E1441" s="190" t="n">
        <v>0</v>
      </c>
      <c r="F1441" s="190" t="n">
        <v>20</v>
      </c>
      <c r="G1441" s="190" t="n">
        <v>262.4</v>
      </c>
      <c r="H1441" s="190" t="s">
        <v>22</v>
      </c>
      <c r="I1441" s="190" t="n">
        <v>71</v>
      </c>
      <c r="J1441" s="190"/>
    </row>
    <row r="1442" customFormat="false" ht="14.25" hidden="false" customHeight="true" outlineLevel="0" collapsed="false">
      <c r="A1442" s="190" t="s">
        <v>5468</v>
      </c>
      <c r="B1442" s="190" t="s">
        <v>5469</v>
      </c>
      <c r="C1442" s="190" t="s">
        <v>1015</v>
      </c>
      <c r="D1442" s="190" t="n">
        <v>1</v>
      </c>
      <c r="E1442" s="190" t="n">
        <v>0</v>
      </c>
      <c r="F1442" s="190" t="n">
        <v>15</v>
      </c>
      <c r="G1442" s="190" t="n">
        <v>102.4</v>
      </c>
      <c r="H1442" s="190" t="s">
        <v>22</v>
      </c>
      <c r="I1442" s="190" t="s">
        <v>2568</v>
      </c>
      <c r="J1442" s="190"/>
    </row>
    <row r="1443" customFormat="false" ht="14.25" hidden="false" customHeight="true" outlineLevel="0" collapsed="false">
      <c r="A1443" s="190" t="s">
        <v>5470</v>
      </c>
      <c r="B1443" s="190" t="s">
        <v>5471</v>
      </c>
      <c r="C1443" s="190" t="s">
        <v>1018</v>
      </c>
      <c r="D1443" s="190" t="n">
        <v>1</v>
      </c>
      <c r="E1443" s="190" t="n">
        <v>0</v>
      </c>
      <c r="F1443" s="190" t="n">
        <v>20.75</v>
      </c>
      <c r="G1443" s="190" t="n">
        <v>11.53</v>
      </c>
      <c r="H1443" s="190" t="s">
        <v>22</v>
      </c>
      <c r="I1443" s="190" t="s">
        <v>97</v>
      </c>
      <c r="J1443" s="190"/>
    </row>
    <row r="1444" customFormat="false" ht="14.25" hidden="false" customHeight="true" outlineLevel="0" collapsed="false">
      <c r="A1444" s="190" t="s">
        <v>5472</v>
      </c>
      <c r="B1444" s="190" t="s">
        <v>5473</v>
      </c>
      <c r="C1444" s="190" t="s">
        <v>5474</v>
      </c>
      <c r="D1444" s="190" t="n">
        <v>1</v>
      </c>
      <c r="E1444" s="190" t="n">
        <v>0</v>
      </c>
      <c r="F1444" s="190" t="n">
        <v>10</v>
      </c>
      <c r="G1444" s="190" t="n">
        <v>10.52</v>
      </c>
      <c r="H1444" s="190" t="s">
        <v>22</v>
      </c>
      <c r="I1444" s="190" t="n">
        <v>32</v>
      </c>
      <c r="J1444" s="190"/>
    </row>
    <row r="1445" customFormat="false" ht="14.25" hidden="false" customHeight="true" outlineLevel="0" collapsed="false">
      <c r="A1445" s="190" t="s">
        <v>5475</v>
      </c>
      <c r="B1445" s="190" t="s">
        <v>5476</v>
      </c>
      <c r="C1445" s="190" t="s">
        <v>5477</v>
      </c>
      <c r="D1445" s="190" t="s">
        <v>1720</v>
      </c>
      <c r="E1445" s="190" t="n">
        <v>0</v>
      </c>
      <c r="F1445" s="190" t="n">
        <v>10</v>
      </c>
      <c r="G1445" s="190" t="n">
        <v>2.02</v>
      </c>
      <c r="H1445" s="190" t="s">
        <v>22</v>
      </c>
      <c r="I1445" s="190" t="s">
        <v>5478</v>
      </c>
      <c r="J1445" s="190"/>
    </row>
    <row r="1446" customFormat="false" ht="14.25" hidden="false" customHeight="true" outlineLevel="0" collapsed="false">
      <c r="A1446" s="190" t="s">
        <v>5479</v>
      </c>
      <c r="B1446" s="190" t="s">
        <v>1019</v>
      </c>
      <c r="C1446" s="190" t="s">
        <v>1020</v>
      </c>
      <c r="D1446" s="190" t="n">
        <v>1</v>
      </c>
      <c r="E1446" s="190" t="n">
        <v>0</v>
      </c>
      <c r="F1446" s="190" t="n">
        <v>5.67</v>
      </c>
      <c r="G1446" s="190" t="n">
        <v>4.72</v>
      </c>
      <c r="H1446" s="190" t="s">
        <v>22</v>
      </c>
      <c r="I1446" s="190" t="n">
        <v>25</v>
      </c>
      <c r="J1446" s="190"/>
    </row>
    <row r="1447" customFormat="false" ht="14.25" hidden="false" customHeight="true" outlineLevel="0" collapsed="false">
      <c r="A1447" s="190" t="s">
        <v>5480</v>
      </c>
      <c r="B1447" s="190" t="s">
        <v>5481</v>
      </c>
      <c r="C1447" s="190" t="s">
        <v>5482</v>
      </c>
      <c r="D1447" s="190" t="n">
        <v>1</v>
      </c>
      <c r="E1447" s="190" t="n">
        <v>0</v>
      </c>
      <c r="F1447" s="190" t="n">
        <v>6</v>
      </c>
      <c r="G1447" s="190" t="n">
        <v>8.78</v>
      </c>
      <c r="H1447" s="190" t="s">
        <v>22</v>
      </c>
      <c r="I1447" s="190" t="s">
        <v>5483</v>
      </c>
      <c r="J1447" s="190"/>
    </row>
    <row r="1448" customFormat="false" ht="14.25" hidden="false" customHeight="true" outlineLevel="0" collapsed="false">
      <c r="A1448" s="190" t="s">
        <v>5484</v>
      </c>
      <c r="B1448" s="190" t="s">
        <v>5485</v>
      </c>
      <c r="C1448" s="190" t="s">
        <v>5486</v>
      </c>
      <c r="D1448" s="190" t="n">
        <v>1</v>
      </c>
      <c r="E1448" s="190" t="n">
        <v>4</v>
      </c>
      <c r="F1448" s="190" t="n">
        <v>2</v>
      </c>
      <c r="G1448" s="190" t="n">
        <v>2</v>
      </c>
      <c r="H1448" s="190" t="s">
        <v>22</v>
      </c>
      <c r="I1448" s="190" t="s">
        <v>5487</v>
      </c>
      <c r="J1448" s="190"/>
    </row>
    <row r="1449" customFormat="false" ht="14.25" hidden="false" customHeight="true" outlineLevel="0" collapsed="false">
      <c r="A1449" s="190" t="s">
        <v>5488</v>
      </c>
      <c r="B1449" s="190" t="s">
        <v>1022</v>
      </c>
      <c r="C1449" s="190" t="s">
        <v>1023</v>
      </c>
      <c r="D1449" s="190" t="n">
        <v>1</v>
      </c>
      <c r="E1449" s="190" t="n">
        <v>0</v>
      </c>
      <c r="F1449" s="190" t="n">
        <v>4</v>
      </c>
      <c r="G1449" s="190" t="n">
        <v>2</v>
      </c>
      <c r="H1449" s="190" t="s">
        <v>22</v>
      </c>
      <c r="I1449" s="190" t="s">
        <v>2568</v>
      </c>
      <c r="J1449" s="190"/>
    </row>
    <row r="1450" customFormat="false" ht="14.25" hidden="false" customHeight="true" outlineLevel="0" collapsed="false">
      <c r="A1450" s="190" t="s">
        <v>5489</v>
      </c>
      <c r="B1450" s="190" t="s">
        <v>1024</v>
      </c>
      <c r="C1450" s="190" t="s">
        <v>1025</v>
      </c>
      <c r="D1450" s="190" t="n">
        <v>1</v>
      </c>
      <c r="E1450" s="190" t="n">
        <v>0</v>
      </c>
      <c r="F1450" s="190" t="n">
        <v>2</v>
      </c>
      <c r="G1450" s="190" t="n">
        <v>2</v>
      </c>
      <c r="H1450" s="190" t="s">
        <v>22</v>
      </c>
      <c r="I1450" s="190" t="s">
        <v>177</v>
      </c>
      <c r="J1450" s="190"/>
    </row>
    <row r="1451" customFormat="false" ht="14.25" hidden="false" customHeight="true" outlineLevel="0" collapsed="false">
      <c r="A1451" s="190" t="s">
        <v>5490</v>
      </c>
      <c r="B1451" s="190" t="s">
        <v>1026</v>
      </c>
      <c r="C1451" s="190" t="s">
        <v>1027</v>
      </c>
      <c r="D1451" s="190" t="n">
        <v>1</v>
      </c>
      <c r="E1451" s="190" t="n">
        <v>0</v>
      </c>
      <c r="F1451" s="190" t="n">
        <v>2</v>
      </c>
      <c r="G1451" s="190" t="n">
        <v>2</v>
      </c>
      <c r="H1451" s="190" t="s">
        <v>22</v>
      </c>
      <c r="I1451" s="190" t="s">
        <v>177</v>
      </c>
      <c r="J1451" s="190"/>
    </row>
    <row r="1452" customFormat="false" ht="14.25" hidden="false" customHeight="true" outlineLevel="0" collapsed="false">
      <c r="A1452" s="190" t="s">
        <v>5491</v>
      </c>
      <c r="B1452" s="190" t="s">
        <v>1028</v>
      </c>
      <c r="C1452" s="190" t="s">
        <v>1029</v>
      </c>
      <c r="D1452" s="190" t="n">
        <v>1</v>
      </c>
      <c r="E1452" s="190" t="n">
        <v>0</v>
      </c>
      <c r="F1452" s="190" t="n">
        <v>4.83</v>
      </c>
      <c r="G1452" s="190" t="n">
        <v>4</v>
      </c>
      <c r="H1452" s="190" t="s">
        <v>22</v>
      </c>
      <c r="I1452" s="190" t="s">
        <v>177</v>
      </c>
      <c r="J1452" s="190"/>
    </row>
    <row r="1453" customFormat="false" ht="14.25" hidden="false" customHeight="true" outlineLevel="0" collapsed="false">
      <c r="A1453" s="190" t="s">
        <v>5492</v>
      </c>
      <c r="B1453" s="190" t="s">
        <v>1030</v>
      </c>
      <c r="C1453" s="190" t="s">
        <v>1031</v>
      </c>
      <c r="D1453" s="190" t="n">
        <v>1</v>
      </c>
      <c r="E1453" s="190" t="n">
        <v>0</v>
      </c>
      <c r="F1453" s="190" t="n">
        <v>2</v>
      </c>
      <c r="G1453" s="190" t="n">
        <v>2</v>
      </c>
      <c r="H1453" s="190" t="s">
        <v>22</v>
      </c>
      <c r="I1453" s="190" t="s">
        <v>177</v>
      </c>
      <c r="J1453" s="190"/>
    </row>
    <row r="1454" customFormat="false" ht="14.25" hidden="false" customHeight="true" outlineLevel="0" collapsed="false">
      <c r="A1454" s="190" t="s">
        <v>5493</v>
      </c>
      <c r="B1454" s="190" t="s">
        <v>1032</v>
      </c>
      <c r="C1454" s="190" t="s">
        <v>1033</v>
      </c>
      <c r="D1454" s="190" t="n">
        <v>1</v>
      </c>
      <c r="E1454" s="190" t="n">
        <v>0</v>
      </c>
      <c r="F1454" s="190" t="n">
        <v>2</v>
      </c>
      <c r="G1454" s="190" t="n">
        <v>2</v>
      </c>
      <c r="H1454" s="190" t="s">
        <v>22</v>
      </c>
      <c r="I1454" s="190" t="s">
        <v>177</v>
      </c>
      <c r="J1454" s="190"/>
    </row>
    <row r="1455" customFormat="false" ht="14.25" hidden="false" customHeight="true" outlineLevel="0" collapsed="false">
      <c r="A1455" s="190" t="s">
        <v>5494</v>
      </c>
      <c r="B1455" s="190" t="s">
        <v>1034</v>
      </c>
      <c r="C1455" s="190" t="s">
        <v>1035</v>
      </c>
      <c r="D1455" s="190" t="n">
        <v>1</v>
      </c>
      <c r="E1455" s="190" t="n">
        <v>0</v>
      </c>
      <c r="F1455" s="190" t="n">
        <v>1</v>
      </c>
      <c r="G1455" s="190" t="n">
        <v>1</v>
      </c>
      <c r="H1455" s="190" t="s">
        <v>22</v>
      </c>
      <c r="I1455" s="190" t="s">
        <v>177</v>
      </c>
      <c r="J1455" s="190"/>
    </row>
    <row r="1456" customFormat="false" ht="14.25" hidden="false" customHeight="true" outlineLevel="0" collapsed="false">
      <c r="A1456" s="190" t="s">
        <v>5495</v>
      </c>
      <c r="B1456" s="190" t="s">
        <v>1038</v>
      </c>
      <c r="C1456" s="190" t="s">
        <v>1039</v>
      </c>
      <c r="D1456" s="190" t="n">
        <v>1</v>
      </c>
      <c r="E1456" s="190" t="n">
        <v>0</v>
      </c>
      <c r="F1456" s="190" t="n">
        <v>1.5</v>
      </c>
      <c r="G1456" s="190" t="n">
        <v>1.5</v>
      </c>
      <c r="H1456" s="190" t="s">
        <v>22</v>
      </c>
      <c r="I1456" s="190" t="s">
        <v>177</v>
      </c>
      <c r="J1456" s="190"/>
    </row>
    <row r="1457" customFormat="false" ht="14.25" hidden="false" customHeight="true" outlineLevel="0" collapsed="false">
      <c r="A1457" s="190" t="s">
        <v>5496</v>
      </c>
      <c r="B1457" s="190" t="s">
        <v>1040</v>
      </c>
      <c r="C1457" s="190" t="s">
        <v>1041</v>
      </c>
      <c r="D1457" s="190" t="n">
        <v>1</v>
      </c>
      <c r="E1457" s="190" t="n">
        <v>0</v>
      </c>
      <c r="F1457" s="190" t="n">
        <v>50.8</v>
      </c>
      <c r="G1457" s="190" t="n">
        <v>151.4</v>
      </c>
      <c r="H1457" s="190" t="s">
        <v>22</v>
      </c>
      <c r="I1457" s="190" t="s">
        <v>699</v>
      </c>
      <c r="J1457" s="190"/>
    </row>
    <row r="1458" customFormat="false" ht="14.25" hidden="false" customHeight="true" outlineLevel="0" collapsed="false">
      <c r="A1458" s="190" t="s">
        <v>5497</v>
      </c>
      <c r="B1458" s="190" t="s">
        <v>5498</v>
      </c>
      <c r="C1458" s="190" t="s">
        <v>5499</v>
      </c>
      <c r="D1458" s="190" t="n">
        <v>1</v>
      </c>
      <c r="E1458" s="190" t="n">
        <v>0</v>
      </c>
      <c r="F1458" s="190" t="n">
        <v>2</v>
      </c>
      <c r="G1458" s="190" t="n">
        <v>2</v>
      </c>
      <c r="H1458" s="190" t="s">
        <v>22</v>
      </c>
      <c r="I1458" s="190" t="s">
        <v>2301</v>
      </c>
      <c r="J1458" s="190"/>
    </row>
    <row r="1459" customFormat="false" ht="14.25" hidden="false" customHeight="true" outlineLevel="0" collapsed="false">
      <c r="A1459" s="190" t="s">
        <v>5500</v>
      </c>
      <c r="B1459" s="190" t="s">
        <v>5501</v>
      </c>
      <c r="C1459" s="190" t="s">
        <v>5502</v>
      </c>
      <c r="D1459" s="190" t="n">
        <v>1</v>
      </c>
      <c r="E1459" s="190" t="n">
        <v>4</v>
      </c>
      <c r="F1459" s="190" t="n">
        <v>1.17</v>
      </c>
      <c r="G1459" s="190" t="n">
        <v>1.27</v>
      </c>
      <c r="H1459" s="190" t="s">
        <v>22</v>
      </c>
      <c r="I1459" s="190" t="s">
        <v>2782</v>
      </c>
      <c r="J1459" s="190"/>
    </row>
    <row r="1460" customFormat="false" ht="14.25" hidden="false" customHeight="true" outlineLevel="0" collapsed="false">
      <c r="A1460" s="190" t="s">
        <v>5503</v>
      </c>
      <c r="B1460" s="190" t="s">
        <v>5504</v>
      </c>
      <c r="C1460" s="190" t="s">
        <v>5505</v>
      </c>
      <c r="D1460" s="190" t="n">
        <v>1</v>
      </c>
      <c r="E1460" s="190" t="n">
        <v>4</v>
      </c>
      <c r="F1460" s="190" t="n">
        <v>1.67</v>
      </c>
      <c r="G1460" s="190" t="n">
        <v>1.63</v>
      </c>
      <c r="H1460" s="190" t="s">
        <v>22</v>
      </c>
      <c r="I1460" s="190" t="s">
        <v>2782</v>
      </c>
      <c r="J1460" s="190"/>
    </row>
    <row r="1461" customFormat="false" ht="14.25" hidden="false" customHeight="true" outlineLevel="0" collapsed="false">
      <c r="A1461" s="190" t="s">
        <v>5506</v>
      </c>
      <c r="B1461" s="190" t="s">
        <v>5507</v>
      </c>
      <c r="C1461" s="190" t="s">
        <v>5508</v>
      </c>
      <c r="D1461" s="190" t="n">
        <v>1</v>
      </c>
      <c r="E1461" s="190" t="n">
        <v>0</v>
      </c>
      <c r="F1461" s="190" t="n">
        <v>10</v>
      </c>
      <c r="G1461" s="190" t="n">
        <v>2.22</v>
      </c>
      <c r="H1461" s="190" t="s">
        <v>22</v>
      </c>
      <c r="I1461" s="190" t="s">
        <v>2363</v>
      </c>
      <c r="J1461" s="190"/>
    </row>
    <row r="1462" customFormat="false" ht="14.25" hidden="false" customHeight="true" outlineLevel="0" collapsed="false">
      <c r="A1462" s="190" t="s">
        <v>5509</v>
      </c>
      <c r="B1462" s="190" t="s">
        <v>1042</v>
      </c>
      <c r="C1462" s="190" t="s">
        <v>1043</v>
      </c>
      <c r="D1462" s="190" t="n">
        <v>1</v>
      </c>
      <c r="E1462" s="190" t="n">
        <v>0</v>
      </c>
      <c r="F1462" s="190" t="n">
        <v>2</v>
      </c>
      <c r="G1462" s="190" t="n">
        <v>2</v>
      </c>
      <c r="H1462" s="190" t="s">
        <v>22</v>
      </c>
      <c r="I1462" s="190" t="s">
        <v>177</v>
      </c>
      <c r="J1462" s="190"/>
    </row>
    <row r="1463" customFormat="false" ht="14.25" hidden="false" customHeight="true" outlineLevel="0" collapsed="false">
      <c r="A1463" s="190" t="s">
        <v>5510</v>
      </c>
      <c r="B1463" s="190" t="s">
        <v>1044</v>
      </c>
      <c r="C1463" s="190" t="s">
        <v>1045</v>
      </c>
      <c r="D1463" s="190" t="n">
        <v>1</v>
      </c>
      <c r="E1463" s="190" t="n">
        <v>0</v>
      </c>
      <c r="F1463" s="190" t="n">
        <v>2</v>
      </c>
      <c r="G1463" s="190" t="n">
        <v>2</v>
      </c>
      <c r="H1463" s="190" t="s">
        <v>22</v>
      </c>
      <c r="I1463" s="190" t="s">
        <v>177</v>
      </c>
      <c r="J1463" s="190"/>
    </row>
    <row r="1464" customFormat="false" ht="14.25" hidden="false" customHeight="true" outlineLevel="0" collapsed="false">
      <c r="A1464" s="190" t="s">
        <v>5511</v>
      </c>
      <c r="B1464" s="190" t="s">
        <v>1046</v>
      </c>
      <c r="C1464" s="190" t="s">
        <v>1047</v>
      </c>
      <c r="D1464" s="190" t="n">
        <v>1</v>
      </c>
      <c r="E1464" s="190" t="n">
        <v>8</v>
      </c>
      <c r="F1464" s="190" t="n">
        <v>11</v>
      </c>
      <c r="G1464" s="190" t="n">
        <v>91.2</v>
      </c>
      <c r="H1464" s="190" t="s">
        <v>22</v>
      </c>
      <c r="I1464" s="190" t="s">
        <v>177</v>
      </c>
      <c r="J1464" s="190"/>
    </row>
    <row r="1465" customFormat="false" ht="14.25" hidden="false" customHeight="true" outlineLevel="0" collapsed="false">
      <c r="A1465" s="190" t="s">
        <v>5512</v>
      </c>
      <c r="B1465" s="190" t="s">
        <v>1048</v>
      </c>
      <c r="C1465" s="190" t="s">
        <v>1049</v>
      </c>
      <c r="D1465" s="190" t="n">
        <v>1</v>
      </c>
      <c r="E1465" s="190" t="n">
        <v>12</v>
      </c>
      <c r="F1465" s="190" t="n">
        <v>18.5</v>
      </c>
      <c r="G1465" s="190" t="n">
        <v>8.32</v>
      </c>
      <c r="H1465" s="190" t="s">
        <v>22</v>
      </c>
      <c r="I1465" s="190" t="s">
        <v>5513</v>
      </c>
      <c r="J1465" s="190"/>
    </row>
    <row r="1466" customFormat="false" ht="14.25" hidden="false" customHeight="true" outlineLevel="0" collapsed="false">
      <c r="A1466" s="190" t="s">
        <v>5514</v>
      </c>
      <c r="B1466" s="190" t="s">
        <v>5515</v>
      </c>
      <c r="C1466" s="190" t="s">
        <v>5516</v>
      </c>
      <c r="D1466" s="190" t="n">
        <v>1</v>
      </c>
      <c r="E1466" s="190" t="n">
        <v>0</v>
      </c>
      <c r="F1466" s="190" t="n">
        <v>13.5</v>
      </c>
      <c r="G1466" s="190" t="n">
        <v>73.9</v>
      </c>
      <c r="H1466" s="190" t="s">
        <v>22</v>
      </c>
      <c r="I1466" s="190" t="n">
        <v>71</v>
      </c>
      <c r="J1466" s="190"/>
    </row>
    <row r="1467" customFormat="false" ht="14.25" hidden="false" customHeight="true" outlineLevel="0" collapsed="false">
      <c r="A1467" s="190" t="s">
        <v>5517</v>
      </c>
      <c r="B1467" s="190" t="s">
        <v>1050</v>
      </c>
      <c r="C1467" s="190" t="s">
        <v>1051</v>
      </c>
      <c r="D1467" s="190" t="n">
        <v>1</v>
      </c>
      <c r="E1467" s="190" t="n">
        <v>0</v>
      </c>
      <c r="F1467" s="190" t="n">
        <v>15</v>
      </c>
      <c r="G1467" s="190" t="n">
        <v>50.4</v>
      </c>
      <c r="H1467" s="190" t="s">
        <v>22</v>
      </c>
      <c r="I1467" s="190" t="s">
        <v>2568</v>
      </c>
      <c r="J1467" s="190"/>
    </row>
    <row r="1468" customFormat="false" ht="14.25" hidden="false" customHeight="true" outlineLevel="0" collapsed="false">
      <c r="A1468" s="190" t="s">
        <v>5518</v>
      </c>
      <c r="B1468" s="190" t="s">
        <v>1052</v>
      </c>
      <c r="C1468" s="190" t="s">
        <v>1053</v>
      </c>
      <c r="D1468" s="190" t="n">
        <v>1</v>
      </c>
      <c r="E1468" s="190" t="n">
        <v>0</v>
      </c>
      <c r="F1468" s="190" t="n">
        <v>14</v>
      </c>
      <c r="G1468" s="190" t="n">
        <v>50.2</v>
      </c>
      <c r="H1468" s="190" t="s">
        <v>22</v>
      </c>
      <c r="I1468" s="190" t="s">
        <v>2568</v>
      </c>
      <c r="J1468" s="190"/>
    </row>
    <row r="1469" customFormat="false" ht="14.25" hidden="false" customHeight="true" outlineLevel="0" collapsed="false">
      <c r="A1469" s="190" t="s">
        <v>5519</v>
      </c>
      <c r="B1469" s="190" t="s">
        <v>5520</v>
      </c>
      <c r="C1469" s="190" t="s">
        <v>5521</v>
      </c>
      <c r="D1469" s="190" t="n">
        <v>1</v>
      </c>
      <c r="E1469" s="190" t="n">
        <v>0</v>
      </c>
      <c r="F1469" s="190" t="n">
        <v>10</v>
      </c>
      <c r="G1469" s="190" t="n">
        <v>24.1</v>
      </c>
      <c r="H1469" s="190" t="s">
        <v>22</v>
      </c>
      <c r="I1469" s="190" t="s">
        <v>2799</v>
      </c>
      <c r="J1469" s="190"/>
    </row>
    <row r="1470" customFormat="false" ht="14.25" hidden="false" customHeight="true" outlineLevel="0" collapsed="false">
      <c r="A1470" s="190" t="s">
        <v>5522</v>
      </c>
      <c r="B1470" s="190" t="s">
        <v>5523</v>
      </c>
      <c r="C1470" s="190" t="s">
        <v>5524</v>
      </c>
      <c r="D1470" s="190" t="n">
        <v>1</v>
      </c>
      <c r="E1470" s="190" t="n">
        <v>10</v>
      </c>
      <c r="F1470" s="190" t="n">
        <v>10.5</v>
      </c>
      <c r="G1470" s="190" t="n">
        <v>6</v>
      </c>
      <c r="H1470" s="190" t="s">
        <v>22</v>
      </c>
      <c r="I1470" s="190" t="s">
        <v>5525</v>
      </c>
      <c r="J1470" s="190"/>
    </row>
    <row r="1471" customFormat="false" ht="14.25" hidden="false" customHeight="true" outlineLevel="0" collapsed="false">
      <c r="A1471" s="190" t="s">
        <v>5526</v>
      </c>
      <c r="B1471" s="190" t="s">
        <v>5527</v>
      </c>
      <c r="C1471" s="190" t="s">
        <v>5528</v>
      </c>
      <c r="D1471" s="190" t="n">
        <v>1</v>
      </c>
      <c r="E1471" s="190" t="n">
        <v>2</v>
      </c>
      <c r="F1471" s="190" t="n">
        <v>3</v>
      </c>
      <c r="G1471" s="190" t="n">
        <v>3</v>
      </c>
      <c r="H1471" s="190" t="s">
        <v>22</v>
      </c>
      <c r="I1471" s="190" t="s">
        <v>1782</v>
      </c>
      <c r="J1471" s="190"/>
    </row>
    <row r="1472" customFormat="false" ht="14.25" hidden="false" customHeight="true" outlineLevel="0" collapsed="false">
      <c r="A1472" s="190" t="s">
        <v>5529</v>
      </c>
      <c r="B1472" s="190" t="s">
        <v>5530</v>
      </c>
      <c r="C1472" s="190" t="s">
        <v>5531</v>
      </c>
      <c r="D1472" s="190" t="n">
        <v>1</v>
      </c>
      <c r="E1472" s="190" t="n">
        <v>0</v>
      </c>
      <c r="F1472" s="190" t="n">
        <v>6.33</v>
      </c>
      <c r="G1472" s="190" t="n">
        <v>47.3</v>
      </c>
      <c r="H1472" s="190" t="s">
        <v>22</v>
      </c>
      <c r="I1472" s="190" t="s">
        <v>1782</v>
      </c>
      <c r="J1472" s="190"/>
    </row>
    <row r="1473" customFormat="false" ht="14.25" hidden="false" customHeight="true" outlineLevel="0" collapsed="false">
      <c r="A1473" s="190" t="s">
        <v>5532</v>
      </c>
      <c r="B1473" s="190" t="s">
        <v>5533</v>
      </c>
      <c r="C1473" s="190" t="s">
        <v>5534</v>
      </c>
      <c r="D1473" s="190" t="n">
        <v>1</v>
      </c>
      <c r="E1473" s="190" t="n">
        <v>10</v>
      </c>
      <c r="F1473" s="190" t="n">
        <v>10</v>
      </c>
      <c r="G1473" s="190" t="n">
        <v>2.02</v>
      </c>
      <c r="H1473" s="190" t="s">
        <v>22</v>
      </c>
      <c r="I1473" s="190" t="n">
        <v>24</v>
      </c>
      <c r="J1473" s="190"/>
    </row>
    <row r="1474" customFormat="false" ht="14.25" hidden="false" customHeight="true" outlineLevel="0" collapsed="false">
      <c r="A1474" s="190" t="s">
        <v>5535</v>
      </c>
      <c r="B1474" s="190" t="s">
        <v>1054</v>
      </c>
      <c r="C1474" s="190" t="s">
        <v>1055</v>
      </c>
      <c r="D1474" s="190" t="n">
        <v>1</v>
      </c>
      <c r="E1474" s="190" t="n">
        <v>6</v>
      </c>
      <c r="F1474" s="190" t="n">
        <v>6</v>
      </c>
      <c r="G1474" s="190" t="n">
        <v>4</v>
      </c>
      <c r="H1474" s="190" t="s">
        <v>22</v>
      </c>
      <c r="I1474" s="190" t="n">
        <v>25</v>
      </c>
      <c r="J1474" s="190"/>
    </row>
    <row r="1475" customFormat="false" ht="14.25" hidden="false" customHeight="true" outlineLevel="0" collapsed="false">
      <c r="A1475" s="190" t="s">
        <v>5536</v>
      </c>
      <c r="B1475" s="190" t="s">
        <v>5537</v>
      </c>
      <c r="C1475" s="190" t="s">
        <v>5538</v>
      </c>
      <c r="D1475" s="190" t="n">
        <v>1</v>
      </c>
      <c r="E1475" s="190" t="n">
        <v>5</v>
      </c>
      <c r="F1475" s="190" t="n">
        <v>5</v>
      </c>
      <c r="G1475" s="190" t="n">
        <v>2.52</v>
      </c>
      <c r="H1475" s="190" t="s">
        <v>22</v>
      </c>
      <c r="I1475" s="190" t="s">
        <v>5539</v>
      </c>
      <c r="J1475" s="190"/>
    </row>
    <row r="1476" customFormat="false" ht="14.25" hidden="false" customHeight="true" outlineLevel="0" collapsed="false">
      <c r="A1476" s="190" t="s">
        <v>5540</v>
      </c>
      <c r="B1476" s="190" t="s">
        <v>5541</v>
      </c>
      <c r="C1476" s="190" t="s">
        <v>5542</v>
      </c>
      <c r="D1476" s="190" t="s">
        <v>2552</v>
      </c>
      <c r="E1476" s="190" t="n">
        <v>4.5</v>
      </c>
      <c r="F1476" s="190" t="n">
        <v>6.5</v>
      </c>
      <c r="G1476" s="190" t="n">
        <v>22.02</v>
      </c>
      <c r="H1476" s="190" t="s">
        <v>22</v>
      </c>
      <c r="I1476" s="190" t="n">
        <v>29</v>
      </c>
      <c r="J1476" s="190"/>
    </row>
    <row r="1477" customFormat="false" ht="14.25" hidden="false" customHeight="true" outlineLevel="0" collapsed="false">
      <c r="A1477" s="190" t="s">
        <v>5543</v>
      </c>
      <c r="B1477" s="190" t="s">
        <v>5544</v>
      </c>
      <c r="C1477" s="190" t="s">
        <v>5545</v>
      </c>
      <c r="D1477" s="190" t="n">
        <v>1</v>
      </c>
      <c r="E1477" s="190" t="n">
        <v>0</v>
      </c>
      <c r="F1477" s="190" t="n">
        <v>4</v>
      </c>
      <c r="G1477" s="190" t="n">
        <v>4.37</v>
      </c>
      <c r="H1477" s="190" t="s">
        <v>22</v>
      </c>
      <c r="I1477" s="190" t="s">
        <v>38</v>
      </c>
      <c r="J1477" s="190"/>
    </row>
    <row r="1478" customFormat="false" ht="14.25" hidden="false" customHeight="true" outlineLevel="0" collapsed="false">
      <c r="A1478" s="190" t="s">
        <v>5546</v>
      </c>
      <c r="B1478" s="190" t="s">
        <v>1056</v>
      </c>
      <c r="C1478" s="190" t="s">
        <v>1057</v>
      </c>
      <c r="D1478" s="190" t="n">
        <v>1</v>
      </c>
      <c r="E1478" s="190" t="n">
        <v>12</v>
      </c>
      <c r="F1478" s="190" t="n">
        <v>19.5</v>
      </c>
      <c r="G1478" s="190" t="n">
        <v>27.9</v>
      </c>
      <c r="H1478" s="190" t="s">
        <v>22</v>
      </c>
      <c r="I1478" s="190" t="s">
        <v>2568</v>
      </c>
      <c r="J1478" s="190"/>
    </row>
    <row r="1479" customFormat="false" ht="14.25" hidden="false" customHeight="true" outlineLevel="0" collapsed="false">
      <c r="A1479" s="190" t="s">
        <v>5547</v>
      </c>
      <c r="B1479" s="190" t="s">
        <v>1058</v>
      </c>
      <c r="C1479" s="190" t="s">
        <v>1059</v>
      </c>
      <c r="D1479" s="190" t="n">
        <v>1</v>
      </c>
      <c r="E1479" s="190" t="n">
        <v>6</v>
      </c>
      <c r="F1479" s="190" t="n">
        <v>13</v>
      </c>
      <c r="G1479" s="190" t="n">
        <v>14.82</v>
      </c>
      <c r="H1479" s="190" t="s">
        <v>22</v>
      </c>
      <c r="I1479" s="190" t="s">
        <v>2568</v>
      </c>
      <c r="J1479" s="190"/>
    </row>
    <row r="1480" customFormat="false" ht="14.25" hidden="false" customHeight="true" outlineLevel="0" collapsed="false">
      <c r="A1480" s="190" t="s">
        <v>5548</v>
      </c>
      <c r="B1480" s="190" t="s">
        <v>5549</v>
      </c>
      <c r="C1480" s="190" t="s">
        <v>5550</v>
      </c>
      <c r="D1480" s="190" t="n">
        <v>1</v>
      </c>
      <c r="E1480" s="190" t="n">
        <v>8</v>
      </c>
      <c r="F1480" s="190" t="n">
        <v>42.8</v>
      </c>
      <c r="G1480" s="190" t="n">
        <v>30.2</v>
      </c>
      <c r="H1480" s="190" t="s">
        <v>22</v>
      </c>
      <c r="I1480" s="190" t="s">
        <v>3165</v>
      </c>
      <c r="J1480" s="190"/>
    </row>
    <row r="1481" customFormat="false" ht="14.25" hidden="false" customHeight="true" outlineLevel="0" collapsed="false">
      <c r="A1481" s="190" t="s">
        <v>5551</v>
      </c>
      <c r="B1481" s="190" t="s">
        <v>1060</v>
      </c>
      <c r="C1481" s="190" t="s">
        <v>1061</v>
      </c>
      <c r="D1481" s="190" t="n">
        <v>1</v>
      </c>
      <c r="E1481" s="190" t="n">
        <v>4</v>
      </c>
      <c r="F1481" s="190" t="n">
        <v>2</v>
      </c>
      <c r="G1481" s="190" t="n">
        <v>1</v>
      </c>
      <c r="H1481" s="190" t="s">
        <v>22</v>
      </c>
      <c r="I1481" s="190" t="s">
        <v>177</v>
      </c>
      <c r="J1481" s="190"/>
    </row>
    <row r="1482" customFormat="false" ht="14.25" hidden="false" customHeight="true" outlineLevel="0" collapsed="false">
      <c r="A1482" s="190" t="s">
        <v>5552</v>
      </c>
      <c r="B1482" s="190" t="s">
        <v>1064</v>
      </c>
      <c r="C1482" s="190" t="s">
        <v>1065</v>
      </c>
      <c r="D1482" s="190" t="n">
        <v>1</v>
      </c>
      <c r="E1482" s="190" t="n">
        <v>8</v>
      </c>
      <c r="F1482" s="190" t="n">
        <v>15</v>
      </c>
      <c r="G1482" s="190" t="n">
        <v>14.78</v>
      </c>
      <c r="H1482" s="190" t="s">
        <v>22</v>
      </c>
      <c r="I1482" s="190" t="s">
        <v>2568</v>
      </c>
      <c r="J1482" s="190"/>
    </row>
    <row r="1483" customFormat="false" ht="14.25" hidden="false" customHeight="true" outlineLevel="0" collapsed="false">
      <c r="A1483" s="190" t="s">
        <v>5553</v>
      </c>
      <c r="B1483" s="190" t="s">
        <v>1068</v>
      </c>
      <c r="C1483" s="190" t="s">
        <v>1069</v>
      </c>
      <c r="D1483" s="190" t="n">
        <v>1</v>
      </c>
      <c r="E1483" s="190" t="n">
        <v>2</v>
      </c>
      <c r="F1483" s="190" t="n">
        <v>2</v>
      </c>
      <c r="G1483" s="190" t="n">
        <v>2</v>
      </c>
      <c r="H1483" s="190" t="s">
        <v>22</v>
      </c>
      <c r="I1483" s="190" t="s">
        <v>358</v>
      </c>
      <c r="J1483" s="190"/>
    </row>
    <row r="1484" customFormat="false" ht="14.25" hidden="false" customHeight="true" outlineLevel="0" collapsed="false">
      <c r="A1484" s="190" t="s">
        <v>5554</v>
      </c>
      <c r="B1484" s="190" t="s">
        <v>5555</v>
      </c>
      <c r="C1484" s="190" t="s">
        <v>5556</v>
      </c>
      <c r="D1484" s="190" t="n">
        <v>1</v>
      </c>
      <c r="E1484" s="190" t="n">
        <v>4</v>
      </c>
      <c r="F1484" s="190" t="n">
        <v>3</v>
      </c>
      <c r="G1484" s="190" t="n">
        <v>24.1</v>
      </c>
      <c r="H1484" s="190" t="s">
        <v>22</v>
      </c>
      <c r="I1484" s="190" t="s">
        <v>1873</v>
      </c>
      <c r="J1484" s="190"/>
    </row>
    <row r="1485" customFormat="false" ht="14.25" hidden="false" customHeight="true" outlineLevel="0" collapsed="false">
      <c r="A1485" s="190" t="s">
        <v>5557</v>
      </c>
      <c r="B1485" s="190" t="s">
        <v>1076</v>
      </c>
      <c r="C1485" s="190" t="s">
        <v>1077</v>
      </c>
      <c r="D1485" s="190" t="n">
        <v>1</v>
      </c>
      <c r="E1485" s="190" t="n">
        <v>13</v>
      </c>
      <c r="F1485" s="190" t="n">
        <v>13</v>
      </c>
      <c r="G1485" s="190" t="n">
        <v>6.5</v>
      </c>
      <c r="H1485" s="190" t="s">
        <v>22</v>
      </c>
      <c r="I1485" s="190" t="s">
        <v>2568</v>
      </c>
      <c r="J1485" s="190"/>
    </row>
    <row r="1486" customFormat="false" ht="14.25" hidden="false" customHeight="true" outlineLevel="0" collapsed="false">
      <c r="A1486" s="190" t="s">
        <v>5558</v>
      </c>
      <c r="B1486" s="190" t="s">
        <v>1078</v>
      </c>
      <c r="C1486" s="190" t="s">
        <v>1079</v>
      </c>
      <c r="D1486" s="190" t="n">
        <v>1</v>
      </c>
      <c r="E1486" s="190" t="n">
        <v>13</v>
      </c>
      <c r="F1486" s="190" t="n">
        <v>13</v>
      </c>
      <c r="G1486" s="190" t="n">
        <v>6.55</v>
      </c>
      <c r="H1486" s="190" t="s">
        <v>22</v>
      </c>
      <c r="I1486" s="190" t="s">
        <v>2568</v>
      </c>
      <c r="J1486" s="190"/>
    </row>
    <row r="1487" customFormat="false" ht="14.25" hidden="false" customHeight="true" outlineLevel="0" collapsed="false">
      <c r="A1487" s="190" t="s">
        <v>5559</v>
      </c>
      <c r="B1487" s="190" t="s">
        <v>5560</v>
      </c>
      <c r="C1487" s="190" t="s">
        <v>5561</v>
      </c>
      <c r="D1487" s="190" t="n">
        <v>1</v>
      </c>
      <c r="E1487" s="190" t="n">
        <v>0</v>
      </c>
      <c r="F1487" s="190" t="n">
        <v>28.3</v>
      </c>
      <c r="G1487" s="190" t="n">
        <v>8.5</v>
      </c>
      <c r="H1487" s="190" t="s">
        <v>22</v>
      </c>
      <c r="I1487" s="190" t="s">
        <v>1801</v>
      </c>
      <c r="J1487" s="190"/>
    </row>
    <row r="1488" customFormat="false" ht="14.25" hidden="false" customHeight="true" outlineLevel="0" collapsed="false">
      <c r="A1488" s="190" t="s">
        <v>5562</v>
      </c>
      <c r="B1488" s="190" t="s">
        <v>5563</v>
      </c>
      <c r="C1488" s="190" t="s">
        <v>5564</v>
      </c>
      <c r="D1488" s="190" t="n">
        <v>1</v>
      </c>
      <c r="E1488" s="190" t="n">
        <v>13</v>
      </c>
      <c r="F1488" s="190" t="n">
        <v>13</v>
      </c>
      <c r="G1488" s="190" t="n">
        <v>6.53</v>
      </c>
      <c r="H1488" s="190" t="s">
        <v>22</v>
      </c>
      <c r="I1488" s="190" t="s">
        <v>2568</v>
      </c>
      <c r="J1488" s="190"/>
    </row>
    <row r="1489" customFormat="false" ht="14.25" hidden="false" customHeight="true" outlineLevel="0" collapsed="false">
      <c r="A1489" s="190" t="s">
        <v>5565</v>
      </c>
      <c r="B1489" s="190" t="s">
        <v>5566</v>
      </c>
      <c r="C1489" s="190" t="s">
        <v>5567</v>
      </c>
      <c r="D1489" s="190" t="n">
        <v>1</v>
      </c>
      <c r="E1489" s="190" t="n">
        <v>7</v>
      </c>
      <c r="F1489" s="190" t="n">
        <v>7</v>
      </c>
      <c r="G1489" s="190" t="n">
        <v>7</v>
      </c>
      <c r="H1489" s="190" t="s">
        <v>22</v>
      </c>
      <c r="I1489" s="190" t="s">
        <v>2568</v>
      </c>
      <c r="J1489" s="190"/>
    </row>
    <row r="1490" customFormat="false" ht="14.25" hidden="false" customHeight="true" outlineLevel="0" collapsed="false">
      <c r="A1490" s="190" t="s">
        <v>5568</v>
      </c>
      <c r="B1490" s="190" t="s">
        <v>5569</v>
      </c>
      <c r="C1490" s="190" t="s">
        <v>5570</v>
      </c>
      <c r="D1490" s="190" t="n">
        <v>1</v>
      </c>
      <c r="E1490" s="190" t="n">
        <v>8</v>
      </c>
      <c r="F1490" s="190" t="n">
        <v>7</v>
      </c>
      <c r="G1490" s="190" t="n">
        <v>4.72</v>
      </c>
      <c r="H1490" s="190" t="s">
        <v>22</v>
      </c>
      <c r="I1490" s="190" t="s">
        <v>2363</v>
      </c>
      <c r="J1490" s="190"/>
    </row>
  </sheetData>
  <autoFilter ref="A1:J12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2026-05-16T21:41:08Z</dcterms:created>
  <dc:creator>Ahmed Alghamdi</dc:creator>
  <dc:description>CA&amp;QC Division — Pool Cabin</dc:description>
  <dc:language>en-US</dc:language>
  <cp:lastModifiedBy/>
  <dcterms:modified xsi:type="dcterms:W3CDTF">2026-08-25T06:26:28Z</dcterms:modified>
  <cp:revision>0</cp:revision>
  <dc:subject>HZ-AK35 C-Check</dc:subject>
  <dc:title>C-Check Work Package Tracker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