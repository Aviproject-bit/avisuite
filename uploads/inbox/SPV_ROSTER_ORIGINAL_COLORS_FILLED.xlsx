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000000"/>
      <sz val="8"/>
    </font>
    <font>
      <name val="Times New Roman"/>
      <b val="1"/>
      <color rgb="00B45309"/>
      <sz val="12"/>
    </font>
    <font>
      <name val="Times New Roman"/>
      <b val="1"/>
      <color rgb="0015803D"/>
      <sz val="12"/>
    </font>
    <font>
      <name val="Times New Roman"/>
      <b val="1"/>
      <color rgb="00FFFFFF"/>
      <sz val="11"/>
    </font>
    <font>
      <name val="Times New Roman"/>
      <b val="1"/>
      <color rgb="00000000"/>
      <sz val="10"/>
    </font>
    <font>
      <name val="Times New Roman"/>
      <b val="1"/>
      <color rgb="00000000"/>
      <sz val="9"/>
    </font>
    <font>
      <name val="Times New Roman"/>
      <color rgb="00000000"/>
      <sz val="10"/>
    </font>
    <font>
      <name val="Times New Roman"/>
      <color rgb="00000000"/>
      <sz val="11"/>
    </font>
    <font>
      <name val="Times New Roman"/>
      <color rgb="00000000"/>
      <sz val="12"/>
    </font>
    <font>
      <name val="Times New Roman"/>
      <b val="1"/>
      <color rgb="00000000"/>
      <sz val="12"/>
    </font>
    <font>
      <name val="Times New Roman"/>
      <b val="1"/>
      <color rgb="00000000"/>
      <sz val="11"/>
    </font>
    <font>
      <name val="Times New Roman"/>
      <b val="1"/>
      <color rgb="0015803D"/>
      <sz val="10"/>
    </font>
    <font>
      <name val="Times New Roman"/>
      <b val="1"/>
      <color rgb="007A6A00"/>
      <sz val="11"/>
    </font>
    <font>
      <name val="Times New Roman"/>
      <b val="1"/>
      <color rgb="001F4E79"/>
      <sz val="11"/>
    </font>
    <font>
      <name val="Times New Roman"/>
      <b val="1"/>
      <color rgb="00555555"/>
      <sz val="11"/>
    </font>
    <font>
      <name val="Times New Roman"/>
      <b val="1"/>
      <color rgb="007A6A00"/>
      <sz val="10"/>
    </font>
    <font>
      <name val="Times New Roman"/>
      <color rgb="00000000"/>
      <sz val="9"/>
    </font>
    <font>
      <name val="Times New Roman"/>
      <b val="1"/>
      <color rgb="001F4E79"/>
      <sz val="10"/>
    </font>
    <font>
      <name val="Times New Roman"/>
      <b val="1"/>
      <color rgb="00555555"/>
      <sz val="10"/>
    </font>
    <font>
      <name val="Times New Roman"/>
      <b val="1"/>
      <color rgb="005521B5"/>
      <sz val="10"/>
    </font>
    <font>
      <name val="Times New Roman"/>
      <b val="1"/>
      <color rgb="000E7490"/>
      <sz val="10"/>
    </font>
    <font>
      <name val="Times New Roman"/>
      <b val="1"/>
      <color rgb="006B7280"/>
      <sz val="10"/>
    </font>
    <font>
      <name val="Times New Roman"/>
      <b val="1"/>
      <color rgb="00F9FAFB"/>
      <sz val="10"/>
    </font>
    <font>
      <name val="Times New Roman"/>
      <b val="1"/>
      <color rgb="007E22CE"/>
      <sz val="10"/>
    </font>
    <font>
      <name val="Times New Roman"/>
      <b val="1"/>
      <color rgb="00C2410C"/>
      <sz val="10"/>
    </font>
    <font>
      <name val="Times New Roman"/>
      <b val="1"/>
      <color rgb="003730A3"/>
      <sz val="10"/>
    </font>
    <font>
      <name val="Times New Roman"/>
      <b val="1"/>
      <color rgb="00BE123C"/>
      <sz val="10"/>
    </font>
    <font>
      <name val="Times New Roman"/>
      <b val="1"/>
      <color rgb="003F6212"/>
      <sz val="10"/>
    </font>
    <font>
      <name val="Times New Roman"/>
      <b val="1"/>
      <color rgb="00475569"/>
      <sz val="10"/>
    </font>
    <font>
      <name val="Times New Roman"/>
      <b val="1"/>
      <color rgb="00713F12"/>
      <sz val="10"/>
    </font>
  </fonts>
  <fills count="21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196B24"/>
      </patternFill>
    </fill>
    <fill>
      <patternFill patternType="solid">
        <fgColor rgb="00EEF2F0"/>
      </patternFill>
    </fill>
    <fill>
      <patternFill patternType="solid">
        <fgColor rgb="00A5A5A5"/>
      </patternFill>
    </fill>
    <fill>
      <patternFill patternType="solid">
        <fgColor rgb="00D0CECE"/>
      </patternFill>
    </fill>
    <fill>
      <patternFill patternType="solid">
        <fgColor rgb="00FFFF99"/>
      </patternFill>
    </fill>
    <fill>
      <patternFill patternType="solid">
        <fgColor rgb="00DAE3F3"/>
      </patternFill>
    </fill>
    <fill>
      <patternFill patternType="solid">
        <fgColor rgb="00F2F2F2"/>
      </patternFill>
    </fill>
    <fill>
      <patternFill patternType="solid">
        <fgColor rgb="00EDEBFE"/>
      </patternFill>
    </fill>
    <fill>
      <patternFill patternType="solid">
        <fgColor rgb="00CFFAFE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ECFCCB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</cellXfs>
  <cellStyles count="1">
    <cellStyle name="Normal" xfId="0" builtinId="0" hidden="0"/>
  </cellStyles>
  <dxfs count="16">
    <dxf>
      <font>
        <name val="Times New Roman"/>
        <b val="1"/>
        <color rgb="007A6A00"/>
      </font>
      <fill>
        <patternFill>
          <bgColor rgb="00FFFF99"/>
        </patternFill>
      </fill>
    </dxf>
    <dxf>
      <font>
        <name val="Times New Roman"/>
        <b val="1"/>
        <color rgb="001F4E79"/>
      </font>
      <fill>
        <patternFill>
          <bgColor rgb="00DAE3F3"/>
        </patternFill>
      </fill>
    </dxf>
    <dxf>
      <font>
        <name val="Times New Roman"/>
        <b val="1"/>
        <color rgb="00555555"/>
      </font>
      <fill>
        <patternFill>
          <bgColor rgb="00F2F2F2"/>
        </patternFill>
      </fill>
    </dxf>
    <dxf>
      <font>
        <name val="Times New Roman"/>
        <b val="1"/>
        <color rgb="005521B5"/>
      </font>
      <fill>
        <patternFill>
          <bgColor rgb="00EDEBFE"/>
        </patternFill>
      </fill>
    </dxf>
    <dxf>
      <font>
        <name val="Times New Roman"/>
        <b val="1"/>
        <color rgb="000E7490"/>
      </font>
      <fill>
        <patternFill>
          <bgColor rgb="00CFFAFE"/>
        </patternFill>
      </fill>
    </dxf>
    <dxf>
      <font>
        <name val="Times New Roman"/>
        <b val="1"/>
        <color rgb="006B7280"/>
      </font>
      <fill>
        <patternFill>
          <bgColor rgb="00F3F4F6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E2EFDA"/>
        </patternFill>
      </fill>
    </dxf>
    <dxf>
      <fill>
        <patternFill>
          <bgColor rgb="00B4C6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70"/>
  <sheetViews>
    <sheetView showGridLines="0" workbookViewId="0">
      <pane xSplit="4" topLeftCell="E1" activePane="topRight" state="frozen"/>
      <selection pane="topRight" activeCell="A1" sqref="A1"/>
    </sheetView>
  </sheetViews>
  <sheetFormatPr baseColWidth="8" defaultRowHeight="15"/>
  <cols>
    <col width="6.8" customWidth="1" min="1" max="1"/>
    <col width="11" customWidth="1" min="2" max="2"/>
    <col width="24" customWidth="1" min="3" max="3"/>
    <col width="10.5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hidden="1" width="13" customWidth="1" min="37" max="37"/>
  </cols>
  <sheetData>
    <row r="1" ht="24" customHeight="1">
      <c r="A1" s="1" t="inlineStr">
        <is>
          <t>SAUDIA TECHNIC — AIRCRAFT HEAVY MAINTENANCE · SPV CABIN MONTHLY ROSTER · CC: 264</t>
        </is>
      </c>
    </row>
    <row r="2" ht="18" customHeight="1">
      <c r="A2" s="2" t="inlineStr">
        <is>
          <t>MONTH</t>
        </is>
      </c>
      <c r="B2" s="3" t="inlineStr">
        <is>
          <t>JUL</t>
        </is>
      </c>
      <c r="C2" s="4" t="inlineStr">
        <is>
          <t>YEAR</t>
        </is>
      </c>
      <c r="D2" s="3" t="n">
        <v>2026</v>
      </c>
      <c r="E2" s="5">
        <f>TEXT(DATE($D$2,$AK$2,1),"mmmm yyyy")</f>
        <v/>
      </c>
      <c r="AK2">
        <f>IF(ISNUMBER($B$2),$B$2,MATCH(LEFT(UPPER(TRIM($B$2)),3),{"JAN","FEB","MAR","APR","MAY","JUN","JUL","AUG","SEP","OCT","NOV","DEC"},0))</f>
        <v/>
      </c>
    </row>
    <row r="3" ht="17" customHeight="1">
      <c r="A3" s="6" t="inlineStr">
        <is>
          <t>CREW 1</t>
        </is>
      </c>
    </row>
    <row r="4" ht="13" customHeight="1">
      <c r="E4" s="7">
        <f>IF(1&lt;=DAY(EOMONTH(DATE($D$2,$AK$2,1),0)),TEXT(DATE($D$2,$AK$2,1),"ddd"),"")</f>
        <v/>
      </c>
      <c r="F4" s="7">
        <f>IF(2&lt;=DAY(EOMONTH(DATE($D$2,$AK$2,1),0)),TEXT(DATE($D$2,$AK$2,2),"ddd"),"")</f>
        <v/>
      </c>
      <c r="G4" s="7">
        <f>IF(3&lt;=DAY(EOMONTH(DATE($D$2,$AK$2,1),0)),TEXT(DATE($D$2,$AK$2,3),"ddd"),"")</f>
        <v/>
      </c>
      <c r="H4" s="7">
        <f>IF(4&lt;=DAY(EOMONTH(DATE($D$2,$AK$2,1),0)),TEXT(DATE($D$2,$AK$2,4),"ddd"),"")</f>
        <v/>
      </c>
      <c r="I4" s="7">
        <f>IF(5&lt;=DAY(EOMONTH(DATE($D$2,$AK$2,1),0)),TEXT(DATE($D$2,$AK$2,5),"ddd"),"")</f>
        <v/>
      </c>
      <c r="J4" s="7">
        <f>IF(6&lt;=DAY(EOMONTH(DATE($D$2,$AK$2,1),0)),TEXT(DATE($D$2,$AK$2,6),"ddd"),"")</f>
        <v/>
      </c>
      <c r="K4" s="7">
        <f>IF(7&lt;=DAY(EOMONTH(DATE($D$2,$AK$2,1),0)),TEXT(DATE($D$2,$AK$2,7),"ddd"),"")</f>
        <v/>
      </c>
      <c r="L4" s="7">
        <f>IF(8&lt;=DAY(EOMONTH(DATE($D$2,$AK$2,1),0)),TEXT(DATE($D$2,$AK$2,8),"ddd"),"")</f>
        <v/>
      </c>
      <c r="M4" s="7">
        <f>IF(9&lt;=DAY(EOMONTH(DATE($D$2,$AK$2,1),0)),TEXT(DATE($D$2,$AK$2,9),"ddd"),"")</f>
        <v/>
      </c>
      <c r="N4" s="7">
        <f>IF(10&lt;=DAY(EOMONTH(DATE($D$2,$AK$2,1),0)),TEXT(DATE($D$2,$AK$2,10),"ddd"),"")</f>
        <v/>
      </c>
      <c r="O4" s="7">
        <f>IF(11&lt;=DAY(EOMONTH(DATE($D$2,$AK$2,1),0)),TEXT(DATE($D$2,$AK$2,11),"ddd"),"")</f>
        <v/>
      </c>
      <c r="P4" s="7">
        <f>IF(12&lt;=DAY(EOMONTH(DATE($D$2,$AK$2,1),0)),TEXT(DATE($D$2,$AK$2,12),"ddd"),"")</f>
        <v/>
      </c>
      <c r="Q4" s="7">
        <f>IF(13&lt;=DAY(EOMONTH(DATE($D$2,$AK$2,1),0)),TEXT(DATE($D$2,$AK$2,13),"ddd"),"")</f>
        <v/>
      </c>
      <c r="R4" s="7">
        <f>IF(14&lt;=DAY(EOMONTH(DATE($D$2,$AK$2,1),0)),TEXT(DATE($D$2,$AK$2,14),"ddd"),"")</f>
        <v/>
      </c>
      <c r="S4" s="7">
        <f>IF(15&lt;=DAY(EOMONTH(DATE($D$2,$AK$2,1),0)),TEXT(DATE($D$2,$AK$2,15),"ddd"),"")</f>
        <v/>
      </c>
      <c r="T4" s="7">
        <f>IF(16&lt;=DAY(EOMONTH(DATE($D$2,$AK$2,1),0)),TEXT(DATE($D$2,$AK$2,16),"ddd"),"")</f>
        <v/>
      </c>
      <c r="U4" s="7">
        <f>IF(17&lt;=DAY(EOMONTH(DATE($D$2,$AK$2,1),0)),TEXT(DATE($D$2,$AK$2,17),"ddd"),"")</f>
        <v/>
      </c>
      <c r="V4" s="7">
        <f>IF(18&lt;=DAY(EOMONTH(DATE($D$2,$AK$2,1),0)),TEXT(DATE($D$2,$AK$2,18),"ddd"),"")</f>
        <v/>
      </c>
      <c r="W4" s="7">
        <f>IF(19&lt;=DAY(EOMONTH(DATE($D$2,$AK$2,1),0)),TEXT(DATE($D$2,$AK$2,19),"ddd"),"")</f>
        <v/>
      </c>
      <c r="X4" s="7">
        <f>IF(20&lt;=DAY(EOMONTH(DATE($D$2,$AK$2,1),0)),TEXT(DATE($D$2,$AK$2,20),"ddd"),"")</f>
        <v/>
      </c>
      <c r="Y4" s="7">
        <f>IF(21&lt;=DAY(EOMONTH(DATE($D$2,$AK$2,1),0)),TEXT(DATE($D$2,$AK$2,21),"ddd"),"")</f>
        <v/>
      </c>
      <c r="Z4" s="7">
        <f>IF(22&lt;=DAY(EOMONTH(DATE($D$2,$AK$2,1),0)),TEXT(DATE($D$2,$AK$2,22),"ddd"),"")</f>
        <v/>
      </c>
      <c r="AA4" s="7">
        <f>IF(23&lt;=DAY(EOMONTH(DATE($D$2,$AK$2,1),0)),TEXT(DATE($D$2,$AK$2,23),"ddd"),"")</f>
        <v/>
      </c>
      <c r="AB4" s="7">
        <f>IF(24&lt;=DAY(EOMONTH(DATE($D$2,$AK$2,1),0)),TEXT(DATE($D$2,$AK$2,24),"ddd"),"")</f>
        <v/>
      </c>
      <c r="AC4" s="7">
        <f>IF(25&lt;=DAY(EOMONTH(DATE($D$2,$AK$2,1),0)),TEXT(DATE($D$2,$AK$2,25),"ddd"),"")</f>
        <v/>
      </c>
      <c r="AD4" s="7">
        <f>IF(26&lt;=DAY(EOMONTH(DATE($D$2,$AK$2,1),0)),TEXT(DATE($D$2,$AK$2,26),"ddd"),"")</f>
        <v/>
      </c>
      <c r="AE4" s="7">
        <f>IF(27&lt;=DAY(EOMONTH(DATE($D$2,$AK$2,1),0)),TEXT(DATE($D$2,$AK$2,27),"ddd"),"")</f>
        <v/>
      </c>
      <c r="AF4" s="7">
        <f>IF(28&lt;=DAY(EOMONTH(DATE($D$2,$AK$2,1),0)),TEXT(DATE($D$2,$AK$2,28),"ddd"),"")</f>
        <v/>
      </c>
      <c r="AG4" s="7">
        <f>IF(29&lt;=DAY(EOMONTH(DATE($D$2,$AK$2,1),0)),TEXT(DATE($D$2,$AK$2,29),"ddd"),"")</f>
        <v/>
      </c>
      <c r="AH4" s="7">
        <f>IF(30&lt;=DAY(EOMONTH(DATE($D$2,$AK$2,1),0)),TEXT(DATE($D$2,$AK$2,30),"ddd"),"")</f>
        <v/>
      </c>
      <c r="AI4" s="7">
        <f>IF(31&lt;=DAY(EOMONTH(DATE($D$2,$AK$2,1),0)),TEXT(DATE($D$2,$AK$2,31),"ddd"),"")</f>
        <v/>
      </c>
    </row>
    <row r="5" ht="16" customHeight="1">
      <c r="A5" s="8" t="inlineStr">
        <is>
          <t>#</t>
        </is>
      </c>
      <c r="B5" s="8" t="inlineStr">
        <is>
          <t>PRN</t>
        </is>
      </c>
      <c r="C5" s="8" t="inlineStr">
        <is>
          <t>NAME</t>
        </is>
      </c>
      <c r="D5" s="8" t="inlineStr">
        <is>
          <t>Posn</t>
        </is>
      </c>
      <c r="E5" s="9">
        <f>IF(1&lt;=DAY(EOMONTH(DATE($D$2,$AK$2,1),0)),1,"")</f>
        <v/>
      </c>
      <c r="F5" s="9">
        <f>IF(2&lt;=DAY(EOMONTH(DATE($D$2,$AK$2,1),0)),2,"")</f>
        <v/>
      </c>
      <c r="G5" s="9">
        <f>IF(3&lt;=DAY(EOMONTH(DATE($D$2,$AK$2,1),0)),3,"")</f>
        <v/>
      </c>
      <c r="H5" s="9">
        <f>IF(4&lt;=DAY(EOMONTH(DATE($D$2,$AK$2,1),0)),4,"")</f>
        <v/>
      </c>
      <c r="I5" s="9">
        <f>IF(5&lt;=DAY(EOMONTH(DATE($D$2,$AK$2,1),0)),5,"")</f>
        <v/>
      </c>
      <c r="J5" s="9">
        <f>IF(6&lt;=DAY(EOMONTH(DATE($D$2,$AK$2,1),0)),6,"")</f>
        <v/>
      </c>
      <c r="K5" s="9">
        <f>IF(7&lt;=DAY(EOMONTH(DATE($D$2,$AK$2,1),0)),7,"")</f>
        <v/>
      </c>
      <c r="L5" s="9">
        <f>IF(8&lt;=DAY(EOMONTH(DATE($D$2,$AK$2,1),0)),8,"")</f>
        <v/>
      </c>
      <c r="M5" s="9">
        <f>IF(9&lt;=DAY(EOMONTH(DATE($D$2,$AK$2,1),0)),9,"")</f>
        <v/>
      </c>
      <c r="N5" s="9">
        <f>IF(10&lt;=DAY(EOMONTH(DATE($D$2,$AK$2,1),0)),10,"")</f>
        <v/>
      </c>
      <c r="O5" s="9">
        <f>IF(11&lt;=DAY(EOMONTH(DATE($D$2,$AK$2,1),0)),11,"")</f>
        <v/>
      </c>
      <c r="P5" s="9">
        <f>IF(12&lt;=DAY(EOMONTH(DATE($D$2,$AK$2,1),0)),12,"")</f>
        <v/>
      </c>
      <c r="Q5" s="9">
        <f>IF(13&lt;=DAY(EOMONTH(DATE($D$2,$AK$2,1),0)),13,"")</f>
        <v/>
      </c>
      <c r="R5" s="9">
        <f>IF(14&lt;=DAY(EOMONTH(DATE($D$2,$AK$2,1),0)),14,"")</f>
        <v/>
      </c>
      <c r="S5" s="9">
        <f>IF(15&lt;=DAY(EOMONTH(DATE($D$2,$AK$2,1),0)),15,"")</f>
        <v/>
      </c>
      <c r="T5" s="9">
        <f>IF(16&lt;=DAY(EOMONTH(DATE($D$2,$AK$2,1),0)),16,"")</f>
        <v/>
      </c>
      <c r="U5" s="9">
        <f>IF(17&lt;=DAY(EOMONTH(DATE($D$2,$AK$2,1),0)),17,"")</f>
        <v/>
      </c>
      <c r="V5" s="9">
        <f>IF(18&lt;=DAY(EOMONTH(DATE($D$2,$AK$2,1),0)),18,"")</f>
        <v/>
      </c>
      <c r="W5" s="9">
        <f>IF(19&lt;=DAY(EOMONTH(DATE($D$2,$AK$2,1),0)),19,"")</f>
        <v/>
      </c>
      <c r="X5" s="9">
        <f>IF(20&lt;=DAY(EOMONTH(DATE($D$2,$AK$2,1),0)),20,"")</f>
        <v/>
      </c>
      <c r="Y5" s="9">
        <f>IF(21&lt;=DAY(EOMONTH(DATE($D$2,$AK$2,1),0)),21,"")</f>
        <v/>
      </c>
      <c r="Z5" s="9">
        <f>IF(22&lt;=DAY(EOMONTH(DATE($D$2,$AK$2,1),0)),22,"")</f>
        <v/>
      </c>
      <c r="AA5" s="9">
        <f>IF(23&lt;=DAY(EOMONTH(DATE($D$2,$AK$2,1),0)),23,"")</f>
        <v/>
      </c>
      <c r="AB5" s="9">
        <f>IF(24&lt;=DAY(EOMONTH(DATE($D$2,$AK$2,1),0)),24,"")</f>
        <v/>
      </c>
      <c r="AC5" s="9">
        <f>IF(25&lt;=DAY(EOMONTH(DATE($D$2,$AK$2,1),0)),25,"")</f>
        <v/>
      </c>
      <c r="AD5" s="9">
        <f>IF(26&lt;=DAY(EOMONTH(DATE($D$2,$AK$2,1),0)),26,"")</f>
        <v/>
      </c>
      <c r="AE5" s="9">
        <f>IF(27&lt;=DAY(EOMONTH(DATE($D$2,$AK$2,1),0)),27,"")</f>
        <v/>
      </c>
      <c r="AF5" s="9">
        <f>IF(28&lt;=DAY(EOMONTH(DATE($D$2,$AK$2,1),0)),28,"")</f>
        <v/>
      </c>
      <c r="AG5" s="9">
        <f>IF(29&lt;=DAY(EOMONTH(DATE($D$2,$AK$2,1),0)),29,"")</f>
        <v/>
      </c>
      <c r="AH5" s="9">
        <f>IF(30&lt;=DAY(EOMONTH(DATE($D$2,$AK$2,1),0)),30,"")</f>
        <v/>
      </c>
      <c r="AI5" s="9">
        <f>IF(31&lt;=DAY(EOMONTH(DATE($D$2,$AK$2,1),0)),31,"")</f>
        <v/>
      </c>
    </row>
    <row r="6" ht="17" customHeight="1">
      <c r="A6" s="10">
        <f>IF($C6="","",ROW()-5)</f>
        <v/>
      </c>
      <c r="B6" s="11" t="inlineStr">
        <is>
          <t>13006435</t>
        </is>
      </c>
      <c r="C6" s="12" t="inlineStr">
        <is>
          <t>HOMAID ALJAHDALI</t>
        </is>
      </c>
      <c r="D6" s="11" t="inlineStr">
        <is>
          <t>ACT/SUPV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</row>
    <row r="7" ht="17" customHeight="1">
      <c r="A7" s="10">
        <f>IF($C7="","",ROW()-5)</f>
        <v/>
      </c>
      <c r="B7" s="11" t="inlineStr">
        <is>
          <t>13008931</t>
        </is>
      </c>
      <c r="C7" s="12" t="inlineStr">
        <is>
          <t>RONILO NOGADAS AMEN</t>
        </is>
      </c>
      <c r="D7" s="11" t="inlineStr">
        <is>
          <t>ACT/SUPV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</row>
    <row r="8" ht="17" customHeight="1">
      <c r="A8" s="10">
        <f>IF($C8="","",ROW()-5)</f>
        <v/>
      </c>
      <c r="B8" s="11" t="inlineStr">
        <is>
          <t>13010279</t>
        </is>
      </c>
      <c r="C8" s="12" t="inlineStr">
        <is>
          <t>AHMED M. ALWAHBI</t>
        </is>
      </c>
      <c r="D8" s="11" t="inlineStr">
        <is>
          <t>ACT/SUPV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</row>
    <row r="9" ht="17" customHeight="1">
      <c r="A9" s="10">
        <f>IF($C9="","",ROW()-5)</f>
        <v/>
      </c>
      <c r="B9" s="11" t="inlineStr">
        <is>
          <t>13007568</t>
        </is>
      </c>
      <c r="C9" s="12" t="inlineStr">
        <is>
          <t>NAIF ALANEZI</t>
        </is>
      </c>
      <c r="D9" s="11" t="inlineStr">
        <is>
          <t>ACT/SUPV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</row>
    <row r="10" ht="17" customHeight="1">
      <c r="A10" s="10">
        <f>IF($C10="","",ROW()-5)</f>
        <v/>
      </c>
      <c r="B10" s="11" t="inlineStr">
        <is>
          <t>30005295</t>
        </is>
      </c>
      <c r="C10" s="12" t="inlineStr">
        <is>
          <t>RODEL CLEMENTE</t>
        </is>
      </c>
      <c r="D10" s="11" t="inlineStr">
        <is>
          <t>TECH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</row>
    <row r="11" ht="17" customHeight="1">
      <c r="A11" s="10">
        <f>IF($C11="","",ROW()-5)</f>
        <v/>
      </c>
      <c r="B11" s="11" t="inlineStr">
        <is>
          <t>30001593</t>
        </is>
      </c>
      <c r="C11" s="12" t="inlineStr">
        <is>
          <t>FYSAL M. ALEDAINI</t>
        </is>
      </c>
      <c r="D11" s="11" t="inlineStr">
        <is>
          <t>OJT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</row>
    <row r="12" ht="17" customHeight="1">
      <c r="A12" s="10">
        <f>IF($C12="","",ROW()-5)</f>
        <v/>
      </c>
      <c r="B12" s="11" t="inlineStr">
        <is>
          <t>30001338</t>
        </is>
      </c>
      <c r="C12" s="12" t="inlineStr">
        <is>
          <t>MASHHOUR ALSULAIMANI</t>
        </is>
      </c>
      <c r="D12" s="11" t="inlineStr">
        <is>
          <t>OJT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</row>
    <row r="13" ht="17" customHeight="1">
      <c r="A13" s="10">
        <f>IF($C13="","",ROW()-5)</f>
        <v/>
      </c>
      <c r="B13" s="11" t="inlineStr">
        <is>
          <t>30001573</t>
        </is>
      </c>
      <c r="C13" s="12" t="inlineStr">
        <is>
          <t>JEHAD M. HAKAMI</t>
        </is>
      </c>
      <c r="D13" s="11" t="inlineStr">
        <is>
          <t>OJT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</row>
    <row r="14" ht="17" customHeight="1">
      <c r="A14" s="10">
        <f>IF($C14="","",ROW()-5)</f>
        <v/>
      </c>
      <c r="B14" s="11" t="inlineStr">
        <is>
          <t>30001366</t>
        </is>
      </c>
      <c r="C14" s="12" t="inlineStr">
        <is>
          <t>ABDULAZIZ ZAKOUR</t>
        </is>
      </c>
      <c r="D14" s="11" t="inlineStr">
        <is>
          <t>OJT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</row>
    <row r="15" ht="17" customHeight="1">
      <c r="A15" s="10">
        <f>IF($C15="","",ROW()-5)</f>
        <v/>
      </c>
      <c r="B15" s="11" t="inlineStr">
        <is>
          <t>30001450</t>
        </is>
      </c>
      <c r="C15" s="12" t="inlineStr">
        <is>
          <t>MUHAMMED ALSHAIKH</t>
        </is>
      </c>
      <c r="D15" s="11" t="inlineStr">
        <is>
          <t>OJT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</row>
    <row r="16" ht="17" customHeight="1">
      <c r="A16" s="10">
        <f>IF($C16="","",ROW()-5)</f>
        <v/>
      </c>
      <c r="B16" s="11" t="inlineStr">
        <is>
          <t>30001602</t>
        </is>
      </c>
      <c r="C16" s="12" t="inlineStr">
        <is>
          <t>AHMED M. ALYAMANI</t>
        </is>
      </c>
      <c r="D16" s="11" t="inlineStr">
        <is>
          <t>OJT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</row>
    <row r="17" ht="17" customHeight="1">
      <c r="A17" s="10">
        <f>IF($C17="","",ROW()-5)</f>
        <v/>
      </c>
      <c r="B17" s="11" t="inlineStr">
        <is>
          <t>40001135</t>
        </is>
      </c>
      <c r="C17" s="12" t="inlineStr">
        <is>
          <t>SYAHLENDRA SYAMSOE</t>
        </is>
      </c>
      <c r="D17" s="11" t="inlineStr">
        <is>
          <t>FITTER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</row>
    <row r="18" ht="17" customHeight="1">
      <c r="A18" s="10">
        <f>IF($C18="","",ROW()-5)</f>
        <v/>
      </c>
      <c r="B18" s="11" t="inlineStr">
        <is>
          <t>70010082</t>
        </is>
      </c>
      <c r="C18" s="12" t="inlineStr">
        <is>
          <t>MOHAMMAD KAIFI</t>
        </is>
      </c>
      <c r="D18" s="11" t="inlineStr">
        <is>
          <t>FITTER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</row>
    <row r="19" ht="17" customHeight="1">
      <c r="A19" s="10">
        <f>IF($C19="","",ROW()-5)</f>
        <v/>
      </c>
      <c r="B19" s="11" t="inlineStr">
        <is>
          <t>13009258</t>
        </is>
      </c>
      <c r="C19" s="12" t="inlineStr">
        <is>
          <t>ALI ALAHMADI</t>
        </is>
      </c>
      <c r="D19" s="11" t="inlineStr">
        <is>
          <t>FITTER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</row>
    <row r="20" ht="17" customHeight="1">
      <c r="A20" s="10">
        <f>IF($C20="","",ROW()-5)</f>
        <v/>
      </c>
      <c r="B20" s="11" t="inlineStr">
        <is>
          <t>13009255</t>
        </is>
      </c>
      <c r="C20" s="12" t="inlineStr">
        <is>
          <t>HOSSAM ALGHAMDI</t>
        </is>
      </c>
      <c r="D20" s="11" t="inlineStr">
        <is>
          <t>FITTER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</row>
    <row r="21" ht="17" customHeight="1">
      <c r="A21" s="10">
        <f>IF($C21="","",ROW()-5)</f>
        <v/>
      </c>
      <c r="B21" s="11" t="inlineStr">
        <is>
          <t>13009047</t>
        </is>
      </c>
      <c r="C21" s="12" t="inlineStr">
        <is>
          <t>JIMRICKS AQINO</t>
        </is>
      </c>
      <c r="D21" s="11" t="inlineStr">
        <is>
          <t>FITTER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</row>
    <row r="22" ht="17" customHeight="1">
      <c r="A22" s="10">
        <f>IF($C22="","",ROW()-5)</f>
        <v/>
      </c>
      <c r="B22" s="11" t="n"/>
      <c r="C22" s="12" t="n"/>
      <c r="D22" s="11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</row>
    <row r="23" ht="17" customHeight="1">
      <c r="A23" s="10">
        <f>IF($C23="","",ROW()-5)</f>
        <v/>
      </c>
      <c r="B23" s="11" t="n"/>
      <c r="C23" s="12" t="n"/>
      <c r="D23" s="11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</row>
    <row r="24" ht="17" customHeight="1">
      <c r="A24" s="6" t="inlineStr">
        <is>
          <t>CREW 2</t>
        </is>
      </c>
    </row>
    <row r="25" ht="13" customHeight="1">
      <c r="E25" s="7">
        <f>IF(1&lt;=DAY(EOMONTH(DATE($D$2,$AK$2,1),0)),TEXT(DATE($D$2,$AK$2,1),"ddd"),"")</f>
        <v/>
      </c>
      <c r="F25" s="7">
        <f>IF(2&lt;=DAY(EOMONTH(DATE($D$2,$AK$2,1),0)),TEXT(DATE($D$2,$AK$2,2),"ddd"),"")</f>
        <v/>
      </c>
      <c r="G25" s="7">
        <f>IF(3&lt;=DAY(EOMONTH(DATE($D$2,$AK$2,1),0)),TEXT(DATE($D$2,$AK$2,3),"ddd"),"")</f>
        <v/>
      </c>
      <c r="H25" s="7">
        <f>IF(4&lt;=DAY(EOMONTH(DATE($D$2,$AK$2,1),0)),TEXT(DATE($D$2,$AK$2,4),"ddd"),"")</f>
        <v/>
      </c>
      <c r="I25" s="7">
        <f>IF(5&lt;=DAY(EOMONTH(DATE($D$2,$AK$2,1),0)),TEXT(DATE($D$2,$AK$2,5),"ddd"),"")</f>
        <v/>
      </c>
      <c r="J25" s="7">
        <f>IF(6&lt;=DAY(EOMONTH(DATE($D$2,$AK$2,1),0)),TEXT(DATE($D$2,$AK$2,6),"ddd"),"")</f>
        <v/>
      </c>
      <c r="K25" s="7">
        <f>IF(7&lt;=DAY(EOMONTH(DATE($D$2,$AK$2,1),0)),TEXT(DATE($D$2,$AK$2,7),"ddd"),"")</f>
        <v/>
      </c>
      <c r="L25" s="7">
        <f>IF(8&lt;=DAY(EOMONTH(DATE($D$2,$AK$2,1),0)),TEXT(DATE($D$2,$AK$2,8),"ddd"),"")</f>
        <v/>
      </c>
      <c r="M25" s="7">
        <f>IF(9&lt;=DAY(EOMONTH(DATE($D$2,$AK$2,1),0)),TEXT(DATE($D$2,$AK$2,9),"ddd"),"")</f>
        <v/>
      </c>
      <c r="N25" s="7">
        <f>IF(10&lt;=DAY(EOMONTH(DATE($D$2,$AK$2,1),0)),TEXT(DATE($D$2,$AK$2,10),"ddd"),"")</f>
        <v/>
      </c>
      <c r="O25" s="7">
        <f>IF(11&lt;=DAY(EOMONTH(DATE($D$2,$AK$2,1),0)),TEXT(DATE($D$2,$AK$2,11),"ddd"),"")</f>
        <v/>
      </c>
      <c r="P25" s="7">
        <f>IF(12&lt;=DAY(EOMONTH(DATE($D$2,$AK$2,1),0)),TEXT(DATE($D$2,$AK$2,12),"ddd"),"")</f>
        <v/>
      </c>
      <c r="Q25" s="7">
        <f>IF(13&lt;=DAY(EOMONTH(DATE($D$2,$AK$2,1),0)),TEXT(DATE($D$2,$AK$2,13),"ddd"),"")</f>
        <v/>
      </c>
      <c r="R25" s="7">
        <f>IF(14&lt;=DAY(EOMONTH(DATE($D$2,$AK$2,1),0)),TEXT(DATE($D$2,$AK$2,14),"ddd"),"")</f>
        <v/>
      </c>
      <c r="S25" s="7">
        <f>IF(15&lt;=DAY(EOMONTH(DATE($D$2,$AK$2,1),0)),TEXT(DATE($D$2,$AK$2,15),"ddd"),"")</f>
        <v/>
      </c>
      <c r="T25" s="7">
        <f>IF(16&lt;=DAY(EOMONTH(DATE($D$2,$AK$2,1),0)),TEXT(DATE($D$2,$AK$2,16),"ddd"),"")</f>
        <v/>
      </c>
      <c r="U25" s="7">
        <f>IF(17&lt;=DAY(EOMONTH(DATE($D$2,$AK$2,1),0)),TEXT(DATE($D$2,$AK$2,17),"ddd"),"")</f>
        <v/>
      </c>
      <c r="V25" s="7">
        <f>IF(18&lt;=DAY(EOMONTH(DATE($D$2,$AK$2,1),0)),TEXT(DATE($D$2,$AK$2,18),"ddd"),"")</f>
        <v/>
      </c>
      <c r="W25" s="7">
        <f>IF(19&lt;=DAY(EOMONTH(DATE($D$2,$AK$2,1),0)),TEXT(DATE($D$2,$AK$2,19),"ddd"),"")</f>
        <v/>
      </c>
      <c r="X25" s="7">
        <f>IF(20&lt;=DAY(EOMONTH(DATE($D$2,$AK$2,1),0)),TEXT(DATE($D$2,$AK$2,20),"ddd"),"")</f>
        <v/>
      </c>
      <c r="Y25" s="7">
        <f>IF(21&lt;=DAY(EOMONTH(DATE($D$2,$AK$2,1),0)),TEXT(DATE($D$2,$AK$2,21),"ddd"),"")</f>
        <v/>
      </c>
      <c r="Z25" s="7">
        <f>IF(22&lt;=DAY(EOMONTH(DATE($D$2,$AK$2,1),0)),TEXT(DATE($D$2,$AK$2,22),"ddd"),"")</f>
        <v/>
      </c>
      <c r="AA25" s="7">
        <f>IF(23&lt;=DAY(EOMONTH(DATE($D$2,$AK$2,1),0)),TEXT(DATE($D$2,$AK$2,23),"ddd"),"")</f>
        <v/>
      </c>
      <c r="AB25" s="7">
        <f>IF(24&lt;=DAY(EOMONTH(DATE($D$2,$AK$2,1),0)),TEXT(DATE($D$2,$AK$2,24),"ddd"),"")</f>
        <v/>
      </c>
      <c r="AC25" s="7">
        <f>IF(25&lt;=DAY(EOMONTH(DATE($D$2,$AK$2,1),0)),TEXT(DATE($D$2,$AK$2,25),"ddd"),"")</f>
        <v/>
      </c>
      <c r="AD25" s="7">
        <f>IF(26&lt;=DAY(EOMONTH(DATE($D$2,$AK$2,1),0)),TEXT(DATE($D$2,$AK$2,26),"ddd"),"")</f>
        <v/>
      </c>
      <c r="AE25" s="7">
        <f>IF(27&lt;=DAY(EOMONTH(DATE($D$2,$AK$2,1),0)),TEXT(DATE($D$2,$AK$2,27),"ddd"),"")</f>
        <v/>
      </c>
      <c r="AF25" s="7">
        <f>IF(28&lt;=DAY(EOMONTH(DATE($D$2,$AK$2,1),0)),TEXT(DATE($D$2,$AK$2,28),"ddd"),"")</f>
        <v/>
      </c>
      <c r="AG25" s="7">
        <f>IF(29&lt;=DAY(EOMONTH(DATE($D$2,$AK$2,1),0)),TEXT(DATE($D$2,$AK$2,29),"ddd"),"")</f>
        <v/>
      </c>
      <c r="AH25" s="7">
        <f>IF(30&lt;=DAY(EOMONTH(DATE($D$2,$AK$2,1),0)),TEXT(DATE($D$2,$AK$2,30),"ddd"),"")</f>
        <v/>
      </c>
      <c r="AI25" s="7">
        <f>IF(31&lt;=DAY(EOMONTH(DATE($D$2,$AK$2,1),0)),TEXT(DATE($D$2,$AK$2,31),"ddd"),"")</f>
        <v/>
      </c>
    </row>
    <row r="26" ht="16" customHeight="1">
      <c r="A26" s="8" t="inlineStr">
        <is>
          <t>#</t>
        </is>
      </c>
      <c r="B26" s="8" t="inlineStr">
        <is>
          <t>PRN</t>
        </is>
      </c>
      <c r="C26" s="8" t="inlineStr">
        <is>
          <t>NAME</t>
        </is>
      </c>
      <c r="D26" s="8" t="inlineStr">
        <is>
          <t>Posn</t>
        </is>
      </c>
      <c r="E26" s="9">
        <f>IF(1&lt;=DAY(EOMONTH(DATE($D$2,$AK$2,1),0)),1,"")</f>
        <v/>
      </c>
      <c r="F26" s="9">
        <f>IF(2&lt;=DAY(EOMONTH(DATE($D$2,$AK$2,1),0)),2,"")</f>
        <v/>
      </c>
      <c r="G26" s="9">
        <f>IF(3&lt;=DAY(EOMONTH(DATE($D$2,$AK$2,1),0)),3,"")</f>
        <v/>
      </c>
      <c r="H26" s="9">
        <f>IF(4&lt;=DAY(EOMONTH(DATE($D$2,$AK$2,1),0)),4,"")</f>
        <v/>
      </c>
      <c r="I26" s="9">
        <f>IF(5&lt;=DAY(EOMONTH(DATE($D$2,$AK$2,1),0)),5,"")</f>
        <v/>
      </c>
      <c r="J26" s="9">
        <f>IF(6&lt;=DAY(EOMONTH(DATE($D$2,$AK$2,1),0)),6,"")</f>
        <v/>
      </c>
      <c r="K26" s="9">
        <f>IF(7&lt;=DAY(EOMONTH(DATE($D$2,$AK$2,1),0)),7,"")</f>
        <v/>
      </c>
      <c r="L26" s="9">
        <f>IF(8&lt;=DAY(EOMONTH(DATE($D$2,$AK$2,1),0)),8,"")</f>
        <v/>
      </c>
      <c r="M26" s="9">
        <f>IF(9&lt;=DAY(EOMONTH(DATE($D$2,$AK$2,1),0)),9,"")</f>
        <v/>
      </c>
      <c r="N26" s="9">
        <f>IF(10&lt;=DAY(EOMONTH(DATE($D$2,$AK$2,1),0)),10,"")</f>
        <v/>
      </c>
      <c r="O26" s="9">
        <f>IF(11&lt;=DAY(EOMONTH(DATE($D$2,$AK$2,1),0)),11,"")</f>
        <v/>
      </c>
      <c r="P26" s="9">
        <f>IF(12&lt;=DAY(EOMONTH(DATE($D$2,$AK$2,1),0)),12,"")</f>
        <v/>
      </c>
      <c r="Q26" s="9">
        <f>IF(13&lt;=DAY(EOMONTH(DATE($D$2,$AK$2,1),0)),13,"")</f>
        <v/>
      </c>
      <c r="R26" s="9">
        <f>IF(14&lt;=DAY(EOMONTH(DATE($D$2,$AK$2,1),0)),14,"")</f>
        <v/>
      </c>
      <c r="S26" s="9">
        <f>IF(15&lt;=DAY(EOMONTH(DATE($D$2,$AK$2,1),0)),15,"")</f>
        <v/>
      </c>
      <c r="T26" s="9">
        <f>IF(16&lt;=DAY(EOMONTH(DATE($D$2,$AK$2,1),0)),16,"")</f>
        <v/>
      </c>
      <c r="U26" s="9">
        <f>IF(17&lt;=DAY(EOMONTH(DATE($D$2,$AK$2,1),0)),17,"")</f>
        <v/>
      </c>
      <c r="V26" s="9">
        <f>IF(18&lt;=DAY(EOMONTH(DATE($D$2,$AK$2,1),0)),18,"")</f>
        <v/>
      </c>
      <c r="W26" s="9">
        <f>IF(19&lt;=DAY(EOMONTH(DATE($D$2,$AK$2,1),0)),19,"")</f>
        <v/>
      </c>
      <c r="X26" s="9">
        <f>IF(20&lt;=DAY(EOMONTH(DATE($D$2,$AK$2,1),0)),20,"")</f>
        <v/>
      </c>
      <c r="Y26" s="9">
        <f>IF(21&lt;=DAY(EOMONTH(DATE($D$2,$AK$2,1),0)),21,"")</f>
        <v/>
      </c>
      <c r="Z26" s="9">
        <f>IF(22&lt;=DAY(EOMONTH(DATE($D$2,$AK$2,1),0)),22,"")</f>
        <v/>
      </c>
      <c r="AA26" s="9">
        <f>IF(23&lt;=DAY(EOMONTH(DATE($D$2,$AK$2,1),0)),23,"")</f>
        <v/>
      </c>
      <c r="AB26" s="9">
        <f>IF(24&lt;=DAY(EOMONTH(DATE($D$2,$AK$2,1),0)),24,"")</f>
        <v/>
      </c>
      <c r="AC26" s="9">
        <f>IF(25&lt;=DAY(EOMONTH(DATE($D$2,$AK$2,1),0)),25,"")</f>
        <v/>
      </c>
      <c r="AD26" s="9">
        <f>IF(26&lt;=DAY(EOMONTH(DATE($D$2,$AK$2,1),0)),26,"")</f>
        <v/>
      </c>
      <c r="AE26" s="9">
        <f>IF(27&lt;=DAY(EOMONTH(DATE($D$2,$AK$2,1),0)),27,"")</f>
        <v/>
      </c>
      <c r="AF26" s="9">
        <f>IF(28&lt;=DAY(EOMONTH(DATE($D$2,$AK$2,1),0)),28,"")</f>
        <v/>
      </c>
      <c r="AG26" s="9">
        <f>IF(29&lt;=DAY(EOMONTH(DATE($D$2,$AK$2,1),0)),29,"")</f>
        <v/>
      </c>
      <c r="AH26" s="9">
        <f>IF(30&lt;=DAY(EOMONTH(DATE($D$2,$AK$2,1),0)),30,"")</f>
        <v/>
      </c>
      <c r="AI26" s="9">
        <f>IF(31&lt;=DAY(EOMONTH(DATE($D$2,$AK$2,1),0)),31,"")</f>
        <v/>
      </c>
    </row>
    <row r="27" ht="17" customHeight="1">
      <c r="A27" s="10">
        <f>IF($C27="","",ROW()-26)</f>
        <v/>
      </c>
      <c r="B27" s="11" t="inlineStr">
        <is>
          <t>13006567</t>
        </is>
      </c>
      <c r="C27" s="12" t="inlineStr">
        <is>
          <t>AHMED AL-GHAMDI</t>
        </is>
      </c>
      <c r="D27" s="11" t="inlineStr">
        <is>
          <t>ACT/SUPV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</row>
    <row r="28" ht="17" customHeight="1">
      <c r="A28" s="10">
        <f>IF($C28="","",ROW()-26)</f>
        <v/>
      </c>
      <c r="B28" s="11" t="inlineStr">
        <is>
          <t>13010253</t>
        </is>
      </c>
      <c r="C28" s="12" t="inlineStr">
        <is>
          <t>AHMED S. ALGHAMDI</t>
        </is>
      </c>
      <c r="D28" s="11" t="inlineStr">
        <is>
          <t>ACT/SUPV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</row>
    <row r="29" ht="17" customHeight="1">
      <c r="A29" s="10">
        <f>IF($C29="","",ROW()-26)</f>
        <v/>
      </c>
      <c r="B29" s="11" t="inlineStr">
        <is>
          <t>13007276</t>
        </is>
      </c>
      <c r="C29" s="12" t="inlineStr">
        <is>
          <t>MOHAMMED BAROOM</t>
        </is>
      </c>
      <c r="D29" s="11" t="inlineStr">
        <is>
          <t>TECH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</row>
    <row r="30" ht="17" customHeight="1">
      <c r="A30" s="10">
        <f>IF($C30="","",ROW()-26)</f>
        <v/>
      </c>
      <c r="B30" s="11" t="inlineStr">
        <is>
          <t>13010286</t>
        </is>
      </c>
      <c r="C30" s="12" t="inlineStr">
        <is>
          <t>ABDULAZIZ F. ALBOUQ</t>
        </is>
      </c>
      <c r="D30" s="11" t="inlineStr">
        <is>
          <t>TECH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</row>
    <row r="31" ht="17" customHeight="1">
      <c r="A31" s="10">
        <f>IF($C31="","",ROW()-26)</f>
        <v/>
      </c>
      <c r="B31" s="11" t="inlineStr">
        <is>
          <t>30004221</t>
        </is>
      </c>
      <c r="C31" s="12" t="inlineStr">
        <is>
          <t>YOUSEF BARIFAH</t>
        </is>
      </c>
      <c r="D31" s="11" t="inlineStr">
        <is>
          <t>TECH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</row>
    <row r="32" ht="17" customHeight="1">
      <c r="A32" s="10">
        <f>IF($C32="","",ROW()-26)</f>
        <v/>
      </c>
      <c r="B32" s="11" t="inlineStr">
        <is>
          <t>30001345</t>
        </is>
      </c>
      <c r="C32" s="12" t="inlineStr">
        <is>
          <t>AHMED ALSHARIF</t>
        </is>
      </c>
      <c r="D32" s="11" t="inlineStr">
        <is>
          <t>OJT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</row>
    <row r="33" ht="17" customHeight="1">
      <c r="A33" s="10">
        <f>IF($C33="","",ROW()-26)</f>
        <v/>
      </c>
      <c r="B33" s="11" t="inlineStr">
        <is>
          <t>30001351</t>
        </is>
      </c>
      <c r="C33" s="12" t="inlineStr">
        <is>
          <t>KHALID ALSHUBRAMI</t>
        </is>
      </c>
      <c r="D33" s="11" t="inlineStr">
        <is>
          <t>OJT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</row>
    <row r="34" ht="17" customHeight="1">
      <c r="A34" s="10">
        <f>IF($C34="","",ROW()-26)</f>
        <v/>
      </c>
      <c r="B34" s="11" t="inlineStr">
        <is>
          <t>30001451</t>
        </is>
      </c>
      <c r="C34" s="12" t="inlineStr">
        <is>
          <t>MUHAMMED ALHARBI</t>
        </is>
      </c>
      <c r="D34" s="11" t="inlineStr">
        <is>
          <t>OJT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</row>
    <row r="35" ht="17" customHeight="1">
      <c r="A35" s="10">
        <f>IF($C35="","",ROW()-26)</f>
        <v/>
      </c>
      <c r="B35" s="11" t="inlineStr">
        <is>
          <t>30001452</t>
        </is>
      </c>
      <c r="C35" s="12" t="inlineStr">
        <is>
          <t>SAAD ALDOSARI</t>
        </is>
      </c>
      <c r="D35" s="11" t="inlineStr">
        <is>
          <t>OJT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</row>
    <row r="36" ht="17" customHeight="1">
      <c r="A36" s="10">
        <f>IF($C36="","",ROW()-26)</f>
        <v/>
      </c>
      <c r="B36" s="11" t="inlineStr">
        <is>
          <t>30001461</t>
        </is>
      </c>
      <c r="C36" s="12" t="inlineStr">
        <is>
          <t>HUSSAM ALTHUBAITI</t>
        </is>
      </c>
      <c r="D36" s="11" t="inlineStr">
        <is>
          <t>OJT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</row>
    <row r="37" ht="17" customHeight="1">
      <c r="A37" s="10">
        <f>IF($C37="","",ROW()-26)</f>
        <v/>
      </c>
      <c r="B37" s="11" t="inlineStr">
        <is>
          <t>30001575</t>
        </is>
      </c>
      <c r="C37" s="12" t="inlineStr">
        <is>
          <t>FADUL A. FADUL</t>
        </is>
      </c>
      <c r="D37" s="11" t="inlineStr">
        <is>
          <t>OJT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</row>
    <row r="38" ht="17" customHeight="1">
      <c r="A38" s="10">
        <f>IF($C38="","",ROW()-26)</f>
        <v/>
      </c>
      <c r="B38" s="11" t="inlineStr">
        <is>
          <t>30001577</t>
        </is>
      </c>
      <c r="C38" s="12" t="inlineStr">
        <is>
          <t>FOUAD A. MOJALLY</t>
        </is>
      </c>
      <c r="D38" s="11" t="inlineStr">
        <is>
          <t>OJT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</row>
    <row r="39" ht="17" customHeight="1">
      <c r="A39" s="10">
        <f>IF($C39="","",ROW()-26)</f>
        <v/>
      </c>
      <c r="B39" s="11" t="inlineStr">
        <is>
          <t>30001774</t>
        </is>
      </c>
      <c r="C39" s="12" t="inlineStr">
        <is>
          <t>SAAD A. ALQAHTANI</t>
        </is>
      </c>
      <c r="D39" s="11" t="inlineStr">
        <is>
          <t>OJT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</row>
    <row r="40" ht="17" customHeight="1">
      <c r="A40" s="10">
        <f>IF($C40="","",ROW()-26)</f>
        <v/>
      </c>
      <c r="B40" s="11" t="inlineStr">
        <is>
          <t>40000188</t>
        </is>
      </c>
      <c r="C40" s="12" t="inlineStr">
        <is>
          <t>RAKAN AGILY</t>
        </is>
      </c>
      <c r="D40" s="11" t="inlineStr">
        <is>
          <t>FITTER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</row>
    <row r="41" ht="17" customHeight="1">
      <c r="A41" s="10">
        <f>IF($C41="","",ROW()-26)</f>
        <v/>
      </c>
      <c r="B41" s="11" t="inlineStr">
        <is>
          <t>13009042</t>
        </is>
      </c>
      <c r="C41" s="12" t="inlineStr">
        <is>
          <t>OLANDRES JR BEINVENIDO</t>
        </is>
      </c>
      <c r="D41" s="11" t="inlineStr">
        <is>
          <t>FITTER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</row>
    <row r="42" ht="17" customHeight="1">
      <c r="A42" s="10">
        <f>IF($C42="","",ROW()-26)</f>
        <v/>
      </c>
      <c r="B42" s="11" t="inlineStr">
        <is>
          <t>40000706</t>
        </is>
      </c>
      <c r="C42" s="12" t="inlineStr">
        <is>
          <t>JASON C. GUEVARRA</t>
        </is>
      </c>
      <c r="D42" s="11" t="inlineStr">
        <is>
          <t>FITTER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</row>
    <row r="43" ht="17" customHeight="1">
      <c r="A43" s="10">
        <f>IF($C43="","",ROW()-26)</f>
        <v/>
      </c>
      <c r="B43" s="11" t="inlineStr">
        <is>
          <t>13009023</t>
        </is>
      </c>
      <c r="C43" s="12" t="inlineStr">
        <is>
          <t>SAMEER ALDUSUQI</t>
        </is>
      </c>
      <c r="D43" s="11" t="inlineStr">
        <is>
          <t>FITTER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</row>
    <row r="44" ht="17" customHeight="1">
      <c r="A44" s="10">
        <f>IF($C44="","",ROW()-26)</f>
        <v/>
      </c>
      <c r="B44" s="11" t="n"/>
      <c r="C44" s="12" t="n"/>
      <c r="D44" s="11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</row>
    <row r="45" ht="17" customHeight="1">
      <c r="A45" s="14" t="inlineStr">
        <is>
          <t>SPECIAL SHIFTING</t>
        </is>
      </c>
    </row>
    <row r="46" ht="13" customHeight="1">
      <c r="E46" s="7">
        <f>IF(1&lt;=DAY(EOMONTH(DATE($D$2,$AK$2,1),0)),TEXT(DATE($D$2,$AK$2,1),"ddd"),"")</f>
        <v/>
      </c>
      <c r="F46" s="7">
        <f>IF(2&lt;=DAY(EOMONTH(DATE($D$2,$AK$2,1),0)),TEXT(DATE($D$2,$AK$2,2),"ddd"),"")</f>
        <v/>
      </c>
      <c r="G46" s="7">
        <f>IF(3&lt;=DAY(EOMONTH(DATE($D$2,$AK$2,1),0)),TEXT(DATE($D$2,$AK$2,3),"ddd"),"")</f>
        <v/>
      </c>
      <c r="H46" s="7">
        <f>IF(4&lt;=DAY(EOMONTH(DATE($D$2,$AK$2,1),0)),TEXT(DATE($D$2,$AK$2,4),"ddd"),"")</f>
        <v/>
      </c>
      <c r="I46" s="7">
        <f>IF(5&lt;=DAY(EOMONTH(DATE($D$2,$AK$2,1),0)),TEXT(DATE($D$2,$AK$2,5),"ddd"),"")</f>
        <v/>
      </c>
      <c r="J46" s="7">
        <f>IF(6&lt;=DAY(EOMONTH(DATE($D$2,$AK$2,1),0)),TEXT(DATE($D$2,$AK$2,6),"ddd"),"")</f>
        <v/>
      </c>
      <c r="K46" s="7">
        <f>IF(7&lt;=DAY(EOMONTH(DATE($D$2,$AK$2,1),0)),TEXT(DATE($D$2,$AK$2,7),"ddd"),"")</f>
        <v/>
      </c>
      <c r="L46" s="7">
        <f>IF(8&lt;=DAY(EOMONTH(DATE($D$2,$AK$2,1),0)),TEXT(DATE($D$2,$AK$2,8),"ddd"),"")</f>
        <v/>
      </c>
      <c r="M46" s="7">
        <f>IF(9&lt;=DAY(EOMONTH(DATE($D$2,$AK$2,1),0)),TEXT(DATE($D$2,$AK$2,9),"ddd"),"")</f>
        <v/>
      </c>
      <c r="N46" s="7">
        <f>IF(10&lt;=DAY(EOMONTH(DATE($D$2,$AK$2,1),0)),TEXT(DATE($D$2,$AK$2,10),"ddd"),"")</f>
        <v/>
      </c>
      <c r="O46" s="7">
        <f>IF(11&lt;=DAY(EOMONTH(DATE($D$2,$AK$2,1),0)),TEXT(DATE($D$2,$AK$2,11),"ddd"),"")</f>
        <v/>
      </c>
      <c r="P46" s="7">
        <f>IF(12&lt;=DAY(EOMONTH(DATE($D$2,$AK$2,1),0)),TEXT(DATE($D$2,$AK$2,12),"ddd"),"")</f>
        <v/>
      </c>
      <c r="Q46" s="7">
        <f>IF(13&lt;=DAY(EOMONTH(DATE($D$2,$AK$2,1),0)),TEXT(DATE($D$2,$AK$2,13),"ddd"),"")</f>
        <v/>
      </c>
      <c r="R46" s="7">
        <f>IF(14&lt;=DAY(EOMONTH(DATE($D$2,$AK$2,1),0)),TEXT(DATE($D$2,$AK$2,14),"ddd"),"")</f>
        <v/>
      </c>
      <c r="S46" s="7">
        <f>IF(15&lt;=DAY(EOMONTH(DATE($D$2,$AK$2,1),0)),TEXT(DATE($D$2,$AK$2,15),"ddd"),"")</f>
        <v/>
      </c>
      <c r="T46" s="7">
        <f>IF(16&lt;=DAY(EOMONTH(DATE($D$2,$AK$2,1),0)),TEXT(DATE($D$2,$AK$2,16),"ddd"),"")</f>
        <v/>
      </c>
      <c r="U46" s="7">
        <f>IF(17&lt;=DAY(EOMONTH(DATE($D$2,$AK$2,1),0)),TEXT(DATE($D$2,$AK$2,17),"ddd"),"")</f>
        <v/>
      </c>
      <c r="V46" s="7">
        <f>IF(18&lt;=DAY(EOMONTH(DATE($D$2,$AK$2,1),0)),TEXT(DATE($D$2,$AK$2,18),"ddd"),"")</f>
        <v/>
      </c>
      <c r="W46" s="7">
        <f>IF(19&lt;=DAY(EOMONTH(DATE($D$2,$AK$2,1),0)),TEXT(DATE($D$2,$AK$2,19),"ddd"),"")</f>
        <v/>
      </c>
      <c r="X46" s="7">
        <f>IF(20&lt;=DAY(EOMONTH(DATE($D$2,$AK$2,1),0)),TEXT(DATE($D$2,$AK$2,20),"ddd"),"")</f>
        <v/>
      </c>
      <c r="Y46" s="7">
        <f>IF(21&lt;=DAY(EOMONTH(DATE($D$2,$AK$2,1),0)),TEXT(DATE($D$2,$AK$2,21),"ddd"),"")</f>
        <v/>
      </c>
      <c r="Z46" s="7">
        <f>IF(22&lt;=DAY(EOMONTH(DATE($D$2,$AK$2,1),0)),TEXT(DATE($D$2,$AK$2,22),"ddd"),"")</f>
        <v/>
      </c>
      <c r="AA46" s="7">
        <f>IF(23&lt;=DAY(EOMONTH(DATE($D$2,$AK$2,1),0)),TEXT(DATE($D$2,$AK$2,23),"ddd"),"")</f>
        <v/>
      </c>
      <c r="AB46" s="7">
        <f>IF(24&lt;=DAY(EOMONTH(DATE($D$2,$AK$2,1),0)),TEXT(DATE($D$2,$AK$2,24),"ddd"),"")</f>
        <v/>
      </c>
      <c r="AC46" s="7">
        <f>IF(25&lt;=DAY(EOMONTH(DATE($D$2,$AK$2,1),0)),TEXT(DATE($D$2,$AK$2,25),"ddd"),"")</f>
        <v/>
      </c>
      <c r="AD46" s="7">
        <f>IF(26&lt;=DAY(EOMONTH(DATE($D$2,$AK$2,1),0)),TEXT(DATE($D$2,$AK$2,26),"ddd"),"")</f>
        <v/>
      </c>
      <c r="AE46" s="7">
        <f>IF(27&lt;=DAY(EOMONTH(DATE($D$2,$AK$2,1),0)),TEXT(DATE($D$2,$AK$2,27),"ddd"),"")</f>
        <v/>
      </c>
      <c r="AF46" s="7">
        <f>IF(28&lt;=DAY(EOMONTH(DATE($D$2,$AK$2,1),0)),TEXT(DATE($D$2,$AK$2,28),"ddd"),"")</f>
        <v/>
      </c>
      <c r="AG46" s="7">
        <f>IF(29&lt;=DAY(EOMONTH(DATE($D$2,$AK$2,1),0)),TEXT(DATE($D$2,$AK$2,29),"ddd"),"")</f>
        <v/>
      </c>
      <c r="AH46" s="7">
        <f>IF(30&lt;=DAY(EOMONTH(DATE($D$2,$AK$2,1),0)),TEXT(DATE($D$2,$AK$2,30),"ddd"),"")</f>
        <v/>
      </c>
      <c r="AI46" s="7">
        <f>IF(31&lt;=DAY(EOMONTH(DATE($D$2,$AK$2,1),0)),TEXT(DATE($D$2,$AK$2,31),"ddd"),"")</f>
        <v/>
      </c>
    </row>
    <row r="47" ht="16" customHeight="1">
      <c r="A47" s="8" t="inlineStr">
        <is>
          <t>#</t>
        </is>
      </c>
      <c r="B47" s="8" t="inlineStr">
        <is>
          <t>PRN</t>
        </is>
      </c>
      <c r="C47" s="8" t="inlineStr">
        <is>
          <t>NAME</t>
        </is>
      </c>
      <c r="D47" s="8" t="inlineStr">
        <is>
          <t>Posn</t>
        </is>
      </c>
      <c r="E47" s="9">
        <f>IF(1&lt;=DAY(EOMONTH(DATE($D$2,$AK$2,1),0)),1,"")</f>
        <v/>
      </c>
      <c r="F47" s="9">
        <f>IF(2&lt;=DAY(EOMONTH(DATE($D$2,$AK$2,1),0)),2,"")</f>
        <v/>
      </c>
      <c r="G47" s="9">
        <f>IF(3&lt;=DAY(EOMONTH(DATE($D$2,$AK$2,1),0)),3,"")</f>
        <v/>
      </c>
      <c r="H47" s="9">
        <f>IF(4&lt;=DAY(EOMONTH(DATE($D$2,$AK$2,1),0)),4,"")</f>
        <v/>
      </c>
      <c r="I47" s="9">
        <f>IF(5&lt;=DAY(EOMONTH(DATE($D$2,$AK$2,1),0)),5,"")</f>
        <v/>
      </c>
      <c r="J47" s="9">
        <f>IF(6&lt;=DAY(EOMONTH(DATE($D$2,$AK$2,1),0)),6,"")</f>
        <v/>
      </c>
      <c r="K47" s="9">
        <f>IF(7&lt;=DAY(EOMONTH(DATE($D$2,$AK$2,1),0)),7,"")</f>
        <v/>
      </c>
      <c r="L47" s="9">
        <f>IF(8&lt;=DAY(EOMONTH(DATE($D$2,$AK$2,1),0)),8,"")</f>
        <v/>
      </c>
      <c r="M47" s="9">
        <f>IF(9&lt;=DAY(EOMONTH(DATE($D$2,$AK$2,1),0)),9,"")</f>
        <v/>
      </c>
      <c r="N47" s="9">
        <f>IF(10&lt;=DAY(EOMONTH(DATE($D$2,$AK$2,1),0)),10,"")</f>
        <v/>
      </c>
      <c r="O47" s="9">
        <f>IF(11&lt;=DAY(EOMONTH(DATE($D$2,$AK$2,1),0)),11,"")</f>
        <v/>
      </c>
      <c r="P47" s="9">
        <f>IF(12&lt;=DAY(EOMONTH(DATE($D$2,$AK$2,1),0)),12,"")</f>
        <v/>
      </c>
      <c r="Q47" s="9">
        <f>IF(13&lt;=DAY(EOMONTH(DATE($D$2,$AK$2,1),0)),13,"")</f>
        <v/>
      </c>
      <c r="R47" s="9">
        <f>IF(14&lt;=DAY(EOMONTH(DATE($D$2,$AK$2,1),0)),14,"")</f>
        <v/>
      </c>
      <c r="S47" s="9">
        <f>IF(15&lt;=DAY(EOMONTH(DATE($D$2,$AK$2,1),0)),15,"")</f>
        <v/>
      </c>
      <c r="T47" s="9">
        <f>IF(16&lt;=DAY(EOMONTH(DATE($D$2,$AK$2,1),0)),16,"")</f>
        <v/>
      </c>
      <c r="U47" s="9">
        <f>IF(17&lt;=DAY(EOMONTH(DATE($D$2,$AK$2,1),0)),17,"")</f>
        <v/>
      </c>
      <c r="V47" s="9">
        <f>IF(18&lt;=DAY(EOMONTH(DATE($D$2,$AK$2,1),0)),18,"")</f>
        <v/>
      </c>
      <c r="W47" s="9">
        <f>IF(19&lt;=DAY(EOMONTH(DATE($D$2,$AK$2,1),0)),19,"")</f>
        <v/>
      </c>
      <c r="X47" s="9">
        <f>IF(20&lt;=DAY(EOMONTH(DATE($D$2,$AK$2,1),0)),20,"")</f>
        <v/>
      </c>
      <c r="Y47" s="9">
        <f>IF(21&lt;=DAY(EOMONTH(DATE($D$2,$AK$2,1),0)),21,"")</f>
        <v/>
      </c>
      <c r="Z47" s="9">
        <f>IF(22&lt;=DAY(EOMONTH(DATE($D$2,$AK$2,1),0)),22,"")</f>
        <v/>
      </c>
      <c r="AA47" s="9">
        <f>IF(23&lt;=DAY(EOMONTH(DATE($D$2,$AK$2,1),0)),23,"")</f>
        <v/>
      </c>
      <c r="AB47" s="9">
        <f>IF(24&lt;=DAY(EOMONTH(DATE($D$2,$AK$2,1),0)),24,"")</f>
        <v/>
      </c>
      <c r="AC47" s="9">
        <f>IF(25&lt;=DAY(EOMONTH(DATE($D$2,$AK$2,1),0)),25,"")</f>
        <v/>
      </c>
      <c r="AD47" s="9">
        <f>IF(26&lt;=DAY(EOMONTH(DATE($D$2,$AK$2,1),0)),26,"")</f>
        <v/>
      </c>
      <c r="AE47" s="9">
        <f>IF(27&lt;=DAY(EOMONTH(DATE($D$2,$AK$2,1),0)),27,"")</f>
        <v/>
      </c>
      <c r="AF47" s="9">
        <f>IF(28&lt;=DAY(EOMONTH(DATE($D$2,$AK$2,1),0)),28,"")</f>
        <v/>
      </c>
      <c r="AG47" s="9">
        <f>IF(29&lt;=DAY(EOMONTH(DATE($D$2,$AK$2,1),0)),29,"")</f>
        <v/>
      </c>
      <c r="AH47" s="9">
        <f>IF(30&lt;=DAY(EOMONTH(DATE($D$2,$AK$2,1),0)),30,"")</f>
        <v/>
      </c>
      <c r="AI47" s="9">
        <f>IF(31&lt;=DAY(EOMONTH(DATE($D$2,$AK$2,1),0)),31,"")</f>
        <v/>
      </c>
    </row>
    <row r="48" ht="17" customHeight="1">
      <c r="A48" s="10">
        <f>IF($C48="","",ROW()-47)</f>
        <v/>
      </c>
      <c r="B48" s="11" t="inlineStr">
        <is>
          <t>13004037</t>
        </is>
      </c>
      <c r="C48" s="12" t="inlineStr">
        <is>
          <t>KHALID FAISAL AL-ALAWI</t>
        </is>
      </c>
      <c r="D48" s="11" t="inlineStr">
        <is>
          <t>SUPV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7" customHeight="1">
      <c r="A49" s="10">
        <f>IF($C49="","",ROW()-47)</f>
        <v/>
      </c>
      <c r="B49" s="11" t="inlineStr">
        <is>
          <t>13010931</t>
        </is>
      </c>
      <c r="C49" s="12" t="inlineStr">
        <is>
          <t>SULTAN ALMASRI</t>
        </is>
      </c>
      <c r="D49" s="11" t="inlineStr">
        <is>
          <t>TECH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7" customHeight="1">
      <c r="A50" s="10">
        <f>IF($C50="","",ROW()-47)</f>
        <v/>
      </c>
      <c r="B50" s="11" t="inlineStr">
        <is>
          <t>30003319</t>
        </is>
      </c>
      <c r="C50" s="12" t="inlineStr">
        <is>
          <t>MANSOUR ALHARBI</t>
        </is>
      </c>
      <c r="D50" s="11" t="inlineStr">
        <is>
          <t>TECH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7" customHeight="1">
      <c r="A51" s="10">
        <f>IF($C51="","",ROW()-47)</f>
        <v/>
      </c>
      <c r="B51" s="11" t="inlineStr">
        <is>
          <t>30003362</t>
        </is>
      </c>
      <c r="C51" s="12" t="inlineStr">
        <is>
          <t>AYMAN HAMED</t>
        </is>
      </c>
      <c r="D51" s="11" t="inlineStr">
        <is>
          <t>TECH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</row>
    <row r="52" ht="17" customHeight="1">
      <c r="A52" s="10">
        <f>IF($C52="","",ROW()-47)</f>
        <v/>
      </c>
      <c r="B52" s="11" t="inlineStr">
        <is>
          <t>30003449</t>
        </is>
      </c>
      <c r="C52" s="12" t="inlineStr">
        <is>
          <t>HAZEM ALSUBHI</t>
        </is>
      </c>
      <c r="D52" s="11" t="inlineStr">
        <is>
          <t>TECH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</row>
    <row r="53" ht="17" customHeight="1">
      <c r="A53" s="10">
        <f>IF($C53="","",ROW()-47)</f>
        <v/>
      </c>
      <c r="B53" s="11" t="inlineStr">
        <is>
          <t>30003471</t>
        </is>
      </c>
      <c r="C53" s="12" t="inlineStr">
        <is>
          <t>MOHAMMED ALOQBA</t>
        </is>
      </c>
      <c r="D53" s="11" t="inlineStr">
        <is>
          <t>TECH</t>
        </is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</row>
    <row r="54" ht="17" customHeight="1">
      <c r="A54" s="10">
        <f>IF($C54="","",ROW()-47)</f>
        <v/>
      </c>
      <c r="B54" s="11" t="inlineStr">
        <is>
          <t>30003607</t>
        </is>
      </c>
      <c r="C54" s="12" t="inlineStr">
        <is>
          <t>SIRAJ KHAYAT</t>
        </is>
      </c>
      <c r="D54" s="11" t="inlineStr">
        <is>
          <t>TECH</t>
        </is>
      </c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</row>
    <row r="55" ht="17" customHeight="1">
      <c r="A55" s="10">
        <f>IF($C55="","",ROW()-47)</f>
        <v/>
      </c>
      <c r="B55" s="11" t="inlineStr">
        <is>
          <t>30004358</t>
        </is>
      </c>
      <c r="C55" s="12" t="inlineStr">
        <is>
          <t>SALMAN ALJAADANI</t>
        </is>
      </c>
      <c r="D55" s="11" t="inlineStr">
        <is>
          <t>TECH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</row>
    <row r="56" ht="17" customHeight="1">
      <c r="A56" s="10">
        <f>IF($C56="","",ROW()-47)</f>
        <v/>
      </c>
      <c r="B56" s="11" t="inlineStr">
        <is>
          <t>30004434</t>
        </is>
      </c>
      <c r="C56" s="12" t="inlineStr">
        <is>
          <t>EID ALRIFAI</t>
        </is>
      </c>
      <c r="D56" s="11" t="inlineStr">
        <is>
          <t>TECH</t>
        </is>
      </c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</row>
    <row r="57" ht="17" customHeight="1">
      <c r="A57" s="10">
        <f>IF($C57="","",ROW()-47)</f>
        <v/>
      </c>
      <c r="B57" s="11" t="inlineStr">
        <is>
          <t>30004838</t>
        </is>
      </c>
      <c r="C57" s="12" t="inlineStr">
        <is>
          <t>MUAED MEERA</t>
        </is>
      </c>
      <c r="D57" s="11" t="inlineStr">
        <is>
          <t>TECH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</row>
    <row r="58" ht="17" customHeight="1">
      <c r="A58" s="10">
        <f>IF($C58="","",ROW()-47)</f>
        <v/>
      </c>
      <c r="B58" s="11" t="n"/>
      <c r="C58" s="12" t="n"/>
      <c r="D58" s="11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</row>
    <row r="59" ht="17" customHeight="1">
      <c r="A59" s="10">
        <f>IF($C59="","",ROW()-47)</f>
        <v/>
      </c>
      <c r="B59" s="11" t="n"/>
      <c r="C59" s="12" t="n"/>
      <c r="D59" s="11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</row>
    <row r="61">
      <c r="A61" s="15" t="inlineStr">
        <is>
          <t>TOTAL DAILY
CREWS MANPOWER</t>
        </is>
      </c>
      <c r="B61" s="16" t="n"/>
      <c r="C61" s="16" t="n"/>
      <c r="D61" s="17" t="inlineStr">
        <is>
          <t>SHIFT</t>
        </is>
      </c>
      <c r="E61" s="18">
        <f>E5</f>
        <v/>
      </c>
      <c r="F61" s="18">
        <f>F5</f>
        <v/>
      </c>
      <c r="G61" s="18">
        <f>G5</f>
        <v/>
      </c>
      <c r="H61" s="18">
        <f>H5</f>
        <v/>
      </c>
      <c r="I61" s="18">
        <f>I5</f>
        <v/>
      </c>
      <c r="J61" s="18">
        <f>J5</f>
        <v/>
      </c>
      <c r="K61" s="18">
        <f>K5</f>
        <v/>
      </c>
      <c r="L61" s="18">
        <f>L5</f>
        <v/>
      </c>
      <c r="M61" s="18">
        <f>M5</f>
        <v/>
      </c>
      <c r="N61" s="18">
        <f>N5</f>
        <v/>
      </c>
      <c r="O61" s="18">
        <f>O5</f>
        <v/>
      </c>
      <c r="P61" s="18">
        <f>P5</f>
        <v/>
      </c>
      <c r="Q61" s="18">
        <f>Q5</f>
        <v/>
      </c>
      <c r="R61" s="18">
        <f>R5</f>
        <v/>
      </c>
      <c r="S61" s="18">
        <f>S5</f>
        <v/>
      </c>
      <c r="T61" s="18">
        <f>T5</f>
        <v/>
      </c>
      <c r="U61" s="18">
        <f>U5</f>
        <v/>
      </c>
      <c r="V61" s="18">
        <f>V5</f>
        <v/>
      </c>
      <c r="W61" s="18">
        <f>W5</f>
        <v/>
      </c>
      <c r="X61" s="18">
        <f>X5</f>
        <v/>
      </c>
      <c r="Y61" s="18">
        <f>Y5</f>
        <v/>
      </c>
      <c r="Z61" s="18">
        <f>Z5</f>
        <v/>
      </c>
      <c r="AA61" s="18">
        <f>AA5</f>
        <v/>
      </c>
      <c r="AB61" s="18">
        <f>AB5</f>
        <v/>
      </c>
      <c r="AC61" s="18">
        <f>AC5</f>
        <v/>
      </c>
      <c r="AD61" s="18">
        <f>AD5</f>
        <v/>
      </c>
      <c r="AE61" s="18">
        <f>AE5</f>
        <v/>
      </c>
      <c r="AF61" s="18">
        <f>AF5</f>
        <v/>
      </c>
      <c r="AG61" s="18">
        <f>AG5</f>
        <v/>
      </c>
      <c r="AH61" s="18">
        <f>AH5</f>
        <v/>
      </c>
      <c r="AI61" s="18">
        <f>AI5</f>
        <v/>
      </c>
    </row>
    <row r="62" ht="15" customHeight="1">
      <c r="A62" s="16" t="n"/>
      <c r="B62" s="16" t="n"/>
      <c r="C62" s="16" t="n"/>
      <c r="D62" s="19" t="inlineStr">
        <is>
          <t>D</t>
        </is>
      </c>
      <c r="E62" s="20">
        <f>IF(E$5="","",COUNTIF(E6:E59,"D"))</f>
        <v/>
      </c>
      <c r="F62" s="20">
        <f>IF(F$5="","",COUNTIF(F6:F59,"D"))</f>
        <v/>
      </c>
      <c r="G62" s="20">
        <f>IF(G$5="","",COUNTIF(G6:G59,"D"))</f>
        <v/>
      </c>
      <c r="H62" s="20">
        <f>IF(H$5="","",COUNTIF(H6:H59,"D"))</f>
        <v/>
      </c>
      <c r="I62" s="20">
        <f>IF(I$5="","",COUNTIF(I6:I59,"D"))</f>
        <v/>
      </c>
      <c r="J62" s="20">
        <f>IF(J$5="","",COUNTIF(J6:J59,"D"))</f>
        <v/>
      </c>
      <c r="K62" s="20">
        <f>IF(K$5="","",COUNTIF(K6:K59,"D"))</f>
        <v/>
      </c>
      <c r="L62" s="20">
        <f>IF(L$5="","",COUNTIF(L6:L59,"D"))</f>
        <v/>
      </c>
      <c r="M62" s="20">
        <f>IF(M$5="","",COUNTIF(M6:M59,"D"))</f>
        <v/>
      </c>
      <c r="N62" s="20">
        <f>IF(N$5="","",COUNTIF(N6:N59,"D"))</f>
        <v/>
      </c>
      <c r="O62" s="20">
        <f>IF(O$5="","",COUNTIF(O6:O59,"D"))</f>
        <v/>
      </c>
      <c r="P62" s="20">
        <f>IF(P$5="","",COUNTIF(P6:P59,"D"))</f>
        <v/>
      </c>
      <c r="Q62" s="20">
        <f>IF(Q$5="","",COUNTIF(Q6:Q59,"D"))</f>
        <v/>
      </c>
      <c r="R62" s="20">
        <f>IF(R$5="","",COUNTIF(R6:R59,"D"))</f>
        <v/>
      </c>
      <c r="S62" s="20">
        <f>IF(S$5="","",COUNTIF(S6:S59,"D"))</f>
        <v/>
      </c>
      <c r="T62" s="20">
        <f>IF(T$5="","",COUNTIF(T6:T59,"D"))</f>
        <v/>
      </c>
      <c r="U62" s="20">
        <f>IF(U$5="","",COUNTIF(U6:U59,"D"))</f>
        <v/>
      </c>
      <c r="V62" s="20">
        <f>IF(V$5="","",COUNTIF(V6:V59,"D"))</f>
        <v/>
      </c>
      <c r="W62" s="20">
        <f>IF(W$5="","",COUNTIF(W6:W59,"D"))</f>
        <v/>
      </c>
      <c r="X62" s="20">
        <f>IF(X$5="","",COUNTIF(X6:X59,"D"))</f>
        <v/>
      </c>
      <c r="Y62" s="20">
        <f>IF(Y$5="","",COUNTIF(Y6:Y59,"D"))</f>
        <v/>
      </c>
      <c r="Z62" s="20">
        <f>IF(Z$5="","",COUNTIF(Z6:Z59,"D"))</f>
        <v/>
      </c>
      <c r="AA62" s="20">
        <f>IF(AA$5="","",COUNTIF(AA6:AA59,"D"))</f>
        <v/>
      </c>
      <c r="AB62" s="20">
        <f>IF(AB$5="","",COUNTIF(AB6:AB59,"D"))</f>
        <v/>
      </c>
      <c r="AC62" s="20">
        <f>IF(AC$5="","",COUNTIF(AC6:AC59,"D"))</f>
        <v/>
      </c>
      <c r="AD62" s="20">
        <f>IF(AD$5="","",COUNTIF(AD6:AD59,"D"))</f>
        <v/>
      </c>
      <c r="AE62" s="20">
        <f>IF(AE$5="","",COUNTIF(AE6:AE59,"D"))</f>
        <v/>
      </c>
      <c r="AF62" s="20">
        <f>IF(AF$5="","",COUNTIF(AF6:AF59,"D"))</f>
        <v/>
      </c>
      <c r="AG62" s="20">
        <f>IF(AG$5="","",COUNTIF(AG6:AG59,"D"))</f>
        <v/>
      </c>
      <c r="AH62" s="20">
        <f>IF(AH$5="","",COUNTIF(AH6:AH59,"D"))</f>
        <v/>
      </c>
      <c r="AI62" s="20">
        <f>IF(AI$5="","",COUNTIF(AI6:AI59,"D"))</f>
        <v/>
      </c>
    </row>
    <row r="63" ht="15" customHeight="1">
      <c r="A63" s="16" t="n"/>
      <c r="B63" s="16" t="n"/>
      <c r="C63" s="16" t="n"/>
      <c r="D63" s="21" t="inlineStr">
        <is>
          <t>T</t>
        </is>
      </c>
      <c r="E63" s="22">
        <f>IF(E$5="","",COUNTIF(E6:E59,"T"))</f>
        <v/>
      </c>
      <c r="F63" s="22">
        <f>IF(F$5="","",COUNTIF(F6:F59,"T"))</f>
        <v/>
      </c>
      <c r="G63" s="22">
        <f>IF(G$5="","",COUNTIF(G6:G59,"T"))</f>
        <v/>
      </c>
      <c r="H63" s="22">
        <f>IF(H$5="","",COUNTIF(H6:H59,"T"))</f>
        <v/>
      </c>
      <c r="I63" s="22">
        <f>IF(I$5="","",COUNTIF(I6:I59,"T"))</f>
        <v/>
      </c>
      <c r="J63" s="22">
        <f>IF(J$5="","",COUNTIF(J6:J59,"T"))</f>
        <v/>
      </c>
      <c r="K63" s="22">
        <f>IF(K$5="","",COUNTIF(K6:K59,"T"))</f>
        <v/>
      </c>
      <c r="L63" s="22">
        <f>IF(L$5="","",COUNTIF(L6:L59,"T"))</f>
        <v/>
      </c>
      <c r="M63" s="22">
        <f>IF(M$5="","",COUNTIF(M6:M59,"T"))</f>
        <v/>
      </c>
      <c r="N63" s="22">
        <f>IF(N$5="","",COUNTIF(N6:N59,"T"))</f>
        <v/>
      </c>
      <c r="O63" s="22">
        <f>IF(O$5="","",COUNTIF(O6:O59,"T"))</f>
        <v/>
      </c>
      <c r="P63" s="22">
        <f>IF(P$5="","",COUNTIF(P6:P59,"T"))</f>
        <v/>
      </c>
      <c r="Q63" s="22">
        <f>IF(Q$5="","",COUNTIF(Q6:Q59,"T"))</f>
        <v/>
      </c>
      <c r="R63" s="22">
        <f>IF(R$5="","",COUNTIF(R6:R59,"T"))</f>
        <v/>
      </c>
      <c r="S63" s="22">
        <f>IF(S$5="","",COUNTIF(S6:S59,"T"))</f>
        <v/>
      </c>
      <c r="T63" s="22">
        <f>IF(T$5="","",COUNTIF(T6:T59,"T"))</f>
        <v/>
      </c>
      <c r="U63" s="22">
        <f>IF(U$5="","",COUNTIF(U6:U59,"T"))</f>
        <v/>
      </c>
      <c r="V63" s="22">
        <f>IF(V$5="","",COUNTIF(V6:V59,"T"))</f>
        <v/>
      </c>
      <c r="W63" s="22">
        <f>IF(W$5="","",COUNTIF(W6:W59,"T"))</f>
        <v/>
      </c>
      <c r="X63" s="22">
        <f>IF(X$5="","",COUNTIF(X6:X59,"T"))</f>
        <v/>
      </c>
      <c r="Y63" s="22">
        <f>IF(Y$5="","",COUNTIF(Y6:Y59,"T"))</f>
        <v/>
      </c>
      <c r="Z63" s="22">
        <f>IF(Z$5="","",COUNTIF(Z6:Z59,"T"))</f>
        <v/>
      </c>
      <c r="AA63" s="22">
        <f>IF(AA$5="","",COUNTIF(AA6:AA59,"T"))</f>
        <v/>
      </c>
      <c r="AB63" s="22">
        <f>IF(AB$5="","",COUNTIF(AB6:AB59,"T"))</f>
        <v/>
      </c>
      <c r="AC63" s="22">
        <f>IF(AC$5="","",COUNTIF(AC6:AC59,"T"))</f>
        <v/>
      </c>
      <c r="AD63" s="22">
        <f>IF(AD$5="","",COUNTIF(AD6:AD59,"T"))</f>
        <v/>
      </c>
      <c r="AE63" s="22">
        <f>IF(AE$5="","",COUNTIF(AE6:AE59,"T"))</f>
        <v/>
      </c>
      <c r="AF63" s="22">
        <f>IF(AF$5="","",COUNTIF(AF6:AF59,"T"))</f>
        <v/>
      </c>
      <c r="AG63" s="22">
        <f>IF(AG$5="","",COUNTIF(AG6:AG59,"T"))</f>
        <v/>
      </c>
      <c r="AH63" s="22">
        <f>IF(AH$5="","",COUNTIF(AH6:AH59,"T"))</f>
        <v/>
      </c>
      <c r="AI63" s="22">
        <f>IF(AI$5="","",COUNTIF(AI6:AI59,"T"))</f>
        <v/>
      </c>
    </row>
    <row r="64" ht="15" customHeight="1">
      <c r="A64" s="16" t="n"/>
      <c r="B64" s="16" t="n"/>
      <c r="C64" s="16" t="n"/>
      <c r="D64" s="23" t="inlineStr">
        <is>
          <t>G</t>
        </is>
      </c>
      <c r="E64" s="24">
        <f>IF(E$5="","",COUNTIF(E6:E59,"G"))</f>
        <v/>
      </c>
      <c r="F64" s="24">
        <f>IF(F$5="","",COUNTIF(F6:F59,"G"))</f>
        <v/>
      </c>
      <c r="G64" s="24">
        <f>IF(G$5="","",COUNTIF(G6:G59,"G"))</f>
        <v/>
      </c>
      <c r="H64" s="24">
        <f>IF(H$5="","",COUNTIF(H6:H59,"G"))</f>
        <v/>
      </c>
      <c r="I64" s="24">
        <f>IF(I$5="","",COUNTIF(I6:I59,"G"))</f>
        <v/>
      </c>
      <c r="J64" s="24">
        <f>IF(J$5="","",COUNTIF(J6:J59,"G"))</f>
        <v/>
      </c>
      <c r="K64" s="24">
        <f>IF(K$5="","",COUNTIF(K6:K59,"G"))</f>
        <v/>
      </c>
      <c r="L64" s="24">
        <f>IF(L$5="","",COUNTIF(L6:L59,"G"))</f>
        <v/>
      </c>
      <c r="M64" s="24">
        <f>IF(M$5="","",COUNTIF(M6:M59,"G"))</f>
        <v/>
      </c>
      <c r="N64" s="24">
        <f>IF(N$5="","",COUNTIF(N6:N59,"G"))</f>
        <v/>
      </c>
      <c r="O64" s="24">
        <f>IF(O$5="","",COUNTIF(O6:O59,"G"))</f>
        <v/>
      </c>
      <c r="P64" s="24">
        <f>IF(P$5="","",COUNTIF(P6:P59,"G"))</f>
        <v/>
      </c>
      <c r="Q64" s="24">
        <f>IF(Q$5="","",COUNTIF(Q6:Q59,"G"))</f>
        <v/>
      </c>
      <c r="R64" s="24">
        <f>IF(R$5="","",COUNTIF(R6:R59,"G"))</f>
        <v/>
      </c>
      <c r="S64" s="24">
        <f>IF(S$5="","",COUNTIF(S6:S59,"G"))</f>
        <v/>
      </c>
      <c r="T64" s="24">
        <f>IF(T$5="","",COUNTIF(T6:T59,"G"))</f>
        <v/>
      </c>
      <c r="U64" s="24">
        <f>IF(U$5="","",COUNTIF(U6:U59,"G"))</f>
        <v/>
      </c>
      <c r="V64" s="24">
        <f>IF(V$5="","",COUNTIF(V6:V59,"G"))</f>
        <v/>
      </c>
      <c r="W64" s="24">
        <f>IF(W$5="","",COUNTIF(W6:W59,"G"))</f>
        <v/>
      </c>
      <c r="X64" s="24">
        <f>IF(X$5="","",COUNTIF(X6:X59,"G"))</f>
        <v/>
      </c>
      <c r="Y64" s="24">
        <f>IF(Y$5="","",COUNTIF(Y6:Y59,"G"))</f>
        <v/>
      </c>
      <c r="Z64" s="24">
        <f>IF(Z$5="","",COUNTIF(Z6:Z59,"G"))</f>
        <v/>
      </c>
      <c r="AA64" s="24">
        <f>IF(AA$5="","",COUNTIF(AA6:AA59,"G"))</f>
        <v/>
      </c>
      <c r="AB64" s="24">
        <f>IF(AB$5="","",COUNTIF(AB6:AB59,"G"))</f>
        <v/>
      </c>
      <c r="AC64" s="24">
        <f>IF(AC$5="","",COUNTIF(AC6:AC59,"G"))</f>
        <v/>
      </c>
      <c r="AD64" s="24">
        <f>IF(AD$5="","",COUNTIF(AD6:AD59,"G"))</f>
        <v/>
      </c>
      <c r="AE64" s="24">
        <f>IF(AE$5="","",COUNTIF(AE6:AE59,"G"))</f>
        <v/>
      </c>
      <c r="AF64" s="24">
        <f>IF(AF$5="","",COUNTIF(AF6:AF59,"G"))</f>
        <v/>
      </c>
      <c r="AG64" s="24">
        <f>IF(AG$5="","",COUNTIF(AG6:AG59,"G"))</f>
        <v/>
      </c>
      <c r="AH64" s="24">
        <f>IF(AH$5="","",COUNTIF(AH6:AH59,"G"))</f>
        <v/>
      </c>
      <c r="AI64" s="24">
        <f>IF(AI$5="","",COUNTIF(AI6:AI59,"G"))</f>
        <v/>
      </c>
    </row>
    <row r="65" ht="15" customHeight="1">
      <c r="A65" s="16" t="n"/>
      <c r="B65" s="16" t="n"/>
      <c r="C65" s="16" t="n"/>
      <c r="D65" s="25" t="inlineStr">
        <is>
          <t>TOT</t>
        </is>
      </c>
      <c r="E65" s="26">
        <f>IF(E$5="","",SUM(E62:E64))</f>
        <v/>
      </c>
      <c r="F65" s="26">
        <f>IF(F$5="","",SUM(F62:F64))</f>
        <v/>
      </c>
      <c r="G65" s="26">
        <f>IF(G$5="","",SUM(G62:G64))</f>
        <v/>
      </c>
      <c r="H65" s="26">
        <f>IF(H$5="","",SUM(H62:H64))</f>
        <v/>
      </c>
      <c r="I65" s="26">
        <f>IF(I$5="","",SUM(I62:I64))</f>
        <v/>
      </c>
      <c r="J65" s="26">
        <f>IF(J$5="","",SUM(J62:J64))</f>
        <v/>
      </c>
      <c r="K65" s="26">
        <f>IF(K$5="","",SUM(K62:K64))</f>
        <v/>
      </c>
      <c r="L65" s="26">
        <f>IF(L$5="","",SUM(L62:L64))</f>
        <v/>
      </c>
      <c r="M65" s="26">
        <f>IF(M$5="","",SUM(M62:M64))</f>
        <v/>
      </c>
      <c r="N65" s="26">
        <f>IF(N$5="","",SUM(N62:N64))</f>
        <v/>
      </c>
      <c r="O65" s="26">
        <f>IF(O$5="","",SUM(O62:O64))</f>
        <v/>
      </c>
      <c r="P65" s="26">
        <f>IF(P$5="","",SUM(P62:P64))</f>
        <v/>
      </c>
      <c r="Q65" s="26">
        <f>IF(Q$5="","",SUM(Q62:Q64))</f>
        <v/>
      </c>
      <c r="R65" s="26">
        <f>IF(R$5="","",SUM(R62:R64))</f>
        <v/>
      </c>
      <c r="S65" s="26">
        <f>IF(S$5="","",SUM(S62:S64))</f>
        <v/>
      </c>
      <c r="T65" s="26">
        <f>IF(T$5="","",SUM(T62:T64))</f>
        <v/>
      </c>
      <c r="U65" s="26">
        <f>IF(U$5="","",SUM(U62:U64))</f>
        <v/>
      </c>
      <c r="V65" s="26">
        <f>IF(V$5="","",SUM(V62:V64))</f>
        <v/>
      </c>
      <c r="W65" s="26">
        <f>IF(W$5="","",SUM(W62:W64))</f>
        <v/>
      </c>
      <c r="X65" s="26">
        <f>IF(X$5="","",SUM(X62:X64))</f>
        <v/>
      </c>
      <c r="Y65" s="26">
        <f>IF(Y$5="","",SUM(Y62:Y64))</f>
        <v/>
      </c>
      <c r="Z65" s="26">
        <f>IF(Z$5="","",SUM(Z62:Z64))</f>
        <v/>
      </c>
      <c r="AA65" s="26">
        <f>IF(AA$5="","",SUM(AA62:AA64))</f>
        <v/>
      </c>
      <c r="AB65" s="26">
        <f>IF(AB$5="","",SUM(AB62:AB64))</f>
        <v/>
      </c>
      <c r="AC65" s="26">
        <f>IF(AC$5="","",SUM(AC62:AC64))</f>
        <v/>
      </c>
      <c r="AD65" s="26">
        <f>IF(AD$5="","",SUM(AD62:AD64))</f>
        <v/>
      </c>
      <c r="AE65" s="26">
        <f>IF(AE$5="","",SUM(AE62:AE64))</f>
        <v/>
      </c>
      <c r="AF65" s="26">
        <f>IF(AF$5="","",SUM(AF62:AF64))</f>
        <v/>
      </c>
      <c r="AG65" s="26">
        <f>IF(AG$5="","",SUM(AG62:AG64))</f>
        <v/>
      </c>
      <c r="AH65" s="26">
        <f>IF(AH$5="","",SUM(AH62:AH64))</f>
        <v/>
      </c>
      <c r="AI65" s="26">
        <f>IF(AI$5="","",SUM(AI62:AI64))</f>
        <v/>
      </c>
    </row>
    <row r="67">
      <c r="A67" s="27" t="inlineStr">
        <is>
          <t>SHIFT TIMES</t>
        </is>
      </c>
      <c r="F67" s="27" t="inlineStr">
        <is>
          <t>CODE LEGEND</t>
        </is>
      </c>
    </row>
    <row r="68" ht="16" customHeight="1">
      <c r="B68" s="28" t="inlineStr">
        <is>
          <t>D</t>
        </is>
      </c>
      <c r="C68" s="29" t="inlineStr">
        <is>
          <t>DAY (07:00 - 15:00)</t>
        </is>
      </c>
      <c r="F68" s="30" t="inlineStr">
        <is>
          <t>D</t>
        </is>
      </c>
      <c r="G68" s="16" t="n"/>
      <c r="H68" s="31" t="inlineStr">
        <is>
          <t>DAY</t>
        </is>
      </c>
      <c r="L68" s="32" t="inlineStr">
        <is>
          <t>T</t>
        </is>
      </c>
      <c r="M68" s="16" t="n"/>
      <c r="N68" s="31" t="inlineStr">
        <is>
          <t>TWILIGHT</t>
        </is>
      </c>
      <c r="R68" s="33" t="inlineStr">
        <is>
          <t>G</t>
        </is>
      </c>
      <c r="S68" s="16" t="n"/>
      <c r="T68" s="31" t="inlineStr">
        <is>
          <t>GRAVEYARD</t>
        </is>
      </c>
      <c r="X68" s="34" t="inlineStr">
        <is>
          <t>TR</t>
        </is>
      </c>
      <c r="Y68" s="16" t="n"/>
      <c r="Z68" s="31" t="inlineStr">
        <is>
          <t>TRAINING</t>
        </is>
      </c>
      <c r="AD68" s="35" t="inlineStr">
        <is>
          <t>V</t>
        </is>
      </c>
      <c r="AE68" s="16" t="n"/>
      <c r="AF68" s="31" t="inlineStr">
        <is>
          <t>VACATION</t>
        </is>
      </c>
    </row>
    <row r="69" ht="16" customHeight="1">
      <c r="B69" s="36" t="inlineStr">
        <is>
          <t>T</t>
        </is>
      </c>
      <c r="C69" s="29" t="inlineStr">
        <is>
          <t>TWI (15:00 - 23:00)</t>
        </is>
      </c>
      <c r="F69" s="37" t="inlineStr">
        <is>
          <t>R</t>
        </is>
      </c>
      <c r="G69" s="16" t="n"/>
      <c r="H69" s="31" t="inlineStr">
        <is>
          <t>REST/RDO</t>
        </is>
      </c>
      <c r="L69" s="38" t="inlineStr">
        <is>
          <t>A</t>
        </is>
      </c>
      <c r="M69" s="16" t="n"/>
      <c r="N69" s="31" t="inlineStr">
        <is>
          <t>ABSENT</t>
        </is>
      </c>
      <c r="R69" s="39" t="inlineStr">
        <is>
          <t>H</t>
        </is>
      </c>
      <c r="S69" s="16" t="n"/>
      <c r="T69" s="31" t="inlineStr">
        <is>
          <t>HOLIDAY</t>
        </is>
      </c>
      <c r="X69" s="40" t="inlineStr">
        <is>
          <t>OT</t>
        </is>
      </c>
      <c r="Y69" s="16" t="n"/>
      <c r="Z69" s="31" t="inlineStr">
        <is>
          <t>OVERTIME</t>
        </is>
      </c>
      <c r="AD69" s="41" t="inlineStr">
        <is>
          <t>OS</t>
        </is>
      </c>
      <c r="AE69" s="16" t="n"/>
      <c r="AF69" s="31" t="inlineStr">
        <is>
          <t>OUTSTATION</t>
        </is>
      </c>
    </row>
    <row r="70" ht="16" customHeight="1">
      <c r="B70" s="42" t="inlineStr">
        <is>
          <t>G</t>
        </is>
      </c>
      <c r="C70" s="29" t="inlineStr">
        <is>
          <t>GRV (23:00 - 07:00)</t>
        </is>
      </c>
      <c r="F70" s="43" t="inlineStr">
        <is>
          <t>S/L</t>
        </is>
      </c>
      <c r="G70" s="16" t="n"/>
      <c r="H70" s="31" t="inlineStr">
        <is>
          <t>SICK LEAVE</t>
        </is>
      </c>
      <c r="L70" s="44" t="inlineStr">
        <is>
          <t>C/T</t>
        </is>
      </c>
      <c r="M70" s="16" t="n"/>
      <c r="N70" s="31" t="inlineStr">
        <is>
          <t>COMP TIME</t>
        </is>
      </c>
      <c r="R70" s="45" t="inlineStr">
        <is>
          <t>L</t>
        </is>
      </c>
      <c r="S70" s="16" t="n"/>
      <c r="T70" s="31" t="inlineStr">
        <is>
          <t>LATE/LEAVE</t>
        </is>
      </c>
      <c r="X70" s="46" t="inlineStr">
        <is>
          <t>N</t>
        </is>
      </c>
      <c r="Y70" s="16" t="n"/>
      <c r="Z70" s="31" t="inlineStr">
        <is>
          <t>NOTE</t>
        </is>
      </c>
    </row>
  </sheetData>
  <mergeCells count="37">
    <mergeCell ref="X70:Y70"/>
    <mergeCell ref="T70:W70"/>
    <mergeCell ref="F69:G69"/>
    <mergeCell ref="C68:D68"/>
    <mergeCell ref="AD68:AE68"/>
    <mergeCell ref="N69:Q69"/>
    <mergeCell ref="T69:W69"/>
    <mergeCell ref="E2:AI2"/>
    <mergeCell ref="F68:G68"/>
    <mergeCell ref="Z69:AC69"/>
    <mergeCell ref="A24:AI24"/>
    <mergeCell ref="R69:S69"/>
    <mergeCell ref="L68:M68"/>
    <mergeCell ref="AD69:AE69"/>
    <mergeCell ref="N70:Q70"/>
    <mergeCell ref="A45:AI45"/>
    <mergeCell ref="A1:AI1"/>
    <mergeCell ref="F70:G70"/>
    <mergeCell ref="X68:Y68"/>
    <mergeCell ref="R70:S70"/>
    <mergeCell ref="Z70:AC70"/>
    <mergeCell ref="A3:AI3"/>
    <mergeCell ref="H68:K68"/>
    <mergeCell ref="T68:W68"/>
    <mergeCell ref="AF69:AI69"/>
    <mergeCell ref="C70:D70"/>
    <mergeCell ref="L69:M69"/>
    <mergeCell ref="N68:Q68"/>
    <mergeCell ref="AF68:AI68"/>
    <mergeCell ref="X69:Y69"/>
    <mergeCell ref="H70:K70"/>
    <mergeCell ref="R68:S68"/>
    <mergeCell ref="H69:K69"/>
    <mergeCell ref="Z68:AC68"/>
    <mergeCell ref="A61:C65"/>
    <mergeCell ref="C69:D69"/>
    <mergeCell ref="L70:M70"/>
  </mergeCells>
  <conditionalFormatting sqref="E6:AI59">
    <cfRule type="cellIs" priority="1" operator="equal" dxfId="0">
      <formula>"D"</formula>
    </cfRule>
    <cfRule type="cellIs" priority="2" operator="equal" dxfId="1">
      <formula>"T"</formula>
    </cfRule>
    <cfRule type="cellIs" priority="3" operator="equal" dxfId="2">
      <formula>"G"</formula>
    </cfRule>
    <cfRule type="cellIs" priority="4" operator="equal" dxfId="3">
      <formula>"TR"</formula>
    </cfRule>
    <cfRule type="cellIs" priority="5" operator="equal" dxfId="4">
      <formula>"V"</formula>
    </cfRule>
    <cfRule type="cellIs" priority="6" operator="equal" dxfId="5">
      <formula>"R"</formula>
    </cfRule>
    <cfRule type="cellIs" priority="7" operator="equal" dxfId="6">
      <formula>"A"</formula>
    </cfRule>
    <cfRule type="cellIs" priority="8" operator="equal" dxfId="7">
      <formula>"H"</formula>
    </cfRule>
    <cfRule type="cellIs" priority="9" operator="equal" dxfId="8">
      <formula>"OT"</formula>
    </cfRule>
    <cfRule type="cellIs" priority="10" operator="equal" dxfId="9">
      <formula>"OS"</formula>
    </cfRule>
    <cfRule type="cellIs" priority="11" operator="equal" dxfId="10">
      <formula>"S/L"</formula>
    </cfRule>
    <cfRule type="cellIs" priority="12" operator="equal" dxfId="11">
      <formula>"C/T"</formula>
    </cfRule>
    <cfRule type="cellIs" priority="13" operator="equal" dxfId="12">
      <formula>"L"</formula>
    </cfRule>
    <cfRule type="cellIs" priority="14" operator="equal" dxfId="13">
      <formula>"N"</formula>
    </cfRule>
  </conditionalFormatting>
  <conditionalFormatting sqref="A6:D59">
    <cfRule type="expression" priority="15" dxfId="14">
      <formula>$D6="OJT"</formula>
    </cfRule>
    <cfRule type="expression" priority="16" dxfId="15">
      <formula>$D6="ACT/SUPV"</formula>
    </cfRule>
  </conditionalFormatting>
  <printOptions horizontalCentered="1"/>
  <pageMargins left="0.25" right="0.25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2026-09-09T16:32:09Z</dcterms:created>
  <dcterms:modified xmlns:dcterms="http://purl.org/dc/terms/" xmlns:xsi="http://www.w3.org/2001/XMLSchema-instance" xsi:type="dcterms:W3CDTF">2026-09-09T16:32:09Z</dcterms:modified>
</cp:coreProperties>
</file>