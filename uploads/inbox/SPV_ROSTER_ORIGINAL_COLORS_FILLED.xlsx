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000000"/>
      <sz val="8"/>
    </font>
    <font>
      <name val="Times New Roman"/>
      <b val="1"/>
      <color rgb="00B45309"/>
      <sz val="12"/>
    </font>
    <font>
      <name val="Times New Roman"/>
      <b val="1"/>
      <color rgb="00196B24"/>
      <sz val="12"/>
    </font>
    <font>
      <name val="Times New Roman"/>
      <b val="1"/>
      <color rgb="00FFFFFF"/>
      <sz val="11"/>
    </font>
    <font>
      <name val="Times New Roman"/>
      <b val="1"/>
      <color rgb="00FFFFFF"/>
      <sz val="14"/>
    </font>
    <font>
      <name val="Times New Roman"/>
      <b val="1"/>
      <color rgb="00000000"/>
      <sz val="10"/>
    </font>
    <font>
      <name val="Times New Roman"/>
      <color rgb="00000000"/>
      <sz val="10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000000"/>
      <sz val="9"/>
    </font>
    <font>
      <name val="Times New Roman"/>
      <b val="1"/>
      <color rgb="00000000"/>
      <sz val="11"/>
    </font>
    <font>
      <name val="Times New Roman"/>
      <b val="1"/>
      <color rgb="00196B24"/>
      <sz val="10"/>
    </font>
    <font>
      <name val="Times New Roman"/>
      <color rgb="00000000"/>
      <sz val="9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18">
    <fill>
      <patternFill/>
    </fill>
    <fill>
      <patternFill patternType="gray125"/>
    </fill>
    <fill>
      <patternFill patternType="solid">
        <fgColor rgb="00196B24"/>
      </patternFill>
    </fill>
    <fill>
      <patternFill patternType="solid">
        <fgColor rgb="00D0CECE"/>
      </patternFill>
    </fill>
    <fill>
      <patternFill patternType="solid">
        <fgColor rgb="00FFFF99"/>
      </patternFill>
    </fill>
    <fill>
      <patternFill patternType="solid">
        <fgColor rgb="00D0DFE5"/>
      </patternFill>
    </fill>
    <fill>
      <patternFill patternType="solid">
        <fgColor rgb="00F3F3F3"/>
      </patternFill>
    </fill>
    <fill>
      <patternFill patternType="solid">
        <fgColor rgb="00D8AAD3"/>
      </patternFill>
    </fill>
    <fill>
      <patternFill patternType="solid">
        <fgColor rgb="0094CA81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B7BCC2"/>
      </left>
      <right style="thin">
        <color rgb="00B7BCC2"/>
      </right>
      <top style="thin">
        <color rgb="00B7BCC2"/>
      </top>
      <bottom style="thin">
        <color rgb="00B7BCC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  <xf numFmtId="0" fontId="22" fillId="16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center" vertical="center"/>
    </xf>
  </cellXfs>
  <cellStyles count="1">
    <cellStyle name="Normal" xfId="0" builtinId="0" hidden="0"/>
  </cellStyles>
  <dxfs count="15">
    <dxf>
      <font>
        <name val="Times New Roman"/>
        <b val="1"/>
        <color rgb="00000000"/>
      </font>
      <fill>
        <patternFill>
          <bgColor rgb="00FFFF99"/>
        </patternFill>
      </fill>
    </dxf>
    <dxf>
      <font>
        <name val="Times New Roman"/>
        <b val="1"/>
        <color rgb="00000000"/>
      </font>
      <fill>
        <patternFill>
          <bgColor rgb="00D0DFE5"/>
        </patternFill>
      </fill>
    </dxf>
    <dxf>
      <font>
        <name val="Times New Roman"/>
        <b val="1"/>
        <color rgb="00000000"/>
      </font>
      <fill>
        <patternFill>
          <bgColor rgb="00F3F3F3"/>
        </patternFill>
      </fill>
    </dxf>
    <dxf>
      <font>
        <name val="Times New Roman"/>
        <b val="1"/>
        <color rgb="00000000"/>
      </font>
      <fill>
        <patternFill>
          <bgColor rgb="00D8AAD3"/>
        </patternFill>
      </fill>
    </dxf>
    <dxf>
      <font>
        <name val="Times New Roman"/>
        <b val="1"/>
        <color rgb="00000000"/>
      </font>
      <fill>
        <patternFill>
          <bgColor rgb="0094CA81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BEDD5"/>
        </patternFill>
      </fill>
    </dxf>
    <dxf>
      <fill>
        <patternFill>
          <bgColor rgb="00A1B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69"/>
  <sheetViews>
    <sheetView showGridLines="0" workbookViewId="0">
      <pane xSplit="4" topLeftCell="E1" activePane="topRight" state="frozen"/>
      <selection pane="top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4" customHeight="1">
      <c r="A1" s="1" t="inlineStr">
        <is>
          <t>SAUDIA TECHNIC — AIRCRAFT HEAVY MAINTENANCE · SPV CABIN MONTHLY ROSTER · CC: 264</t>
        </is>
      </c>
    </row>
    <row r="2" ht="18" customHeight="1">
      <c r="A2" s="2" t="inlineStr">
        <is>
          <t>MONTH</t>
        </is>
      </c>
      <c r="B2" s="3" t="inlineStr">
        <is>
          <t>JUL</t>
        </is>
      </c>
      <c r="C2" s="4" t="inlineStr">
        <is>
          <t>YEAR</t>
        </is>
      </c>
      <c r="D2" s="3" t="n">
        <v>2026</v>
      </c>
      <c r="E2" s="5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 ht="16" customHeight="1">
      <c r="A3" s="6" t="inlineStr">
        <is>
          <t>#</t>
        </is>
      </c>
      <c r="B3" s="6" t="inlineStr">
        <is>
          <t>PRN</t>
        </is>
      </c>
      <c r="C3" s="6" t="inlineStr">
        <is>
          <t>NAME</t>
        </is>
      </c>
      <c r="D3" s="6" t="inlineStr">
        <is>
          <t>Posn</t>
        </is>
      </c>
      <c r="E3" s="7">
        <f>IF(1&lt;=DAY(EOMONTH(DATE($D$2,$AK$2,1),0)),TEXT(DATE($D$2,$AK$2,1),"ddd"),"")</f>
        <v/>
      </c>
      <c r="F3" s="7">
        <f>IF(2&lt;=DAY(EOMONTH(DATE($D$2,$AK$2,1),0)),TEXT(DATE($D$2,$AK$2,2),"ddd"),"")</f>
        <v/>
      </c>
      <c r="G3" s="7">
        <f>IF(3&lt;=DAY(EOMONTH(DATE($D$2,$AK$2,1),0)),TEXT(DATE($D$2,$AK$2,3),"ddd"),"")</f>
        <v/>
      </c>
      <c r="H3" s="7">
        <f>IF(4&lt;=DAY(EOMONTH(DATE($D$2,$AK$2,1),0)),TEXT(DATE($D$2,$AK$2,4),"ddd"),"")</f>
        <v/>
      </c>
      <c r="I3" s="7">
        <f>IF(5&lt;=DAY(EOMONTH(DATE($D$2,$AK$2,1),0)),TEXT(DATE($D$2,$AK$2,5),"ddd"),"")</f>
        <v/>
      </c>
      <c r="J3" s="7">
        <f>IF(6&lt;=DAY(EOMONTH(DATE($D$2,$AK$2,1),0)),TEXT(DATE($D$2,$AK$2,6),"ddd"),"")</f>
        <v/>
      </c>
      <c r="K3" s="7">
        <f>IF(7&lt;=DAY(EOMONTH(DATE($D$2,$AK$2,1),0)),TEXT(DATE($D$2,$AK$2,7),"ddd"),"")</f>
        <v/>
      </c>
      <c r="L3" s="7">
        <f>IF(8&lt;=DAY(EOMONTH(DATE($D$2,$AK$2,1),0)),TEXT(DATE($D$2,$AK$2,8),"ddd"),"")</f>
        <v/>
      </c>
      <c r="M3" s="7">
        <f>IF(9&lt;=DAY(EOMONTH(DATE($D$2,$AK$2,1),0)),TEXT(DATE($D$2,$AK$2,9),"ddd"),"")</f>
        <v/>
      </c>
      <c r="N3" s="7">
        <f>IF(10&lt;=DAY(EOMONTH(DATE($D$2,$AK$2,1),0)),TEXT(DATE($D$2,$AK$2,10),"ddd"),"")</f>
        <v/>
      </c>
      <c r="O3" s="7">
        <f>IF(11&lt;=DAY(EOMONTH(DATE($D$2,$AK$2,1),0)),TEXT(DATE($D$2,$AK$2,11),"ddd"),"")</f>
        <v/>
      </c>
      <c r="P3" s="7">
        <f>IF(12&lt;=DAY(EOMONTH(DATE($D$2,$AK$2,1),0)),TEXT(DATE($D$2,$AK$2,12),"ddd"),"")</f>
        <v/>
      </c>
      <c r="Q3" s="7">
        <f>IF(13&lt;=DAY(EOMONTH(DATE($D$2,$AK$2,1),0)),TEXT(DATE($D$2,$AK$2,13),"ddd"),"")</f>
        <v/>
      </c>
      <c r="R3" s="7">
        <f>IF(14&lt;=DAY(EOMONTH(DATE($D$2,$AK$2,1),0)),TEXT(DATE($D$2,$AK$2,14),"ddd"),"")</f>
        <v/>
      </c>
      <c r="S3" s="7">
        <f>IF(15&lt;=DAY(EOMONTH(DATE($D$2,$AK$2,1),0)),TEXT(DATE($D$2,$AK$2,15),"ddd"),"")</f>
        <v/>
      </c>
      <c r="T3" s="7">
        <f>IF(16&lt;=DAY(EOMONTH(DATE($D$2,$AK$2,1),0)),TEXT(DATE($D$2,$AK$2,16),"ddd"),"")</f>
        <v/>
      </c>
      <c r="U3" s="7">
        <f>IF(17&lt;=DAY(EOMONTH(DATE($D$2,$AK$2,1),0)),TEXT(DATE($D$2,$AK$2,17),"ddd"),"")</f>
        <v/>
      </c>
      <c r="V3" s="7">
        <f>IF(18&lt;=DAY(EOMONTH(DATE($D$2,$AK$2,1),0)),TEXT(DATE($D$2,$AK$2,18),"ddd"),"")</f>
        <v/>
      </c>
      <c r="W3" s="7">
        <f>IF(19&lt;=DAY(EOMONTH(DATE($D$2,$AK$2,1),0)),TEXT(DATE($D$2,$AK$2,19),"ddd"),"")</f>
        <v/>
      </c>
      <c r="X3" s="7">
        <f>IF(20&lt;=DAY(EOMONTH(DATE($D$2,$AK$2,1),0)),TEXT(DATE($D$2,$AK$2,20),"ddd"),"")</f>
        <v/>
      </c>
      <c r="Y3" s="7">
        <f>IF(21&lt;=DAY(EOMONTH(DATE($D$2,$AK$2,1),0)),TEXT(DATE($D$2,$AK$2,21),"ddd"),"")</f>
        <v/>
      </c>
      <c r="Z3" s="7">
        <f>IF(22&lt;=DAY(EOMONTH(DATE($D$2,$AK$2,1),0)),TEXT(DATE($D$2,$AK$2,22),"ddd"),"")</f>
        <v/>
      </c>
      <c r="AA3" s="7">
        <f>IF(23&lt;=DAY(EOMONTH(DATE($D$2,$AK$2,1),0)),TEXT(DATE($D$2,$AK$2,23),"ddd"),"")</f>
        <v/>
      </c>
      <c r="AB3" s="7">
        <f>IF(24&lt;=DAY(EOMONTH(DATE($D$2,$AK$2,1),0)),TEXT(DATE($D$2,$AK$2,24),"ddd"),"")</f>
        <v/>
      </c>
      <c r="AC3" s="7">
        <f>IF(25&lt;=DAY(EOMONTH(DATE($D$2,$AK$2,1),0)),TEXT(DATE($D$2,$AK$2,25),"ddd"),"")</f>
        <v/>
      </c>
      <c r="AD3" s="7">
        <f>IF(26&lt;=DAY(EOMONTH(DATE($D$2,$AK$2,1),0)),TEXT(DATE($D$2,$AK$2,26),"ddd"),"")</f>
        <v/>
      </c>
      <c r="AE3" s="7">
        <f>IF(27&lt;=DAY(EOMONTH(DATE($D$2,$AK$2,1),0)),TEXT(DATE($D$2,$AK$2,27),"ddd"),"")</f>
        <v/>
      </c>
      <c r="AF3" s="7">
        <f>IF(28&lt;=DAY(EOMONTH(DATE($D$2,$AK$2,1),0)),TEXT(DATE($D$2,$AK$2,28),"ddd"),"")</f>
        <v/>
      </c>
      <c r="AG3" s="7">
        <f>IF(29&lt;=DAY(EOMONTH(DATE($D$2,$AK$2,1),0)),TEXT(DATE($D$2,$AK$2,29),"ddd"),"")</f>
        <v/>
      </c>
      <c r="AH3" s="7">
        <f>IF(30&lt;=DAY(EOMONTH(DATE($D$2,$AK$2,1),0)),TEXT(DATE($D$2,$AK$2,30),"ddd"),"")</f>
        <v/>
      </c>
      <c r="AI3" s="7">
        <f>IF(31&lt;=DAY(EOMONTH(DATE($D$2,$AK$2,1),0)),TEXT(DATE($D$2,$AK$2,31),"ddd"),"")</f>
        <v/>
      </c>
    </row>
    <row r="4" ht="18" customHeight="1">
      <c r="A4" s="8" t="inlineStr">
        <is>
          <t>CREW 1</t>
        </is>
      </c>
      <c r="E4" s="9">
        <f>IF(1&lt;=DAY(EOMONTH(DATE($D$2,$AK$2,1),0)),1,"")</f>
        <v/>
      </c>
      <c r="F4" s="9">
        <f>IF(2&lt;=DAY(EOMONTH(DATE($D$2,$AK$2,1),0)),2,"")</f>
        <v/>
      </c>
      <c r="G4" s="9">
        <f>IF(3&lt;=DAY(EOMONTH(DATE($D$2,$AK$2,1),0)),3,"")</f>
        <v/>
      </c>
      <c r="H4" s="9">
        <f>IF(4&lt;=DAY(EOMONTH(DATE($D$2,$AK$2,1),0)),4,"")</f>
        <v/>
      </c>
      <c r="I4" s="9">
        <f>IF(5&lt;=DAY(EOMONTH(DATE($D$2,$AK$2,1),0)),5,"")</f>
        <v/>
      </c>
      <c r="J4" s="9">
        <f>IF(6&lt;=DAY(EOMONTH(DATE($D$2,$AK$2,1),0)),6,"")</f>
        <v/>
      </c>
      <c r="K4" s="9">
        <f>IF(7&lt;=DAY(EOMONTH(DATE($D$2,$AK$2,1),0)),7,"")</f>
        <v/>
      </c>
      <c r="L4" s="9">
        <f>IF(8&lt;=DAY(EOMONTH(DATE($D$2,$AK$2,1),0)),8,"")</f>
        <v/>
      </c>
      <c r="M4" s="9">
        <f>IF(9&lt;=DAY(EOMONTH(DATE($D$2,$AK$2,1),0)),9,"")</f>
        <v/>
      </c>
      <c r="N4" s="9">
        <f>IF(10&lt;=DAY(EOMONTH(DATE($D$2,$AK$2,1),0)),10,"")</f>
        <v/>
      </c>
      <c r="O4" s="9">
        <f>IF(11&lt;=DAY(EOMONTH(DATE($D$2,$AK$2,1),0)),11,"")</f>
        <v/>
      </c>
      <c r="P4" s="9">
        <f>IF(12&lt;=DAY(EOMONTH(DATE($D$2,$AK$2,1),0)),12,"")</f>
        <v/>
      </c>
      <c r="Q4" s="9">
        <f>IF(13&lt;=DAY(EOMONTH(DATE($D$2,$AK$2,1),0)),13,"")</f>
        <v/>
      </c>
      <c r="R4" s="9">
        <f>IF(14&lt;=DAY(EOMONTH(DATE($D$2,$AK$2,1),0)),14,"")</f>
        <v/>
      </c>
      <c r="S4" s="9">
        <f>IF(15&lt;=DAY(EOMONTH(DATE($D$2,$AK$2,1),0)),15,"")</f>
        <v/>
      </c>
      <c r="T4" s="9">
        <f>IF(16&lt;=DAY(EOMONTH(DATE($D$2,$AK$2,1),0)),16,"")</f>
        <v/>
      </c>
      <c r="U4" s="9">
        <f>IF(17&lt;=DAY(EOMONTH(DATE($D$2,$AK$2,1),0)),17,"")</f>
        <v/>
      </c>
      <c r="V4" s="9">
        <f>IF(18&lt;=DAY(EOMONTH(DATE($D$2,$AK$2,1),0)),18,"")</f>
        <v/>
      </c>
      <c r="W4" s="9">
        <f>IF(19&lt;=DAY(EOMONTH(DATE($D$2,$AK$2,1),0)),19,"")</f>
        <v/>
      </c>
      <c r="X4" s="9">
        <f>IF(20&lt;=DAY(EOMONTH(DATE($D$2,$AK$2,1),0)),20,"")</f>
        <v/>
      </c>
      <c r="Y4" s="9">
        <f>IF(21&lt;=DAY(EOMONTH(DATE($D$2,$AK$2,1),0)),21,"")</f>
        <v/>
      </c>
      <c r="Z4" s="9">
        <f>IF(22&lt;=DAY(EOMONTH(DATE($D$2,$AK$2,1),0)),22,"")</f>
        <v/>
      </c>
      <c r="AA4" s="9">
        <f>IF(23&lt;=DAY(EOMONTH(DATE($D$2,$AK$2,1),0)),23,"")</f>
        <v/>
      </c>
      <c r="AB4" s="9">
        <f>IF(24&lt;=DAY(EOMONTH(DATE($D$2,$AK$2,1),0)),24,"")</f>
        <v/>
      </c>
      <c r="AC4" s="9">
        <f>IF(25&lt;=DAY(EOMONTH(DATE($D$2,$AK$2,1),0)),25,"")</f>
        <v/>
      </c>
      <c r="AD4" s="9">
        <f>IF(26&lt;=DAY(EOMONTH(DATE($D$2,$AK$2,1),0)),26,"")</f>
        <v/>
      </c>
      <c r="AE4" s="9">
        <f>IF(27&lt;=DAY(EOMONTH(DATE($D$2,$AK$2,1),0)),27,"")</f>
        <v/>
      </c>
      <c r="AF4" s="9">
        <f>IF(28&lt;=DAY(EOMONTH(DATE($D$2,$AK$2,1),0)),28,"")</f>
        <v/>
      </c>
      <c r="AG4" s="9">
        <f>IF(29&lt;=DAY(EOMONTH(DATE($D$2,$AK$2,1),0)),29,"")</f>
        <v/>
      </c>
      <c r="AH4" s="9">
        <f>IF(30&lt;=DAY(EOMONTH(DATE($D$2,$AK$2,1),0)),30,"")</f>
        <v/>
      </c>
      <c r="AI4" s="9">
        <f>IF(31&lt;=DAY(EOMONTH(DATE($D$2,$AK$2,1),0)),31,"")</f>
        <v/>
      </c>
    </row>
    <row r="5" ht="17" customHeight="1">
      <c r="A5" s="10">
        <f>IF($C5="","",ROW()-4)</f>
        <v/>
      </c>
      <c r="B5" s="11" t="inlineStr">
        <is>
          <t>13006435</t>
        </is>
      </c>
      <c r="C5" s="12" t="inlineStr">
        <is>
          <t>HOMAID ALJAHDALI</t>
        </is>
      </c>
      <c r="D5" s="11" t="inlineStr">
        <is>
          <t>ACT/SUPV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</row>
    <row r="6" ht="17" customHeight="1">
      <c r="A6" s="10">
        <f>IF($C6="","",ROW()-4)</f>
        <v/>
      </c>
      <c r="B6" s="11" t="inlineStr">
        <is>
          <t>13008931</t>
        </is>
      </c>
      <c r="C6" s="12" t="inlineStr">
        <is>
          <t>RONILO NOGADAS AMEN</t>
        </is>
      </c>
      <c r="D6" s="11" t="inlineStr">
        <is>
          <t>ACT/SUPV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 ht="17" customHeight="1">
      <c r="A7" s="10">
        <f>IF($C7="","",ROW()-4)</f>
        <v/>
      </c>
      <c r="B7" s="11" t="inlineStr">
        <is>
          <t>13010279</t>
        </is>
      </c>
      <c r="C7" s="12" t="inlineStr">
        <is>
          <t>AHMED M. ALWAHBI</t>
        </is>
      </c>
      <c r="D7" s="11" t="inlineStr">
        <is>
          <t>ACT/SUPV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 ht="17" customHeight="1">
      <c r="A8" s="10">
        <f>IF($C8="","",ROW()-4)</f>
        <v/>
      </c>
      <c r="B8" s="11" t="inlineStr">
        <is>
          <t>13007568</t>
        </is>
      </c>
      <c r="C8" s="12" t="inlineStr">
        <is>
          <t>NAIF ALANEZI</t>
        </is>
      </c>
      <c r="D8" s="11" t="inlineStr">
        <is>
          <t>ACT/SUPV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 ht="17" customHeight="1">
      <c r="A9" s="10">
        <f>IF($C9="","",ROW()-4)</f>
        <v/>
      </c>
      <c r="B9" s="11" t="inlineStr">
        <is>
          <t>30005295</t>
        </is>
      </c>
      <c r="C9" s="12" t="inlineStr">
        <is>
          <t>RODEL CLEMENTE</t>
        </is>
      </c>
      <c r="D9" s="11" t="inlineStr">
        <is>
          <t>TECH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 ht="17" customHeight="1">
      <c r="A10" s="10">
        <f>IF($C10="","",ROW()-4)</f>
        <v/>
      </c>
      <c r="B10" s="11" t="inlineStr">
        <is>
          <t>30001593</t>
        </is>
      </c>
      <c r="C10" s="12" t="inlineStr">
        <is>
          <t>FYSAL M. ALEDAINI</t>
        </is>
      </c>
      <c r="D10" s="11" t="inlineStr">
        <is>
          <t>OJT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 ht="17" customHeight="1">
      <c r="A11" s="10">
        <f>IF($C11="","",ROW()-4)</f>
        <v/>
      </c>
      <c r="B11" s="11" t="inlineStr">
        <is>
          <t>30001338</t>
        </is>
      </c>
      <c r="C11" s="12" t="inlineStr">
        <is>
          <t>MASHHOUR ALSULAIMANI</t>
        </is>
      </c>
      <c r="D11" s="11" t="inlineStr">
        <is>
          <t>OJT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 ht="17" customHeight="1">
      <c r="A12" s="10">
        <f>IF($C12="","",ROW()-4)</f>
        <v/>
      </c>
      <c r="B12" s="11" t="inlineStr">
        <is>
          <t>30001573</t>
        </is>
      </c>
      <c r="C12" s="12" t="inlineStr">
        <is>
          <t>JEHAD M. HAKAMI</t>
        </is>
      </c>
      <c r="D12" s="11" t="inlineStr">
        <is>
          <t>OJT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 ht="17" customHeight="1">
      <c r="A13" s="10">
        <f>IF($C13="","",ROW()-4)</f>
        <v/>
      </c>
      <c r="B13" s="11" t="inlineStr">
        <is>
          <t>30001366</t>
        </is>
      </c>
      <c r="C13" s="12" t="inlineStr">
        <is>
          <t>ABDULAZIZ ZAKOUR</t>
        </is>
      </c>
      <c r="D13" s="11" t="inlineStr">
        <is>
          <t>OJT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 ht="17" customHeight="1">
      <c r="A14" s="10">
        <f>IF($C14="","",ROW()-4)</f>
        <v/>
      </c>
      <c r="B14" s="11" t="inlineStr">
        <is>
          <t>30001450</t>
        </is>
      </c>
      <c r="C14" s="12" t="inlineStr">
        <is>
          <t>MUHAMMED ALSHAIKH</t>
        </is>
      </c>
      <c r="D14" s="11" t="inlineStr">
        <is>
          <t>OJT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 ht="17" customHeight="1">
      <c r="A15" s="10">
        <f>IF($C15="","",ROW()-4)</f>
        <v/>
      </c>
      <c r="B15" s="11" t="inlineStr">
        <is>
          <t>30001602</t>
        </is>
      </c>
      <c r="C15" s="12" t="inlineStr">
        <is>
          <t>AHMED M. ALYAMANI</t>
        </is>
      </c>
      <c r="D15" s="11" t="inlineStr">
        <is>
          <t>OJT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 ht="17" customHeight="1">
      <c r="A16" s="10">
        <f>IF($C16="","",ROW()-4)</f>
        <v/>
      </c>
      <c r="B16" s="11" t="inlineStr">
        <is>
          <t>40001135</t>
        </is>
      </c>
      <c r="C16" s="12" t="inlineStr">
        <is>
          <t>SYAHLENDRA SYAMSOE</t>
        </is>
      </c>
      <c r="D16" s="11" t="inlineStr">
        <is>
          <t>FITTER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 ht="17" customHeight="1">
      <c r="A17" s="10">
        <f>IF($C17="","",ROW()-4)</f>
        <v/>
      </c>
      <c r="B17" s="11" t="inlineStr">
        <is>
          <t>70010082</t>
        </is>
      </c>
      <c r="C17" s="12" t="inlineStr">
        <is>
          <t>MOHAMMAD KAIFI</t>
        </is>
      </c>
      <c r="D17" s="11" t="inlineStr">
        <is>
          <t>FITTER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 ht="17" customHeight="1">
      <c r="A18" s="10">
        <f>IF($C18="","",ROW()-4)</f>
        <v/>
      </c>
      <c r="B18" s="11" t="inlineStr">
        <is>
          <t>13009258</t>
        </is>
      </c>
      <c r="C18" s="12" t="inlineStr">
        <is>
          <t>ALI ALAHMADI</t>
        </is>
      </c>
      <c r="D18" s="11" t="inlineStr">
        <is>
          <t>FITTER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 ht="17" customHeight="1">
      <c r="A19" s="10">
        <f>IF($C19="","",ROW()-4)</f>
        <v/>
      </c>
      <c r="B19" s="11" t="inlineStr">
        <is>
          <t>13009255</t>
        </is>
      </c>
      <c r="C19" s="12" t="inlineStr">
        <is>
          <t>HOSSAM ALGHAMDI</t>
        </is>
      </c>
      <c r="D19" s="11" t="inlineStr">
        <is>
          <t>FITTER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 ht="17" customHeight="1">
      <c r="A20" s="10">
        <f>IF($C20="","",ROW()-4)</f>
        <v/>
      </c>
      <c r="B20" s="11" t="inlineStr">
        <is>
          <t>13009047</t>
        </is>
      </c>
      <c r="C20" s="12" t="inlineStr">
        <is>
          <t>JIMRICKS AQINO</t>
        </is>
      </c>
      <c r="D20" s="11" t="inlineStr">
        <is>
          <t>FITTER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 ht="17" customHeight="1">
      <c r="A21" s="10">
        <f>IF($C21="","",ROW()-4)</f>
        <v/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 ht="17" customHeight="1">
      <c r="A22" s="10">
        <f>IF($C22="","",ROW()-4)</f>
        <v/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4" ht="16" customHeight="1">
      <c r="A24" s="6" t="inlineStr">
        <is>
          <t>#</t>
        </is>
      </c>
      <c r="B24" s="6" t="inlineStr">
        <is>
          <t>PRN</t>
        </is>
      </c>
      <c r="C24" s="6" t="inlineStr">
        <is>
          <t>NAME</t>
        </is>
      </c>
      <c r="D24" s="6" t="inlineStr">
        <is>
          <t>Posn</t>
        </is>
      </c>
      <c r="E24" s="7">
        <f>IF(1&lt;=DAY(EOMONTH(DATE($D$2,$AK$2,1),0)),TEXT(DATE($D$2,$AK$2,1),"ddd"),"")</f>
        <v/>
      </c>
      <c r="F24" s="7">
        <f>IF(2&lt;=DAY(EOMONTH(DATE($D$2,$AK$2,1),0)),TEXT(DATE($D$2,$AK$2,2),"ddd"),"")</f>
        <v/>
      </c>
      <c r="G24" s="7">
        <f>IF(3&lt;=DAY(EOMONTH(DATE($D$2,$AK$2,1),0)),TEXT(DATE($D$2,$AK$2,3),"ddd"),"")</f>
        <v/>
      </c>
      <c r="H24" s="7">
        <f>IF(4&lt;=DAY(EOMONTH(DATE($D$2,$AK$2,1),0)),TEXT(DATE($D$2,$AK$2,4),"ddd"),"")</f>
        <v/>
      </c>
      <c r="I24" s="7">
        <f>IF(5&lt;=DAY(EOMONTH(DATE($D$2,$AK$2,1),0)),TEXT(DATE($D$2,$AK$2,5),"ddd"),"")</f>
        <v/>
      </c>
      <c r="J24" s="7">
        <f>IF(6&lt;=DAY(EOMONTH(DATE($D$2,$AK$2,1),0)),TEXT(DATE($D$2,$AK$2,6),"ddd"),"")</f>
        <v/>
      </c>
      <c r="K24" s="7">
        <f>IF(7&lt;=DAY(EOMONTH(DATE($D$2,$AK$2,1),0)),TEXT(DATE($D$2,$AK$2,7),"ddd"),"")</f>
        <v/>
      </c>
      <c r="L24" s="7">
        <f>IF(8&lt;=DAY(EOMONTH(DATE($D$2,$AK$2,1),0)),TEXT(DATE($D$2,$AK$2,8),"ddd"),"")</f>
        <v/>
      </c>
      <c r="M24" s="7">
        <f>IF(9&lt;=DAY(EOMONTH(DATE($D$2,$AK$2,1),0)),TEXT(DATE($D$2,$AK$2,9),"ddd"),"")</f>
        <v/>
      </c>
      <c r="N24" s="7">
        <f>IF(10&lt;=DAY(EOMONTH(DATE($D$2,$AK$2,1),0)),TEXT(DATE($D$2,$AK$2,10),"ddd"),"")</f>
        <v/>
      </c>
      <c r="O24" s="7">
        <f>IF(11&lt;=DAY(EOMONTH(DATE($D$2,$AK$2,1),0)),TEXT(DATE($D$2,$AK$2,11),"ddd"),"")</f>
        <v/>
      </c>
      <c r="P24" s="7">
        <f>IF(12&lt;=DAY(EOMONTH(DATE($D$2,$AK$2,1),0)),TEXT(DATE($D$2,$AK$2,12),"ddd"),"")</f>
        <v/>
      </c>
      <c r="Q24" s="7">
        <f>IF(13&lt;=DAY(EOMONTH(DATE($D$2,$AK$2,1),0)),TEXT(DATE($D$2,$AK$2,13),"ddd"),"")</f>
        <v/>
      </c>
      <c r="R24" s="7">
        <f>IF(14&lt;=DAY(EOMONTH(DATE($D$2,$AK$2,1),0)),TEXT(DATE($D$2,$AK$2,14),"ddd"),"")</f>
        <v/>
      </c>
      <c r="S24" s="7">
        <f>IF(15&lt;=DAY(EOMONTH(DATE($D$2,$AK$2,1),0)),TEXT(DATE($D$2,$AK$2,15),"ddd"),"")</f>
        <v/>
      </c>
      <c r="T24" s="7">
        <f>IF(16&lt;=DAY(EOMONTH(DATE($D$2,$AK$2,1),0)),TEXT(DATE($D$2,$AK$2,16),"ddd"),"")</f>
        <v/>
      </c>
      <c r="U24" s="7">
        <f>IF(17&lt;=DAY(EOMONTH(DATE($D$2,$AK$2,1),0)),TEXT(DATE($D$2,$AK$2,17),"ddd"),"")</f>
        <v/>
      </c>
      <c r="V24" s="7">
        <f>IF(18&lt;=DAY(EOMONTH(DATE($D$2,$AK$2,1),0)),TEXT(DATE($D$2,$AK$2,18),"ddd"),"")</f>
        <v/>
      </c>
      <c r="W24" s="7">
        <f>IF(19&lt;=DAY(EOMONTH(DATE($D$2,$AK$2,1),0)),TEXT(DATE($D$2,$AK$2,19),"ddd"),"")</f>
        <v/>
      </c>
      <c r="X24" s="7">
        <f>IF(20&lt;=DAY(EOMONTH(DATE($D$2,$AK$2,1),0)),TEXT(DATE($D$2,$AK$2,20),"ddd"),"")</f>
        <v/>
      </c>
      <c r="Y24" s="7">
        <f>IF(21&lt;=DAY(EOMONTH(DATE($D$2,$AK$2,1),0)),TEXT(DATE($D$2,$AK$2,21),"ddd"),"")</f>
        <v/>
      </c>
      <c r="Z24" s="7">
        <f>IF(22&lt;=DAY(EOMONTH(DATE($D$2,$AK$2,1),0)),TEXT(DATE($D$2,$AK$2,22),"ddd"),"")</f>
        <v/>
      </c>
      <c r="AA24" s="7">
        <f>IF(23&lt;=DAY(EOMONTH(DATE($D$2,$AK$2,1),0)),TEXT(DATE($D$2,$AK$2,23),"ddd"),"")</f>
        <v/>
      </c>
      <c r="AB24" s="7">
        <f>IF(24&lt;=DAY(EOMONTH(DATE($D$2,$AK$2,1),0)),TEXT(DATE($D$2,$AK$2,24),"ddd"),"")</f>
        <v/>
      </c>
      <c r="AC24" s="7">
        <f>IF(25&lt;=DAY(EOMONTH(DATE($D$2,$AK$2,1),0)),TEXT(DATE($D$2,$AK$2,25),"ddd"),"")</f>
        <v/>
      </c>
      <c r="AD24" s="7">
        <f>IF(26&lt;=DAY(EOMONTH(DATE($D$2,$AK$2,1),0)),TEXT(DATE($D$2,$AK$2,26),"ddd"),"")</f>
        <v/>
      </c>
      <c r="AE24" s="7">
        <f>IF(27&lt;=DAY(EOMONTH(DATE($D$2,$AK$2,1),0)),TEXT(DATE($D$2,$AK$2,27),"ddd"),"")</f>
        <v/>
      </c>
      <c r="AF24" s="7">
        <f>IF(28&lt;=DAY(EOMONTH(DATE($D$2,$AK$2,1),0)),TEXT(DATE($D$2,$AK$2,28),"ddd"),"")</f>
        <v/>
      </c>
      <c r="AG24" s="7">
        <f>IF(29&lt;=DAY(EOMONTH(DATE($D$2,$AK$2,1),0)),TEXT(DATE($D$2,$AK$2,29),"ddd"),"")</f>
        <v/>
      </c>
      <c r="AH24" s="7">
        <f>IF(30&lt;=DAY(EOMONTH(DATE($D$2,$AK$2,1),0)),TEXT(DATE($D$2,$AK$2,30),"ddd"),"")</f>
        <v/>
      </c>
      <c r="AI24" s="7">
        <f>IF(31&lt;=DAY(EOMONTH(DATE($D$2,$AK$2,1),0)),TEXT(DATE($D$2,$AK$2,31),"ddd"),"")</f>
        <v/>
      </c>
    </row>
    <row r="25" ht="18" customHeight="1">
      <c r="A25" s="8" t="inlineStr">
        <is>
          <t>CREW 2</t>
        </is>
      </c>
      <c r="E25" s="9">
        <f>IF(1&lt;=DAY(EOMONTH(DATE($D$2,$AK$2,1),0)),1,"")</f>
        <v/>
      </c>
      <c r="F25" s="9">
        <f>IF(2&lt;=DAY(EOMONTH(DATE($D$2,$AK$2,1),0)),2,"")</f>
        <v/>
      </c>
      <c r="G25" s="9">
        <f>IF(3&lt;=DAY(EOMONTH(DATE($D$2,$AK$2,1),0)),3,"")</f>
        <v/>
      </c>
      <c r="H25" s="9">
        <f>IF(4&lt;=DAY(EOMONTH(DATE($D$2,$AK$2,1),0)),4,"")</f>
        <v/>
      </c>
      <c r="I25" s="9">
        <f>IF(5&lt;=DAY(EOMONTH(DATE($D$2,$AK$2,1),0)),5,"")</f>
        <v/>
      </c>
      <c r="J25" s="9">
        <f>IF(6&lt;=DAY(EOMONTH(DATE($D$2,$AK$2,1),0)),6,"")</f>
        <v/>
      </c>
      <c r="K25" s="9">
        <f>IF(7&lt;=DAY(EOMONTH(DATE($D$2,$AK$2,1),0)),7,"")</f>
        <v/>
      </c>
      <c r="L25" s="9">
        <f>IF(8&lt;=DAY(EOMONTH(DATE($D$2,$AK$2,1),0)),8,"")</f>
        <v/>
      </c>
      <c r="M25" s="9">
        <f>IF(9&lt;=DAY(EOMONTH(DATE($D$2,$AK$2,1),0)),9,"")</f>
        <v/>
      </c>
      <c r="N25" s="9">
        <f>IF(10&lt;=DAY(EOMONTH(DATE($D$2,$AK$2,1),0)),10,"")</f>
        <v/>
      </c>
      <c r="O25" s="9">
        <f>IF(11&lt;=DAY(EOMONTH(DATE($D$2,$AK$2,1),0)),11,"")</f>
        <v/>
      </c>
      <c r="P25" s="9">
        <f>IF(12&lt;=DAY(EOMONTH(DATE($D$2,$AK$2,1),0)),12,"")</f>
        <v/>
      </c>
      <c r="Q25" s="9">
        <f>IF(13&lt;=DAY(EOMONTH(DATE($D$2,$AK$2,1),0)),13,"")</f>
        <v/>
      </c>
      <c r="R25" s="9">
        <f>IF(14&lt;=DAY(EOMONTH(DATE($D$2,$AK$2,1),0)),14,"")</f>
        <v/>
      </c>
      <c r="S25" s="9">
        <f>IF(15&lt;=DAY(EOMONTH(DATE($D$2,$AK$2,1),0)),15,"")</f>
        <v/>
      </c>
      <c r="T25" s="9">
        <f>IF(16&lt;=DAY(EOMONTH(DATE($D$2,$AK$2,1),0)),16,"")</f>
        <v/>
      </c>
      <c r="U25" s="9">
        <f>IF(17&lt;=DAY(EOMONTH(DATE($D$2,$AK$2,1),0)),17,"")</f>
        <v/>
      </c>
      <c r="V25" s="9">
        <f>IF(18&lt;=DAY(EOMONTH(DATE($D$2,$AK$2,1),0)),18,"")</f>
        <v/>
      </c>
      <c r="W25" s="9">
        <f>IF(19&lt;=DAY(EOMONTH(DATE($D$2,$AK$2,1),0)),19,"")</f>
        <v/>
      </c>
      <c r="X25" s="9">
        <f>IF(20&lt;=DAY(EOMONTH(DATE($D$2,$AK$2,1),0)),20,"")</f>
        <v/>
      </c>
      <c r="Y25" s="9">
        <f>IF(21&lt;=DAY(EOMONTH(DATE($D$2,$AK$2,1),0)),21,"")</f>
        <v/>
      </c>
      <c r="Z25" s="9">
        <f>IF(22&lt;=DAY(EOMONTH(DATE($D$2,$AK$2,1),0)),22,"")</f>
        <v/>
      </c>
      <c r="AA25" s="9">
        <f>IF(23&lt;=DAY(EOMONTH(DATE($D$2,$AK$2,1),0)),23,"")</f>
        <v/>
      </c>
      <c r="AB25" s="9">
        <f>IF(24&lt;=DAY(EOMONTH(DATE($D$2,$AK$2,1),0)),24,"")</f>
        <v/>
      </c>
      <c r="AC25" s="9">
        <f>IF(25&lt;=DAY(EOMONTH(DATE($D$2,$AK$2,1),0)),25,"")</f>
        <v/>
      </c>
      <c r="AD25" s="9">
        <f>IF(26&lt;=DAY(EOMONTH(DATE($D$2,$AK$2,1),0)),26,"")</f>
        <v/>
      </c>
      <c r="AE25" s="9">
        <f>IF(27&lt;=DAY(EOMONTH(DATE($D$2,$AK$2,1),0)),27,"")</f>
        <v/>
      </c>
      <c r="AF25" s="9">
        <f>IF(28&lt;=DAY(EOMONTH(DATE($D$2,$AK$2,1),0)),28,"")</f>
        <v/>
      </c>
      <c r="AG25" s="9">
        <f>IF(29&lt;=DAY(EOMONTH(DATE($D$2,$AK$2,1),0)),29,"")</f>
        <v/>
      </c>
      <c r="AH25" s="9">
        <f>IF(30&lt;=DAY(EOMONTH(DATE($D$2,$AK$2,1),0)),30,"")</f>
        <v/>
      </c>
      <c r="AI25" s="9">
        <f>IF(31&lt;=DAY(EOMONTH(DATE($D$2,$AK$2,1),0)),31,"")</f>
        <v/>
      </c>
    </row>
    <row r="26" ht="17" customHeight="1">
      <c r="A26" s="10">
        <f>IF($C26="","",ROW()-25)</f>
        <v/>
      </c>
      <c r="B26" s="11" t="inlineStr">
        <is>
          <t>13006567</t>
        </is>
      </c>
      <c r="C26" s="12" t="inlineStr">
        <is>
          <t>AHMED AL-GHAMDI</t>
        </is>
      </c>
      <c r="D26" s="11" t="inlineStr">
        <is>
          <t>ACT/SUPV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 ht="17" customHeight="1">
      <c r="A27" s="10">
        <f>IF($C27="","",ROW()-25)</f>
        <v/>
      </c>
      <c r="B27" s="11" t="inlineStr">
        <is>
          <t>13010253</t>
        </is>
      </c>
      <c r="C27" s="12" t="inlineStr">
        <is>
          <t>AHMED S. ALGHAMDI</t>
        </is>
      </c>
      <c r="D27" s="11" t="inlineStr">
        <is>
          <t>ACT/SUPV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 ht="17" customHeight="1">
      <c r="A28" s="10">
        <f>IF($C28="","",ROW()-25)</f>
        <v/>
      </c>
      <c r="B28" s="11" t="inlineStr">
        <is>
          <t>13007276</t>
        </is>
      </c>
      <c r="C28" s="12" t="inlineStr">
        <is>
          <t>MOHAMMED BAROOM</t>
        </is>
      </c>
      <c r="D28" s="11" t="inlineStr">
        <is>
          <t>TECH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 ht="17" customHeight="1">
      <c r="A29" s="10">
        <f>IF($C29="","",ROW()-25)</f>
        <v/>
      </c>
      <c r="B29" s="11" t="inlineStr">
        <is>
          <t>13010286</t>
        </is>
      </c>
      <c r="C29" s="12" t="inlineStr">
        <is>
          <t>ABDULAZIZ F. ALBOUQ</t>
        </is>
      </c>
      <c r="D29" s="11" t="inlineStr">
        <is>
          <t>TECH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 ht="17" customHeight="1">
      <c r="A30" s="10">
        <f>IF($C30="","",ROW()-25)</f>
        <v/>
      </c>
      <c r="B30" s="11" t="inlineStr">
        <is>
          <t>30004221</t>
        </is>
      </c>
      <c r="C30" s="12" t="inlineStr">
        <is>
          <t>YOUSEF BARIFAH</t>
        </is>
      </c>
      <c r="D30" s="11" t="inlineStr">
        <is>
          <t>TECH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 ht="17" customHeight="1">
      <c r="A31" s="10">
        <f>IF($C31="","",ROW()-25)</f>
        <v/>
      </c>
      <c r="B31" s="11" t="inlineStr">
        <is>
          <t>30001345</t>
        </is>
      </c>
      <c r="C31" s="12" t="inlineStr">
        <is>
          <t>AHMED ALSHARIF</t>
        </is>
      </c>
      <c r="D31" s="11" t="inlineStr">
        <is>
          <t>OJT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 ht="17" customHeight="1">
      <c r="A32" s="10">
        <f>IF($C32="","",ROW()-25)</f>
        <v/>
      </c>
      <c r="B32" s="11" t="inlineStr">
        <is>
          <t>30001351</t>
        </is>
      </c>
      <c r="C32" s="12" t="inlineStr">
        <is>
          <t>KHALID ALSHUBRAMI</t>
        </is>
      </c>
      <c r="D32" s="11" t="inlineStr">
        <is>
          <t>OJT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 ht="17" customHeight="1">
      <c r="A33" s="10">
        <f>IF($C33="","",ROW()-25)</f>
        <v/>
      </c>
      <c r="B33" s="11" t="inlineStr">
        <is>
          <t>30001451</t>
        </is>
      </c>
      <c r="C33" s="12" t="inlineStr">
        <is>
          <t>MUHAMMED ALHARBI</t>
        </is>
      </c>
      <c r="D33" s="11" t="inlineStr">
        <is>
          <t>OJT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 ht="17" customHeight="1">
      <c r="A34" s="10">
        <f>IF($C34="","",ROW()-25)</f>
        <v/>
      </c>
      <c r="B34" s="11" t="inlineStr">
        <is>
          <t>30001452</t>
        </is>
      </c>
      <c r="C34" s="12" t="inlineStr">
        <is>
          <t>SAAD ALDOSARI</t>
        </is>
      </c>
      <c r="D34" s="11" t="inlineStr">
        <is>
          <t>OJT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 ht="17" customHeight="1">
      <c r="A35" s="10">
        <f>IF($C35="","",ROW()-25)</f>
        <v/>
      </c>
      <c r="B35" s="11" t="inlineStr">
        <is>
          <t>30001461</t>
        </is>
      </c>
      <c r="C35" s="12" t="inlineStr">
        <is>
          <t>HUSSAM ALTHUBAITI</t>
        </is>
      </c>
      <c r="D35" s="11" t="inlineStr">
        <is>
          <t>OJT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6" ht="17" customHeight="1">
      <c r="A36" s="10">
        <f>IF($C36="","",ROW()-25)</f>
        <v/>
      </c>
      <c r="B36" s="11" t="inlineStr">
        <is>
          <t>30001575</t>
        </is>
      </c>
      <c r="C36" s="12" t="inlineStr">
        <is>
          <t>FADUL A. FADUL</t>
        </is>
      </c>
      <c r="D36" s="11" t="inlineStr">
        <is>
          <t>OJT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 ht="17" customHeight="1">
      <c r="A37" s="10">
        <f>IF($C37="","",ROW()-25)</f>
        <v/>
      </c>
      <c r="B37" s="11" t="inlineStr">
        <is>
          <t>30001577</t>
        </is>
      </c>
      <c r="C37" s="12" t="inlineStr">
        <is>
          <t>FOUAD A. MOJALLY</t>
        </is>
      </c>
      <c r="D37" s="11" t="inlineStr">
        <is>
          <t>OJT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 ht="17" customHeight="1">
      <c r="A38" s="10">
        <f>IF($C38="","",ROW()-25)</f>
        <v/>
      </c>
      <c r="B38" s="11" t="inlineStr">
        <is>
          <t>30001774</t>
        </is>
      </c>
      <c r="C38" s="12" t="inlineStr">
        <is>
          <t>SAAD A. ALQAHTANI</t>
        </is>
      </c>
      <c r="D38" s="11" t="inlineStr">
        <is>
          <t>OJT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 ht="17" customHeight="1">
      <c r="A39" s="10">
        <f>IF($C39="","",ROW()-25)</f>
        <v/>
      </c>
      <c r="B39" s="11" t="inlineStr">
        <is>
          <t>40000188</t>
        </is>
      </c>
      <c r="C39" s="12" t="inlineStr">
        <is>
          <t>RAKAN AGILY</t>
        </is>
      </c>
      <c r="D39" s="11" t="inlineStr">
        <is>
          <t>FITTER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 ht="17" customHeight="1">
      <c r="A40" s="10">
        <f>IF($C40="","",ROW()-25)</f>
        <v/>
      </c>
      <c r="B40" s="11" t="inlineStr">
        <is>
          <t>13009042</t>
        </is>
      </c>
      <c r="C40" s="12" t="inlineStr">
        <is>
          <t>OLANDRES JR BEINVENIDO</t>
        </is>
      </c>
      <c r="D40" s="11" t="inlineStr">
        <is>
          <t>FITTER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 ht="17" customHeight="1">
      <c r="A41" s="10">
        <f>IF($C41="","",ROW()-25)</f>
        <v/>
      </c>
      <c r="B41" s="11" t="inlineStr">
        <is>
          <t>40000706</t>
        </is>
      </c>
      <c r="C41" s="12" t="inlineStr">
        <is>
          <t>JASON C. GUEVARRA</t>
        </is>
      </c>
      <c r="D41" s="11" t="inlineStr">
        <is>
          <t>FITTER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 ht="17" customHeight="1">
      <c r="A42" s="10">
        <f>IF($C42="","",ROW()-25)</f>
        <v/>
      </c>
      <c r="B42" s="11" t="inlineStr">
        <is>
          <t>13009023</t>
        </is>
      </c>
      <c r="C42" s="12" t="inlineStr">
        <is>
          <t>SAMEER ALDUSUQI</t>
        </is>
      </c>
      <c r="D42" s="11" t="inlineStr">
        <is>
          <t>FITTER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 ht="17" customHeight="1">
      <c r="A43" s="10">
        <f>IF($C43="","",ROW()-25)</f>
        <v/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5" ht="16" customHeight="1">
      <c r="A45" s="6" t="inlineStr">
        <is>
          <t>#</t>
        </is>
      </c>
      <c r="B45" s="6" t="inlineStr">
        <is>
          <t>PRN</t>
        </is>
      </c>
      <c r="C45" s="6" t="inlineStr">
        <is>
          <t>NAME</t>
        </is>
      </c>
      <c r="D45" s="6" t="inlineStr">
        <is>
          <t>Posn</t>
        </is>
      </c>
      <c r="E45" s="7">
        <f>IF(1&lt;=DAY(EOMONTH(DATE($D$2,$AK$2,1),0)),TEXT(DATE($D$2,$AK$2,1),"ddd"),"")</f>
        <v/>
      </c>
      <c r="F45" s="7">
        <f>IF(2&lt;=DAY(EOMONTH(DATE($D$2,$AK$2,1),0)),TEXT(DATE($D$2,$AK$2,2),"ddd"),"")</f>
        <v/>
      </c>
      <c r="G45" s="7">
        <f>IF(3&lt;=DAY(EOMONTH(DATE($D$2,$AK$2,1),0)),TEXT(DATE($D$2,$AK$2,3),"ddd"),"")</f>
        <v/>
      </c>
      <c r="H45" s="7">
        <f>IF(4&lt;=DAY(EOMONTH(DATE($D$2,$AK$2,1),0)),TEXT(DATE($D$2,$AK$2,4),"ddd"),"")</f>
        <v/>
      </c>
      <c r="I45" s="7">
        <f>IF(5&lt;=DAY(EOMONTH(DATE($D$2,$AK$2,1),0)),TEXT(DATE($D$2,$AK$2,5),"ddd"),"")</f>
        <v/>
      </c>
      <c r="J45" s="7">
        <f>IF(6&lt;=DAY(EOMONTH(DATE($D$2,$AK$2,1),0)),TEXT(DATE($D$2,$AK$2,6),"ddd"),"")</f>
        <v/>
      </c>
      <c r="K45" s="7">
        <f>IF(7&lt;=DAY(EOMONTH(DATE($D$2,$AK$2,1),0)),TEXT(DATE($D$2,$AK$2,7),"ddd"),"")</f>
        <v/>
      </c>
      <c r="L45" s="7">
        <f>IF(8&lt;=DAY(EOMONTH(DATE($D$2,$AK$2,1),0)),TEXT(DATE($D$2,$AK$2,8),"ddd"),"")</f>
        <v/>
      </c>
      <c r="M45" s="7">
        <f>IF(9&lt;=DAY(EOMONTH(DATE($D$2,$AK$2,1),0)),TEXT(DATE($D$2,$AK$2,9),"ddd"),"")</f>
        <v/>
      </c>
      <c r="N45" s="7">
        <f>IF(10&lt;=DAY(EOMONTH(DATE($D$2,$AK$2,1),0)),TEXT(DATE($D$2,$AK$2,10),"ddd"),"")</f>
        <v/>
      </c>
      <c r="O45" s="7">
        <f>IF(11&lt;=DAY(EOMONTH(DATE($D$2,$AK$2,1),0)),TEXT(DATE($D$2,$AK$2,11),"ddd"),"")</f>
        <v/>
      </c>
      <c r="P45" s="7">
        <f>IF(12&lt;=DAY(EOMONTH(DATE($D$2,$AK$2,1),0)),TEXT(DATE($D$2,$AK$2,12),"ddd"),"")</f>
        <v/>
      </c>
      <c r="Q45" s="7">
        <f>IF(13&lt;=DAY(EOMONTH(DATE($D$2,$AK$2,1),0)),TEXT(DATE($D$2,$AK$2,13),"ddd"),"")</f>
        <v/>
      </c>
      <c r="R45" s="7">
        <f>IF(14&lt;=DAY(EOMONTH(DATE($D$2,$AK$2,1),0)),TEXT(DATE($D$2,$AK$2,14),"ddd"),"")</f>
        <v/>
      </c>
      <c r="S45" s="7">
        <f>IF(15&lt;=DAY(EOMONTH(DATE($D$2,$AK$2,1),0)),TEXT(DATE($D$2,$AK$2,15),"ddd"),"")</f>
        <v/>
      </c>
      <c r="T45" s="7">
        <f>IF(16&lt;=DAY(EOMONTH(DATE($D$2,$AK$2,1),0)),TEXT(DATE($D$2,$AK$2,16),"ddd"),"")</f>
        <v/>
      </c>
      <c r="U45" s="7">
        <f>IF(17&lt;=DAY(EOMONTH(DATE($D$2,$AK$2,1),0)),TEXT(DATE($D$2,$AK$2,17),"ddd"),"")</f>
        <v/>
      </c>
      <c r="V45" s="7">
        <f>IF(18&lt;=DAY(EOMONTH(DATE($D$2,$AK$2,1),0)),TEXT(DATE($D$2,$AK$2,18),"ddd"),"")</f>
        <v/>
      </c>
      <c r="W45" s="7">
        <f>IF(19&lt;=DAY(EOMONTH(DATE($D$2,$AK$2,1),0)),TEXT(DATE($D$2,$AK$2,19),"ddd"),"")</f>
        <v/>
      </c>
      <c r="X45" s="7">
        <f>IF(20&lt;=DAY(EOMONTH(DATE($D$2,$AK$2,1),0)),TEXT(DATE($D$2,$AK$2,20),"ddd"),"")</f>
        <v/>
      </c>
      <c r="Y45" s="7">
        <f>IF(21&lt;=DAY(EOMONTH(DATE($D$2,$AK$2,1),0)),TEXT(DATE($D$2,$AK$2,21),"ddd"),"")</f>
        <v/>
      </c>
      <c r="Z45" s="7">
        <f>IF(22&lt;=DAY(EOMONTH(DATE($D$2,$AK$2,1),0)),TEXT(DATE($D$2,$AK$2,22),"ddd"),"")</f>
        <v/>
      </c>
      <c r="AA45" s="7">
        <f>IF(23&lt;=DAY(EOMONTH(DATE($D$2,$AK$2,1),0)),TEXT(DATE($D$2,$AK$2,23),"ddd"),"")</f>
        <v/>
      </c>
      <c r="AB45" s="7">
        <f>IF(24&lt;=DAY(EOMONTH(DATE($D$2,$AK$2,1),0)),TEXT(DATE($D$2,$AK$2,24),"ddd"),"")</f>
        <v/>
      </c>
      <c r="AC45" s="7">
        <f>IF(25&lt;=DAY(EOMONTH(DATE($D$2,$AK$2,1),0)),TEXT(DATE($D$2,$AK$2,25),"ddd"),"")</f>
        <v/>
      </c>
      <c r="AD45" s="7">
        <f>IF(26&lt;=DAY(EOMONTH(DATE($D$2,$AK$2,1),0)),TEXT(DATE($D$2,$AK$2,26),"ddd"),"")</f>
        <v/>
      </c>
      <c r="AE45" s="7">
        <f>IF(27&lt;=DAY(EOMONTH(DATE($D$2,$AK$2,1),0)),TEXT(DATE($D$2,$AK$2,27),"ddd"),"")</f>
        <v/>
      </c>
      <c r="AF45" s="7">
        <f>IF(28&lt;=DAY(EOMONTH(DATE($D$2,$AK$2,1),0)),TEXT(DATE($D$2,$AK$2,28),"ddd"),"")</f>
        <v/>
      </c>
      <c r="AG45" s="7">
        <f>IF(29&lt;=DAY(EOMONTH(DATE($D$2,$AK$2,1),0)),TEXT(DATE($D$2,$AK$2,29),"ddd"),"")</f>
        <v/>
      </c>
      <c r="AH45" s="7">
        <f>IF(30&lt;=DAY(EOMONTH(DATE($D$2,$AK$2,1),0)),TEXT(DATE($D$2,$AK$2,30),"ddd"),"")</f>
        <v/>
      </c>
      <c r="AI45" s="7">
        <f>IF(31&lt;=DAY(EOMONTH(DATE($D$2,$AK$2,1),0)),TEXT(DATE($D$2,$AK$2,31),"ddd"),"")</f>
        <v/>
      </c>
    </row>
    <row r="46" ht="18" customHeight="1">
      <c r="A46" s="8" t="inlineStr">
        <is>
          <t>SPECIAL SHIFTING</t>
        </is>
      </c>
      <c r="E46" s="9">
        <f>IF(1&lt;=DAY(EOMONTH(DATE($D$2,$AK$2,1),0)),1,"")</f>
        <v/>
      </c>
      <c r="F46" s="9">
        <f>IF(2&lt;=DAY(EOMONTH(DATE($D$2,$AK$2,1),0)),2,"")</f>
        <v/>
      </c>
      <c r="G46" s="9">
        <f>IF(3&lt;=DAY(EOMONTH(DATE($D$2,$AK$2,1),0)),3,"")</f>
        <v/>
      </c>
      <c r="H46" s="9">
        <f>IF(4&lt;=DAY(EOMONTH(DATE($D$2,$AK$2,1),0)),4,"")</f>
        <v/>
      </c>
      <c r="I46" s="9">
        <f>IF(5&lt;=DAY(EOMONTH(DATE($D$2,$AK$2,1),0)),5,"")</f>
        <v/>
      </c>
      <c r="J46" s="9">
        <f>IF(6&lt;=DAY(EOMONTH(DATE($D$2,$AK$2,1),0)),6,"")</f>
        <v/>
      </c>
      <c r="K46" s="9">
        <f>IF(7&lt;=DAY(EOMONTH(DATE($D$2,$AK$2,1),0)),7,"")</f>
        <v/>
      </c>
      <c r="L46" s="9">
        <f>IF(8&lt;=DAY(EOMONTH(DATE($D$2,$AK$2,1),0)),8,"")</f>
        <v/>
      </c>
      <c r="M46" s="9">
        <f>IF(9&lt;=DAY(EOMONTH(DATE($D$2,$AK$2,1),0)),9,"")</f>
        <v/>
      </c>
      <c r="N46" s="9">
        <f>IF(10&lt;=DAY(EOMONTH(DATE($D$2,$AK$2,1),0)),10,"")</f>
        <v/>
      </c>
      <c r="O46" s="9">
        <f>IF(11&lt;=DAY(EOMONTH(DATE($D$2,$AK$2,1),0)),11,"")</f>
        <v/>
      </c>
      <c r="P46" s="9">
        <f>IF(12&lt;=DAY(EOMONTH(DATE($D$2,$AK$2,1),0)),12,"")</f>
        <v/>
      </c>
      <c r="Q46" s="9">
        <f>IF(13&lt;=DAY(EOMONTH(DATE($D$2,$AK$2,1),0)),13,"")</f>
        <v/>
      </c>
      <c r="R46" s="9">
        <f>IF(14&lt;=DAY(EOMONTH(DATE($D$2,$AK$2,1),0)),14,"")</f>
        <v/>
      </c>
      <c r="S46" s="9">
        <f>IF(15&lt;=DAY(EOMONTH(DATE($D$2,$AK$2,1),0)),15,"")</f>
        <v/>
      </c>
      <c r="T46" s="9">
        <f>IF(16&lt;=DAY(EOMONTH(DATE($D$2,$AK$2,1),0)),16,"")</f>
        <v/>
      </c>
      <c r="U46" s="9">
        <f>IF(17&lt;=DAY(EOMONTH(DATE($D$2,$AK$2,1),0)),17,"")</f>
        <v/>
      </c>
      <c r="V46" s="9">
        <f>IF(18&lt;=DAY(EOMONTH(DATE($D$2,$AK$2,1),0)),18,"")</f>
        <v/>
      </c>
      <c r="W46" s="9">
        <f>IF(19&lt;=DAY(EOMONTH(DATE($D$2,$AK$2,1),0)),19,"")</f>
        <v/>
      </c>
      <c r="X46" s="9">
        <f>IF(20&lt;=DAY(EOMONTH(DATE($D$2,$AK$2,1),0)),20,"")</f>
        <v/>
      </c>
      <c r="Y46" s="9">
        <f>IF(21&lt;=DAY(EOMONTH(DATE($D$2,$AK$2,1),0)),21,"")</f>
        <v/>
      </c>
      <c r="Z46" s="9">
        <f>IF(22&lt;=DAY(EOMONTH(DATE($D$2,$AK$2,1),0)),22,"")</f>
        <v/>
      </c>
      <c r="AA46" s="9">
        <f>IF(23&lt;=DAY(EOMONTH(DATE($D$2,$AK$2,1),0)),23,"")</f>
        <v/>
      </c>
      <c r="AB46" s="9">
        <f>IF(24&lt;=DAY(EOMONTH(DATE($D$2,$AK$2,1),0)),24,"")</f>
        <v/>
      </c>
      <c r="AC46" s="9">
        <f>IF(25&lt;=DAY(EOMONTH(DATE($D$2,$AK$2,1),0)),25,"")</f>
        <v/>
      </c>
      <c r="AD46" s="9">
        <f>IF(26&lt;=DAY(EOMONTH(DATE($D$2,$AK$2,1),0)),26,"")</f>
        <v/>
      </c>
      <c r="AE46" s="9">
        <f>IF(27&lt;=DAY(EOMONTH(DATE($D$2,$AK$2,1),0)),27,"")</f>
        <v/>
      </c>
      <c r="AF46" s="9">
        <f>IF(28&lt;=DAY(EOMONTH(DATE($D$2,$AK$2,1),0)),28,"")</f>
        <v/>
      </c>
      <c r="AG46" s="9">
        <f>IF(29&lt;=DAY(EOMONTH(DATE($D$2,$AK$2,1),0)),29,"")</f>
        <v/>
      </c>
      <c r="AH46" s="9">
        <f>IF(30&lt;=DAY(EOMONTH(DATE($D$2,$AK$2,1),0)),30,"")</f>
        <v/>
      </c>
      <c r="AI46" s="9">
        <f>IF(31&lt;=DAY(EOMONTH(DATE($D$2,$AK$2,1),0)),31,"")</f>
        <v/>
      </c>
    </row>
    <row r="47" ht="17" customHeight="1">
      <c r="A47" s="10">
        <f>IF($C47="","",ROW()-46)</f>
        <v/>
      </c>
      <c r="B47" s="11" t="inlineStr">
        <is>
          <t>13004037</t>
        </is>
      </c>
      <c r="C47" s="12" t="inlineStr">
        <is>
          <t>KHALID FAISAL AL-ALAWI</t>
        </is>
      </c>
      <c r="D47" s="11" t="inlineStr">
        <is>
          <t>SUPV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7" customHeight="1">
      <c r="A48" s="10">
        <f>IF($C48="","",ROW()-46)</f>
        <v/>
      </c>
      <c r="B48" s="11" t="inlineStr">
        <is>
          <t>13010931</t>
        </is>
      </c>
      <c r="C48" s="12" t="inlineStr">
        <is>
          <t>SULTAN ALMASRI</t>
        </is>
      </c>
      <c r="D48" s="11" t="inlineStr">
        <is>
          <t>TECH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7" customHeight="1">
      <c r="A49" s="10">
        <f>IF($C49="","",ROW()-46)</f>
        <v/>
      </c>
      <c r="B49" s="11" t="inlineStr">
        <is>
          <t>30003319</t>
        </is>
      </c>
      <c r="C49" s="12" t="inlineStr">
        <is>
          <t>MANSOUR ALHARBI</t>
        </is>
      </c>
      <c r="D49" s="11" t="inlineStr">
        <is>
          <t>TECH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7" customHeight="1">
      <c r="A50" s="10">
        <f>IF($C50="","",ROW()-46)</f>
        <v/>
      </c>
      <c r="B50" s="11" t="inlineStr">
        <is>
          <t>30003362</t>
        </is>
      </c>
      <c r="C50" s="12" t="inlineStr">
        <is>
          <t>AYMAN HAMED</t>
        </is>
      </c>
      <c r="D50" s="11" t="inlineStr">
        <is>
          <t>TECH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7" customHeight="1">
      <c r="A51" s="10">
        <f>IF($C51="","",ROW()-46)</f>
        <v/>
      </c>
      <c r="B51" s="11" t="inlineStr">
        <is>
          <t>30003449</t>
        </is>
      </c>
      <c r="C51" s="12" t="inlineStr">
        <is>
          <t>HAZEM ALSUBHI</t>
        </is>
      </c>
      <c r="D51" s="11" t="inlineStr">
        <is>
          <t>TECH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 ht="17" customHeight="1">
      <c r="A52" s="10">
        <f>IF($C52="","",ROW()-46)</f>
        <v/>
      </c>
      <c r="B52" s="11" t="inlineStr">
        <is>
          <t>30003471</t>
        </is>
      </c>
      <c r="C52" s="12" t="inlineStr">
        <is>
          <t>MOHAMMED ALOQBA</t>
        </is>
      </c>
      <c r="D52" s="11" t="inlineStr">
        <is>
          <t>TECH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 ht="17" customHeight="1">
      <c r="A53" s="10">
        <f>IF($C53="","",ROW()-46)</f>
        <v/>
      </c>
      <c r="B53" s="11" t="inlineStr">
        <is>
          <t>30003607</t>
        </is>
      </c>
      <c r="C53" s="12" t="inlineStr">
        <is>
          <t>SIRAJ KHAYAT</t>
        </is>
      </c>
      <c r="D53" s="11" t="inlineStr">
        <is>
          <t>TECH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 ht="17" customHeight="1">
      <c r="A54" s="10">
        <f>IF($C54="","",ROW()-46)</f>
        <v/>
      </c>
      <c r="B54" s="11" t="inlineStr">
        <is>
          <t>30004358</t>
        </is>
      </c>
      <c r="C54" s="12" t="inlineStr">
        <is>
          <t>SALMAN ALJAADANI</t>
        </is>
      </c>
      <c r="D54" s="11" t="inlineStr">
        <is>
          <t>TECH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 ht="17" customHeight="1">
      <c r="A55" s="10">
        <f>IF($C55="","",ROW()-46)</f>
        <v/>
      </c>
      <c r="B55" s="11" t="inlineStr">
        <is>
          <t>30004434</t>
        </is>
      </c>
      <c r="C55" s="12" t="inlineStr">
        <is>
          <t>EID ALRIFAI</t>
        </is>
      </c>
      <c r="D55" s="11" t="inlineStr">
        <is>
          <t>TECH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 ht="17" customHeight="1">
      <c r="A56" s="10">
        <f>IF($C56="","",ROW()-46)</f>
        <v/>
      </c>
      <c r="B56" s="11" t="inlineStr">
        <is>
          <t>30004838</t>
        </is>
      </c>
      <c r="C56" s="12" t="inlineStr">
        <is>
          <t>MUAED MEERA</t>
        </is>
      </c>
      <c r="D56" s="11" t="inlineStr">
        <is>
          <t>TECH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 ht="17" customHeight="1">
      <c r="A57" s="10">
        <f>IF($C57="","",ROW()-46)</f>
        <v/>
      </c>
      <c r="B57" s="11" t="n"/>
      <c r="C57" s="12" t="n"/>
      <c r="D57" s="11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 ht="17" customHeight="1">
      <c r="A58" s="10">
        <f>IF($C58="","",ROW()-46)</f>
        <v/>
      </c>
      <c r="B58" s="11" t="n"/>
      <c r="C58" s="12" t="n"/>
      <c r="D58" s="11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60">
      <c r="A60" s="14" t="inlineStr">
        <is>
          <t>TOTAL DAILY
CREWS MANPOWER</t>
        </is>
      </c>
      <c r="B60" s="15" t="n"/>
      <c r="C60" s="15" t="n"/>
      <c r="D60" s="16" t="inlineStr">
        <is>
          <t>SHIFT</t>
        </is>
      </c>
      <c r="E60" s="7">
        <f>E4</f>
        <v/>
      </c>
      <c r="F60" s="7">
        <f>F4</f>
        <v/>
      </c>
      <c r="G60" s="7">
        <f>G4</f>
        <v/>
      </c>
      <c r="H60" s="7">
        <f>H4</f>
        <v/>
      </c>
      <c r="I60" s="7">
        <f>I4</f>
        <v/>
      </c>
      <c r="J60" s="7">
        <f>J4</f>
        <v/>
      </c>
      <c r="K60" s="7">
        <f>K4</f>
        <v/>
      </c>
      <c r="L60" s="7">
        <f>L4</f>
        <v/>
      </c>
      <c r="M60" s="7">
        <f>M4</f>
        <v/>
      </c>
      <c r="N60" s="7">
        <f>N4</f>
        <v/>
      </c>
      <c r="O60" s="7">
        <f>O4</f>
        <v/>
      </c>
      <c r="P60" s="7">
        <f>P4</f>
        <v/>
      </c>
      <c r="Q60" s="7">
        <f>Q4</f>
        <v/>
      </c>
      <c r="R60" s="7">
        <f>R4</f>
        <v/>
      </c>
      <c r="S60" s="7">
        <f>S4</f>
        <v/>
      </c>
      <c r="T60" s="7">
        <f>T4</f>
        <v/>
      </c>
      <c r="U60" s="7">
        <f>U4</f>
        <v/>
      </c>
      <c r="V60" s="7">
        <f>V4</f>
        <v/>
      </c>
      <c r="W60" s="7">
        <f>W4</f>
        <v/>
      </c>
      <c r="X60" s="7">
        <f>X4</f>
        <v/>
      </c>
      <c r="Y60" s="7">
        <f>Y4</f>
        <v/>
      </c>
      <c r="Z60" s="7">
        <f>Z4</f>
        <v/>
      </c>
      <c r="AA60" s="7">
        <f>AA4</f>
        <v/>
      </c>
      <c r="AB60" s="7">
        <f>AB4</f>
        <v/>
      </c>
      <c r="AC60" s="7">
        <f>AC4</f>
        <v/>
      </c>
      <c r="AD60" s="7">
        <f>AD4</f>
        <v/>
      </c>
      <c r="AE60" s="7">
        <f>AE4</f>
        <v/>
      </c>
      <c r="AF60" s="7">
        <f>AF4</f>
        <v/>
      </c>
      <c r="AG60" s="7">
        <f>AG4</f>
        <v/>
      </c>
      <c r="AH60" s="7">
        <f>AH4</f>
        <v/>
      </c>
      <c r="AI60" s="7">
        <f>AI4</f>
        <v/>
      </c>
    </row>
    <row r="61" ht="15" customHeight="1">
      <c r="A61" s="15" t="n"/>
      <c r="B61" s="15" t="n"/>
      <c r="C61" s="15" t="n"/>
      <c r="D61" s="17" t="inlineStr">
        <is>
          <t>D</t>
        </is>
      </c>
      <c r="E61" s="18">
        <f>IF(E$4="","",COUNTIF(E5:E58,"D"))</f>
        <v/>
      </c>
      <c r="F61" s="18">
        <f>IF(F$4="","",COUNTIF(F5:F58,"D"))</f>
        <v/>
      </c>
      <c r="G61" s="18">
        <f>IF(G$4="","",COUNTIF(G5:G58,"D"))</f>
        <v/>
      </c>
      <c r="H61" s="18">
        <f>IF(H$4="","",COUNTIF(H5:H58,"D"))</f>
        <v/>
      </c>
      <c r="I61" s="18">
        <f>IF(I$4="","",COUNTIF(I5:I58,"D"))</f>
        <v/>
      </c>
      <c r="J61" s="18">
        <f>IF(J$4="","",COUNTIF(J5:J58,"D"))</f>
        <v/>
      </c>
      <c r="K61" s="18">
        <f>IF(K$4="","",COUNTIF(K5:K58,"D"))</f>
        <v/>
      </c>
      <c r="L61" s="18">
        <f>IF(L$4="","",COUNTIF(L5:L58,"D"))</f>
        <v/>
      </c>
      <c r="M61" s="18">
        <f>IF(M$4="","",COUNTIF(M5:M58,"D"))</f>
        <v/>
      </c>
      <c r="N61" s="18">
        <f>IF(N$4="","",COUNTIF(N5:N58,"D"))</f>
        <v/>
      </c>
      <c r="O61" s="18">
        <f>IF(O$4="","",COUNTIF(O5:O58,"D"))</f>
        <v/>
      </c>
      <c r="P61" s="18">
        <f>IF(P$4="","",COUNTIF(P5:P58,"D"))</f>
        <v/>
      </c>
      <c r="Q61" s="18">
        <f>IF(Q$4="","",COUNTIF(Q5:Q58,"D"))</f>
        <v/>
      </c>
      <c r="R61" s="18">
        <f>IF(R$4="","",COUNTIF(R5:R58,"D"))</f>
        <v/>
      </c>
      <c r="S61" s="18">
        <f>IF(S$4="","",COUNTIF(S5:S58,"D"))</f>
        <v/>
      </c>
      <c r="T61" s="18">
        <f>IF(T$4="","",COUNTIF(T5:T58,"D"))</f>
        <v/>
      </c>
      <c r="U61" s="18">
        <f>IF(U$4="","",COUNTIF(U5:U58,"D"))</f>
        <v/>
      </c>
      <c r="V61" s="18">
        <f>IF(V$4="","",COUNTIF(V5:V58,"D"))</f>
        <v/>
      </c>
      <c r="W61" s="18">
        <f>IF(W$4="","",COUNTIF(W5:W58,"D"))</f>
        <v/>
      </c>
      <c r="X61" s="18">
        <f>IF(X$4="","",COUNTIF(X5:X58,"D"))</f>
        <v/>
      </c>
      <c r="Y61" s="18">
        <f>IF(Y$4="","",COUNTIF(Y5:Y58,"D"))</f>
        <v/>
      </c>
      <c r="Z61" s="18">
        <f>IF(Z$4="","",COUNTIF(Z5:Z58,"D"))</f>
        <v/>
      </c>
      <c r="AA61" s="18">
        <f>IF(AA$4="","",COUNTIF(AA5:AA58,"D"))</f>
        <v/>
      </c>
      <c r="AB61" s="18">
        <f>IF(AB$4="","",COUNTIF(AB5:AB58,"D"))</f>
        <v/>
      </c>
      <c r="AC61" s="18">
        <f>IF(AC$4="","",COUNTIF(AC5:AC58,"D"))</f>
        <v/>
      </c>
      <c r="AD61" s="18">
        <f>IF(AD$4="","",COUNTIF(AD5:AD58,"D"))</f>
        <v/>
      </c>
      <c r="AE61" s="18">
        <f>IF(AE$4="","",COUNTIF(AE5:AE58,"D"))</f>
        <v/>
      </c>
      <c r="AF61" s="18">
        <f>IF(AF$4="","",COUNTIF(AF5:AF58,"D"))</f>
        <v/>
      </c>
      <c r="AG61" s="18">
        <f>IF(AG$4="","",COUNTIF(AG5:AG58,"D"))</f>
        <v/>
      </c>
      <c r="AH61" s="18">
        <f>IF(AH$4="","",COUNTIF(AH5:AH58,"D"))</f>
        <v/>
      </c>
      <c r="AI61" s="18">
        <f>IF(AI$4="","",COUNTIF(AI5:AI58,"D"))</f>
        <v/>
      </c>
    </row>
    <row r="62" ht="15" customHeight="1">
      <c r="A62" s="15" t="n"/>
      <c r="B62" s="15" t="n"/>
      <c r="C62" s="15" t="n"/>
      <c r="D62" s="19" t="inlineStr">
        <is>
          <t>T</t>
        </is>
      </c>
      <c r="E62" s="20">
        <f>IF(E$4="","",COUNTIF(E5:E58,"T"))</f>
        <v/>
      </c>
      <c r="F62" s="20">
        <f>IF(F$4="","",COUNTIF(F5:F58,"T"))</f>
        <v/>
      </c>
      <c r="G62" s="20">
        <f>IF(G$4="","",COUNTIF(G5:G58,"T"))</f>
        <v/>
      </c>
      <c r="H62" s="20">
        <f>IF(H$4="","",COUNTIF(H5:H58,"T"))</f>
        <v/>
      </c>
      <c r="I62" s="20">
        <f>IF(I$4="","",COUNTIF(I5:I58,"T"))</f>
        <v/>
      </c>
      <c r="J62" s="20">
        <f>IF(J$4="","",COUNTIF(J5:J58,"T"))</f>
        <v/>
      </c>
      <c r="K62" s="20">
        <f>IF(K$4="","",COUNTIF(K5:K58,"T"))</f>
        <v/>
      </c>
      <c r="L62" s="20">
        <f>IF(L$4="","",COUNTIF(L5:L58,"T"))</f>
        <v/>
      </c>
      <c r="M62" s="20">
        <f>IF(M$4="","",COUNTIF(M5:M58,"T"))</f>
        <v/>
      </c>
      <c r="N62" s="20">
        <f>IF(N$4="","",COUNTIF(N5:N58,"T"))</f>
        <v/>
      </c>
      <c r="O62" s="20">
        <f>IF(O$4="","",COUNTIF(O5:O58,"T"))</f>
        <v/>
      </c>
      <c r="P62" s="20">
        <f>IF(P$4="","",COUNTIF(P5:P58,"T"))</f>
        <v/>
      </c>
      <c r="Q62" s="20">
        <f>IF(Q$4="","",COUNTIF(Q5:Q58,"T"))</f>
        <v/>
      </c>
      <c r="R62" s="20">
        <f>IF(R$4="","",COUNTIF(R5:R58,"T"))</f>
        <v/>
      </c>
      <c r="S62" s="20">
        <f>IF(S$4="","",COUNTIF(S5:S58,"T"))</f>
        <v/>
      </c>
      <c r="T62" s="20">
        <f>IF(T$4="","",COUNTIF(T5:T58,"T"))</f>
        <v/>
      </c>
      <c r="U62" s="20">
        <f>IF(U$4="","",COUNTIF(U5:U58,"T"))</f>
        <v/>
      </c>
      <c r="V62" s="20">
        <f>IF(V$4="","",COUNTIF(V5:V58,"T"))</f>
        <v/>
      </c>
      <c r="W62" s="20">
        <f>IF(W$4="","",COUNTIF(W5:W58,"T"))</f>
        <v/>
      </c>
      <c r="X62" s="20">
        <f>IF(X$4="","",COUNTIF(X5:X58,"T"))</f>
        <v/>
      </c>
      <c r="Y62" s="20">
        <f>IF(Y$4="","",COUNTIF(Y5:Y58,"T"))</f>
        <v/>
      </c>
      <c r="Z62" s="20">
        <f>IF(Z$4="","",COUNTIF(Z5:Z58,"T"))</f>
        <v/>
      </c>
      <c r="AA62" s="20">
        <f>IF(AA$4="","",COUNTIF(AA5:AA58,"T"))</f>
        <v/>
      </c>
      <c r="AB62" s="20">
        <f>IF(AB$4="","",COUNTIF(AB5:AB58,"T"))</f>
        <v/>
      </c>
      <c r="AC62" s="20">
        <f>IF(AC$4="","",COUNTIF(AC5:AC58,"T"))</f>
        <v/>
      </c>
      <c r="AD62" s="20">
        <f>IF(AD$4="","",COUNTIF(AD5:AD58,"T"))</f>
        <v/>
      </c>
      <c r="AE62" s="20">
        <f>IF(AE$4="","",COUNTIF(AE5:AE58,"T"))</f>
        <v/>
      </c>
      <c r="AF62" s="20">
        <f>IF(AF$4="","",COUNTIF(AF5:AF58,"T"))</f>
        <v/>
      </c>
      <c r="AG62" s="20">
        <f>IF(AG$4="","",COUNTIF(AG5:AG58,"T"))</f>
        <v/>
      </c>
      <c r="AH62" s="20">
        <f>IF(AH$4="","",COUNTIF(AH5:AH58,"T"))</f>
        <v/>
      </c>
      <c r="AI62" s="20">
        <f>IF(AI$4="","",COUNTIF(AI5:AI58,"T"))</f>
        <v/>
      </c>
    </row>
    <row r="63" ht="15" customHeight="1">
      <c r="A63" s="15" t="n"/>
      <c r="B63" s="15" t="n"/>
      <c r="C63" s="15" t="n"/>
      <c r="D63" s="21" t="inlineStr">
        <is>
          <t>G</t>
        </is>
      </c>
      <c r="E63" s="22">
        <f>IF(E$4="","",COUNTIF(E5:E58,"G"))</f>
        <v/>
      </c>
      <c r="F63" s="22">
        <f>IF(F$4="","",COUNTIF(F5:F58,"G"))</f>
        <v/>
      </c>
      <c r="G63" s="22">
        <f>IF(G$4="","",COUNTIF(G5:G58,"G"))</f>
        <v/>
      </c>
      <c r="H63" s="22">
        <f>IF(H$4="","",COUNTIF(H5:H58,"G"))</f>
        <v/>
      </c>
      <c r="I63" s="22">
        <f>IF(I$4="","",COUNTIF(I5:I58,"G"))</f>
        <v/>
      </c>
      <c r="J63" s="22">
        <f>IF(J$4="","",COUNTIF(J5:J58,"G"))</f>
        <v/>
      </c>
      <c r="K63" s="22">
        <f>IF(K$4="","",COUNTIF(K5:K58,"G"))</f>
        <v/>
      </c>
      <c r="L63" s="22">
        <f>IF(L$4="","",COUNTIF(L5:L58,"G"))</f>
        <v/>
      </c>
      <c r="M63" s="22">
        <f>IF(M$4="","",COUNTIF(M5:M58,"G"))</f>
        <v/>
      </c>
      <c r="N63" s="22">
        <f>IF(N$4="","",COUNTIF(N5:N58,"G"))</f>
        <v/>
      </c>
      <c r="O63" s="22">
        <f>IF(O$4="","",COUNTIF(O5:O58,"G"))</f>
        <v/>
      </c>
      <c r="P63" s="22">
        <f>IF(P$4="","",COUNTIF(P5:P58,"G"))</f>
        <v/>
      </c>
      <c r="Q63" s="22">
        <f>IF(Q$4="","",COUNTIF(Q5:Q58,"G"))</f>
        <v/>
      </c>
      <c r="R63" s="22">
        <f>IF(R$4="","",COUNTIF(R5:R58,"G"))</f>
        <v/>
      </c>
      <c r="S63" s="22">
        <f>IF(S$4="","",COUNTIF(S5:S58,"G"))</f>
        <v/>
      </c>
      <c r="T63" s="22">
        <f>IF(T$4="","",COUNTIF(T5:T58,"G"))</f>
        <v/>
      </c>
      <c r="U63" s="22">
        <f>IF(U$4="","",COUNTIF(U5:U58,"G"))</f>
        <v/>
      </c>
      <c r="V63" s="22">
        <f>IF(V$4="","",COUNTIF(V5:V58,"G"))</f>
        <v/>
      </c>
      <c r="W63" s="22">
        <f>IF(W$4="","",COUNTIF(W5:W58,"G"))</f>
        <v/>
      </c>
      <c r="X63" s="22">
        <f>IF(X$4="","",COUNTIF(X5:X58,"G"))</f>
        <v/>
      </c>
      <c r="Y63" s="22">
        <f>IF(Y$4="","",COUNTIF(Y5:Y58,"G"))</f>
        <v/>
      </c>
      <c r="Z63" s="22">
        <f>IF(Z$4="","",COUNTIF(Z5:Z58,"G"))</f>
        <v/>
      </c>
      <c r="AA63" s="22">
        <f>IF(AA$4="","",COUNTIF(AA5:AA58,"G"))</f>
        <v/>
      </c>
      <c r="AB63" s="22">
        <f>IF(AB$4="","",COUNTIF(AB5:AB58,"G"))</f>
        <v/>
      </c>
      <c r="AC63" s="22">
        <f>IF(AC$4="","",COUNTIF(AC5:AC58,"G"))</f>
        <v/>
      </c>
      <c r="AD63" s="22">
        <f>IF(AD$4="","",COUNTIF(AD5:AD58,"G"))</f>
        <v/>
      </c>
      <c r="AE63" s="22">
        <f>IF(AE$4="","",COUNTIF(AE5:AE58,"G"))</f>
        <v/>
      </c>
      <c r="AF63" s="22">
        <f>IF(AF$4="","",COUNTIF(AF5:AF58,"G"))</f>
        <v/>
      </c>
      <c r="AG63" s="22">
        <f>IF(AG$4="","",COUNTIF(AG5:AG58,"G"))</f>
        <v/>
      </c>
      <c r="AH63" s="22">
        <f>IF(AH$4="","",COUNTIF(AH5:AH58,"G"))</f>
        <v/>
      </c>
      <c r="AI63" s="22">
        <f>IF(AI$4="","",COUNTIF(AI5:AI58,"G"))</f>
        <v/>
      </c>
    </row>
    <row r="64" ht="15" customHeight="1">
      <c r="A64" s="15" t="n"/>
      <c r="B64" s="15" t="n"/>
      <c r="C64" s="15" t="n"/>
      <c r="D64" s="23" t="inlineStr">
        <is>
          <t>TOT</t>
        </is>
      </c>
      <c r="E64" s="24">
        <f>IF(E$4="","",SUM(E61:E63))</f>
        <v/>
      </c>
      <c r="F64" s="24">
        <f>IF(F$4="","",SUM(F61:F63))</f>
        <v/>
      </c>
      <c r="G64" s="24">
        <f>IF(G$4="","",SUM(G61:G63))</f>
        <v/>
      </c>
      <c r="H64" s="24">
        <f>IF(H$4="","",SUM(H61:H63))</f>
        <v/>
      </c>
      <c r="I64" s="24">
        <f>IF(I$4="","",SUM(I61:I63))</f>
        <v/>
      </c>
      <c r="J64" s="24">
        <f>IF(J$4="","",SUM(J61:J63))</f>
        <v/>
      </c>
      <c r="K64" s="24">
        <f>IF(K$4="","",SUM(K61:K63))</f>
        <v/>
      </c>
      <c r="L64" s="24">
        <f>IF(L$4="","",SUM(L61:L63))</f>
        <v/>
      </c>
      <c r="M64" s="24">
        <f>IF(M$4="","",SUM(M61:M63))</f>
        <v/>
      </c>
      <c r="N64" s="24">
        <f>IF(N$4="","",SUM(N61:N63))</f>
        <v/>
      </c>
      <c r="O64" s="24">
        <f>IF(O$4="","",SUM(O61:O63))</f>
        <v/>
      </c>
      <c r="P64" s="24">
        <f>IF(P$4="","",SUM(P61:P63))</f>
        <v/>
      </c>
      <c r="Q64" s="24">
        <f>IF(Q$4="","",SUM(Q61:Q63))</f>
        <v/>
      </c>
      <c r="R64" s="24">
        <f>IF(R$4="","",SUM(R61:R63))</f>
        <v/>
      </c>
      <c r="S64" s="24">
        <f>IF(S$4="","",SUM(S61:S63))</f>
        <v/>
      </c>
      <c r="T64" s="24">
        <f>IF(T$4="","",SUM(T61:T63))</f>
        <v/>
      </c>
      <c r="U64" s="24">
        <f>IF(U$4="","",SUM(U61:U63))</f>
        <v/>
      </c>
      <c r="V64" s="24">
        <f>IF(V$4="","",SUM(V61:V63))</f>
        <v/>
      </c>
      <c r="W64" s="24">
        <f>IF(W$4="","",SUM(W61:W63))</f>
        <v/>
      </c>
      <c r="X64" s="24">
        <f>IF(X$4="","",SUM(X61:X63))</f>
        <v/>
      </c>
      <c r="Y64" s="24">
        <f>IF(Y$4="","",SUM(Y61:Y63))</f>
        <v/>
      </c>
      <c r="Z64" s="24">
        <f>IF(Z$4="","",SUM(Z61:Z63))</f>
        <v/>
      </c>
      <c r="AA64" s="24">
        <f>IF(AA$4="","",SUM(AA61:AA63))</f>
        <v/>
      </c>
      <c r="AB64" s="24">
        <f>IF(AB$4="","",SUM(AB61:AB63))</f>
        <v/>
      </c>
      <c r="AC64" s="24">
        <f>IF(AC$4="","",SUM(AC61:AC63))</f>
        <v/>
      </c>
      <c r="AD64" s="24">
        <f>IF(AD$4="","",SUM(AD61:AD63))</f>
        <v/>
      </c>
      <c r="AE64" s="24">
        <f>IF(AE$4="","",SUM(AE61:AE63))</f>
        <v/>
      </c>
      <c r="AF64" s="24">
        <f>IF(AF$4="","",SUM(AF61:AF63))</f>
        <v/>
      </c>
      <c r="AG64" s="24">
        <f>IF(AG$4="","",SUM(AG61:AG63))</f>
        <v/>
      </c>
      <c r="AH64" s="24">
        <f>IF(AH$4="","",SUM(AH61:AH63))</f>
        <v/>
      </c>
      <c r="AI64" s="24">
        <f>IF(AI$4="","",SUM(AI61:AI63))</f>
        <v/>
      </c>
    </row>
    <row r="66">
      <c r="A66" s="25" t="inlineStr">
        <is>
          <t>SHIFT TIMES</t>
        </is>
      </c>
      <c r="F66" s="25" t="inlineStr">
        <is>
          <t>CODE LEGEND</t>
        </is>
      </c>
    </row>
    <row r="67" ht="16" customHeight="1">
      <c r="B67" s="17" t="inlineStr">
        <is>
          <t>D</t>
        </is>
      </c>
      <c r="C67" s="26" t="inlineStr">
        <is>
          <t>DAY (07:00 - 15:00)</t>
        </is>
      </c>
      <c r="F67" s="27" t="inlineStr">
        <is>
          <t>D</t>
        </is>
      </c>
      <c r="G67" s="15" t="n"/>
      <c r="H67" s="28" t="inlineStr">
        <is>
          <t>DAY</t>
        </is>
      </c>
      <c r="L67" s="29" t="inlineStr">
        <is>
          <t>T</t>
        </is>
      </c>
      <c r="M67" s="15" t="n"/>
      <c r="N67" s="28" t="inlineStr">
        <is>
          <t>TWILIGHT</t>
        </is>
      </c>
      <c r="R67" s="30" t="inlineStr">
        <is>
          <t>G</t>
        </is>
      </c>
      <c r="S67" s="15" t="n"/>
      <c r="T67" s="28" t="inlineStr">
        <is>
          <t>GRAVEYARD</t>
        </is>
      </c>
      <c r="X67" s="31" t="inlineStr">
        <is>
          <t>TR</t>
        </is>
      </c>
      <c r="Y67" s="15" t="n"/>
      <c r="Z67" s="28" t="inlineStr">
        <is>
          <t>TRAINING</t>
        </is>
      </c>
      <c r="AD67" s="32" t="inlineStr">
        <is>
          <t>V</t>
        </is>
      </c>
      <c r="AE67" s="15" t="n"/>
      <c r="AF67" s="28" t="inlineStr">
        <is>
          <t>VACATION</t>
        </is>
      </c>
    </row>
    <row r="68" ht="16" customHeight="1">
      <c r="B68" s="19" t="inlineStr">
        <is>
          <t>T</t>
        </is>
      </c>
      <c r="C68" s="26" t="inlineStr">
        <is>
          <t>TWI (15:00 - 23:00)</t>
        </is>
      </c>
      <c r="F68" s="33" t="inlineStr">
        <is>
          <t>R</t>
        </is>
      </c>
      <c r="G68" s="15" t="n"/>
      <c r="H68" s="28" t="inlineStr">
        <is>
          <t>REST/RDO</t>
        </is>
      </c>
      <c r="L68" s="34" t="inlineStr">
        <is>
          <t>A</t>
        </is>
      </c>
      <c r="M68" s="15" t="n"/>
      <c r="N68" s="28" t="inlineStr">
        <is>
          <t>ABSENT</t>
        </is>
      </c>
      <c r="R68" s="35" t="inlineStr">
        <is>
          <t>H</t>
        </is>
      </c>
      <c r="S68" s="15" t="n"/>
      <c r="T68" s="28" t="inlineStr">
        <is>
          <t>HOLIDAY</t>
        </is>
      </c>
      <c r="X68" s="36" t="inlineStr">
        <is>
          <t>OT</t>
        </is>
      </c>
      <c r="Y68" s="15" t="n"/>
      <c r="Z68" s="28" t="inlineStr">
        <is>
          <t>OVERTIME</t>
        </is>
      </c>
      <c r="AD68" s="37" t="inlineStr">
        <is>
          <t>OS</t>
        </is>
      </c>
      <c r="AE68" s="15" t="n"/>
      <c r="AF68" s="28" t="inlineStr">
        <is>
          <t>OUTSTATION</t>
        </is>
      </c>
    </row>
    <row r="69" ht="16" customHeight="1">
      <c r="B69" s="21" t="inlineStr">
        <is>
          <t>G</t>
        </is>
      </c>
      <c r="C69" s="26" t="inlineStr">
        <is>
          <t>GRV (23:00 - 07:00)</t>
        </is>
      </c>
      <c r="F69" s="38" t="inlineStr">
        <is>
          <t>S/L</t>
        </is>
      </c>
      <c r="G69" s="15" t="n"/>
      <c r="H69" s="28" t="inlineStr">
        <is>
          <t>SICK LEAVE</t>
        </is>
      </c>
      <c r="L69" s="39" t="inlineStr">
        <is>
          <t>C/T</t>
        </is>
      </c>
      <c r="M69" s="15" t="n"/>
      <c r="N69" s="28" t="inlineStr">
        <is>
          <t>COMP TIME</t>
        </is>
      </c>
      <c r="R69" s="40" t="inlineStr">
        <is>
          <t>L</t>
        </is>
      </c>
      <c r="S69" s="15" t="n"/>
      <c r="T69" s="28" t="inlineStr">
        <is>
          <t>LATE/LEAVE</t>
        </is>
      </c>
      <c r="X69" s="41" t="inlineStr">
        <is>
          <t>N</t>
        </is>
      </c>
      <c r="Y69" s="15" t="n"/>
      <c r="Z69" s="28" t="inlineStr">
        <is>
          <t>NOTE</t>
        </is>
      </c>
    </row>
  </sheetData>
  <mergeCells count="37">
    <mergeCell ref="F69:G69"/>
    <mergeCell ref="C68:D68"/>
    <mergeCell ref="AD68:AE68"/>
    <mergeCell ref="N69:Q69"/>
    <mergeCell ref="L67:M67"/>
    <mergeCell ref="R67:S67"/>
    <mergeCell ref="E2:AI2"/>
    <mergeCell ref="A4:D4"/>
    <mergeCell ref="F68:G68"/>
    <mergeCell ref="T69:W69"/>
    <mergeCell ref="Z69:AC69"/>
    <mergeCell ref="X67:Y67"/>
    <mergeCell ref="AD67:AE67"/>
    <mergeCell ref="R69:S69"/>
    <mergeCell ref="L68:M68"/>
    <mergeCell ref="T67:W67"/>
    <mergeCell ref="A1:AI1"/>
    <mergeCell ref="H67:K67"/>
    <mergeCell ref="AF67:AI67"/>
    <mergeCell ref="X68:Y68"/>
    <mergeCell ref="A25:D25"/>
    <mergeCell ref="H68:K68"/>
    <mergeCell ref="T68:W68"/>
    <mergeCell ref="L69:M69"/>
    <mergeCell ref="A46:D46"/>
    <mergeCell ref="N68:Q68"/>
    <mergeCell ref="F67:G67"/>
    <mergeCell ref="AF68:AI68"/>
    <mergeCell ref="X69:Y69"/>
    <mergeCell ref="C67:D67"/>
    <mergeCell ref="R68:S68"/>
    <mergeCell ref="H69:K69"/>
    <mergeCell ref="Z68:AC68"/>
    <mergeCell ref="N67:Q67"/>
    <mergeCell ref="Z67:AC67"/>
    <mergeCell ref="C69:D69"/>
    <mergeCell ref="A60:C64"/>
  </mergeCells>
  <conditionalFormatting sqref="E5:AI58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"A"</formula>
    </cfRule>
    <cfRule type="cellIs" priority="7" operator="equal" dxfId="6">
      <formula>"H"</formula>
    </cfRule>
    <cfRule type="cellIs" priority="8" operator="equal" dxfId="7">
      <formula>"OT"</formula>
    </cfRule>
    <cfRule type="cellIs" priority="9" operator="equal" dxfId="8">
      <formula>"OS"</formula>
    </cfRule>
    <cfRule type="cellIs" priority="10" operator="equal" dxfId="9">
      <formula>"S/L"</formula>
    </cfRule>
    <cfRule type="cellIs" priority="11" operator="equal" dxfId="10">
      <formula>"C/T"</formula>
    </cfRule>
    <cfRule type="cellIs" priority="12" operator="equal" dxfId="11">
      <formula>"L"</formula>
    </cfRule>
    <cfRule type="cellIs" priority="13" operator="equal" dxfId="12">
      <formula>"N"</formula>
    </cfRule>
  </conditionalFormatting>
  <conditionalFormatting sqref="A5:D58">
    <cfRule type="expression" priority="14" dxfId="13">
      <formula>$D5="OJT"</formula>
    </cfRule>
    <cfRule type="expression" priority="15" dxfId="14">
      <formula>$D5="ACT/SUPV"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2026-09-09T16:47:53Z</dcterms:created>
  <dcterms:modified xmlns:dcterms="http://purl.org/dc/terms/" xmlns:xsi="http://www.w3.org/2001/XMLSchema-instance" xsi:type="dcterms:W3CDTF">2026-09-09T16:47:54Z</dcterms:modified>
</cp:coreProperties>
</file>