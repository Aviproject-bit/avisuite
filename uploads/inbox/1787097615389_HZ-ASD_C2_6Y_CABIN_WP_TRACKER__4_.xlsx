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Users\13010253\Downloads\"/>
    </mc:Choice>
  </mc:AlternateContent>
  <xr:revisionPtr revIDLastSave="0" documentId="8_{FB750AF2-2595-41FC-ABA8-2E025D5B648B}" xr6:coauthVersionLast="47" xr6:coauthVersionMax="47" xr10:uidLastSave="{00000000-0000-0000-0000-000000000000}"/>
  <bookViews>
    <workbookView xWindow="-120" yWindow="-120" windowWidth="38640" windowHeight="21120"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AOG!$A$3:$M$196</definedName>
    <definedName name="_xlnm._FilterDatabase" localSheetId="6"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D47" i="4"/>
  <c r="B47" i="4"/>
  <c r="D46" i="4"/>
  <c r="B46" i="4"/>
  <c r="B45" i="4"/>
  <c r="D45" i="4" s="1"/>
  <c r="B44" i="4"/>
  <c r="D44" i="4" s="1"/>
  <c r="B43" i="4"/>
  <c r="D43" i="4" s="1"/>
  <c r="D42" i="4"/>
  <c r="B42" i="4"/>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D58" i="2" s="1"/>
  <c r="G58" i="2" s="1"/>
  <c r="C57" i="2"/>
  <c r="B57" i="2"/>
  <c r="D57" i="2" s="1"/>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E49" i="2" s="1"/>
  <c r="F49" i="2" s="1"/>
  <c r="B49" i="2"/>
  <c r="G49" i="2" s="1"/>
  <c r="A49" i="2"/>
  <c r="C48" i="2"/>
  <c r="D48" i="2" s="1"/>
  <c r="B48" i="2"/>
  <c r="G48" i="2" s="1"/>
  <c r="A48" i="2"/>
  <c r="C47" i="2"/>
  <c r="E47" i="2" s="1"/>
  <c r="F47" i="2" s="1"/>
  <c r="B47" i="2"/>
  <c r="G47" i="2" s="1"/>
  <c r="A47" i="2"/>
  <c r="C46" i="2"/>
  <c r="E46" i="2" s="1"/>
  <c r="F46" i="2" s="1"/>
  <c r="B46" i="2"/>
  <c r="G46" i="2" s="1"/>
  <c r="A46" i="2"/>
  <c r="C45" i="2"/>
  <c r="D45" i="2" s="1"/>
  <c r="B45" i="2"/>
  <c r="G45" i="2" s="1"/>
  <c r="A45" i="2"/>
  <c r="F44" i="2"/>
  <c r="C42" i="2"/>
  <c r="B42" i="2"/>
  <c r="C41" i="2"/>
  <c r="B41" i="2"/>
  <c r="D41" i="2" s="1"/>
  <c r="G41" i="2" s="1"/>
  <c r="C40" i="2"/>
  <c r="B40" i="2"/>
  <c r="D40" i="2" s="1"/>
  <c r="G40" i="2" s="1"/>
  <c r="C39" i="2"/>
  <c r="B39" i="2"/>
  <c r="D39" i="2" s="1"/>
  <c r="G39" i="2" s="1"/>
  <c r="C38" i="2"/>
  <c r="E38" i="2" s="1"/>
  <c r="B38" i="2"/>
  <c r="F38" i="2" s="1"/>
  <c r="C37" i="2"/>
  <c r="B37" i="2"/>
  <c r="C36" i="2"/>
  <c r="B36" i="2"/>
  <c r="D36" i="2" s="1"/>
  <c r="G36" i="2" s="1"/>
  <c r="C35" i="2"/>
  <c r="B35" i="2"/>
  <c r="D35" i="2" s="1"/>
  <c r="G35" i="2" s="1"/>
  <c r="C34" i="2"/>
  <c r="B34" i="2"/>
  <c r="D34" i="2" s="1"/>
  <c r="G34" i="2" s="1"/>
  <c r="C30" i="2"/>
  <c r="E30" i="2" s="1"/>
  <c r="B30" i="2"/>
  <c r="F30" i="2" s="1"/>
  <c r="C29" i="2"/>
  <c r="B29" i="2"/>
  <c r="C28" i="2"/>
  <c r="B28" i="2"/>
  <c r="D28" i="2" s="1"/>
  <c r="G28" i="2" s="1"/>
  <c r="C27" i="2"/>
  <c r="B27" i="2"/>
  <c r="D27" i="2" s="1"/>
  <c r="G27" i="2" s="1"/>
  <c r="C26" i="2"/>
  <c r="E26" i="2" s="1"/>
  <c r="B26" i="2"/>
  <c r="D26" i="2" s="1"/>
  <c r="G26" i="2" s="1"/>
  <c r="C25" i="2"/>
  <c r="E25" i="2" s="1"/>
  <c r="B25" i="2"/>
  <c r="F25" i="2" s="1"/>
  <c r="C24" i="2"/>
  <c r="B24" i="2"/>
  <c r="C23" i="2"/>
  <c r="B23" i="2"/>
  <c r="D23" i="2" s="1"/>
  <c r="G23" i="2" s="1"/>
  <c r="C22" i="2"/>
  <c r="B22" i="2"/>
  <c r="D22" i="2" s="1"/>
  <c r="G22" i="2" s="1"/>
  <c r="C21" i="2"/>
  <c r="B21" i="2"/>
  <c r="D21" i="2" s="1"/>
  <c r="G21" i="2" s="1"/>
  <c r="E17" i="2"/>
  <c r="C17" i="2"/>
  <c r="B17" i="2"/>
  <c r="D17" i="2" s="1"/>
  <c r="G17" i="2" s="1"/>
  <c r="E16" i="2"/>
  <c r="C16" i="2"/>
  <c r="B16" i="2"/>
  <c r="D16" i="2" s="1"/>
  <c r="G16" i="2" s="1"/>
  <c r="E15" i="2"/>
  <c r="C15" i="2"/>
  <c r="B15" i="2"/>
  <c r="D15" i="2" s="1"/>
  <c r="G15" i="2" s="1"/>
  <c r="A12" i="2"/>
  <c r="A10" i="2"/>
  <c r="A9" i="2"/>
  <c r="A8" i="2"/>
  <c r="G5" i="2"/>
  <c r="F5" i="2"/>
  <c r="E5" i="2"/>
  <c r="D5" i="2"/>
  <c r="C5" i="2"/>
  <c r="B5" i="2"/>
  <c r="A5" i="2"/>
  <c r="A2" i="2"/>
  <c r="F1" i="2"/>
  <c r="H2" i="1"/>
  <c r="A2" i="1"/>
  <c r="H1" i="1"/>
  <c r="E1" i="1"/>
  <c r="F15" i="2" l="1"/>
  <c r="F16" i="2"/>
  <c r="F17" i="2"/>
  <c r="F21" i="2"/>
  <c r="F22" i="2"/>
  <c r="E22" i="2"/>
  <c r="F23" i="2"/>
  <c r="F24" i="2"/>
  <c r="F27" i="2"/>
  <c r="E27" i="2"/>
  <c r="F28" i="2"/>
  <c r="F29" i="2"/>
  <c r="F34" i="2"/>
  <c r="F35" i="2"/>
  <c r="E35" i="2"/>
  <c r="F36" i="2"/>
  <c r="F37" i="2"/>
  <c r="F39" i="2"/>
  <c r="F40" i="2"/>
  <c r="E40" i="2"/>
  <c r="F41" i="2"/>
  <c r="F42" i="2"/>
  <c r="D86" i="2"/>
  <c r="D87" i="2"/>
  <c r="D88" i="2"/>
  <c r="E48" i="2"/>
  <c r="F48" i="2" s="1"/>
  <c r="E45" i="2"/>
  <c r="F45" i="2" s="1"/>
  <c r="A11" i="2"/>
  <c r="D49" i="2"/>
  <c r="D24" i="2"/>
  <c r="G24" i="2" s="1"/>
  <c r="D29" i="2"/>
  <c r="G29" i="2" s="1"/>
  <c r="D37" i="2"/>
  <c r="G37" i="2" s="1"/>
  <c r="D42" i="2"/>
  <c r="G42" i="2" s="1"/>
  <c r="D51" i="2"/>
  <c r="E24" i="2"/>
  <c r="E29" i="2"/>
  <c r="E37" i="2"/>
  <c r="E42" i="2"/>
  <c r="D54" i="2"/>
  <c r="D47" i="2"/>
  <c r="E34" i="2"/>
  <c r="E39" i="2"/>
  <c r="F26" i="2"/>
  <c r="D53" i="2"/>
  <c r="E23" i="2"/>
  <c r="E28" i="2"/>
  <c r="E36" i="2"/>
  <c r="E41" i="2"/>
  <c r="D46" i="2"/>
  <c r="E21" i="2"/>
  <c r="D50" i="2"/>
  <c r="D25" i="2"/>
  <c r="G25" i="2" s="1"/>
  <c r="D30" i="2"/>
  <c r="G30" i="2" s="1"/>
  <c r="D38" i="2"/>
  <c r="G38" i="2" s="1"/>
  <c r="D52" i="2"/>
</calcChain>
</file>

<file path=xl/sharedStrings.xml><?xml version="1.0" encoding="utf-8"?>
<sst xmlns="http://schemas.openxmlformats.org/spreadsheetml/2006/main" count="14948" uniqueCount="5323">
  <si>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</si>
  <si>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</si>
  <si>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</si>
  <si>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</si>
  <si>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</si>
  <si>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</si>
  <si>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</si>
  <si>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</si>
  <si>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</si>
  <si>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</si>
  <si>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</si>
  <si>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</si>
  <si>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</si>
  <si>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</si>
  <si>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</si>
  <si>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</si>
  <si>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</si>
  <si>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</si>
  <si>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</si>
  <si>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</si>
  <si>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</si>
  <si>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</si>
  <si>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</si>
  <si>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</si>
  <si>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</si>
  <si>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</si>
  <si>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</si>
  <si>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</si>
  <si>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</si>
  <si>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</si>
  <si>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</si>
  <si>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</si>
  <si>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</si>
  <si>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</si>
  <si>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</si>
  <si>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</si>
  <si>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</si>
  <si>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</si>
  <si>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</si>
  <si>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</si>
  <si>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</si>
  <si>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</si>
  <si>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</si>
  <si>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</si>
  <si>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</si>
  <si>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</si>
  <si>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</si>
  <si>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</si>
  <si>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</si>
  <si>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</si>
  <si>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</si>
  <si>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</si>
  <si>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</si>
  <si>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</si>
  <si>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</si>
  <si>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</si>
  <si>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</si>
  <si>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</si>
  <si>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</si>
  <si>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</si>
  <si>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</si>
  <si>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</si>
  <si>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</si>
  <si>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</si>
  <si>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</si>
  <si>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</si>
  <si>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</si>
  <si>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</si>
  <si>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</si>
  <si>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</si>
  <si>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</si>
  <si>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</si>
  <si>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</si>
  <si>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</si>
  <si>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</si>
  <si>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</si>
  <si>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</si>
  <si>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</si>
  <si>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</si>
  <si>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</si>
  <si>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</si>
  <si>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</si>
  <si>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</si>
  <si>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</si>
  <si>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</si>
  <si>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</si>
  <si>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</si>
  <si>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</si>
  <si>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</si>
  <si>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</si>
  <si>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</si>
  <si>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</si>
  <si>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</si>
  <si>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</si>
  <si>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</si>
  <si>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</si>
  <si>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</si>
  <si>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</si>
  <si>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</si>
  <si>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</si>
  <si>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</si>
  <si>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</si>
  <si>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</si>
  <si>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</si>
  <si>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</si>
  <si>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</si>
  <si>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</si>
  <si>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</si>
  <si>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</si>
  <si>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</si>
  <si>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</si>
  <si>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</si>
  <si>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</si>
  <si>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</si>
  <si>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</si>
  <si>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</si>
  <si>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</si>
  <si>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</si>
  <si>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</si>
  <si>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</si>
  <si>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</si>
  <si>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</si>
  <si>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</si>
  <si>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</si>
  <si>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</si>
  <si>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</si>
  <si>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</si>
  <si>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</si>
  <si>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</si>
  <si>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</si>
  <si>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</si>
  <si>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</si>
  <si>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</si>
  <si>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</si>
  <si>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</si>
  <si>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</si>
  <si>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</si>
  <si>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</si>
  <si>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</si>
  <si>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</si>
  <si>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</si>
  <si>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</si>
  <si>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</si>
  <si>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</si>
  <si>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</si>
  <si>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</si>
  <si>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</si>
  <si>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</si>
  <si>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</si>
  <si>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</si>
  <si>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</si>
  <si>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</si>
  <si>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</si>
  <si>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</si>
  <si>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</si>
  <si>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</si>
  <si>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</si>
  <si>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</si>
  <si>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</si>
  <si>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</si>
  <si>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</si>
  <si>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</si>
  <si>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</si>
  <si>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</si>
  <si>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</si>
  <si>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</si>
  <si>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</si>
  <si>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</si>
  <si>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</si>
  <si>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</si>
  <si>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</si>
  <si>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</si>
  <si>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</si>
  <si>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</si>
  <si>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</si>
  <si>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</si>
  <si>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</si>
  <si>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</si>
  <si>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</si>
  <si>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</si>
  <si>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</si>
  <si>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</si>
  <si>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</si>
  <si>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</si>
  <si>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</si>
  <si>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</si>
  <si>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</si>
  <si>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</si>
  <si>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</si>
  <si>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</si>
  <si>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</si>
  <si>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</si>
  <si>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</si>
  <si>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</si>
  <si>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</si>
  <si>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</si>
  <si>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</si>
  <si>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</si>
  <si>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</si>
  <si>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</si>
  <si>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</si>
  <si>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</si>
  <si>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</si>
  <si>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</si>
  <si>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</si>
  <si>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</si>
  <si>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</si>
  <si>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</si>
  <si>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</si>
  <si>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</si>
  <si>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</si>
  <si>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</si>
  <si>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</si>
  <si>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</si>
  <si>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</si>
  <si>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</si>
  <si>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</si>
  <si>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</si>
  <si>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</si>
  <si>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</si>
  <si>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</si>
  <si>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</si>
  <si>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</si>
  <si>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</si>
  <si>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</si>
  <si>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</si>
  <si>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</si>
  <si>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</si>
  <si>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</si>
  <si>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</si>
  <si>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</si>
  <si>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</si>
  <si>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</si>
  <si>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</si>
  <si>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</si>
  <si>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aft glly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</si>
  <si>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</si>
  <si>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</si>
  <si>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</si>
  <si>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</si>
  <si>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</si>
  <si>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</si>
  <si>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</si>
  <si>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</si>
  <si>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</si>
  <si>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</si>
  <si>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</si>
  <si>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</si>
  <si>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</si>
  <si>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</si>
  <si>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</si>
  <si>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</si>
  <si>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</si>
  <si>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</si>
  <si>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</si>
  <si>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</si>
  <si>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</si>
  <si>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</si>
  <si>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</si>
  <si>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</si>
  <si>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</si>
  <si>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</si>
  <si>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</si>
  <si>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</si>
  <si>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</si>
  <si>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</si>
  <si>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</si>
  <si>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</si>
  <si>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</si>
  <si>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</si>
  <si>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</si>
  <si>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</si>
  <si>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</si>
  <si>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</si>
  <si>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</si>
  <si>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</si>
  <si>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</si>
  <si>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</si>
  <si>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</si>
  <si>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</si>
  <si>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</si>
  <si>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</si>
  <si>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</si>
  <si>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</si>
  <si>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</si>
  <si>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</si>
  <si>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</si>
  <si>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</si>
  <si>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</si>
  <si>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</si>
  <si>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</si>
  <si>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</si>
  <si>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</si>
  <si>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</si>
  <si>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</si>
  <si>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</si>
  <si>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</si>
  <si>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</si>
  <si>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</si>
  <si>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</si>
  <si>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</si>
  <si>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</si>
  <si>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</si>
  <si>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</si>
  <si>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</si>
  <si>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</si>
  <si>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</si>
  <si>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</si>
  <si>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</si>
  <si>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</si>
  <si>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</si>
  <si>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</si>
  <si>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</si>
  <si>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</si>
  <si>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</si>
  <si>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</si>
  <si>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</si>
  <si>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</si>
  <si>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</si>
  <si>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</si>
  <si>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</si>
  <si>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</si>
  <si>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</si>
  <si>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</si>
  <si>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</si>
  <si>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</si>
  <si>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</si>
  <si>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</si>
  <si>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</si>
  <si>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</si>
  <si>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</si>
  <si>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</si>
  <si>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</si>
  <si>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</si>
  <si>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</si>
  <si>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</si>
  <si>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</si>
  <si>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</si>
  <si>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</si>
  <si>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</si>
  <si>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</si>
  <si>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</si>
  <si>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</si>
  <si>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</si>
  <si>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</si>
  <si>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</si>
  <si>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</si>
  <si>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</si>
  <si>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</si>
  <si>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</si>
  <si>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</si>
  <si>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</si>
  <si>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</si>
  <si>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</si>
  <si>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</si>
  <si>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</si>
  <si>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</si>
  <si>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</si>
  <si>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</si>
  <si>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</si>
  <si>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</si>
  <si>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</si>
  <si>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</si>
  <si>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</si>
  <si>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</si>
  <si>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</si>
  <si>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</si>
  <si>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</si>
  <si>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</si>
  <si>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</si>
  <si>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</si>
  <si>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</si>
  <si>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</si>
  <si>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</si>
  <si>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</si>
  <si>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</si>
  <si>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</si>
  <si>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</si>
  <si>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</si>
  <si>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</si>
  <si>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</si>
  <si>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</si>
  <si>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</si>
  <si>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</si>
  <si>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</si>
  <si>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</si>
  <si>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</si>
  <si>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</si>
  <si>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</si>
  <si>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</si>
  <si>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</si>
  <si>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</si>
  <si>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</si>
  <si>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</si>
  <si>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</si>
  <si>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</si>
  <si>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</si>
  <si>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</si>
  <si>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</si>
  <si>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</si>
  <si>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</si>
  <si>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</si>
  <si>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</si>
  <si>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</si>
  <si>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</si>
  <si>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</si>
  <si>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</si>
  <si>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</si>
  <si>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</si>
  <si>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</si>
  <si>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</si>
  <si>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</si>
  <si>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</si>
  <si>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</si>
  <si>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</si>
  <si>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</si>
  <si>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</si>
  <si>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</si>
  <si>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</si>
  <si>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</si>
  <si>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</si>
  <si>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</si>
  <si>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</si>
  <si>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</si>
  <si>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</si>
  <si>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</si>
  <si>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</si>
  <si>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</si>
  <si>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</si>
  <si>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</si>
  <si>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</si>
  <si>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</si>
  <si>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</si>
  <si>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</si>
  <si>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</si>
  <si>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</si>
  <si>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</si>
  <si>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</si>
  <si>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</si>
  <si>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</si>
  <si>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</si>
  <si>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</si>
  <si>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</si>
  <si>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</si>
  <si>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</si>
  <si>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</si>
  <si>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</si>
  <si>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</si>
  <si>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</si>
  <si>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</si>
  <si>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</si>
  <si>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</si>
  <si>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</si>
  <si>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</si>
  <si>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</si>
  <si>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</si>
  <si>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</si>
  <si>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</si>
  <si>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</si>
  <si>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</si>
  <si>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</si>
  <si>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</si>
  <si>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</si>
  <si>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</si>
  <si>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</si>
  <si>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</si>
  <si>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</si>
  <si>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</si>
  <si>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</si>
  <si>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</si>
  <si>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</si>
  <si>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</si>
  <si>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</si>
  <si>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</si>
  <si>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</si>
  <si>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</si>
  <si>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</si>
  <si>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</si>
  <si>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</si>
  <si>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</si>
  <si>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</si>
  <si>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</si>
  <si>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</si>
  <si>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</si>
  <si>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</si>
  <si>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</si>
  <si>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</si>
  <si>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</si>
  <si>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</si>
  <si>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</si>
  <si>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</si>
  <si>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</si>
  <si>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</si>
  <si>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</si>
  <si>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</si>
  <si>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</si>
  <si>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</si>
  <si>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</si>
  <si>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</si>
  <si>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</si>
  <si>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</si>
  <si>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</si>
  <si>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</si>
  <si>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</si>
  <si>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</si>
  <si>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</si>
  <si>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</si>
  <si>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</si>
  <si>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</si>
  <si>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</si>
  <si>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</si>
  <si>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</si>
  <si>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</si>
  <si>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</si>
  <si>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</si>
  <si>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</si>
  <si>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</si>
  <si>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</si>
  <si>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</si>
  <si>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</si>
  <si>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</si>
  <si>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</si>
  <si>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</si>
  <si>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</si>
  <si>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</si>
  <si>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</si>
  <si>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</si>
  <si>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</si>
  <si>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</si>
  <si>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</si>
  <si>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</si>
  <si>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</si>
  <si>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</si>
  <si>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</si>
  <si>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</si>
  <si>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</si>
  <si>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</si>
  <si>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</si>
  <si>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</si>
  <si>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</si>
  <si>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</si>
  <si>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</si>
  <si>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</si>
  <si>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</si>
  <si>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</si>
  <si>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</si>
  <si>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</si>
  <si>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</si>
  <si>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</si>
  <si>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</si>
  <si>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</si>
  <si>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</si>
  <si>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</si>
  <si>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</si>
  <si>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</si>
  <si>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</si>
  <si>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</si>
  <si>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</si>
  <si>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</si>
  <si>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</si>
  <si>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</si>
  <si>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</si>
  <si>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</si>
  <si>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</si>
  <si>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</si>
  <si>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</si>
  <si>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</si>
  <si>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</si>
  <si>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</si>
  <si>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</si>
  <si>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</si>
  <si>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</si>
  <si>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</si>
  <si>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</si>
  <si>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</si>
  <si>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</si>
  <si>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</si>
  <si>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</si>
  <si>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</si>
  <si>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</si>
  <si>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</si>
  <si>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</si>
  <si>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</si>
  <si>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</si>
  <si>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</si>
  <si>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</si>
  <si>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</si>
  <si>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</si>
  <si>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</si>
  <si>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</si>
  <si>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</si>
  <si>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</si>
  <si>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</si>
  <si>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</si>
  <si>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</si>
  <si>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</si>
  <si>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</si>
  <si>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</si>
  <si>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</si>
  <si>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</si>
  <si>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</si>
  <si>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</si>
  <si>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</si>
  <si>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</si>
  <si>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</si>
  <si>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</si>
  <si>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</si>
  <si>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</si>
  <si>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</si>
  <si>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</si>
  <si>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</si>
  <si>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</si>
  <si>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</si>
  <si>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</si>
  <si>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</si>
  <si>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</si>
  <si>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</si>
  <si>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</si>
  <si>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</si>
  <si>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</si>
  <si>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</si>
  <si>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</si>
  <si>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</si>
  <si>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</si>
  <si>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</si>
  <si>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</si>
  <si>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</si>
  <si>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</si>
  <si>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</si>
  <si>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</si>
  <si>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</si>
  <si>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</si>
  <si>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</si>
  <si>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</si>
  <si>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</si>
  <si>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</si>
  <si>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</si>
  <si>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</si>
  <si>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</si>
  <si>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</si>
  <si>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</si>
  <si>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</si>
  <si>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</si>
  <si>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</si>
  <si>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</si>
  <si>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</si>
  <si>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</si>
  <si>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</si>
  <si>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</si>
  <si>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</si>
  <si>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</si>
  <si>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</si>
  <si>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</si>
  <si>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</si>
  <si>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</si>
  <si>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</si>
  <si>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</si>
  <si>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</si>
  <si>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</si>
  <si>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</si>
  <si>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</si>
  <si>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</si>
  <si>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</si>
  <si>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</si>
  <si>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</si>
  <si>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</si>
  <si>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</si>
  <si>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</si>
  <si>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</si>
  <si>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</si>
  <si>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</si>
  <si>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</si>
  <si>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</si>
  <si>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</si>
  <si>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</si>
  <si>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</si>
  <si>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</si>
  <si>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</si>
  <si>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</si>
  <si>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</si>
  <si>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</si>
  <si>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</si>
  <si>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</si>
  <si>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</si>
  <si>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</si>
  <si>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</si>
  <si>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</si>
  <si>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</si>
  <si>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</si>
  <si>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</si>
  <si>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</si>
  <si>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</si>
  <si>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</si>
  <si>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</si>
  <si>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</si>
  <si>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</si>
  <si>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</si>
  <si>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</si>
  <si>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</si>
  <si>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</si>
  <si>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</si>
  <si>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</si>
  <si>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</si>
  <si>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</si>
  <si>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</si>
  <si>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</si>
  <si>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</si>
  <si>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</si>
  <si>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</si>
  <si>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</si>
  <si>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</si>
  <si>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</si>
  <si>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</si>
  <si>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</si>
  <si>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</si>
  <si>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</si>
  <si>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</si>
  <si>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</si>
  <si>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</si>
  <si>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</si>
  <si>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</si>
  <si>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</si>
  <si>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</si>
  <si>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</si>
  <si>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</si>
  <si>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</si>
  <si>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</si>
  <si>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</si>
  <si>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</si>
  <si>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</si>
  <si>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</si>
  <si>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</si>
  <si>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</si>
  <si>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</si>
  <si>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</si>
  <si>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</si>
  <si>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</si>
  <si>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</si>
  <si>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</si>
  <si>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</si>
  <si>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</si>
  <si>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</si>
  <si>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</si>
  <si>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</si>
  <si>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</si>
  <si>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</si>
  <si>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</si>
  <si>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</si>
  <si>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</si>
  <si>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</si>
  <si>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</si>
  <si>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</si>
  <si>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</si>
  <si>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</si>
  <si>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</si>
  <si>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</si>
  <si>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</si>
  <si>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</si>
  <si>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</si>
  <si>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</si>
  <si>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</si>
  <si>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</si>
  <si>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</si>
  <si>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</si>
  <si>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</si>
  <si>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</si>
  <si>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</si>
  <si>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</si>
  <si>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</si>
  <si>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</si>
  <si>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</si>
  <si>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</si>
  <si>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</si>
  <si>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</si>
  <si>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</si>
  <si>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</si>
  <si>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</si>
  <si>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</si>
  <si>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</si>
  <si>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</si>
  <si>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</si>
  <si>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</si>
  <si>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</si>
  <si>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P/W TO DO</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</si>
  <si>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</si>
  <si>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</si>
  <si>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</si>
  <si>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</si>
  <si>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</si>
  <si>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</si>
  <si>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</si>
  <si>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</si>
  <si>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</si>
  <si>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</si>
  <si>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</si>
  <si>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</si>
  <si>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</si>
  <si>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</si>
  <si>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</si>
  <si>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</si>
  <si>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</si>
  <si>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</si>
  <si>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</si>
  <si>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</si>
  <si>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</si>
  <si>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</si>
  <si>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</si>
  <si>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</si>
  <si>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</si>
  <si>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</si>
  <si>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</si>
  <si>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</si>
  <si>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</si>
  <si>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</si>
  <si>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</si>
  <si>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</si>
  <si>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</si>
  <si>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</si>
  <si>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</si>
  <si>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</si>
  <si>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</si>
  <si>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</si>
  <si>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</si>
  <si>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</si>
  <si>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</si>
  <si>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</si>
  <si>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</si>
  <si>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</si>
  <si>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</si>
  <si>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</si>
  <si>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</si>
  <si>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</si>
  <si>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</si>
  <si>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</si>
  <si>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</si>
  <si>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</si>
  <si>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</si>
  <si>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</si>
  <si>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</si>
  <si>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</si>
  <si>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</si>
  <si>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</si>
  <si>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</si>
  <si>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</si>
  <si>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</si>
  <si>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</si>
  <si>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</si>
  <si>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</si>
  <si>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</si>
  <si>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</si>
  <si>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</si>
  <si>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</si>
  <si>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</si>
  <si>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</si>
  <si>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</si>
  <si>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</si>
  <si>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</si>
  <si>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</si>
  <si>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</si>
  <si>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</si>
  <si>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</si>
  <si>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</si>
  <si>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</si>
  <si>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</si>
  <si>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</si>
  <si>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</si>
  <si>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</si>
  <si>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</si>
  <si>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</si>
  <si>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</si>
  <si>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</si>
  <si>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</si>
  <si>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</si>
  <si>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</si>
  <si>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</si>
  <si>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</si>
  <si>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</si>
  <si>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</si>
  <si>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</si>
  <si>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</si>
  <si>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</si>
  <si>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</si>
  <si>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</si>
  <si>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</si>
  <si>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</si>
  <si>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</si>
  <si>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</si>
  <si>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</si>
  <si>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</si>
  <si>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</si>
  <si>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</si>
  <si>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</si>
  <si>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</si>
  <si>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</si>
  <si>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</si>
  <si>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</si>
  <si>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</si>
  <si>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</si>
  <si>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</si>
  <si>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</si>
  <si>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</si>
  <si>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</si>
  <si>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</si>
  <si>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</si>
  <si>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</si>
  <si>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</si>
  <si>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</si>
  <si>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</si>
  <si>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</si>
  <si>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</si>
  <si>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</si>
  <si>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</si>
  <si>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</si>
  <si>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</si>
  <si>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</si>
  <si>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</si>
  <si>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</si>
  <si>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</si>
  <si>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</si>
  <si>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</si>
  <si>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</si>
  <si>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</si>
  <si>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</si>
  <si>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</si>
  <si>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</si>
  <si>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</si>
  <si>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</si>
  <si>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</si>
  <si>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</si>
  <si>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</si>
  <si>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</si>
  <si>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</si>
  <si>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</si>
  <si>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</si>
  <si>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</si>
  <si>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</si>
  <si>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</si>
  <si>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</si>
  <si>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</si>
  <si>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</si>
  <si>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</si>
  <si>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</si>
  <si>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</si>
  <si>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</si>
  <si>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</si>
  <si>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</si>
  <si>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</si>
  <si>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</si>
  <si>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</si>
  <si>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</si>
  <si>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</si>
  <si>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</si>
  <si>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</si>
  <si>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</si>
  <si>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</si>
  <si>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</si>
  <si>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</si>
  <si>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</si>
  <si>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</si>
  <si>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</si>
  <si>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</si>
  <si>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</si>
  <si>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</si>
  <si>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</si>
  <si>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</si>
  <si>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</si>
  <si>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</si>
  <si>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</si>
  <si>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</si>
  <si>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</si>
  <si>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</si>
  <si>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</si>
  <si>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</si>
  <si>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</si>
  <si>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</si>
  <si>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</si>
  <si>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</si>
  <si>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</si>
  <si>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</si>
  <si>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</si>
  <si>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</si>
  <si>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</si>
  <si>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</si>
  <si>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</si>
  <si>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</si>
  <si>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</si>
  <si>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</si>
  <si>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</si>
  <si>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</si>
  <si>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</si>
  <si>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</si>
  <si>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</si>
  <si>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</si>
  <si>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</si>
  <si>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</si>
  <si>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</si>
  <si>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</si>
  <si>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</si>
  <si>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</si>
  <si>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</si>
  <si>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</si>
  <si>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</si>
  <si>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</si>
  <si>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</si>
  <si>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</si>
  <si>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SIDEWALL - NO CALL BACK - TEDLER SIDEWALL 5AC TEDLER CHIPPED OFF</t>
  </si>
  <si>
    <t>GALLEY ..... CAB...... NO CALL BACK GALLEY DOOR 210 TEDLAR DAMMAGED</t>
  </si>
  <si>
    <t>FINDING (NRC) TASKCARD CCC-32S (05) / ITEM ONE LAV D  INNER WALL TEDLAR DAMMAGED</t>
  </si>
  <si>
    <t>CAB- AFT WALL .... NO ....CALL BACK AFT WALL OF 44 JKL TEDLAR DAMMAGED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</si>
  <si>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</si>
  <si>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</si>
  <si>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</si>
  <si>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</si>
  <si>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PANELS SEVERAL SIDE AND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</si>
  <si>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</si>
  <si>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</si>
  <si>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</si>
  <si>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</si>
  <si>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</si>
  <si>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Y-254 WITH SURFACE CORROSION</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</si>
  <si>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</si>
  <si>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</si>
  <si>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</si>
  <si>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</si>
  <si>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</si>
  <si>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</si>
  <si>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</si>
  <si>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</si>
  <si>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</si>
  <si>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</si>
  <si>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</si>
  <si>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</si>
  <si>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</si>
  <si>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</si>
  <si>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</si>
  <si>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</si>
  <si>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</si>
  <si>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</si>
  <si>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</si>
  <si>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</si>
  <si>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</si>
  <si>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</si>
  <si>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</si>
  <si>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</si>
  <si>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</si>
  <si>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</si>
  <si>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</si>
  <si>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</si>
  <si>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</si>
  <si>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</si>
  <si>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</si>
  <si>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</si>
  <si>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</si>
  <si>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</si>
  <si>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</si>
  <si>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</si>
  <si>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</si>
  <si>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</si>
  <si>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</si>
  <si>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</si>
  <si>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</si>
  <si>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</si>
  <si>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</si>
  <si>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</si>
  <si>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</si>
  <si>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</si>
  <si>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</si>
  <si>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</si>
  <si>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</si>
  <si>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</si>
  <si>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</si>
  <si>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</si>
  <si>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</si>
  <si>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</si>
  <si>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</si>
  <si>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</si>
  <si>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</si>
  <si>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</si>
  <si>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</si>
  <si>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04-Aug-2026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</si>
  <si>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</si>
  <si>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</si>
  <si>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</si>
  <si>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</si>
  <si>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</si>
  <si>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</si>
  <si>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</si>
  <si>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</si>
  <si>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</si>
  <si>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</si>
  <si>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</si>
  <si>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</si>
  <si>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</si>
  <si>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</si>
  <si>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</si>
  <si>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</si>
  <si>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2.00</t>
  </si>
  <si>
    <t>EA</t>
  </si>
  <si>
    <t>NOT AVAILABLE</t>
  </si>
  <si>
    <t>—</t>
  </si>
  <si>
    <t>20.Jul.2026</t>
  </si>
  <si>
    <t>P26081726, 60 EA, EDD 10AUG26</t>
  </si>
  <si>
    <t>32985343</t>
  </si>
  <si>
    <t>32985832</t>
  </si>
  <si>
    <t>E60614-00XXXX</t>
  </si>
  <si>
    <t>LANYARD, GENERATOR RELEASE (GREEN)</t>
  </si>
  <si>
    <t>72.00</t>
  </si>
  <si>
    <t>WRONG PART</t>
  </si>
  <si>
    <t>32985833</t>
  </si>
  <si>
    <t>32984848</t>
  </si>
  <si>
    <t>SP0614</t>
  </si>
  <si>
    <t>STRIKER PLATE U/O PN 330SVA4RGA00</t>
  </si>
  <si>
    <t>TRANSFER_NEEDED</t>
  </si>
  <si>
    <t>3B9002-7P</t>
  </si>
  <si>
    <t>KIT - INSTALLATION</t>
  </si>
  <si>
    <t>1.00</t>
  </si>
  <si>
    <t>21.Jul.2026</t>
  </si>
  <si>
    <t>(T18214026) , 
P26661126, 05 EA, NEW PO, EDD 04 SEP26</t>
  </si>
  <si>
    <t>E61445-00</t>
  </si>
  <si>
    <t>RPOE TENSIONING</t>
  </si>
  <si>
    <t>18.00</t>
  </si>
  <si>
    <t>ORDERED</t>
  </si>
  <si>
    <t>(I/W</t>
  </si>
  <si>
    <t>30.Jul.2026</t>
  </si>
  <si>
    <t>15.00</t>
  </si>
  <si>
    <t>32988850</t>
  </si>
  <si>
    <t>SP1395</t>
  </si>
  <si>
    <t>VALVE ASSY-FLAP</t>
  </si>
  <si>
    <t>6.00</t>
  </si>
  <si>
    <t>27.Jul.2026</t>
  </si>
  <si>
    <t>02 EA ISSUED TO ACFT, PO P26712626, 03 EA, NEW PO, U/APPROVAL.</t>
  </si>
  <si>
    <t>33022800</t>
  </si>
  <si>
    <t>918J8028</t>
  </si>
  <si>
    <t>SEALANT GERFLOR FLOOR MAT</t>
  </si>
  <si>
    <t>4.00</t>
  </si>
  <si>
    <t>28.Jul.2026</t>
  </si>
  <si>
    <t>PO shipped DHL AWB#1799713963 , DELIVERED   *IK</t>
  </si>
  <si>
    <t>33025667</t>
  </si>
  <si>
    <t>D5367680500300</t>
  </si>
  <si>
    <t>PANEL ASSY-FLOOR</t>
  </si>
  <si>
    <t>02.Aug.2026</t>
  </si>
  <si>
    <t>33022670</t>
  </si>
  <si>
    <t>3212MU01SA41</t>
  </si>
  <si>
    <t>FOOTSTEP ASSY</t>
  </si>
  <si>
    <t>32985350</t>
  </si>
  <si>
    <t>2E7002-11APX</t>
  </si>
  <si>
    <t>COVER ASSY-BACK</t>
  </si>
  <si>
    <t>(SIT,DHL) DHL 3896281771, EDD 29JUL26. , P25997026, 10 EA. ,
03 EA ISSUED TO ACFT, AVBL (RUH=1).</t>
  </si>
  <si>
    <t>32985304</t>
  </si>
  <si>
    <t>2E7003-1</t>
  </si>
  <si>
    <t>CUSHION-BACK</t>
  </si>
  <si>
    <t>AVBL (JED=1,RUH=5).</t>
  </si>
  <si>
    <t>32982202</t>
  </si>
  <si>
    <t>2E1135-0532</t>
  </si>
  <si>
    <t>WASHER</t>
  </si>
  <si>
    <t>32991511</t>
  </si>
  <si>
    <t>A225400429-750</t>
  </si>
  <si>
    <t>DOOR ASSY-WASHBASIN</t>
  </si>
  <si>
    <t>12.00</t>
  </si>
  <si>
    <t>2E1135-0533</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</si>
  <si>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</si>
  <si>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</si>
  <si>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</si>
  <si>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</si>
  <si>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</si>
  <si>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</si>
  <si>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</si>
  <si>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</si>
  <si>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</si>
  <si>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</si>
  <si>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</si>
  <si>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</si>
  <si>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</si>
  <si>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</si>
  <si>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</si>
  <si>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</si>
  <si>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</si>
  <si>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</si>
  <si>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</si>
  <si>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</si>
  <si>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</si>
  <si>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</si>
  <si>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</si>
  <si>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</si>
  <si>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</si>
  <si>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</si>
  <si>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</si>
  <si>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</si>
  <si>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</si>
  <si>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</si>
  <si>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</si>
  <si>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</si>
  <si>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</si>
  <si>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</si>
  <si>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</si>
  <si>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</si>
  <si>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</si>
  <si>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</si>
  <si>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</si>
  <si>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</si>
  <si>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</si>
  <si>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</si>
  <si>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</si>
  <si>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</si>
  <si>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</si>
  <si>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</si>
  <si>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</si>
  <si>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</si>
  <si>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</si>
  <si>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</si>
  <si>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</si>
  <si>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</si>
  <si>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</si>
  <si>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</si>
  <si>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</si>
  <si>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</si>
  <si>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</si>
  <si>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</si>
  <si>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</si>
  <si>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</si>
  <si>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</si>
  <si>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</si>
  <si>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</si>
  <si>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</si>
  <si>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</si>
  <si>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</si>
  <si>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</si>
  <si>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</si>
  <si>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</si>
  <si>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</si>
  <si>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</si>
  <si>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</si>
  <si>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</si>
  <si>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</si>
  <si>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</si>
  <si>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</si>
  <si>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</si>
  <si>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</si>
  <si>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</si>
  <si>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</si>
  <si>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</si>
  <si>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</si>
  <si>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</si>
  <si>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</si>
  <si>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</si>
  <si>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</si>
  <si>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</si>
  <si>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</si>
  <si>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</si>
  <si>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</si>
  <si>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</si>
  <si>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</si>
  <si>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</si>
  <si>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</si>
  <si>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</si>
  <si>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</si>
  <si>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</si>
  <si>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</si>
  <si>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</si>
  <si>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</si>
  <si>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</si>
  <si>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</si>
  <si>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</si>
  <si>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</si>
  <si>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</si>
  <si>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</si>
  <si>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</si>
  <si>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</si>
  <si>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</si>
  <si>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</si>
  <si>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</si>
  <si>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</si>
  <si>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</si>
  <si>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</si>
  <si>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</si>
  <si>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</si>
  <si>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</si>
  <si>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</si>
  <si>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</si>
  <si>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</si>
  <si>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</si>
  <si>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</si>
  <si>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</si>
  <si>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</si>
  <si>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</si>
  <si>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</si>
  <si>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</si>
  <si>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</si>
  <si>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</si>
  <si>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</si>
  <si>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</si>
  <si>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</si>
  <si>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</si>
  <si>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</si>
  <si>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</si>
  <si>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</si>
  <si>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</si>
  <si>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</si>
  <si>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</si>
  <si>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</si>
  <si>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</si>
  <si>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</si>
  <si>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</si>
  <si>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</si>
  <si>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</si>
  <si>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</si>
  <si>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</si>
  <si>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</si>
  <si>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</si>
  <si>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</si>
  <si>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</si>
  <si>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</si>
  <si>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</si>
  <si>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</si>
  <si>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</si>
  <si>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</si>
  <si>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</si>
  <si>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</si>
  <si>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</si>
  <si>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</si>
  <si>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</si>
  <si>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</si>
  <si>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</si>
  <si>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</si>
  <si>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</si>
  <si>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</si>
  <si>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</si>
  <si>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</si>
  <si>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</si>
  <si>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</si>
  <si>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</si>
  <si>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</si>
  <si>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</si>
  <si>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</si>
  <si>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</si>
  <si>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</si>
  <si>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</si>
  <si>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</si>
  <si>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</si>
  <si>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</si>
  <si>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</si>
  <si>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</si>
  <si>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</si>
  <si>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</si>
  <si>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</si>
  <si>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</si>
  <si>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</si>
  <si>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</si>
  <si>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</si>
  <si>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</si>
  <si>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</si>
  <si>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</si>
  <si>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</si>
  <si>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</si>
  <si>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</si>
  <si>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</si>
  <si>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</si>
  <si>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</si>
  <si>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</si>
  <si>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</si>
  <si>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</si>
  <si>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</si>
  <si>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</si>
  <si>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</si>
  <si>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</si>
  <si>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</si>
  <si>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</si>
  <si>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</si>
  <si>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</si>
  <si>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</si>
  <si>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</si>
  <si>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</si>
  <si>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</si>
  <si>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</si>
  <si>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</si>
  <si>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</si>
  <si>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</si>
  <si>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</si>
  <si>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</si>
  <si>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</si>
  <si>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</si>
  <si>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</si>
  <si>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</si>
  <si>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</si>
  <si>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</si>
  <si>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</si>
  <si>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</si>
  <si>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</si>
  <si>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</si>
  <si>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</si>
  <si>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</si>
  <si>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</si>
  <si>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</si>
  <si>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</si>
  <si>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</si>
  <si>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</si>
  <si>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</si>
  <si>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</si>
  <si>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</si>
  <si>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</si>
  <si>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</si>
  <si>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</si>
  <si>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</si>
  <si>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</si>
  <si>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</si>
  <si>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</si>
  <si>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</si>
  <si>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</si>
  <si>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</si>
  <si>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</si>
  <si>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</si>
  <si>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</si>
  <si>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</si>
  <si>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</si>
  <si>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</si>
  <si>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</si>
  <si>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</si>
  <si>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</si>
  <si>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</si>
  <si>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</si>
  <si>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</si>
  <si>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</si>
  <si>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</si>
  <si>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</si>
  <si>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</si>
  <si>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</si>
  <si>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</si>
  <si>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</si>
  <si>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</si>
  <si>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</si>
  <si>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</si>
  <si>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</si>
  <si>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</si>
  <si>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</si>
  <si>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</si>
  <si>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</si>
  <si>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</si>
  <si>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</si>
  <si>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</si>
  <si>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</si>
  <si>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</si>
  <si>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</si>
  <si>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</si>
  <si>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</si>
  <si>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</si>
  <si>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</si>
  <si>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</si>
  <si>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</si>
  <si>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</si>
  <si>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</si>
  <si>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</si>
  <si>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</si>
  <si>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</si>
  <si>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</si>
  <si>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</si>
  <si>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</si>
  <si>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</si>
  <si>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</si>
  <si>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</si>
  <si>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</si>
  <si>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</si>
  <si>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</si>
  <si>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</si>
  <si>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</si>
  <si>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</si>
  <si>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</si>
  <si>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</si>
  <si>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</si>
  <si>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</si>
  <si>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</si>
  <si>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</si>
  <si>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</si>
  <si>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</si>
  <si>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</si>
  <si>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</si>
  <si>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</si>
  <si>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</si>
  <si>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</si>
  <si>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</si>
  <si>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</si>
  <si>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</si>
  <si>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</si>
  <si>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</si>
  <si>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</si>
  <si>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</si>
  <si>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</si>
  <si>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</si>
  <si>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</si>
  <si>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</si>
  <si>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</si>
  <si>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</si>
  <si>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</si>
  <si>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</si>
  <si>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</si>
  <si>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</si>
  <si>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</si>
  <si>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</si>
  <si>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</si>
  <si>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</si>
  <si>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</si>
  <si>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</si>
  <si>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</si>
  <si>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</si>
  <si>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</si>
  <si>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</si>
  <si>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</si>
  <si>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</si>
  <si>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</si>
  <si>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</si>
  <si>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</si>
  <si>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</si>
  <si>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</si>
  <si>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</si>
  <si>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</si>
  <si>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</si>
  <si>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</si>
  <si>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</si>
  <si>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</si>
  <si>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</si>
  <si>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</si>
  <si>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</si>
  <si>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</si>
  <si>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</si>
  <si>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</si>
  <si>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</si>
  <si>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</si>
  <si>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</si>
  <si>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</si>
  <si>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</si>
  <si>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</si>
  <si>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</si>
  <si>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</si>
  <si>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</si>
  <si>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</si>
  <si>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</si>
  <si>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</si>
  <si>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</si>
  <si>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</si>
  <si>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</si>
  <si>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</si>
  <si>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</si>
  <si>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</si>
  <si>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</si>
  <si>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</si>
  <si>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</si>
  <si>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</si>
  <si>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</si>
  <si>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</si>
  <si>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</si>
  <si>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</si>
  <si>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</si>
  <si>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</si>
  <si>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</si>
  <si>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</si>
  <si>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</si>
  <si>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</si>
  <si>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</si>
  <si>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</si>
  <si>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</si>
  <si>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</si>
  <si>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</si>
  <si>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</si>
  <si>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</si>
  <si>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</si>
  <si>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</si>
  <si>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</si>
  <si>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</si>
  <si>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</si>
  <si>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</si>
  <si>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</si>
  <si>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</si>
  <si>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</si>
  <si>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</si>
  <si>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</si>
  <si>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</si>
  <si>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</si>
  <si>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</si>
  <si>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</si>
  <si>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</si>
  <si>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</si>
  <si>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</si>
  <si>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</si>
  <si>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</si>
  <si>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</si>
  <si>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</si>
  <si>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</si>
  <si>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</si>
  <si>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</si>
  <si>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</si>
  <si>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</si>
  <si>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</si>
  <si>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</si>
  <si>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</si>
  <si>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</si>
  <si>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</si>
  <si>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</si>
  <si>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</si>
  <si>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</si>
  <si>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</si>
  <si>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</si>
  <si>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</si>
  <si>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</si>
  <si>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</si>
  <si>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</si>
  <si>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</si>
  <si>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</si>
  <si>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</si>
  <si>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</si>
  <si>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</si>
  <si>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</si>
  <si>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</si>
  <si>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</si>
  <si>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</si>
  <si>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</si>
  <si>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</si>
  <si>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</si>
  <si>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</si>
  <si>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</si>
  <si>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</si>
  <si>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</si>
  <si>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</si>
  <si>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</si>
  <si>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</si>
  <si>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</si>
  <si>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</si>
  <si>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</si>
  <si>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</si>
  <si>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</si>
  <si>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</si>
  <si>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</si>
  <si>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</si>
  <si>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</si>
  <si>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</si>
  <si>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</si>
  <si>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</si>
  <si>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</si>
  <si>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</si>
  <si>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</si>
  <si>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</si>
  <si>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</si>
  <si>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</si>
  <si>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</si>
  <si>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</si>
  <si>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</si>
  <si>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</si>
  <si>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</si>
  <si>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</si>
  <si>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</si>
  <si>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</si>
  <si>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</si>
  <si>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</si>
  <si>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</si>
  <si>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</si>
  <si>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</si>
  <si>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</si>
  <si>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</si>
  <si>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</si>
  <si>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</si>
  <si>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</si>
  <si>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</si>
  <si>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</si>
  <si>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</si>
  <si>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</si>
  <si>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</si>
  <si>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</si>
  <si>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</si>
  <si>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</si>
  <si>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</si>
  <si>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</si>
  <si>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</si>
  <si>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</si>
  <si>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</si>
  <si>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</si>
  <si>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</si>
  <si>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</si>
  <si>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</si>
  <si>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</si>
  <si>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</si>
  <si>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</si>
  <si>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</si>
  <si>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</si>
  <si>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</si>
  <si>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</si>
  <si>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</si>
  <si>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</si>
  <si>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</si>
  <si>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</si>
  <si>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</si>
  <si>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</si>
  <si>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</si>
  <si>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</si>
  <si>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</si>
  <si>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</si>
  <si>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</si>
  <si>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</si>
  <si>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</si>
  <si>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</si>
  <si>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</si>
  <si>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</si>
  <si>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</si>
  <si>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</si>
  <si>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</si>
  <si>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</si>
  <si>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</si>
  <si>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</si>
  <si>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</si>
  <si>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</si>
  <si>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</si>
  <si>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</si>
  <si>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</si>
  <si>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</si>
  <si>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</si>
  <si>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</si>
  <si>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</si>
  <si>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</si>
  <si>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</si>
  <si>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</si>
  <si>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</si>
  <si>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</si>
  <si>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</si>
  <si>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</si>
  <si>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</si>
  <si>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</si>
  <si>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</si>
  <si>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</si>
  <si>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</si>
  <si>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</si>
  <si>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</si>
  <si>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</si>
  <si>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</si>
  <si>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</si>
  <si>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</si>
  <si>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</si>
  <si>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</si>
  <si>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</si>
  <si>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</si>
  <si>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</si>
  <si>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</si>
  <si>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</si>
  <si>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</si>
  <si>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</si>
  <si>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</si>
  <si>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</si>
  <si>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</si>
  <si>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</si>
  <si>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</si>
  <si>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</si>
  <si>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</si>
  <si>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</si>
  <si>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</si>
  <si>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</si>
  <si>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</si>
  <si>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</si>
  <si>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</si>
  <si>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</si>
  <si>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</si>
  <si>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</si>
  <si>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</si>
  <si>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</si>
  <si>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</si>
  <si>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</si>
  <si>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</si>
  <si>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</si>
  <si>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</si>
  <si>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</si>
  <si>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</si>
  <si>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</si>
  <si>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</si>
  <si>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</si>
  <si>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</si>
  <si>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</si>
  <si>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</si>
  <si>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</si>
  <si>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</si>
  <si>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</si>
  <si>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</si>
  <si>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</si>
  <si>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</si>
  <si>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</si>
  <si>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</si>
  <si>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</si>
  <si>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</si>
  <si>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</si>
  <si>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</si>
  <si>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</si>
  <si>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</si>
  <si>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</si>
  <si>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</si>
  <si>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</si>
  <si>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</si>
  <si>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</si>
  <si>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</si>
  <si>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</si>
  <si>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</si>
  <si>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</si>
  <si>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</si>
  <si>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</si>
  <si>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</si>
  <si>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</si>
  <si>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</si>
  <si>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</si>
  <si>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</si>
  <si>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</si>
  <si>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</si>
  <si>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</si>
  <si>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</si>
  <si>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</si>
  <si>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</si>
  <si>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</si>
  <si>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</si>
  <si>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</si>
  <si>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</si>
  <si>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</si>
  <si>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</si>
  <si>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</si>
  <si>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</si>
  <si>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</si>
  <si>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</si>
  <si>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</si>
  <si>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</si>
  <si>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</si>
  <si>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</si>
  <si>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</si>
  <si>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</si>
  <si>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</si>
  <si>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</si>
  <si>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</si>
  <si>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</si>
  <si>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</si>
  <si>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</si>
  <si>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</si>
  <si>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</si>
  <si>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</si>
  <si>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</si>
  <si>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</si>
  <si>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</si>
  <si>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</si>
  <si>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</si>
  <si>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</si>
  <si>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</si>
  <si>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</si>
  <si>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</si>
  <si>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</si>
  <si>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</si>
  <si>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</si>
  <si>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</si>
  <si>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</si>
  <si>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</si>
  <si>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</si>
  <si>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</si>
  <si>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</si>
  <si>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</si>
  <si>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</si>
  <si>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</si>
  <si>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</si>
  <si>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</si>
  <si>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</si>
  <si>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</si>
  <si>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</si>
  <si>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</si>
  <si>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</si>
  <si>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</si>
  <si>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</si>
  <si>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</si>
  <si>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</si>
  <si>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</si>
  <si>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</si>
  <si>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</si>
  <si>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</si>
  <si>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</si>
  <si>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</si>
  <si>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</si>
  <si>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</si>
  <si>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</si>
  <si>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</si>
  <si>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</si>
  <si>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</si>
  <si>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</si>
  <si>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</si>
  <si>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</si>
  <si>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</si>
  <si>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</si>
  <si>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</si>
  <si>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</si>
  <si>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</si>
  <si>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</si>
  <si>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</si>
  <si>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</si>
  <si>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</si>
  <si>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</si>
  <si>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</si>
  <si>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</si>
  <si>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</si>
  <si>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</si>
  <si>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</si>
  <si>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</si>
  <si>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</si>
  <si>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</si>
  <si>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</si>
  <si>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</si>
  <si>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</si>
  <si>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</si>
  <si>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</si>
  <si>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</si>
  <si>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</si>
  <si>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</si>
  <si>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</si>
  <si>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</si>
  <si>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</si>
  <si>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</si>
  <si>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</si>
  <si>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</si>
  <si>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</si>
  <si>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</si>
  <si>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</si>
  <si>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</si>
  <si>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</si>
  <si>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</si>
  <si>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</si>
  <si>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</si>
  <si>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</si>
  <si>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</si>
  <si>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</si>
  <si>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</si>
  <si>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</si>
  <si>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</si>
  <si>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</si>
  <si>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</si>
  <si>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</si>
  <si>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</si>
  <si>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</si>
  <si>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</si>
  <si>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</si>
  <si>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</si>
  <si>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</si>
  <si>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</si>
  <si>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</si>
  <si>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</si>
  <si>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</si>
  <si>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</si>
  <si>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</si>
  <si>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</si>
  <si>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</si>
  <si>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</si>
  <si>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</si>
  <si>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</si>
  <si>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</si>
  <si>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</si>
  <si>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</si>
  <si>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</si>
  <si>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</si>
  <si>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</si>
  <si>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</si>
  <si>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</si>
  <si>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</si>
  <si>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</si>
  <si>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</si>
  <si>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</si>
  <si>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</si>
  <si>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</si>
  <si>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</si>
  <si>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</si>
  <si>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</si>
  <si>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</si>
  <si>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</si>
  <si>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</si>
  <si>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</si>
  <si>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</si>
  <si>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</si>
  <si>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</si>
  <si>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</si>
  <si>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</si>
  <si>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</si>
  <si>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</si>
  <si>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</si>
  <si>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</si>
  <si>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</si>
  <si>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</si>
  <si>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</si>
  <si>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</si>
  <si>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</si>
  <si>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</si>
  <si>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</si>
  <si>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</si>
  <si>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</si>
  <si>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</si>
  <si>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</si>
  <si>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</si>
  <si>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</si>
  <si>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</si>
  <si>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</si>
  <si>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</si>
  <si>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</si>
  <si>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</si>
  <si>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</si>
  <si>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</si>
  <si>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</si>
  <si>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</si>
  <si>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</si>
  <si>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</si>
  <si>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</si>
  <si>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</si>
  <si>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</si>
  <si>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</si>
  <si>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</si>
  <si>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</si>
  <si>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</si>
  <si>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</si>
  <si>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</si>
  <si>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</si>
  <si>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</si>
  <si>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</si>
  <si>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</si>
  <si>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</si>
  <si>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</si>
  <si>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</si>
  <si>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</si>
  <si>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</si>
  <si>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</si>
  <si>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</si>
  <si>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</si>
  <si>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</si>
  <si>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</si>
  <si>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</si>
  <si>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</si>
  <si>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</si>
  <si>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</si>
  <si>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</si>
  <si>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</si>
  <si>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</si>
  <si>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</si>
  <si>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</si>
  <si>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</si>
  <si>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</si>
  <si>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</si>
  <si>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</si>
  <si>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</si>
  <si>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</si>
  <si>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</si>
  <si>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</si>
  <si>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</si>
  <si>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</si>
  <si>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</si>
  <si>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</si>
  <si>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</si>
  <si>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</si>
  <si>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</si>
  <si>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</si>
  <si>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</si>
  <si>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</si>
  <si>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</si>
  <si>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</si>
  <si>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</si>
  <si>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</si>
  <si>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</si>
  <si>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</si>
  <si>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</si>
  <si>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</si>
  <si>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</si>
  <si>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</si>
  <si>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</si>
  <si>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</si>
  <si>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</si>
  <si>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</si>
  <si>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</si>
  <si>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</si>
  <si>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</si>
  <si>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</si>
  <si>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</si>
  <si>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</si>
  <si>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</si>
  <si>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</si>
  <si>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</si>
  <si>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</si>
  <si>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</si>
  <si>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</si>
  <si>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</si>
  <si>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</si>
  <si>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</si>
  <si>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</si>
  <si>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</si>
  <si>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</si>
  <si>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</si>
  <si>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</si>
  <si>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</si>
  <si>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</si>
  <si>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</si>
  <si>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</si>
  <si>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</si>
  <si>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</si>
  <si>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</si>
  <si>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</si>
  <si>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</si>
  <si>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</si>
  <si>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</si>
  <si>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</si>
  <si>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</si>
  <si>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</si>
  <si>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</si>
  <si>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</si>
  <si>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</si>
  <si>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</si>
  <si>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</si>
  <si>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</si>
  <si>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</si>
  <si>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</si>
  <si>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</si>
  <si>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</si>
  <si>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</si>
  <si>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</si>
  <si>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</si>
  <si>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</si>
  <si>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</si>
  <si>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</si>
  <si>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</si>
  <si>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</si>
  <si>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</si>
  <si>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</si>
  <si>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</si>
  <si>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</si>
  <si>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</si>
  <si>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</si>
  <si>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</si>
  <si>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</si>
  <si>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</si>
  <si>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</si>
  <si>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</si>
  <si>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</si>
  <si>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</si>
  <si>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</si>
  <si>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</si>
  <si>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</si>
  <si>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</si>
  <si>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</si>
  <si>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</si>
  <si>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</si>
  <si>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</si>
  <si>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</si>
  <si>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</si>
  <si>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</si>
  <si>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</si>
  <si>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</si>
  <si>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</si>
  <si>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</si>
  <si>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</si>
  <si>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</si>
  <si>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</si>
  <si>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</si>
  <si>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</si>
  <si>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</si>
  <si>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</si>
  <si>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</si>
  <si>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</si>
  <si>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</si>
  <si>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</si>
  <si>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</si>
  <si>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</si>
  <si>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</si>
  <si>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</si>
  <si>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</si>
  <si>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</si>
  <si>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</si>
  <si>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</si>
  <si>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</si>
  <si>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</si>
  <si>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</si>
  <si>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</si>
  <si>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</si>
  <si>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</si>
  <si>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</si>
  <si>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</si>
  <si>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</si>
  <si>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</si>
  <si>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</si>
  <si>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</si>
  <si>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</si>
  <si>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</si>
  <si>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</si>
  <si>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</si>
  <si>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</si>
  <si>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</si>
  <si>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</si>
  <si>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</si>
  <si>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</si>
  <si>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</si>
  <si>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</si>
  <si>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</si>
  <si>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</si>
  <si>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</si>
  <si>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</si>
  <si>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</si>
  <si>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</si>
  <si>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</si>
  <si>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</si>
  <si>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</si>
  <si>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</si>
  <si>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</si>
  <si>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</si>
  <si>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</si>
  <si>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</si>
  <si>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</si>
  <si>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</si>
  <si>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</si>
  <si>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</si>
  <si>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</si>
  <si>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</si>
  <si>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</si>
  <si>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</si>
  <si>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</si>
  <si>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</si>
  <si>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</si>
  <si>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</si>
  <si>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</si>
  <si>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</si>
  <si>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</si>
  <si>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</si>
  <si>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</si>
  <si>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</si>
  <si>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</si>
  <si>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</si>
  <si>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</si>
  <si>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</si>
  <si>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</si>
  <si>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</si>
  <si>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</si>
  <si>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</si>
  <si>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</si>
  <si>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</si>
  <si>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</si>
  <si>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</si>
  <si>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</si>
  <si>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</si>
  <si>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</si>
  <si>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</si>
  <si>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</si>
  <si>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</si>
  <si>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</si>
  <si>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</si>
  <si>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</si>
  <si>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</si>
  <si>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</si>
  <si>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</si>
  <si>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</si>
  <si>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</si>
  <si>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</si>
  <si>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</si>
  <si>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</si>
  <si>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</si>
  <si>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</si>
  <si>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</si>
  <si>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</si>
  <si>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</si>
  <si>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</si>
  <si>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</si>
  <si>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</si>
  <si>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</si>
  <si>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</si>
  <si>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</si>
  <si>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</si>
  <si>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</si>
  <si>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</si>
  <si>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</si>
  <si>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</si>
  <si>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</si>
  <si>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</si>
  <si>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</si>
  <si>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</si>
  <si>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</si>
  <si>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</si>
  <si>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</si>
  <si>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</si>
  <si>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</si>
  <si>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</si>
  <si>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</si>
  <si>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</si>
  <si>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</si>
  <si>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</si>
  <si>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</si>
  <si>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</si>
  <si>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</si>
  <si>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</si>
  <si>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</si>
  <si>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</si>
  <si>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</si>
  <si>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</si>
  <si>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</si>
  <si>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</si>
  <si>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</si>
  <si>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</si>
  <si>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</si>
  <si>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</si>
  <si>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</si>
  <si>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</si>
  <si>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</si>
  <si>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</si>
  <si>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</si>
  <si>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</si>
  <si>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</si>
  <si>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</si>
  <si>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</si>
  <si>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</si>
  <si>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</si>
  <si>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</si>
  <si>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</si>
  <si>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</si>
  <si>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</si>
  <si>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</si>
  <si>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</si>
  <si>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</si>
  <si>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</si>
  <si>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</si>
  <si>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</si>
  <si>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</si>
  <si>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</si>
  <si>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</si>
  <si>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</si>
  <si>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</si>
  <si>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</si>
  <si>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</si>
  <si>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</si>
  <si>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</si>
  <si>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</si>
  <si>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</si>
  <si>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</si>
  <si>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</si>
  <si>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</si>
  <si>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</si>
  <si>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</si>
  <si>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</si>
  <si>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</si>
  <si>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</si>
  <si>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</si>
  <si>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</si>
  <si>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</si>
  <si>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</si>
  <si>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</si>
  <si>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</si>
  <si>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</si>
  <si>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</si>
  <si>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</si>
  <si>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</si>
  <si>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</si>
  <si>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</si>
  <si>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</si>
  <si>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</si>
  <si>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</si>
  <si>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</si>
  <si>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</si>
  <si>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</si>
  <si>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</si>
  <si>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</si>
  <si>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</si>
  <si>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</si>
  <si>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</si>
  <si>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</si>
  <si>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</si>
  <si>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</si>
  <si>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</si>
  <si>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</si>
  <si>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</si>
  <si>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</si>
  <si>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</si>
  <si>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</si>
  <si>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</si>
  <si>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</si>
  <si>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</si>
  <si>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</si>
  <si>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</si>
  <si>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</si>
  <si>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</si>
  <si>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</si>
  <si>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</si>
  <si>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</si>
  <si>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</si>
  <si>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</si>
  <si>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</si>
  <si>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</si>
  <si>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</si>
  <si>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</si>
  <si>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</si>
  <si>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</si>
  <si>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</si>
  <si>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</si>
  <si>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</si>
  <si>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</si>
  <si>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</si>
  <si>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</si>
  <si>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</si>
  <si>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</si>
  <si>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</si>
  <si>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</si>
  <si>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</si>
  <si>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</si>
  <si>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</si>
  <si>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</si>
  <si>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</si>
  <si>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</si>
  <si>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</si>
  <si>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</si>
  <si>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</si>
  <si>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</si>
  <si>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</si>
  <si>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</si>
  <si>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</si>
  <si>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</si>
  <si>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</si>
  <si>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</si>
  <si>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</si>
  <si>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</si>
  <si>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</si>
  <si>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</si>
  <si>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</si>
  <si>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</si>
  <si>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</si>
  <si>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</si>
  <si>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</si>
  <si>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</si>
  <si>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</si>
  <si>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</si>
  <si>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</si>
  <si>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</si>
  <si>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</si>
  <si>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</si>
  <si>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</si>
  <si>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</si>
  <si>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</si>
  <si>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</si>
  <si>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</si>
  <si>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</si>
  <si>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</si>
  <si>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</si>
  <si>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</si>
  <si>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</si>
  <si>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</si>
  <si>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</si>
  <si>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</si>
  <si>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</si>
  <si>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</si>
  <si>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</si>
  <si>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</si>
  <si>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</si>
  <si>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</si>
  <si>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</si>
  <si>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</si>
  <si>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</si>
  <si>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</si>
  <si>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</si>
  <si>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</si>
  <si>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</si>
  <si>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</si>
  <si>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</si>
  <si>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</si>
  <si>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</si>
  <si>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</si>
  <si>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</si>
  <si>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</si>
  <si>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</si>
  <si>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</si>
  <si>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</si>
  <si>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</si>
  <si>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</si>
  <si>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</si>
  <si>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</si>
  <si>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</si>
  <si>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</si>
  <si>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</si>
  <si>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</si>
  <si>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</si>
  <si>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</si>
  <si>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</si>
  <si>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</si>
  <si>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</si>
  <si>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</si>
  <si>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</si>
  <si>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</si>
  <si>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</si>
  <si>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</si>
  <si>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</si>
  <si>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</si>
  <si>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</si>
  <si>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</si>
  <si>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</si>
  <si>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</si>
  <si>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</si>
  <si>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</si>
  <si>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</si>
  <si>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</si>
  <si>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</si>
  <si>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</si>
  <si>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</si>
  <si>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</si>
  <si>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</si>
  <si>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</si>
  <si>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</si>
  <si>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</si>
  <si>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</si>
  <si>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</si>
  <si>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</si>
  <si>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</si>
  <si>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</si>
  <si>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</si>
  <si>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</si>
  <si>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</si>
  <si>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</si>
  <si>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</si>
  <si>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</si>
  <si>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</si>
  <si>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</si>
  <si>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</si>
  <si>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</si>
  <si>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</si>
  <si>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</si>
  <si>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</si>
  <si>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</si>
  <si>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</si>
  <si>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</si>
  <si>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</si>
  <si>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</si>
  <si>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</si>
  <si>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</si>
  <si>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</si>
  <si>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</si>
  <si>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</si>
  <si>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</si>
  <si>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</si>
  <si>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</si>
  <si>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</si>
  <si>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</si>
  <si>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</si>
  <si>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</si>
  <si>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</si>
  <si>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</si>
  <si>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</si>
  <si>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</si>
  <si>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</si>
  <si>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</si>
  <si>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</si>
  <si>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</si>
  <si>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</si>
  <si>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</si>
  <si>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</si>
  <si>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</si>
  <si>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</si>
  <si>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</si>
  <si>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</si>
  <si>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</si>
  <si>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</si>
  <si>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</si>
  <si>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</si>
  <si>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</si>
  <si>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</si>
  <si>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</si>
  <si>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</si>
  <si>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</si>
  <si>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</si>
  <si>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</si>
  <si>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</si>
  <si>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</si>
  <si>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</si>
  <si>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</si>
  <si>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</si>
  <si>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</si>
  <si>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</si>
  <si>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</si>
  <si>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</si>
  <si>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</si>
  <si>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</si>
  <si>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</si>
  <si>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</si>
  <si>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</si>
  <si>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</si>
  <si>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</si>
  <si>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</si>
  <si>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</si>
  <si>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</si>
  <si>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</si>
  <si>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</si>
  <si>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</si>
  <si>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</si>
  <si>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</si>
  <si>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</si>
  <si>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</si>
  <si>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</si>
  <si>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</si>
  <si>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</si>
  <si>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</si>
  <si>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</si>
  <si>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</si>
  <si>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</si>
  <si>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</si>
  <si>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</si>
  <si>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</si>
  <si>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</si>
  <si>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</si>
  <si>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</si>
  <si>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</si>
  <si>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</si>
  <si>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</si>
  <si>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</si>
  <si>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</si>
  <si>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</si>
  <si>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</si>
  <si>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</si>
  <si>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</si>
  <si>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</si>
  <si>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</si>
  <si>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</si>
  <si>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</si>
  <si>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</si>
  <si>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</si>
  <si>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</si>
  <si>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</si>
  <si>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</si>
  <si>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</si>
  <si>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</si>
  <si>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</si>
  <si>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</si>
  <si>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</si>
  <si>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</si>
  <si>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</si>
  <si>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</si>
  <si>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</si>
  <si>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</si>
  <si>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</si>
  <si>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</si>
  <si>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</si>
  <si>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</si>
  <si>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</si>
  <si>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</si>
  <si>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</si>
  <si>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</si>
  <si>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</si>
  <si>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</si>
  <si>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</si>
  <si>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</si>
  <si>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</si>
  <si>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</si>
  <si>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</si>
  <si>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</si>
  <si>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</si>
  <si>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</si>
  <si>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</si>
  <si>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</si>
  <si>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</si>
  <si>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</si>
  <si>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</si>
  <si>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</si>
  <si>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</si>
  <si>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</si>
  <si>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</si>
  <si>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</si>
  <si>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</si>
  <si>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</si>
  <si>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</si>
  <si>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</si>
  <si>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</si>
  <si>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</si>
  <si>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</si>
  <si>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</si>
  <si>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</si>
  <si>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</si>
  <si>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</si>
  <si>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</si>
  <si>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</si>
  <si>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</si>
  <si>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</si>
  <si>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</si>
  <si>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</si>
  <si>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</si>
  <si>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</si>
  <si>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</si>
  <si>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</si>
  <si>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</si>
  <si>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</si>
  <si>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</si>
  <si>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</si>
  <si>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</si>
  <si>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</si>
  <si>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</si>
  <si>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</si>
  <si>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</si>
  <si>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</si>
  <si>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</si>
  <si>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</si>
  <si>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</si>
  <si>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</si>
  <si>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</si>
  <si>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</si>
  <si>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</si>
  <si>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</si>
  <si>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</si>
  <si>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</si>
  <si>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</si>
  <si>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</si>
  <si>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</si>
  <si>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</si>
  <si>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</si>
  <si>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</si>
  <si>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</si>
  <si>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</si>
  <si>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</si>
  <si>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</si>
  <si>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</si>
  <si>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</si>
  <si>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</si>
  <si>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</si>
  <si>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</si>
  <si>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</si>
  <si>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</si>
  <si>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</si>
  <si>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</si>
  <si>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</si>
  <si>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</si>
  <si>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</si>
  <si>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</si>
  <si>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</si>
  <si>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</si>
  <si>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</si>
  <si>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</si>
  <si>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</si>
  <si>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</si>
  <si>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</si>
  <si>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</si>
  <si>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</si>
  <si>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</si>
  <si>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</si>
  <si>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</si>
  <si>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</si>
  <si>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</si>
  <si>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</si>
  <si>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</si>
  <si>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</si>
  <si>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</si>
  <si>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</si>
  <si>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</si>
  <si>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</si>
  <si>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</si>
  <si>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</si>
  <si>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</si>
  <si>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</si>
  <si>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</si>
  <si>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</si>
  <si>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</si>
  <si>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</si>
  <si>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</si>
  <si>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</si>
  <si>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</si>
  <si>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</si>
  <si>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</si>
  <si>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</si>
  <si>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</si>
  <si>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</si>
  <si>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</si>
  <si>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</si>
  <si>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</si>
  <si>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</si>
  <si>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</si>
  <si>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</si>
  <si>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</si>
  <si>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</si>
  <si>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</si>
  <si>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</si>
  <si>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</si>
  <si>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</si>
  <si>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</si>
  <si>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</si>
  <si>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</si>
  <si>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</si>
  <si>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</si>
  <si>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</si>
  <si>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</si>
  <si>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</si>
  <si>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</si>
  <si>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</si>
  <si>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</si>
  <si>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</si>
  <si>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</si>
  <si>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</si>
  <si>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</si>
  <si>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</si>
  <si>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</si>
  <si>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</si>
  <si>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</si>
  <si>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</si>
  <si>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</si>
  <si>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</si>
  <si>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</si>
  <si>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</si>
  <si>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</si>
  <si>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</si>
  <si>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</si>
  <si>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</si>
  <si>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</si>
  <si>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</si>
  <si>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</si>
  <si>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</si>
  <si>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</si>
  <si>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</si>
  <si>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</si>
  <si>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</si>
  <si>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</si>
  <si>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</si>
  <si>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</si>
  <si>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</si>
  <si>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</si>
  <si>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</si>
  <si>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</si>
  <si>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</si>
  <si>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</si>
  <si>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</si>
  <si>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</si>
  <si>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</si>
  <si>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</si>
  <si>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</si>
  <si>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</si>
  <si>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</si>
  <si>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</si>
  <si>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</si>
  <si>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</si>
  <si>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</si>
  <si>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</si>
  <si>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</si>
  <si>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</si>
  <si>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</si>
  <si>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</si>
  <si>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</si>
  <si>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</si>
  <si>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</si>
  <si>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</si>
  <si>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</si>
  <si>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</si>
  <si>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</si>
  <si>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</si>
  <si>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</si>
  <si>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</si>
  <si>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</si>
  <si>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</si>
  <si>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</si>
  <si>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</si>
  <si>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</si>
  <si>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</si>
  <si>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</si>
  <si>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</si>
  <si>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</si>
  <si>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</si>
  <si>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</si>
  <si>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</si>
  <si>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</si>
  <si>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</si>
  <si>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</si>
  <si>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</si>
  <si>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</si>
  <si>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</si>
  <si>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</si>
  <si>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</si>
  <si>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</si>
  <si>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</si>
  <si>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</si>
  <si>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</si>
  <si>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</si>
  <si>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</si>
  <si>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</si>
  <si>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</si>
  <si>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</si>
  <si>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</si>
  <si>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</si>
  <si>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</si>
  <si>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</si>
  <si>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</si>
  <si>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</si>
  <si>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</si>
  <si>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</si>
  <si>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</si>
  <si>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</si>
  <si>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</si>
  <si>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</si>
  <si>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</si>
  <si>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</si>
  <si>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</si>
  <si>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</si>
  <si>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</si>
  <si>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</si>
  <si>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</si>
  <si>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</si>
  <si>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</si>
  <si>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</si>
  <si>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</si>
  <si>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</si>
  <si>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</si>
  <si>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</si>
  <si>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</si>
  <si>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</si>
  <si>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</si>
  <si>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</si>
  <si>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</si>
  <si>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</si>
  <si>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</si>
  <si>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</si>
  <si>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</si>
  <si>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</si>
  <si>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</si>
  <si>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</si>
  <si>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</si>
  <si>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</si>
  <si>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</si>
  <si>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</si>
  <si>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</si>
  <si>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</si>
  <si>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</si>
  <si>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</si>
  <si>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</si>
  <si>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</si>
  <si>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</si>
  <si>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</si>
  <si>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</si>
  <si>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</si>
  <si>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</si>
  <si>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</si>
  <si>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</si>
  <si>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</si>
  <si>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</si>
  <si>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</si>
  <si>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</si>
  <si>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</si>
  <si>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</si>
  <si>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</si>
  <si>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</si>
  <si>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</si>
  <si>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</si>
  <si>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</si>
  <si>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</si>
  <si>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</si>
  <si>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</si>
  <si>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</si>
  <si>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</si>
  <si>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</si>
  <si>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</si>
  <si>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</si>
  <si>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</si>
  <si>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</si>
  <si>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</si>
  <si>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</si>
  <si>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</si>
  <si>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</si>
  <si>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</si>
  <si>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</si>
  <si>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</si>
  <si>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</si>
  <si>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</si>
  <si>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</si>
  <si>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</si>
  <si>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</si>
  <si>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</si>
  <si>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</si>
  <si>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</si>
  <si>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</si>
  <si>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</si>
  <si>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</si>
  <si>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</si>
  <si>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</si>
  <si>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</si>
  <si>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</si>
  <si>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</si>
  <si>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</si>
  <si>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</si>
  <si>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</si>
  <si>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</si>
  <si>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</si>
  <si>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</si>
  <si>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</si>
  <si>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</si>
  <si>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</si>
  <si>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</si>
  <si>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</si>
  <si>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</si>
  <si>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</si>
  <si>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</si>
  <si>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</si>
  <si>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</si>
  <si>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</si>
  <si>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</si>
  <si>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</si>
  <si>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</si>
  <si>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</si>
  <si>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</si>
  <si>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</si>
  <si>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</si>
  <si>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</si>
  <si>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</si>
  <si>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</si>
  <si>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</si>
  <si>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</si>
  <si>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</si>
  <si>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</si>
  <si>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</si>
  <si>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</si>
  <si>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</si>
  <si>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</si>
  <si>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</si>
  <si>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</si>
  <si>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</si>
  <si>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</si>
  <si>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</si>
  <si>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</si>
  <si>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</si>
  <si>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</si>
  <si>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</si>
  <si>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</si>
  <si>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</si>
  <si>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</si>
  <si>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</si>
  <si>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</si>
  <si>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</si>
  <si>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</si>
  <si>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</si>
  <si>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</si>
  <si>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</si>
  <si>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</si>
  <si>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</si>
  <si>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</si>
  <si>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</si>
  <si>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</si>
  <si>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</si>
  <si>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</si>
  <si>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</si>
  <si>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</si>
  <si>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</si>
  <si>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</si>
  <si>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</si>
  <si>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</si>
  <si>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</si>
  <si>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</si>
  <si>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</si>
  <si>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</si>
  <si>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</si>
  <si>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</si>
  <si>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</si>
  <si>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</si>
  <si>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</si>
  <si>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</si>
  <si>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</si>
  <si>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</si>
  <si>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</si>
  <si>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</si>
  <si>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</si>
  <si>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</si>
  <si>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</si>
  <si>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</si>
  <si>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</si>
  <si>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</si>
  <si>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</si>
  <si>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</si>
  <si>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</si>
  <si>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</si>
  <si>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</si>
  <si>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</si>
  <si>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</si>
  <si>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</si>
  <si>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</si>
  <si>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</si>
  <si>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</si>
  <si>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</si>
  <si>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</si>
  <si>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</si>
  <si>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</si>
  <si>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</si>
  <si>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</si>
  <si>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</si>
  <si>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</si>
  <si>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</si>
  <si>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</si>
  <si>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</si>
  <si>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</si>
  <si>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</si>
  <si>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</si>
  <si>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</si>
  <si>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</si>
  <si>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</si>
  <si>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</si>
  <si>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</si>
  <si>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</si>
  <si>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</si>
  <si>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</si>
  <si>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</si>
  <si>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</si>
  <si>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</si>
  <si>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</si>
  <si>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</si>
  <si>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</si>
  <si>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</si>
  <si>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</si>
  <si>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</si>
  <si>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</si>
  <si>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</si>
  <si>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</si>
  <si>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</si>
  <si>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</si>
  <si>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</si>
  <si>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</si>
  <si>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</si>
  <si>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</si>
  <si>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</si>
  <si>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</si>
  <si>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</si>
  <si>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</si>
  <si>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</si>
  <si>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</si>
  <si>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</si>
  <si>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</si>
  <si>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</si>
  <si>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</si>
  <si>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</si>
  <si>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</si>
  <si>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</si>
  <si>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</si>
  <si>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</si>
  <si>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</si>
  <si>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</si>
  <si>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</si>
  <si>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</si>
  <si>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</si>
  <si>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</si>
  <si>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</si>
  <si>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</si>
  <si>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</si>
  <si>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</si>
  <si>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</si>
  <si>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</si>
  <si>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</si>
  <si>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</si>
  <si>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</si>
  <si>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</si>
  <si>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</si>
  <si>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</si>
  <si>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</si>
  <si>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</si>
  <si>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</si>
  <si>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</si>
  <si>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</si>
  <si>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</si>
  <si>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</si>
  <si>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</si>
  <si>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</si>
  <si>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</si>
  <si>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</si>
  <si>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</si>
  <si>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</si>
  <si>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</si>
  <si>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</si>
  <si>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</si>
  <si>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</si>
  <si>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</si>
  <si>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</si>
  <si>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</si>
  <si>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</si>
  <si>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</si>
  <si>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</si>
  <si>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</si>
  <si>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</si>
  <si>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</si>
  <si>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</si>
  <si>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</si>
  <si>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</si>
  <si>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</si>
  <si>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</si>
  <si>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</si>
  <si>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</si>
  <si>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</si>
  <si>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</si>
  <si>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</si>
  <si>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</si>
  <si>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</si>
  <si>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</si>
  <si>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</si>
  <si>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</si>
  <si>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</si>
  <si>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</si>
  <si>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</si>
  <si>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</si>
  <si>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</si>
  <si>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</si>
  <si>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</si>
  <si>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</si>
  <si>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</si>
  <si>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</si>
  <si>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</si>
  <si>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</si>
  <si>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</si>
  <si>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</si>
  <si>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</si>
  <si>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</si>
  <si>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</si>
  <si>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</si>
  <si>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</si>
  <si>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</si>
  <si>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</si>
  <si>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</si>
  <si>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</si>
  <si>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</si>
  <si>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</si>
  <si>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</si>
  <si>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</si>
  <si>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</si>
  <si>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</si>
  <si>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</si>
  <si>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</si>
  <si>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</si>
  <si>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</si>
  <si>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</si>
  <si>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</si>
  <si>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</si>
  <si>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</si>
  <si>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</si>
  <si>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</si>
  <si>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</si>
  <si>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</si>
  <si>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</si>
  <si>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</si>
  <si>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</si>
  <si>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</si>
  <si>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</si>
  <si>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</si>
  <si>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</si>
  <si>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</si>
  <si>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</si>
  <si>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</si>
  <si>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</si>
  <si>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</si>
  <si>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</si>
  <si>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</si>
  <si>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</si>
  <si>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</si>
  <si>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</si>
  <si>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</si>
  <si>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</si>
  <si>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</si>
  <si>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</si>
  <si>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</si>
  <si>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</si>
  <si>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</si>
  <si>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</si>
  <si>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</si>
  <si>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</si>
  <si>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</si>
  <si>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</si>
  <si>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</si>
  <si>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</si>
  <si>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</si>
  <si>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</si>
  <si>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</si>
  <si>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</si>
  <si>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</si>
  <si>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</si>
  <si>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</si>
  <si>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</si>
  <si>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</si>
  <si>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</si>
  <si>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</si>
  <si>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</si>
  <si>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</si>
  <si>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</si>
  <si>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</si>
  <si>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</si>
  <si>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</si>
  <si>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</si>
  <si>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</si>
  <si>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</si>
  <si>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</si>
  <si>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</si>
  <si>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</si>
  <si>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</si>
  <si>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</si>
  <si>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</si>
  <si>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</si>
  <si>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</si>
  <si>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</si>
  <si>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</si>
  <si>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</si>
  <si>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</si>
  <si>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</si>
  <si>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</si>
  <si>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</si>
  <si>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</si>
  <si>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</si>
  <si>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</si>
  <si>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</si>
  <si>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</si>
  <si>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</si>
  <si>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</si>
  <si>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</si>
  <si>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</si>
  <si>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</si>
  <si>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</si>
  <si>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</si>
  <si>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</si>
  <si>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</si>
  <si>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</si>
  <si>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</si>
  <si>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</si>
  <si>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</si>
  <si>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</si>
  <si>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</si>
  <si>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</si>
  <si>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</si>
  <si>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</si>
  <si>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</si>
  <si>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</si>
  <si>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</si>
  <si>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</si>
  <si>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</si>
  <si>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</si>
  <si>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</si>
  <si>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</si>
  <si>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</si>
  <si>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</si>
  <si>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</si>
  <si>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</si>
  <si>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</si>
  <si>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</si>
  <si>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</si>
  <si>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</si>
  <si>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</si>
  <si>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</si>
  <si>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</si>
  <si>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</si>
  <si>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</si>
  <si>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</si>
  <si>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</si>
  <si>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</si>
  <si>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</si>
  <si>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</si>
  <si>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</si>
  <si>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</si>
  <si>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</si>
  <si>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</si>
  <si>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</si>
  <si>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</si>
  <si>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</si>
  <si>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</si>
  <si>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</si>
  <si>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</si>
  <si>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</si>
  <si>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</si>
  <si>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</si>
  <si>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</si>
  <si>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</si>
  <si>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</si>
  <si>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</si>
  <si>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</si>
  <si>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</si>
  <si>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</si>
  <si>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</si>
  <si>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</si>
  <si>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</si>
  <si>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</si>
  <si>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</si>
  <si>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</si>
  <si>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</si>
  <si>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</si>
  <si>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</si>
  <si>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</si>
  <si>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</si>
  <si>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</si>
  <si>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</si>
  <si>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</si>
  <si>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</si>
  <si>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</si>
  <si>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</si>
  <si>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</si>
  <si>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</si>
  <si>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</si>
  <si>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</si>
  <si>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</si>
  <si>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</si>
  <si>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</si>
  <si>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</si>
  <si>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</si>
  <si>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</si>
  <si>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</si>
  <si>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</si>
  <si>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</si>
  <si>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</si>
  <si>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</si>
  <si>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</si>
  <si>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</si>
  <si>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</si>
  <si>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</si>
  <si>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</si>
  <si>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</si>
  <si>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</si>
  <si>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</si>
  <si>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</si>
  <si>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</si>
  <si>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</si>
  <si>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</si>
  <si>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</si>
  <si>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</si>
  <si>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</si>
  <si>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</si>
  <si>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</si>
  <si>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</si>
  <si>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</si>
  <si>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</si>
  <si>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</si>
  <si>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</si>
  <si>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</si>
  <si>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</si>
  <si>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</si>
  <si>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</si>
  <si>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</si>
  <si>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</si>
  <si>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</si>
  <si>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</si>
  <si>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</si>
  <si>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</si>
  <si>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</si>
  <si>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</si>
  <si>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</si>
  <si>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</si>
  <si>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</si>
  <si>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</si>
  <si>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</si>
  <si>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</si>
  <si>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</si>
  <si>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</si>
  <si>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</si>
  <si>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</si>
  <si>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</si>
  <si>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</si>
  <si>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</si>
  <si>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</si>
  <si>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</si>
  <si>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</si>
  <si>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</si>
  <si>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</si>
  <si>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</si>
  <si>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</si>
  <si>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</si>
  <si>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</si>
  <si>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</si>
  <si>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</si>
  <si>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</si>
  <si>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</si>
  <si>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</si>
  <si>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</si>
  <si>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</si>
  <si>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</si>
  <si>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</si>
  <si>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</si>
  <si>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</si>
  <si>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</si>
  <si>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</si>
  <si>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</si>
  <si>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</si>
  <si>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</si>
  <si>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</si>
  <si>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</si>
  <si>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</si>
  <si>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</si>
  <si>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</si>
  <si>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</si>
  <si>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</si>
  <si>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</si>
  <si>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</si>
  <si>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</si>
  <si>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</si>
  <si>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</si>
  <si>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</si>
  <si>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</si>
  <si>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</si>
  <si>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</si>
  <si>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</si>
  <si>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</si>
  <si>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</si>
  <si>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</si>
  <si>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</si>
  <si>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</si>
  <si>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</si>
  <si>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</si>
  <si>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</si>
  <si>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</si>
  <si>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</si>
  <si>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</si>
  <si>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</si>
  <si>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</si>
  <si>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</si>
  <si>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</si>
  <si>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</si>
  <si>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</si>
  <si>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</si>
  <si>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</si>
  <si>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</si>
  <si>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</si>
  <si>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</si>
  <si>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</si>
  <si>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</si>
  <si>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</si>
  <si>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</si>
  <si>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</si>
  <si>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</si>
  <si>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</si>
  <si>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</si>
  <si>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</si>
  <si>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</si>
  <si>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</si>
  <si>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</si>
  <si>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</si>
  <si>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</si>
  <si>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</si>
  <si>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</si>
  <si>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</si>
  <si>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</si>
  <si>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33023803</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</si>
  <si>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</si>
  <si>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</si>
  <si>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</si>
  <si>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</si>
  <si>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</si>
  <si>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</si>
  <si>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</si>
  <si>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</si>
  <si>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</si>
  <si>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</si>
  <si>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</si>
  <si>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</si>
  <si>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</si>
  <si>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</si>
  <si>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</si>
  <si>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</si>
  <si>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</si>
  <si>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</si>
  <si>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</si>
  <si>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</si>
  <si>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</si>
  <si>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</si>
  <si>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</si>
  <si>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</si>
  <si>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</si>
  <si>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</si>
  <si>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</si>
  <si>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</si>
  <si>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</si>
  <si>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</si>
  <si>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</si>
  <si>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</si>
  <si>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</si>
  <si>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</si>
  <si>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</si>
  <si>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</si>
  <si>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</si>
  <si>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</si>
  <si>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</si>
  <si>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</si>
  <si>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</si>
  <si>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</si>
  <si>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</si>
  <si>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</si>
  <si>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</si>
  <si>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</si>
  <si>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</si>
  <si>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</si>
  <si>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</si>
  <si>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</si>
  <si>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</si>
  <si>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</si>
  <si>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</si>
  <si>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</si>
  <si>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</si>
  <si>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</si>
  <si>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</si>
  <si>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</si>
  <si>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</si>
  <si>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</si>
  <si>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</si>
  <si>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</si>
  <si>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</si>
  <si>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</si>
  <si>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</si>
  <si>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</si>
  <si>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</si>
  <si>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</si>
  <si>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</si>
  <si>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</si>
  <si>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</si>
  <si>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</si>
  <si>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</si>
  <si>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</si>
  <si>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</si>
  <si>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</si>
  <si>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</si>
  <si>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</si>
  <si>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FINDING (NRC) TASKCARD 534150-01-1 (02) / AFT CARGO --- CALLBACK --- AFT CARGO COMPARTMENT 152EF LOOSE BRACKET ON THE AFT END, BETWEEN FR52 AND FR53.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</si>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</sst>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7">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sz val="9.5"/>
      <color rgb="FFFF0000"/>
      <name val="Calibri"/>
    </font>
    <font>
      <b/>
      <sz val="9"/>
      <color rgb="FFFFFFFF"/>
      <name val="Calibri"/>
    </font>
    <font>
      <b/>
      <sz val="10"/>
      <color rgb="FF000000"/>
      <name val="Arial"/>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28">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104" fillId="0" borderId="26" xfId="0" applyFont="1" applyBorder="1" applyAlignment="1">
      <alignment horizontal="left" vertical="center" wrapText="1"/>
    </xf>
    <xf numFmtId="0" fontId="0" fillId="0" borderId="27" xfId="0"/>
    <xf numFmtId="0" fontId="0" fillId="0" borderId="27" xfId="0" applyAlignment="1">
      <alignment horizontal="left" vertical="center"/>
    </xf>
    <xf numFmtId="0" fontId="0" fillId="0" borderId="27" xfId="0" applyAlignment="1">
      <alignment horizontal="left" vertical="center" wrapText="1"/>
    </xf>
    <xf numFmtId="0" fontId="0" fillId="0" borderId="27" xfId="0" applyAlignment="1">
      <alignment horizontal="center" vertical="center"/>
    </xf>
    <xf numFmtId="0" fontId="0" fillId="0" borderId="27" xfId="0" applyAlignment="1">
      <alignment horizontal="center" vertical="center" wrapText="1"/>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5"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0" fillId="0" borderId="28" xfId="0" applyBorder="1" applyAlignment="1">
      <alignment horizontal="center" vertical="center"/>
    </xf>
    <xf numFmtId="0" fontId="0" fillId="0" borderId="28" xfId="0" applyBorder="1" applyAlignment="1">
      <alignment horizontal="left" vertical="center" wrapText="1"/>
    </xf>
    <xf numFmtId="0" fontId="0" fillId="0" borderId="28" xfId="0" applyBorder="1" applyAlignment="1">
      <alignment horizontal="center" vertical="center" wrapText="1"/>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6" fillId="0" borderId="8" xfId="0" applyNumberFormat="1" applyFont="1" applyBorder="1" applyAlignment="1">
      <alignment horizontal="center" vertical="center"/>
    </xf>
    <xf numFmtId="0" fontId="1" fillId="6" borderId="7" xfId="0" applyFont="1" applyFill="1" applyBorder="1" applyAlignment="1">
      <alignment horizontal="center" vertical="center"/>
    </xf>
    <xf numFmtId="0" fontId="15" fillId="5" borderId="5" xfId="0" applyFont="1" applyFill="1" applyBorder="1" applyAlignment="1">
      <alignment horizontal="center" vertical="center"/>
    </xf>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96" fillId="31" borderId="27" xfId="0" applyFont="1" applyFill="1" applyAlignment="1">
      <alignment horizontal="center" vertical="center"/>
    </xf>
    <xf numFmtId="0" fontId="52" fillId="14" borderId="9" xfId="0" applyFont="1" applyFill="1" applyBorder="1" applyAlignment="1">
      <alignment horizontal="left" vertical="center" indent="1"/>
    </xf>
    <xf numFmtId="0" fontId="22" fillId="31" borderId="27" xfId="0" applyFont="1" applyFill="1" applyAlignment="1">
      <alignment horizontal="left" vertical="center"/>
    </xf>
    <xf numFmtId="0" fontId="92" fillId="0" borderId="23" xfId="0" applyFont="1" applyBorder="1" applyAlignment="1">
      <alignment horizontal="left" vertical="center"/>
    </xf>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xf numFmtId="0" fontId="0" fillId="0" borderId="7" xfId="0" applyBorder="1" applyAlignment="1"/>
    <xf numFmtId="0" fontId="0" fillId="0" borderId="28"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3" xfId="0" applyBorder="1" applyAlignment="1"/>
  </cellXfs>
  <cellStyles count="1">
    <cellStyle name="عادي"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2E7D32"/>
      </font>
      <fill>
        <patternFill patternType="solid">
          <bgColor rgb="FFE8F5E9"/>
        </patternFill>
      </fill>
    </dxf>
    <dxf>
      <font>
        <color rgb="FF01579B"/>
      </font>
      <fill>
        <patternFill patternType="solid">
          <bgColor rgb="FFE1F5FE"/>
        </patternFill>
      </fill>
    </dxf>
    <dxf>
      <font>
        <color rgb="FF6A1B9A"/>
      </font>
      <fill>
        <patternFill patternType="solid">
          <bgColor rgb="FFF3E5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6">
      <filters blank="1">
        <filter val="CAB"/>
        <filter val="JOINT"/>
        <filter val="PAINT"/>
        <filter val="S/M"/>
        <filter val="SEAT"/>
        <filter val="WALL"/>
      </filters>
    </filterColumn>
    <filterColumn colId="10">
      <filters blank="1">
        <filter val="FWD"/>
        <filter val="JOINT"/>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0"/>
    <tableColumn id="2" xr3:uid="{00000000-0010-0000-0100-000002000000}" name="Category" dataDxfId="19"/>
    <tableColumn id="4" xr3:uid="{00000000-0010-0000-0100-000004000000}" name="Sub-Category" dataDxfId="18"/>
    <tableColumn id="3" xr3:uid="{00000000-0010-0000-0100-000003000000}" name="Finding Description" dataDxfId="17"/>
    <tableColumn id="7" xr3:uid="{00000000-0010-0000-0100-000007000000}" name="Remarks" dataDxfId="16"/>
    <tableColumn id="10" xr3:uid="{00000000-0010-0000-0100-00000A000000}" name="Photo URL"/>
    <tableColumn id="5" xr3:uid="{00000000-0010-0000-0100-000005000000}" name="AMOS Status" dataDxfId="15"/>
    <tableColumn id="6" xr3:uid="{00000000-0010-0000-0100-000006000000}" name="WO No." dataDxfId="14"/>
    <tableColumn id="8" xr3:uid="{00000000-0010-0000-0100-000008000000}" name="P/N Required" dataDxfId="13"/>
    <tableColumn id="11" xr3:uid="{00000000-0010-0000-0100-00000B000000}"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amos://PA.E60614-00-0240&amp;:=;E60614-00-0240/" TargetMode="External"/><Relationship Id="rId1" Type="http://schemas.openxmlformats.org/officeDocument/2006/relationships/hyperlink" Target="amos://PA.E60614-00-0240&amp;:=;E60614-00-024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80" zoomScaleNormal="80" workbookViewId="0">
      <pane ySplit="3" topLeftCell="A280" activePane="bottomLeft" state="frozen"/>
      <selection pane="bottomLeft" activeCell="F3" sqref="F3"/>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59" t="s">
        <v>0</v>
      </c>
      <c r="B1" s="217"/>
      <c r="C1" s="217"/>
      <c r="D1" s="217"/>
      <c r="E1" s="160" t="str">
        <f ca="1">IF(OR(NOT(ISNUMBER(DASHBOARD!$M$1)),NOT(ISNUMBER(DASHBOARD!$M$2))),"PENDING","DAY "&amp;MAX(MIN(TODAY()-DASHBOARD!$M$1+1,DASHBOARD!$M$2-DASHBOARD!$M$1+1),0)&amp;"/"&amp;(DASHBOARD!$M$2-DASHBOARD!$M$1+1))</f>
        <v>DAY 33/38</v>
      </c>
      <c r="F1" s="218"/>
      <c r="G1" s="218"/>
      <c r="H1" s="163" t="str">
        <f>"✅ "&amp;COUNTIFS(A4:A992,"&lt;&gt;",E4:E992,"Closed")&amp;" / "&amp;COUNTIF(A4:A992,"&lt;&gt;")&amp;" Closed ("&amp;TEXT(IFERROR(COUNTIFS(A4:A992,"&lt;&gt;",E4:E992,"Closed")/COUNTIF(A4:A992,"&lt;&gt;"),0),"0%")&amp;")"</f>
        <v>✅ 139 / 431 Closed (32%)</v>
      </c>
      <c r="I1" s="218"/>
      <c r="J1" s="218"/>
      <c r="K1" s="218"/>
      <c r="L1" s="218"/>
      <c r="M1" s="218"/>
      <c r="N1" s="218"/>
      <c r="O1" s="218"/>
      <c r="P1" s="218"/>
      <c r="Q1" s="218"/>
    </row>
    <row r="2" spans="1:17" ht="19.899999999999999" customHeight="1">
      <c r="A2" s="162" t="str">
        <f>IF(COUNT($L$4:$L$992)=0,"No dated updates yet — type todays date (e.g. 19/7) in column L when you edit a row","LAST UPDATE: "&amp;TEXT(MAX($L$4:$L$992),"DD-MMM")&amp;"  ·  "&amp;COUNTIF($L$4:$L$992,MAX($L$4:$L$992))&amp;" row(s) updated  —  filter column L for details")</f>
        <v>LAST UPDATE: 04-Aug  ·  10 row(s) updated  —  filter column L for details</v>
      </c>
      <c r="B2" s="219"/>
      <c r="C2" s="219"/>
      <c r="D2" s="219"/>
      <c r="E2" s="220"/>
      <c r="F2" s="220"/>
      <c r="G2" s="220"/>
      <c r="H2" s="161" t="str">
        <f>"🔴 AOG WO: "&amp;COUNTIFS(A4:A992,"&lt;&gt;",F4:F992,"AOG",E4:E992,"&lt;&gt;Closed")&amp;"     ⚠️ Critical WO: "&amp;COUNTIFS(A4:A992,"&lt;&gt;",F4:F992,"Critical",E4:E992,"&lt;&gt;Closed")&amp;"     🔓 Access WO: "&amp;COUNTIFS(A4:A992,"&lt;&gt;",F4:F992,"ACCESS",E4:E992,"&lt;&gt;Closed")</f>
        <v>🔴 AOG WO: 19     ⚠️ Critical WO: 19     🔓 Access WO: 24</v>
      </c>
      <c r="I2" s="220"/>
      <c r="J2" s="220"/>
      <c r="K2" s="220"/>
      <c r="L2" s="220"/>
      <c r="M2" s="220"/>
      <c r="N2" s="220"/>
      <c r="O2" s="220"/>
      <c r="P2" s="220"/>
      <c r="Q2" s="220"/>
    </row>
    <row r="3" spans="1:17" s="1" customFormat="1" ht="31.5" customHeight="1">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 r="A4" s="30" t="s">
        <v>18</v>
      </c>
      <c r="B4" s="31" t="s">
        <v>19</v>
      </c>
      <c r="C4" s="32" t="s">
        <v>20</v>
      </c>
      <c r="D4" s="33" t="s">
        <v>21</v>
      </c>
      <c r="E4" s="34" t="s">
        <v>22</v>
      </c>
      <c r="F4" s="34" t="s">
        <v>23</v>
      </c>
      <c r="G4" s="33" t="s">
        <v>24</v>
      </c>
      <c r="H4" s="35"/>
      <c r="I4" s="36"/>
      <c r="J4" s="34"/>
      <c r="K4" s="34" t="s">
        <v>25</v>
      </c>
      <c r="L4" s="37"/>
      <c r="M4" s="89"/>
      <c r="N4" s="39">
        <v>3</v>
      </c>
      <c r="O4" s="90"/>
      <c r="P4" s="39">
        <v>22.5</v>
      </c>
      <c r="Q4" s="39">
        <v>47.1</v>
      </c>
    </row>
    <row r="5" spans="1:17" ht="15.75" hidden="1">
      <c r="A5" s="30" t="s">
        <v>26</v>
      </c>
      <c r="B5" s="31" t="s">
        <v>27</v>
      </c>
      <c r="C5" s="32">
        <v>18</v>
      </c>
      <c r="D5" s="33" t="s">
        <v>21</v>
      </c>
      <c r="E5" s="34" t="s">
        <v>22</v>
      </c>
      <c r="F5" s="34" t="s">
        <v>23</v>
      </c>
      <c r="G5" s="33" t="s">
        <v>24</v>
      </c>
      <c r="H5" s="35"/>
      <c r="I5" s="36" t="s">
        <v>28</v>
      </c>
      <c r="J5" s="34"/>
      <c r="K5" s="34" t="s">
        <v>29</v>
      </c>
      <c r="L5" s="37"/>
      <c r="M5" s="89"/>
      <c r="N5" s="39">
        <v>4.9000000000000004</v>
      </c>
      <c r="O5" s="90"/>
      <c r="P5" s="39">
        <v>14</v>
      </c>
      <c r="Q5" s="39">
        <v>39.4</v>
      </c>
    </row>
    <row r="6" spans="1:17" ht="15.75">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hidden="1">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hidden="1">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ht="15.75">
      <c r="A10" s="30" t="s">
        <v>54</v>
      </c>
      <c r="B10" s="31" t="s">
        <v>55</v>
      </c>
      <c r="C10" s="32" t="s">
        <v>56</v>
      </c>
      <c r="D10" s="33" t="s">
        <v>49</v>
      </c>
      <c r="E10" s="34" t="s">
        <v>22</v>
      </c>
      <c r="F10" s="34" t="s">
        <v>35</v>
      </c>
      <c r="G10" s="33" t="s">
        <v>50</v>
      </c>
      <c r="H10" s="35" t="s">
        <v>51</v>
      </c>
      <c r="I10" s="36" t="s">
        <v>57</v>
      </c>
      <c r="J10" s="34" t="s">
        <v>37</v>
      </c>
      <c r="K10" s="34" t="s">
        <v>25</v>
      </c>
      <c r="L10" s="37">
        <v>46222</v>
      </c>
      <c r="M10" s="38"/>
      <c r="N10" s="39">
        <v>2</v>
      </c>
      <c r="O10" s="40" t="s">
        <v>53</v>
      </c>
      <c r="P10" s="39"/>
      <c r="Q10" s="39"/>
    </row>
    <row r="11" spans="1:17" ht="15.75">
      <c r="A11" s="30" t="s">
        <v>58</v>
      </c>
      <c r="B11" s="31" t="s">
        <v>59</v>
      </c>
      <c r="C11" s="32" t="s">
        <v>60</v>
      </c>
      <c r="D11" s="33" t="s">
        <v>61</v>
      </c>
      <c r="E11" s="34" t="s">
        <v>22</v>
      </c>
      <c r="F11" s="34" t="s">
        <v>62</v>
      </c>
      <c r="G11" s="33" t="s">
        <v>50</v>
      </c>
      <c r="H11" s="35" t="s">
        <v>51</v>
      </c>
      <c r="I11" s="36" t="s">
        <v>63</v>
      </c>
      <c r="J11" s="34" t="s">
        <v>37</v>
      </c>
      <c r="K11" s="34" t="s">
        <v>24</v>
      </c>
      <c r="L11" s="37">
        <v>46222</v>
      </c>
      <c r="M11" s="38"/>
      <c r="N11" s="39">
        <v>4</v>
      </c>
      <c r="O11" s="40" t="s">
        <v>64</v>
      </c>
      <c r="P11" s="39"/>
      <c r="Q11" s="39"/>
    </row>
    <row r="12" spans="1:17" ht="31.5">
      <c r="A12" s="30" t="s">
        <v>65</v>
      </c>
      <c r="B12" s="31" t="s">
        <v>66</v>
      </c>
      <c r="C12" s="32" t="s">
        <v>67</v>
      </c>
      <c r="D12" s="33" t="s">
        <v>68</v>
      </c>
      <c r="E12" s="34" t="s">
        <v>22</v>
      </c>
      <c r="F12" s="34" t="s">
        <v>35</v>
      </c>
      <c r="G12" s="33" t="s">
        <v>24</v>
      </c>
      <c r="H12" s="35"/>
      <c r="I12" s="36" t="s">
        <v>42</v>
      </c>
      <c r="J12" s="34" t="s">
        <v>37</v>
      </c>
      <c r="K12" s="34" t="s">
        <v>24</v>
      </c>
      <c r="L12" s="37"/>
      <c r="M12" s="38"/>
      <c r="N12" s="39">
        <v>0.5</v>
      </c>
      <c r="O12" s="40" t="s">
        <v>69</v>
      </c>
      <c r="P12" s="39">
        <v>44</v>
      </c>
      <c r="Q12" s="39">
        <v>382.9</v>
      </c>
    </row>
    <row r="13" spans="1:17" ht="31.5">
      <c r="A13" s="30" t="s">
        <v>70</v>
      </c>
      <c r="B13" s="31" t="s">
        <v>71</v>
      </c>
      <c r="C13" s="32" t="s">
        <v>72</v>
      </c>
      <c r="D13" s="33" t="s">
        <v>73</v>
      </c>
      <c r="E13" s="34" t="s">
        <v>22</v>
      </c>
      <c r="F13" s="34" t="s">
        <v>35</v>
      </c>
      <c r="G13" s="33" t="s">
        <v>24</v>
      </c>
      <c r="H13" s="35"/>
      <c r="I13" s="36" t="s">
        <v>74</v>
      </c>
      <c r="J13" s="34" t="s">
        <v>37</v>
      </c>
      <c r="K13" s="34" t="s">
        <v>24</v>
      </c>
      <c r="L13" s="37"/>
      <c r="M13" s="38"/>
      <c r="N13" s="39">
        <v>0.2</v>
      </c>
      <c r="O13" s="40" t="s">
        <v>75</v>
      </c>
      <c r="P13" s="39">
        <v>15</v>
      </c>
      <c r="Q13" s="39">
        <v>370.4</v>
      </c>
    </row>
    <row r="14" spans="1:17" ht="15.75">
      <c r="A14" s="30" t="s">
        <v>76</v>
      </c>
      <c r="B14" s="31" t="s">
        <v>77</v>
      </c>
      <c r="C14" s="32" t="s">
        <v>78</v>
      </c>
      <c r="D14" s="33" t="s">
        <v>49</v>
      </c>
      <c r="E14" s="34" t="s">
        <v>34</v>
      </c>
      <c r="F14" s="34" t="s">
        <v>35</v>
      </c>
      <c r="G14" s="33" t="s">
        <v>24</v>
      </c>
      <c r="H14" s="35"/>
      <c r="I14" s="36" t="s">
        <v>79</v>
      </c>
      <c r="J14" s="34" t="s">
        <v>37</v>
      </c>
      <c r="K14" s="34" t="s">
        <v>25</v>
      </c>
      <c r="L14" s="37">
        <v>46223</v>
      </c>
      <c r="M14" s="38">
        <v>46223</v>
      </c>
      <c r="N14" s="39">
        <v>0.4</v>
      </c>
      <c r="O14" s="40" t="s">
        <v>80</v>
      </c>
      <c r="P14" s="39">
        <v>12</v>
      </c>
      <c r="Q14" s="39">
        <v>2.8</v>
      </c>
    </row>
    <row r="15" spans="1:17" ht="15.75" hidden="1">
      <c r="A15" s="30" t="s">
        <v>81</v>
      </c>
      <c r="B15" s="31" t="s">
        <v>82</v>
      </c>
      <c r="C15" s="32" t="s">
        <v>83</v>
      </c>
      <c r="D15" s="33" t="s">
        <v>73</v>
      </c>
      <c r="E15" s="34" t="s">
        <v>34</v>
      </c>
      <c r="F15" s="34" t="s">
        <v>35</v>
      </c>
      <c r="G15" s="33" t="s">
        <v>84</v>
      </c>
      <c r="H15" s="35"/>
      <c r="I15" s="36" t="s">
        <v>79</v>
      </c>
      <c r="J15" s="34" t="s">
        <v>37</v>
      </c>
      <c r="K15" s="34" t="s">
        <v>24</v>
      </c>
      <c r="L15" s="37">
        <v>46223</v>
      </c>
      <c r="M15" s="38">
        <v>46223</v>
      </c>
      <c r="N15" s="39">
        <v>0.2</v>
      </c>
      <c r="O15" s="40" t="s">
        <v>85</v>
      </c>
      <c r="P15" s="39">
        <v>0.8</v>
      </c>
      <c r="Q15" s="39">
        <v>0.8</v>
      </c>
    </row>
    <row r="16" spans="1:17" ht="15.75" hidden="1">
      <c r="A16" s="30" t="s">
        <v>86</v>
      </c>
      <c r="B16" s="31" t="s">
        <v>87</v>
      </c>
      <c r="C16" s="32" t="s">
        <v>88</v>
      </c>
      <c r="D16" s="33" t="s">
        <v>21</v>
      </c>
      <c r="E16" s="34" t="s">
        <v>22</v>
      </c>
      <c r="F16" s="34" t="s">
        <v>35</v>
      </c>
      <c r="G16" s="33" t="s">
        <v>84</v>
      </c>
      <c r="H16" s="35" t="s">
        <v>51</v>
      </c>
      <c r="I16" s="36" t="s">
        <v>89</v>
      </c>
      <c r="J16" s="34" t="s">
        <v>37</v>
      </c>
      <c r="K16" s="34" t="s">
        <v>25</v>
      </c>
      <c r="L16" s="37"/>
      <c r="M16" s="38"/>
      <c r="N16" s="39">
        <v>3.7</v>
      </c>
      <c r="O16" s="40" t="s">
        <v>90</v>
      </c>
      <c r="P16" s="39"/>
      <c r="Q16" s="39"/>
    </row>
    <row r="17" spans="1:17" ht="15.75" hidden="1">
      <c r="A17" s="30" t="s">
        <v>91</v>
      </c>
      <c r="B17" s="31" t="s">
        <v>92</v>
      </c>
      <c r="C17" s="32" t="s">
        <v>93</v>
      </c>
      <c r="D17" s="33" t="s">
        <v>21</v>
      </c>
      <c r="E17" s="34" t="s">
        <v>22</v>
      </c>
      <c r="F17" s="34" t="s">
        <v>35</v>
      </c>
      <c r="G17" s="33" t="s">
        <v>84</v>
      </c>
      <c r="H17" s="35"/>
      <c r="I17" s="36" t="s">
        <v>89</v>
      </c>
      <c r="J17" s="34" t="s">
        <v>37</v>
      </c>
      <c r="K17" s="34" t="s">
        <v>25</v>
      </c>
      <c r="L17" s="37"/>
      <c r="M17" s="38"/>
      <c r="N17" s="39">
        <v>0.5</v>
      </c>
      <c r="O17" s="40" t="s">
        <v>90</v>
      </c>
      <c r="P17" s="39">
        <v>2</v>
      </c>
      <c r="Q17" s="39">
        <v>309.3</v>
      </c>
    </row>
    <row r="18" spans="1:17" ht="15.75" hidden="1">
      <c r="A18" s="30" t="s">
        <v>94</v>
      </c>
      <c r="B18" s="31" t="s">
        <v>95</v>
      </c>
      <c r="C18" s="32" t="s">
        <v>96</v>
      </c>
      <c r="D18" s="33" t="s">
        <v>97</v>
      </c>
      <c r="E18" s="34" t="s">
        <v>34</v>
      </c>
      <c r="F18" s="34" t="s">
        <v>35</v>
      </c>
      <c r="G18" s="33" t="s">
        <v>84</v>
      </c>
      <c r="H18" s="35"/>
      <c r="I18" s="36" t="s">
        <v>36</v>
      </c>
      <c r="J18" s="34" t="s">
        <v>37</v>
      </c>
      <c r="K18" s="34" t="s">
        <v>25</v>
      </c>
      <c r="L18" s="37">
        <v>46232</v>
      </c>
      <c r="M18" s="38">
        <v>46232</v>
      </c>
      <c r="N18" s="39">
        <v>0.7</v>
      </c>
      <c r="O18" s="40" t="s">
        <v>98</v>
      </c>
      <c r="P18" s="39">
        <v>2.5</v>
      </c>
      <c r="Q18" s="39">
        <v>74.5</v>
      </c>
    </row>
    <row r="19" spans="1:17" ht="15.75" hidden="1">
      <c r="A19" s="30" t="s">
        <v>99</v>
      </c>
      <c r="B19" s="31" t="s">
        <v>100</v>
      </c>
      <c r="C19" s="32" t="s">
        <v>101</v>
      </c>
      <c r="D19" s="33" t="s">
        <v>21</v>
      </c>
      <c r="E19" s="34" t="s">
        <v>22</v>
      </c>
      <c r="F19" s="34" t="s">
        <v>35</v>
      </c>
      <c r="G19" s="33" t="s">
        <v>84</v>
      </c>
      <c r="H19" s="35" t="s">
        <v>51</v>
      </c>
      <c r="I19" s="36" t="s">
        <v>102</v>
      </c>
      <c r="J19" s="34" t="s">
        <v>37</v>
      </c>
      <c r="K19" s="34" t="s">
        <v>25</v>
      </c>
      <c r="L19" s="37"/>
      <c r="M19" s="38"/>
      <c r="N19" s="39">
        <v>1.5</v>
      </c>
      <c r="O19" s="40" t="s">
        <v>98</v>
      </c>
      <c r="P19" s="39">
        <v>3.2</v>
      </c>
      <c r="Q19" s="39">
        <v>235.4</v>
      </c>
    </row>
    <row r="20" spans="1:17" ht="31.5" hidden="1">
      <c r="A20" s="30" t="s">
        <v>103</v>
      </c>
      <c r="B20" s="31" t="s">
        <v>104</v>
      </c>
      <c r="C20" s="32" t="s">
        <v>105</v>
      </c>
      <c r="D20" s="33" t="s">
        <v>21</v>
      </c>
      <c r="E20" s="34" t="s">
        <v>22</v>
      </c>
      <c r="F20" s="34" t="s">
        <v>23</v>
      </c>
      <c r="G20" s="33" t="s">
        <v>84</v>
      </c>
      <c r="H20" s="35" t="s">
        <v>51</v>
      </c>
      <c r="I20" s="36" t="s">
        <v>106</v>
      </c>
      <c r="J20" s="34" t="s">
        <v>37</v>
      </c>
      <c r="K20" s="34" t="s">
        <v>25</v>
      </c>
      <c r="L20" s="37"/>
      <c r="M20" s="38"/>
      <c r="N20" s="39">
        <v>1.3</v>
      </c>
      <c r="O20" s="40" t="s">
        <v>98</v>
      </c>
      <c r="P20" s="39">
        <v>23.5</v>
      </c>
      <c r="Q20" s="39">
        <v>47.1</v>
      </c>
    </row>
    <row r="21" spans="1:17" ht="47.25" hidden="1">
      <c r="A21" s="30" t="s">
        <v>107</v>
      </c>
      <c r="B21" s="31" t="s">
        <v>108</v>
      </c>
      <c r="C21" s="32" t="s">
        <v>109</v>
      </c>
      <c r="D21" s="33" t="s">
        <v>21</v>
      </c>
      <c r="E21" s="34" t="s">
        <v>22</v>
      </c>
      <c r="F21" s="34" t="s">
        <v>23</v>
      </c>
      <c r="G21" s="33" t="s">
        <v>84</v>
      </c>
      <c r="H21" s="35" t="s">
        <v>51</v>
      </c>
      <c r="I21" s="36" t="s">
        <v>110</v>
      </c>
      <c r="J21" s="34" t="s">
        <v>37</v>
      </c>
      <c r="K21" s="34" t="s">
        <v>25</v>
      </c>
      <c r="L21" s="37">
        <v>46222</v>
      </c>
      <c r="M21" s="38"/>
      <c r="N21" s="39">
        <v>2.8</v>
      </c>
      <c r="O21" s="40" t="s">
        <v>98</v>
      </c>
      <c r="P21" s="39">
        <v>22</v>
      </c>
      <c r="Q21" s="39">
        <v>47.2</v>
      </c>
    </row>
    <row r="22" spans="1:17" ht="47.25">
      <c r="A22" s="30" t="s">
        <v>111</v>
      </c>
      <c r="B22" s="31" t="s">
        <v>112</v>
      </c>
      <c r="C22" s="32" t="s">
        <v>113</v>
      </c>
      <c r="D22" s="33" t="s">
        <v>21</v>
      </c>
      <c r="E22" s="34" t="s">
        <v>22</v>
      </c>
      <c r="F22" s="34" t="s">
        <v>23</v>
      </c>
      <c r="G22" s="33" t="s">
        <v>50</v>
      </c>
      <c r="H22" s="35" t="s">
        <v>51</v>
      </c>
      <c r="I22" s="36" t="s">
        <v>114</v>
      </c>
      <c r="J22" s="34" t="s">
        <v>37</v>
      </c>
      <c r="K22" s="34" t="s">
        <v>25</v>
      </c>
      <c r="L22" s="37">
        <v>46222</v>
      </c>
      <c r="M22" s="38"/>
      <c r="N22" s="39">
        <v>9.6999999999999993</v>
      </c>
      <c r="O22" s="40" t="s">
        <v>98</v>
      </c>
      <c r="P22" s="39">
        <v>127.5</v>
      </c>
      <c r="Q22" s="39">
        <v>190.3</v>
      </c>
    </row>
    <row r="23" spans="1:17" ht="31.5" hidden="1">
      <c r="A23" s="30" t="s">
        <v>115</v>
      </c>
      <c r="B23" s="31" t="s">
        <v>116</v>
      </c>
      <c r="C23" s="32" t="s">
        <v>117</v>
      </c>
      <c r="D23" s="33" t="s">
        <v>21</v>
      </c>
      <c r="E23" s="34" t="s">
        <v>22</v>
      </c>
      <c r="F23" s="34" t="s">
        <v>23</v>
      </c>
      <c r="G23" s="33" t="s">
        <v>84</v>
      </c>
      <c r="H23" s="35" t="s">
        <v>51</v>
      </c>
      <c r="I23" s="36" t="s">
        <v>118</v>
      </c>
      <c r="J23" s="34" t="s">
        <v>37</v>
      </c>
      <c r="K23" s="34" t="s">
        <v>25</v>
      </c>
      <c r="L23" s="37">
        <v>46222</v>
      </c>
      <c r="M23" s="38"/>
      <c r="N23" s="39">
        <v>39.799999999999997</v>
      </c>
      <c r="O23" s="40" t="s">
        <v>98</v>
      </c>
      <c r="P23" s="39">
        <v>49.5</v>
      </c>
      <c r="Q23" s="39">
        <v>284.39999999999998</v>
      </c>
    </row>
    <row r="24" spans="1:17" ht="30" hidden="1">
      <c r="A24" s="30" t="s">
        <v>119</v>
      </c>
      <c r="B24" s="31" t="s">
        <v>120</v>
      </c>
      <c r="C24" s="32" t="s">
        <v>121</v>
      </c>
      <c r="D24" s="33" t="s">
        <v>97</v>
      </c>
      <c r="E24" s="34" t="s">
        <v>34</v>
      </c>
      <c r="F24" s="34" t="s">
        <v>35</v>
      </c>
      <c r="G24" s="33" t="s">
        <v>24</v>
      </c>
      <c r="H24" s="35" t="s">
        <v>51</v>
      </c>
      <c r="I24" s="36" t="s">
        <v>36</v>
      </c>
      <c r="J24" s="34" t="s">
        <v>37</v>
      </c>
      <c r="K24" s="34" t="s">
        <v>29</v>
      </c>
      <c r="L24" s="37">
        <v>46233</v>
      </c>
      <c r="M24" s="38">
        <v>46233</v>
      </c>
      <c r="N24" s="39">
        <v>0.8</v>
      </c>
      <c r="O24" s="40" t="s">
        <v>122</v>
      </c>
      <c r="P24" s="39">
        <v>2.2000000000000002</v>
      </c>
      <c r="Q24" s="39">
        <v>72.3</v>
      </c>
    </row>
    <row r="25" spans="1:17" ht="31.5" hidden="1">
      <c r="A25" s="30" t="s">
        <v>123</v>
      </c>
      <c r="B25" s="31" t="s">
        <v>124</v>
      </c>
      <c r="C25" s="32" t="s">
        <v>125</v>
      </c>
      <c r="D25" s="33" t="s">
        <v>97</v>
      </c>
      <c r="E25" s="34" t="s">
        <v>22</v>
      </c>
      <c r="F25" s="34" t="s">
        <v>35</v>
      </c>
      <c r="G25" s="33" t="s">
        <v>24</v>
      </c>
      <c r="H25" s="35" t="s">
        <v>51</v>
      </c>
      <c r="I25" s="36" t="s">
        <v>42</v>
      </c>
      <c r="J25" s="34" t="s">
        <v>37</v>
      </c>
      <c r="K25" s="34" t="s">
        <v>29</v>
      </c>
      <c r="L25" s="37"/>
      <c r="M25" s="38"/>
      <c r="N25" s="39">
        <v>3</v>
      </c>
      <c r="O25" s="40" t="s">
        <v>122</v>
      </c>
      <c r="P25" s="39">
        <v>24</v>
      </c>
      <c r="Q25" s="39">
        <v>166.4</v>
      </c>
    </row>
    <row r="26" spans="1:17" ht="47.25">
      <c r="A26" s="30" t="s">
        <v>126</v>
      </c>
      <c r="B26" s="31" t="s">
        <v>127</v>
      </c>
      <c r="C26" s="32" t="s">
        <v>128</v>
      </c>
      <c r="D26" s="33" t="s">
        <v>21</v>
      </c>
      <c r="E26" s="34" t="s">
        <v>22</v>
      </c>
      <c r="F26" s="34" t="s">
        <v>23</v>
      </c>
      <c r="G26" s="33" t="s">
        <v>50</v>
      </c>
      <c r="H26" s="35" t="s">
        <v>51</v>
      </c>
      <c r="I26" s="36" t="s">
        <v>129</v>
      </c>
      <c r="J26" s="34" t="s">
        <v>37</v>
      </c>
      <c r="K26" s="34" t="s">
        <v>24</v>
      </c>
      <c r="L26" s="37"/>
      <c r="M26" s="38"/>
      <c r="N26" s="39">
        <v>50</v>
      </c>
      <c r="O26" s="40" t="s">
        <v>122</v>
      </c>
      <c r="P26" s="39">
        <v>128</v>
      </c>
      <c r="Q26" s="39">
        <v>310.39999999999998</v>
      </c>
    </row>
    <row r="27" spans="1:17" ht="15.75" hidden="1">
      <c r="A27" s="30" t="s">
        <v>130</v>
      </c>
      <c r="B27" s="31" t="s">
        <v>131</v>
      </c>
      <c r="C27" s="32" t="s">
        <v>132</v>
      </c>
      <c r="D27" s="33" t="s">
        <v>21</v>
      </c>
      <c r="E27" s="34" t="s">
        <v>22</v>
      </c>
      <c r="F27" s="34" t="s">
        <v>23</v>
      </c>
      <c r="G27" s="33" t="s">
        <v>50</v>
      </c>
      <c r="H27" s="35" t="s">
        <v>51</v>
      </c>
      <c r="I27" s="36" t="s">
        <v>133</v>
      </c>
      <c r="J27" s="34" t="s">
        <v>37</v>
      </c>
      <c r="K27" s="34" t="s">
        <v>29</v>
      </c>
      <c r="L27" s="37"/>
      <c r="M27" s="38"/>
      <c r="N27" s="39">
        <v>4</v>
      </c>
      <c r="O27" s="40" t="s">
        <v>122</v>
      </c>
      <c r="P27" s="39">
        <v>22</v>
      </c>
      <c r="Q27" s="39">
        <v>182.1</v>
      </c>
    </row>
    <row r="28" spans="1:17" ht="31.5">
      <c r="A28" s="30" t="s">
        <v>134</v>
      </c>
      <c r="B28" s="31" t="s">
        <v>135</v>
      </c>
      <c r="C28" s="32" t="s">
        <v>136</v>
      </c>
      <c r="D28" s="33" t="s">
        <v>33</v>
      </c>
      <c r="E28" s="34" t="s">
        <v>22</v>
      </c>
      <c r="F28" s="34" t="s">
        <v>35</v>
      </c>
      <c r="G28" s="33" t="s">
        <v>24</v>
      </c>
      <c r="H28" s="35" t="s">
        <v>51</v>
      </c>
      <c r="I28" s="36" t="s">
        <v>137</v>
      </c>
      <c r="J28" s="34" t="s">
        <v>37</v>
      </c>
      <c r="K28" s="34" t="s">
        <v>24</v>
      </c>
      <c r="L28" s="37">
        <v>46232</v>
      </c>
      <c r="M28" s="38"/>
      <c r="N28" s="39">
        <v>3.2</v>
      </c>
      <c r="O28" s="40" t="s">
        <v>138</v>
      </c>
      <c r="P28" s="39">
        <v>82</v>
      </c>
      <c r="Q28" s="39">
        <v>214.9</v>
      </c>
    </row>
    <row r="29" spans="1:17" ht="15.75">
      <c r="A29" s="30" t="s">
        <v>139</v>
      </c>
      <c r="B29" s="31" t="s">
        <v>140</v>
      </c>
      <c r="C29" s="32" t="s">
        <v>141</v>
      </c>
      <c r="D29" s="33"/>
      <c r="E29" s="34" t="s">
        <v>22</v>
      </c>
      <c r="F29" s="34" t="s">
        <v>142</v>
      </c>
      <c r="G29" s="33"/>
      <c r="H29" s="35" t="s">
        <v>51</v>
      </c>
      <c r="I29" s="36"/>
      <c r="J29" s="34"/>
      <c r="K29" s="34"/>
      <c r="L29" s="37"/>
      <c r="M29" s="38"/>
      <c r="N29" s="39">
        <v>2</v>
      </c>
      <c r="O29" s="40"/>
      <c r="P29" s="39">
        <v>9</v>
      </c>
      <c r="Q29" s="39">
        <v>13.6</v>
      </c>
    </row>
    <row r="30" spans="1:17" ht="31.5">
      <c r="A30" s="30" t="s">
        <v>143</v>
      </c>
      <c r="B30" s="31" t="s">
        <v>144</v>
      </c>
      <c r="C30" s="32" t="s">
        <v>145</v>
      </c>
      <c r="D30" s="33" t="s">
        <v>21</v>
      </c>
      <c r="E30" s="34" t="s">
        <v>22</v>
      </c>
      <c r="F30" s="34" t="s">
        <v>23</v>
      </c>
      <c r="G30" s="33" t="s">
        <v>50</v>
      </c>
      <c r="H30" s="35" t="s">
        <v>51</v>
      </c>
      <c r="I30" s="36" t="s">
        <v>146</v>
      </c>
      <c r="J30" s="34" t="s">
        <v>37</v>
      </c>
      <c r="K30" s="34" t="s">
        <v>24</v>
      </c>
      <c r="L30" s="37"/>
      <c r="M30" s="38"/>
      <c r="N30" s="39">
        <v>7</v>
      </c>
      <c r="O30" s="40" t="s">
        <v>147</v>
      </c>
      <c r="P30" s="39">
        <v>107.5</v>
      </c>
      <c r="Q30" s="39">
        <v>190.4</v>
      </c>
    </row>
    <row r="31" spans="1:17" ht="15.75" hidden="1">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ht="15.75" hidden="1">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v>
      </c>
      <c r="O32" s="40" t="s">
        <v>154</v>
      </c>
      <c r="P32" s="39">
        <v>21</v>
      </c>
      <c r="Q32" s="39">
        <v>30.4</v>
      </c>
    </row>
    <row r="33" spans="1:17" ht="15.75" hidden="1">
      <c r="A33" s="30" t="s">
        <v>155</v>
      </c>
      <c r="B33" s="31" t="s">
        <v>156</v>
      </c>
      <c r="C33" s="32" t="s">
        <v>157</v>
      </c>
      <c r="D33" s="33" t="s">
        <v>97</v>
      </c>
      <c r="E33" s="34" t="s">
        <v>22</v>
      </c>
      <c r="F33" s="34" t="s">
        <v>35</v>
      </c>
      <c r="G33" s="33" t="s">
        <v>158</v>
      </c>
      <c r="H33" s="35"/>
      <c r="I33" s="36" t="s">
        <v>158</v>
      </c>
      <c r="J33" s="34" t="s">
        <v>37</v>
      </c>
      <c r="K33" s="34" t="s">
        <v>24</v>
      </c>
      <c r="L33" s="37"/>
      <c r="M33" s="38"/>
      <c r="N33" s="39">
        <v>1</v>
      </c>
      <c r="O33" s="40" t="s">
        <v>159</v>
      </c>
      <c r="P33" s="39">
        <v>6.8</v>
      </c>
      <c r="Q33" s="39">
        <v>331.4</v>
      </c>
    </row>
    <row r="34" spans="1:17" ht="47.25">
      <c r="A34" s="30" t="s">
        <v>160</v>
      </c>
      <c r="B34" s="31" t="s">
        <v>161</v>
      </c>
      <c r="C34" s="32" t="s">
        <v>162</v>
      </c>
      <c r="D34" s="33" t="s">
        <v>33</v>
      </c>
      <c r="E34" s="34" t="s">
        <v>22</v>
      </c>
      <c r="F34" s="34" t="s">
        <v>35</v>
      </c>
      <c r="G34" s="33" t="s">
        <v>50</v>
      </c>
      <c r="H34" s="35"/>
      <c r="I34" s="36" t="s">
        <v>163</v>
      </c>
      <c r="J34" s="34" t="s">
        <v>37</v>
      </c>
      <c r="K34" s="34" t="s">
        <v>24</v>
      </c>
      <c r="L34" s="37"/>
      <c r="M34" s="38"/>
      <c r="N34" s="39">
        <v>2.2000000000000002</v>
      </c>
      <c r="O34" s="40" t="s">
        <v>164</v>
      </c>
      <c r="P34" s="39">
        <v>8</v>
      </c>
      <c r="Q34" s="39">
        <v>350.4</v>
      </c>
    </row>
    <row r="35" spans="1:17" ht="15.75">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row>
    <row r="36" spans="1:17" ht="15.75">
      <c r="A36" s="30" t="s">
        <v>170</v>
      </c>
      <c r="B36" s="31" t="s">
        <v>171</v>
      </c>
      <c r="C36" s="32" t="s">
        <v>172</v>
      </c>
      <c r="D36" s="33" t="s">
        <v>73</v>
      </c>
      <c r="E36" s="34" t="s">
        <v>34</v>
      </c>
      <c r="F36" s="34" t="s">
        <v>35</v>
      </c>
      <c r="G36" s="33" t="s">
        <v>50</v>
      </c>
      <c r="H36" s="35" t="s">
        <v>51</v>
      </c>
      <c r="I36" s="36" t="s">
        <v>79</v>
      </c>
      <c r="J36" s="34" t="s">
        <v>37</v>
      </c>
      <c r="K36" s="34" t="s">
        <v>24</v>
      </c>
      <c r="L36" s="37">
        <v>46223</v>
      </c>
      <c r="M36" s="38">
        <v>46223</v>
      </c>
      <c r="N36" s="39">
        <v>0.4</v>
      </c>
      <c r="O36" s="40" t="s">
        <v>173</v>
      </c>
      <c r="P36" s="39">
        <v>2</v>
      </c>
      <c r="Q36" s="39">
        <v>1</v>
      </c>
    </row>
    <row r="37" spans="1:17" ht="15.75">
      <c r="A37" s="30" t="s">
        <v>174</v>
      </c>
      <c r="B37" s="31" t="s">
        <v>175</v>
      </c>
      <c r="C37" s="32" t="s">
        <v>176</v>
      </c>
      <c r="D37" s="33" t="s">
        <v>49</v>
      </c>
      <c r="E37" s="34" t="s">
        <v>22</v>
      </c>
      <c r="F37" s="34" t="s">
        <v>35</v>
      </c>
      <c r="G37" s="33" t="s">
        <v>50</v>
      </c>
      <c r="H37" s="35"/>
      <c r="I37" s="36" t="s">
        <v>177</v>
      </c>
      <c r="J37" s="34" t="s">
        <v>37</v>
      </c>
      <c r="K37" s="34" t="s">
        <v>25</v>
      </c>
      <c r="L37" s="37"/>
      <c r="M37" s="38"/>
      <c r="N37" s="39">
        <v>4.3</v>
      </c>
      <c r="O37" s="40" t="s">
        <v>178</v>
      </c>
      <c r="P37" s="39">
        <v>38</v>
      </c>
      <c r="Q37" s="39">
        <v>335.4</v>
      </c>
    </row>
    <row r="38" spans="1:17" ht="15.75">
      <c r="A38" s="30" t="s">
        <v>179</v>
      </c>
      <c r="B38" s="31" t="s">
        <v>180</v>
      </c>
      <c r="C38" s="32" t="s">
        <v>181</v>
      </c>
      <c r="D38" s="33" t="s">
        <v>33</v>
      </c>
      <c r="E38" s="34" t="s">
        <v>22</v>
      </c>
      <c r="F38" s="34" t="s">
        <v>35</v>
      </c>
      <c r="G38" s="33" t="s">
        <v>24</v>
      </c>
      <c r="H38" s="35" t="s">
        <v>51</v>
      </c>
      <c r="I38" s="36" t="s">
        <v>182</v>
      </c>
      <c r="J38" s="34" t="s">
        <v>37</v>
      </c>
      <c r="K38" s="34" t="s">
        <v>24</v>
      </c>
      <c r="L38" s="37"/>
      <c r="M38" s="38"/>
      <c r="N38" s="39">
        <v>5.8</v>
      </c>
      <c r="O38" s="40" t="s">
        <v>178</v>
      </c>
      <c r="P38" s="39">
        <v>26.5</v>
      </c>
      <c r="Q38" s="39">
        <v>354.7</v>
      </c>
    </row>
    <row r="39" spans="1:17" ht="15.75">
      <c r="A39" s="30" t="s">
        <v>183</v>
      </c>
      <c r="B39" s="31" t="s">
        <v>184</v>
      </c>
      <c r="C39" s="32" t="s">
        <v>185</v>
      </c>
      <c r="D39" s="33" t="s">
        <v>186</v>
      </c>
      <c r="E39" s="34" t="s">
        <v>22</v>
      </c>
      <c r="F39" s="34" t="s">
        <v>35</v>
      </c>
      <c r="G39" s="33" t="s">
        <v>187</v>
      </c>
      <c r="H39" s="35"/>
      <c r="I39" s="36" t="s">
        <v>188</v>
      </c>
      <c r="J39" s="34" t="s">
        <v>37</v>
      </c>
      <c r="K39" s="34" t="s">
        <v>24</v>
      </c>
      <c r="L39" s="37"/>
      <c r="M39" s="38"/>
      <c r="N39" s="39">
        <v>2.2999999999999998</v>
      </c>
      <c r="O39" s="40" t="s">
        <v>178</v>
      </c>
      <c r="P39" s="39">
        <v>7.5</v>
      </c>
      <c r="Q39" s="39">
        <v>331.5</v>
      </c>
    </row>
    <row r="40" spans="1:17" ht="47.25">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331.7</v>
      </c>
    </row>
    <row r="41" spans="1:17" ht="15.75">
      <c r="A41" s="30" t="s">
        <v>193</v>
      </c>
      <c r="B41" s="31" t="s">
        <v>194</v>
      </c>
      <c r="C41" s="32" t="s">
        <v>195</v>
      </c>
      <c r="D41" s="33" t="s">
        <v>61</v>
      </c>
      <c r="E41" s="34" t="s">
        <v>22</v>
      </c>
      <c r="F41" s="34" t="s">
        <v>35</v>
      </c>
      <c r="G41" s="33" t="s">
        <v>50</v>
      </c>
      <c r="H41" s="35"/>
      <c r="I41" s="36" t="s">
        <v>36</v>
      </c>
      <c r="J41" s="34" t="s">
        <v>37</v>
      </c>
      <c r="K41" s="34" t="s">
        <v>24</v>
      </c>
      <c r="L41" s="37"/>
      <c r="M41" s="38"/>
      <c r="N41" s="39">
        <v>2.75</v>
      </c>
      <c r="O41" s="40" t="s">
        <v>178</v>
      </c>
      <c r="P41" s="39">
        <v>18</v>
      </c>
      <c r="Q41" s="39">
        <v>347.6</v>
      </c>
    </row>
    <row r="42" spans="1:17" ht="15.75">
      <c r="A42" s="30" t="s">
        <v>196</v>
      </c>
      <c r="B42" s="31" t="s">
        <v>197</v>
      </c>
      <c r="C42" s="32" t="s">
        <v>198</v>
      </c>
      <c r="D42" s="33" t="s">
        <v>33</v>
      </c>
      <c r="E42" s="34" t="s">
        <v>22</v>
      </c>
      <c r="F42" s="34" t="s">
        <v>35</v>
      </c>
      <c r="G42" s="33" t="s">
        <v>50</v>
      </c>
      <c r="H42" s="35" t="s">
        <v>51</v>
      </c>
      <c r="I42" s="36" t="s">
        <v>199</v>
      </c>
      <c r="J42" s="34" t="s">
        <v>37</v>
      </c>
      <c r="K42" s="34" t="s">
        <v>24</v>
      </c>
      <c r="L42" s="37">
        <v>46222</v>
      </c>
      <c r="M42" s="38"/>
      <c r="N42" s="39">
        <v>4</v>
      </c>
      <c r="O42" s="40" t="s">
        <v>200</v>
      </c>
      <c r="P42" s="39"/>
      <c r="Q42" s="39"/>
    </row>
    <row r="43" spans="1:17" ht="15.75">
      <c r="A43" s="30" t="s">
        <v>201</v>
      </c>
      <c r="B43" s="31" t="s">
        <v>202</v>
      </c>
      <c r="C43" s="32" t="s">
        <v>203</v>
      </c>
      <c r="D43" s="33" t="s">
        <v>33</v>
      </c>
      <c r="E43" s="34" t="s">
        <v>22</v>
      </c>
      <c r="F43" s="34" t="s">
        <v>35</v>
      </c>
      <c r="G43" s="33" t="s">
        <v>50</v>
      </c>
      <c r="H43" s="35" t="s">
        <v>51</v>
      </c>
      <c r="I43" s="36" t="s">
        <v>204</v>
      </c>
      <c r="J43" s="34" t="s">
        <v>37</v>
      </c>
      <c r="K43" s="34" t="s">
        <v>24</v>
      </c>
      <c r="L43" s="37">
        <v>46222</v>
      </c>
      <c r="M43" s="38"/>
      <c r="N43" s="39">
        <v>4</v>
      </c>
      <c r="O43" s="40" t="s">
        <v>205</v>
      </c>
      <c r="P43" s="39"/>
      <c r="Q43" s="39"/>
    </row>
    <row r="44" spans="1:17" ht="15.75" hidden="1">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row>
    <row r="45" spans="1:17" ht="15.75">
      <c r="A45" s="30" t="s">
        <v>210</v>
      </c>
      <c r="B45" s="31" t="s">
        <v>211</v>
      </c>
      <c r="C45" s="32" t="s">
        <v>212</v>
      </c>
      <c r="D45" s="33" t="s">
        <v>68</v>
      </c>
      <c r="E45" s="34" t="s">
        <v>22</v>
      </c>
      <c r="F45" s="34" t="s">
        <v>35</v>
      </c>
      <c r="G45" s="33" t="s">
        <v>50</v>
      </c>
      <c r="H45" s="35"/>
      <c r="I45" s="36" t="s">
        <v>213</v>
      </c>
      <c r="J45" s="34" t="s">
        <v>37</v>
      </c>
      <c r="K45" s="34" t="s">
        <v>24</v>
      </c>
      <c r="L45" s="37"/>
      <c r="M45" s="38"/>
      <c r="N45" s="39">
        <v>0.5</v>
      </c>
      <c r="O45" s="40" t="s">
        <v>69</v>
      </c>
      <c r="P45" s="39"/>
      <c r="Q45" s="39"/>
    </row>
    <row r="46" spans="1:17" ht="15.75">
      <c r="A46" s="30" t="s">
        <v>214</v>
      </c>
      <c r="B46" s="31" t="s">
        <v>215</v>
      </c>
      <c r="C46" s="32" t="s">
        <v>216</v>
      </c>
      <c r="D46" s="33" t="s">
        <v>68</v>
      </c>
      <c r="E46" s="34" t="s">
        <v>22</v>
      </c>
      <c r="F46" s="34" t="s">
        <v>35</v>
      </c>
      <c r="G46" s="33" t="s">
        <v>50</v>
      </c>
      <c r="H46" s="35"/>
      <c r="I46" s="36" t="s">
        <v>177</v>
      </c>
      <c r="J46" s="34" t="s">
        <v>37</v>
      </c>
      <c r="K46" s="34" t="s">
        <v>24</v>
      </c>
      <c r="L46" s="37"/>
      <c r="M46" s="38"/>
      <c r="N46" s="39">
        <v>6.9</v>
      </c>
      <c r="O46" s="40" t="s">
        <v>178</v>
      </c>
      <c r="P46" s="39">
        <v>28.5</v>
      </c>
      <c r="Q46" s="39">
        <v>383.4</v>
      </c>
    </row>
    <row r="47" spans="1:17" ht="15.75">
      <c r="A47" s="30" t="s">
        <v>217</v>
      </c>
      <c r="B47" s="31" t="s">
        <v>218</v>
      </c>
      <c r="C47" s="32" t="s">
        <v>219</v>
      </c>
      <c r="D47" s="33" t="s">
        <v>73</v>
      </c>
      <c r="E47" s="34" t="s">
        <v>22</v>
      </c>
      <c r="F47" s="34" t="s">
        <v>35</v>
      </c>
      <c r="G47" s="33" t="s">
        <v>50</v>
      </c>
      <c r="H47" s="35"/>
      <c r="I47" s="36" t="s">
        <v>177</v>
      </c>
      <c r="J47" s="34" t="s">
        <v>37</v>
      </c>
      <c r="K47" s="34" t="s">
        <v>24</v>
      </c>
      <c r="L47" s="37"/>
      <c r="M47" s="38"/>
      <c r="N47" s="39">
        <v>7.4</v>
      </c>
      <c r="O47" s="40" t="s">
        <v>178</v>
      </c>
      <c r="P47" s="39">
        <v>3.5</v>
      </c>
      <c r="Q47" s="39">
        <v>324.2</v>
      </c>
    </row>
    <row r="48" spans="1:17" ht="30" hidden="1">
      <c r="A48" s="30" t="s">
        <v>220</v>
      </c>
      <c r="B48" s="31" t="s">
        <v>221</v>
      </c>
      <c r="C48" s="32" t="s">
        <v>222</v>
      </c>
      <c r="D48" s="33" t="s">
        <v>61</v>
      </c>
      <c r="E48" s="34" t="s">
        <v>34</v>
      </c>
      <c r="F48" s="34" t="s">
        <v>35</v>
      </c>
      <c r="G48" s="33" t="s">
        <v>84</v>
      </c>
      <c r="H48" s="35"/>
      <c r="I48" s="36" t="s">
        <v>79</v>
      </c>
      <c r="J48" s="34" t="s">
        <v>37</v>
      </c>
      <c r="K48" s="34" t="s">
        <v>24</v>
      </c>
      <c r="L48" s="37">
        <v>46223</v>
      </c>
      <c r="M48" s="38">
        <v>46223</v>
      </c>
      <c r="N48" s="39">
        <v>2</v>
      </c>
      <c r="O48" s="40" t="s">
        <v>223</v>
      </c>
      <c r="P48" s="39">
        <v>1</v>
      </c>
      <c r="Q48" s="39">
        <v>1</v>
      </c>
    </row>
    <row r="49" spans="1:17" ht="15.75" hidden="1">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ht="15.75" hidden="1">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ht="15.75">
      <c r="A51" s="30" t="s">
        <v>231</v>
      </c>
      <c r="B51" s="31" t="s">
        <v>232</v>
      </c>
      <c r="C51" s="32" t="s">
        <v>233</v>
      </c>
      <c r="D51" s="33" t="s">
        <v>68</v>
      </c>
      <c r="E51" s="34" t="s">
        <v>22</v>
      </c>
      <c r="F51" s="34" t="s">
        <v>35</v>
      </c>
      <c r="G51" s="33" t="s">
        <v>50</v>
      </c>
      <c r="H51" s="35" t="s">
        <v>51</v>
      </c>
      <c r="I51" s="36" t="s">
        <v>234</v>
      </c>
      <c r="J51" s="34" t="s">
        <v>37</v>
      </c>
      <c r="K51" s="34" t="s">
        <v>24</v>
      </c>
      <c r="L51" s="156" t="s">
        <v>235</v>
      </c>
      <c r="M51" s="38"/>
      <c r="N51" s="39">
        <v>0.3</v>
      </c>
      <c r="O51" s="40" t="s">
        <v>236</v>
      </c>
      <c r="P51" s="39"/>
      <c r="Q51" s="39"/>
    </row>
    <row r="52" spans="1:17" ht="15.75">
      <c r="A52" s="30" t="s">
        <v>237</v>
      </c>
      <c r="B52" s="31" t="s">
        <v>238</v>
      </c>
      <c r="C52" s="32" t="s">
        <v>239</v>
      </c>
      <c r="D52" s="33" t="s">
        <v>68</v>
      </c>
      <c r="E52" s="34" t="s">
        <v>22</v>
      </c>
      <c r="F52" s="34" t="s">
        <v>35</v>
      </c>
      <c r="G52" s="33" t="s">
        <v>50</v>
      </c>
      <c r="H52" s="35" t="s">
        <v>51</v>
      </c>
      <c r="I52" s="36" t="s">
        <v>234</v>
      </c>
      <c r="J52" s="34" t="s">
        <v>37</v>
      </c>
      <c r="K52" s="34" t="s">
        <v>24</v>
      </c>
      <c r="L52" s="156" t="s">
        <v>235</v>
      </c>
      <c r="M52" s="38"/>
      <c r="N52" s="39">
        <v>0.4</v>
      </c>
      <c r="O52" s="40" t="s">
        <v>240</v>
      </c>
      <c r="P52" s="39"/>
      <c r="Q52" s="39"/>
    </row>
    <row r="53" spans="1:17" ht="15.75">
      <c r="A53" s="30" t="s">
        <v>241</v>
      </c>
      <c r="B53" s="31" t="s">
        <v>242</v>
      </c>
      <c r="C53" s="32" t="s">
        <v>243</v>
      </c>
      <c r="D53" s="33" t="s">
        <v>97</v>
      </c>
      <c r="E53" s="34" t="s">
        <v>34</v>
      </c>
      <c r="F53" s="34" t="s">
        <v>35</v>
      </c>
      <c r="G53" s="33" t="s">
        <v>50</v>
      </c>
      <c r="H53" s="35"/>
      <c r="I53" s="36" t="s">
        <v>79</v>
      </c>
      <c r="J53" s="34" t="s">
        <v>37</v>
      </c>
      <c r="K53" s="34" t="s">
        <v>24</v>
      </c>
      <c r="L53" s="37">
        <v>46229</v>
      </c>
      <c r="M53" s="38">
        <v>46229</v>
      </c>
      <c r="N53" s="39">
        <v>0.9</v>
      </c>
      <c r="O53" s="40" t="s">
        <v>244</v>
      </c>
      <c r="P53" s="39">
        <v>10</v>
      </c>
      <c r="Q53" s="39">
        <v>5.3</v>
      </c>
    </row>
    <row r="54" spans="1:17" ht="15.75" hidden="1">
      <c r="A54" s="30" t="s">
        <v>245</v>
      </c>
      <c r="B54" s="31" t="s">
        <v>246</v>
      </c>
      <c r="C54" s="32" t="s">
        <v>247</v>
      </c>
      <c r="D54" s="33" t="s">
        <v>73</v>
      </c>
      <c r="E54" s="34" t="s">
        <v>34</v>
      </c>
      <c r="F54" s="34" t="s">
        <v>35</v>
      </c>
      <c r="G54" s="33" t="s">
        <v>209</v>
      </c>
      <c r="H54" s="35"/>
      <c r="I54" s="36" t="s">
        <v>209</v>
      </c>
      <c r="J54" s="34" t="s">
        <v>37</v>
      </c>
      <c r="K54" s="34" t="s">
        <v>24</v>
      </c>
      <c r="L54" s="37">
        <v>46231</v>
      </c>
      <c r="M54" s="38">
        <v>46231</v>
      </c>
      <c r="N54" s="39">
        <v>0.5</v>
      </c>
      <c r="O54" s="40" t="s">
        <v>32</v>
      </c>
      <c r="P54" s="39">
        <v>6</v>
      </c>
      <c r="Q54" s="39">
        <v>1</v>
      </c>
    </row>
    <row r="55" spans="1:17" ht="30" hidden="1">
      <c r="A55" s="30" t="s">
        <v>248</v>
      </c>
      <c r="B55" s="31" t="s">
        <v>249</v>
      </c>
      <c r="C55" s="32" t="s">
        <v>250</v>
      </c>
      <c r="D55" s="33" t="s">
        <v>49</v>
      </c>
      <c r="E55" s="34" t="s">
        <v>22</v>
      </c>
      <c r="F55" s="34" t="s">
        <v>35</v>
      </c>
      <c r="G55" s="33" t="s">
        <v>209</v>
      </c>
      <c r="H55" s="35" t="s">
        <v>51</v>
      </c>
      <c r="I55" s="36" t="s">
        <v>209</v>
      </c>
      <c r="J55" s="34" t="s">
        <v>37</v>
      </c>
      <c r="K55" s="34" t="s">
        <v>25</v>
      </c>
      <c r="L55" s="37"/>
      <c r="M55" s="38"/>
      <c r="N55" s="39">
        <v>2</v>
      </c>
      <c r="O55" s="40" t="s">
        <v>251</v>
      </c>
      <c r="P55" s="39">
        <v>21</v>
      </c>
      <c r="Q55" s="39">
        <v>24.9</v>
      </c>
    </row>
    <row r="56" spans="1:17" ht="15.75">
      <c r="A56" s="30" t="s">
        <v>252</v>
      </c>
      <c r="B56" s="31" t="s">
        <v>253</v>
      </c>
      <c r="C56" s="32" t="s">
        <v>254</v>
      </c>
      <c r="D56" s="33" t="s">
        <v>33</v>
      </c>
      <c r="E56" s="34" t="s">
        <v>34</v>
      </c>
      <c r="F56" s="34" t="s">
        <v>35</v>
      </c>
      <c r="G56" s="33" t="s">
        <v>24</v>
      </c>
      <c r="H56" s="35"/>
      <c r="I56" s="36" t="s">
        <v>36</v>
      </c>
      <c r="J56" s="34" t="s">
        <v>37</v>
      </c>
      <c r="K56" s="34" t="s">
        <v>24</v>
      </c>
      <c r="L56" s="37">
        <v>46224</v>
      </c>
      <c r="M56" s="38">
        <v>46224</v>
      </c>
      <c r="N56" s="39">
        <v>0.4</v>
      </c>
      <c r="O56" s="40" t="s">
        <v>255</v>
      </c>
      <c r="P56" s="39">
        <v>6.5</v>
      </c>
      <c r="Q56" s="39">
        <v>5.2</v>
      </c>
    </row>
    <row r="57" spans="1:17" ht="15.75">
      <c r="A57" s="30" t="s">
        <v>256</v>
      </c>
      <c r="B57" s="31" t="s">
        <v>257</v>
      </c>
      <c r="C57" s="32" t="s">
        <v>258</v>
      </c>
      <c r="D57" s="33" t="s">
        <v>33</v>
      </c>
      <c r="E57" s="34" t="s">
        <v>34</v>
      </c>
      <c r="F57" s="34" t="s">
        <v>35</v>
      </c>
      <c r="G57" s="33" t="s">
        <v>24</v>
      </c>
      <c r="H57" s="35"/>
      <c r="I57" s="36" t="s">
        <v>79</v>
      </c>
      <c r="J57" s="34" t="s">
        <v>37</v>
      </c>
      <c r="K57" s="34" t="s">
        <v>24</v>
      </c>
      <c r="L57" s="37">
        <v>46222</v>
      </c>
      <c r="M57" s="38">
        <v>46222</v>
      </c>
      <c r="N57" s="39">
        <v>0.4</v>
      </c>
      <c r="O57" s="40" t="s">
        <v>259</v>
      </c>
      <c r="P57" s="39">
        <v>2.8</v>
      </c>
      <c r="Q57" s="39">
        <v>3.8</v>
      </c>
    </row>
    <row r="58" spans="1:17" ht="15.75">
      <c r="A58" s="30" t="s">
        <v>260</v>
      </c>
      <c r="B58" s="31" t="s">
        <v>261</v>
      </c>
      <c r="C58" s="32" t="s">
        <v>262</v>
      </c>
      <c r="D58" s="33" t="s">
        <v>73</v>
      </c>
      <c r="E58" s="34" t="s">
        <v>22</v>
      </c>
      <c r="F58" s="34" t="s">
        <v>35</v>
      </c>
      <c r="G58" s="33" t="s">
        <v>50</v>
      </c>
      <c r="H58" s="35" t="s">
        <v>51</v>
      </c>
      <c r="I58" s="36" t="s">
        <v>50</v>
      </c>
      <c r="J58" s="34" t="s">
        <v>37</v>
      </c>
      <c r="K58" s="34" t="s">
        <v>24</v>
      </c>
      <c r="L58" s="37"/>
      <c r="M58" s="38"/>
      <c r="N58" s="39">
        <v>0.2</v>
      </c>
      <c r="O58" s="40" t="s">
        <v>263</v>
      </c>
      <c r="P58" s="39"/>
      <c r="Q58" s="39"/>
    </row>
    <row r="59" spans="1:17" ht="45">
      <c r="A59" s="30" t="s">
        <v>264</v>
      </c>
      <c r="B59" s="31" t="s">
        <v>265</v>
      </c>
      <c r="C59" s="32" t="s">
        <v>266</v>
      </c>
      <c r="D59" s="33" t="s">
        <v>49</v>
      </c>
      <c r="E59" s="34" t="s">
        <v>22</v>
      </c>
      <c r="F59" s="34" t="s">
        <v>35</v>
      </c>
      <c r="G59" s="33" t="s">
        <v>24</v>
      </c>
      <c r="H59" s="35"/>
      <c r="I59" s="36" t="s">
        <v>79</v>
      </c>
      <c r="J59" s="34" t="s">
        <v>37</v>
      </c>
      <c r="K59" s="34" t="s">
        <v>25</v>
      </c>
      <c r="L59" s="37"/>
      <c r="M59" s="38"/>
      <c r="N59" s="39">
        <v>0.9</v>
      </c>
      <c r="O59" s="40" t="s">
        <v>267</v>
      </c>
      <c r="P59" s="39">
        <v>7.8</v>
      </c>
      <c r="Q59" s="39">
        <v>355.4</v>
      </c>
    </row>
    <row r="60" spans="1:17" ht="15.75">
      <c r="A60" s="30" t="s">
        <v>268</v>
      </c>
      <c r="B60" s="31" t="s">
        <v>269</v>
      </c>
      <c r="C60" s="32" t="s">
        <v>270</v>
      </c>
      <c r="D60" s="33" t="s">
        <v>97</v>
      </c>
      <c r="E60" s="34" t="s">
        <v>22</v>
      </c>
      <c r="F60" s="34" t="s">
        <v>35</v>
      </c>
      <c r="G60" s="33" t="s">
        <v>50</v>
      </c>
      <c r="H60" s="35" t="s">
        <v>51</v>
      </c>
      <c r="I60" s="36" t="s">
        <v>50</v>
      </c>
      <c r="J60" s="34" t="s">
        <v>37</v>
      </c>
      <c r="K60" s="34" t="s">
        <v>24</v>
      </c>
      <c r="L60" s="37"/>
      <c r="M60" s="38"/>
      <c r="N60" s="39">
        <v>0.3</v>
      </c>
      <c r="O60" s="40" t="s">
        <v>271</v>
      </c>
      <c r="P60" s="39">
        <v>2</v>
      </c>
      <c r="Q60" s="39">
        <v>143.9</v>
      </c>
    </row>
    <row r="61" spans="1:17" ht="15.75" hidden="1">
      <c r="A61" s="30" t="s">
        <v>272</v>
      </c>
      <c r="B61" s="31" t="s">
        <v>273</v>
      </c>
      <c r="C61" s="32" t="s">
        <v>274</v>
      </c>
      <c r="D61" s="33" t="s">
        <v>49</v>
      </c>
      <c r="E61" s="34" t="s">
        <v>34</v>
      </c>
      <c r="F61" s="34" t="s">
        <v>35</v>
      </c>
      <c r="G61" s="33" t="s">
        <v>158</v>
      </c>
      <c r="H61" s="35"/>
      <c r="I61" s="36" t="s">
        <v>275</v>
      </c>
      <c r="J61" s="34" t="s">
        <v>37</v>
      </c>
      <c r="K61" s="34" t="s">
        <v>25</v>
      </c>
      <c r="L61" s="37">
        <v>46229</v>
      </c>
      <c r="M61" s="38">
        <v>46229</v>
      </c>
      <c r="N61" s="39">
        <v>3.5</v>
      </c>
      <c r="O61" s="40" t="s">
        <v>276</v>
      </c>
      <c r="P61" s="39">
        <v>15</v>
      </c>
      <c r="Q61" s="39">
        <v>134.1</v>
      </c>
    </row>
    <row r="62" spans="1:17" ht="15.75" hidden="1">
      <c r="A62" s="30" t="s">
        <v>277</v>
      </c>
      <c r="B62" s="31" t="s">
        <v>278</v>
      </c>
      <c r="C62" s="32" t="s">
        <v>279</v>
      </c>
      <c r="D62" s="33" t="s">
        <v>21</v>
      </c>
      <c r="E62" s="34" t="s">
        <v>22</v>
      </c>
      <c r="F62" s="34" t="s">
        <v>35</v>
      </c>
      <c r="G62" s="33" t="s">
        <v>84</v>
      </c>
      <c r="H62" s="35"/>
      <c r="I62" s="36" t="s">
        <v>280</v>
      </c>
      <c r="J62" s="34" t="s">
        <v>37</v>
      </c>
      <c r="K62" s="34" t="s">
        <v>24</v>
      </c>
      <c r="L62" s="37"/>
      <c r="M62" s="38"/>
      <c r="N62" s="39">
        <v>1</v>
      </c>
      <c r="O62" s="40" t="s">
        <v>281</v>
      </c>
      <c r="P62" s="39"/>
      <c r="Q62" s="39"/>
    </row>
    <row r="63" spans="1:17" ht="15.75" hidden="1">
      <c r="A63" s="30" t="s">
        <v>282</v>
      </c>
      <c r="B63" s="31" t="s">
        <v>283</v>
      </c>
      <c r="C63" s="32" t="s">
        <v>284</v>
      </c>
      <c r="D63" s="33" t="s">
        <v>21</v>
      </c>
      <c r="E63" s="34" t="s">
        <v>22</v>
      </c>
      <c r="F63" s="34" t="s">
        <v>35</v>
      </c>
      <c r="G63" s="33" t="s">
        <v>158</v>
      </c>
      <c r="H63" s="35"/>
      <c r="I63" s="36"/>
      <c r="J63" s="34" t="s">
        <v>37</v>
      </c>
      <c r="K63" s="34" t="s">
        <v>24</v>
      </c>
      <c r="L63" s="37"/>
      <c r="M63" s="38"/>
      <c r="N63" s="39">
        <v>65</v>
      </c>
      <c r="O63" s="40" t="s">
        <v>285</v>
      </c>
      <c r="P63" s="39"/>
      <c r="Q63" s="39"/>
    </row>
    <row r="64" spans="1:17" ht="15.75" hidden="1">
      <c r="A64" s="30" t="s">
        <v>286</v>
      </c>
      <c r="B64" s="31" t="s">
        <v>287</v>
      </c>
      <c r="C64" s="32" t="s">
        <v>288</v>
      </c>
      <c r="D64" s="33" t="s">
        <v>49</v>
      </c>
      <c r="E64" s="34" t="s">
        <v>34</v>
      </c>
      <c r="F64" s="34" t="s">
        <v>35</v>
      </c>
      <c r="G64" s="33" t="s">
        <v>158</v>
      </c>
      <c r="H64" s="35"/>
      <c r="I64" s="36" t="s">
        <v>79</v>
      </c>
      <c r="J64" s="34" t="s">
        <v>37</v>
      </c>
      <c r="K64" s="34" t="s">
        <v>25</v>
      </c>
      <c r="L64" s="37">
        <v>46229</v>
      </c>
      <c r="M64" s="38">
        <v>46229</v>
      </c>
      <c r="N64" s="39">
        <v>0.4</v>
      </c>
      <c r="O64" s="40" t="s">
        <v>289</v>
      </c>
      <c r="P64" s="39">
        <v>1.5</v>
      </c>
      <c r="Q64" s="39">
        <v>5.7</v>
      </c>
    </row>
    <row r="65" spans="1:17" ht="15.75" hidden="1">
      <c r="A65" s="30" t="s">
        <v>290</v>
      </c>
      <c r="B65" s="31" t="s">
        <v>291</v>
      </c>
      <c r="C65" s="32" t="s">
        <v>292</v>
      </c>
      <c r="D65" s="33" t="s">
        <v>33</v>
      </c>
      <c r="E65" s="34" t="s">
        <v>34</v>
      </c>
      <c r="F65" s="34" t="s">
        <v>35</v>
      </c>
      <c r="G65" s="33" t="s">
        <v>209</v>
      </c>
      <c r="H65" s="35"/>
      <c r="I65" s="36" t="s">
        <v>209</v>
      </c>
      <c r="J65" s="34" t="s">
        <v>37</v>
      </c>
      <c r="K65" s="34" t="s">
        <v>24</v>
      </c>
      <c r="L65" s="37">
        <v>46225</v>
      </c>
      <c r="M65" s="38">
        <v>46225</v>
      </c>
      <c r="N65" s="39">
        <v>8</v>
      </c>
      <c r="O65" s="40" t="s">
        <v>293</v>
      </c>
      <c r="P65" s="39">
        <v>4</v>
      </c>
      <c r="Q65" s="39">
        <v>2</v>
      </c>
    </row>
    <row r="66" spans="1:17" ht="15.75" hidden="1">
      <c r="A66" s="30" t="s">
        <v>294</v>
      </c>
      <c r="B66" s="31" t="s">
        <v>295</v>
      </c>
      <c r="C66" s="32" t="s">
        <v>296</v>
      </c>
      <c r="D66" s="33" t="s">
        <v>33</v>
      </c>
      <c r="E66" s="34" t="s">
        <v>34</v>
      </c>
      <c r="F66" s="34" t="s">
        <v>35</v>
      </c>
      <c r="G66" s="33" t="s">
        <v>209</v>
      </c>
      <c r="H66" s="35"/>
      <c r="I66" s="36" t="s">
        <v>209</v>
      </c>
      <c r="J66" s="34" t="s">
        <v>37</v>
      </c>
      <c r="K66" s="34" t="s">
        <v>24</v>
      </c>
      <c r="L66" s="37">
        <v>46225</v>
      </c>
      <c r="M66" s="38">
        <v>46225</v>
      </c>
      <c r="N66" s="39">
        <v>0.9</v>
      </c>
      <c r="O66" s="40" t="s">
        <v>297</v>
      </c>
      <c r="P66" s="39">
        <v>6</v>
      </c>
      <c r="Q66" s="39">
        <v>2.1</v>
      </c>
    </row>
    <row r="67" spans="1:17" ht="15.75" hidden="1">
      <c r="A67" s="30" t="s">
        <v>298</v>
      </c>
      <c r="B67" s="31" t="s">
        <v>299</v>
      </c>
      <c r="C67" s="32" t="s">
        <v>300</v>
      </c>
      <c r="D67" s="33" t="s">
        <v>49</v>
      </c>
      <c r="E67" s="34" t="s">
        <v>34</v>
      </c>
      <c r="F67" s="34" t="s">
        <v>35</v>
      </c>
      <c r="G67" s="33" t="s">
        <v>209</v>
      </c>
      <c r="H67" s="35"/>
      <c r="I67" s="36" t="s">
        <v>209</v>
      </c>
      <c r="J67" s="34" t="s">
        <v>37</v>
      </c>
      <c r="K67" s="34" t="s">
        <v>25</v>
      </c>
      <c r="L67" s="37">
        <v>46226</v>
      </c>
      <c r="M67" s="38">
        <v>46226</v>
      </c>
      <c r="N67" s="39">
        <v>0.2</v>
      </c>
      <c r="O67" s="40" t="s">
        <v>301</v>
      </c>
      <c r="P67" s="39">
        <v>4</v>
      </c>
      <c r="Q67" s="39">
        <v>1</v>
      </c>
    </row>
    <row r="68" spans="1:17" ht="31.5">
      <c r="A68" s="30" t="s">
        <v>302</v>
      </c>
      <c r="B68" s="31" t="s">
        <v>303</v>
      </c>
      <c r="C68" s="32" t="s">
        <v>304</v>
      </c>
      <c r="D68" s="33" t="s">
        <v>49</v>
      </c>
      <c r="E68" s="34" t="s">
        <v>22</v>
      </c>
      <c r="F68" s="34" t="s">
        <v>35</v>
      </c>
      <c r="G68" s="33" t="s">
        <v>50</v>
      </c>
      <c r="H68" s="35" t="s">
        <v>51</v>
      </c>
      <c r="I68" s="36" t="s">
        <v>305</v>
      </c>
      <c r="J68" s="34" t="s">
        <v>37</v>
      </c>
      <c r="K68" s="34" t="s">
        <v>25</v>
      </c>
      <c r="L68" s="37">
        <v>46222</v>
      </c>
      <c r="M68" s="38"/>
      <c r="N68" s="39">
        <v>0.5</v>
      </c>
      <c r="O68" s="40" t="s">
        <v>53</v>
      </c>
      <c r="P68" s="39"/>
      <c r="Q68" s="39"/>
    </row>
    <row r="69" spans="1:17" ht="15.75">
      <c r="A69" s="30" t="s">
        <v>306</v>
      </c>
      <c r="B69" s="31" t="s">
        <v>307</v>
      </c>
      <c r="C69" s="32" t="s">
        <v>308</v>
      </c>
      <c r="D69" s="33" t="s">
        <v>49</v>
      </c>
      <c r="E69" s="34" t="s">
        <v>22</v>
      </c>
      <c r="F69" s="34" t="s">
        <v>35</v>
      </c>
      <c r="G69" s="33" t="s">
        <v>50</v>
      </c>
      <c r="H69" s="35" t="s">
        <v>51</v>
      </c>
      <c r="I69" s="36" t="s">
        <v>309</v>
      </c>
      <c r="J69" s="34" t="s">
        <v>37</v>
      </c>
      <c r="K69" s="34" t="s">
        <v>25</v>
      </c>
      <c r="L69" s="37">
        <v>46222</v>
      </c>
      <c r="M69" s="38"/>
      <c r="N69" s="39">
        <v>1</v>
      </c>
      <c r="O69" s="40" t="s">
        <v>53</v>
      </c>
      <c r="P69" s="39"/>
      <c r="Q69" s="39"/>
    </row>
    <row r="70" spans="1:17" ht="15.75">
      <c r="A70" s="30" t="s">
        <v>310</v>
      </c>
      <c r="B70" s="31" t="s">
        <v>311</v>
      </c>
      <c r="C70" s="32" t="s">
        <v>312</v>
      </c>
      <c r="D70" s="33" t="s">
        <v>49</v>
      </c>
      <c r="E70" s="34" t="s">
        <v>22</v>
      </c>
      <c r="F70" s="34" t="s">
        <v>35</v>
      </c>
      <c r="G70" s="33" t="s">
        <v>50</v>
      </c>
      <c r="H70" s="35" t="s">
        <v>51</v>
      </c>
      <c r="I70" s="36" t="s">
        <v>313</v>
      </c>
      <c r="J70" s="34" t="s">
        <v>37</v>
      </c>
      <c r="K70" s="34" t="s">
        <v>25</v>
      </c>
      <c r="L70" s="37">
        <v>46222</v>
      </c>
      <c r="M70" s="38"/>
      <c r="N70" s="39">
        <v>4</v>
      </c>
      <c r="O70" s="40" t="s">
        <v>53</v>
      </c>
      <c r="P70" s="39"/>
      <c r="Q70" s="39"/>
    </row>
    <row r="71" spans="1:17" ht="30">
      <c r="A71" s="30" t="s">
        <v>314</v>
      </c>
      <c r="B71" s="31" t="s">
        <v>315</v>
      </c>
      <c r="C71" s="32" t="s">
        <v>316</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ht="15.75">
      <c r="A72" s="30" t="s">
        <v>317</v>
      </c>
      <c r="B72" s="31" t="s">
        <v>318</v>
      </c>
      <c r="C72" s="32" t="s">
        <v>319</v>
      </c>
      <c r="D72" s="33" t="s">
        <v>33</v>
      </c>
      <c r="E72" s="34" t="s">
        <v>22</v>
      </c>
      <c r="F72" s="34" t="s">
        <v>35</v>
      </c>
      <c r="G72" s="33" t="s">
        <v>50</v>
      </c>
      <c r="H72" s="35" t="s">
        <v>51</v>
      </c>
      <c r="I72" s="36" t="s">
        <v>320</v>
      </c>
      <c r="J72" s="34" t="s">
        <v>37</v>
      </c>
      <c r="K72" s="34" t="s">
        <v>24</v>
      </c>
      <c r="L72" s="37">
        <v>46222</v>
      </c>
      <c r="M72" s="38"/>
      <c r="N72" s="39">
        <v>48</v>
      </c>
      <c r="O72" s="40" t="s">
        <v>205</v>
      </c>
      <c r="P72" s="39"/>
      <c r="Q72" s="39"/>
    </row>
    <row r="73" spans="1:17" ht="15.75">
      <c r="A73" s="30" t="s">
        <v>321</v>
      </c>
      <c r="B73" s="31" t="s">
        <v>322</v>
      </c>
      <c r="C73" s="32" t="s">
        <v>323</v>
      </c>
      <c r="D73" s="33" t="s">
        <v>49</v>
      </c>
      <c r="E73" s="34" t="s">
        <v>22</v>
      </c>
      <c r="F73" s="34" t="s">
        <v>35</v>
      </c>
      <c r="G73" s="33" t="s">
        <v>50</v>
      </c>
      <c r="H73" s="35" t="s">
        <v>51</v>
      </c>
      <c r="I73" s="36" t="s">
        <v>324</v>
      </c>
      <c r="J73" s="34" t="s">
        <v>37</v>
      </c>
      <c r="K73" s="34" t="s">
        <v>25</v>
      </c>
      <c r="L73" s="37">
        <v>46222</v>
      </c>
      <c r="M73" s="38"/>
      <c r="N73" s="39">
        <v>6</v>
      </c>
      <c r="O73" s="40" t="s">
        <v>205</v>
      </c>
      <c r="P73" s="39"/>
      <c r="Q73" s="39"/>
    </row>
    <row r="74" spans="1:17" ht="15.75">
      <c r="A74" s="30" t="s">
        <v>325</v>
      </c>
      <c r="B74" s="31" t="s">
        <v>326</v>
      </c>
      <c r="C74" s="32" t="s">
        <v>327</v>
      </c>
      <c r="D74" s="33" t="s">
        <v>49</v>
      </c>
      <c r="E74" s="34" t="s">
        <v>22</v>
      </c>
      <c r="F74" s="34" t="s">
        <v>35</v>
      </c>
      <c r="G74" s="33" t="s">
        <v>24</v>
      </c>
      <c r="H74" s="35"/>
      <c r="I74" s="36" t="s">
        <v>328</v>
      </c>
      <c r="J74" s="34" t="s">
        <v>37</v>
      </c>
      <c r="K74" s="34" t="s">
        <v>25</v>
      </c>
      <c r="L74" s="37"/>
      <c r="M74" s="38"/>
      <c r="N74" s="39">
        <v>3.3</v>
      </c>
      <c r="O74" s="40" t="s">
        <v>41</v>
      </c>
      <c r="P74" s="39">
        <v>2</v>
      </c>
      <c r="Q74" s="39">
        <v>354.6</v>
      </c>
    </row>
    <row r="75" spans="1:17" ht="15.75">
      <c r="A75" s="30" t="s">
        <v>329</v>
      </c>
      <c r="B75" s="31" t="s">
        <v>330</v>
      </c>
      <c r="C75" s="32" t="s">
        <v>331</v>
      </c>
      <c r="D75" s="33" t="s">
        <v>33</v>
      </c>
      <c r="E75" s="34" t="s">
        <v>22</v>
      </c>
      <c r="F75" s="34" t="s">
        <v>35</v>
      </c>
      <c r="G75" s="33" t="s">
        <v>24</v>
      </c>
      <c r="H75" s="35"/>
      <c r="I75" s="36" t="s">
        <v>328</v>
      </c>
      <c r="J75" s="34" t="s">
        <v>37</v>
      </c>
      <c r="K75" s="34" t="s">
        <v>24</v>
      </c>
      <c r="L75" s="37"/>
      <c r="M75" s="38"/>
      <c r="N75" s="39">
        <v>11.7</v>
      </c>
      <c r="O75" s="40" t="s">
        <v>41</v>
      </c>
      <c r="P75" s="39">
        <v>3</v>
      </c>
      <c r="Q75" s="39">
        <v>355.1</v>
      </c>
    </row>
    <row r="76" spans="1:17" ht="15.75">
      <c r="A76" s="30" t="s">
        <v>332</v>
      </c>
      <c r="B76" s="31" t="s">
        <v>333</v>
      </c>
      <c r="C76" s="32" t="s">
        <v>334</v>
      </c>
      <c r="D76" s="33" t="s">
        <v>186</v>
      </c>
      <c r="E76" s="34" t="s">
        <v>22</v>
      </c>
      <c r="F76" s="34" t="s">
        <v>35</v>
      </c>
      <c r="G76" s="33" t="s">
        <v>187</v>
      </c>
      <c r="H76" s="35"/>
      <c r="I76" s="36" t="s">
        <v>188</v>
      </c>
      <c r="J76" s="34" t="s">
        <v>37</v>
      </c>
      <c r="K76" s="34" t="s">
        <v>24</v>
      </c>
      <c r="L76" s="37"/>
      <c r="M76" s="38"/>
      <c r="N76" s="39">
        <v>5.2</v>
      </c>
      <c r="O76" s="40" t="s">
        <v>41</v>
      </c>
      <c r="P76" s="39">
        <v>7</v>
      </c>
      <c r="Q76" s="39">
        <v>324.10000000000002</v>
      </c>
    </row>
    <row r="77" spans="1:17" ht="15.75">
      <c r="A77" s="30" t="s">
        <v>335</v>
      </c>
      <c r="B77" s="31" t="s">
        <v>336</v>
      </c>
      <c r="C77" s="32" t="s">
        <v>337</v>
      </c>
      <c r="D77" s="33" t="s">
        <v>186</v>
      </c>
      <c r="E77" s="34" t="s">
        <v>22</v>
      </c>
      <c r="F77" s="34" t="s">
        <v>35</v>
      </c>
      <c r="G77" s="33" t="s">
        <v>187</v>
      </c>
      <c r="H77" s="35"/>
      <c r="I77" s="36" t="s">
        <v>188</v>
      </c>
      <c r="J77" s="34" t="s">
        <v>37</v>
      </c>
      <c r="K77" s="34" t="s">
        <v>24</v>
      </c>
      <c r="L77" s="37"/>
      <c r="M77" s="38"/>
      <c r="N77" s="39">
        <v>3</v>
      </c>
      <c r="O77" s="40" t="s">
        <v>41</v>
      </c>
      <c r="P77" s="39">
        <v>9</v>
      </c>
      <c r="Q77" s="39">
        <v>300</v>
      </c>
    </row>
    <row r="78" spans="1:17" ht="15.75">
      <c r="A78" s="30" t="s">
        <v>338</v>
      </c>
      <c r="B78" s="31" t="s">
        <v>339</v>
      </c>
      <c r="C78" s="32" t="s">
        <v>340</v>
      </c>
      <c r="D78" s="33" t="s">
        <v>186</v>
      </c>
      <c r="E78" s="34" t="s">
        <v>22</v>
      </c>
      <c r="F78" s="34" t="s">
        <v>35</v>
      </c>
      <c r="G78" s="33" t="s">
        <v>187</v>
      </c>
      <c r="H78" s="35"/>
      <c r="I78" s="36" t="s">
        <v>341</v>
      </c>
      <c r="J78" s="34" t="s">
        <v>37</v>
      </c>
      <c r="K78" s="34" t="s">
        <v>24</v>
      </c>
      <c r="L78" s="37"/>
      <c r="M78" s="38"/>
      <c r="N78" s="39">
        <v>1.8</v>
      </c>
      <c r="O78" s="40" t="s">
        <v>41</v>
      </c>
      <c r="P78" s="39">
        <v>14.5</v>
      </c>
      <c r="Q78" s="39">
        <v>338.1</v>
      </c>
    </row>
    <row r="79" spans="1:17" ht="15.75">
      <c r="A79" s="30" t="s">
        <v>342</v>
      </c>
      <c r="B79" s="31" t="s">
        <v>343</v>
      </c>
      <c r="C79" s="32" t="s">
        <v>344</v>
      </c>
      <c r="D79" s="33" t="s">
        <v>68</v>
      </c>
      <c r="E79" s="34" t="s">
        <v>22</v>
      </c>
      <c r="F79" s="34" t="s">
        <v>35</v>
      </c>
      <c r="G79" s="33" t="s">
        <v>50</v>
      </c>
      <c r="H79" s="35"/>
      <c r="I79" s="36" t="s">
        <v>177</v>
      </c>
      <c r="J79" s="34" t="s">
        <v>37</v>
      </c>
      <c r="K79" s="34" t="s">
        <v>24</v>
      </c>
      <c r="L79" s="37"/>
      <c r="M79" s="38"/>
      <c r="N79" s="39">
        <v>2</v>
      </c>
      <c r="O79" s="40" t="s">
        <v>41</v>
      </c>
      <c r="P79" s="39">
        <v>11.5</v>
      </c>
      <c r="Q79" s="39">
        <v>327.10000000000002</v>
      </c>
    </row>
    <row r="80" spans="1:17" ht="15.75">
      <c r="A80" s="30" t="s">
        <v>345</v>
      </c>
      <c r="B80" s="31" t="s">
        <v>346</v>
      </c>
      <c r="C80" s="32" t="s">
        <v>347</v>
      </c>
      <c r="D80" s="33" t="s">
        <v>73</v>
      </c>
      <c r="E80" s="34" t="s">
        <v>22</v>
      </c>
      <c r="F80" s="34" t="s">
        <v>35</v>
      </c>
      <c r="G80" s="33" t="s">
        <v>50</v>
      </c>
      <c r="H80" s="35"/>
      <c r="I80" s="36" t="s">
        <v>177</v>
      </c>
      <c r="J80" s="34" t="s">
        <v>37</v>
      </c>
      <c r="K80" s="34" t="s">
        <v>24</v>
      </c>
      <c r="L80" s="37"/>
      <c r="M80" s="38"/>
      <c r="N80" s="39">
        <v>2</v>
      </c>
      <c r="O80" s="40" t="s">
        <v>41</v>
      </c>
      <c r="P80" s="39">
        <v>4.5</v>
      </c>
      <c r="Q80" s="39">
        <v>324.2</v>
      </c>
    </row>
    <row r="81" spans="1:17" ht="15.75">
      <c r="A81" s="30" t="s">
        <v>348</v>
      </c>
      <c r="B81" s="31" t="s">
        <v>349</v>
      </c>
      <c r="C81" s="32" t="s">
        <v>350</v>
      </c>
      <c r="D81" s="33" t="s">
        <v>61</v>
      </c>
      <c r="E81" s="34" t="s">
        <v>22</v>
      </c>
      <c r="F81" s="34" t="s">
        <v>35</v>
      </c>
      <c r="G81" s="33" t="s">
        <v>50</v>
      </c>
      <c r="H81" s="35"/>
      <c r="I81" s="36" t="s">
        <v>177</v>
      </c>
      <c r="J81" s="34" t="s">
        <v>37</v>
      </c>
      <c r="K81" s="34" t="s">
        <v>24</v>
      </c>
      <c r="L81" s="37"/>
      <c r="M81" s="38"/>
      <c r="N81" s="39">
        <v>3</v>
      </c>
      <c r="O81" s="40" t="s">
        <v>41</v>
      </c>
      <c r="P81" s="39"/>
      <c r="Q81" s="39"/>
    </row>
    <row r="82" spans="1:17" ht="15.75">
      <c r="A82" s="30" t="s">
        <v>351</v>
      </c>
      <c r="B82" s="31" t="s">
        <v>352</v>
      </c>
      <c r="C82" s="32" t="s">
        <v>353</v>
      </c>
      <c r="D82" s="33" t="s">
        <v>186</v>
      </c>
      <c r="E82" s="34" t="s">
        <v>22</v>
      </c>
      <c r="F82" s="34" t="s">
        <v>35</v>
      </c>
      <c r="G82" s="33" t="s">
        <v>187</v>
      </c>
      <c r="H82" s="35" t="s">
        <v>51</v>
      </c>
      <c r="I82" s="36" t="s">
        <v>188</v>
      </c>
      <c r="J82" s="34" t="s">
        <v>37</v>
      </c>
      <c r="K82" s="34" t="s">
        <v>24</v>
      </c>
      <c r="L82" s="37"/>
      <c r="M82" s="38"/>
      <c r="N82" s="39">
        <v>0.5</v>
      </c>
      <c r="O82" s="40" t="s">
        <v>41</v>
      </c>
      <c r="P82" s="39"/>
      <c r="Q82" s="39"/>
    </row>
    <row r="83" spans="1:17" ht="15.75">
      <c r="A83" s="30" t="s">
        <v>354</v>
      </c>
      <c r="B83" s="31" t="s">
        <v>355</v>
      </c>
      <c r="C83" s="32" t="s">
        <v>356</v>
      </c>
      <c r="D83" s="33" t="s">
        <v>186</v>
      </c>
      <c r="E83" s="34" t="s">
        <v>22</v>
      </c>
      <c r="F83" s="34" t="s">
        <v>35</v>
      </c>
      <c r="G83" s="33" t="s">
        <v>187</v>
      </c>
      <c r="H83" s="35"/>
      <c r="I83" s="36" t="s">
        <v>188</v>
      </c>
      <c r="J83" s="34" t="s">
        <v>37</v>
      </c>
      <c r="K83" s="34" t="s">
        <v>24</v>
      </c>
      <c r="L83" s="37"/>
      <c r="M83" s="38"/>
      <c r="N83" s="39">
        <v>0.5</v>
      </c>
      <c r="O83" s="40" t="s">
        <v>41</v>
      </c>
      <c r="P83" s="39">
        <v>157.5</v>
      </c>
      <c r="Q83" s="39">
        <v>193</v>
      </c>
    </row>
    <row r="84" spans="1:17" ht="30">
      <c r="A84" s="30" t="s">
        <v>357</v>
      </c>
      <c r="B84" s="31" t="s">
        <v>358</v>
      </c>
      <c r="C84" s="32" t="s">
        <v>359</v>
      </c>
      <c r="D84" s="33" t="s">
        <v>186</v>
      </c>
      <c r="E84" s="34" t="s">
        <v>22</v>
      </c>
      <c r="F84" s="34" t="s">
        <v>35</v>
      </c>
      <c r="G84" s="33" t="s">
        <v>187</v>
      </c>
      <c r="H84" s="35"/>
      <c r="I84" s="36" t="s">
        <v>188</v>
      </c>
      <c r="J84" s="34" t="s">
        <v>37</v>
      </c>
      <c r="K84" s="34" t="s">
        <v>24</v>
      </c>
      <c r="L84" s="37"/>
      <c r="M84" s="38"/>
      <c r="N84" s="39">
        <v>38</v>
      </c>
      <c r="O84" s="40" t="s">
        <v>360</v>
      </c>
      <c r="P84" s="39">
        <v>254</v>
      </c>
      <c r="Q84" s="39">
        <v>359.4</v>
      </c>
    </row>
    <row r="85" spans="1:17" ht="15.75">
      <c r="A85" s="30" t="s">
        <v>361</v>
      </c>
      <c r="B85" s="31" t="s">
        <v>362</v>
      </c>
      <c r="C85" s="32" t="s">
        <v>363</v>
      </c>
      <c r="D85" s="33" t="s">
        <v>186</v>
      </c>
      <c r="E85" s="34" t="s">
        <v>22</v>
      </c>
      <c r="F85" s="34" t="s">
        <v>35</v>
      </c>
      <c r="G85" s="33" t="s">
        <v>50</v>
      </c>
      <c r="H85" s="35"/>
      <c r="I85" s="36" t="s">
        <v>364</v>
      </c>
      <c r="J85" s="34" t="s">
        <v>37</v>
      </c>
      <c r="K85" s="34" t="s">
        <v>24</v>
      </c>
      <c r="L85" s="37"/>
      <c r="M85" s="38"/>
      <c r="N85" s="39">
        <v>2</v>
      </c>
      <c r="O85" s="40" t="s">
        <v>360</v>
      </c>
      <c r="P85" s="39">
        <v>19.5</v>
      </c>
      <c r="Q85" s="39">
        <v>327.8</v>
      </c>
    </row>
    <row r="86" spans="1:17" ht="15.75">
      <c r="A86" s="30" t="s">
        <v>365</v>
      </c>
      <c r="B86" s="31" t="s">
        <v>366</v>
      </c>
      <c r="C86" s="32" t="s">
        <v>367</v>
      </c>
      <c r="D86" s="33" t="s">
        <v>186</v>
      </c>
      <c r="E86" s="34" t="s">
        <v>22</v>
      </c>
      <c r="F86" s="34" t="s">
        <v>35</v>
      </c>
      <c r="G86" s="33" t="s">
        <v>187</v>
      </c>
      <c r="H86" s="35"/>
      <c r="I86" s="36" t="s">
        <v>188</v>
      </c>
      <c r="J86" s="34" t="s">
        <v>37</v>
      </c>
      <c r="K86" s="34" t="s">
        <v>24</v>
      </c>
      <c r="L86" s="37"/>
      <c r="M86" s="38"/>
      <c r="N86" s="39">
        <v>3</v>
      </c>
      <c r="O86" s="40" t="s">
        <v>360</v>
      </c>
      <c r="P86" s="39">
        <v>2</v>
      </c>
      <c r="Q86" s="39">
        <v>333.3</v>
      </c>
    </row>
    <row r="87" spans="1:17" ht="15.75">
      <c r="A87" s="30" t="s">
        <v>368</v>
      </c>
      <c r="B87" s="31" t="s">
        <v>369</v>
      </c>
      <c r="C87" s="32" t="s">
        <v>370</v>
      </c>
      <c r="D87" s="33" t="s">
        <v>186</v>
      </c>
      <c r="E87" s="34" t="s">
        <v>22</v>
      </c>
      <c r="F87" s="34" t="s">
        <v>35</v>
      </c>
      <c r="G87" s="33" t="s">
        <v>187</v>
      </c>
      <c r="H87" s="35" t="s">
        <v>51</v>
      </c>
      <c r="I87" s="36" t="s">
        <v>188</v>
      </c>
      <c r="J87" s="34" t="s">
        <v>37</v>
      </c>
      <c r="K87" s="34" t="s">
        <v>24</v>
      </c>
      <c r="L87" s="37"/>
      <c r="M87" s="38"/>
      <c r="N87" s="39">
        <v>7</v>
      </c>
      <c r="O87" s="40" t="s">
        <v>360</v>
      </c>
      <c r="P87" s="39">
        <v>6</v>
      </c>
      <c r="Q87" s="39">
        <v>334.3</v>
      </c>
    </row>
    <row r="88" spans="1:17" ht="31.5">
      <c r="A88" s="30" t="s">
        <v>371</v>
      </c>
      <c r="B88" s="31" t="s">
        <v>372</v>
      </c>
      <c r="C88" s="32" t="s">
        <v>373</v>
      </c>
      <c r="D88" s="33" t="s">
        <v>61</v>
      </c>
      <c r="E88" s="34" t="s">
        <v>22</v>
      </c>
      <c r="F88" s="34" t="s">
        <v>35</v>
      </c>
      <c r="G88" s="33" t="s">
        <v>24</v>
      </c>
      <c r="H88" s="35"/>
      <c r="I88" s="36" t="s">
        <v>374</v>
      </c>
      <c r="J88" s="34" t="s">
        <v>37</v>
      </c>
      <c r="K88" s="34" t="s">
        <v>24</v>
      </c>
      <c r="L88" s="37"/>
      <c r="M88" s="38"/>
      <c r="N88" s="39">
        <v>0.7</v>
      </c>
      <c r="O88" s="40" t="s">
        <v>64</v>
      </c>
      <c r="P88" s="39"/>
      <c r="Q88" s="39"/>
    </row>
    <row r="89" spans="1:17" ht="15.75" hidden="1">
      <c r="A89" s="30" t="s">
        <v>375</v>
      </c>
      <c r="B89" s="31" t="s">
        <v>376</v>
      </c>
      <c r="C89" s="32" t="s">
        <v>377</v>
      </c>
      <c r="D89" s="33" t="s">
        <v>61</v>
      </c>
      <c r="E89" s="34" t="s">
        <v>34</v>
      </c>
      <c r="F89" s="34" t="s">
        <v>35</v>
      </c>
      <c r="G89" s="33" t="s">
        <v>84</v>
      </c>
      <c r="H89" s="35"/>
      <c r="I89" s="36" t="s">
        <v>36</v>
      </c>
      <c r="J89" s="34" t="s">
        <v>37</v>
      </c>
      <c r="K89" s="34" t="s">
        <v>24</v>
      </c>
      <c r="L89" s="37">
        <v>46223</v>
      </c>
      <c r="M89" s="38">
        <v>46223</v>
      </c>
      <c r="N89" s="39">
        <v>0</v>
      </c>
      <c r="O89" s="40" t="s">
        <v>64</v>
      </c>
      <c r="P89" s="39">
        <v>0.8</v>
      </c>
      <c r="Q89" s="39">
        <v>0.8</v>
      </c>
    </row>
    <row r="90" spans="1:17" ht="15.75" hidden="1">
      <c r="A90" s="30" t="s">
        <v>378</v>
      </c>
      <c r="B90" s="31" t="s">
        <v>379</v>
      </c>
      <c r="C90" s="32" t="s">
        <v>380</v>
      </c>
      <c r="D90" s="33" t="s">
        <v>73</v>
      </c>
      <c r="E90" s="34" t="s">
        <v>34</v>
      </c>
      <c r="F90" s="34" t="s">
        <v>35</v>
      </c>
      <c r="G90" s="33" t="s">
        <v>84</v>
      </c>
      <c r="H90" s="35"/>
      <c r="I90" s="36" t="s">
        <v>36</v>
      </c>
      <c r="J90" s="34" t="s">
        <v>37</v>
      </c>
      <c r="K90" s="34" t="s">
        <v>24</v>
      </c>
      <c r="L90" s="37">
        <v>46223</v>
      </c>
      <c r="M90" s="38">
        <v>46223</v>
      </c>
      <c r="N90" s="39">
        <v>3.3</v>
      </c>
      <c r="O90" s="40" t="s">
        <v>75</v>
      </c>
      <c r="P90" s="39">
        <v>0.8</v>
      </c>
      <c r="Q90" s="39">
        <v>0.8</v>
      </c>
    </row>
    <row r="91" spans="1:17" ht="15.75" hidden="1">
      <c r="A91" s="30" t="s">
        <v>381</v>
      </c>
      <c r="B91" s="31" t="s">
        <v>382</v>
      </c>
      <c r="C91" s="32" t="s">
        <v>383</v>
      </c>
      <c r="D91" s="33" t="s">
        <v>33</v>
      </c>
      <c r="E91" s="34" t="s">
        <v>34</v>
      </c>
      <c r="F91" s="34" t="s">
        <v>35</v>
      </c>
      <c r="G91" s="33" t="s">
        <v>209</v>
      </c>
      <c r="H91" s="35"/>
      <c r="I91" s="36" t="s">
        <v>36</v>
      </c>
      <c r="J91" s="34" t="s">
        <v>37</v>
      </c>
      <c r="K91" s="34" t="s">
        <v>24</v>
      </c>
      <c r="L91" s="37">
        <v>46225</v>
      </c>
      <c r="M91" s="38">
        <v>46225</v>
      </c>
      <c r="N91" s="39">
        <v>0.2</v>
      </c>
      <c r="O91" s="40" t="s">
        <v>227</v>
      </c>
      <c r="P91" s="39">
        <v>2</v>
      </c>
      <c r="Q91" s="39">
        <v>1</v>
      </c>
    </row>
    <row r="92" spans="1:17" ht="30">
      <c r="A92" s="30" t="s">
        <v>384</v>
      </c>
      <c r="B92" s="31" t="s">
        <v>385</v>
      </c>
      <c r="C92" s="32" t="s">
        <v>386</v>
      </c>
      <c r="D92" s="33" t="s">
        <v>33</v>
      </c>
      <c r="E92" s="34" t="s">
        <v>22</v>
      </c>
      <c r="F92" s="34" t="s">
        <v>35</v>
      </c>
      <c r="G92" s="33" t="s">
        <v>24</v>
      </c>
      <c r="H92" s="35"/>
      <c r="I92" s="36" t="s">
        <v>387</v>
      </c>
      <c r="J92" s="34" t="s">
        <v>37</v>
      </c>
      <c r="K92" s="34" t="s">
        <v>24</v>
      </c>
      <c r="L92" s="37">
        <v>46222</v>
      </c>
      <c r="M92" s="38"/>
      <c r="N92" s="39">
        <v>0.5</v>
      </c>
      <c r="O92" s="40" t="s">
        <v>53</v>
      </c>
      <c r="P92" s="39">
        <v>46.5</v>
      </c>
      <c r="Q92" s="39">
        <v>382.9</v>
      </c>
    </row>
    <row r="93" spans="1:17" ht="15.75" hidden="1">
      <c r="A93" s="30" t="s">
        <v>388</v>
      </c>
      <c r="B93" s="31" t="s">
        <v>389</v>
      </c>
      <c r="C93" s="32" t="s">
        <v>390</v>
      </c>
      <c r="D93" s="33" t="s">
        <v>73</v>
      </c>
      <c r="E93" s="34" t="s">
        <v>34</v>
      </c>
      <c r="F93" s="34" t="s">
        <v>35</v>
      </c>
      <c r="G93" s="33" t="s">
        <v>84</v>
      </c>
      <c r="H93" s="35"/>
      <c r="I93" s="36" t="s">
        <v>84</v>
      </c>
      <c r="J93" s="34" t="s">
        <v>37</v>
      </c>
      <c r="K93" s="34" t="s">
        <v>24</v>
      </c>
      <c r="L93" s="37">
        <v>46223</v>
      </c>
      <c r="M93" s="38">
        <v>46223</v>
      </c>
      <c r="N93" s="39">
        <v>0.2</v>
      </c>
      <c r="O93" s="40" t="s">
        <v>85</v>
      </c>
      <c r="P93" s="39">
        <v>0.8</v>
      </c>
      <c r="Q93" s="39">
        <v>0.8</v>
      </c>
    </row>
    <row r="94" spans="1:17" ht="15.75">
      <c r="A94" s="30" t="s">
        <v>391</v>
      </c>
      <c r="B94" s="31" t="s">
        <v>392</v>
      </c>
      <c r="C94" s="32" t="s">
        <v>393</v>
      </c>
      <c r="D94" s="33" t="s">
        <v>21</v>
      </c>
      <c r="E94" s="34" t="s">
        <v>22</v>
      </c>
      <c r="F94" s="34" t="s">
        <v>142</v>
      </c>
      <c r="G94" s="33" t="s">
        <v>24</v>
      </c>
      <c r="H94" s="35"/>
      <c r="I94" s="36"/>
      <c r="J94" s="34"/>
      <c r="K94" s="34" t="s">
        <v>24</v>
      </c>
      <c r="L94" s="37"/>
      <c r="M94" s="38"/>
      <c r="N94" s="39">
        <v>69</v>
      </c>
      <c r="O94" s="40"/>
      <c r="P94" s="39">
        <v>22.5</v>
      </c>
      <c r="Q94" s="39">
        <v>23</v>
      </c>
    </row>
    <row r="95" spans="1:17" ht="15.75" hidden="1">
      <c r="A95" s="30" t="s">
        <v>394</v>
      </c>
      <c r="B95" s="31" t="s">
        <v>395</v>
      </c>
      <c r="C95" s="32" t="s">
        <v>396</v>
      </c>
      <c r="D95" s="33" t="s">
        <v>33</v>
      </c>
      <c r="E95" s="34" t="s">
        <v>34</v>
      </c>
      <c r="F95" s="34" t="s">
        <v>35</v>
      </c>
      <c r="G95" s="33" t="s">
        <v>209</v>
      </c>
      <c r="H95" s="35"/>
      <c r="I95" s="36" t="s">
        <v>209</v>
      </c>
      <c r="J95" s="34" t="s">
        <v>37</v>
      </c>
      <c r="K95" s="34" t="s">
        <v>24</v>
      </c>
      <c r="L95" s="37">
        <v>46225</v>
      </c>
      <c r="M95" s="38">
        <v>46225</v>
      </c>
      <c r="N95" s="39">
        <v>0.2</v>
      </c>
      <c r="O95" s="40" t="s">
        <v>397</v>
      </c>
      <c r="P95" s="39">
        <v>9</v>
      </c>
      <c r="Q95" s="39">
        <v>3.1</v>
      </c>
    </row>
    <row r="96" spans="1:17" ht="15.75">
      <c r="A96" s="30" t="s">
        <v>398</v>
      </c>
      <c r="B96" s="31" t="s">
        <v>399</v>
      </c>
      <c r="C96" s="32" t="s">
        <v>400</v>
      </c>
      <c r="D96" s="33" t="s">
        <v>49</v>
      </c>
      <c r="E96" s="34" t="s">
        <v>22</v>
      </c>
      <c r="F96" s="34" t="s">
        <v>35</v>
      </c>
      <c r="G96" s="33" t="s">
        <v>50</v>
      </c>
      <c r="H96" s="35"/>
      <c r="I96" s="36"/>
      <c r="J96" s="34" t="s">
        <v>37</v>
      </c>
      <c r="K96" s="34" t="s">
        <v>25</v>
      </c>
      <c r="L96" s="37"/>
      <c r="M96" s="38"/>
      <c r="N96" s="39">
        <v>0.2</v>
      </c>
      <c r="O96" s="40" t="s">
        <v>401</v>
      </c>
      <c r="P96" s="39"/>
      <c r="Q96" s="39"/>
    </row>
    <row r="97" spans="1:17" ht="15.75">
      <c r="A97" s="30" t="s">
        <v>402</v>
      </c>
      <c r="B97" s="31" t="s">
        <v>403</v>
      </c>
      <c r="C97" s="32" t="s">
        <v>404</v>
      </c>
      <c r="D97" s="33" t="s">
        <v>49</v>
      </c>
      <c r="E97" s="34" t="s">
        <v>34</v>
      </c>
      <c r="F97" s="34" t="s">
        <v>35</v>
      </c>
      <c r="G97" s="33" t="s">
        <v>24</v>
      </c>
      <c r="H97" s="35"/>
      <c r="I97" s="36"/>
      <c r="J97" s="34" t="s">
        <v>37</v>
      </c>
      <c r="K97" s="34" t="s">
        <v>25</v>
      </c>
      <c r="L97" s="37">
        <v>46223</v>
      </c>
      <c r="M97" s="38">
        <v>46223</v>
      </c>
      <c r="N97" s="39">
        <v>0.6</v>
      </c>
      <c r="O97" s="40" t="s">
        <v>401</v>
      </c>
      <c r="P97" s="39">
        <v>10</v>
      </c>
      <c r="Q97" s="39">
        <v>4.4000000000000004</v>
      </c>
    </row>
    <row r="98" spans="1:17" ht="15.75">
      <c r="A98" s="30" t="s">
        <v>405</v>
      </c>
      <c r="B98" s="31" t="s">
        <v>406</v>
      </c>
      <c r="C98" s="32" t="s">
        <v>407</v>
      </c>
      <c r="D98" s="33" t="s">
        <v>33</v>
      </c>
      <c r="E98" s="34" t="s">
        <v>22</v>
      </c>
      <c r="F98" s="34" t="s">
        <v>35</v>
      </c>
      <c r="G98" s="33" t="s">
        <v>24</v>
      </c>
      <c r="H98" s="35"/>
      <c r="I98" s="36" t="s">
        <v>328</v>
      </c>
      <c r="J98" s="34" t="s">
        <v>37</v>
      </c>
      <c r="K98" s="34" t="s">
        <v>24</v>
      </c>
      <c r="L98" s="37"/>
      <c r="M98" s="38"/>
      <c r="N98" s="39">
        <v>2</v>
      </c>
      <c r="O98" s="40" t="s">
        <v>408</v>
      </c>
      <c r="P98" s="39">
        <v>45</v>
      </c>
      <c r="Q98" s="39">
        <v>356.1</v>
      </c>
    </row>
    <row r="99" spans="1:17" ht="15.75">
      <c r="A99" s="30" t="s">
        <v>409</v>
      </c>
      <c r="B99" s="31" t="s">
        <v>410</v>
      </c>
      <c r="C99" s="32" t="s">
        <v>411</v>
      </c>
      <c r="D99" s="33" t="s">
        <v>33</v>
      </c>
      <c r="E99" s="34" t="s">
        <v>22</v>
      </c>
      <c r="F99" s="34" t="s">
        <v>35</v>
      </c>
      <c r="G99" s="33" t="s">
        <v>24</v>
      </c>
      <c r="H99" s="35"/>
      <c r="I99" s="36" t="s">
        <v>328</v>
      </c>
      <c r="J99" s="34" t="s">
        <v>37</v>
      </c>
      <c r="K99" s="34" t="s">
        <v>24</v>
      </c>
      <c r="L99" s="37"/>
      <c r="M99" s="38"/>
      <c r="N99" s="39">
        <v>2.4</v>
      </c>
      <c r="O99" s="40" t="s">
        <v>412</v>
      </c>
      <c r="P99" s="39">
        <v>48.5</v>
      </c>
      <c r="Q99" s="39">
        <v>359.4</v>
      </c>
    </row>
    <row r="100" spans="1:17" ht="15.75">
      <c r="A100" s="30" t="s">
        <v>413</v>
      </c>
      <c r="B100" s="31" t="s">
        <v>414</v>
      </c>
      <c r="C100" s="32" t="s">
        <v>415</v>
      </c>
      <c r="D100" s="33" t="s">
        <v>49</v>
      </c>
      <c r="E100" s="34" t="s">
        <v>34</v>
      </c>
      <c r="F100" s="34" t="s">
        <v>35</v>
      </c>
      <c r="G100" s="33" t="s">
        <v>24</v>
      </c>
      <c r="H100" s="35"/>
      <c r="I100" s="36" t="s">
        <v>36</v>
      </c>
      <c r="J100" s="34" t="s">
        <v>37</v>
      </c>
      <c r="K100" s="34" t="s">
        <v>25</v>
      </c>
      <c r="L100" s="37">
        <v>46223</v>
      </c>
      <c r="M100" s="38">
        <v>46223</v>
      </c>
      <c r="N100" s="39">
        <v>2.2000000000000002</v>
      </c>
      <c r="O100" s="40" t="s">
        <v>416</v>
      </c>
      <c r="P100" s="39">
        <v>3.5</v>
      </c>
      <c r="Q100" s="39">
        <v>1.6</v>
      </c>
    </row>
    <row r="101" spans="1:17" ht="15.75">
      <c r="A101" s="30" t="s">
        <v>417</v>
      </c>
      <c r="B101" s="31" t="s">
        <v>418</v>
      </c>
      <c r="C101" s="32" t="s">
        <v>419</v>
      </c>
      <c r="D101" s="33" t="s">
        <v>33</v>
      </c>
      <c r="E101" s="34" t="s">
        <v>34</v>
      </c>
      <c r="F101" s="34" t="s">
        <v>35</v>
      </c>
      <c r="G101" s="33" t="s">
        <v>24</v>
      </c>
      <c r="H101" s="35"/>
      <c r="I101" s="36" t="s">
        <v>36</v>
      </c>
      <c r="J101" s="34" t="s">
        <v>37</v>
      </c>
      <c r="K101" s="34" t="s">
        <v>24</v>
      </c>
      <c r="L101" s="37">
        <v>46222</v>
      </c>
      <c r="M101" s="38">
        <v>46222</v>
      </c>
      <c r="N101" s="39">
        <v>0.4</v>
      </c>
      <c r="O101" s="40" t="s">
        <v>259</v>
      </c>
      <c r="P101" s="39">
        <v>3.5</v>
      </c>
      <c r="Q101" s="39">
        <v>3.3</v>
      </c>
    </row>
    <row r="102" spans="1:17" ht="15.75" hidden="1">
      <c r="A102" s="30" t="s">
        <v>420</v>
      </c>
      <c r="B102" s="31" t="s">
        <v>421</v>
      </c>
      <c r="C102" s="32" t="s">
        <v>422</v>
      </c>
      <c r="D102" s="33" t="s">
        <v>73</v>
      </c>
      <c r="E102" s="34" t="s">
        <v>22</v>
      </c>
      <c r="F102" s="34" t="s">
        <v>35</v>
      </c>
      <c r="G102" s="33" t="s">
        <v>158</v>
      </c>
      <c r="H102" s="35" t="s">
        <v>51</v>
      </c>
      <c r="I102" s="36" t="s">
        <v>423</v>
      </c>
      <c r="J102" s="34" t="s">
        <v>37</v>
      </c>
      <c r="K102" s="34" t="s">
        <v>24</v>
      </c>
      <c r="L102" s="37"/>
      <c r="M102" s="38"/>
      <c r="N102" s="39">
        <v>10</v>
      </c>
      <c r="O102" s="40" t="s">
        <v>424</v>
      </c>
      <c r="P102" s="39"/>
      <c r="Q102" s="39"/>
    </row>
    <row r="103" spans="1:17" ht="15.75" hidden="1">
      <c r="A103" s="30" t="s">
        <v>425</v>
      </c>
      <c r="B103" s="31" t="s">
        <v>426</v>
      </c>
      <c r="C103" s="32" t="s">
        <v>427</v>
      </c>
      <c r="D103" s="33" t="s">
        <v>21</v>
      </c>
      <c r="E103" s="34" t="s">
        <v>22</v>
      </c>
      <c r="F103" s="34" t="s">
        <v>35</v>
      </c>
      <c r="G103" s="33" t="s">
        <v>158</v>
      </c>
      <c r="H103" s="35" t="s">
        <v>51</v>
      </c>
      <c r="I103" s="36" t="s">
        <v>158</v>
      </c>
      <c r="J103" s="34" t="s">
        <v>37</v>
      </c>
      <c r="K103" s="34" t="s">
        <v>24</v>
      </c>
      <c r="L103" s="37"/>
      <c r="M103" s="38"/>
      <c r="N103" s="39">
        <v>0.7</v>
      </c>
      <c r="O103" s="40" t="s">
        <v>428</v>
      </c>
      <c r="P103" s="39"/>
      <c r="Q103" s="39"/>
    </row>
    <row r="104" spans="1:17" ht="30">
      <c r="A104" s="30" t="s">
        <v>429</v>
      </c>
      <c r="B104" s="31" t="s">
        <v>430</v>
      </c>
      <c r="C104" s="32" t="s">
        <v>431</v>
      </c>
      <c r="D104" s="33" t="s">
        <v>97</v>
      </c>
      <c r="E104" s="34" t="s">
        <v>22</v>
      </c>
      <c r="F104" s="34" t="s">
        <v>35</v>
      </c>
      <c r="G104" s="33" t="s">
        <v>50</v>
      </c>
      <c r="H104" s="35" t="s">
        <v>51</v>
      </c>
      <c r="I104" s="36" t="s">
        <v>328</v>
      </c>
      <c r="J104" s="34" t="s">
        <v>37</v>
      </c>
      <c r="K104" s="34" t="s">
        <v>25</v>
      </c>
      <c r="L104" s="37"/>
      <c r="M104" s="38"/>
      <c r="N104" s="39">
        <v>0.7</v>
      </c>
      <c r="O104" s="40" t="s">
        <v>432</v>
      </c>
      <c r="P104" s="39">
        <v>23.5</v>
      </c>
      <c r="Q104" s="39">
        <v>160.9</v>
      </c>
    </row>
    <row r="105" spans="1:17" ht="15.75">
      <c r="A105" s="30" t="s">
        <v>433</v>
      </c>
      <c r="B105" s="31" t="s">
        <v>434</v>
      </c>
      <c r="C105" s="32" t="s">
        <v>435</v>
      </c>
      <c r="D105" s="33" t="s">
        <v>97</v>
      </c>
      <c r="E105" s="34" t="s">
        <v>22</v>
      </c>
      <c r="F105" s="34" t="s">
        <v>35</v>
      </c>
      <c r="G105" s="33" t="s">
        <v>50</v>
      </c>
      <c r="H105" s="35"/>
      <c r="I105" s="36" t="s">
        <v>328</v>
      </c>
      <c r="J105" s="34" t="s">
        <v>37</v>
      </c>
      <c r="K105" s="34" t="s">
        <v>24</v>
      </c>
      <c r="L105" s="37"/>
      <c r="M105" s="38"/>
      <c r="N105" s="39">
        <v>0.5</v>
      </c>
      <c r="O105" s="40" t="s">
        <v>432</v>
      </c>
      <c r="P105" s="39">
        <v>9</v>
      </c>
      <c r="Q105" s="39">
        <v>163.4</v>
      </c>
    </row>
    <row r="106" spans="1:17" ht="30">
      <c r="A106" s="30" t="s">
        <v>436</v>
      </c>
      <c r="B106" s="31" t="s">
        <v>437</v>
      </c>
      <c r="C106" s="32" t="s">
        <v>438</v>
      </c>
      <c r="D106" s="33" t="s">
        <v>97</v>
      </c>
      <c r="E106" s="34" t="s">
        <v>22</v>
      </c>
      <c r="F106" s="34" t="s">
        <v>35</v>
      </c>
      <c r="G106" s="33" t="s">
        <v>50</v>
      </c>
      <c r="H106" s="35" t="s">
        <v>51</v>
      </c>
      <c r="I106" s="36" t="s">
        <v>328</v>
      </c>
      <c r="J106" s="34" t="s">
        <v>37</v>
      </c>
      <c r="K106" s="34" t="s">
        <v>25</v>
      </c>
      <c r="L106" s="37"/>
      <c r="M106" s="38"/>
      <c r="N106" s="39">
        <v>0.7</v>
      </c>
      <c r="O106" s="40" t="s">
        <v>432</v>
      </c>
      <c r="P106" s="39">
        <v>21.5</v>
      </c>
      <c r="Q106" s="39">
        <v>161.4</v>
      </c>
    </row>
    <row r="107" spans="1:17" ht="30" hidden="1">
      <c r="A107" s="30" t="s">
        <v>439</v>
      </c>
      <c r="B107" s="31" t="s">
        <v>440</v>
      </c>
      <c r="C107" s="32" t="s">
        <v>441</v>
      </c>
      <c r="D107" s="33" t="s">
        <v>97</v>
      </c>
      <c r="E107" s="34" t="s">
        <v>22</v>
      </c>
      <c r="F107" s="34" t="s">
        <v>35</v>
      </c>
      <c r="G107" s="33" t="s">
        <v>50</v>
      </c>
      <c r="H107" s="35" t="s">
        <v>51</v>
      </c>
      <c r="I107" s="36" t="s">
        <v>328</v>
      </c>
      <c r="J107" s="34" t="s">
        <v>37</v>
      </c>
      <c r="K107" s="34" t="s">
        <v>29</v>
      </c>
      <c r="L107" s="37"/>
      <c r="M107" s="38"/>
      <c r="N107" s="39">
        <v>1</v>
      </c>
      <c r="O107" s="40" t="s">
        <v>432</v>
      </c>
      <c r="P107" s="39">
        <v>16</v>
      </c>
      <c r="Q107" s="39">
        <v>22.3</v>
      </c>
    </row>
    <row r="108" spans="1:17" ht="15.75">
      <c r="A108" s="30" t="s">
        <v>442</v>
      </c>
      <c r="B108" s="31" t="s">
        <v>443</v>
      </c>
      <c r="C108" s="32" t="s">
        <v>444</v>
      </c>
      <c r="D108" s="33" t="s">
        <v>97</v>
      </c>
      <c r="E108" s="34" t="s">
        <v>22</v>
      </c>
      <c r="F108" s="34" t="s">
        <v>35</v>
      </c>
      <c r="G108" s="33" t="s">
        <v>50</v>
      </c>
      <c r="H108" s="35" t="s">
        <v>51</v>
      </c>
      <c r="I108" s="36" t="s">
        <v>328</v>
      </c>
      <c r="J108" s="34" t="s">
        <v>37</v>
      </c>
      <c r="K108" s="34" t="s">
        <v>25</v>
      </c>
      <c r="L108" s="37"/>
      <c r="M108" s="38"/>
      <c r="N108" s="39">
        <v>0.7</v>
      </c>
      <c r="O108" s="40" t="s">
        <v>432</v>
      </c>
      <c r="P108" s="39">
        <v>9.5</v>
      </c>
      <c r="Q108" s="39">
        <v>137.9</v>
      </c>
    </row>
    <row r="109" spans="1:17" ht="15.75">
      <c r="A109" s="30" t="s">
        <v>445</v>
      </c>
      <c r="B109" s="31" t="s">
        <v>446</v>
      </c>
      <c r="C109" s="32" t="s">
        <v>447</v>
      </c>
      <c r="D109" s="33" t="s">
        <v>97</v>
      </c>
      <c r="E109" s="34" t="s">
        <v>22</v>
      </c>
      <c r="F109" s="34" t="s">
        <v>35</v>
      </c>
      <c r="G109" s="33" t="s">
        <v>50</v>
      </c>
      <c r="H109" s="35" t="s">
        <v>51</v>
      </c>
      <c r="I109" s="36" t="s">
        <v>328</v>
      </c>
      <c r="J109" s="34" t="s">
        <v>37</v>
      </c>
      <c r="K109" s="34" t="s">
        <v>25</v>
      </c>
      <c r="L109" s="37"/>
      <c r="M109" s="38"/>
      <c r="N109" s="39">
        <v>0.7</v>
      </c>
      <c r="O109" s="40" t="s">
        <v>432</v>
      </c>
      <c r="P109" s="39">
        <v>5.5</v>
      </c>
      <c r="Q109" s="39">
        <v>130.4</v>
      </c>
    </row>
    <row r="110" spans="1:17" ht="15.75" hidden="1">
      <c r="A110" s="30" t="s">
        <v>448</v>
      </c>
      <c r="B110" s="31" t="s">
        <v>449</v>
      </c>
      <c r="C110" s="32" t="s">
        <v>450</v>
      </c>
      <c r="D110" s="33" t="s">
        <v>97</v>
      </c>
      <c r="E110" s="34" t="s">
        <v>22</v>
      </c>
      <c r="F110" s="34" t="s">
        <v>35</v>
      </c>
      <c r="G110" s="33" t="s">
        <v>50</v>
      </c>
      <c r="H110" s="35" t="s">
        <v>51</v>
      </c>
      <c r="I110" s="36" t="s">
        <v>328</v>
      </c>
      <c r="J110" s="34" t="s">
        <v>37</v>
      </c>
      <c r="K110" s="34" t="s">
        <v>29</v>
      </c>
      <c r="L110" s="37"/>
      <c r="M110" s="38"/>
      <c r="N110" s="39">
        <v>0.7</v>
      </c>
      <c r="O110" s="40" t="s">
        <v>432</v>
      </c>
      <c r="P110" s="39">
        <v>6.5</v>
      </c>
      <c r="Q110" s="39">
        <v>137.9</v>
      </c>
    </row>
    <row r="111" spans="1:17" ht="15.75" hidden="1">
      <c r="A111" s="30" t="s">
        <v>451</v>
      </c>
      <c r="B111" s="31" t="s">
        <v>452</v>
      </c>
      <c r="C111" s="32" t="s">
        <v>453</v>
      </c>
      <c r="D111" s="33" t="s">
        <v>97</v>
      </c>
      <c r="E111" s="34" t="s">
        <v>22</v>
      </c>
      <c r="F111" s="34" t="s">
        <v>35</v>
      </c>
      <c r="G111" s="33" t="s">
        <v>50</v>
      </c>
      <c r="H111" s="35" t="s">
        <v>51</v>
      </c>
      <c r="I111" s="36" t="s">
        <v>328</v>
      </c>
      <c r="J111" s="34" t="s">
        <v>37</v>
      </c>
      <c r="K111" s="34" t="s">
        <v>29</v>
      </c>
      <c r="L111" s="37"/>
      <c r="M111" s="38"/>
      <c r="N111" s="39">
        <v>0.7</v>
      </c>
      <c r="O111" s="40" t="s">
        <v>432</v>
      </c>
      <c r="P111" s="39">
        <v>5.5</v>
      </c>
      <c r="Q111" s="39">
        <v>137.9</v>
      </c>
    </row>
    <row r="112" spans="1:17" ht="30" hidden="1">
      <c r="A112" s="30" t="s">
        <v>454</v>
      </c>
      <c r="B112" s="31" t="s">
        <v>455</v>
      </c>
      <c r="C112" s="32" t="s">
        <v>456</v>
      </c>
      <c r="D112" s="33" t="s">
        <v>97</v>
      </c>
      <c r="E112" s="34" t="s">
        <v>22</v>
      </c>
      <c r="F112" s="34" t="s">
        <v>35</v>
      </c>
      <c r="G112" s="33" t="s">
        <v>50</v>
      </c>
      <c r="H112" s="35" t="s">
        <v>51</v>
      </c>
      <c r="I112" s="36" t="s">
        <v>328</v>
      </c>
      <c r="J112" s="34" t="s">
        <v>37</v>
      </c>
      <c r="K112" s="34" t="s">
        <v>29</v>
      </c>
      <c r="L112" s="37"/>
      <c r="M112" s="38"/>
      <c r="N112" s="39">
        <v>1</v>
      </c>
      <c r="O112" s="40" t="s">
        <v>432</v>
      </c>
      <c r="P112" s="39">
        <v>8</v>
      </c>
      <c r="Q112" s="39">
        <v>22.4</v>
      </c>
    </row>
    <row r="113" spans="1:17" ht="15.75">
      <c r="A113" s="30" t="s">
        <v>457</v>
      </c>
      <c r="B113" s="31" t="s">
        <v>458</v>
      </c>
      <c r="C113" s="32" t="s">
        <v>459</v>
      </c>
      <c r="D113" s="33" t="s">
        <v>97</v>
      </c>
      <c r="E113" s="34" t="s">
        <v>34</v>
      </c>
      <c r="F113" s="34" t="s">
        <v>35</v>
      </c>
      <c r="G113" s="33" t="s">
        <v>50</v>
      </c>
      <c r="H113" s="35"/>
      <c r="I113" s="36" t="s">
        <v>328</v>
      </c>
      <c r="J113" s="34" t="s">
        <v>37</v>
      </c>
      <c r="K113" s="34" t="s">
        <v>24</v>
      </c>
      <c r="L113" s="37">
        <v>46229</v>
      </c>
      <c r="M113" s="38">
        <v>46229</v>
      </c>
      <c r="N113" s="39">
        <v>0.9</v>
      </c>
      <c r="O113" s="40" t="s">
        <v>432</v>
      </c>
      <c r="P113" s="39">
        <v>7.5</v>
      </c>
      <c r="Q113" s="39">
        <v>2.5</v>
      </c>
    </row>
    <row r="114" spans="1:17" ht="15.75">
      <c r="A114" s="30" t="s">
        <v>460</v>
      </c>
      <c r="B114" s="31" t="s">
        <v>461</v>
      </c>
      <c r="C114" s="32" t="s">
        <v>462</v>
      </c>
      <c r="D114" s="33" t="s">
        <v>97</v>
      </c>
      <c r="E114" s="34" t="s">
        <v>34</v>
      </c>
      <c r="F114" s="34" t="s">
        <v>35</v>
      </c>
      <c r="G114" s="33" t="s">
        <v>50</v>
      </c>
      <c r="H114" s="35"/>
      <c r="I114" s="36" t="s">
        <v>328</v>
      </c>
      <c r="J114" s="34" t="s">
        <v>37</v>
      </c>
      <c r="K114" s="34" t="s">
        <v>24</v>
      </c>
      <c r="L114" s="37">
        <v>46229</v>
      </c>
      <c r="M114" s="38">
        <v>46229</v>
      </c>
      <c r="N114" s="39">
        <v>1.8</v>
      </c>
      <c r="O114" s="40" t="s">
        <v>432</v>
      </c>
      <c r="P114" s="39">
        <v>8.5</v>
      </c>
      <c r="Q114" s="39">
        <v>3.4</v>
      </c>
    </row>
    <row r="115" spans="1:17" ht="15.75">
      <c r="A115" s="30" t="s">
        <v>463</v>
      </c>
      <c r="B115" s="31" t="s">
        <v>464</v>
      </c>
      <c r="C115" s="32" t="s">
        <v>465</v>
      </c>
      <c r="D115" s="33" t="s">
        <v>97</v>
      </c>
      <c r="E115" s="34" t="s">
        <v>22</v>
      </c>
      <c r="F115" s="34" t="s">
        <v>35</v>
      </c>
      <c r="G115" s="33" t="s">
        <v>50</v>
      </c>
      <c r="H115" s="35"/>
      <c r="I115" s="36" t="s">
        <v>328</v>
      </c>
      <c r="J115" s="34" t="s">
        <v>37</v>
      </c>
      <c r="K115" s="34" t="s">
        <v>25</v>
      </c>
      <c r="L115" s="37"/>
      <c r="M115" s="38"/>
      <c r="N115" s="39">
        <v>0.4</v>
      </c>
      <c r="O115" s="40" t="s">
        <v>432</v>
      </c>
      <c r="P115" s="39">
        <v>7.5</v>
      </c>
      <c r="Q115" s="39">
        <v>211.2</v>
      </c>
    </row>
    <row r="116" spans="1:17" ht="15.75" hidden="1">
      <c r="A116" s="30" t="s">
        <v>466</v>
      </c>
      <c r="B116" s="31" t="s">
        <v>467</v>
      </c>
      <c r="C116" s="32" t="s">
        <v>468</v>
      </c>
      <c r="D116" s="33" t="s">
        <v>97</v>
      </c>
      <c r="E116" s="34" t="s">
        <v>22</v>
      </c>
      <c r="F116" s="34" t="s">
        <v>35</v>
      </c>
      <c r="G116" s="33" t="s">
        <v>50</v>
      </c>
      <c r="H116" s="35"/>
      <c r="I116" s="36" t="s">
        <v>328</v>
      </c>
      <c r="J116" s="34" t="s">
        <v>37</v>
      </c>
      <c r="K116" s="34" t="s">
        <v>29</v>
      </c>
      <c r="L116" s="37"/>
      <c r="M116" s="38"/>
      <c r="N116" s="39">
        <v>0.4</v>
      </c>
      <c r="O116" s="40" t="s">
        <v>432</v>
      </c>
      <c r="P116" s="39">
        <v>11.5</v>
      </c>
      <c r="Q116" s="39">
        <v>211.2</v>
      </c>
    </row>
    <row r="117" spans="1:17" ht="15.75">
      <c r="A117" s="30" t="s">
        <v>469</v>
      </c>
      <c r="B117" s="31" t="s">
        <v>470</v>
      </c>
      <c r="C117" s="32" t="s">
        <v>471</v>
      </c>
      <c r="D117" s="33" t="s">
        <v>97</v>
      </c>
      <c r="E117" s="34" t="s">
        <v>34</v>
      </c>
      <c r="F117" s="34" t="s">
        <v>35</v>
      </c>
      <c r="G117" s="33" t="s">
        <v>50</v>
      </c>
      <c r="H117" s="35"/>
      <c r="I117" s="36" t="s">
        <v>328</v>
      </c>
      <c r="J117" s="34" t="s">
        <v>37</v>
      </c>
      <c r="K117" s="34" t="s">
        <v>24</v>
      </c>
      <c r="L117" s="37">
        <v>46229</v>
      </c>
      <c r="M117" s="38">
        <v>46229</v>
      </c>
      <c r="N117" s="39">
        <v>0.9</v>
      </c>
      <c r="O117" s="40" t="s">
        <v>432</v>
      </c>
      <c r="P117" s="39">
        <v>11.5</v>
      </c>
      <c r="Q117" s="39">
        <v>3.9</v>
      </c>
    </row>
    <row r="118" spans="1:17" ht="15.75">
      <c r="A118" s="30" t="s">
        <v>472</v>
      </c>
      <c r="B118" s="31" t="s">
        <v>473</v>
      </c>
      <c r="C118" s="32" t="s">
        <v>474</v>
      </c>
      <c r="D118" s="33" t="s">
        <v>97</v>
      </c>
      <c r="E118" s="34" t="s">
        <v>34</v>
      </c>
      <c r="F118" s="34" t="s">
        <v>35</v>
      </c>
      <c r="G118" s="33" t="s">
        <v>50</v>
      </c>
      <c r="H118" s="35"/>
      <c r="I118" s="36" t="s">
        <v>328</v>
      </c>
      <c r="J118" s="34" t="s">
        <v>37</v>
      </c>
      <c r="K118" s="34" t="s">
        <v>24</v>
      </c>
      <c r="L118" s="37">
        <v>46229</v>
      </c>
      <c r="M118" s="38">
        <v>46229</v>
      </c>
      <c r="N118" s="39">
        <v>0.9</v>
      </c>
      <c r="O118" s="40" t="s">
        <v>432</v>
      </c>
      <c r="P118" s="39">
        <v>7.5</v>
      </c>
      <c r="Q118" s="39">
        <v>4.5999999999999996</v>
      </c>
    </row>
    <row r="119" spans="1:17" ht="15.75">
      <c r="A119" s="30" t="s">
        <v>475</v>
      </c>
      <c r="B119" s="31" t="s">
        <v>476</v>
      </c>
      <c r="C119" s="32" t="s">
        <v>477</v>
      </c>
      <c r="D119" s="33" t="s">
        <v>97</v>
      </c>
      <c r="E119" s="34" t="s">
        <v>34</v>
      </c>
      <c r="F119" s="34" t="s">
        <v>35</v>
      </c>
      <c r="G119" s="33" t="s">
        <v>50</v>
      </c>
      <c r="H119" s="35"/>
      <c r="I119" s="36" t="s">
        <v>328</v>
      </c>
      <c r="J119" s="34" t="s">
        <v>37</v>
      </c>
      <c r="K119" s="34" t="s">
        <v>24</v>
      </c>
      <c r="L119" s="37">
        <v>46229</v>
      </c>
      <c r="M119" s="38">
        <v>46229</v>
      </c>
      <c r="N119" s="39">
        <v>0.4</v>
      </c>
      <c r="O119" s="40" t="s">
        <v>432</v>
      </c>
      <c r="P119" s="39">
        <v>8</v>
      </c>
      <c r="Q119" s="39">
        <v>5.4</v>
      </c>
    </row>
    <row r="120" spans="1:17" ht="15.75">
      <c r="A120" s="30" t="s">
        <v>478</v>
      </c>
      <c r="B120" s="31" t="s">
        <v>479</v>
      </c>
      <c r="C120" s="32" t="s">
        <v>480</v>
      </c>
      <c r="D120" s="33" t="s">
        <v>97</v>
      </c>
      <c r="E120" s="34" t="s">
        <v>22</v>
      </c>
      <c r="F120" s="34" t="s">
        <v>35</v>
      </c>
      <c r="G120" s="33" t="s">
        <v>50</v>
      </c>
      <c r="H120" s="35" t="s">
        <v>51</v>
      </c>
      <c r="I120" s="36" t="s">
        <v>328</v>
      </c>
      <c r="J120" s="34" t="s">
        <v>37</v>
      </c>
      <c r="K120" s="34" t="s">
        <v>24</v>
      </c>
      <c r="L120" s="37"/>
      <c r="M120" s="38"/>
      <c r="N120" s="39">
        <v>0.5</v>
      </c>
      <c r="O120" s="40" t="s">
        <v>432</v>
      </c>
      <c r="P120" s="39">
        <v>28</v>
      </c>
      <c r="Q120" s="39">
        <v>115.6</v>
      </c>
    </row>
    <row r="121" spans="1:17" ht="15.75">
      <c r="A121" s="30" t="s">
        <v>481</v>
      </c>
      <c r="B121" s="31" t="s">
        <v>482</v>
      </c>
      <c r="C121" s="32" t="s">
        <v>483</v>
      </c>
      <c r="D121" s="33" t="s">
        <v>97</v>
      </c>
      <c r="E121" s="34" t="s">
        <v>34</v>
      </c>
      <c r="F121" s="34" t="s">
        <v>35</v>
      </c>
      <c r="G121" s="33" t="s">
        <v>50</v>
      </c>
      <c r="H121" s="35" t="s">
        <v>51</v>
      </c>
      <c r="I121" s="36" t="s">
        <v>328</v>
      </c>
      <c r="J121" s="34" t="s">
        <v>37</v>
      </c>
      <c r="K121" s="34" t="s">
        <v>24</v>
      </c>
      <c r="L121" s="37">
        <v>46229</v>
      </c>
      <c r="M121" s="38">
        <v>46229</v>
      </c>
      <c r="N121" s="39">
        <v>0.4</v>
      </c>
      <c r="O121" s="40" t="s">
        <v>432</v>
      </c>
      <c r="P121" s="39">
        <v>16</v>
      </c>
      <c r="Q121" s="39">
        <v>47</v>
      </c>
    </row>
    <row r="122" spans="1:17" ht="30">
      <c r="A122" s="30" t="s">
        <v>484</v>
      </c>
      <c r="B122" s="31" t="s">
        <v>485</v>
      </c>
      <c r="C122" s="32" t="s">
        <v>486</v>
      </c>
      <c r="D122" s="33" t="s">
        <v>97</v>
      </c>
      <c r="E122" s="34" t="s">
        <v>34</v>
      </c>
      <c r="F122" s="34" t="s">
        <v>35</v>
      </c>
      <c r="G122" s="33" t="s">
        <v>50</v>
      </c>
      <c r="H122" s="35"/>
      <c r="I122" s="36" t="s">
        <v>328</v>
      </c>
      <c r="J122" s="34" t="s">
        <v>37</v>
      </c>
      <c r="K122" s="34" t="s">
        <v>24</v>
      </c>
      <c r="L122" s="37">
        <v>46229</v>
      </c>
      <c r="M122" s="38">
        <v>46229</v>
      </c>
      <c r="N122" s="39">
        <v>3.7</v>
      </c>
      <c r="O122" s="40" t="s">
        <v>432</v>
      </c>
      <c r="P122" s="39">
        <v>12.5</v>
      </c>
      <c r="Q122" s="39">
        <v>47.5</v>
      </c>
    </row>
    <row r="123" spans="1:17" ht="15.75">
      <c r="A123" s="30" t="s">
        <v>487</v>
      </c>
      <c r="B123" s="31" t="s">
        <v>488</v>
      </c>
      <c r="C123" s="32" t="s">
        <v>489</v>
      </c>
      <c r="D123" s="33" t="s">
        <v>97</v>
      </c>
      <c r="E123" s="34" t="s">
        <v>34</v>
      </c>
      <c r="F123" s="34" t="s">
        <v>35</v>
      </c>
      <c r="G123" s="33" t="s">
        <v>50</v>
      </c>
      <c r="H123" s="35" t="s">
        <v>51</v>
      </c>
      <c r="I123" s="36" t="s">
        <v>328</v>
      </c>
      <c r="J123" s="34" t="s">
        <v>37</v>
      </c>
      <c r="K123" s="34" t="s">
        <v>24</v>
      </c>
      <c r="L123" s="37">
        <v>46238</v>
      </c>
      <c r="M123" s="38">
        <v>46236</v>
      </c>
      <c r="N123" s="39">
        <v>0.9</v>
      </c>
      <c r="O123" s="40" t="s">
        <v>271</v>
      </c>
      <c r="P123" s="39">
        <v>16</v>
      </c>
      <c r="Q123" s="39">
        <v>4</v>
      </c>
    </row>
    <row r="124" spans="1:17" ht="15.75">
      <c r="A124" s="30" t="s">
        <v>490</v>
      </c>
      <c r="B124" s="31" t="s">
        <v>491</v>
      </c>
      <c r="C124" s="32" t="s">
        <v>492</v>
      </c>
      <c r="D124" s="33" t="s">
        <v>97</v>
      </c>
      <c r="E124" s="34" t="s">
        <v>22</v>
      </c>
      <c r="F124" s="34" t="s">
        <v>35</v>
      </c>
      <c r="G124" s="33" t="s">
        <v>50</v>
      </c>
      <c r="H124" s="35" t="s">
        <v>51</v>
      </c>
      <c r="I124" s="36" t="s">
        <v>328</v>
      </c>
      <c r="J124" s="34" t="s">
        <v>37</v>
      </c>
      <c r="K124" s="34" t="s">
        <v>24</v>
      </c>
      <c r="L124" s="37"/>
      <c r="M124" s="38"/>
      <c r="N124" s="39">
        <v>3.5</v>
      </c>
      <c r="O124" s="40" t="s">
        <v>493</v>
      </c>
      <c r="P124" s="39"/>
      <c r="Q124" s="39"/>
    </row>
    <row r="125" spans="1:17" ht="15.75">
      <c r="A125" s="30" t="s">
        <v>494</v>
      </c>
      <c r="B125" s="31" t="s">
        <v>495</v>
      </c>
      <c r="C125" s="32" t="s">
        <v>496</v>
      </c>
      <c r="D125" s="33" t="s">
        <v>97</v>
      </c>
      <c r="E125" s="34" t="s">
        <v>22</v>
      </c>
      <c r="F125" s="34" t="s">
        <v>35</v>
      </c>
      <c r="G125" s="33" t="s">
        <v>50</v>
      </c>
      <c r="H125" s="35" t="s">
        <v>51</v>
      </c>
      <c r="I125" s="36" t="s">
        <v>328</v>
      </c>
      <c r="J125" s="34" t="s">
        <v>37</v>
      </c>
      <c r="K125" s="34" t="s">
        <v>24</v>
      </c>
      <c r="L125" s="37"/>
      <c r="M125" s="38"/>
      <c r="N125" s="39">
        <v>3.5</v>
      </c>
      <c r="O125" s="40" t="s">
        <v>493</v>
      </c>
      <c r="P125" s="39"/>
      <c r="Q125" s="39"/>
    </row>
    <row r="126" spans="1:17" ht="15.75" hidden="1">
      <c r="A126" s="30" t="s">
        <v>497</v>
      </c>
      <c r="B126" s="31" t="s">
        <v>498</v>
      </c>
      <c r="C126" s="32" t="s">
        <v>499</v>
      </c>
      <c r="D126" s="33" t="s">
        <v>97</v>
      </c>
      <c r="E126" s="34" t="s">
        <v>22</v>
      </c>
      <c r="F126" s="34" t="s">
        <v>35</v>
      </c>
      <c r="G126" s="33" t="s">
        <v>158</v>
      </c>
      <c r="H126" s="35" t="s">
        <v>51</v>
      </c>
      <c r="I126" s="36" t="s">
        <v>500</v>
      </c>
      <c r="J126" s="34" t="s">
        <v>37</v>
      </c>
      <c r="K126" s="34" t="s">
        <v>25</v>
      </c>
      <c r="L126" s="37"/>
      <c r="M126" s="38"/>
      <c r="N126" s="39">
        <v>3.5</v>
      </c>
      <c r="O126" s="40" t="s">
        <v>493</v>
      </c>
      <c r="P126" s="39"/>
      <c r="Q126" s="39"/>
    </row>
    <row r="127" spans="1:17" ht="15.75">
      <c r="A127" s="30" t="s">
        <v>501</v>
      </c>
      <c r="B127" s="31" t="s">
        <v>502</v>
      </c>
      <c r="C127" s="32" t="s">
        <v>503</v>
      </c>
      <c r="D127" s="33" t="s">
        <v>97</v>
      </c>
      <c r="E127" s="34" t="s">
        <v>22</v>
      </c>
      <c r="F127" s="34" t="s">
        <v>35</v>
      </c>
      <c r="G127" s="33" t="s">
        <v>24</v>
      </c>
      <c r="H127" s="35"/>
      <c r="I127" s="36" t="s">
        <v>328</v>
      </c>
      <c r="J127" s="34" t="s">
        <v>37</v>
      </c>
      <c r="K127" s="34" t="s">
        <v>24</v>
      </c>
      <c r="L127" s="37"/>
      <c r="M127" s="38"/>
      <c r="N127" s="39">
        <v>3.5</v>
      </c>
      <c r="O127" s="40" t="s">
        <v>493</v>
      </c>
      <c r="P127" s="39"/>
      <c r="Q127" s="39"/>
    </row>
    <row r="128" spans="1:17" ht="15.75">
      <c r="A128" s="30" t="s">
        <v>504</v>
      </c>
      <c r="B128" s="31" t="s">
        <v>505</v>
      </c>
      <c r="C128" s="32" t="s">
        <v>506</v>
      </c>
      <c r="D128" s="33" t="s">
        <v>49</v>
      </c>
      <c r="E128" s="34" t="s">
        <v>34</v>
      </c>
      <c r="F128" s="34" t="s">
        <v>35</v>
      </c>
      <c r="G128" s="33" t="s">
        <v>24</v>
      </c>
      <c r="H128" s="35"/>
      <c r="I128" s="36" t="s">
        <v>328</v>
      </c>
      <c r="J128" s="34" t="s">
        <v>37</v>
      </c>
      <c r="K128" s="34" t="s">
        <v>25</v>
      </c>
      <c r="L128" s="37">
        <v>46224</v>
      </c>
      <c r="M128" s="38">
        <v>46224</v>
      </c>
      <c r="N128" s="39">
        <v>0.6</v>
      </c>
      <c r="O128" s="40" t="s">
        <v>267</v>
      </c>
      <c r="P128" s="39">
        <v>7.8</v>
      </c>
      <c r="Q128" s="39">
        <v>3.9</v>
      </c>
    </row>
    <row r="129" spans="1:17" ht="15.75" hidden="1">
      <c r="A129" s="30" t="s">
        <v>507</v>
      </c>
      <c r="B129" s="31" t="s">
        <v>508</v>
      </c>
      <c r="C129" s="32" t="s">
        <v>509</v>
      </c>
      <c r="D129" s="33" t="s">
        <v>49</v>
      </c>
      <c r="E129" s="34" t="s">
        <v>34</v>
      </c>
      <c r="F129" s="34" t="s">
        <v>35</v>
      </c>
      <c r="G129" s="33" t="s">
        <v>209</v>
      </c>
      <c r="H129" s="35"/>
      <c r="I129" s="36" t="s">
        <v>510</v>
      </c>
      <c r="J129" s="34" t="s">
        <v>37</v>
      </c>
      <c r="K129" s="34" t="s">
        <v>25</v>
      </c>
      <c r="L129" s="37">
        <v>46225</v>
      </c>
      <c r="M129" s="38">
        <v>46225</v>
      </c>
      <c r="N129" s="39">
        <v>0.3</v>
      </c>
      <c r="O129" s="40" t="s">
        <v>267</v>
      </c>
      <c r="P129" s="39">
        <v>4.8</v>
      </c>
      <c r="Q129" s="39">
        <v>3</v>
      </c>
    </row>
    <row r="130" spans="1:17" ht="15.75" hidden="1">
      <c r="A130" s="30" t="s">
        <v>511</v>
      </c>
      <c r="B130" s="31" t="s">
        <v>512</v>
      </c>
      <c r="C130" s="32" t="s">
        <v>513</v>
      </c>
      <c r="D130" s="33" t="s">
        <v>49</v>
      </c>
      <c r="E130" s="34" t="s">
        <v>34</v>
      </c>
      <c r="F130" s="34" t="s">
        <v>35</v>
      </c>
      <c r="G130" s="33" t="s">
        <v>209</v>
      </c>
      <c r="H130" s="35"/>
      <c r="I130" s="36" t="s">
        <v>510</v>
      </c>
      <c r="J130" s="34" t="s">
        <v>37</v>
      </c>
      <c r="K130" s="34" t="s">
        <v>25</v>
      </c>
      <c r="L130" s="37">
        <v>46229</v>
      </c>
      <c r="M130" s="38">
        <v>46229</v>
      </c>
      <c r="N130" s="39">
        <v>0.4</v>
      </c>
      <c r="O130" s="40" t="s">
        <v>267</v>
      </c>
      <c r="P130" s="39">
        <v>4</v>
      </c>
      <c r="Q130" s="39">
        <v>2</v>
      </c>
    </row>
    <row r="131" spans="1:17" ht="15.75" hidden="1">
      <c r="A131" s="30" t="s">
        <v>514</v>
      </c>
      <c r="B131" s="31" t="s">
        <v>515</v>
      </c>
      <c r="C131" s="32" t="s">
        <v>516</v>
      </c>
      <c r="D131" s="33" t="s">
        <v>49</v>
      </c>
      <c r="E131" s="34" t="s">
        <v>34</v>
      </c>
      <c r="F131" s="34" t="s">
        <v>35</v>
      </c>
      <c r="G131" s="33" t="s">
        <v>209</v>
      </c>
      <c r="H131" s="35"/>
      <c r="I131" s="36" t="s">
        <v>510</v>
      </c>
      <c r="J131" s="34" t="s">
        <v>37</v>
      </c>
      <c r="K131" s="34" t="s">
        <v>25</v>
      </c>
      <c r="L131" s="37">
        <v>46225</v>
      </c>
      <c r="M131" s="38">
        <v>46225</v>
      </c>
      <c r="N131" s="39">
        <v>0.1</v>
      </c>
      <c r="O131" s="40" t="s">
        <v>267</v>
      </c>
      <c r="P131" s="39">
        <v>4.5</v>
      </c>
      <c r="Q131" s="39">
        <v>3.1</v>
      </c>
    </row>
    <row r="132" spans="1:17" ht="15.75" hidden="1">
      <c r="A132" s="30" t="s">
        <v>517</v>
      </c>
      <c r="B132" s="31" t="s">
        <v>518</v>
      </c>
      <c r="C132" s="32" t="s">
        <v>519</v>
      </c>
      <c r="D132" s="33" t="s">
        <v>49</v>
      </c>
      <c r="E132" s="34" t="s">
        <v>34</v>
      </c>
      <c r="F132" s="34" t="s">
        <v>35</v>
      </c>
      <c r="G132" s="33" t="s">
        <v>209</v>
      </c>
      <c r="H132" s="35"/>
      <c r="I132" s="36" t="s">
        <v>510</v>
      </c>
      <c r="J132" s="34" t="s">
        <v>37</v>
      </c>
      <c r="K132" s="34" t="s">
        <v>25</v>
      </c>
      <c r="L132" s="37">
        <v>46229</v>
      </c>
      <c r="M132" s="38">
        <v>46229</v>
      </c>
      <c r="N132" s="39">
        <v>0.1</v>
      </c>
      <c r="O132" s="40" t="s">
        <v>267</v>
      </c>
      <c r="P132" s="39">
        <v>4</v>
      </c>
      <c r="Q132" s="39">
        <v>2</v>
      </c>
    </row>
    <row r="133" spans="1:17" ht="15.75" hidden="1">
      <c r="A133" s="30" t="s">
        <v>520</v>
      </c>
      <c r="B133" s="31" t="s">
        <v>521</v>
      </c>
      <c r="C133" s="32" t="s">
        <v>522</v>
      </c>
      <c r="D133" s="33" t="s">
        <v>97</v>
      </c>
      <c r="E133" s="34" t="s">
        <v>34</v>
      </c>
      <c r="F133" s="34" t="s">
        <v>35</v>
      </c>
      <c r="G133" s="33" t="s">
        <v>209</v>
      </c>
      <c r="H133" s="35"/>
      <c r="I133" s="36" t="s">
        <v>209</v>
      </c>
      <c r="J133" s="34" t="s">
        <v>37</v>
      </c>
      <c r="K133" s="34" t="s">
        <v>24</v>
      </c>
      <c r="L133" s="37">
        <v>46229</v>
      </c>
      <c r="M133" s="38">
        <v>46229</v>
      </c>
      <c r="N133" s="39">
        <v>0.1</v>
      </c>
      <c r="O133" s="40" t="s">
        <v>523</v>
      </c>
      <c r="P133" s="39">
        <v>6</v>
      </c>
      <c r="Q133" s="39">
        <v>3</v>
      </c>
    </row>
    <row r="134" spans="1:17" ht="15.75" hidden="1">
      <c r="A134" s="30" t="s">
        <v>524</v>
      </c>
      <c r="B134" s="31" t="s">
        <v>525</v>
      </c>
      <c r="C134" s="32" t="s">
        <v>526</v>
      </c>
      <c r="D134" s="33" t="s">
        <v>97</v>
      </c>
      <c r="E134" s="34" t="s">
        <v>22</v>
      </c>
      <c r="F134" s="34" t="s">
        <v>35</v>
      </c>
      <c r="G134" s="33" t="s">
        <v>209</v>
      </c>
      <c r="H134" s="35"/>
      <c r="I134" s="36" t="s">
        <v>510</v>
      </c>
      <c r="J134" s="34" t="s">
        <v>37</v>
      </c>
      <c r="K134" s="34" t="s">
        <v>24</v>
      </c>
      <c r="L134" s="37"/>
      <c r="M134" s="38"/>
      <c r="N134" s="39">
        <v>0.2</v>
      </c>
      <c r="O134" s="40" t="s">
        <v>527</v>
      </c>
      <c r="P134" s="39"/>
      <c r="Q134" s="39"/>
    </row>
    <row r="135" spans="1:17" ht="30" hidden="1">
      <c r="A135" s="30" t="s">
        <v>528</v>
      </c>
      <c r="B135" s="31" t="s">
        <v>529</v>
      </c>
      <c r="C135" s="32" t="s">
        <v>530</v>
      </c>
      <c r="D135" s="33" t="s">
        <v>97</v>
      </c>
      <c r="E135" s="34" t="s">
        <v>34</v>
      </c>
      <c r="F135" s="34" t="s">
        <v>35</v>
      </c>
      <c r="G135" s="33" t="s">
        <v>209</v>
      </c>
      <c r="H135" s="35"/>
      <c r="I135" s="36" t="s">
        <v>510</v>
      </c>
      <c r="J135" s="34" t="s">
        <v>37</v>
      </c>
      <c r="K135" s="34" t="s">
        <v>24</v>
      </c>
      <c r="L135" s="37">
        <v>46226</v>
      </c>
      <c r="M135" s="38">
        <v>46226</v>
      </c>
      <c r="N135" s="39">
        <v>0.2</v>
      </c>
      <c r="O135" s="40" t="s">
        <v>527</v>
      </c>
      <c r="P135" s="39">
        <v>10</v>
      </c>
      <c r="Q135" s="39">
        <v>4.2</v>
      </c>
    </row>
    <row r="136" spans="1:17" ht="45">
      <c r="A136" s="30" t="s">
        <v>531</v>
      </c>
      <c r="B136" s="31" t="s">
        <v>532</v>
      </c>
      <c r="C136" s="32" t="s">
        <v>533</v>
      </c>
      <c r="D136" s="33" t="s">
        <v>97</v>
      </c>
      <c r="E136" s="34" t="s">
        <v>34</v>
      </c>
      <c r="F136" s="34" t="s">
        <v>35</v>
      </c>
      <c r="G136" s="33" t="s">
        <v>24</v>
      </c>
      <c r="H136" s="35" t="s">
        <v>51</v>
      </c>
      <c r="I136" s="36" t="s">
        <v>36</v>
      </c>
      <c r="J136" s="34" t="s">
        <v>37</v>
      </c>
      <c r="K136" s="34" t="s">
        <v>24</v>
      </c>
      <c r="L136" s="37">
        <v>46233</v>
      </c>
      <c r="M136" s="38">
        <v>46233</v>
      </c>
      <c r="N136" s="39">
        <v>0.9</v>
      </c>
      <c r="O136" s="40" t="s">
        <v>98</v>
      </c>
      <c r="P136" s="39">
        <v>2</v>
      </c>
      <c r="Q136" s="39">
        <v>72.2</v>
      </c>
    </row>
    <row r="137" spans="1:17" ht="30" hidden="1">
      <c r="A137" s="30" t="s">
        <v>534</v>
      </c>
      <c r="B137" s="31" t="s">
        <v>535</v>
      </c>
      <c r="C137" s="32" t="s">
        <v>536</v>
      </c>
      <c r="D137" s="33" t="s">
        <v>49</v>
      </c>
      <c r="E137" s="34" t="s">
        <v>34</v>
      </c>
      <c r="F137" s="34" t="s">
        <v>35</v>
      </c>
      <c r="G137" s="33" t="s">
        <v>158</v>
      </c>
      <c r="H137" s="35"/>
      <c r="I137" s="36" t="s">
        <v>500</v>
      </c>
      <c r="J137" s="34" t="s">
        <v>37</v>
      </c>
      <c r="K137" s="34" t="s">
        <v>25</v>
      </c>
      <c r="L137" s="37">
        <v>46229</v>
      </c>
      <c r="M137" s="38">
        <v>46229</v>
      </c>
      <c r="N137" s="39">
        <v>0.4</v>
      </c>
      <c r="O137" s="40" t="s">
        <v>98</v>
      </c>
      <c r="P137" s="39">
        <v>2.2000000000000002</v>
      </c>
      <c r="Q137" s="39">
        <v>7.2</v>
      </c>
    </row>
    <row r="138" spans="1:17" ht="30" hidden="1">
      <c r="A138" s="30" t="s">
        <v>537</v>
      </c>
      <c r="B138" s="31" t="s">
        <v>538</v>
      </c>
      <c r="C138" s="32" t="s">
        <v>539</v>
      </c>
      <c r="D138" s="33" t="s">
        <v>49</v>
      </c>
      <c r="E138" s="34" t="s">
        <v>34</v>
      </c>
      <c r="F138" s="34" t="s">
        <v>35</v>
      </c>
      <c r="G138" s="33" t="s">
        <v>158</v>
      </c>
      <c r="H138" s="35" t="s">
        <v>51</v>
      </c>
      <c r="I138" s="36" t="s">
        <v>500</v>
      </c>
      <c r="J138" s="34" t="s">
        <v>37</v>
      </c>
      <c r="K138" s="34" t="s">
        <v>25</v>
      </c>
      <c r="L138" s="37">
        <v>46233</v>
      </c>
      <c r="M138" s="38">
        <v>46233</v>
      </c>
      <c r="N138" s="39">
        <v>2.2999999999999998</v>
      </c>
      <c r="O138" s="40" t="s">
        <v>98</v>
      </c>
      <c r="P138" s="39">
        <v>12</v>
      </c>
      <c r="Q138" s="39">
        <v>26.2</v>
      </c>
    </row>
    <row r="139" spans="1:17" ht="30">
      <c r="A139" s="30" t="s">
        <v>540</v>
      </c>
      <c r="B139" s="31" t="s">
        <v>541</v>
      </c>
      <c r="C139" s="32" t="s">
        <v>542</v>
      </c>
      <c r="D139" s="33" t="s">
        <v>49</v>
      </c>
      <c r="E139" s="34" t="s">
        <v>34</v>
      </c>
      <c r="F139" s="34" t="s">
        <v>35</v>
      </c>
      <c r="G139" s="33" t="s">
        <v>50</v>
      </c>
      <c r="H139" s="35" t="s">
        <v>51</v>
      </c>
      <c r="I139" s="36" t="s">
        <v>328</v>
      </c>
      <c r="J139" s="34" t="s">
        <v>37</v>
      </c>
      <c r="K139" s="34" t="s">
        <v>25</v>
      </c>
      <c r="L139" s="37"/>
      <c r="M139" s="38"/>
      <c r="N139" s="39">
        <v>2.2999999999999998</v>
      </c>
      <c r="O139" s="40" t="s">
        <v>98</v>
      </c>
      <c r="P139" s="39"/>
      <c r="Q139" s="39"/>
    </row>
    <row r="140" spans="1:17" ht="15.75">
      <c r="A140" s="30" t="s">
        <v>543</v>
      </c>
      <c r="B140" s="31" t="s">
        <v>544</v>
      </c>
      <c r="C140" s="32" t="s">
        <v>545</v>
      </c>
      <c r="D140" s="33" t="s">
        <v>49</v>
      </c>
      <c r="E140" s="34" t="s">
        <v>34</v>
      </c>
      <c r="F140" s="34" t="s">
        <v>35</v>
      </c>
      <c r="G140" s="33" t="s">
        <v>50</v>
      </c>
      <c r="H140" s="35"/>
      <c r="I140" s="36" t="s">
        <v>546</v>
      </c>
      <c r="J140" s="34" t="s">
        <v>37</v>
      </c>
      <c r="K140" s="34" t="s">
        <v>25</v>
      </c>
      <c r="L140" s="37"/>
      <c r="M140" s="38"/>
      <c r="N140" s="39">
        <v>0.4</v>
      </c>
      <c r="O140" s="40" t="s">
        <v>271</v>
      </c>
      <c r="P140" s="39"/>
      <c r="Q140" s="39"/>
    </row>
    <row r="141" spans="1:17" ht="30">
      <c r="A141" s="30" t="s">
        <v>547</v>
      </c>
      <c r="B141" s="31" t="s">
        <v>548</v>
      </c>
      <c r="C141" s="32" t="s">
        <v>549</v>
      </c>
      <c r="D141" s="33" t="s">
        <v>21</v>
      </c>
      <c r="E141" s="34" t="s">
        <v>22</v>
      </c>
      <c r="F141" s="34" t="s">
        <v>35</v>
      </c>
      <c r="G141" s="33" t="s">
        <v>50</v>
      </c>
      <c r="H141" s="35" t="s">
        <v>51</v>
      </c>
      <c r="I141" s="36" t="s">
        <v>50</v>
      </c>
      <c r="J141" s="34" t="s">
        <v>37</v>
      </c>
      <c r="K141" s="34" t="s">
        <v>24</v>
      </c>
      <c r="L141" s="37"/>
      <c r="M141" s="38"/>
      <c r="N141" s="39">
        <v>10</v>
      </c>
      <c r="O141" s="40" t="s">
        <v>550</v>
      </c>
      <c r="P141" s="39"/>
      <c r="Q141" s="39"/>
    </row>
    <row r="142" spans="1:17" ht="15.75">
      <c r="A142" s="30" t="s">
        <v>551</v>
      </c>
      <c r="B142" s="31" t="s">
        <v>552</v>
      </c>
      <c r="C142" s="32" t="s">
        <v>553</v>
      </c>
      <c r="D142" s="33" t="s">
        <v>97</v>
      </c>
      <c r="E142" s="34" t="s">
        <v>34</v>
      </c>
      <c r="F142" s="34" t="s">
        <v>35</v>
      </c>
      <c r="G142" s="33" t="s">
        <v>50</v>
      </c>
      <c r="H142" s="35" t="s">
        <v>51</v>
      </c>
      <c r="I142" s="36" t="s">
        <v>50</v>
      </c>
      <c r="J142" s="34" t="s">
        <v>37</v>
      </c>
      <c r="K142" s="34" t="s">
        <v>24</v>
      </c>
      <c r="L142" s="37">
        <v>46238</v>
      </c>
      <c r="M142" s="38">
        <v>46236</v>
      </c>
      <c r="N142" s="39">
        <v>0.9</v>
      </c>
      <c r="O142" s="40" t="s">
        <v>271</v>
      </c>
      <c r="P142" s="39">
        <v>6</v>
      </c>
      <c r="Q142" s="39">
        <v>2</v>
      </c>
    </row>
    <row r="143" spans="1:17" ht="15.75">
      <c r="A143" s="30" t="s">
        <v>554</v>
      </c>
      <c r="B143" s="31" t="s">
        <v>555</v>
      </c>
      <c r="C143" s="32" t="s">
        <v>556</v>
      </c>
      <c r="D143" s="33" t="s">
        <v>97</v>
      </c>
      <c r="E143" s="34" t="s">
        <v>34</v>
      </c>
      <c r="F143" s="34" t="s">
        <v>35</v>
      </c>
      <c r="G143" s="33" t="s">
        <v>50</v>
      </c>
      <c r="H143" s="35" t="s">
        <v>51</v>
      </c>
      <c r="I143" s="36" t="s">
        <v>50</v>
      </c>
      <c r="J143" s="34" t="s">
        <v>37</v>
      </c>
      <c r="K143" s="34" t="s">
        <v>24</v>
      </c>
      <c r="L143" s="37">
        <v>46238</v>
      </c>
      <c r="M143" s="38">
        <v>46236</v>
      </c>
      <c r="N143" s="39">
        <v>0.9</v>
      </c>
      <c r="O143" s="40" t="s">
        <v>271</v>
      </c>
      <c r="P143" s="39">
        <v>6</v>
      </c>
      <c r="Q143" s="39">
        <v>2</v>
      </c>
    </row>
    <row r="144" spans="1:17" ht="15.75" hidden="1">
      <c r="A144" s="30" t="s">
        <v>557</v>
      </c>
      <c r="B144" s="31" t="s">
        <v>558</v>
      </c>
      <c r="C144" s="32" t="s">
        <v>559</v>
      </c>
      <c r="D144" s="33" t="s">
        <v>97</v>
      </c>
      <c r="E144" s="34" t="s">
        <v>34</v>
      </c>
      <c r="F144" s="34" t="s">
        <v>35</v>
      </c>
      <c r="G144" s="33" t="s">
        <v>50</v>
      </c>
      <c r="H144" s="35"/>
      <c r="I144" s="36" t="s">
        <v>84</v>
      </c>
      <c r="J144" s="34" t="s">
        <v>37</v>
      </c>
      <c r="K144" s="34" t="s">
        <v>29</v>
      </c>
      <c r="L144" s="37">
        <v>46223</v>
      </c>
      <c r="M144" s="38">
        <v>46223</v>
      </c>
      <c r="N144" s="39">
        <v>0.2</v>
      </c>
      <c r="O144" s="40" t="s">
        <v>159</v>
      </c>
      <c r="P144" s="39">
        <v>1</v>
      </c>
      <c r="Q144" s="39">
        <v>1</v>
      </c>
    </row>
    <row r="145" spans="1:17" ht="15.75">
      <c r="A145" s="30" t="s">
        <v>560</v>
      </c>
      <c r="B145" s="31" t="s">
        <v>561</v>
      </c>
      <c r="C145" s="32" t="s">
        <v>562</v>
      </c>
      <c r="D145" s="33" t="s">
        <v>97</v>
      </c>
      <c r="E145" s="34" t="s">
        <v>34</v>
      </c>
      <c r="F145" s="34" t="s">
        <v>35</v>
      </c>
      <c r="G145" s="33" t="s">
        <v>50</v>
      </c>
      <c r="H145" s="35"/>
      <c r="I145" s="36" t="s">
        <v>50</v>
      </c>
      <c r="J145" s="34" t="s">
        <v>37</v>
      </c>
      <c r="K145" s="34" t="s">
        <v>24</v>
      </c>
      <c r="L145" s="37">
        <v>46230</v>
      </c>
      <c r="M145" s="38">
        <v>46230</v>
      </c>
      <c r="N145" s="39">
        <v>2.5</v>
      </c>
      <c r="O145" s="40" t="s">
        <v>432</v>
      </c>
      <c r="P145" s="39">
        <v>2.5</v>
      </c>
      <c r="Q145" s="39">
        <v>0.5</v>
      </c>
    </row>
    <row r="146" spans="1:17" ht="15.75">
      <c r="A146" s="30" t="s">
        <v>563</v>
      </c>
      <c r="B146" s="31" t="s">
        <v>564</v>
      </c>
      <c r="C146" s="32" t="s">
        <v>565</v>
      </c>
      <c r="D146" s="33" t="s">
        <v>97</v>
      </c>
      <c r="E146" s="34" t="s">
        <v>22</v>
      </c>
      <c r="F146" s="34" t="s">
        <v>35</v>
      </c>
      <c r="G146" s="33" t="s">
        <v>24</v>
      </c>
      <c r="H146" s="35" t="s">
        <v>51</v>
      </c>
      <c r="I146" s="36" t="s">
        <v>328</v>
      </c>
      <c r="J146" s="34" t="s">
        <v>37</v>
      </c>
      <c r="K146" s="34" t="s">
        <v>25</v>
      </c>
      <c r="L146" s="37"/>
      <c r="M146" s="38"/>
      <c r="N146" s="39">
        <v>1.4</v>
      </c>
      <c r="O146" s="40" t="s">
        <v>244</v>
      </c>
      <c r="P146" s="39">
        <v>34.5</v>
      </c>
      <c r="Q146" s="39">
        <v>207.4</v>
      </c>
    </row>
    <row r="147" spans="1:17" ht="15.75" hidden="1">
      <c r="A147" s="30" t="s">
        <v>566</v>
      </c>
      <c r="B147" s="31" t="s">
        <v>567</v>
      </c>
      <c r="C147" s="32" t="s">
        <v>568</v>
      </c>
      <c r="D147" s="33" t="s">
        <v>97</v>
      </c>
      <c r="E147" s="34" t="s">
        <v>22</v>
      </c>
      <c r="F147" s="34" t="s">
        <v>35</v>
      </c>
      <c r="G147" s="33" t="s">
        <v>24</v>
      </c>
      <c r="H147" s="35" t="s">
        <v>51</v>
      </c>
      <c r="I147" s="36" t="s">
        <v>328</v>
      </c>
      <c r="J147" s="34" t="s">
        <v>37</v>
      </c>
      <c r="K147" s="34" t="s">
        <v>29</v>
      </c>
      <c r="L147" s="37"/>
      <c r="M147" s="38"/>
      <c r="N147" s="39">
        <v>1.3</v>
      </c>
      <c r="O147" s="40" t="s">
        <v>569</v>
      </c>
      <c r="P147" s="39">
        <v>16.5</v>
      </c>
      <c r="Q147" s="39">
        <v>186.9</v>
      </c>
    </row>
    <row r="148" spans="1:17" ht="15.75" hidden="1">
      <c r="A148" s="30" t="s">
        <v>570</v>
      </c>
      <c r="B148" s="31" t="s">
        <v>571</v>
      </c>
      <c r="C148" s="32" t="s">
        <v>572</v>
      </c>
      <c r="D148" s="33" t="s">
        <v>97</v>
      </c>
      <c r="E148" s="34" t="s">
        <v>22</v>
      </c>
      <c r="F148" s="34" t="s">
        <v>35</v>
      </c>
      <c r="G148" s="33" t="s">
        <v>158</v>
      </c>
      <c r="H148" s="35" t="s">
        <v>51</v>
      </c>
      <c r="I148" s="36" t="s">
        <v>500</v>
      </c>
      <c r="J148" s="34" t="s">
        <v>37</v>
      </c>
      <c r="K148" s="34" t="s">
        <v>24</v>
      </c>
      <c r="L148" s="37"/>
      <c r="M148" s="38"/>
      <c r="N148" s="39">
        <v>3.5</v>
      </c>
      <c r="O148" s="40" t="s">
        <v>493</v>
      </c>
      <c r="P148" s="39">
        <v>9.8000000000000007</v>
      </c>
      <c r="Q148" s="39">
        <v>11.9</v>
      </c>
    </row>
    <row r="149" spans="1:17" ht="15.75">
      <c r="A149" s="30" t="s">
        <v>573</v>
      </c>
      <c r="B149" s="31" t="s">
        <v>574</v>
      </c>
      <c r="C149" s="32" t="s">
        <v>575</v>
      </c>
      <c r="D149" s="33" t="s">
        <v>97</v>
      </c>
      <c r="E149" s="34" t="s">
        <v>34</v>
      </c>
      <c r="F149" s="34" t="s">
        <v>35</v>
      </c>
      <c r="G149" s="33" t="s">
        <v>24</v>
      </c>
      <c r="H149" s="35" t="s">
        <v>51</v>
      </c>
      <c r="I149" s="36" t="s">
        <v>36</v>
      </c>
      <c r="J149" s="34" t="s">
        <v>37</v>
      </c>
      <c r="K149" s="34" t="s">
        <v>25</v>
      </c>
      <c r="L149" s="37">
        <v>46238</v>
      </c>
      <c r="M149" s="38">
        <v>46236</v>
      </c>
      <c r="N149" s="39">
        <v>6.3</v>
      </c>
      <c r="O149" s="40" t="s">
        <v>98</v>
      </c>
      <c r="P149" s="39">
        <v>14.5</v>
      </c>
      <c r="Q149" s="39">
        <v>68.900000000000006</v>
      </c>
    </row>
    <row r="150" spans="1:17" ht="15.75" hidden="1">
      <c r="A150" s="30" t="s">
        <v>576</v>
      </c>
      <c r="B150" s="31" t="s">
        <v>577</v>
      </c>
      <c r="C150" s="32" t="s">
        <v>578</v>
      </c>
      <c r="D150" s="33" t="s">
        <v>21</v>
      </c>
      <c r="E150" s="34" t="s">
        <v>34</v>
      </c>
      <c r="F150" s="34" t="s">
        <v>35</v>
      </c>
      <c r="G150" s="33" t="s">
        <v>158</v>
      </c>
      <c r="H150" s="35"/>
      <c r="I150" s="36" t="s">
        <v>500</v>
      </c>
      <c r="J150" s="34" t="s">
        <v>37</v>
      </c>
      <c r="K150" s="34" t="s">
        <v>25</v>
      </c>
      <c r="L150" s="37">
        <v>46233</v>
      </c>
      <c r="M150" s="38">
        <v>46233</v>
      </c>
      <c r="N150" s="39">
        <v>2.1</v>
      </c>
      <c r="O150" s="40" t="s">
        <v>105</v>
      </c>
      <c r="P150" s="39">
        <v>6.2</v>
      </c>
      <c r="Q150" s="39">
        <v>20.7</v>
      </c>
    </row>
    <row r="151" spans="1:17" ht="47.25" hidden="1">
      <c r="A151" s="30" t="s">
        <v>579</v>
      </c>
      <c r="B151" s="31" t="s">
        <v>580</v>
      </c>
      <c r="C151" s="32" t="s">
        <v>581</v>
      </c>
      <c r="D151" s="33" t="s">
        <v>21</v>
      </c>
      <c r="E151" s="34" t="s">
        <v>22</v>
      </c>
      <c r="F151" s="34" t="s">
        <v>23</v>
      </c>
      <c r="G151" s="33" t="s">
        <v>24</v>
      </c>
      <c r="H151" s="35" t="s">
        <v>51</v>
      </c>
      <c r="I151" s="36" t="s">
        <v>582</v>
      </c>
      <c r="J151" s="34" t="s">
        <v>37</v>
      </c>
      <c r="K151" s="34" t="s">
        <v>29</v>
      </c>
      <c r="L151" s="37"/>
      <c r="M151" s="38"/>
      <c r="N151" s="39">
        <v>15.5</v>
      </c>
      <c r="O151" s="40" t="s">
        <v>122</v>
      </c>
      <c r="P151" s="39">
        <v>8.5</v>
      </c>
      <c r="Q151" s="39">
        <v>22.4</v>
      </c>
    </row>
    <row r="152" spans="1:17" ht="47.25" hidden="1">
      <c r="A152" s="30" t="s">
        <v>583</v>
      </c>
      <c r="B152" s="31" t="s">
        <v>584</v>
      </c>
      <c r="C152" s="32" t="s">
        <v>585</v>
      </c>
      <c r="D152" s="33" t="s">
        <v>21</v>
      </c>
      <c r="E152" s="34" t="s">
        <v>22</v>
      </c>
      <c r="F152" s="34" t="s">
        <v>23</v>
      </c>
      <c r="G152" s="33" t="s">
        <v>24</v>
      </c>
      <c r="H152" s="35"/>
      <c r="I152" s="36" t="s">
        <v>582</v>
      </c>
      <c r="J152" s="34" t="s">
        <v>37</v>
      </c>
      <c r="K152" s="34" t="s">
        <v>29</v>
      </c>
      <c r="L152" s="37"/>
      <c r="M152" s="38"/>
      <c r="N152" s="39">
        <v>0.2</v>
      </c>
      <c r="O152" s="40" t="s">
        <v>586</v>
      </c>
      <c r="P152" s="39">
        <v>8.5</v>
      </c>
      <c r="Q152" s="39">
        <v>21.8</v>
      </c>
    </row>
    <row r="153" spans="1:17" ht="15.75" hidden="1">
      <c r="A153" s="30" t="s">
        <v>587</v>
      </c>
      <c r="B153" s="31" t="s">
        <v>588</v>
      </c>
      <c r="C153" s="32" t="s">
        <v>589</v>
      </c>
      <c r="D153" s="33" t="s">
        <v>97</v>
      </c>
      <c r="E153" s="34" t="s">
        <v>22</v>
      </c>
      <c r="F153" s="34" t="s">
        <v>35</v>
      </c>
      <c r="G153" s="33" t="s">
        <v>24</v>
      </c>
      <c r="H153" s="35" t="s">
        <v>51</v>
      </c>
      <c r="I153" s="36" t="s">
        <v>328</v>
      </c>
      <c r="J153" s="34" t="s">
        <v>37</v>
      </c>
      <c r="K153" s="34" t="s">
        <v>29</v>
      </c>
      <c r="L153" s="37"/>
      <c r="M153" s="38"/>
      <c r="N153" s="39">
        <v>1.6</v>
      </c>
      <c r="O153" s="40" t="s">
        <v>122</v>
      </c>
      <c r="P153" s="39">
        <v>9</v>
      </c>
      <c r="Q153" s="39">
        <v>181</v>
      </c>
    </row>
    <row r="154" spans="1:17" ht="15.75" hidden="1">
      <c r="A154" s="30" t="s">
        <v>590</v>
      </c>
      <c r="B154" s="31" t="s">
        <v>591</v>
      </c>
      <c r="C154" s="32" t="s">
        <v>592</v>
      </c>
      <c r="D154" s="33" t="s">
        <v>21</v>
      </c>
      <c r="E154" s="34" t="s">
        <v>22</v>
      </c>
      <c r="F154" s="34" t="s">
        <v>23</v>
      </c>
      <c r="G154" s="33" t="s">
        <v>24</v>
      </c>
      <c r="H154" s="35" t="s">
        <v>51</v>
      </c>
      <c r="I154" s="36" t="s">
        <v>593</v>
      </c>
      <c r="J154" s="34" t="s">
        <v>37</v>
      </c>
      <c r="K154" s="34" t="s">
        <v>29</v>
      </c>
      <c r="L154" s="37"/>
      <c r="M154" s="38"/>
      <c r="N154" s="39">
        <v>6.2</v>
      </c>
      <c r="O154" s="40" t="s">
        <v>122</v>
      </c>
      <c r="P154" s="39"/>
      <c r="Q154" s="39"/>
    </row>
    <row r="155" spans="1:17" ht="31.5" hidden="1">
      <c r="A155" s="30" t="s">
        <v>594</v>
      </c>
      <c r="B155" s="31" t="s">
        <v>595</v>
      </c>
      <c r="C155" s="32" t="s">
        <v>596</v>
      </c>
      <c r="D155" s="33" t="s">
        <v>21</v>
      </c>
      <c r="E155" s="34" t="s">
        <v>22</v>
      </c>
      <c r="F155" s="34" t="s">
        <v>23</v>
      </c>
      <c r="G155" s="33" t="s">
        <v>24</v>
      </c>
      <c r="H155" s="35" t="s">
        <v>51</v>
      </c>
      <c r="I155" s="36" t="s">
        <v>597</v>
      </c>
      <c r="J155" s="34" t="s">
        <v>37</v>
      </c>
      <c r="K155" s="34" t="s">
        <v>29</v>
      </c>
      <c r="L155" s="37"/>
      <c r="M155" s="38"/>
      <c r="N155" s="39">
        <v>0.5</v>
      </c>
      <c r="O155" s="40" t="s">
        <v>598</v>
      </c>
      <c r="P155" s="39">
        <v>24</v>
      </c>
      <c r="Q155" s="39">
        <v>22.8</v>
      </c>
    </row>
    <row r="156" spans="1:17" ht="30" hidden="1">
      <c r="A156" s="30" t="s">
        <v>599</v>
      </c>
      <c r="B156" s="31" t="s">
        <v>600</v>
      </c>
      <c r="C156" s="32" t="s">
        <v>601</v>
      </c>
      <c r="D156" s="33" t="s">
        <v>73</v>
      </c>
      <c r="E156" s="34" t="s">
        <v>34</v>
      </c>
      <c r="F156" s="34" t="s">
        <v>35</v>
      </c>
      <c r="G156" s="33" t="s">
        <v>84</v>
      </c>
      <c r="H156" s="35"/>
      <c r="I156" s="36" t="s">
        <v>84</v>
      </c>
      <c r="J156" s="34" t="s">
        <v>37</v>
      </c>
      <c r="K156" s="34" t="s">
        <v>24</v>
      </c>
      <c r="L156" s="37">
        <v>46225</v>
      </c>
      <c r="M156" s="38">
        <v>46225</v>
      </c>
      <c r="N156" s="39">
        <v>1.5</v>
      </c>
      <c r="O156" s="40" t="s">
        <v>41</v>
      </c>
      <c r="P156" s="39">
        <v>5</v>
      </c>
      <c r="Q156" s="39">
        <v>3.6</v>
      </c>
    </row>
    <row r="157" spans="1:17" ht="30">
      <c r="A157" s="30" t="s">
        <v>602</v>
      </c>
      <c r="B157" s="31" t="s">
        <v>603</v>
      </c>
      <c r="C157" s="32" t="s">
        <v>604</v>
      </c>
      <c r="D157" s="33" t="s">
        <v>49</v>
      </c>
      <c r="E157" s="34" t="s">
        <v>34</v>
      </c>
      <c r="F157" s="34" t="s">
        <v>35</v>
      </c>
      <c r="G157" s="33" t="s">
        <v>50</v>
      </c>
      <c r="H157" s="35" t="s">
        <v>51</v>
      </c>
      <c r="I157" s="36" t="s">
        <v>605</v>
      </c>
      <c r="J157" s="34" t="s">
        <v>37</v>
      </c>
      <c r="K157" s="34" t="s">
        <v>25</v>
      </c>
      <c r="L157" s="37">
        <v>46222</v>
      </c>
      <c r="M157" s="38"/>
      <c r="N157" s="39">
        <v>0.5</v>
      </c>
      <c r="O157" s="40" t="s">
        <v>41</v>
      </c>
      <c r="P157" s="39"/>
      <c r="Q157" s="39"/>
    </row>
    <row r="158" spans="1:17" ht="15.75" hidden="1">
      <c r="A158" s="30" t="s">
        <v>606</v>
      </c>
      <c r="B158" s="31" t="s">
        <v>607</v>
      </c>
      <c r="C158" s="32" t="s">
        <v>608</v>
      </c>
      <c r="D158" s="33" t="s">
        <v>21</v>
      </c>
      <c r="E158" s="34" t="s">
        <v>22</v>
      </c>
      <c r="F158" s="34" t="s">
        <v>35</v>
      </c>
      <c r="G158" s="33" t="s">
        <v>209</v>
      </c>
      <c r="H158" s="35" t="s">
        <v>51</v>
      </c>
      <c r="I158" s="36" t="s">
        <v>609</v>
      </c>
      <c r="J158" s="34" t="s">
        <v>37</v>
      </c>
      <c r="K158" s="34" t="s">
        <v>24</v>
      </c>
      <c r="L158" s="37"/>
      <c r="M158" s="38"/>
      <c r="N158" s="39">
        <v>2.5</v>
      </c>
      <c r="O158" s="40" t="s">
        <v>610</v>
      </c>
      <c r="P158" s="39">
        <v>18</v>
      </c>
      <c r="Q158" s="39">
        <v>43.2</v>
      </c>
    </row>
    <row r="159" spans="1:17" ht="30" hidden="1">
      <c r="A159" s="30" t="s">
        <v>611</v>
      </c>
      <c r="B159" s="31" t="s">
        <v>612</v>
      </c>
      <c r="C159" s="32" t="s">
        <v>613</v>
      </c>
      <c r="D159" s="33" t="s">
        <v>21</v>
      </c>
      <c r="E159" s="34" t="s">
        <v>22</v>
      </c>
      <c r="F159" s="34" t="s">
        <v>35</v>
      </c>
      <c r="G159" s="33" t="s">
        <v>209</v>
      </c>
      <c r="H159" s="35" t="s">
        <v>51</v>
      </c>
      <c r="I159" s="36" t="s">
        <v>609</v>
      </c>
      <c r="J159" s="34" t="s">
        <v>37</v>
      </c>
      <c r="K159" s="34" t="s">
        <v>24</v>
      </c>
      <c r="L159" s="37"/>
      <c r="M159" s="38"/>
      <c r="N159" s="39">
        <v>2.5</v>
      </c>
      <c r="O159" s="40" t="s">
        <v>610</v>
      </c>
      <c r="P159" s="39"/>
      <c r="Q159" s="39"/>
    </row>
    <row r="160" spans="1:17" ht="15.75" hidden="1">
      <c r="A160" s="30" t="s">
        <v>614</v>
      </c>
      <c r="B160" s="31" t="s">
        <v>615</v>
      </c>
      <c r="C160" s="32" t="s">
        <v>616</v>
      </c>
      <c r="D160" s="33" t="s">
        <v>21</v>
      </c>
      <c r="E160" s="34" t="s">
        <v>22</v>
      </c>
      <c r="F160" s="34" t="s">
        <v>35</v>
      </c>
      <c r="G160" s="33" t="s">
        <v>209</v>
      </c>
      <c r="H160" s="35" t="s">
        <v>51</v>
      </c>
      <c r="I160" s="36" t="s">
        <v>609</v>
      </c>
      <c r="J160" s="34" t="s">
        <v>37</v>
      </c>
      <c r="K160" s="34" t="s">
        <v>24</v>
      </c>
      <c r="L160" s="37"/>
      <c r="M160" s="38"/>
      <c r="N160" s="39">
        <v>2</v>
      </c>
      <c r="O160" s="40" t="s">
        <v>610</v>
      </c>
      <c r="P160" s="39"/>
      <c r="Q160" s="39"/>
    </row>
    <row r="161" spans="1:17" ht="15.75" hidden="1">
      <c r="A161" s="30" t="s">
        <v>617</v>
      </c>
      <c r="B161" s="31" t="s">
        <v>618</v>
      </c>
      <c r="C161" s="32" t="s">
        <v>619</v>
      </c>
      <c r="D161" s="33" t="s">
        <v>21</v>
      </c>
      <c r="E161" s="34" t="s">
        <v>22</v>
      </c>
      <c r="F161" s="34" t="s">
        <v>35</v>
      </c>
      <c r="G161" s="33" t="s">
        <v>209</v>
      </c>
      <c r="H161" s="35" t="s">
        <v>51</v>
      </c>
      <c r="I161" s="36" t="s">
        <v>620</v>
      </c>
      <c r="J161" s="34" t="s">
        <v>37</v>
      </c>
      <c r="K161" s="34" t="s">
        <v>24</v>
      </c>
      <c r="L161" s="37"/>
      <c r="M161" s="38"/>
      <c r="N161" s="39">
        <v>471</v>
      </c>
      <c r="O161" s="40" t="s">
        <v>88</v>
      </c>
      <c r="P161" s="39">
        <v>33.4</v>
      </c>
      <c r="Q161" s="39">
        <v>169.5</v>
      </c>
    </row>
    <row r="162" spans="1:17" ht="15.75" hidden="1">
      <c r="A162" s="30" t="s">
        <v>621</v>
      </c>
      <c r="B162" s="31" t="s">
        <v>622</v>
      </c>
      <c r="C162" s="32" t="s">
        <v>623</v>
      </c>
      <c r="D162" s="33" t="s">
        <v>21</v>
      </c>
      <c r="E162" s="34" t="s">
        <v>22</v>
      </c>
      <c r="F162" s="34" t="s">
        <v>35</v>
      </c>
      <c r="G162" s="33" t="s">
        <v>209</v>
      </c>
      <c r="H162" s="35" t="s">
        <v>51</v>
      </c>
      <c r="I162" s="36" t="s">
        <v>620</v>
      </c>
      <c r="J162" s="34" t="s">
        <v>37</v>
      </c>
      <c r="K162" s="34" t="s">
        <v>24</v>
      </c>
      <c r="L162" s="37"/>
      <c r="M162" s="38"/>
      <c r="N162" s="39">
        <v>170</v>
      </c>
      <c r="O162" s="40" t="s">
        <v>88</v>
      </c>
      <c r="P162" s="39"/>
      <c r="Q162" s="39"/>
    </row>
    <row r="163" spans="1:17" ht="15.75" hidden="1">
      <c r="A163" s="30" t="s">
        <v>624</v>
      </c>
      <c r="B163" s="31" t="s">
        <v>625</v>
      </c>
      <c r="C163" s="32" t="s">
        <v>626</v>
      </c>
      <c r="D163" s="33" t="s">
        <v>21</v>
      </c>
      <c r="E163" s="34" t="s">
        <v>22</v>
      </c>
      <c r="F163" s="34" t="s">
        <v>35</v>
      </c>
      <c r="G163" s="33" t="s">
        <v>209</v>
      </c>
      <c r="H163" s="35" t="s">
        <v>51</v>
      </c>
      <c r="I163" s="36" t="s">
        <v>627</v>
      </c>
      <c r="J163" s="34" t="s">
        <v>37</v>
      </c>
      <c r="K163" s="34" t="s">
        <v>24</v>
      </c>
      <c r="L163" s="37"/>
      <c r="M163" s="38"/>
      <c r="N163" s="39">
        <v>23.2</v>
      </c>
      <c r="O163" s="40" t="s">
        <v>628</v>
      </c>
      <c r="P163" s="39">
        <v>68</v>
      </c>
      <c r="Q163" s="39">
        <v>207</v>
      </c>
    </row>
    <row r="164" spans="1:17" ht="31.5" hidden="1">
      <c r="A164" s="30" t="s">
        <v>629</v>
      </c>
      <c r="B164" s="31" t="s">
        <v>630</v>
      </c>
      <c r="C164" s="32" t="s">
        <v>631</v>
      </c>
      <c r="D164" s="33" t="s">
        <v>21</v>
      </c>
      <c r="E164" s="34" t="s">
        <v>22</v>
      </c>
      <c r="F164" s="34" t="s">
        <v>35</v>
      </c>
      <c r="G164" s="33" t="s">
        <v>209</v>
      </c>
      <c r="H164" s="35" t="s">
        <v>51</v>
      </c>
      <c r="I164" s="36" t="s">
        <v>632</v>
      </c>
      <c r="J164" s="34" t="s">
        <v>37</v>
      </c>
      <c r="K164" s="34" t="s">
        <v>24</v>
      </c>
      <c r="L164" s="37"/>
      <c r="M164" s="38"/>
      <c r="N164" s="39">
        <v>18</v>
      </c>
      <c r="O164" s="40" t="s">
        <v>628</v>
      </c>
      <c r="P164" s="39">
        <v>33.200000000000003</v>
      </c>
      <c r="Q164" s="39">
        <v>208.4</v>
      </c>
    </row>
    <row r="165" spans="1:17" ht="15.75" hidden="1">
      <c r="A165" s="30" t="s">
        <v>633</v>
      </c>
      <c r="B165" s="31" t="s">
        <v>634</v>
      </c>
      <c r="C165" s="32" t="s">
        <v>635</v>
      </c>
      <c r="D165" s="33" t="s">
        <v>21</v>
      </c>
      <c r="E165" s="34" t="s">
        <v>22</v>
      </c>
      <c r="F165" s="34" t="s">
        <v>35</v>
      </c>
      <c r="G165" s="33" t="s">
        <v>209</v>
      </c>
      <c r="H165" s="35" t="s">
        <v>51</v>
      </c>
      <c r="I165" s="36" t="s">
        <v>609</v>
      </c>
      <c r="J165" s="34" t="s">
        <v>37</v>
      </c>
      <c r="K165" s="34" t="s">
        <v>25</v>
      </c>
      <c r="L165" s="37"/>
      <c r="M165" s="38"/>
      <c r="N165" s="39">
        <v>18.5</v>
      </c>
      <c r="O165" s="40" t="s">
        <v>628</v>
      </c>
      <c r="P165" s="39">
        <v>18</v>
      </c>
      <c r="Q165" s="39">
        <v>187.9</v>
      </c>
    </row>
    <row r="166" spans="1:17" ht="30" hidden="1">
      <c r="A166" s="30" t="s">
        <v>636</v>
      </c>
      <c r="B166" s="31" t="s">
        <v>637</v>
      </c>
      <c r="C166" s="32" t="s">
        <v>638</v>
      </c>
      <c r="D166" s="33" t="s">
        <v>21</v>
      </c>
      <c r="E166" s="34" t="s">
        <v>22</v>
      </c>
      <c r="F166" s="34" t="s">
        <v>35</v>
      </c>
      <c r="G166" s="33" t="s">
        <v>209</v>
      </c>
      <c r="H166" s="35" t="s">
        <v>51</v>
      </c>
      <c r="I166" s="36" t="s">
        <v>609</v>
      </c>
      <c r="J166" s="34" t="s">
        <v>37</v>
      </c>
      <c r="K166" s="34" t="s">
        <v>24</v>
      </c>
      <c r="L166" s="37"/>
      <c r="M166" s="38"/>
      <c r="N166" s="39">
        <v>2.5</v>
      </c>
      <c r="O166" s="40" t="s">
        <v>628</v>
      </c>
      <c r="P166" s="39"/>
      <c r="Q166" s="39"/>
    </row>
    <row r="167" spans="1:17" ht="15.75" hidden="1">
      <c r="A167" s="30" t="s">
        <v>639</v>
      </c>
      <c r="B167" s="31" t="s">
        <v>640</v>
      </c>
      <c r="C167" s="32" t="s">
        <v>641</v>
      </c>
      <c r="D167" s="33" t="s">
        <v>21</v>
      </c>
      <c r="E167" s="34" t="s">
        <v>22</v>
      </c>
      <c r="F167" s="34" t="s">
        <v>35</v>
      </c>
      <c r="G167" s="33" t="s">
        <v>209</v>
      </c>
      <c r="H167" s="35" t="s">
        <v>51</v>
      </c>
      <c r="I167" s="36" t="s">
        <v>609</v>
      </c>
      <c r="J167" s="34" t="s">
        <v>37</v>
      </c>
      <c r="K167" s="34" t="s">
        <v>24</v>
      </c>
      <c r="L167" s="37"/>
      <c r="M167" s="38"/>
      <c r="N167" s="39">
        <v>4</v>
      </c>
      <c r="O167" s="40" t="s">
        <v>628</v>
      </c>
      <c r="P167" s="39"/>
      <c r="Q167" s="39"/>
    </row>
    <row r="168" spans="1:17" ht="15.75" hidden="1">
      <c r="A168" s="30" t="s">
        <v>642</v>
      </c>
      <c r="B168" s="31" t="s">
        <v>643</v>
      </c>
      <c r="C168" s="32" t="s">
        <v>644</v>
      </c>
      <c r="D168" s="33" t="s">
        <v>21</v>
      </c>
      <c r="E168" s="34" t="s">
        <v>22</v>
      </c>
      <c r="F168" s="34" t="s">
        <v>35</v>
      </c>
      <c r="G168" s="33" t="s">
        <v>209</v>
      </c>
      <c r="H168" s="35"/>
      <c r="I168" s="36" t="s">
        <v>609</v>
      </c>
      <c r="J168" s="34" t="s">
        <v>37</v>
      </c>
      <c r="K168" s="34" t="s">
        <v>24</v>
      </c>
      <c r="L168" s="37"/>
      <c r="M168" s="38"/>
      <c r="N168" s="39">
        <v>2.5</v>
      </c>
      <c r="O168" s="40" t="s">
        <v>628</v>
      </c>
      <c r="P168" s="39"/>
      <c r="Q168" s="39"/>
    </row>
    <row r="169" spans="1:17" ht="30">
      <c r="A169" s="30" t="s">
        <v>645</v>
      </c>
      <c r="B169" s="31" t="s">
        <v>646</v>
      </c>
      <c r="C169" s="32" t="s">
        <v>647</v>
      </c>
      <c r="D169" s="33" t="s">
        <v>21</v>
      </c>
      <c r="E169" s="34" t="s">
        <v>22</v>
      </c>
      <c r="F169" s="34" t="s">
        <v>35</v>
      </c>
      <c r="G169" s="33" t="s">
        <v>50</v>
      </c>
      <c r="H169" s="35" t="s">
        <v>51</v>
      </c>
      <c r="I169" s="36" t="s">
        <v>28</v>
      </c>
      <c r="J169" s="34" t="s">
        <v>37</v>
      </c>
      <c r="K169" s="34"/>
      <c r="L169" s="37"/>
      <c r="M169" s="38"/>
      <c r="N169" s="39">
        <v>62</v>
      </c>
      <c r="O169" s="40" t="s">
        <v>105</v>
      </c>
      <c r="P169" s="39">
        <v>4.3</v>
      </c>
      <c r="Q169" s="39">
        <v>120.5</v>
      </c>
    </row>
    <row r="170" spans="1:17" ht="31.5" hidden="1">
      <c r="A170" s="30" t="s">
        <v>648</v>
      </c>
      <c r="B170" s="31" t="s">
        <v>649</v>
      </c>
      <c r="C170" s="32" t="s">
        <v>650</v>
      </c>
      <c r="D170" s="33" t="s">
        <v>21</v>
      </c>
      <c r="E170" s="34" t="s">
        <v>22</v>
      </c>
      <c r="F170" s="34" t="s">
        <v>23</v>
      </c>
      <c r="G170" s="33" t="s">
        <v>50</v>
      </c>
      <c r="H170" s="35" t="s">
        <v>51</v>
      </c>
      <c r="I170" s="36" t="s">
        <v>651</v>
      </c>
      <c r="J170" s="34" t="s">
        <v>37</v>
      </c>
      <c r="K170" s="34" t="s">
        <v>29</v>
      </c>
      <c r="L170" s="37"/>
      <c r="M170" s="38"/>
      <c r="N170" s="39">
        <v>33.799999999999997</v>
      </c>
      <c r="O170" s="40" t="s">
        <v>105</v>
      </c>
      <c r="P170" s="39">
        <v>56.8</v>
      </c>
      <c r="Q170" s="39">
        <v>166.4</v>
      </c>
    </row>
    <row r="171" spans="1:17" ht="31.5" hidden="1">
      <c r="A171" s="30" t="s">
        <v>652</v>
      </c>
      <c r="B171" s="31" t="s">
        <v>653</v>
      </c>
      <c r="C171" s="32" t="s">
        <v>654</v>
      </c>
      <c r="D171" s="33" t="s">
        <v>21</v>
      </c>
      <c r="E171" s="34" t="s">
        <v>22</v>
      </c>
      <c r="F171" s="34" t="s">
        <v>23</v>
      </c>
      <c r="G171" s="33"/>
      <c r="H171" s="35" t="s">
        <v>51</v>
      </c>
      <c r="I171" s="36" t="s">
        <v>655</v>
      </c>
      <c r="J171" s="34" t="s">
        <v>37</v>
      </c>
      <c r="K171" s="34" t="s">
        <v>29</v>
      </c>
      <c r="L171" s="37"/>
      <c r="M171" s="38"/>
      <c r="N171" s="39">
        <v>42.2</v>
      </c>
      <c r="O171" s="40" t="s">
        <v>105</v>
      </c>
      <c r="P171" s="39"/>
      <c r="Q171" s="39"/>
    </row>
    <row r="172" spans="1:17" ht="30">
      <c r="A172" s="30" t="s">
        <v>656</v>
      </c>
      <c r="B172" s="31" t="s">
        <v>657</v>
      </c>
      <c r="C172" s="32" t="s">
        <v>658</v>
      </c>
      <c r="D172" s="33" t="s">
        <v>186</v>
      </c>
      <c r="E172" s="34" t="s">
        <v>22</v>
      </c>
      <c r="F172" s="34" t="s">
        <v>35</v>
      </c>
      <c r="G172" s="33" t="s">
        <v>24</v>
      </c>
      <c r="H172" s="35" t="s">
        <v>51</v>
      </c>
      <c r="I172" s="36" t="s">
        <v>328</v>
      </c>
      <c r="J172" s="34" t="s">
        <v>37</v>
      </c>
      <c r="K172" s="34" t="s">
        <v>24</v>
      </c>
      <c r="L172" s="37"/>
      <c r="M172" s="38"/>
      <c r="N172" s="39">
        <v>1.7</v>
      </c>
      <c r="O172" s="40" t="s">
        <v>41</v>
      </c>
      <c r="P172" s="39"/>
      <c r="Q172" s="39"/>
    </row>
    <row r="173" spans="1:17" ht="30">
      <c r="A173" s="30" t="s">
        <v>659</v>
      </c>
      <c r="B173" s="31" t="s">
        <v>657</v>
      </c>
      <c r="C173" s="32" t="s">
        <v>660</v>
      </c>
      <c r="D173" s="33" t="s">
        <v>186</v>
      </c>
      <c r="E173" s="34" t="s">
        <v>22</v>
      </c>
      <c r="F173" s="34" t="s">
        <v>35</v>
      </c>
      <c r="G173" s="33" t="s">
        <v>24</v>
      </c>
      <c r="H173" s="35" t="s">
        <v>51</v>
      </c>
      <c r="I173" s="36" t="s">
        <v>328</v>
      </c>
      <c r="J173" s="34" t="s">
        <v>37</v>
      </c>
      <c r="K173" s="34" t="s">
        <v>24</v>
      </c>
      <c r="L173" s="37"/>
      <c r="M173" s="38"/>
      <c r="N173" s="39">
        <v>1.7</v>
      </c>
      <c r="O173" s="40" t="s">
        <v>41</v>
      </c>
      <c r="P173" s="39"/>
      <c r="Q173" s="39"/>
    </row>
    <row r="174" spans="1:17" ht="31.5" hidden="1">
      <c r="A174" s="30" t="s">
        <v>661</v>
      </c>
      <c r="B174" s="31" t="s">
        <v>662</v>
      </c>
      <c r="C174" s="32" t="s">
        <v>663</v>
      </c>
      <c r="D174" s="33" t="s">
        <v>21</v>
      </c>
      <c r="E174" s="34" t="s">
        <v>22</v>
      </c>
      <c r="F174" s="34" t="s">
        <v>35</v>
      </c>
      <c r="G174" s="33" t="s">
        <v>158</v>
      </c>
      <c r="H174" s="35" t="s">
        <v>51</v>
      </c>
      <c r="I174" s="36" t="s">
        <v>664</v>
      </c>
      <c r="J174" s="34" t="s">
        <v>37</v>
      </c>
      <c r="K174" s="34"/>
      <c r="L174" s="37"/>
      <c r="M174" s="38"/>
      <c r="N174" s="39">
        <v>22.5</v>
      </c>
      <c r="O174" s="40" t="s">
        <v>90</v>
      </c>
      <c r="P174" s="39">
        <v>16.3</v>
      </c>
      <c r="Q174" s="39">
        <v>309.2</v>
      </c>
    </row>
    <row r="175" spans="1:17" ht="15.75">
      <c r="A175" s="30" t="s">
        <v>665</v>
      </c>
      <c r="B175" s="31" t="s">
        <v>666</v>
      </c>
      <c r="C175" s="32" t="s">
        <v>667</v>
      </c>
      <c r="D175" s="33" t="s">
        <v>49</v>
      </c>
      <c r="E175" s="34" t="s">
        <v>22</v>
      </c>
      <c r="F175" s="34" t="s">
        <v>35</v>
      </c>
      <c r="G175" s="33" t="s">
        <v>50</v>
      </c>
      <c r="H175" s="35" t="s">
        <v>51</v>
      </c>
      <c r="I175" s="36" t="s">
        <v>50</v>
      </c>
      <c r="J175" s="34" t="s">
        <v>37</v>
      </c>
      <c r="K175" s="34" t="s">
        <v>25</v>
      </c>
      <c r="L175" s="37"/>
      <c r="M175" s="38"/>
      <c r="N175" s="39">
        <v>0</v>
      </c>
      <c r="O175" s="40" t="s">
        <v>236</v>
      </c>
      <c r="P175" s="39"/>
      <c r="Q175" s="39"/>
    </row>
    <row r="176" spans="1:17" ht="15.75" hidden="1">
      <c r="A176" s="30" t="s">
        <v>668</v>
      </c>
      <c r="B176" s="31" t="s">
        <v>669</v>
      </c>
      <c r="C176" s="32" t="s">
        <v>670</v>
      </c>
      <c r="D176" s="33" t="s">
        <v>671</v>
      </c>
      <c r="E176" s="34" t="s">
        <v>22</v>
      </c>
      <c r="F176" s="34" t="s">
        <v>35</v>
      </c>
      <c r="G176" s="33" t="s">
        <v>50</v>
      </c>
      <c r="H176" s="35" t="s">
        <v>51</v>
      </c>
      <c r="I176" s="36" t="s">
        <v>672</v>
      </c>
      <c r="J176" s="34" t="s">
        <v>37</v>
      </c>
      <c r="K176" s="34" t="s">
        <v>29</v>
      </c>
      <c r="L176" s="37"/>
      <c r="M176" s="38"/>
      <c r="N176" s="39">
        <v>0</v>
      </c>
      <c r="O176" s="40" t="s">
        <v>41</v>
      </c>
      <c r="P176" s="39">
        <v>16.2</v>
      </c>
      <c r="Q176" s="39">
        <v>6861.3</v>
      </c>
    </row>
    <row r="177" spans="1:17" ht="30" hidden="1">
      <c r="A177" s="30" t="s">
        <v>673</v>
      </c>
      <c r="B177" s="31" t="s">
        <v>674</v>
      </c>
      <c r="C177" s="32" t="s">
        <v>675</v>
      </c>
      <c r="D177" s="33" t="s">
        <v>68</v>
      </c>
      <c r="E177" s="34" t="s">
        <v>22</v>
      </c>
      <c r="F177" s="34" t="s">
        <v>35</v>
      </c>
      <c r="G177" s="33" t="s">
        <v>50</v>
      </c>
      <c r="H177" s="35" t="s">
        <v>51</v>
      </c>
      <c r="I177" s="36" t="s">
        <v>672</v>
      </c>
      <c r="J177" s="34" t="s">
        <v>37</v>
      </c>
      <c r="K177" s="34" t="s">
        <v>29</v>
      </c>
      <c r="L177" s="37"/>
      <c r="M177" s="38"/>
      <c r="N177" s="39">
        <v>0</v>
      </c>
      <c r="O177" s="40" t="s">
        <v>41</v>
      </c>
      <c r="P177" s="39">
        <v>15</v>
      </c>
      <c r="Q177" s="39">
        <v>2353.9</v>
      </c>
    </row>
    <row r="178" spans="1:17" ht="15.75">
      <c r="A178" s="30" t="s">
        <v>676</v>
      </c>
      <c r="B178" s="31" t="s">
        <v>677</v>
      </c>
      <c r="C178" s="32" t="s">
        <v>678</v>
      </c>
      <c r="D178" s="33" t="s">
        <v>21</v>
      </c>
      <c r="E178" s="34" t="s">
        <v>34</v>
      </c>
      <c r="F178" s="34" t="s">
        <v>35</v>
      </c>
      <c r="G178" s="33"/>
      <c r="H178" s="35"/>
      <c r="I178" s="36"/>
      <c r="J178" s="34" t="s">
        <v>37</v>
      </c>
      <c r="K178" s="34" t="s">
        <v>24</v>
      </c>
      <c r="L178" s="37">
        <v>46223</v>
      </c>
      <c r="M178" s="38">
        <v>46223</v>
      </c>
      <c r="N178" s="39">
        <v>9</v>
      </c>
      <c r="O178" s="40" t="s">
        <v>679</v>
      </c>
      <c r="P178" s="39">
        <v>1.7</v>
      </c>
      <c r="Q178" s="39">
        <v>12.4</v>
      </c>
    </row>
    <row r="179" spans="1:17" ht="15.75">
      <c r="A179" s="30" t="s">
        <v>680</v>
      </c>
      <c r="B179" s="31" t="s">
        <v>681</v>
      </c>
      <c r="C179" s="32" t="s">
        <v>682</v>
      </c>
      <c r="D179" s="33" t="s">
        <v>21</v>
      </c>
      <c r="E179" s="34" t="s">
        <v>34</v>
      </c>
      <c r="F179" s="34" t="s">
        <v>35</v>
      </c>
      <c r="G179" s="33"/>
      <c r="H179" s="35" t="s">
        <v>51</v>
      </c>
      <c r="I179" s="36"/>
      <c r="J179" s="34" t="s">
        <v>37</v>
      </c>
      <c r="K179" s="34" t="s">
        <v>24</v>
      </c>
      <c r="L179" s="37">
        <v>46238</v>
      </c>
      <c r="M179" s="38">
        <v>46237</v>
      </c>
      <c r="N179" s="39">
        <v>13</v>
      </c>
      <c r="O179" s="40" t="s">
        <v>679</v>
      </c>
      <c r="P179" s="39"/>
      <c r="Q179" s="39"/>
    </row>
    <row r="180" spans="1:17" ht="15.75">
      <c r="A180" s="30" t="s">
        <v>683</v>
      </c>
      <c r="B180" s="31" t="s">
        <v>684</v>
      </c>
      <c r="C180" s="32" t="s">
        <v>685</v>
      </c>
      <c r="D180" s="33" t="s">
        <v>21</v>
      </c>
      <c r="E180" s="34" t="s">
        <v>22</v>
      </c>
      <c r="F180" s="34" t="s">
        <v>35</v>
      </c>
      <c r="G180" s="33"/>
      <c r="H180" s="35"/>
      <c r="I180" s="36"/>
      <c r="J180" s="34" t="s">
        <v>37</v>
      </c>
      <c r="K180" s="34" t="s">
        <v>24</v>
      </c>
      <c r="L180" s="37"/>
      <c r="M180" s="38"/>
      <c r="N180" s="39">
        <v>22</v>
      </c>
      <c r="O180" s="40" t="s">
        <v>679</v>
      </c>
      <c r="P180" s="39"/>
      <c r="Q180" s="39"/>
    </row>
    <row r="181" spans="1:17" ht="15.75">
      <c r="A181" s="30" t="s">
        <v>686</v>
      </c>
      <c r="B181" s="31" t="s">
        <v>687</v>
      </c>
      <c r="C181" s="32" t="s">
        <v>688</v>
      </c>
      <c r="D181" s="33" t="s">
        <v>97</v>
      </c>
      <c r="E181" s="34" t="s">
        <v>22</v>
      </c>
      <c r="F181" s="34" t="s">
        <v>35</v>
      </c>
      <c r="G181" s="33" t="s">
        <v>50</v>
      </c>
      <c r="H181" s="35"/>
      <c r="I181" s="36" t="s">
        <v>50</v>
      </c>
      <c r="J181" s="34" t="s">
        <v>37</v>
      </c>
      <c r="K181" s="34" t="s">
        <v>24</v>
      </c>
      <c r="L181" s="37"/>
      <c r="M181" s="38"/>
      <c r="N181" s="39">
        <v>2</v>
      </c>
      <c r="O181" s="40" t="s">
        <v>679</v>
      </c>
      <c r="P181" s="39"/>
      <c r="Q181" s="39"/>
    </row>
    <row r="182" spans="1:17" ht="15.75">
      <c r="A182" s="30" t="s">
        <v>689</v>
      </c>
      <c r="B182" s="31" t="s">
        <v>690</v>
      </c>
      <c r="C182" s="32" t="s">
        <v>691</v>
      </c>
      <c r="D182" s="33" t="s">
        <v>21</v>
      </c>
      <c r="E182" s="34" t="s">
        <v>22</v>
      </c>
      <c r="F182" s="34" t="s">
        <v>35</v>
      </c>
      <c r="G182" s="33"/>
      <c r="H182" s="35"/>
      <c r="I182" s="36"/>
      <c r="J182" s="34" t="s">
        <v>37</v>
      </c>
      <c r="K182" s="34" t="s">
        <v>24</v>
      </c>
      <c r="L182" s="37"/>
      <c r="M182" s="38"/>
      <c r="N182" s="39">
        <v>3</v>
      </c>
      <c r="O182" s="40" t="s">
        <v>281</v>
      </c>
      <c r="P182" s="39"/>
      <c r="Q182" s="39"/>
    </row>
    <row r="183" spans="1:17" ht="15.75">
      <c r="A183" s="30" t="s">
        <v>692</v>
      </c>
      <c r="B183" s="31" t="s">
        <v>693</v>
      </c>
      <c r="C183" s="32" t="s">
        <v>694</v>
      </c>
      <c r="D183" s="33" t="s">
        <v>21</v>
      </c>
      <c r="E183" s="34" t="s">
        <v>22</v>
      </c>
      <c r="F183" s="34" t="s">
        <v>35</v>
      </c>
      <c r="G183" s="33" t="s">
        <v>50</v>
      </c>
      <c r="H183" s="35"/>
      <c r="I183" s="36" t="s">
        <v>50</v>
      </c>
      <c r="J183" s="34" t="s">
        <v>37</v>
      </c>
      <c r="K183" s="34" t="s">
        <v>25</v>
      </c>
      <c r="L183" s="37"/>
      <c r="M183" s="38"/>
      <c r="N183" s="39">
        <v>2</v>
      </c>
      <c r="O183" s="40" t="s">
        <v>281</v>
      </c>
      <c r="P183" s="39"/>
      <c r="Q183" s="39"/>
    </row>
    <row r="184" spans="1:17" ht="15.75">
      <c r="A184" s="30" t="s">
        <v>695</v>
      </c>
      <c r="B184" s="31" t="s">
        <v>696</v>
      </c>
      <c r="C184" s="32" t="s">
        <v>697</v>
      </c>
      <c r="D184" s="33" t="s">
        <v>21</v>
      </c>
      <c r="E184" s="34" t="s">
        <v>22</v>
      </c>
      <c r="F184" s="34" t="s">
        <v>35</v>
      </c>
      <c r="G184" s="33"/>
      <c r="H184" s="35"/>
      <c r="I184" s="36"/>
      <c r="J184" s="34" t="s">
        <v>37</v>
      </c>
      <c r="K184" s="34" t="s">
        <v>24</v>
      </c>
      <c r="L184" s="37"/>
      <c r="M184" s="38"/>
      <c r="N184" s="39">
        <v>0.5</v>
      </c>
      <c r="O184" s="40" t="s">
        <v>698</v>
      </c>
      <c r="P184" s="39"/>
      <c r="Q184" s="39"/>
    </row>
    <row r="185" spans="1:17" ht="15.75">
      <c r="A185" s="30" t="s">
        <v>699</v>
      </c>
      <c r="B185" s="31" t="s">
        <v>700</v>
      </c>
      <c r="C185" s="32" t="s">
        <v>701</v>
      </c>
      <c r="D185" s="33" t="s">
        <v>21</v>
      </c>
      <c r="E185" s="34" t="s">
        <v>22</v>
      </c>
      <c r="F185" s="34" t="s">
        <v>35</v>
      </c>
      <c r="G185" s="33"/>
      <c r="H185" s="35"/>
      <c r="I185" s="36"/>
      <c r="J185" s="34" t="s">
        <v>37</v>
      </c>
      <c r="K185" s="34" t="s">
        <v>24</v>
      </c>
      <c r="L185" s="37"/>
      <c r="M185" s="38"/>
      <c r="N185" s="39">
        <v>7</v>
      </c>
      <c r="O185" s="40" t="s">
        <v>281</v>
      </c>
      <c r="P185" s="39"/>
      <c r="Q185" s="39"/>
    </row>
    <row r="186" spans="1:17" ht="15.75">
      <c r="A186" s="30" t="s">
        <v>702</v>
      </c>
      <c r="B186" s="31" t="s">
        <v>703</v>
      </c>
      <c r="C186" s="32" t="s">
        <v>704</v>
      </c>
      <c r="D186" s="33" t="s">
        <v>21</v>
      </c>
      <c r="E186" s="34" t="s">
        <v>22</v>
      </c>
      <c r="F186" s="34" t="s">
        <v>35</v>
      </c>
      <c r="G186" s="33" t="s">
        <v>50</v>
      </c>
      <c r="H186" s="35" t="s">
        <v>51</v>
      </c>
      <c r="I186" s="36" t="s">
        <v>50</v>
      </c>
      <c r="J186" s="34" t="s">
        <v>37</v>
      </c>
      <c r="K186" s="34" t="s">
        <v>24</v>
      </c>
      <c r="L186" s="37"/>
      <c r="M186" s="38"/>
      <c r="N186" s="39">
        <v>16</v>
      </c>
      <c r="O186" s="40" t="s">
        <v>550</v>
      </c>
      <c r="P186" s="39"/>
      <c r="Q186" s="39"/>
    </row>
    <row r="187" spans="1:17" ht="15.75">
      <c r="A187" s="30" t="s">
        <v>705</v>
      </c>
      <c r="B187" s="31" t="s">
        <v>706</v>
      </c>
      <c r="C187" s="32" t="s">
        <v>707</v>
      </c>
      <c r="D187" s="33" t="s">
        <v>33</v>
      </c>
      <c r="E187" s="34" t="s">
        <v>22</v>
      </c>
      <c r="F187" s="34" t="s">
        <v>35</v>
      </c>
      <c r="G187" s="33" t="s">
        <v>50</v>
      </c>
      <c r="H187" s="35" t="s">
        <v>51</v>
      </c>
      <c r="I187" s="36" t="s">
        <v>50</v>
      </c>
      <c r="J187" s="34" t="s">
        <v>37</v>
      </c>
      <c r="K187" s="34" t="s">
        <v>24</v>
      </c>
      <c r="L187" s="37"/>
      <c r="M187" s="38"/>
      <c r="N187" s="39">
        <v>10</v>
      </c>
      <c r="O187" s="40" t="s">
        <v>708</v>
      </c>
      <c r="P187" s="39">
        <v>97</v>
      </c>
      <c r="Q187" s="39">
        <v>143.6</v>
      </c>
    </row>
    <row r="188" spans="1:17" ht="15.75">
      <c r="A188" s="30" t="s">
        <v>709</v>
      </c>
      <c r="B188" s="31" t="s">
        <v>710</v>
      </c>
      <c r="C188" s="32" t="s">
        <v>711</v>
      </c>
      <c r="D188" s="33" t="s">
        <v>33</v>
      </c>
      <c r="E188" s="34" t="s">
        <v>22</v>
      </c>
      <c r="F188" s="34" t="s">
        <v>35</v>
      </c>
      <c r="G188" s="33" t="s">
        <v>50</v>
      </c>
      <c r="H188" s="35"/>
      <c r="I188" s="36" t="s">
        <v>50</v>
      </c>
      <c r="J188" s="34" t="s">
        <v>37</v>
      </c>
      <c r="K188" s="34" t="s">
        <v>24</v>
      </c>
      <c r="L188" s="37"/>
      <c r="M188" s="38"/>
      <c r="N188" s="39">
        <v>3.2</v>
      </c>
      <c r="O188" s="40" t="s">
        <v>708</v>
      </c>
      <c r="P188" s="39"/>
      <c r="Q188" s="39"/>
    </row>
    <row r="189" spans="1:17" ht="30" hidden="1">
      <c r="A189" s="30">
        <v>32978848</v>
      </c>
      <c r="B189" s="31" t="s">
        <v>712</v>
      </c>
      <c r="C189" s="32">
        <v>874</v>
      </c>
      <c r="D189" s="33" t="s">
        <v>186</v>
      </c>
      <c r="E189" s="34" t="s">
        <v>34</v>
      </c>
      <c r="F189" s="34" t="s">
        <v>35</v>
      </c>
      <c r="G189" s="33" t="s">
        <v>187</v>
      </c>
      <c r="H189" s="35"/>
      <c r="I189" s="36"/>
      <c r="J189" s="34"/>
      <c r="K189" s="34" t="s">
        <v>37</v>
      </c>
      <c r="L189" s="37">
        <v>46224</v>
      </c>
      <c r="M189" s="38">
        <v>46224</v>
      </c>
      <c r="N189" s="39">
        <v>12</v>
      </c>
      <c r="O189" s="40"/>
      <c r="P189" s="39">
        <v>12</v>
      </c>
      <c r="Q189" s="39">
        <v>6</v>
      </c>
    </row>
    <row r="190" spans="1:17" ht="30" hidden="1">
      <c r="A190" s="30">
        <v>32978869</v>
      </c>
      <c r="B190" s="31" t="s">
        <v>713</v>
      </c>
      <c r="C190" s="32">
        <v>875</v>
      </c>
      <c r="D190" s="33" t="s">
        <v>186</v>
      </c>
      <c r="E190" s="34" t="s">
        <v>34</v>
      </c>
      <c r="F190" s="34" t="s">
        <v>35</v>
      </c>
      <c r="G190" s="33" t="s">
        <v>187</v>
      </c>
      <c r="H190" s="35"/>
      <c r="I190" s="36"/>
      <c r="J190" s="34"/>
      <c r="K190" s="34" t="s">
        <v>37</v>
      </c>
      <c r="L190" s="37">
        <v>46224</v>
      </c>
      <c r="M190" s="38">
        <v>46224</v>
      </c>
      <c r="N190" s="39">
        <v>120</v>
      </c>
      <c r="O190" s="40"/>
      <c r="P190" s="39">
        <v>120.5</v>
      </c>
      <c r="Q190" s="39">
        <v>53.3</v>
      </c>
    </row>
    <row r="191" spans="1:17" ht="30" hidden="1">
      <c r="A191" s="30">
        <v>32978879</v>
      </c>
      <c r="B191" s="31" t="s">
        <v>714</v>
      </c>
      <c r="C191" s="32">
        <v>876</v>
      </c>
      <c r="D191" s="33" t="s">
        <v>186</v>
      </c>
      <c r="E191" s="34" t="s">
        <v>22</v>
      </c>
      <c r="F191" s="34" t="s">
        <v>35</v>
      </c>
      <c r="G191" s="33" t="s">
        <v>187</v>
      </c>
      <c r="H191" s="35"/>
      <c r="I191" s="36"/>
      <c r="J191" s="34"/>
      <c r="K191" s="34" t="s">
        <v>37</v>
      </c>
      <c r="L191" s="37"/>
      <c r="M191" s="38"/>
      <c r="N191" s="39">
        <v>2</v>
      </c>
      <c r="O191" s="40"/>
      <c r="P191" s="39"/>
      <c r="Q191" s="39"/>
    </row>
    <row r="192" spans="1:17" ht="30" hidden="1">
      <c r="A192" s="30">
        <v>32978900</v>
      </c>
      <c r="B192" s="31" t="s">
        <v>715</v>
      </c>
      <c r="C192" s="32">
        <v>877</v>
      </c>
      <c r="D192" s="33" t="s">
        <v>186</v>
      </c>
      <c r="E192" s="34" t="s">
        <v>34</v>
      </c>
      <c r="F192" s="34" t="s">
        <v>35</v>
      </c>
      <c r="G192" s="33" t="s">
        <v>187</v>
      </c>
      <c r="H192" s="35" t="s">
        <v>51</v>
      </c>
      <c r="I192" s="36"/>
      <c r="J192" s="34"/>
      <c r="K192" s="34" t="s">
        <v>37</v>
      </c>
      <c r="L192" s="37">
        <v>46229</v>
      </c>
      <c r="M192" s="38">
        <v>46229</v>
      </c>
      <c r="N192" s="39">
        <v>22</v>
      </c>
      <c r="O192" s="40"/>
      <c r="P192" s="39">
        <v>22</v>
      </c>
      <c r="Q192" s="39">
        <v>106.1</v>
      </c>
    </row>
    <row r="193" spans="1:17" ht="45" hidden="1">
      <c r="A193" s="30">
        <v>32978919</v>
      </c>
      <c r="B193" s="31" t="s">
        <v>716</v>
      </c>
      <c r="C193" s="32">
        <v>878</v>
      </c>
      <c r="D193" s="33" t="s">
        <v>186</v>
      </c>
      <c r="E193" s="34" t="s">
        <v>34</v>
      </c>
      <c r="F193" s="34" t="s">
        <v>35</v>
      </c>
      <c r="G193" s="33" t="s">
        <v>187</v>
      </c>
      <c r="H193" s="35" t="s">
        <v>51</v>
      </c>
      <c r="I193" s="36"/>
      <c r="J193" s="34"/>
      <c r="K193" s="34" t="s">
        <v>37</v>
      </c>
      <c r="L193" s="37">
        <v>46224</v>
      </c>
      <c r="M193" s="38">
        <v>46224</v>
      </c>
      <c r="N193" s="39">
        <v>5</v>
      </c>
      <c r="O193" s="40"/>
      <c r="P193" s="39">
        <v>5</v>
      </c>
      <c r="Q193" s="39">
        <v>5</v>
      </c>
    </row>
    <row r="194" spans="1:17" ht="30" hidden="1">
      <c r="A194" s="30">
        <v>32978925</v>
      </c>
      <c r="B194" s="31" t="s">
        <v>717</v>
      </c>
      <c r="C194" s="32">
        <v>879</v>
      </c>
      <c r="D194" s="33" t="s">
        <v>186</v>
      </c>
      <c r="E194" s="34" t="s">
        <v>34</v>
      </c>
      <c r="F194" s="34" t="s">
        <v>35</v>
      </c>
      <c r="G194" s="33" t="s">
        <v>187</v>
      </c>
      <c r="H194" s="35" t="s">
        <v>51</v>
      </c>
      <c r="I194" s="36"/>
      <c r="J194" s="34"/>
      <c r="K194" s="34" t="s">
        <v>37</v>
      </c>
      <c r="L194" s="37">
        <v>46224</v>
      </c>
      <c r="M194" s="38">
        <v>46224</v>
      </c>
      <c r="N194" s="39">
        <v>3</v>
      </c>
      <c r="O194" s="40"/>
      <c r="P194" s="39">
        <v>3</v>
      </c>
      <c r="Q194" s="39">
        <v>1.5</v>
      </c>
    </row>
    <row r="195" spans="1:17" ht="30" hidden="1">
      <c r="A195" s="30">
        <v>32978965</v>
      </c>
      <c r="B195" s="31" t="s">
        <v>718</v>
      </c>
      <c r="C195" s="32">
        <v>880</v>
      </c>
      <c r="D195" s="33" t="s">
        <v>186</v>
      </c>
      <c r="E195" s="34" t="s">
        <v>34</v>
      </c>
      <c r="F195" s="34" t="s">
        <v>35</v>
      </c>
      <c r="G195" s="33" t="s">
        <v>187</v>
      </c>
      <c r="H195" s="35" t="s">
        <v>51</v>
      </c>
      <c r="I195" s="36"/>
      <c r="J195" s="34"/>
      <c r="K195" s="34" t="s">
        <v>37</v>
      </c>
      <c r="L195" s="37">
        <v>46224</v>
      </c>
      <c r="M195" s="38">
        <v>46224</v>
      </c>
      <c r="N195" s="39">
        <v>3</v>
      </c>
      <c r="O195" s="40"/>
      <c r="P195" s="39">
        <v>3</v>
      </c>
      <c r="Q195" s="39">
        <v>3</v>
      </c>
    </row>
    <row r="196" spans="1:17" ht="30" hidden="1">
      <c r="A196" s="30">
        <v>32979121</v>
      </c>
      <c r="B196" s="31" t="s">
        <v>719</v>
      </c>
      <c r="C196" s="32">
        <v>881</v>
      </c>
      <c r="D196" s="33" t="s">
        <v>186</v>
      </c>
      <c r="E196" s="34" t="s">
        <v>34</v>
      </c>
      <c r="F196" s="34" t="s">
        <v>35</v>
      </c>
      <c r="G196" s="33" t="s">
        <v>187</v>
      </c>
      <c r="H196" s="35" t="s">
        <v>51</v>
      </c>
      <c r="I196" s="36"/>
      <c r="J196" s="34"/>
      <c r="K196" s="34" t="s">
        <v>37</v>
      </c>
      <c r="L196" s="37">
        <v>46229</v>
      </c>
      <c r="M196" s="38">
        <v>46229</v>
      </c>
      <c r="N196" s="39">
        <v>13</v>
      </c>
      <c r="O196" s="40"/>
      <c r="P196" s="39">
        <v>13</v>
      </c>
      <c r="Q196" s="39">
        <v>105.7</v>
      </c>
    </row>
    <row r="197" spans="1:17" ht="30" hidden="1">
      <c r="A197" s="30">
        <v>32979157</v>
      </c>
      <c r="B197" s="31" t="s">
        <v>720</v>
      </c>
      <c r="C197" s="32">
        <v>882</v>
      </c>
      <c r="D197" s="33" t="s">
        <v>186</v>
      </c>
      <c r="E197" s="34" t="s">
        <v>34</v>
      </c>
      <c r="F197" s="34" t="s">
        <v>35</v>
      </c>
      <c r="G197" s="33" t="s">
        <v>187</v>
      </c>
      <c r="H197" s="35" t="s">
        <v>51</v>
      </c>
      <c r="I197" s="36"/>
      <c r="J197" s="34"/>
      <c r="K197" s="34" t="s">
        <v>37</v>
      </c>
      <c r="L197" s="37">
        <v>46225</v>
      </c>
      <c r="M197" s="38">
        <v>46225</v>
      </c>
      <c r="N197" s="39">
        <v>3</v>
      </c>
      <c r="O197" s="40"/>
      <c r="P197" s="39">
        <v>3</v>
      </c>
      <c r="Q197" s="39">
        <v>3</v>
      </c>
    </row>
    <row r="198" spans="1:17" ht="30" hidden="1">
      <c r="A198" s="30">
        <v>32979231</v>
      </c>
      <c r="B198" s="31" t="s">
        <v>721</v>
      </c>
      <c r="C198" s="32">
        <v>885</v>
      </c>
      <c r="D198" s="33" t="s">
        <v>186</v>
      </c>
      <c r="E198" s="34" t="s">
        <v>34</v>
      </c>
      <c r="F198" s="34" t="s">
        <v>35</v>
      </c>
      <c r="G198" s="33" t="s">
        <v>187</v>
      </c>
      <c r="H198" s="35" t="s">
        <v>51</v>
      </c>
      <c r="I198" s="36"/>
      <c r="J198" s="34"/>
      <c r="K198" s="34" t="s">
        <v>37</v>
      </c>
      <c r="L198" s="37">
        <v>46224</v>
      </c>
      <c r="M198" s="38">
        <v>46224</v>
      </c>
      <c r="N198" s="39">
        <v>2</v>
      </c>
      <c r="O198" s="40"/>
      <c r="P198" s="39">
        <v>2</v>
      </c>
      <c r="Q198" s="39">
        <v>2</v>
      </c>
    </row>
    <row r="199" spans="1:17" ht="30" hidden="1">
      <c r="A199" s="30">
        <v>32979530</v>
      </c>
      <c r="B199" s="31" t="s">
        <v>722</v>
      </c>
      <c r="C199" s="32">
        <v>892</v>
      </c>
      <c r="D199" s="33" t="s">
        <v>33</v>
      </c>
      <c r="E199" s="34" t="s">
        <v>34</v>
      </c>
      <c r="F199" s="34" t="s">
        <v>35</v>
      </c>
      <c r="G199" s="33" t="s">
        <v>209</v>
      </c>
      <c r="H199" s="35" t="s">
        <v>51</v>
      </c>
      <c r="I199" s="36"/>
      <c r="J199" s="34"/>
      <c r="K199" s="34" t="s">
        <v>29</v>
      </c>
      <c r="L199" s="37">
        <v>46229</v>
      </c>
      <c r="M199" s="38">
        <v>46229</v>
      </c>
      <c r="N199" s="40"/>
      <c r="O199" s="40"/>
      <c r="P199" s="39">
        <v>12.5</v>
      </c>
      <c r="Q199" s="39">
        <v>231.9</v>
      </c>
    </row>
    <row r="200" spans="1:17" ht="30" hidden="1">
      <c r="A200" s="30">
        <v>32979557</v>
      </c>
      <c r="B200" s="31" t="s">
        <v>723</v>
      </c>
      <c r="C200" s="32">
        <v>893</v>
      </c>
      <c r="D200" s="33" t="s">
        <v>33</v>
      </c>
      <c r="E200" s="34" t="s">
        <v>22</v>
      </c>
      <c r="F200" s="34" t="s">
        <v>35</v>
      </c>
      <c r="G200" s="33" t="s">
        <v>50</v>
      </c>
      <c r="H200" s="35"/>
      <c r="I200" s="36"/>
      <c r="J200" s="34"/>
      <c r="K200" s="34" t="s">
        <v>29</v>
      </c>
      <c r="L200" s="37"/>
      <c r="M200" s="38"/>
      <c r="N200" s="39">
        <v>1</v>
      </c>
      <c r="O200" s="40"/>
      <c r="P200" s="39"/>
      <c r="Q200" s="39"/>
    </row>
    <row r="201" spans="1:17" ht="30">
      <c r="A201" s="30">
        <v>32979661</v>
      </c>
      <c r="B201" s="31" t="s">
        <v>724</v>
      </c>
      <c r="C201" s="32">
        <v>894</v>
      </c>
      <c r="D201" s="33" t="s">
        <v>33</v>
      </c>
      <c r="E201" s="34" t="s">
        <v>22</v>
      </c>
      <c r="F201" s="34" t="s">
        <v>35</v>
      </c>
      <c r="G201" s="33" t="s">
        <v>50</v>
      </c>
      <c r="H201" s="35"/>
      <c r="I201" s="36"/>
      <c r="J201" s="34"/>
      <c r="K201" s="34" t="s">
        <v>25</v>
      </c>
      <c r="L201" s="37"/>
      <c r="M201" s="38"/>
      <c r="N201" s="40"/>
      <c r="O201" s="40"/>
      <c r="P201" s="39"/>
      <c r="Q201" s="39"/>
    </row>
    <row r="202" spans="1:17" ht="30" hidden="1">
      <c r="A202" s="30">
        <v>32979981</v>
      </c>
      <c r="B202" s="31" t="s">
        <v>725</v>
      </c>
      <c r="C202" s="32">
        <v>897</v>
      </c>
      <c r="D202" s="33" t="s">
        <v>186</v>
      </c>
      <c r="E202" s="34" t="s">
        <v>34</v>
      </c>
      <c r="F202" s="34" t="s">
        <v>35</v>
      </c>
      <c r="G202" s="33" t="s">
        <v>187</v>
      </c>
      <c r="H202" s="35"/>
      <c r="I202" s="36"/>
      <c r="J202" s="34"/>
      <c r="K202" s="34" t="s">
        <v>37</v>
      </c>
      <c r="L202" s="37">
        <v>46229</v>
      </c>
      <c r="M202" s="38">
        <v>46229</v>
      </c>
      <c r="N202" s="39">
        <v>24</v>
      </c>
      <c r="O202" s="40"/>
      <c r="P202" s="39">
        <v>24</v>
      </c>
      <c r="Q202" s="39">
        <v>128.6</v>
      </c>
    </row>
    <row r="203" spans="1:17" ht="30" hidden="1">
      <c r="A203" s="30">
        <v>32980018</v>
      </c>
      <c r="B203" s="31" t="s">
        <v>726</v>
      </c>
      <c r="C203" s="32">
        <v>898</v>
      </c>
      <c r="D203" s="33" t="s">
        <v>186</v>
      </c>
      <c r="E203" s="34" t="s">
        <v>34</v>
      </c>
      <c r="F203" s="34" t="s">
        <v>35</v>
      </c>
      <c r="G203" s="33" t="s">
        <v>187</v>
      </c>
      <c r="H203" s="35" t="s">
        <v>51</v>
      </c>
      <c r="I203" s="36"/>
      <c r="J203" s="34"/>
      <c r="K203" s="34" t="s">
        <v>37</v>
      </c>
      <c r="L203" s="37">
        <v>46224</v>
      </c>
      <c r="M203" s="38">
        <v>46224</v>
      </c>
      <c r="N203" s="39">
        <v>24</v>
      </c>
      <c r="O203" s="40"/>
      <c r="P203" s="39">
        <v>24</v>
      </c>
      <c r="Q203" s="39">
        <v>8</v>
      </c>
    </row>
    <row r="204" spans="1:17" ht="30" hidden="1">
      <c r="A204" s="30">
        <v>32980020</v>
      </c>
      <c r="B204" s="31" t="s">
        <v>727</v>
      </c>
      <c r="C204" s="32">
        <v>899</v>
      </c>
      <c r="D204" s="33" t="s">
        <v>186</v>
      </c>
      <c r="E204" s="34" t="s">
        <v>34</v>
      </c>
      <c r="F204" s="34" t="s">
        <v>35</v>
      </c>
      <c r="G204" s="33" t="s">
        <v>187</v>
      </c>
      <c r="H204" s="35"/>
      <c r="I204" s="36"/>
      <c r="J204" s="34"/>
      <c r="K204" s="34" t="s">
        <v>37</v>
      </c>
      <c r="L204" s="37">
        <v>46229</v>
      </c>
      <c r="M204" s="38">
        <v>46229</v>
      </c>
      <c r="N204" s="39">
        <v>47</v>
      </c>
      <c r="O204" s="40"/>
      <c r="P204" s="39">
        <v>47</v>
      </c>
      <c r="Q204" s="39">
        <v>56.1</v>
      </c>
    </row>
    <row r="205" spans="1:17" ht="30" hidden="1">
      <c r="A205" s="30">
        <v>32980022</v>
      </c>
      <c r="B205" s="31" t="s">
        <v>728</v>
      </c>
      <c r="C205" s="32">
        <v>900</v>
      </c>
      <c r="D205" s="33" t="s">
        <v>186</v>
      </c>
      <c r="E205" s="34" t="s">
        <v>22</v>
      </c>
      <c r="F205" s="34" t="s">
        <v>35</v>
      </c>
      <c r="G205" s="33" t="s">
        <v>187</v>
      </c>
      <c r="H205" s="35"/>
      <c r="I205" s="36"/>
      <c r="J205" s="34"/>
      <c r="K205" s="34" t="s">
        <v>37</v>
      </c>
      <c r="L205" s="37"/>
      <c r="M205" s="38"/>
      <c r="N205" s="39">
        <v>6.5</v>
      </c>
      <c r="O205" s="40"/>
      <c r="P205" s="39">
        <v>6.5</v>
      </c>
      <c r="Q205" s="39">
        <v>287.10000000000002</v>
      </c>
    </row>
    <row r="206" spans="1:17" ht="30" hidden="1">
      <c r="A206" s="30">
        <v>81172702</v>
      </c>
      <c r="B206" s="31" t="s">
        <v>729</v>
      </c>
      <c r="C206" s="32">
        <v>905</v>
      </c>
      <c r="D206" s="33" t="s">
        <v>33</v>
      </c>
      <c r="E206" s="34" t="s">
        <v>22</v>
      </c>
      <c r="F206" s="34" t="s">
        <v>35</v>
      </c>
      <c r="G206" s="33" t="s">
        <v>209</v>
      </c>
      <c r="H206" s="35" t="s">
        <v>51</v>
      </c>
      <c r="I206" s="36"/>
      <c r="J206" s="34"/>
      <c r="K206" s="34" t="s">
        <v>37</v>
      </c>
      <c r="L206" s="37"/>
      <c r="M206" s="38"/>
      <c r="N206" s="39">
        <v>4</v>
      </c>
      <c r="O206" s="40"/>
      <c r="P206" s="39">
        <v>3.5</v>
      </c>
      <c r="Q206" s="39">
        <v>763.1</v>
      </c>
    </row>
    <row r="207" spans="1:17" ht="30">
      <c r="A207" s="30">
        <v>28611923</v>
      </c>
      <c r="B207" s="31" t="s">
        <v>730</v>
      </c>
      <c r="C207" s="32">
        <v>918</v>
      </c>
      <c r="D207" s="33" t="s">
        <v>68</v>
      </c>
      <c r="E207" s="34" t="s">
        <v>22</v>
      </c>
      <c r="F207" s="34" t="s">
        <v>35</v>
      </c>
      <c r="G207" s="33" t="s">
        <v>50</v>
      </c>
      <c r="H207" s="35"/>
      <c r="I207" s="36"/>
      <c r="J207" s="34"/>
      <c r="K207" s="34" t="s">
        <v>25</v>
      </c>
      <c r="L207" s="37"/>
      <c r="M207" s="38"/>
      <c r="N207" s="39">
        <v>1.5</v>
      </c>
      <c r="O207" s="40"/>
      <c r="P207" s="39">
        <v>0.4</v>
      </c>
      <c r="Q207" s="39">
        <v>187.4</v>
      </c>
    </row>
    <row r="208" spans="1:17" ht="15.75">
      <c r="A208" s="30">
        <v>32930830</v>
      </c>
      <c r="B208" s="31" t="s">
        <v>731</v>
      </c>
      <c r="C208" s="32">
        <v>925</v>
      </c>
      <c r="D208" s="33" t="s">
        <v>33</v>
      </c>
      <c r="E208" s="34" t="s">
        <v>34</v>
      </c>
      <c r="F208" s="34" t="s">
        <v>35</v>
      </c>
      <c r="G208" s="33" t="s">
        <v>50</v>
      </c>
      <c r="H208" s="35"/>
      <c r="I208" s="36"/>
      <c r="J208" s="34"/>
      <c r="K208" s="34" t="s">
        <v>24</v>
      </c>
      <c r="L208" s="37">
        <v>46222</v>
      </c>
      <c r="M208" s="38">
        <v>46222</v>
      </c>
      <c r="N208" s="39">
        <v>2</v>
      </c>
      <c r="O208" s="40"/>
      <c r="P208" s="39">
        <v>4</v>
      </c>
      <c r="Q208" s="39">
        <v>4.4000000000000004</v>
      </c>
    </row>
    <row r="209" spans="1:17" ht="30" hidden="1">
      <c r="A209" s="30">
        <v>32980026</v>
      </c>
      <c r="B209" s="31" t="s">
        <v>732</v>
      </c>
      <c r="C209" s="32">
        <v>926</v>
      </c>
      <c r="D209" s="33" t="s">
        <v>186</v>
      </c>
      <c r="E209" s="34" t="s">
        <v>22</v>
      </c>
      <c r="F209" s="34" t="s">
        <v>35</v>
      </c>
      <c r="G209" s="33" t="s">
        <v>187</v>
      </c>
      <c r="H209" s="35" t="s">
        <v>51</v>
      </c>
      <c r="I209" s="36"/>
      <c r="J209" s="34"/>
      <c r="K209" s="34" t="s">
        <v>37</v>
      </c>
      <c r="L209" s="37"/>
      <c r="M209" s="38"/>
      <c r="N209" s="39">
        <v>24</v>
      </c>
      <c r="O209" s="40"/>
      <c r="P209" s="39"/>
      <c r="Q209" s="39"/>
    </row>
    <row r="210" spans="1:17" ht="30" hidden="1">
      <c r="A210" s="30">
        <v>32980031</v>
      </c>
      <c r="B210" s="31" t="s">
        <v>733</v>
      </c>
      <c r="C210" s="32">
        <v>927</v>
      </c>
      <c r="D210" s="33" t="s">
        <v>186</v>
      </c>
      <c r="E210" s="34" t="s">
        <v>34</v>
      </c>
      <c r="F210" s="34" t="s">
        <v>35</v>
      </c>
      <c r="G210" s="33" t="s">
        <v>187</v>
      </c>
      <c r="H210" s="35" t="s">
        <v>51</v>
      </c>
      <c r="I210" s="36"/>
      <c r="J210" s="34"/>
      <c r="K210" s="34" t="s">
        <v>37</v>
      </c>
      <c r="L210" s="37">
        <v>46224</v>
      </c>
      <c r="M210" s="38">
        <v>46224</v>
      </c>
      <c r="N210" s="39">
        <v>1</v>
      </c>
      <c r="O210" s="40"/>
      <c r="P210" s="39">
        <v>1</v>
      </c>
      <c r="Q210" s="39">
        <v>1</v>
      </c>
    </row>
    <row r="211" spans="1:17" ht="30" hidden="1">
      <c r="A211" s="30">
        <v>32980070</v>
      </c>
      <c r="B211" s="31" t="s">
        <v>734</v>
      </c>
      <c r="C211" s="32">
        <v>933</v>
      </c>
      <c r="D211" s="33" t="s">
        <v>186</v>
      </c>
      <c r="E211" s="34" t="s">
        <v>34</v>
      </c>
      <c r="F211" s="34" t="s">
        <v>35</v>
      </c>
      <c r="G211" s="33" t="s">
        <v>187</v>
      </c>
      <c r="H211" s="35" t="s">
        <v>51</v>
      </c>
      <c r="I211" s="36"/>
      <c r="J211" s="34"/>
      <c r="K211" s="34" t="s">
        <v>37</v>
      </c>
      <c r="L211" s="37">
        <v>46229</v>
      </c>
      <c r="M211" s="38">
        <v>46229</v>
      </c>
      <c r="N211" s="39">
        <v>6.5</v>
      </c>
      <c r="O211" s="40"/>
      <c r="P211" s="39">
        <v>6.5</v>
      </c>
      <c r="Q211" s="39">
        <v>59.3</v>
      </c>
    </row>
    <row r="212" spans="1:17" ht="30" hidden="1">
      <c r="A212" s="30">
        <v>32980087</v>
      </c>
      <c r="B212" s="31" t="s">
        <v>735</v>
      </c>
      <c r="C212" s="32">
        <v>940</v>
      </c>
      <c r="D212" s="33" t="s">
        <v>186</v>
      </c>
      <c r="E212" s="34" t="s">
        <v>34</v>
      </c>
      <c r="F212" s="34" t="s">
        <v>35</v>
      </c>
      <c r="G212" s="33" t="s">
        <v>187</v>
      </c>
      <c r="H212" s="35" t="s">
        <v>51</v>
      </c>
      <c r="I212" s="36"/>
      <c r="J212" s="34"/>
      <c r="K212" s="34" t="s">
        <v>37</v>
      </c>
      <c r="L212" s="37">
        <v>46224</v>
      </c>
      <c r="M212" s="38">
        <v>46224</v>
      </c>
      <c r="N212" s="39">
        <v>3.5</v>
      </c>
      <c r="O212" s="40"/>
      <c r="P212" s="39">
        <v>3</v>
      </c>
      <c r="Q212" s="39">
        <v>1.5</v>
      </c>
    </row>
    <row r="213" spans="1:17" ht="30" hidden="1">
      <c r="A213" s="30">
        <v>32980133</v>
      </c>
      <c r="B213" s="31" t="s">
        <v>736</v>
      </c>
      <c r="C213" s="32">
        <v>942</v>
      </c>
      <c r="D213" s="33" t="s">
        <v>186</v>
      </c>
      <c r="E213" s="34" t="s">
        <v>34</v>
      </c>
      <c r="F213" s="34" t="s">
        <v>35</v>
      </c>
      <c r="G213" s="33" t="s">
        <v>187</v>
      </c>
      <c r="H213" s="35" t="s">
        <v>51</v>
      </c>
      <c r="I213" s="36"/>
      <c r="J213" s="34"/>
      <c r="K213" s="34" t="s">
        <v>37</v>
      </c>
      <c r="L213" s="37">
        <v>46229</v>
      </c>
      <c r="M213" s="38">
        <v>46229</v>
      </c>
      <c r="N213" s="39">
        <v>29</v>
      </c>
      <c r="O213" s="40"/>
      <c r="P213" s="39">
        <v>29</v>
      </c>
      <c r="Q213" s="39">
        <v>128.6</v>
      </c>
    </row>
    <row r="214" spans="1:17" ht="15.75" hidden="1">
      <c r="A214" s="30" t="s">
        <v>737</v>
      </c>
      <c r="B214" s="31" t="s">
        <v>738</v>
      </c>
      <c r="C214" s="32">
        <v>943</v>
      </c>
      <c r="D214" s="33" t="s">
        <v>33</v>
      </c>
      <c r="E214" s="34" t="s">
        <v>22</v>
      </c>
      <c r="F214" s="34" t="s">
        <v>35</v>
      </c>
      <c r="G214" s="33" t="s">
        <v>209</v>
      </c>
      <c r="H214" s="35"/>
      <c r="I214" s="36"/>
      <c r="J214" s="34"/>
      <c r="K214" s="34" t="s">
        <v>37</v>
      </c>
      <c r="L214" s="37"/>
      <c r="M214" s="38"/>
      <c r="N214" s="39">
        <v>1.5</v>
      </c>
      <c r="O214" s="40"/>
      <c r="P214" s="39"/>
      <c r="Q214" s="39"/>
    </row>
    <row r="215" spans="1:17" ht="15.75" hidden="1">
      <c r="A215" s="30">
        <v>32917899</v>
      </c>
      <c r="B215" s="31" t="s">
        <v>739</v>
      </c>
      <c r="C215" s="32">
        <v>944</v>
      </c>
      <c r="D215" s="33" t="s">
        <v>21</v>
      </c>
      <c r="E215" s="34" t="s">
        <v>22</v>
      </c>
      <c r="F215" s="34" t="s">
        <v>35</v>
      </c>
      <c r="G215" s="33" t="s">
        <v>158</v>
      </c>
      <c r="H215" s="35"/>
      <c r="I215" s="36"/>
      <c r="J215" s="34"/>
      <c r="K215" s="34" t="s">
        <v>37</v>
      </c>
      <c r="L215" s="37"/>
      <c r="M215" s="38"/>
      <c r="N215" s="40"/>
      <c r="O215" s="40"/>
      <c r="P215" s="39"/>
      <c r="Q215" s="39"/>
    </row>
    <row r="216" spans="1:17" ht="15.75" hidden="1">
      <c r="A216" s="30">
        <v>32420054</v>
      </c>
      <c r="B216" s="31" t="s">
        <v>740</v>
      </c>
      <c r="C216" s="32">
        <v>945</v>
      </c>
      <c r="D216" s="33" t="s">
        <v>21</v>
      </c>
      <c r="E216" s="34" t="s">
        <v>22</v>
      </c>
      <c r="F216" s="34" t="s">
        <v>35</v>
      </c>
      <c r="G216" s="33" t="s">
        <v>158</v>
      </c>
      <c r="H216" s="35"/>
      <c r="I216" s="36"/>
      <c r="J216" s="34"/>
      <c r="K216" s="34" t="s">
        <v>37</v>
      </c>
      <c r="L216" s="37"/>
      <c r="M216" s="38"/>
      <c r="N216" s="40"/>
      <c r="O216" s="40"/>
      <c r="P216" s="39"/>
      <c r="Q216" s="39"/>
    </row>
    <row r="217" spans="1:17" ht="30" hidden="1">
      <c r="A217" s="30">
        <v>32980135</v>
      </c>
      <c r="B217" s="31" t="s">
        <v>741</v>
      </c>
      <c r="C217" s="32">
        <v>946</v>
      </c>
      <c r="D217" s="33" t="s">
        <v>186</v>
      </c>
      <c r="E217" s="34" t="s">
        <v>34</v>
      </c>
      <c r="F217" s="34" t="s">
        <v>35</v>
      </c>
      <c r="G217" s="33" t="s">
        <v>187</v>
      </c>
      <c r="H217" s="35"/>
      <c r="I217" s="36"/>
      <c r="J217" s="34"/>
      <c r="K217" s="34" t="s">
        <v>37</v>
      </c>
      <c r="L217" s="37">
        <v>46225</v>
      </c>
      <c r="M217" s="38">
        <v>46225</v>
      </c>
      <c r="N217" s="39">
        <v>2</v>
      </c>
      <c r="O217" s="40"/>
      <c r="P217" s="39">
        <v>2</v>
      </c>
      <c r="Q217" s="39">
        <v>2</v>
      </c>
    </row>
    <row r="218" spans="1:17" ht="15.75" hidden="1">
      <c r="A218" s="30" t="s">
        <v>742</v>
      </c>
      <c r="B218" s="31" t="s">
        <v>743</v>
      </c>
      <c r="C218" s="32">
        <v>947</v>
      </c>
      <c r="D218" s="33" t="s">
        <v>21</v>
      </c>
      <c r="E218" s="34" t="s">
        <v>22</v>
      </c>
      <c r="F218" s="34" t="s">
        <v>35</v>
      </c>
      <c r="G218" s="33" t="s">
        <v>158</v>
      </c>
      <c r="H218" s="35"/>
      <c r="I218" s="36"/>
      <c r="J218" s="34"/>
      <c r="K218" s="34" t="s">
        <v>37</v>
      </c>
      <c r="L218" s="37"/>
      <c r="M218" s="38"/>
      <c r="N218" s="39">
        <v>2.8</v>
      </c>
      <c r="O218" s="40"/>
      <c r="P218" s="39"/>
      <c r="Q218" s="39"/>
    </row>
    <row r="219" spans="1:17" ht="15.75" hidden="1">
      <c r="A219" s="30" t="s">
        <v>744</v>
      </c>
      <c r="B219" s="31" t="s">
        <v>745</v>
      </c>
      <c r="C219" s="32">
        <v>948</v>
      </c>
      <c r="D219" s="33" t="s">
        <v>21</v>
      </c>
      <c r="E219" s="34" t="s">
        <v>22</v>
      </c>
      <c r="F219" s="34" t="s">
        <v>35</v>
      </c>
      <c r="G219" s="33" t="s">
        <v>158</v>
      </c>
      <c r="H219" s="35"/>
      <c r="I219" s="36"/>
      <c r="J219" s="34"/>
      <c r="K219" s="34" t="s">
        <v>37</v>
      </c>
      <c r="L219" s="37"/>
      <c r="M219" s="38"/>
      <c r="N219" s="39">
        <v>5.9</v>
      </c>
      <c r="O219" s="40"/>
      <c r="P219" s="39"/>
      <c r="Q219" s="39"/>
    </row>
    <row r="220" spans="1:17" ht="30" hidden="1">
      <c r="A220" s="30">
        <v>32981647</v>
      </c>
      <c r="B220" s="31" t="s">
        <v>746</v>
      </c>
      <c r="C220" s="32">
        <v>956</v>
      </c>
      <c r="D220" s="33" t="s">
        <v>33</v>
      </c>
      <c r="E220" s="34" t="s">
        <v>34</v>
      </c>
      <c r="F220" s="34" t="s">
        <v>35</v>
      </c>
      <c r="G220" s="33" t="s">
        <v>50</v>
      </c>
      <c r="H220" s="35"/>
      <c r="I220" s="36"/>
      <c r="J220" s="34"/>
      <c r="K220" s="34" t="s">
        <v>29</v>
      </c>
      <c r="L220" s="37">
        <v>46233</v>
      </c>
      <c r="M220" s="38">
        <v>46233</v>
      </c>
      <c r="N220" s="40"/>
      <c r="O220" s="40"/>
      <c r="P220" s="39">
        <v>14</v>
      </c>
      <c r="Q220" s="39">
        <v>3.3</v>
      </c>
    </row>
    <row r="221" spans="1:17" ht="30" hidden="1">
      <c r="A221" s="30">
        <v>32981683</v>
      </c>
      <c r="B221" s="31" t="s">
        <v>747</v>
      </c>
      <c r="C221" s="32">
        <v>957</v>
      </c>
      <c r="D221" s="33" t="s">
        <v>186</v>
      </c>
      <c r="E221" s="34" t="s">
        <v>22</v>
      </c>
      <c r="F221" s="34" t="s">
        <v>35</v>
      </c>
      <c r="G221" s="33" t="s">
        <v>187</v>
      </c>
      <c r="H221" s="35" t="s">
        <v>51</v>
      </c>
      <c r="I221" s="36"/>
      <c r="J221" s="34"/>
      <c r="K221" s="34" t="s">
        <v>37</v>
      </c>
      <c r="L221" s="37"/>
      <c r="M221" s="38"/>
      <c r="N221" s="39">
        <v>3</v>
      </c>
      <c r="O221" s="40"/>
      <c r="P221" s="39"/>
      <c r="Q221" s="39"/>
    </row>
    <row r="222" spans="1:17" ht="30" hidden="1">
      <c r="A222" s="30">
        <v>32981716</v>
      </c>
      <c r="B222" s="31" t="s">
        <v>748</v>
      </c>
      <c r="C222" s="32">
        <v>958</v>
      </c>
      <c r="D222" s="33" t="s">
        <v>186</v>
      </c>
      <c r="E222" s="34" t="s">
        <v>34</v>
      </c>
      <c r="F222" s="34" t="s">
        <v>35</v>
      </c>
      <c r="G222" s="33" t="s">
        <v>187</v>
      </c>
      <c r="H222" s="35" t="s">
        <v>51</v>
      </c>
      <c r="I222" s="36"/>
      <c r="J222" s="34"/>
      <c r="K222" s="34" t="s">
        <v>37</v>
      </c>
      <c r="L222" s="37">
        <v>46225</v>
      </c>
      <c r="M222" s="38">
        <v>46225</v>
      </c>
      <c r="N222" s="39">
        <v>2</v>
      </c>
      <c r="O222" s="40"/>
      <c r="P222" s="39">
        <v>2</v>
      </c>
      <c r="Q222" s="39">
        <v>2</v>
      </c>
    </row>
    <row r="223" spans="1:17" ht="30" hidden="1">
      <c r="A223" s="30">
        <v>32981721</v>
      </c>
      <c r="B223" s="31" t="s">
        <v>749</v>
      </c>
      <c r="C223" s="32">
        <v>959</v>
      </c>
      <c r="D223" s="33" t="s">
        <v>186</v>
      </c>
      <c r="E223" s="34" t="s">
        <v>34</v>
      </c>
      <c r="F223" s="34" t="s">
        <v>35</v>
      </c>
      <c r="G223" s="33" t="s">
        <v>187</v>
      </c>
      <c r="H223" s="35" t="s">
        <v>51</v>
      </c>
      <c r="I223" s="36"/>
      <c r="J223" s="34"/>
      <c r="K223" s="34" t="s">
        <v>37</v>
      </c>
      <c r="L223" s="37">
        <v>46225</v>
      </c>
      <c r="M223" s="38">
        <v>46225</v>
      </c>
      <c r="N223" s="39">
        <v>6</v>
      </c>
      <c r="O223" s="40"/>
      <c r="P223" s="39">
        <v>6</v>
      </c>
      <c r="Q223" s="39">
        <v>6</v>
      </c>
    </row>
    <row r="224" spans="1:17" ht="30" hidden="1">
      <c r="A224" s="30">
        <v>32981726</v>
      </c>
      <c r="B224" s="31" t="s">
        <v>750</v>
      </c>
      <c r="C224" s="32">
        <v>960</v>
      </c>
      <c r="D224" s="33" t="s">
        <v>186</v>
      </c>
      <c r="E224" s="34" t="s">
        <v>22</v>
      </c>
      <c r="F224" s="34" t="s">
        <v>35</v>
      </c>
      <c r="G224" s="33" t="s">
        <v>187</v>
      </c>
      <c r="H224" s="35" t="s">
        <v>51</v>
      </c>
      <c r="I224" s="36"/>
      <c r="J224" s="34"/>
      <c r="K224" s="34" t="s">
        <v>37</v>
      </c>
      <c r="L224" s="37"/>
      <c r="M224" s="38"/>
      <c r="N224" s="39">
        <v>6</v>
      </c>
      <c r="O224" s="40"/>
      <c r="P224" s="39"/>
      <c r="Q224" s="39"/>
    </row>
    <row r="225" spans="1:17" ht="30" hidden="1">
      <c r="A225" s="30">
        <v>32981754</v>
      </c>
      <c r="B225" s="31" t="s">
        <v>751</v>
      </c>
      <c r="C225" s="32">
        <v>961</v>
      </c>
      <c r="D225" s="33" t="s">
        <v>186</v>
      </c>
      <c r="E225" s="34" t="s">
        <v>34</v>
      </c>
      <c r="F225" s="34" t="s">
        <v>35</v>
      </c>
      <c r="G225" s="33" t="s">
        <v>187</v>
      </c>
      <c r="H225" s="35" t="s">
        <v>51</v>
      </c>
      <c r="I225" s="36"/>
      <c r="J225" s="34"/>
      <c r="K225" s="34" t="s">
        <v>37</v>
      </c>
      <c r="L225" s="37">
        <v>46224</v>
      </c>
      <c r="M225" s="38">
        <v>46224</v>
      </c>
      <c r="N225" s="39">
        <v>5</v>
      </c>
      <c r="O225" s="40"/>
      <c r="P225" s="39">
        <v>5</v>
      </c>
      <c r="Q225" s="39">
        <v>3</v>
      </c>
    </row>
    <row r="226" spans="1:17" ht="30" hidden="1">
      <c r="A226" s="30">
        <v>32981772</v>
      </c>
      <c r="B226" s="31" t="s">
        <v>752</v>
      </c>
      <c r="C226" s="32">
        <v>962</v>
      </c>
      <c r="D226" s="33" t="s">
        <v>186</v>
      </c>
      <c r="E226" s="34" t="s">
        <v>34</v>
      </c>
      <c r="F226" s="34" t="s">
        <v>35</v>
      </c>
      <c r="G226" s="33" t="s">
        <v>187</v>
      </c>
      <c r="H226" s="35" t="s">
        <v>51</v>
      </c>
      <c r="I226" s="36"/>
      <c r="J226" s="34"/>
      <c r="K226" s="34" t="s">
        <v>37</v>
      </c>
      <c r="L226" s="37">
        <v>46229</v>
      </c>
      <c r="M226" s="38">
        <v>46229</v>
      </c>
      <c r="N226" s="39">
        <v>2</v>
      </c>
      <c r="O226" s="40"/>
      <c r="P226" s="39">
        <v>2</v>
      </c>
      <c r="Q226" s="39">
        <v>44.3</v>
      </c>
    </row>
    <row r="227" spans="1:17" ht="30" hidden="1">
      <c r="A227" s="30">
        <v>32981774</v>
      </c>
      <c r="B227" s="31" t="s">
        <v>753</v>
      </c>
      <c r="C227" s="32">
        <v>963</v>
      </c>
      <c r="D227" s="33" t="s">
        <v>186</v>
      </c>
      <c r="E227" s="34" t="s">
        <v>34</v>
      </c>
      <c r="F227" s="34" t="s">
        <v>35</v>
      </c>
      <c r="G227" s="33" t="s">
        <v>187</v>
      </c>
      <c r="H227" s="35" t="s">
        <v>51</v>
      </c>
      <c r="I227" s="36"/>
      <c r="J227" s="34"/>
      <c r="K227" s="34" t="s">
        <v>37</v>
      </c>
      <c r="L227" s="37">
        <v>46225</v>
      </c>
      <c r="M227" s="38">
        <v>46225</v>
      </c>
      <c r="N227" s="39">
        <v>2</v>
      </c>
      <c r="O227" s="40"/>
      <c r="P227" s="39">
        <v>2</v>
      </c>
      <c r="Q227" s="39">
        <v>2</v>
      </c>
    </row>
    <row r="228" spans="1:17" ht="30" hidden="1">
      <c r="A228" s="30">
        <v>32981816</v>
      </c>
      <c r="B228" s="31" t="s">
        <v>754</v>
      </c>
      <c r="C228" s="32">
        <v>964</v>
      </c>
      <c r="D228" s="33" t="s">
        <v>186</v>
      </c>
      <c r="E228" s="34" t="s">
        <v>22</v>
      </c>
      <c r="F228" s="34" t="s">
        <v>35</v>
      </c>
      <c r="G228" s="33" t="s">
        <v>187</v>
      </c>
      <c r="H228" s="35" t="s">
        <v>51</v>
      </c>
      <c r="I228" s="36"/>
      <c r="J228" s="34"/>
      <c r="K228" s="34" t="s">
        <v>37</v>
      </c>
      <c r="L228" s="37"/>
      <c r="M228" s="38"/>
      <c r="N228" s="39">
        <v>15</v>
      </c>
      <c r="O228" s="40"/>
      <c r="P228" s="39">
        <v>19.5</v>
      </c>
      <c r="Q228" s="39">
        <v>15.5</v>
      </c>
    </row>
    <row r="229" spans="1:17" ht="15.75">
      <c r="A229" s="30">
        <v>32982133</v>
      </c>
      <c r="B229" s="31" t="s">
        <v>755</v>
      </c>
      <c r="C229" s="32">
        <v>965</v>
      </c>
      <c r="D229" s="33" t="s">
        <v>49</v>
      </c>
      <c r="E229" s="34" t="s">
        <v>34</v>
      </c>
      <c r="F229" s="34" t="s">
        <v>35</v>
      </c>
      <c r="G229" s="33" t="s">
        <v>50</v>
      </c>
      <c r="H229" s="35" t="s">
        <v>51</v>
      </c>
      <c r="I229" s="36"/>
      <c r="J229" s="34"/>
      <c r="K229" s="34" t="s">
        <v>25</v>
      </c>
      <c r="L229" s="37">
        <v>46223</v>
      </c>
      <c r="M229" s="38">
        <v>46223</v>
      </c>
      <c r="N229" s="40"/>
      <c r="O229" s="40"/>
      <c r="P229" s="39">
        <v>4.5</v>
      </c>
      <c r="Q229" s="39">
        <v>2.4</v>
      </c>
    </row>
    <row r="230" spans="1:17" ht="30" hidden="1">
      <c r="A230" s="30">
        <v>32982172</v>
      </c>
      <c r="B230" s="31" t="s">
        <v>756</v>
      </c>
      <c r="C230" s="32">
        <v>966</v>
      </c>
      <c r="D230" s="33" t="s">
        <v>68</v>
      </c>
      <c r="E230" s="34" t="s">
        <v>22</v>
      </c>
      <c r="F230" s="34" t="s">
        <v>35</v>
      </c>
      <c r="G230" s="33" t="s">
        <v>757</v>
      </c>
      <c r="H230" s="35"/>
      <c r="I230" s="36"/>
      <c r="J230" s="34"/>
      <c r="K230" s="34" t="s">
        <v>29</v>
      </c>
      <c r="L230" s="37"/>
      <c r="M230" s="38"/>
      <c r="N230" s="39">
        <v>8</v>
      </c>
      <c r="O230" s="40"/>
      <c r="P230" s="39">
        <v>0.5</v>
      </c>
      <c r="Q230" s="39">
        <v>186.6</v>
      </c>
    </row>
    <row r="231" spans="1:17" ht="15.75" hidden="1">
      <c r="A231" s="30">
        <v>32982191</v>
      </c>
      <c r="B231" s="31" t="s">
        <v>758</v>
      </c>
      <c r="C231" s="32">
        <v>967</v>
      </c>
      <c r="D231" s="33" t="s">
        <v>33</v>
      </c>
      <c r="E231" s="34" t="s">
        <v>34</v>
      </c>
      <c r="F231" s="34" t="s">
        <v>35</v>
      </c>
      <c r="G231" s="33" t="s">
        <v>757</v>
      </c>
      <c r="H231" s="35"/>
      <c r="I231" s="36"/>
      <c r="J231" s="34"/>
      <c r="K231" s="34" t="s">
        <v>29</v>
      </c>
      <c r="L231" s="37">
        <v>46223</v>
      </c>
      <c r="M231" s="38">
        <v>46223</v>
      </c>
      <c r="N231" s="40"/>
      <c r="O231" s="40"/>
      <c r="P231" s="39">
        <v>6</v>
      </c>
      <c r="Q231" s="39">
        <v>2.2000000000000002</v>
      </c>
    </row>
    <row r="232" spans="1:17" ht="15.75" hidden="1">
      <c r="A232" s="30">
        <v>32982194</v>
      </c>
      <c r="B232" s="31" t="s">
        <v>759</v>
      </c>
      <c r="C232" s="32">
        <v>968</v>
      </c>
      <c r="D232" s="33" t="s">
        <v>33</v>
      </c>
      <c r="E232" s="34" t="s">
        <v>22</v>
      </c>
      <c r="F232" s="34" t="s">
        <v>142</v>
      </c>
      <c r="G232" s="33" t="s">
        <v>50</v>
      </c>
      <c r="H232" s="35"/>
      <c r="I232" s="36"/>
      <c r="J232" s="34"/>
      <c r="K232" s="34" t="s">
        <v>29</v>
      </c>
      <c r="L232" s="37"/>
      <c r="M232" s="38"/>
      <c r="N232" s="40"/>
      <c r="O232" s="40"/>
      <c r="P232" s="39">
        <v>7.5</v>
      </c>
      <c r="Q232" s="39">
        <v>347.4</v>
      </c>
    </row>
    <row r="233" spans="1:17" ht="15.75" hidden="1">
      <c r="A233" s="30">
        <v>32982195</v>
      </c>
      <c r="B233" s="31" t="s">
        <v>760</v>
      </c>
      <c r="C233" s="32">
        <v>969</v>
      </c>
      <c r="D233" s="33" t="s">
        <v>33</v>
      </c>
      <c r="E233" s="34" t="s">
        <v>22</v>
      </c>
      <c r="F233" s="34" t="s">
        <v>35</v>
      </c>
      <c r="G233" s="33" t="s">
        <v>50</v>
      </c>
      <c r="H233" s="35"/>
      <c r="I233" s="36"/>
      <c r="J233" s="34"/>
      <c r="K233" s="34" t="s">
        <v>29</v>
      </c>
      <c r="L233" s="37"/>
      <c r="M233" s="38"/>
      <c r="N233" s="40"/>
      <c r="O233" s="40"/>
      <c r="P233" s="39"/>
      <c r="Q233" s="39"/>
    </row>
    <row r="234" spans="1:17" ht="15.75" hidden="1">
      <c r="A234" s="30">
        <v>32982197</v>
      </c>
      <c r="B234" s="31" t="s">
        <v>761</v>
      </c>
      <c r="C234" s="32">
        <v>970</v>
      </c>
      <c r="D234" s="33" t="s">
        <v>33</v>
      </c>
      <c r="E234" s="34" t="s">
        <v>22</v>
      </c>
      <c r="F234" s="34" t="s">
        <v>142</v>
      </c>
      <c r="G234" s="33" t="s">
        <v>50</v>
      </c>
      <c r="H234" s="35"/>
      <c r="I234" s="36"/>
      <c r="J234" s="34"/>
      <c r="K234" s="34" t="s">
        <v>29</v>
      </c>
      <c r="L234" s="37"/>
      <c r="M234" s="38"/>
      <c r="N234" s="40"/>
      <c r="O234" s="40"/>
      <c r="P234" s="39">
        <v>9.5</v>
      </c>
      <c r="Q234" s="39">
        <v>372.5</v>
      </c>
    </row>
    <row r="235" spans="1:17" ht="31.5">
      <c r="A235" s="30">
        <v>32982199</v>
      </c>
      <c r="B235" s="31" t="s">
        <v>762</v>
      </c>
      <c r="C235" s="32">
        <v>971</v>
      </c>
      <c r="D235" s="33" t="s">
        <v>61</v>
      </c>
      <c r="E235" s="34" t="s">
        <v>22</v>
      </c>
      <c r="F235" s="34" t="s">
        <v>62</v>
      </c>
      <c r="G235" s="33" t="s">
        <v>50</v>
      </c>
      <c r="H235" s="35" t="s">
        <v>51</v>
      </c>
      <c r="I235" s="36"/>
      <c r="J235" s="34"/>
      <c r="K235" s="34" t="s">
        <v>25</v>
      </c>
      <c r="L235" s="37"/>
      <c r="M235" s="38"/>
      <c r="N235" s="40"/>
      <c r="O235" s="40"/>
      <c r="P235" s="39">
        <v>1.5</v>
      </c>
      <c r="Q235" s="39">
        <v>370.2</v>
      </c>
    </row>
    <row r="236" spans="1:17" ht="31.5" hidden="1">
      <c r="A236" s="30">
        <v>32982200</v>
      </c>
      <c r="B236" s="31" t="s">
        <v>763</v>
      </c>
      <c r="C236" s="32">
        <v>972</v>
      </c>
      <c r="D236" s="33" t="s">
        <v>61</v>
      </c>
      <c r="E236" s="34" t="s">
        <v>22</v>
      </c>
      <c r="F236" s="34" t="s">
        <v>62</v>
      </c>
      <c r="G236" s="33" t="s">
        <v>50</v>
      </c>
      <c r="H236" s="35" t="s">
        <v>51</v>
      </c>
      <c r="I236" s="36"/>
      <c r="J236" s="34"/>
      <c r="K236" s="34" t="s">
        <v>29</v>
      </c>
      <c r="L236" s="37"/>
      <c r="M236" s="38"/>
      <c r="N236" s="40"/>
      <c r="O236" s="40"/>
      <c r="P236" s="39">
        <v>2</v>
      </c>
      <c r="Q236" s="39">
        <v>370.4</v>
      </c>
    </row>
    <row r="237" spans="1:17" ht="31.5" hidden="1">
      <c r="A237" s="30">
        <v>32982202</v>
      </c>
      <c r="B237" s="31" t="s">
        <v>764</v>
      </c>
      <c r="C237" s="32">
        <v>973</v>
      </c>
      <c r="D237" s="33" t="s">
        <v>61</v>
      </c>
      <c r="E237" s="34" t="s">
        <v>22</v>
      </c>
      <c r="F237" s="34" t="s">
        <v>62</v>
      </c>
      <c r="G237" s="33" t="s">
        <v>50</v>
      </c>
      <c r="H237" s="35" t="s">
        <v>51</v>
      </c>
      <c r="I237" s="36"/>
      <c r="J237" s="34"/>
      <c r="K237" s="34" t="s">
        <v>29</v>
      </c>
      <c r="L237" s="37"/>
      <c r="M237" s="38"/>
      <c r="N237" s="40"/>
      <c r="O237" s="40"/>
      <c r="P237" s="39"/>
      <c r="Q237" s="39"/>
    </row>
    <row r="238" spans="1:17" ht="30">
      <c r="A238" s="30">
        <v>32982203</v>
      </c>
      <c r="B238" s="31" t="s">
        <v>765</v>
      </c>
      <c r="C238" s="32">
        <v>974</v>
      </c>
      <c r="D238" s="33" t="s">
        <v>61</v>
      </c>
      <c r="E238" s="34" t="s">
        <v>22</v>
      </c>
      <c r="F238" s="34" t="s">
        <v>142</v>
      </c>
      <c r="G238" s="33" t="s">
        <v>50</v>
      </c>
      <c r="H238" s="35"/>
      <c r="I238" s="36"/>
      <c r="J238" s="34"/>
      <c r="K238" s="34" t="s">
        <v>25</v>
      </c>
      <c r="L238" s="37"/>
      <c r="M238" s="38"/>
      <c r="N238" s="40"/>
      <c r="O238" s="40"/>
      <c r="P238" s="39">
        <v>4</v>
      </c>
      <c r="Q238" s="39">
        <v>370.8</v>
      </c>
    </row>
    <row r="239" spans="1:17" ht="30">
      <c r="A239" s="30">
        <v>32983996</v>
      </c>
      <c r="B239" s="31" t="s">
        <v>766</v>
      </c>
      <c r="C239" s="32">
        <v>992</v>
      </c>
      <c r="D239" s="33" t="s">
        <v>33</v>
      </c>
      <c r="E239" s="34" t="s">
        <v>22</v>
      </c>
      <c r="F239" s="34" t="s">
        <v>35</v>
      </c>
      <c r="G239" s="33" t="s">
        <v>50</v>
      </c>
      <c r="H239" s="35" t="s">
        <v>51</v>
      </c>
      <c r="I239" s="36"/>
      <c r="J239" s="34"/>
      <c r="K239" s="34" t="s">
        <v>24</v>
      </c>
      <c r="L239" s="37"/>
      <c r="M239" s="38"/>
      <c r="N239" s="39">
        <v>8.5</v>
      </c>
      <c r="O239" s="40"/>
      <c r="P239" s="39"/>
      <c r="Q239" s="39"/>
    </row>
    <row r="240" spans="1:17" ht="30" hidden="1">
      <c r="A240" s="30">
        <v>32984263</v>
      </c>
      <c r="B240" s="31" t="s">
        <v>767</v>
      </c>
      <c r="C240" s="32">
        <v>999</v>
      </c>
      <c r="D240" s="33" t="s">
        <v>186</v>
      </c>
      <c r="E240" s="34" t="s">
        <v>22</v>
      </c>
      <c r="F240" s="34" t="s">
        <v>35</v>
      </c>
      <c r="G240" s="33" t="s">
        <v>187</v>
      </c>
      <c r="H240" s="35"/>
      <c r="I240" s="36"/>
      <c r="J240" s="34"/>
      <c r="K240" s="34" t="s">
        <v>37</v>
      </c>
      <c r="L240" s="37"/>
      <c r="M240" s="38"/>
      <c r="N240" s="39">
        <v>10</v>
      </c>
      <c r="O240" s="40"/>
      <c r="P240" s="39">
        <v>9.5</v>
      </c>
      <c r="Q240" s="39">
        <v>309.2</v>
      </c>
    </row>
    <row r="241" spans="1:17" ht="30" hidden="1">
      <c r="A241" s="30">
        <v>32984585</v>
      </c>
      <c r="B241" s="31" t="s">
        <v>768</v>
      </c>
      <c r="C241" s="32">
        <v>1003</v>
      </c>
      <c r="D241" s="33" t="s">
        <v>186</v>
      </c>
      <c r="E241" s="34" t="s">
        <v>22</v>
      </c>
      <c r="F241" s="34" t="s">
        <v>35</v>
      </c>
      <c r="G241" s="33" t="s">
        <v>187</v>
      </c>
      <c r="H241" s="35"/>
      <c r="I241" s="36"/>
      <c r="J241" s="34"/>
      <c r="K241" s="34" t="s">
        <v>37</v>
      </c>
      <c r="L241" s="37"/>
      <c r="M241" s="38"/>
      <c r="N241" s="39">
        <v>12</v>
      </c>
      <c r="O241" s="40"/>
      <c r="P241" s="39">
        <v>11.5</v>
      </c>
      <c r="Q241" s="39">
        <v>337.7</v>
      </c>
    </row>
    <row r="242" spans="1:17" ht="30" hidden="1">
      <c r="A242" s="30">
        <v>32984729</v>
      </c>
      <c r="B242" s="31" t="s">
        <v>769</v>
      </c>
      <c r="C242" s="32">
        <v>1004</v>
      </c>
      <c r="D242" s="33" t="s">
        <v>68</v>
      </c>
      <c r="E242" s="34" t="s">
        <v>22</v>
      </c>
      <c r="F242" s="34" t="s">
        <v>35</v>
      </c>
      <c r="G242" s="33" t="s">
        <v>50</v>
      </c>
      <c r="H242" s="35" t="s">
        <v>51</v>
      </c>
      <c r="I242" s="36"/>
      <c r="J242" s="34"/>
      <c r="K242" s="34" t="s">
        <v>29</v>
      </c>
      <c r="L242" s="37"/>
      <c r="M242" s="38"/>
      <c r="N242" s="39">
        <v>3</v>
      </c>
      <c r="O242" s="40"/>
      <c r="P242" s="39"/>
      <c r="Q242" s="39"/>
    </row>
    <row r="243" spans="1:17" ht="30" hidden="1">
      <c r="A243" s="30">
        <v>32984742</v>
      </c>
      <c r="B243" s="31" t="s">
        <v>770</v>
      </c>
      <c r="C243" s="32">
        <v>1005</v>
      </c>
      <c r="D243" s="33" t="s">
        <v>68</v>
      </c>
      <c r="E243" s="34" t="s">
        <v>22</v>
      </c>
      <c r="F243" s="34" t="s">
        <v>35</v>
      </c>
      <c r="G243" s="33" t="s">
        <v>50</v>
      </c>
      <c r="H243" s="35" t="s">
        <v>51</v>
      </c>
      <c r="I243" s="36"/>
      <c r="J243" s="34"/>
      <c r="K243" s="34" t="s">
        <v>29</v>
      </c>
      <c r="L243" s="37"/>
      <c r="M243" s="38"/>
      <c r="N243" s="39">
        <v>2</v>
      </c>
      <c r="O243" s="40"/>
      <c r="P243" s="39"/>
      <c r="Q243" s="39"/>
    </row>
    <row r="244" spans="1:17" ht="30" hidden="1">
      <c r="A244" s="30">
        <v>32984765</v>
      </c>
      <c r="B244" s="31" t="s">
        <v>771</v>
      </c>
      <c r="C244" s="32">
        <v>1006</v>
      </c>
      <c r="D244" s="33" t="s">
        <v>68</v>
      </c>
      <c r="E244" s="34" t="s">
        <v>22</v>
      </c>
      <c r="F244" s="34" t="s">
        <v>35</v>
      </c>
      <c r="G244" s="33" t="s">
        <v>50</v>
      </c>
      <c r="H244" s="35" t="s">
        <v>51</v>
      </c>
      <c r="I244" s="36"/>
      <c r="J244" s="34"/>
      <c r="K244" s="34" t="s">
        <v>29</v>
      </c>
      <c r="L244" s="37"/>
      <c r="M244" s="38"/>
      <c r="N244" s="39">
        <v>2</v>
      </c>
      <c r="O244" s="40"/>
      <c r="P244" s="39"/>
      <c r="Q244" s="39"/>
    </row>
    <row r="245" spans="1:17" ht="30">
      <c r="A245" s="30">
        <v>32984781</v>
      </c>
      <c r="B245" s="31" t="s">
        <v>772</v>
      </c>
      <c r="C245" s="32">
        <v>1007</v>
      </c>
      <c r="D245" s="33" t="s">
        <v>68</v>
      </c>
      <c r="E245" s="34" t="s">
        <v>22</v>
      </c>
      <c r="F245" s="34" t="s">
        <v>35</v>
      </c>
      <c r="G245" s="33" t="s">
        <v>50</v>
      </c>
      <c r="H245" s="35" t="s">
        <v>51</v>
      </c>
      <c r="I245" s="36"/>
      <c r="J245" s="34"/>
      <c r="K245" s="34" t="s">
        <v>25</v>
      </c>
      <c r="L245" s="37"/>
      <c r="M245" s="38"/>
      <c r="N245" s="39">
        <v>2</v>
      </c>
      <c r="O245" s="40"/>
      <c r="P245" s="39"/>
      <c r="Q245" s="39"/>
    </row>
    <row r="246" spans="1:17" ht="30" hidden="1">
      <c r="A246" s="30">
        <v>32984766</v>
      </c>
      <c r="B246" s="31" t="s">
        <v>773</v>
      </c>
      <c r="C246" s="32">
        <v>1008</v>
      </c>
      <c r="D246" s="33" t="s">
        <v>33</v>
      </c>
      <c r="E246" s="34" t="s">
        <v>22</v>
      </c>
      <c r="F246" s="34" t="s">
        <v>35</v>
      </c>
      <c r="G246" s="33" t="s">
        <v>209</v>
      </c>
      <c r="H246" s="35" t="s">
        <v>51</v>
      </c>
      <c r="I246" s="36"/>
      <c r="J246" s="34"/>
      <c r="K246" s="34" t="s">
        <v>37</v>
      </c>
      <c r="L246" s="37"/>
      <c r="M246" s="38"/>
      <c r="N246" s="39">
        <v>2</v>
      </c>
      <c r="O246" s="40"/>
      <c r="P246" s="39"/>
      <c r="Q246" s="39"/>
    </row>
    <row r="247" spans="1:17" ht="15.75">
      <c r="A247" s="30">
        <v>32984823</v>
      </c>
      <c r="B247" s="31" t="s">
        <v>774</v>
      </c>
      <c r="C247" s="32">
        <v>1009</v>
      </c>
      <c r="D247" s="33" t="s">
        <v>73</v>
      </c>
      <c r="E247" s="34" t="s">
        <v>34</v>
      </c>
      <c r="F247" s="34" t="s">
        <v>35</v>
      </c>
      <c r="G247" s="33" t="s">
        <v>168</v>
      </c>
      <c r="H247" s="35"/>
      <c r="I247" s="36"/>
      <c r="J247" s="34"/>
      <c r="K247" s="34" t="s">
        <v>25</v>
      </c>
      <c r="L247" s="37">
        <v>46226</v>
      </c>
      <c r="M247" s="38">
        <v>46226</v>
      </c>
      <c r="N247" s="39">
        <v>4</v>
      </c>
      <c r="O247" s="40"/>
      <c r="P247" s="39">
        <v>4.5</v>
      </c>
      <c r="Q247" s="39">
        <v>4.5</v>
      </c>
    </row>
    <row r="248" spans="1:17" ht="30" hidden="1">
      <c r="A248" s="30">
        <v>32984820</v>
      </c>
      <c r="B248" s="31" t="s">
        <v>775</v>
      </c>
      <c r="C248" s="32">
        <v>1010</v>
      </c>
      <c r="D248" s="33" t="s">
        <v>33</v>
      </c>
      <c r="E248" s="34" t="s">
        <v>22</v>
      </c>
      <c r="F248" s="34" t="s">
        <v>35</v>
      </c>
      <c r="G248" s="33" t="s">
        <v>209</v>
      </c>
      <c r="H248" s="35" t="s">
        <v>51</v>
      </c>
      <c r="I248" s="36"/>
      <c r="J248" s="34"/>
      <c r="K248" s="34" t="s">
        <v>37</v>
      </c>
      <c r="L248" s="37"/>
      <c r="M248" s="38"/>
      <c r="N248" s="39">
        <v>2</v>
      </c>
      <c r="O248" s="40"/>
      <c r="P248" s="39"/>
      <c r="Q248" s="39"/>
    </row>
    <row r="249" spans="1:17" ht="30">
      <c r="A249" s="30">
        <v>32984829</v>
      </c>
      <c r="B249" s="31" t="s">
        <v>776</v>
      </c>
      <c r="C249" s="32">
        <v>1011</v>
      </c>
      <c r="D249" s="33" t="s">
        <v>68</v>
      </c>
      <c r="E249" s="34" t="s">
        <v>22</v>
      </c>
      <c r="F249" s="34" t="s">
        <v>35</v>
      </c>
      <c r="G249" s="33" t="s">
        <v>50</v>
      </c>
      <c r="H249" s="35" t="s">
        <v>51</v>
      </c>
      <c r="I249" s="36"/>
      <c r="J249" s="34"/>
      <c r="K249" s="34" t="s">
        <v>25</v>
      </c>
      <c r="L249" s="37"/>
      <c r="M249" s="38"/>
      <c r="N249" s="39">
        <v>2</v>
      </c>
      <c r="O249" s="40"/>
      <c r="P249" s="39"/>
      <c r="Q249" s="39"/>
    </row>
    <row r="250" spans="1:17" ht="31.5">
      <c r="A250" s="30">
        <v>32984848</v>
      </c>
      <c r="B250" s="31" t="s">
        <v>777</v>
      </c>
      <c r="C250" s="32">
        <v>1012</v>
      </c>
      <c r="D250" s="33" t="s">
        <v>68</v>
      </c>
      <c r="E250" s="34" t="s">
        <v>22</v>
      </c>
      <c r="F250" s="34" t="s">
        <v>62</v>
      </c>
      <c r="G250" s="33" t="s">
        <v>757</v>
      </c>
      <c r="H250" s="35" t="s">
        <v>51</v>
      </c>
      <c r="I250" s="36"/>
      <c r="J250" s="34"/>
      <c r="K250" s="34" t="s">
        <v>25</v>
      </c>
      <c r="L250" s="37"/>
      <c r="M250" s="38"/>
      <c r="N250" s="40"/>
      <c r="O250" s="40"/>
      <c r="P250" s="39">
        <v>14.3</v>
      </c>
      <c r="Q250" s="39">
        <v>199.1</v>
      </c>
    </row>
    <row r="251" spans="1:17" ht="15.75">
      <c r="A251" s="30">
        <v>32984883</v>
      </c>
      <c r="B251" s="31" t="s">
        <v>778</v>
      </c>
      <c r="C251" s="32">
        <v>1013</v>
      </c>
      <c r="D251" s="33" t="s">
        <v>73</v>
      </c>
      <c r="E251" s="34" t="s">
        <v>34</v>
      </c>
      <c r="F251" s="34" t="s">
        <v>35</v>
      </c>
      <c r="G251" s="33" t="s">
        <v>168</v>
      </c>
      <c r="H251" s="35" t="s">
        <v>51</v>
      </c>
      <c r="I251" s="36"/>
      <c r="J251" s="34"/>
      <c r="K251" s="34" t="s">
        <v>25</v>
      </c>
      <c r="L251" s="37">
        <v>46229</v>
      </c>
      <c r="M251" s="38">
        <v>46229</v>
      </c>
      <c r="N251" s="39">
        <v>4</v>
      </c>
      <c r="O251" s="40"/>
      <c r="P251" s="39">
        <v>4</v>
      </c>
      <c r="Q251" s="39">
        <v>4</v>
      </c>
    </row>
    <row r="252" spans="1:17" ht="45" hidden="1">
      <c r="A252" s="30">
        <v>32984906</v>
      </c>
      <c r="B252" s="31" t="s">
        <v>779</v>
      </c>
      <c r="C252" s="32">
        <v>1014</v>
      </c>
      <c r="D252" s="33" t="s">
        <v>33</v>
      </c>
      <c r="E252" s="34" t="s">
        <v>22</v>
      </c>
      <c r="F252" s="34" t="s">
        <v>35</v>
      </c>
      <c r="G252" s="33" t="s">
        <v>50</v>
      </c>
      <c r="H252" s="35" t="s">
        <v>51</v>
      </c>
      <c r="I252" s="36"/>
      <c r="J252" s="34"/>
      <c r="K252" s="34" t="s">
        <v>29</v>
      </c>
      <c r="L252" s="37"/>
      <c r="M252" s="38"/>
      <c r="N252" s="39">
        <v>6</v>
      </c>
      <c r="O252" s="40"/>
      <c r="P252" s="39">
        <v>6.5</v>
      </c>
      <c r="Q252" s="39">
        <v>335.4</v>
      </c>
    </row>
    <row r="253" spans="1:17" ht="30">
      <c r="A253" s="30">
        <v>32984905</v>
      </c>
      <c r="B253" s="31" t="s">
        <v>780</v>
      </c>
      <c r="C253" s="32">
        <v>1015</v>
      </c>
      <c r="D253" s="33" t="s">
        <v>73</v>
      </c>
      <c r="E253" s="34" t="s">
        <v>34</v>
      </c>
      <c r="F253" s="34" t="s">
        <v>35</v>
      </c>
      <c r="G253" s="33" t="s">
        <v>168</v>
      </c>
      <c r="H253" s="35"/>
      <c r="I253" s="36"/>
      <c r="J253" s="34"/>
      <c r="K253" s="34" t="s">
        <v>25</v>
      </c>
      <c r="L253" s="37">
        <v>46224</v>
      </c>
      <c r="M253" s="38">
        <v>46224</v>
      </c>
      <c r="N253" s="39">
        <v>2</v>
      </c>
      <c r="O253" s="40"/>
      <c r="P253" s="39">
        <v>2</v>
      </c>
      <c r="Q253" s="39">
        <v>1</v>
      </c>
    </row>
    <row r="254" spans="1:17" ht="30">
      <c r="A254" s="30">
        <v>32984945</v>
      </c>
      <c r="B254" s="31" t="s">
        <v>781</v>
      </c>
      <c r="C254" s="32">
        <v>1017</v>
      </c>
      <c r="D254" s="33" t="s">
        <v>68</v>
      </c>
      <c r="E254" s="34" t="s">
        <v>34</v>
      </c>
      <c r="F254" s="34" t="s">
        <v>35</v>
      </c>
      <c r="G254" s="33" t="s">
        <v>168</v>
      </c>
      <c r="H254" s="35" t="s">
        <v>51</v>
      </c>
      <c r="I254" s="36"/>
      <c r="J254" s="34"/>
      <c r="K254" s="34" t="s">
        <v>25</v>
      </c>
      <c r="L254" s="37">
        <v>46231</v>
      </c>
      <c r="M254" s="38">
        <v>46231</v>
      </c>
      <c r="N254" s="39">
        <v>3</v>
      </c>
      <c r="O254" s="40"/>
      <c r="P254" s="39">
        <v>4</v>
      </c>
      <c r="Q254" s="39">
        <v>4</v>
      </c>
    </row>
    <row r="255" spans="1:17" ht="15.75">
      <c r="A255" s="30">
        <v>32985067</v>
      </c>
      <c r="B255" s="31" t="s">
        <v>782</v>
      </c>
      <c r="C255" s="32">
        <v>1027</v>
      </c>
      <c r="D255" s="33" t="s">
        <v>68</v>
      </c>
      <c r="E255" s="34" t="s">
        <v>22</v>
      </c>
      <c r="F255" s="34" t="s">
        <v>35</v>
      </c>
      <c r="G255" s="33" t="s">
        <v>50</v>
      </c>
      <c r="H255" s="35"/>
      <c r="I255" s="36"/>
      <c r="J255" s="34"/>
      <c r="K255" s="34" t="s">
        <v>25</v>
      </c>
      <c r="L255" s="157" t="s">
        <v>783</v>
      </c>
      <c r="M255" s="38"/>
      <c r="N255" s="39">
        <v>2</v>
      </c>
      <c r="O255" s="40"/>
      <c r="P255" s="39"/>
      <c r="Q255" s="39"/>
    </row>
    <row r="256" spans="1:17" ht="30">
      <c r="A256" s="30">
        <v>32985083</v>
      </c>
      <c r="B256" s="31" t="s">
        <v>784</v>
      </c>
      <c r="C256" s="32">
        <v>1030</v>
      </c>
      <c r="D256" s="33" t="s">
        <v>68</v>
      </c>
      <c r="E256" s="34" t="s">
        <v>22</v>
      </c>
      <c r="F256" s="34" t="s">
        <v>35</v>
      </c>
      <c r="G256" s="33" t="s">
        <v>50</v>
      </c>
      <c r="H256" s="35" t="s">
        <v>51</v>
      </c>
      <c r="I256" s="36"/>
      <c r="J256" s="34"/>
      <c r="K256" s="34" t="s">
        <v>25</v>
      </c>
      <c r="L256" s="37"/>
      <c r="M256" s="38"/>
      <c r="N256" s="39">
        <v>2</v>
      </c>
      <c r="O256" s="40"/>
      <c r="P256" s="39"/>
      <c r="Q256" s="39"/>
    </row>
    <row r="257" spans="1:17" ht="30">
      <c r="A257" s="30">
        <v>32985088</v>
      </c>
      <c r="B257" s="31" t="s">
        <v>785</v>
      </c>
      <c r="C257" s="32">
        <v>1031</v>
      </c>
      <c r="D257" s="33" t="s">
        <v>68</v>
      </c>
      <c r="E257" s="34" t="s">
        <v>22</v>
      </c>
      <c r="F257" s="34" t="s">
        <v>35</v>
      </c>
      <c r="G257" s="33" t="s">
        <v>50</v>
      </c>
      <c r="H257" s="35" t="s">
        <v>51</v>
      </c>
      <c r="I257" s="36"/>
      <c r="J257" s="34"/>
      <c r="K257" s="34" t="s">
        <v>25</v>
      </c>
      <c r="L257" s="37"/>
      <c r="M257" s="38"/>
      <c r="N257" s="39">
        <v>2</v>
      </c>
      <c r="O257" s="40"/>
      <c r="P257" s="39"/>
      <c r="Q257" s="39"/>
    </row>
    <row r="258" spans="1:17" ht="30">
      <c r="A258" s="30">
        <v>32985127</v>
      </c>
      <c r="B258" s="31" t="s">
        <v>786</v>
      </c>
      <c r="C258" s="32">
        <v>1034</v>
      </c>
      <c r="D258" s="33" t="s">
        <v>49</v>
      </c>
      <c r="E258" s="34" t="s">
        <v>34</v>
      </c>
      <c r="F258" s="34" t="s">
        <v>35</v>
      </c>
      <c r="G258" s="33" t="s">
        <v>50</v>
      </c>
      <c r="H258" s="35"/>
      <c r="I258" s="36"/>
      <c r="J258" s="34"/>
      <c r="K258" s="34" t="s">
        <v>25</v>
      </c>
      <c r="L258" s="37">
        <v>46238</v>
      </c>
      <c r="M258" s="38">
        <v>46237</v>
      </c>
      <c r="N258" s="39">
        <v>2</v>
      </c>
      <c r="O258" s="40"/>
      <c r="P258" s="39">
        <v>2</v>
      </c>
      <c r="Q258" s="39">
        <v>2</v>
      </c>
    </row>
    <row r="259" spans="1:17" ht="30">
      <c r="A259" s="30">
        <v>32985290</v>
      </c>
      <c r="B259" s="31" t="s">
        <v>787</v>
      </c>
      <c r="C259" s="32">
        <v>1035</v>
      </c>
      <c r="D259" s="33" t="s">
        <v>61</v>
      </c>
      <c r="E259" s="34" t="s">
        <v>22</v>
      </c>
      <c r="F259" s="34" t="s">
        <v>35</v>
      </c>
      <c r="G259" s="33" t="s">
        <v>50</v>
      </c>
      <c r="H259" s="35" t="s">
        <v>51</v>
      </c>
      <c r="I259" s="36"/>
      <c r="J259" s="34"/>
      <c r="K259" s="34" t="s">
        <v>25</v>
      </c>
      <c r="L259" s="37"/>
      <c r="M259" s="38"/>
      <c r="N259" s="40"/>
      <c r="O259" s="40"/>
      <c r="P259" s="39"/>
      <c r="Q259" s="39"/>
    </row>
    <row r="260" spans="1:17" ht="31.5">
      <c r="A260" s="30">
        <v>32985304</v>
      </c>
      <c r="B260" s="31" t="s">
        <v>788</v>
      </c>
      <c r="C260" s="32">
        <v>1036</v>
      </c>
      <c r="D260" s="33" t="s">
        <v>61</v>
      </c>
      <c r="E260" s="34" t="s">
        <v>22</v>
      </c>
      <c r="F260" s="34" t="s">
        <v>62</v>
      </c>
      <c r="G260" s="33" t="s">
        <v>50</v>
      </c>
      <c r="H260" s="35" t="s">
        <v>51</v>
      </c>
      <c r="I260" s="36"/>
      <c r="J260" s="34"/>
      <c r="K260" s="34" t="s">
        <v>25</v>
      </c>
      <c r="L260" s="37">
        <v>46233</v>
      </c>
      <c r="M260" s="38"/>
      <c r="N260" s="40"/>
      <c r="O260" s="40"/>
      <c r="P260" s="39"/>
      <c r="Q260" s="39"/>
    </row>
    <row r="261" spans="1:17" ht="30">
      <c r="A261" s="30">
        <v>32985321</v>
      </c>
      <c r="B261" s="31" t="s">
        <v>789</v>
      </c>
      <c r="C261" s="32">
        <v>1037</v>
      </c>
      <c r="D261" s="33" t="s">
        <v>61</v>
      </c>
      <c r="E261" s="34" t="s">
        <v>22</v>
      </c>
      <c r="F261" s="34" t="s">
        <v>35</v>
      </c>
      <c r="G261" s="33" t="s">
        <v>50</v>
      </c>
      <c r="H261" s="35" t="s">
        <v>51</v>
      </c>
      <c r="I261" s="36"/>
      <c r="J261" s="34"/>
      <c r="K261" s="34" t="s">
        <v>25</v>
      </c>
      <c r="L261" s="37"/>
      <c r="M261" s="38"/>
      <c r="N261" s="40"/>
      <c r="O261" s="40"/>
      <c r="P261" s="39"/>
      <c r="Q261" s="39"/>
    </row>
    <row r="262" spans="1:17" ht="15.75">
      <c r="A262" s="30">
        <v>32985332</v>
      </c>
      <c r="B262" s="31" t="s">
        <v>790</v>
      </c>
      <c r="C262" s="32">
        <v>1038</v>
      </c>
      <c r="D262" s="33" t="s">
        <v>61</v>
      </c>
      <c r="E262" s="34" t="s">
        <v>22</v>
      </c>
      <c r="F262" s="34" t="s">
        <v>62</v>
      </c>
      <c r="G262" s="33" t="s">
        <v>50</v>
      </c>
      <c r="H262" s="35" t="s">
        <v>51</v>
      </c>
      <c r="I262" s="36"/>
      <c r="J262" s="34"/>
      <c r="K262" s="34" t="s">
        <v>25</v>
      </c>
      <c r="L262" s="37"/>
      <c r="M262" s="38"/>
      <c r="N262" s="40"/>
      <c r="O262" s="40"/>
      <c r="P262" s="39"/>
      <c r="Q262" s="39"/>
    </row>
    <row r="263" spans="1:17" ht="30">
      <c r="A263" s="30">
        <v>32985334</v>
      </c>
      <c r="B263" s="31" t="s">
        <v>791</v>
      </c>
      <c r="C263" s="32">
        <v>1039</v>
      </c>
      <c r="D263" s="33" t="s">
        <v>61</v>
      </c>
      <c r="E263" s="34" t="s">
        <v>34</v>
      </c>
      <c r="F263" s="34" t="s">
        <v>35</v>
      </c>
      <c r="G263" s="33" t="s">
        <v>168</v>
      </c>
      <c r="H263" s="35" t="s">
        <v>51</v>
      </c>
      <c r="I263" s="36"/>
      <c r="J263" s="34"/>
      <c r="K263" s="34" t="s">
        <v>25</v>
      </c>
      <c r="L263" s="37">
        <v>46229</v>
      </c>
      <c r="M263" s="38">
        <v>46229</v>
      </c>
      <c r="N263" s="39">
        <v>4</v>
      </c>
      <c r="O263" s="40"/>
      <c r="P263" s="39">
        <v>5.8</v>
      </c>
      <c r="Q263" s="39">
        <v>2.1</v>
      </c>
    </row>
    <row r="264" spans="1:17" ht="15.75">
      <c r="A264" s="30">
        <v>32985336</v>
      </c>
      <c r="B264" s="31" t="s">
        <v>792</v>
      </c>
      <c r="C264" s="32">
        <v>1040</v>
      </c>
      <c r="D264" s="33" t="s">
        <v>61</v>
      </c>
      <c r="E264" s="34" t="s">
        <v>34</v>
      </c>
      <c r="F264" s="34" t="s">
        <v>35</v>
      </c>
      <c r="G264" s="33" t="s">
        <v>168</v>
      </c>
      <c r="H264" s="35"/>
      <c r="I264" s="36"/>
      <c r="J264" s="34"/>
      <c r="K264" s="34" t="s">
        <v>25</v>
      </c>
      <c r="L264" s="37">
        <v>46229</v>
      </c>
      <c r="M264" s="38">
        <v>46229</v>
      </c>
      <c r="N264" s="39">
        <v>4</v>
      </c>
      <c r="O264" s="40"/>
      <c r="P264" s="39">
        <v>6.2</v>
      </c>
      <c r="Q264" s="39">
        <v>2.5</v>
      </c>
    </row>
    <row r="265" spans="1:17" ht="30" hidden="1">
      <c r="A265" s="30">
        <v>32985337</v>
      </c>
      <c r="B265" s="31" t="s">
        <v>793</v>
      </c>
      <c r="C265" s="32">
        <v>1041</v>
      </c>
      <c r="D265" s="33" t="s">
        <v>61</v>
      </c>
      <c r="E265" s="34" t="s">
        <v>34</v>
      </c>
      <c r="F265" s="34" t="s">
        <v>35</v>
      </c>
      <c r="G265" s="33" t="s">
        <v>50</v>
      </c>
      <c r="H265" s="35" t="s">
        <v>51</v>
      </c>
      <c r="I265" s="36" t="s">
        <v>36</v>
      </c>
      <c r="J265" s="34"/>
      <c r="K265" s="34" t="s">
        <v>29</v>
      </c>
      <c r="L265" s="37">
        <v>46238</v>
      </c>
      <c r="M265" s="38">
        <v>46236</v>
      </c>
      <c r="N265" s="40"/>
      <c r="O265" s="40"/>
      <c r="P265" s="39">
        <v>1</v>
      </c>
      <c r="Q265" s="39">
        <v>1</v>
      </c>
    </row>
    <row r="266" spans="1:17" ht="15.75" hidden="1">
      <c r="A266" s="30">
        <v>32985338</v>
      </c>
      <c r="B266" s="31" t="s">
        <v>794</v>
      </c>
      <c r="C266" s="32">
        <v>1042</v>
      </c>
      <c r="D266" s="33" t="s">
        <v>61</v>
      </c>
      <c r="E266" s="34" t="s">
        <v>34</v>
      </c>
      <c r="F266" s="34" t="s">
        <v>35</v>
      </c>
      <c r="G266" s="33" t="s">
        <v>168</v>
      </c>
      <c r="H266" s="35"/>
      <c r="I266" s="36"/>
      <c r="J266" s="34"/>
      <c r="K266" s="34" t="s">
        <v>29</v>
      </c>
      <c r="L266" s="37">
        <v>46225</v>
      </c>
      <c r="M266" s="38">
        <v>46225</v>
      </c>
      <c r="N266" s="40"/>
      <c r="O266" s="40"/>
      <c r="P266" s="39">
        <v>3.5</v>
      </c>
      <c r="Q266" s="39">
        <v>3.5</v>
      </c>
    </row>
    <row r="267" spans="1:17" ht="15.75" hidden="1">
      <c r="A267" s="30">
        <v>32985341</v>
      </c>
      <c r="B267" s="31" t="s">
        <v>795</v>
      </c>
      <c r="C267" s="32">
        <v>1043</v>
      </c>
      <c r="D267" s="33" t="s">
        <v>61</v>
      </c>
      <c r="E267" s="34" t="s">
        <v>34</v>
      </c>
      <c r="F267" s="34" t="s">
        <v>35</v>
      </c>
      <c r="G267" s="33" t="s">
        <v>168</v>
      </c>
      <c r="H267" s="35"/>
      <c r="I267" s="36"/>
      <c r="J267" s="34"/>
      <c r="K267" s="34" t="s">
        <v>29</v>
      </c>
      <c r="L267" s="37">
        <v>46225</v>
      </c>
      <c r="M267" s="38">
        <v>46225</v>
      </c>
      <c r="N267" s="40"/>
      <c r="O267" s="40"/>
      <c r="P267" s="39">
        <v>3</v>
      </c>
      <c r="Q267" s="39">
        <v>3</v>
      </c>
    </row>
    <row r="268" spans="1:17" ht="15.75" hidden="1">
      <c r="A268" s="30">
        <v>32985342</v>
      </c>
      <c r="B268" s="31" t="s">
        <v>796</v>
      </c>
      <c r="C268" s="32">
        <v>1044</v>
      </c>
      <c r="D268" s="33" t="s">
        <v>61</v>
      </c>
      <c r="E268" s="34" t="s">
        <v>34</v>
      </c>
      <c r="F268" s="34" t="s">
        <v>35</v>
      </c>
      <c r="G268" s="33" t="s">
        <v>168</v>
      </c>
      <c r="H268" s="35"/>
      <c r="I268" s="36"/>
      <c r="J268" s="34"/>
      <c r="K268" s="34" t="s">
        <v>29</v>
      </c>
      <c r="L268" s="37">
        <v>46229</v>
      </c>
      <c r="M268" s="38">
        <v>46229</v>
      </c>
      <c r="N268" s="39">
        <v>4</v>
      </c>
      <c r="O268" s="40"/>
      <c r="P268" s="39">
        <v>4</v>
      </c>
      <c r="Q268" s="39">
        <v>2</v>
      </c>
    </row>
    <row r="269" spans="1:17" ht="15.75">
      <c r="A269" s="30">
        <v>32985343</v>
      </c>
      <c r="B269" s="31" t="s">
        <v>797</v>
      </c>
      <c r="C269" s="32">
        <v>1045</v>
      </c>
      <c r="D269" s="33" t="s">
        <v>61</v>
      </c>
      <c r="E269" s="34" t="s">
        <v>22</v>
      </c>
      <c r="F269" s="34" t="s">
        <v>62</v>
      </c>
      <c r="G269" s="33" t="s">
        <v>50</v>
      </c>
      <c r="H269" s="35" t="s">
        <v>51</v>
      </c>
      <c r="I269" s="36"/>
      <c r="J269" s="34"/>
      <c r="K269" s="34" t="s">
        <v>25</v>
      </c>
      <c r="L269" s="37"/>
      <c r="M269" s="38"/>
      <c r="N269" s="40"/>
      <c r="O269" s="40"/>
      <c r="P269" s="39"/>
      <c r="Q269" s="39"/>
    </row>
    <row r="270" spans="1:17" ht="30">
      <c r="A270" s="30">
        <v>32985344</v>
      </c>
      <c r="B270" s="31" t="s">
        <v>798</v>
      </c>
      <c r="C270" s="32">
        <v>1046</v>
      </c>
      <c r="D270" s="33" t="s">
        <v>61</v>
      </c>
      <c r="E270" s="34" t="s">
        <v>22</v>
      </c>
      <c r="F270" s="34" t="s">
        <v>35</v>
      </c>
      <c r="G270" s="33" t="s">
        <v>50</v>
      </c>
      <c r="H270" s="35" t="s">
        <v>51</v>
      </c>
      <c r="I270" s="36"/>
      <c r="J270" s="34"/>
      <c r="K270" s="34" t="s">
        <v>25</v>
      </c>
      <c r="L270" s="37"/>
      <c r="M270" s="38"/>
      <c r="N270" s="40"/>
      <c r="O270" s="40"/>
      <c r="P270" s="39"/>
      <c r="Q270" s="39"/>
    </row>
    <row r="271" spans="1:17" ht="30">
      <c r="A271" s="30">
        <v>32985347</v>
      </c>
      <c r="B271" s="31" t="s">
        <v>799</v>
      </c>
      <c r="C271" s="32">
        <v>1047</v>
      </c>
      <c r="D271" s="33" t="s">
        <v>61</v>
      </c>
      <c r="E271" s="34" t="s">
        <v>34</v>
      </c>
      <c r="F271" s="34" t="s">
        <v>35</v>
      </c>
      <c r="G271" s="33" t="s">
        <v>168</v>
      </c>
      <c r="H271" s="35"/>
      <c r="I271" s="36"/>
      <c r="J271" s="34"/>
      <c r="K271" s="34" t="s">
        <v>25</v>
      </c>
      <c r="L271" s="37">
        <v>46225</v>
      </c>
      <c r="M271" s="38">
        <v>46225</v>
      </c>
      <c r="N271" s="40"/>
      <c r="O271" s="40"/>
      <c r="P271" s="39">
        <v>3.5</v>
      </c>
      <c r="Q271" s="39">
        <v>3.5</v>
      </c>
    </row>
    <row r="272" spans="1:17" ht="30">
      <c r="A272" s="30">
        <v>32985349</v>
      </c>
      <c r="B272" s="31" t="s">
        <v>800</v>
      </c>
      <c r="C272" s="32">
        <v>1048</v>
      </c>
      <c r="D272" s="33" t="s">
        <v>61</v>
      </c>
      <c r="E272" s="34" t="s">
        <v>22</v>
      </c>
      <c r="F272" s="34" t="s">
        <v>35</v>
      </c>
      <c r="G272" s="33" t="s">
        <v>50</v>
      </c>
      <c r="H272" s="35" t="s">
        <v>51</v>
      </c>
      <c r="I272" s="36"/>
      <c r="J272" s="34"/>
      <c r="K272" s="34" t="s">
        <v>25</v>
      </c>
      <c r="L272" s="37"/>
      <c r="M272" s="38"/>
      <c r="N272" s="40"/>
      <c r="O272" s="40"/>
      <c r="P272" s="39"/>
      <c r="Q272" s="39"/>
    </row>
    <row r="273" spans="1:17" ht="31.5">
      <c r="A273" s="30">
        <v>32985350</v>
      </c>
      <c r="B273" s="31" t="s">
        <v>801</v>
      </c>
      <c r="C273" s="32">
        <v>1049</v>
      </c>
      <c r="D273" s="33" t="s">
        <v>61</v>
      </c>
      <c r="E273" s="34" t="s">
        <v>22</v>
      </c>
      <c r="F273" s="34" t="s">
        <v>62</v>
      </c>
      <c r="G273" s="33" t="s">
        <v>50</v>
      </c>
      <c r="H273" s="35" t="s">
        <v>51</v>
      </c>
      <c r="I273" s="36"/>
      <c r="J273" s="34"/>
      <c r="K273" s="34" t="s">
        <v>25</v>
      </c>
      <c r="L273" s="37"/>
      <c r="M273" s="38"/>
      <c r="N273" s="40"/>
      <c r="O273" s="40"/>
      <c r="P273" s="39"/>
      <c r="Q273" s="39"/>
    </row>
    <row r="274" spans="1:17" ht="15.75" hidden="1">
      <c r="A274" s="30">
        <v>32985351</v>
      </c>
      <c r="B274" s="31" t="s">
        <v>802</v>
      </c>
      <c r="C274" s="32">
        <v>1050</v>
      </c>
      <c r="D274" s="33" t="s">
        <v>61</v>
      </c>
      <c r="E274" s="34" t="s">
        <v>34</v>
      </c>
      <c r="F274" s="34" t="s">
        <v>35</v>
      </c>
      <c r="G274" s="33" t="s">
        <v>168</v>
      </c>
      <c r="H274" s="35"/>
      <c r="I274" s="36"/>
      <c r="J274" s="34"/>
      <c r="K274" s="34" t="s">
        <v>29</v>
      </c>
      <c r="L274" s="37">
        <v>46225</v>
      </c>
      <c r="M274" s="38">
        <v>46225</v>
      </c>
      <c r="N274" s="40"/>
      <c r="O274" s="40"/>
      <c r="P274" s="39">
        <v>3.5</v>
      </c>
      <c r="Q274" s="39">
        <v>3.5</v>
      </c>
    </row>
    <row r="275" spans="1:17" ht="15.75" hidden="1">
      <c r="A275" s="30">
        <v>32985352</v>
      </c>
      <c r="B275" s="31" t="s">
        <v>803</v>
      </c>
      <c r="C275" s="32">
        <v>1051</v>
      </c>
      <c r="D275" s="33" t="s">
        <v>61</v>
      </c>
      <c r="E275" s="34" t="s">
        <v>34</v>
      </c>
      <c r="F275" s="34" t="s">
        <v>35</v>
      </c>
      <c r="G275" s="33" t="s">
        <v>168</v>
      </c>
      <c r="H275" s="35"/>
      <c r="I275" s="36"/>
      <c r="J275" s="34"/>
      <c r="K275" s="34" t="s">
        <v>29</v>
      </c>
      <c r="L275" s="37">
        <v>46225</v>
      </c>
      <c r="M275" s="38">
        <v>46225</v>
      </c>
      <c r="N275" s="40"/>
      <c r="O275" s="40"/>
      <c r="P275" s="39">
        <v>3</v>
      </c>
      <c r="Q275" s="39">
        <v>3</v>
      </c>
    </row>
    <row r="276" spans="1:17" ht="15.75" hidden="1">
      <c r="A276" s="30">
        <v>32985353</v>
      </c>
      <c r="B276" s="31" t="s">
        <v>804</v>
      </c>
      <c r="C276" s="32">
        <v>1052</v>
      </c>
      <c r="D276" s="33" t="s">
        <v>61</v>
      </c>
      <c r="E276" s="34" t="s">
        <v>34</v>
      </c>
      <c r="F276" s="34" t="s">
        <v>35</v>
      </c>
      <c r="G276" s="33" t="s">
        <v>50</v>
      </c>
      <c r="H276" s="35" t="s">
        <v>51</v>
      </c>
      <c r="I276" s="36"/>
      <c r="J276" s="34"/>
      <c r="K276" s="34" t="s">
        <v>29</v>
      </c>
      <c r="L276" s="37">
        <v>46238</v>
      </c>
      <c r="M276" s="38">
        <v>46236</v>
      </c>
      <c r="N276" s="40"/>
      <c r="O276" s="40"/>
      <c r="P276" s="39">
        <v>1</v>
      </c>
      <c r="Q276" s="39">
        <v>1</v>
      </c>
    </row>
    <row r="277" spans="1:17" ht="15.75" hidden="1">
      <c r="A277" s="30">
        <v>32985354</v>
      </c>
      <c r="B277" s="31" t="s">
        <v>805</v>
      </c>
      <c r="C277" s="32">
        <v>1053</v>
      </c>
      <c r="D277" s="33" t="s">
        <v>61</v>
      </c>
      <c r="E277" s="34" t="s">
        <v>22</v>
      </c>
      <c r="F277" s="34" t="s">
        <v>35</v>
      </c>
      <c r="G277" s="33" t="s">
        <v>50</v>
      </c>
      <c r="H277" s="35" t="s">
        <v>51</v>
      </c>
      <c r="I277" s="36"/>
      <c r="J277" s="34"/>
      <c r="K277" s="34" t="s">
        <v>29</v>
      </c>
      <c r="L277" s="37"/>
      <c r="M277" s="38"/>
      <c r="N277" s="40"/>
      <c r="O277" s="40"/>
      <c r="P277" s="39"/>
      <c r="Q277" s="39"/>
    </row>
    <row r="278" spans="1:17" ht="15.75" hidden="1">
      <c r="A278" s="30">
        <v>32985355</v>
      </c>
      <c r="B278" s="31" t="s">
        <v>806</v>
      </c>
      <c r="C278" s="32">
        <v>1054</v>
      </c>
      <c r="D278" s="33" t="s">
        <v>61</v>
      </c>
      <c r="E278" s="34" t="s">
        <v>34</v>
      </c>
      <c r="F278" s="34" t="s">
        <v>35</v>
      </c>
      <c r="G278" s="33" t="s">
        <v>168</v>
      </c>
      <c r="H278" s="35"/>
      <c r="I278" s="36"/>
      <c r="J278" s="34"/>
      <c r="K278" s="34" t="s">
        <v>29</v>
      </c>
      <c r="L278" s="37">
        <v>46225</v>
      </c>
      <c r="M278" s="38">
        <v>46225</v>
      </c>
      <c r="N278" s="40"/>
      <c r="O278" s="40"/>
      <c r="P278" s="39">
        <v>3</v>
      </c>
      <c r="Q278" s="39">
        <v>3</v>
      </c>
    </row>
    <row r="279" spans="1:17" ht="15.75" hidden="1">
      <c r="A279" s="30">
        <v>32985357</v>
      </c>
      <c r="B279" s="31" t="s">
        <v>807</v>
      </c>
      <c r="C279" s="32">
        <v>1055</v>
      </c>
      <c r="D279" s="33" t="s">
        <v>61</v>
      </c>
      <c r="E279" s="34" t="s">
        <v>34</v>
      </c>
      <c r="F279" s="34" t="s">
        <v>35</v>
      </c>
      <c r="G279" s="33" t="s">
        <v>50</v>
      </c>
      <c r="H279" s="35" t="s">
        <v>51</v>
      </c>
      <c r="I279" s="36" t="s">
        <v>36</v>
      </c>
      <c r="J279" s="34"/>
      <c r="K279" s="34" t="s">
        <v>29</v>
      </c>
      <c r="L279" s="37">
        <v>46238</v>
      </c>
      <c r="M279" s="38">
        <v>46236</v>
      </c>
      <c r="N279" s="40"/>
      <c r="O279" s="40"/>
      <c r="P279" s="39">
        <v>1</v>
      </c>
      <c r="Q279" s="39">
        <v>1</v>
      </c>
    </row>
    <row r="280" spans="1:17" ht="63">
      <c r="A280" s="30">
        <v>32985832</v>
      </c>
      <c r="B280" s="31" t="s">
        <v>808</v>
      </c>
      <c r="C280" s="32">
        <v>1061</v>
      </c>
      <c r="D280" s="33" t="s">
        <v>33</v>
      </c>
      <c r="E280" s="34" t="s">
        <v>22</v>
      </c>
      <c r="F280" s="34" t="s">
        <v>62</v>
      </c>
      <c r="G280" s="33" t="s">
        <v>50</v>
      </c>
      <c r="H280" s="35" t="s">
        <v>51</v>
      </c>
      <c r="I280" s="36"/>
      <c r="J280" s="34"/>
      <c r="K280" s="34" t="s">
        <v>24</v>
      </c>
      <c r="L280" s="37">
        <v>46224</v>
      </c>
      <c r="M280" s="38"/>
      <c r="N280" s="40"/>
      <c r="O280" s="40"/>
      <c r="P280" s="39"/>
      <c r="Q280" s="39"/>
    </row>
    <row r="281" spans="1:17" ht="63">
      <c r="A281" s="30">
        <v>32985833</v>
      </c>
      <c r="B281" s="31" t="s">
        <v>809</v>
      </c>
      <c r="C281" s="32">
        <v>1062</v>
      </c>
      <c r="D281" s="33" t="s">
        <v>33</v>
      </c>
      <c r="E281" s="34" t="s">
        <v>22</v>
      </c>
      <c r="F281" s="34" t="s">
        <v>62</v>
      </c>
      <c r="G281" s="33" t="s">
        <v>50</v>
      </c>
      <c r="H281" s="35" t="s">
        <v>51</v>
      </c>
      <c r="I281" s="36"/>
      <c r="J281" s="34"/>
      <c r="K281" s="34" t="s">
        <v>24</v>
      </c>
      <c r="L281" s="37">
        <v>46224</v>
      </c>
      <c r="M281" s="38"/>
      <c r="N281" s="40"/>
      <c r="O281" s="40"/>
      <c r="P281" s="39"/>
      <c r="Q281" s="39"/>
    </row>
    <row r="282" spans="1:17" ht="30" hidden="1">
      <c r="A282" s="30">
        <v>32987066</v>
      </c>
      <c r="B282" s="31" t="s">
        <v>810</v>
      </c>
      <c r="C282" s="32">
        <v>1075</v>
      </c>
      <c r="D282" s="33" t="s">
        <v>186</v>
      </c>
      <c r="E282" s="34" t="s">
        <v>22</v>
      </c>
      <c r="F282" s="34" t="s">
        <v>35</v>
      </c>
      <c r="G282" s="33" t="s">
        <v>187</v>
      </c>
      <c r="H282" s="35" t="s">
        <v>51</v>
      </c>
      <c r="I282" s="36"/>
      <c r="J282" s="34"/>
      <c r="K282" s="34" t="s">
        <v>37</v>
      </c>
      <c r="L282" s="37"/>
      <c r="M282" s="38"/>
      <c r="N282" s="39">
        <v>6</v>
      </c>
      <c r="O282" s="40"/>
      <c r="P282" s="39"/>
      <c r="Q282" s="39"/>
    </row>
    <row r="283" spans="1:17" ht="45">
      <c r="A283" s="30">
        <v>32987097</v>
      </c>
      <c r="B283" s="31" t="s">
        <v>811</v>
      </c>
      <c r="C283" s="32">
        <v>1077</v>
      </c>
      <c r="D283" s="33" t="s">
        <v>33</v>
      </c>
      <c r="E283" s="34" t="s">
        <v>22</v>
      </c>
      <c r="F283" s="34" t="s">
        <v>142</v>
      </c>
      <c r="G283" s="33" t="s">
        <v>50</v>
      </c>
      <c r="H283" s="35" t="s">
        <v>51</v>
      </c>
      <c r="I283" s="36"/>
      <c r="J283" s="34"/>
      <c r="K283" s="34" t="s">
        <v>24</v>
      </c>
      <c r="L283" s="37"/>
      <c r="M283" s="38"/>
      <c r="N283" s="40"/>
      <c r="O283" s="40"/>
      <c r="P283" s="39">
        <v>36.5</v>
      </c>
      <c r="Q283" s="39">
        <v>303.60000000000002</v>
      </c>
    </row>
    <row r="284" spans="1:17" ht="30" hidden="1">
      <c r="A284" s="30">
        <v>94844868</v>
      </c>
      <c r="B284" s="31" t="s">
        <v>812</v>
      </c>
      <c r="C284" s="32">
        <v>1082</v>
      </c>
      <c r="D284" s="33" t="s">
        <v>97</v>
      </c>
      <c r="E284" s="34" t="s">
        <v>22</v>
      </c>
      <c r="F284" s="34" t="s">
        <v>35</v>
      </c>
      <c r="G284" s="33" t="s">
        <v>50</v>
      </c>
      <c r="H284" s="35" t="s">
        <v>51</v>
      </c>
      <c r="I284" s="36"/>
      <c r="J284" s="34"/>
      <c r="K284" s="34" t="s">
        <v>29</v>
      </c>
      <c r="L284" s="37"/>
      <c r="M284" s="38"/>
      <c r="N284" s="40"/>
      <c r="O284" s="40"/>
      <c r="P284" s="39">
        <v>35</v>
      </c>
      <c r="Q284" s="39">
        <v>466.1</v>
      </c>
    </row>
    <row r="285" spans="1:17" ht="15.75" hidden="1">
      <c r="A285" s="30">
        <v>32974165</v>
      </c>
      <c r="B285" s="31" t="s">
        <v>813</v>
      </c>
      <c r="C285" s="32">
        <v>1086</v>
      </c>
      <c r="D285" s="33" t="s">
        <v>97</v>
      </c>
      <c r="E285" s="34" t="s">
        <v>22</v>
      </c>
      <c r="F285" s="34" t="s">
        <v>35</v>
      </c>
      <c r="G285" s="33" t="s">
        <v>50</v>
      </c>
      <c r="H285" s="35"/>
      <c r="I285" s="36"/>
      <c r="J285" s="34"/>
      <c r="K285" s="34" t="s">
        <v>29</v>
      </c>
      <c r="L285" s="37"/>
      <c r="M285" s="38"/>
      <c r="N285" s="39">
        <v>0.2</v>
      </c>
      <c r="O285" s="40"/>
      <c r="P285" s="39"/>
      <c r="Q285" s="39"/>
    </row>
    <row r="286" spans="1:17" ht="15.75" hidden="1">
      <c r="A286" s="30">
        <v>32974180</v>
      </c>
      <c r="B286" s="31" t="s">
        <v>814</v>
      </c>
      <c r="C286" s="32">
        <v>1087</v>
      </c>
      <c r="D286" s="33" t="s">
        <v>97</v>
      </c>
      <c r="E286" s="34" t="s">
        <v>22</v>
      </c>
      <c r="F286" s="34" t="s">
        <v>35</v>
      </c>
      <c r="G286" s="33" t="s">
        <v>50</v>
      </c>
      <c r="H286" s="35" t="s">
        <v>51</v>
      </c>
      <c r="I286" s="36"/>
      <c r="J286" s="34"/>
      <c r="K286" s="34" t="s">
        <v>29</v>
      </c>
      <c r="L286" s="37"/>
      <c r="M286" s="38"/>
      <c r="N286" s="39">
        <v>0.5</v>
      </c>
      <c r="O286" s="40"/>
      <c r="P286" s="39"/>
      <c r="Q286" s="39"/>
    </row>
    <row r="287" spans="1:17" ht="15.75">
      <c r="A287" s="30">
        <v>32987952</v>
      </c>
      <c r="B287" s="31" t="s">
        <v>815</v>
      </c>
      <c r="C287" s="32">
        <v>1093</v>
      </c>
      <c r="D287" s="33" t="s">
        <v>49</v>
      </c>
      <c r="E287" s="34" t="s">
        <v>34</v>
      </c>
      <c r="F287" s="34" t="s">
        <v>35</v>
      </c>
      <c r="G287" s="33" t="s">
        <v>50</v>
      </c>
      <c r="H287" s="35" t="s">
        <v>51</v>
      </c>
      <c r="I287" s="36"/>
      <c r="J287" s="34"/>
      <c r="K287" s="34" t="s">
        <v>25</v>
      </c>
      <c r="L287" s="37">
        <v>46226</v>
      </c>
      <c r="M287" s="38">
        <v>46226</v>
      </c>
      <c r="N287" s="40"/>
      <c r="O287" s="40"/>
      <c r="P287" s="39">
        <v>3.5</v>
      </c>
      <c r="Q287" s="39">
        <v>5.6</v>
      </c>
    </row>
    <row r="288" spans="1:17" ht="15.75">
      <c r="A288" s="30">
        <v>32987966</v>
      </c>
      <c r="B288" s="31" t="s">
        <v>816</v>
      </c>
      <c r="C288" s="32">
        <v>1098</v>
      </c>
      <c r="D288" s="33" t="s">
        <v>49</v>
      </c>
      <c r="E288" s="34" t="s">
        <v>34</v>
      </c>
      <c r="F288" s="34" t="s">
        <v>35</v>
      </c>
      <c r="G288" s="33" t="s">
        <v>50</v>
      </c>
      <c r="H288" s="35"/>
      <c r="I288" s="36"/>
      <c r="J288" s="34"/>
      <c r="K288" s="34" t="s">
        <v>25</v>
      </c>
      <c r="L288" s="37">
        <v>46226</v>
      </c>
      <c r="M288" s="38">
        <v>46226</v>
      </c>
      <c r="N288" s="40"/>
      <c r="O288" s="40"/>
      <c r="P288" s="39">
        <v>4</v>
      </c>
      <c r="Q288" s="39">
        <v>6</v>
      </c>
    </row>
    <row r="289" spans="1:17" ht="30" hidden="1">
      <c r="A289" s="30">
        <v>32988329</v>
      </c>
      <c r="B289" s="31" t="s">
        <v>817</v>
      </c>
      <c r="C289" s="32">
        <v>1107</v>
      </c>
      <c r="D289" s="33" t="s">
        <v>33</v>
      </c>
      <c r="E289" s="34" t="s">
        <v>22</v>
      </c>
      <c r="F289" s="34" t="s">
        <v>35</v>
      </c>
      <c r="G289" s="33" t="s">
        <v>168</v>
      </c>
      <c r="H289" s="35"/>
      <c r="I289" s="36"/>
      <c r="J289" s="34"/>
      <c r="K289" s="34" t="s">
        <v>29</v>
      </c>
      <c r="L289" s="37"/>
      <c r="M289" s="38"/>
      <c r="N289" s="39">
        <v>2</v>
      </c>
      <c r="O289" s="40"/>
      <c r="P289" s="39"/>
      <c r="Q289" s="39"/>
    </row>
    <row r="290" spans="1:17" ht="30" hidden="1">
      <c r="A290" s="30">
        <v>32988444</v>
      </c>
      <c r="B290" s="31" t="s">
        <v>818</v>
      </c>
      <c r="C290" s="32">
        <v>1108</v>
      </c>
      <c r="D290" s="33" t="s">
        <v>33</v>
      </c>
      <c r="E290" s="34" t="s">
        <v>22</v>
      </c>
      <c r="F290" s="34" t="s">
        <v>35</v>
      </c>
      <c r="G290" s="33" t="s">
        <v>50</v>
      </c>
      <c r="H290" s="35"/>
      <c r="I290" s="36"/>
      <c r="J290" s="34"/>
      <c r="K290" s="34" t="s">
        <v>29</v>
      </c>
      <c r="L290" s="37"/>
      <c r="M290" s="38"/>
      <c r="N290" s="39">
        <v>4</v>
      </c>
      <c r="O290" s="40"/>
      <c r="P290" s="39"/>
      <c r="Q290" s="39"/>
    </row>
    <row r="291" spans="1:17" ht="15.75" hidden="1">
      <c r="A291" s="30">
        <v>32988470</v>
      </c>
      <c r="B291" s="31" t="s">
        <v>819</v>
      </c>
      <c r="C291" s="32">
        <v>1109</v>
      </c>
      <c r="D291" s="33" t="s">
        <v>97</v>
      </c>
      <c r="E291" s="34" t="s">
        <v>34</v>
      </c>
      <c r="F291" s="34" t="s">
        <v>35</v>
      </c>
      <c r="G291" s="33" t="s">
        <v>50</v>
      </c>
      <c r="H291" s="35"/>
      <c r="I291" s="36"/>
      <c r="J291" s="34"/>
      <c r="K291" s="34" t="s">
        <v>29</v>
      </c>
      <c r="L291" s="37">
        <v>46232</v>
      </c>
      <c r="M291" s="38">
        <v>46232</v>
      </c>
      <c r="N291" s="39">
        <v>1.5</v>
      </c>
      <c r="O291" s="40"/>
      <c r="P291" s="39">
        <v>11</v>
      </c>
      <c r="Q291" s="39">
        <v>3</v>
      </c>
    </row>
    <row r="292" spans="1:17" ht="15.75" hidden="1">
      <c r="A292" s="30">
        <v>32988479</v>
      </c>
      <c r="B292" s="31" t="s">
        <v>820</v>
      </c>
      <c r="C292" s="32">
        <v>1110</v>
      </c>
      <c r="D292" s="33" t="s">
        <v>33</v>
      </c>
      <c r="E292" s="34" t="s">
        <v>22</v>
      </c>
      <c r="F292" s="34" t="s">
        <v>35</v>
      </c>
      <c r="G292" s="33" t="s">
        <v>50</v>
      </c>
      <c r="H292" s="35" t="s">
        <v>51</v>
      </c>
      <c r="I292" s="36"/>
      <c r="J292" s="34"/>
      <c r="K292" s="34" t="s">
        <v>29</v>
      </c>
      <c r="L292" s="37"/>
      <c r="M292" s="38"/>
      <c r="N292" s="39">
        <v>1.5</v>
      </c>
      <c r="O292" s="40"/>
      <c r="P292" s="39"/>
      <c r="Q292" s="39"/>
    </row>
    <row r="293" spans="1:17" ht="15.75">
      <c r="A293" s="30">
        <v>32988506</v>
      </c>
      <c r="B293" s="31" t="s">
        <v>821</v>
      </c>
      <c r="C293" s="32">
        <v>1111</v>
      </c>
      <c r="D293" s="33" t="s">
        <v>68</v>
      </c>
      <c r="E293" s="34" t="s">
        <v>34</v>
      </c>
      <c r="F293" s="34" t="s">
        <v>35</v>
      </c>
      <c r="G293" s="33" t="s">
        <v>50</v>
      </c>
      <c r="H293" s="35" t="s">
        <v>51</v>
      </c>
      <c r="I293" s="36"/>
      <c r="J293" s="34"/>
      <c r="K293" s="34" t="s">
        <v>25</v>
      </c>
      <c r="L293" s="158" t="s">
        <v>783</v>
      </c>
      <c r="M293" s="38"/>
      <c r="N293" s="40"/>
      <c r="O293" s="40"/>
      <c r="P293" s="39"/>
      <c r="Q293" s="39"/>
    </row>
    <row r="294" spans="1:17" ht="15.75" hidden="1">
      <c r="A294" s="30">
        <v>32988660</v>
      </c>
      <c r="B294" s="31" t="s">
        <v>822</v>
      </c>
      <c r="C294" s="32">
        <v>1112</v>
      </c>
      <c r="D294" s="33" t="s">
        <v>33</v>
      </c>
      <c r="E294" s="34" t="s">
        <v>22</v>
      </c>
      <c r="F294" s="34" t="s">
        <v>35</v>
      </c>
      <c r="G294" s="33" t="s">
        <v>168</v>
      </c>
      <c r="H294" s="35"/>
      <c r="I294" s="36" t="s">
        <v>823</v>
      </c>
      <c r="J294" s="34"/>
      <c r="K294" s="34" t="s">
        <v>29</v>
      </c>
      <c r="L294" s="37"/>
      <c r="M294" s="38"/>
      <c r="N294" s="39">
        <v>4</v>
      </c>
      <c r="O294" s="40"/>
      <c r="P294" s="39"/>
      <c r="Q294" s="39"/>
    </row>
    <row r="295" spans="1:17" ht="15.75" hidden="1">
      <c r="A295" s="30">
        <v>32988687</v>
      </c>
      <c r="B295" s="31" t="s">
        <v>824</v>
      </c>
      <c r="C295" s="32">
        <v>1113</v>
      </c>
      <c r="D295" s="33" t="s">
        <v>33</v>
      </c>
      <c r="E295" s="34" t="s">
        <v>22</v>
      </c>
      <c r="F295" s="34" t="s">
        <v>35</v>
      </c>
      <c r="G295" s="33" t="s">
        <v>50</v>
      </c>
      <c r="H295" s="35" t="s">
        <v>51</v>
      </c>
      <c r="I295" s="36"/>
      <c r="J295" s="34"/>
      <c r="K295" s="34" t="s">
        <v>29</v>
      </c>
      <c r="L295" s="37"/>
      <c r="M295" s="38"/>
      <c r="N295" s="39">
        <v>2</v>
      </c>
      <c r="O295" s="40"/>
      <c r="P295" s="39"/>
      <c r="Q295" s="39"/>
    </row>
    <row r="296" spans="1:17" ht="30">
      <c r="A296" s="30">
        <v>32988706</v>
      </c>
      <c r="B296" s="31" t="s">
        <v>825</v>
      </c>
      <c r="C296" s="32">
        <v>1114</v>
      </c>
      <c r="D296" s="33" t="s">
        <v>33</v>
      </c>
      <c r="E296" s="34" t="s">
        <v>22</v>
      </c>
      <c r="F296" s="34" t="s">
        <v>35</v>
      </c>
      <c r="G296" s="33" t="s">
        <v>50</v>
      </c>
      <c r="H296" s="35" t="s">
        <v>51</v>
      </c>
      <c r="I296" s="36"/>
      <c r="J296" s="34"/>
      <c r="K296" s="34" t="s">
        <v>25</v>
      </c>
      <c r="L296" s="37"/>
      <c r="M296" s="38"/>
      <c r="N296" s="39">
        <v>1</v>
      </c>
      <c r="O296" s="40"/>
      <c r="P296" s="39"/>
      <c r="Q296" s="39"/>
    </row>
    <row r="297" spans="1:17" ht="15.75">
      <c r="A297" s="30">
        <v>32988779</v>
      </c>
      <c r="B297" s="31" t="s">
        <v>826</v>
      </c>
      <c r="C297" s="32">
        <v>1115</v>
      </c>
      <c r="D297" s="33" t="s">
        <v>33</v>
      </c>
      <c r="E297" s="34" t="s">
        <v>827</v>
      </c>
      <c r="F297" s="34" t="s">
        <v>35</v>
      </c>
      <c r="G297" s="33" t="s">
        <v>50</v>
      </c>
      <c r="H297" s="35" t="s">
        <v>51</v>
      </c>
      <c r="I297" s="36"/>
      <c r="J297" s="34"/>
      <c r="K297" s="34" t="s">
        <v>25</v>
      </c>
      <c r="L297" s="37"/>
      <c r="M297" s="38"/>
      <c r="N297" s="39">
        <v>1.5</v>
      </c>
      <c r="O297" s="40"/>
      <c r="P297" s="39"/>
      <c r="Q297" s="39"/>
    </row>
    <row r="298" spans="1:17" ht="15.75">
      <c r="A298" s="30">
        <v>32988786</v>
      </c>
      <c r="B298" s="31" t="s">
        <v>828</v>
      </c>
      <c r="C298" s="32">
        <v>1116</v>
      </c>
      <c r="D298" s="33" t="s">
        <v>33</v>
      </c>
      <c r="E298" s="34" t="s">
        <v>22</v>
      </c>
      <c r="F298" s="34" t="s">
        <v>35</v>
      </c>
      <c r="G298" s="33" t="s">
        <v>168</v>
      </c>
      <c r="H298" s="35"/>
      <c r="I298" s="36" t="s">
        <v>823</v>
      </c>
      <c r="J298" s="34"/>
      <c r="K298" s="34" t="s">
        <v>25</v>
      </c>
      <c r="L298" s="37"/>
      <c r="M298" s="38"/>
      <c r="N298" s="39">
        <v>1</v>
      </c>
      <c r="O298" s="40"/>
      <c r="P298" s="39"/>
      <c r="Q298" s="39"/>
    </row>
    <row r="299" spans="1:17" ht="30" hidden="1">
      <c r="A299" s="30">
        <v>32988794</v>
      </c>
      <c r="B299" s="31" t="s">
        <v>829</v>
      </c>
      <c r="C299" s="32">
        <v>1117</v>
      </c>
      <c r="D299" s="33" t="s">
        <v>33</v>
      </c>
      <c r="E299" s="34" t="s">
        <v>34</v>
      </c>
      <c r="F299" s="34" t="s">
        <v>35</v>
      </c>
      <c r="G299" s="33" t="s">
        <v>50</v>
      </c>
      <c r="H299" s="35" t="s">
        <v>51</v>
      </c>
      <c r="I299" s="36"/>
      <c r="J299" s="34"/>
      <c r="K299" s="34" t="s">
        <v>29</v>
      </c>
      <c r="L299" s="37">
        <v>46229</v>
      </c>
      <c r="M299" s="38">
        <v>46229</v>
      </c>
      <c r="N299" s="39">
        <v>2</v>
      </c>
      <c r="O299" s="40"/>
      <c r="P299" s="39">
        <v>2</v>
      </c>
      <c r="Q299" s="39">
        <v>2</v>
      </c>
    </row>
    <row r="300" spans="1:17" ht="31.5">
      <c r="A300" s="30">
        <v>32988850</v>
      </c>
      <c r="B300" s="31" t="s">
        <v>830</v>
      </c>
      <c r="C300" s="32">
        <v>1121</v>
      </c>
      <c r="D300" s="33" t="s">
        <v>68</v>
      </c>
      <c r="E300" s="34" t="s">
        <v>22</v>
      </c>
      <c r="F300" s="34" t="s">
        <v>62</v>
      </c>
      <c r="G300" s="33" t="s">
        <v>50</v>
      </c>
      <c r="H300" s="35" t="s">
        <v>51</v>
      </c>
      <c r="I300" s="36"/>
      <c r="J300" s="34"/>
      <c r="K300" s="34" t="s">
        <v>25</v>
      </c>
      <c r="L300" s="37"/>
      <c r="M300" s="38"/>
      <c r="N300" s="40"/>
      <c r="O300" s="40"/>
      <c r="P300" s="39"/>
      <c r="Q300" s="39"/>
    </row>
    <row r="301" spans="1:17" ht="30">
      <c r="A301" s="30">
        <v>32989457</v>
      </c>
      <c r="B301" s="31" t="s">
        <v>831</v>
      </c>
      <c r="C301" s="32">
        <v>1126</v>
      </c>
      <c r="D301" s="33" t="s">
        <v>49</v>
      </c>
      <c r="E301" s="34" t="s">
        <v>22</v>
      </c>
      <c r="F301" s="34" t="s">
        <v>142</v>
      </c>
      <c r="G301" s="33" t="s">
        <v>50</v>
      </c>
      <c r="H301" s="35"/>
      <c r="I301" s="36"/>
      <c r="J301" s="34"/>
      <c r="K301" s="34" t="s">
        <v>25</v>
      </c>
      <c r="L301" s="37"/>
      <c r="M301" s="38"/>
      <c r="N301" s="40"/>
      <c r="O301" s="40"/>
      <c r="P301" s="39">
        <v>2.5</v>
      </c>
      <c r="Q301" s="39">
        <v>286.89999999999998</v>
      </c>
    </row>
    <row r="302" spans="1:17" ht="30" hidden="1">
      <c r="A302" s="30">
        <v>32989455</v>
      </c>
      <c r="B302" s="31" t="s">
        <v>832</v>
      </c>
      <c r="C302" s="32">
        <v>1127</v>
      </c>
      <c r="D302" s="33" t="s">
        <v>68</v>
      </c>
      <c r="E302" s="34" t="s">
        <v>22</v>
      </c>
      <c r="F302" s="34" t="s">
        <v>35</v>
      </c>
      <c r="G302" s="33" t="s">
        <v>50</v>
      </c>
      <c r="H302" s="35" t="s">
        <v>51</v>
      </c>
      <c r="I302" s="36"/>
      <c r="J302" s="34"/>
      <c r="K302" s="34" t="s">
        <v>29</v>
      </c>
      <c r="L302" s="37"/>
      <c r="M302" s="38"/>
      <c r="N302" s="40"/>
      <c r="O302" s="40"/>
      <c r="P302" s="39"/>
      <c r="Q302" s="39"/>
    </row>
    <row r="303" spans="1:17" ht="30">
      <c r="A303" s="30">
        <v>32989472</v>
      </c>
      <c r="B303" s="31" t="s">
        <v>833</v>
      </c>
      <c r="C303" s="32">
        <v>1128</v>
      </c>
      <c r="D303" s="33" t="s">
        <v>33</v>
      </c>
      <c r="E303" s="34" t="s">
        <v>22</v>
      </c>
      <c r="F303" s="34" t="s">
        <v>35</v>
      </c>
      <c r="G303" s="33" t="s">
        <v>50</v>
      </c>
      <c r="H303" s="35"/>
      <c r="I303" s="36"/>
      <c r="J303" s="34"/>
      <c r="K303" s="34" t="s">
        <v>25</v>
      </c>
      <c r="L303" s="37"/>
      <c r="M303" s="38"/>
      <c r="N303" s="40"/>
      <c r="O303" s="40"/>
      <c r="P303" s="39"/>
      <c r="Q303" s="39"/>
    </row>
    <row r="304" spans="1:17" ht="30" hidden="1">
      <c r="A304" s="30">
        <v>32989475</v>
      </c>
      <c r="B304" s="31" t="s">
        <v>834</v>
      </c>
      <c r="C304" s="32">
        <v>1129</v>
      </c>
      <c r="D304" s="33" t="s">
        <v>186</v>
      </c>
      <c r="E304" s="34" t="s">
        <v>22</v>
      </c>
      <c r="F304" s="34" t="s">
        <v>142</v>
      </c>
      <c r="G304" s="33" t="s">
        <v>50</v>
      </c>
      <c r="H304" s="35"/>
      <c r="I304" s="36"/>
      <c r="J304" s="34"/>
      <c r="K304" s="34" t="s">
        <v>29</v>
      </c>
      <c r="L304" s="37"/>
      <c r="M304" s="38"/>
      <c r="N304" s="39">
        <v>8</v>
      </c>
      <c r="O304" s="40"/>
      <c r="P304" s="39">
        <v>4</v>
      </c>
      <c r="Q304" s="39">
        <v>307.8</v>
      </c>
    </row>
    <row r="305" spans="1:17" ht="30">
      <c r="A305" s="30">
        <v>32989476</v>
      </c>
      <c r="B305" s="31" t="s">
        <v>835</v>
      </c>
      <c r="C305" s="32">
        <v>1130</v>
      </c>
      <c r="D305" s="33" t="s">
        <v>33</v>
      </c>
      <c r="E305" s="34" t="s">
        <v>22</v>
      </c>
      <c r="F305" s="34" t="s">
        <v>35</v>
      </c>
      <c r="G305" s="33" t="s">
        <v>50</v>
      </c>
      <c r="H305" s="35"/>
      <c r="I305" s="36"/>
      <c r="J305" s="34"/>
      <c r="K305" s="34" t="s">
        <v>25</v>
      </c>
      <c r="L305" s="37"/>
      <c r="M305" s="38"/>
      <c r="N305" s="40"/>
      <c r="O305" s="40"/>
      <c r="P305" s="39"/>
      <c r="Q305" s="39"/>
    </row>
    <row r="306" spans="1:17" ht="30">
      <c r="A306" s="30">
        <v>32989482</v>
      </c>
      <c r="B306" s="31" t="s">
        <v>836</v>
      </c>
      <c r="C306" s="32">
        <v>1131</v>
      </c>
      <c r="D306" s="33" t="s">
        <v>68</v>
      </c>
      <c r="E306" s="34" t="s">
        <v>22</v>
      </c>
      <c r="F306" s="34" t="s">
        <v>35</v>
      </c>
      <c r="G306" s="33" t="s">
        <v>50</v>
      </c>
      <c r="H306" s="35"/>
      <c r="I306" s="36"/>
      <c r="J306" s="34"/>
      <c r="K306" s="34" t="s">
        <v>25</v>
      </c>
      <c r="L306" s="37"/>
      <c r="M306" s="38"/>
      <c r="N306" s="40"/>
      <c r="O306" s="40"/>
      <c r="P306" s="39"/>
      <c r="Q306" s="39"/>
    </row>
    <row r="307" spans="1:17" ht="30">
      <c r="A307" s="30">
        <v>32989491</v>
      </c>
      <c r="B307" s="31" t="s">
        <v>837</v>
      </c>
      <c r="C307" s="32">
        <v>1132</v>
      </c>
      <c r="D307" s="33" t="s">
        <v>68</v>
      </c>
      <c r="E307" s="34" t="s">
        <v>22</v>
      </c>
      <c r="F307" s="34" t="s">
        <v>35</v>
      </c>
      <c r="G307" s="33" t="s">
        <v>50</v>
      </c>
      <c r="H307" s="35"/>
      <c r="I307" s="36"/>
      <c r="J307" s="34"/>
      <c r="K307" s="34" t="s">
        <v>25</v>
      </c>
      <c r="L307" s="37"/>
      <c r="M307" s="38"/>
      <c r="N307" s="40"/>
      <c r="O307" s="40"/>
      <c r="P307" s="39"/>
      <c r="Q307" s="39"/>
    </row>
    <row r="308" spans="1:17" ht="30">
      <c r="A308" s="30">
        <v>32989492</v>
      </c>
      <c r="B308" s="31" t="s">
        <v>838</v>
      </c>
      <c r="C308" s="32">
        <v>1133</v>
      </c>
      <c r="D308" s="33" t="s">
        <v>68</v>
      </c>
      <c r="E308" s="34" t="s">
        <v>22</v>
      </c>
      <c r="F308" s="34" t="s">
        <v>35</v>
      </c>
      <c r="G308" s="33" t="s">
        <v>50</v>
      </c>
      <c r="H308" s="35"/>
      <c r="I308" s="36"/>
      <c r="J308" s="34"/>
      <c r="K308" s="34" t="s">
        <v>25</v>
      </c>
      <c r="L308" s="37"/>
      <c r="M308" s="38"/>
      <c r="N308" s="40"/>
      <c r="O308" s="40"/>
      <c r="P308" s="39"/>
      <c r="Q308" s="39"/>
    </row>
    <row r="309" spans="1:17" ht="30">
      <c r="A309" s="30">
        <v>32989497</v>
      </c>
      <c r="B309" s="31" t="s">
        <v>839</v>
      </c>
      <c r="C309" s="32">
        <v>1134</v>
      </c>
      <c r="D309" s="33" t="s">
        <v>68</v>
      </c>
      <c r="E309" s="34" t="s">
        <v>34</v>
      </c>
      <c r="F309" s="34" t="s">
        <v>35</v>
      </c>
      <c r="G309" s="33" t="s">
        <v>50</v>
      </c>
      <c r="H309" s="35" t="s">
        <v>51</v>
      </c>
      <c r="I309" s="36"/>
      <c r="J309" s="34"/>
      <c r="K309" s="34" t="s">
        <v>25</v>
      </c>
      <c r="L309" s="37"/>
      <c r="M309" s="38"/>
      <c r="N309" s="40"/>
      <c r="O309" s="40"/>
      <c r="P309" s="39"/>
      <c r="Q309" s="39"/>
    </row>
    <row r="310" spans="1:17" ht="30" hidden="1">
      <c r="A310" s="30">
        <v>32989575</v>
      </c>
      <c r="B310" s="31" t="s">
        <v>840</v>
      </c>
      <c r="C310" s="32">
        <v>1138</v>
      </c>
      <c r="D310" s="33" t="s">
        <v>97</v>
      </c>
      <c r="E310" s="34" t="s">
        <v>34</v>
      </c>
      <c r="F310" s="34" t="s">
        <v>35</v>
      </c>
      <c r="G310" s="33" t="s">
        <v>168</v>
      </c>
      <c r="H310" s="35"/>
      <c r="I310" s="36"/>
      <c r="J310" s="34"/>
      <c r="K310" s="34" t="s">
        <v>29</v>
      </c>
      <c r="L310" s="37">
        <v>46231</v>
      </c>
      <c r="M310" s="38">
        <v>46231</v>
      </c>
      <c r="N310" s="39">
        <v>4</v>
      </c>
      <c r="O310" s="40"/>
      <c r="P310" s="39">
        <v>4</v>
      </c>
      <c r="Q310" s="39">
        <v>2</v>
      </c>
    </row>
    <row r="311" spans="1:17" ht="15.75" hidden="1">
      <c r="A311" s="30">
        <v>32989728</v>
      </c>
      <c r="B311" s="31" t="s">
        <v>841</v>
      </c>
      <c r="C311" s="32">
        <v>1141</v>
      </c>
      <c r="D311" s="33" t="s">
        <v>73</v>
      </c>
      <c r="E311" s="34" t="s">
        <v>22</v>
      </c>
      <c r="F311" s="34" t="s">
        <v>35</v>
      </c>
      <c r="G311" s="33" t="s">
        <v>50</v>
      </c>
      <c r="H311" s="35" t="s">
        <v>51</v>
      </c>
      <c r="I311" s="36"/>
      <c r="J311" s="34"/>
      <c r="K311" s="34" t="s">
        <v>29</v>
      </c>
      <c r="L311" s="37"/>
      <c r="M311" s="38"/>
      <c r="N311" s="40"/>
      <c r="O311" s="40"/>
      <c r="P311" s="39"/>
      <c r="Q311" s="39"/>
    </row>
    <row r="312" spans="1:17" ht="30" hidden="1">
      <c r="A312" s="30">
        <v>32989743</v>
      </c>
      <c r="B312" s="31" t="s">
        <v>842</v>
      </c>
      <c r="C312" s="32">
        <v>1142</v>
      </c>
      <c r="D312" s="33" t="s">
        <v>73</v>
      </c>
      <c r="E312" s="34" t="s">
        <v>22</v>
      </c>
      <c r="F312" s="34" t="s">
        <v>35</v>
      </c>
      <c r="G312" s="33" t="s">
        <v>50</v>
      </c>
      <c r="H312" s="35" t="s">
        <v>51</v>
      </c>
      <c r="I312" s="36"/>
      <c r="J312" s="34"/>
      <c r="K312" s="34" t="s">
        <v>29</v>
      </c>
      <c r="L312" s="37"/>
      <c r="M312" s="38"/>
      <c r="N312" s="40"/>
      <c r="O312" s="40"/>
      <c r="P312" s="39"/>
      <c r="Q312" s="39"/>
    </row>
    <row r="313" spans="1:17" ht="30">
      <c r="A313" s="30">
        <v>32989796</v>
      </c>
      <c r="B313" s="31" t="s">
        <v>843</v>
      </c>
      <c r="C313" s="32">
        <v>1143</v>
      </c>
      <c r="D313" s="33" t="s">
        <v>73</v>
      </c>
      <c r="E313" s="34" t="s">
        <v>22</v>
      </c>
      <c r="F313" s="34" t="s">
        <v>35</v>
      </c>
      <c r="G313" s="33" t="s">
        <v>50</v>
      </c>
      <c r="H313" s="35"/>
      <c r="I313" s="36"/>
      <c r="J313" s="34"/>
      <c r="K313" s="34" t="s">
        <v>24</v>
      </c>
      <c r="L313" s="37"/>
      <c r="M313" s="38"/>
      <c r="N313" s="40"/>
      <c r="O313" s="40"/>
      <c r="P313" s="39"/>
      <c r="Q313" s="39"/>
    </row>
    <row r="314" spans="1:17" ht="30">
      <c r="A314" s="30">
        <v>32989797</v>
      </c>
      <c r="B314" s="31" t="s">
        <v>844</v>
      </c>
      <c r="C314" s="32">
        <v>1144</v>
      </c>
      <c r="D314" s="33" t="s">
        <v>33</v>
      </c>
      <c r="E314" s="34" t="s">
        <v>22</v>
      </c>
      <c r="F314" s="34" t="s">
        <v>35</v>
      </c>
      <c r="G314" s="33" t="s">
        <v>757</v>
      </c>
      <c r="H314" s="35"/>
      <c r="I314" s="36"/>
      <c r="J314" s="34"/>
      <c r="K314" s="34" t="s">
        <v>25</v>
      </c>
      <c r="L314" s="37"/>
      <c r="M314" s="38"/>
      <c r="N314" s="40"/>
      <c r="O314" s="40"/>
      <c r="P314" s="39">
        <v>4.3</v>
      </c>
      <c r="Q314" s="39">
        <v>199.4</v>
      </c>
    </row>
    <row r="315" spans="1:17" ht="15.75" hidden="1">
      <c r="A315" s="30">
        <v>32989800</v>
      </c>
      <c r="B315" s="31" t="s">
        <v>845</v>
      </c>
      <c r="C315" s="32">
        <v>1145</v>
      </c>
      <c r="D315" s="33" t="s">
        <v>73</v>
      </c>
      <c r="E315" s="34" t="s">
        <v>22</v>
      </c>
      <c r="F315" s="34" t="s">
        <v>35</v>
      </c>
      <c r="G315" s="33" t="s">
        <v>50</v>
      </c>
      <c r="H315" s="35" t="s">
        <v>51</v>
      </c>
      <c r="I315" s="36"/>
      <c r="J315" s="34"/>
      <c r="K315" s="34" t="s">
        <v>29</v>
      </c>
      <c r="L315" s="37"/>
      <c r="M315" s="38"/>
      <c r="N315" s="40"/>
      <c r="O315" s="40"/>
      <c r="P315" s="39"/>
      <c r="Q315" s="39"/>
    </row>
    <row r="316" spans="1:17" ht="30">
      <c r="A316" s="30">
        <v>32989825</v>
      </c>
      <c r="B316" s="31" t="s">
        <v>846</v>
      </c>
      <c r="C316" s="32">
        <v>1146</v>
      </c>
      <c r="D316" s="33" t="s">
        <v>33</v>
      </c>
      <c r="E316" s="34" t="s">
        <v>22</v>
      </c>
      <c r="F316" s="34" t="s">
        <v>35</v>
      </c>
      <c r="G316" s="33" t="s">
        <v>50</v>
      </c>
      <c r="H316" s="35"/>
      <c r="I316" s="36"/>
      <c r="J316" s="34"/>
      <c r="K316" s="34" t="s">
        <v>25</v>
      </c>
      <c r="L316" s="37"/>
      <c r="M316" s="38"/>
      <c r="N316" s="40"/>
      <c r="O316" s="40"/>
      <c r="P316" s="39"/>
      <c r="Q316" s="39"/>
    </row>
    <row r="317" spans="1:17" ht="30">
      <c r="A317" s="30">
        <v>32989853</v>
      </c>
      <c r="B317" s="31" t="s">
        <v>847</v>
      </c>
      <c r="C317" s="32">
        <v>1147</v>
      </c>
      <c r="D317" s="33" t="s">
        <v>68</v>
      </c>
      <c r="E317" s="34" t="s">
        <v>22</v>
      </c>
      <c r="F317" s="34" t="s">
        <v>35</v>
      </c>
      <c r="G317" s="33" t="s">
        <v>50</v>
      </c>
      <c r="H317" s="35"/>
      <c r="I317" s="36"/>
      <c r="J317" s="34"/>
      <c r="K317" s="34" t="s">
        <v>25</v>
      </c>
      <c r="L317" s="37"/>
      <c r="M317" s="38"/>
      <c r="N317" s="39">
        <v>1</v>
      </c>
      <c r="O317" s="40"/>
      <c r="P317" s="39">
        <v>2</v>
      </c>
      <c r="Q317" s="39">
        <v>287.89999999999998</v>
      </c>
    </row>
    <row r="318" spans="1:17" ht="15.75">
      <c r="A318" s="30">
        <v>32989854</v>
      </c>
      <c r="B318" s="31" t="s">
        <v>848</v>
      </c>
      <c r="C318" s="32">
        <v>1148</v>
      </c>
      <c r="D318" s="33" t="s">
        <v>68</v>
      </c>
      <c r="E318" s="34" t="s">
        <v>34</v>
      </c>
      <c r="F318" s="34" t="s">
        <v>35</v>
      </c>
      <c r="G318" s="33" t="s">
        <v>50</v>
      </c>
      <c r="H318" s="35"/>
      <c r="I318" s="36"/>
      <c r="J318" s="34"/>
      <c r="K318" s="34" t="s">
        <v>25</v>
      </c>
      <c r="L318" s="37"/>
      <c r="M318" s="38"/>
      <c r="N318" s="40"/>
      <c r="O318" s="40"/>
      <c r="P318" s="39"/>
      <c r="Q318" s="39"/>
    </row>
    <row r="319" spans="1:17" ht="30">
      <c r="A319" s="30">
        <v>32989860</v>
      </c>
      <c r="B319" s="31" t="s">
        <v>849</v>
      </c>
      <c r="C319" s="32">
        <v>1149</v>
      </c>
      <c r="D319" s="33" t="s">
        <v>73</v>
      </c>
      <c r="E319" s="34" t="s">
        <v>22</v>
      </c>
      <c r="F319" s="34" t="s">
        <v>35</v>
      </c>
      <c r="G319" s="33" t="s">
        <v>50</v>
      </c>
      <c r="H319" s="35"/>
      <c r="I319" s="36"/>
      <c r="J319" s="34"/>
      <c r="K319" s="34" t="s">
        <v>25</v>
      </c>
      <c r="L319" s="37"/>
      <c r="M319" s="38"/>
      <c r="N319" s="40"/>
      <c r="O319" s="40"/>
      <c r="P319" s="39"/>
      <c r="Q319" s="39"/>
    </row>
    <row r="320" spans="1:17" ht="15.75" hidden="1">
      <c r="A320" s="30">
        <v>32989874</v>
      </c>
      <c r="B320" s="31" t="s">
        <v>850</v>
      </c>
      <c r="C320" s="32">
        <v>1150</v>
      </c>
      <c r="D320" s="33" t="s">
        <v>73</v>
      </c>
      <c r="E320" s="34" t="s">
        <v>22</v>
      </c>
      <c r="F320" s="34" t="s">
        <v>35</v>
      </c>
      <c r="G320" s="33" t="s">
        <v>50</v>
      </c>
      <c r="H320" s="35" t="s">
        <v>51</v>
      </c>
      <c r="I320" s="36"/>
      <c r="J320" s="34"/>
      <c r="K320" s="34" t="s">
        <v>29</v>
      </c>
      <c r="L320" s="37"/>
      <c r="M320" s="38"/>
      <c r="N320" s="40"/>
      <c r="O320" s="40"/>
      <c r="P320" s="39"/>
      <c r="Q320" s="39"/>
    </row>
    <row r="321" spans="1:17" ht="30" hidden="1">
      <c r="A321" s="30">
        <v>32989888</v>
      </c>
      <c r="B321" s="31" t="s">
        <v>851</v>
      </c>
      <c r="C321" s="32">
        <v>1151</v>
      </c>
      <c r="D321" s="33" t="s">
        <v>97</v>
      </c>
      <c r="E321" s="34" t="s">
        <v>34</v>
      </c>
      <c r="F321" s="34" t="s">
        <v>35</v>
      </c>
      <c r="G321" s="33" t="s">
        <v>168</v>
      </c>
      <c r="H321" s="35"/>
      <c r="I321" s="36"/>
      <c r="J321" s="34"/>
      <c r="K321" s="34" t="s">
        <v>29</v>
      </c>
      <c r="L321" s="37">
        <v>46231</v>
      </c>
      <c r="M321" s="38">
        <v>46231</v>
      </c>
      <c r="N321" s="39">
        <v>4</v>
      </c>
      <c r="O321" s="40"/>
      <c r="P321" s="39">
        <v>4</v>
      </c>
      <c r="Q321" s="39">
        <v>2</v>
      </c>
    </row>
    <row r="322" spans="1:17" ht="30" hidden="1">
      <c r="A322" s="30">
        <v>32989938</v>
      </c>
      <c r="B322" s="31" t="s">
        <v>852</v>
      </c>
      <c r="C322" s="32">
        <v>1152</v>
      </c>
      <c r="D322" s="33" t="s">
        <v>73</v>
      </c>
      <c r="E322" s="34" t="s">
        <v>34</v>
      </c>
      <c r="F322" s="34" t="s">
        <v>35</v>
      </c>
      <c r="G322" s="33" t="s">
        <v>168</v>
      </c>
      <c r="H322" s="35"/>
      <c r="I322" s="36"/>
      <c r="J322" s="34"/>
      <c r="K322" s="34" t="s">
        <v>29</v>
      </c>
      <c r="L322" s="37">
        <v>46226</v>
      </c>
      <c r="M322" s="38">
        <v>46226</v>
      </c>
      <c r="N322" s="40"/>
      <c r="O322" s="40"/>
      <c r="P322" s="39">
        <v>2</v>
      </c>
      <c r="Q322" s="39">
        <v>2</v>
      </c>
    </row>
    <row r="323" spans="1:17" ht="15.75" hidden="1">
      <c r="A323" s="30">
        <v>32989943</v>
      </c>
      <c r="B323" s="31" t="s">
        <v>853</v>
      </c>
      <c r="C323" s="32">
        <v>1154</v>
      </c>
      <c r="D323" s="33" t="s">
        <v>73</v>
      </c>
      <c r="E323" s="34" t="s">
        <v>22</v>
      </c>
      <c r="F323" s="34" t="s">
        <v>35</v>
      </c>
      <c r="G323" s="33" t="s">
        <v>50</v>
      </c>
      <c r="H323" s="35" t="s">
        <v>51</v>
      </c>
      <c r="I323" s="36"/>
      <c r="J323" s="34"/>
      <c r="K323" s="34" t="s">
        <v>29</v>
      </c>
      <c r="L323" s="37"/>
      <c r="M323" s="38"/>
      <c r="N323" s="40"/>
      <c r="O323" s="40"/>
      <c r="P323" s="39"/>
      <c r="Q323" s="39"/>
    </row>
    <row r="324" spans="1:17" ht="15.75" hidden="1">
      <c r="A324" s="30">
        <v>32989952</v>
      </c>
      <c r="B324" s="31" t="s">
        <v>854</v>
      </c>
      <c r="C324" s="32">
        <v>1156</v>
      </c>
      <c r="D324" s="33" t="s">
        <v>73</v>
      </c>
      <c r="E324" s="34" t="s">
        <v>22</v>
      </c>
      <c r="F324" s="34" t="s">
        <v>35</v>
      </c>
      <c r="G324" s="33" t="s">
        <v>50</v>
      </c>
      <c r="H324" s="35" t="s">
        <v>51</v>
      </c>
      <c r="I324" s="36"/>
      <c r="J324" s="34"/>
      <c r="K324" s="34" t="s">
        <v>29</v>
      </c>
      <c r="L324" s="37"/>
      <c r="M324" s="38"/>
      <c r="N324" s="40"/>
      <c r="O324" s="40"/>
      <c r="P324" s="39"/>
      <c r="Q324" s="39"/>
    </row>
    <row r="325" spans="1:17" ht="30" hidden="1">
      <c r="A325" s="30">
        <v>32989995</v>
      </c>
      <c r="B325" s="31" t="s">
        <v>855</v>
      </c>
      <c r="C325" s="32">
        <v>1171</v>
      </c>
      <c r="D325" s="33" t="s">
        <v>186</v>
      </c>
      <c r="E325" s="34" t="s">
        <v>22</v>
      </c>
      <c r="F325" s="34" t="s">
        <v>142</v>
      </c>
      <c r="G325" s="33" t="s">
        <v>50</v>
      </c>
      <c r="H325" s="35"/>
      <c r="I325" s="36"/>
      <c r="J325" s="34"/>
      <c r="K325" s="34" t="s">
        <v>29</v>
      </c>
      <c r="L325" s="37"/>
      <c r="M325" s="38"/>
      <c r="N325" s="40"/>
      <c r="O325" s="40"/>
      <c r="P325" s="39">
        <v>35.5</v>
      </c>
      <c r="Q325" s="39">
        <v>311.7</v>
      </c>
    </row>
    <row r="326" spans="1:17" ht="30" hidden="1">
      <c r="A326" s="30">
        <v>32990006</v>
      </c>
      <c r="B326" s="31" t="s">
        <v>856</v>
      </c>
      <c r="C326" s="32">
        <v>1173</v>
      </c>
      <c r="D326" s="33" t="s">
        <v>186</v>
      </c>
      <c r="E326" s="34" t="s">
        <v>34</v>
      </c>
      <c r="F326" s="34" t="s">
        <v>35</v>
      </c>
      <c r="G326" s="33" t="s">
        <v>187</v>
      </c>
      <c r="H326" s="35"/>
      <c r="I326" s="36"/>
      <c r="J326" s="34"/>
      <c r="K326" s="34" t="s">
        <v>37</v>
      </c>
      <c r="L326" s="37">
        <v>46225</v>
      </c>
      <c r="M326" s="38">
        <v>46225</v>
      </c>
      <c r="N326" s="39">
        <v>1.5</v>
      </c>
      <c r="O326" s="40"/>
      <c r="P326" s="39">
        <v>1.5</v>
      </c>
      <c r="Q326" s="39">
        <v>1.7</v>
      </c>
    </row>
    <row r="327" spans="1:17" ht="15.75" hidden="1">
      <c r="A327" s="30">
        <v>32990008</v>
      </c>
      <c r="B327" s="31" t="s">
        <v>857</v>
      </c>
      <c r="C327" s="32">
        <v>1174</v>
      </c>
      <c r="D327" s="33" t="s">
        <v>61</v>
      </c>
      <c r="E327" s="34" t="s">
        <v>22</v>
      </c>
      <c r="F327" s="34" t="s">
        <v>142</v>
      </c>
      <c r="G327" s="33" t="s">
        <v>50</v>
      </c>
      <c r="H327" s="35" t="s">
        <v>51</v>
      </c>
      <c r="I327" s="36"/>
      <c r="J327" s="34"/>
      <c r="K327" s="34" t="s">
        <v>29</v>
      </c>
      <c r="L327" s="37"/>
      <c r="M327" s="38"/>
      <c r="N327" s="40"/>
      <c r="O327" s="40"/>
      <c r="P327" s="39"/>
      <c r="Q327" s="39"/>
    </row>
    <row r="328" spans="1:17" ht="30" hidden="1">
      <c r="A328" s="30">
        <v>32990007</v>
      </c>
      <c r="B328" s="31" t="s">
        <v>858</v>
      </c>
      <c r="C328" s="32">
        <v>1175</v>
      </c>
      <c r="D328" s="33" t="s">
        <v>186</v>
      </c>
      <c r="E328" s="34" t="s">
        <v>22</v>
      </c>
      <c r="F328" s="34" t="s">
        <v>35</v>
      </c>
      <c r="G328" s="33" t="s">
        <v>209</v>
      </c>
      <c r="H328" s="35"/>
      <c r="I328" s="36"/>
      <c r="J328" s="34"/>
      <c r="K328" s="34" t="s">
        <v>37</v>
      </c>
      <c r="L328" s="37"/>
      <c r="M328" s="38"/>
      <c r="N328" s="39">
        <v>8</v>
      </c>
      <c r="O328" s="40"/>
      <c r="P328" s="39"/>
      <c r="Q328" s="39"/>
    </row>
    <row r="329" spans="1:17" ht="30" hidden="1">
      <c r="A329" s="30">
        <v>32990011</v>
      </c>
      <c r="B329" s="31" t="s">
        <v>859</v>
      </c>
      <c r="C329" s="32">
        <v>1176</v>
      </c>
      <c r="D329" s="33" t="s">
        <v>186</v>
      </c>
      <c r="E329" s="34" t="s">
        <v>22</v>
      </c>
      <c r="F329" s="34" t="s">
        <v>35</v>
      </c>
      <c r="G329" s="33" t="s">
        <v>209</v>
      </c>
      <c r="H329" s="35"/>
      <c r="I329" s="36"/>
      <c r="J329" s="34"/>
      <c r="K329" s="34" t="s">
        <v>37</v>
      </c>
      <c r="L329" s="37"/>
      <c r="M329" s="38"/>
      <c r="N329" s="39">
        <v>8</v>
      </c>
      <c r="O329" s="40"/>
      <c r="P329" s="39"/>
      <c r="Q329" s="39"/>
    </row>
    <row r="330" spans="1:17" ht="30" hidden="1">
      <c r="A330" s="30">
        <v>32990012</v>
      </c>
      <c r="B330" s="31" t="s">
        <v>860</v>
      </c>
      <c r="C330" s="32">
        <v>1177</v>
      </c>
      <c r="D330" s="33" t="s">
        <v>186</v>
      </c>
      <c r="E330" s="34" t="s">
        <v>22</v>
      </c>
      <c r="F330" s="34" t="s">
        <v>35</v>
      </c>
      <c r="G330" s="33" t="s">
        <v>209</v>
      </c>
      <c r="H330" s="35"/>
      <c r="I330" s="36"/>
      <c r="J330" s="34"/>
      <c r="K330" s="34" t="s">
        <v>37</v>
      </c>
      <c r="L330" s="37"/>
      <c r="M330" s="38"/>
      <c r="N330" s="39">
        <v>6</v>
      </c>
      <c r="O330" s="40"/>
      <c r="P330" s="39"/>
      <c r="Q330" s="39"/>
    </row>
    <row r="331" spans="1:17" ht="30" hidden="1">
      <c r="A331" s="30">
        <v>32990013</v>
      </c>
      <c r="B331" s="31" t="s">
        <v>861</v>
      </c>
      <c r="C331" s="32">
        <v>1178</v>
      </c>
      <c r="D331" s="33" t="s">
        <v>186</v>
      </c>
      <c r="E331" s="34" t="s">
        <v>22</v>
      </c>
      <c r="F331" s="34" t="s">
        <v>35</v>
      </c>
      <c r="G331" s="33" t="s">
        <v>209</v>
      </c>
      <c r="H331" s="35"/>
      <c r="I331" s="36"/>
      <c r="J331" s="34"/>
      <c r="K331" s="34" t="s">
        <v>37</v>
      </c>
      <c r="L331" s="37"/>
      <c r="M331" s="38"/>
      <c r="N331" s="39">
        <v>6</v>
      </c>
      <c r="O331" s="40"/>
      <c r="P331" s="39"/>
      <c r="Q331" s="39"/>
    </row>
    <row r="332" spans="1:17" ht="30" hidden="1">
      <c r="A332" s="30">
        <v>32990020</v>
      </c>
      <c r="B332" s="31" t="s">
        <v>862</v>
      </c>
      <c r="C332" s="32">
        <v>1179</v>
      </c>
      <c r="D332" s="33" t="s">
        <v>186</v>
      </c>
      <c r="E332" s="34" t="s">
        <v>22</v>
      </c>
      <c r="F332" s="34" t="s">
        <v>35</v>
      </c>
      <c r="G332" s="33" t="s">
        <v>209</v>
      </c>
      <c r="H332" s="35"/>
      <c r="I332" s="36"/>
      <c r="J332" s="34"/>
      <c r="K332" s="34" t="s">
        <v>37</v>
      </c>
      <c r="L332" s="37"/>
      <c r="M332" s="38"/>
      <c r="N332" s="39">
        <v>4</v>
      </c>
      <c r="O332" s="40"/>
      <c r="P332" s="39"/>
      <c r="Q332" s="39"/>
    </row>
    <row r="333" spans="1:17" ht="30" hidden="1">
      <c r="A333" s="30">
        <v>32990021</v>
      </c>
      <c r="B333" s="31" t="s">
        <v>863</v>
      </c>
      <c r="C333" s="32">
        <v>1180</v>
      </c>
      <c r="D333" s="33" t="s">
        <v>186</v>
      </c>
      <c r="E333" s="34" t="s">
        <v>34</v>
      </c>
      <c r="F333" s="34" t="s">
        <v>35</v>
      </c>
      <c r="G333" s="33" t="s">
        <v>187</v>
      </c>
      <c r="H333" s="35"/>
      <c r="I333" s="36"/>
      <c r="J333" s="34"/>
      <c r="K333" s="34" t="s">
        <v>37</v>
      </c>
      <c r="L333" s="37">
        <v>46225</v>
      </c>
      <c r="M333" s="38">
        <v>46225</v>
      </c>
      <c r="N333" s="40"/>
      <c r="O333" s="40"/>
      <c r="P333" s="39">
        <v>1.5</v>
      </c>
      <c r="Q333" s="39">
        <v>1.8</v>
      </c>
    </row>
    <row r="334" spans="1:17" ht="15.75" hidden="1">
      <c r="A334" s="30">
        <v>32990026</v>
      </c>
      <c r="B334" s="31" t="s">
        <v>864</v>
      </c>
      <c r="C334" s="32">
        <v>1181</v>
      </c>
      <c r="D334" s="33" t="s">
        <v>186</v>
      </c>
      <c r="E334" s="34" t="s">
        <v>34</v>
      </c>
      <c r="F334" s="34" t="s">
        <v>35</v>
      </c>
      <c r="G334" s="33" t="s">
        <v>187</v>
      </c>
      <c r="H334" s="35"/>
      <c r="I334" s="36"/>
      <c r="J334" s="34"/>
      <c r="K334" s="34" t="s">
        <v>37</v>
      </c>
      <c r="L334" s="37">
        <v>46226</v>
      </c>
      <c r="M334" s="38">
        <v>46226</v>
      </c>
      <c r="N334" s="40"/>
      <c r="O334" s="40"/>
      <c r="P334" s="39">
        <v>2.1</v>
      </c>
      <c r="Q334" s="39">
        <v>30.8</v>
      </c>
    </row>
    <row r="335" spans="1:17" ht="15.75" hidden="1">
      <c r="A335" s="30">
        <v>32990029</v>
      </c>
      <c r="B335" s="31" t="s">
        <v>865</v>
      </c>
      <c r="C335" s="32">
        <v>1182</v>
      </c>
      <c r="D335" s="33" t="s">
        <v>186</v>
      </c>
      <c r="E335" s="34" t="s">
        <v>34</v>
      </c>
      <c r="F335" s="34" t="s">
        <v>35</v>
      </c>
      <c r="G335" s="33" t="s">
        <v>187</v>
      </c>
      <c r="H335" s="35"/>
      <c r="I335" s="36"/>
      <c r="J335" s="34"/>
      <c r="K335" s="34" t="s">
        <v>37</v>
      </c>
      <c r="L335" s="37">
        <v>46226</v>
      </c>
      <c r="M335" s="38">
        <v>46226</v>
      </c>
      <c r="N335" s="40"/>
      <c r="O335" s="40"/>
      <c r="P335" s="39">
        <v>2.1</v>
      </c>
      <c r="Q335" s="39">
        <v>29.7</v>
      </c>
    </row>
    <row r="336" spans="1:17" ht="15.75" hidden="1">
      <c r="A336" s="30">
        <v>32990034</v>
      </c>
      <c r="B336" s="31" t="s">
        <v>866</v>
      </c>
      <c r="C336" s="32">
        <v>1183</v>
      </c>
      <c r="D336" s="33" t="s">
        <v>186</v>
      </c>
      <c r="E336" s="34" t="s">
        <v>34</v>
      </c>
      <c r="F336" s="34" t="s">
        <v>35</v>
      </c>
      <c r="G336" s="33" t="s">
        <v>187</v>
      </c>
      <c r="H336" s="35"/>
      <c r="I336" s="36"/>
      <c r="J336" s="34"/>
      <c r="K336" s="34" t="s">
        <v>37</v>
      </c>
      <c r="L336" s="37">
        <v>46226</v>
      </c>
      <c r="M336" s="38">
        <v>46226</v>
      </c>
      <c r="N336" s="40"/>
      <c r="O336" s="40"/>
      <c r="P336" s="39">
        <v>2.1</v>
      </c>
      <c r="Q336" s="39">
        <v>30.7</v>
      </c>
    </row>
    <row r="337" spans="1:17" ht="15.75" hidden="1">
      <c r="A337" s="30">
        <v>32990037</v>
      </c>
      <c r="B337" s="31" t="s">
        <v>867</v>
      </c>
      <c r="C337" s="32">
        <v>1184</v>
      </c>
      <c r="D337" s="33" t="s">
        <v>186</v>
      </c>
      <c r="E337" s="34" t="s">
        <v>34</v>
      </c>
      <c r="F337" s="34" t="s">
        <v>35</v>
      </c>
      <c r="G337" s="33" t="s">
        <v>187</v>
      </c>
      <c r="H337" s="35"/>
      <c r="I337" s="36"/>
      <c r="J337" s="34"/>
      <c r="K337" s="34" t="s">
        <v>37</v>
      </c>
      <c r="L337" s="37">
        <v>46226</v>
      </c>
      <c r="M337" s="38">
        <v>46226</v>
      </c>
      <c r="N337" s="40"/>
      <c r="O337" s="40"/>
      <c r="P337" s="39">
        <v>2.1</v>
      </c>
      <c r="Q337" s="39">
        <v>30.7</v>
      </c>
    </row>
    <row r="338" spans="1:17" ht="15.75">
      <c r="A338" s="30">
        <v>32991206</v>
      </c>
      <c r="B338" s="31" t="s">
        <v>868</v>
      </c>
      <c r="C338" s="32">
        <v>1199</v>
      </c>
      <c r="D338" s="33" t="s">
        <v>33</v>
      </c>
      <c r="E338" s="34" t="s">
        <v>827</v>
      </c>
      <c r="F338" s="34" t="s">
        <v>35</v>
      </c>
      <c r="G338" s="33" t="s">
        <v>50</v>
      </c>
      <c r="H338" s="35" t="s">
        <v>51</v>
      </c>
      <c r="I338" s="36"/>
      <c r="J338" s="34"/>
      <c r="K338" s="34" t="s">
        <v>24</v>
      </c>
      <c r="L338" s="37"/>
      <c r="M338" s="38"/>
      <c r="N338" s="40"/>
      <c r="O338" s="40"/>
      <c r="P338" s="39">
        <v>6.5</v>
      </c>
      <c r="Q338" s="39">
        <v>39.299999999999997</v>
      </c>
    </row>
    <row r="339" spans="1:17" ht="30" hidden="1">
      <c r="A339" s="30">
        <v>32991276</v>
      </c>
      <c r="B339" s="31" t="s">
        <v>869</v>
      </c>
      <c r="C339" s="32">
        <v>1200</v>
      </c>
      <c r="D339" s="33" t="s">
        <v>186</v>
      </c>
      <c r="E339" s="34" t="s">
        <v>22</v>
      </c>
      <c r="F339" s="34" t="s">
        <v>142</v>
      </c>
      <c r="G339" s="33" t="s">
        <v>209</v>
      </c>
      <c r="H339" s="35"/>
      <c r="I339" s="36"/>
      <c r="J339" s="34"/>
      <c r="K339" s="34" t="s">
        <v>29</v>
      </c>
      <c r="L339" s="37"/>
      <c r="M339" s="38"/>
      <c r="N339" s="40"/>
      <c r="O339" s="40"/>
      <c r="P339" s="39">
        <v>4</v>
      </c>
      <c r="Q339" s="39">
        <v>307.89999999999998</v>
      </c>
    </row>
    <row r="340" spans="1:17" ht="30">
      <c r="A340" s="30">
        <v>32991499</v>
      </c>
      <c r="B340" s="31" t="s">
        <v>870</v>
      </c>
      <c r="C340" s="32">
        <v>1201</v>
      </c>
      <c r="D340" s="33" t="s">
        <v>73</v>
      </c>
      <c r="E340" s="34" t="s">
        <v>22</v>
      </c>
      <c r="F340" s="34" t="s">
        <v>35</v>
      </c>
      <c r="G340" s="33" t="s">
        <v>50</v>
      </c>
      <c r="H340" s="35"/>
      <c r="I340" s="36"/>
      <c r="J340" s="34"/>
      <c r="K340" s="34" t="s">
        <v>25</v>
      </c>
      <c r="L340" s="37"/>
      <c r="M340" s="38"/>
      <c r="N340" s="40"/>
      <c r="O340" s="40"/>
      <c r="P340" s="39"/>
      <c r="Q340" s="39"/>
    </row>
    <row r="341" spans="1:17" ht="31.5" hidden="1">
      <c r="A341" s="30">
        <v>32991511</v>
      </c>
      <c r="B341" s="31" t="s">
        <v>871</v>
      </c>
      <c r="C341" s="32">
        <v>1202</v>
      </c>
      <c r="D341" s="33" t="s">
        <v>73</v>
      </c>
      <c r="E341" s="34" t="s">
        <v>22</v>
      </c>
      <c r="F341" s="34" t="s">
        <v>62</v>
      </c>
      <c r="G341" s="33" t="s">
        <v>50</v>
      </c>
      <c r="H341" s="35" t="s">
        <v>51</v>
      </c>
      <c r="I341" s="36"/>
      <c r="J341" s="34"/>
      <c r="K341" s="34" t="s">
        <v>29</v>
      </c>
      <c r="L341" s="37"/>
      <c r="M341" s="38"/>
      <c r="N341" s="40"/>
      <c r="O341" s="40"/>
      <c r="P341" s="39"/>
      <c r="Q341" s="39"/>
    </row>
    <row r="342" spans="1:17" ht="30" hidden="1">
      <c r="A342" s="30">
        <v>32991517</v>
      </c>
      <c r="B342" s="31" t="s">
        <v>872</v>
      </c>
      <c r="C342" s="32">
        <v>1203</v>
      </c>
      <c r="D342" s="33" t="s">
        <v>73</v>
      </c>
      <c r="E342" s="34" t="s">
        <v>34</v>
      </c>
      <c r="F342" s="34" t="s">
        <v>35</v>
      </c>
      <c r="G342" s="33" t="s">
        <v>168</v>
      </c>
      <c r="H342" s="35" t="s">
        <v>51</v>
      </c>
      <c r="I342" s="36"/>
      <c r="J342" s="34"/>
      <c r="K342" s="34" t="s">
        <v>29</v>
      </c>
      <c r="L342" s="37">
        <v>46231</v>
      </c>
      <c r="M342" s="38">
        <v>46231</v>
      </c>
      <c r="N342" s="39">
        <v>5</v>
      </c>
      <c r="O342" s="40"/>
      <c r="P342" s="39">
        <v>5</v>
      </c>
      <c r="Q342" s="39">
        <v>86.1</v>
      </c>
    </row>
    <row r="343" spans="1:17" ht="15.75" hidden="1">
      <c r="A343" s="30">
        <v>32991527</v>
      </c>
      <c r="B343" s="31" t="s">
        <v>873</v>
      </c>
      <c r="C343" s="32">
        <v>1205</v>
      </c>
      <c r="D343" s="33" t="s">
        <v>73</v>
      </c>
      <c r="E343" s="34" t="s">
        <v>22</v>
      </c>
      <c r="F343" s="34" t="s">
        <v>35</v>
      </c>
      <c r="G343" s="33" t="s">
        <v>50</v>
      </c>
      <c r="H343" s="35" t="s">
        <v>51</v>
      </c>
      <c r="I343" s="36"/>
      <c r="J343" s="34"/>
      <c r="K343" s="34" t="s">
        <v>29</v>
      </c>
      <c r="L343" s="37"/>
      <c r="M343" s="38"/>
      <c r="N343" s="40"/>
      <c r="O343" s="40"/>
      <c r="P343" s="39"/>
      <c r="Q343" s="39"/>
    </row>
    <row r="344" spans="1:17" ht="30" hidden="1">
      <c r="A344" s="30">
        <v>32991534</v>
      </c>
      <c r="B344" s="31" t="s">
        <v>874</v>
      </c>
      <c r="C344" s="32">
        <v>1206</v>
      </c>
      <c r="D344" s="33" t="s">
        <v>73</v>
      </c>
      <c r="E344" s="34" t="s">
        <v>22</v>
      </c>
      <c r="F344" s="34" t="s">
        <v>35</v>
      </c>
      <c r="G344" s="33" t="s">
        <v>168</v>
      </c>
      <c r="H344" s="35"/>
      <c r="I344" s="36"/>
      <c r="J344" s="34"/>
      <c r="K344" s="34" t="s">
        <v>29</v>
      </c>
      <c r="L344" s="37"/>
      <c r="M344" s="38"/>
      <c r="N344" s="39">
        <v>3</v>
      </c>
      <c r="O344" s="40"/>
      <c r="P344" s="39"/>
      <c r="Q344" s="39"/>
    </row>
    <row r="345" spans="1:17" ht="30" hidden="1">
      <c r="A345" s="30">
        <v>32991585</v>
      </c>
      <c r="B345" s="31" t="s">
        <v>875</v>
      </c>
      <c r="C345" s="32">
        <v>1208</v>
      </c>
      <c r="D345" s="33" t="s">
        <v>33</v>
      </c>
      <c r="E345" s="34" t="s">
        <v>34</v>
      </c>
      <c r="F345" s="34" t="s">
        <v>35</v>
      </c>
      <c r="G345" s="33" t="s">
        <v>187</v>
      </c>
      <c r="H345" s="35" t="s">
        <v>51</v>
      </c>
      <c r="I345" s="36"/>
      <c r="J345" s="34"/>
      <c r="K345" s="34" t="s">
        <v>37</v>
      </c>
      <c r="L345" s="37">
        <v>46225</v>
      </c>
      <c r="M345" s="38">
        <v>46225</v>
      </c>
      <c r="N345" s="39">
        <v>2</v>
      </c>
      <c r="O345" s="40"/>
      <c r="P345" s="39">
        <v>2</v>
      </c>
      <c r="Q345" s="39">
        <v>2</v>
      </c>
    </row>
    <row r="346" spans="1:17" ht="30" hidden="1">
      <c r="A346" s="30">
        <v>32991646</v>
      </c>
      <c r="B346" s="31" t="s">
        <v>876</v>
      </c>
      <c r="C346" s="32">
        <v>1211</v>
      </c>
      <c r="D346" s="33" t="s">
        <v>186</v>
      </c>
      <c r="E346" s="34" t="s">
        <v>22</v>
      </c>
      <c r="F346" s="34" t="s">
        <v>35</v>
      </c>
      <c r="G346" s="33" t="s">
        <v>209</v>
      </c>
      <c r="H346" s="35"/>
      <c r="I346" s="36"/>
      <c r="J346" s="34"/>
      <c r="K346" s="34" t="s">
        <v>29</v>
      </c>
      <c r="L346" s="37"/>
      <c r="M346" s="38"/>
      <c r="N346" s="40"/>
      <c r="O346" s="40"/>
      <c r="P346" s="39">
        <v>4</v>
      </c>
      <c r="Q346" s="39">
        <v>307.7</v>
      </c>
    </row>
    <row r="347" spans="1:17" ht="30" hidden="1">
      <c r="A347" s="30">
        <v>32991651</v>
      </c>
      <c r="B347" s="31" t="s">
        <v>877</v>
      </c>
      <c r="C347" s="32">
        <v>1212</v>
      </c>
      <c r="D347" s="33" t="s">
        <v>186</v>
      </c>
      <c r="E347" s="34" t="s">
        <v>22</v>
      </c>
      <c r="F347" s="34" t="s">
        <v>35</v>
      </c>
      <c r="G347" s="33" t="s">
        <v>209</v>
      </c>
      <c r="H347" s="35"/>
      <c r="I347" s="36"/>
      <c r="J347" s="34"/>
      <c r="K347" s="34" t="s">
        <v>29</v>
      </c>
      <c r="L347" s="37"/>
      <c r="M347" s="38"/>
      <c r="N347" s="40"/>
      <c r="O347" s="40"/>
      <c r="P347" s="39">
        <v>4</v>
      </c>
      <c r="Q347" s="39">
        <v>307.60000000000002</v>
      </c>
    </row>
    <row r="348" spans="1:17" ht="30">
      <c r="A348" s="30">
        <v>32992461</v>
      </c>
      <c r="B348" s="31" t="s">
        <v>878</v>
      </c>
      <c r="C348" s="32">
        <v>1218</v>
      </c>
      <c r="D348" s="33" t="s">
        <v>68</v>
      </c>
      <c r="E348" s="34" t="s">
        <v>22</v>
      </c>
      <c r="F348" s="34" t="s">
        <v>35</v>
      </c>
      <c r="G348" s="33" t="s">
        <v>757</v>
      </c>
      <c r="H348" s="35"/>
      <c r="I348" s="36"/>
      <c r="J348" s="34"/>
      <c r="K348" s="34" t="s">
        <v>25</v>
      </c>
      <c r="L348" s="37"/>
      <c r="M348" s="38"/>
      <c r="N348" s="40"/>
      <c r="O348" s="40"/>
      <c r="P348" s="39">
        <v>6.7</v>
      </c>
      <c r="Q348" s="39">
        <v>287.89999999999998</v>
      </c>
    </row>
    <row r="349" spans="1:17" ht="15.75" hidden="1">
      <c r="A349" s="30">
        <v>32992488</v>
      </c>
      <c r="B349" s="31" t="s">
        <v>879</v>
      </c>
      <c r="C349" s="32">
        <v>1219</v>
      </c>
      <c r="D349" s="33" t="s">
        <v>68</v>
      </c>
      <c r="E349" s="34" t="s">
        <v>22</v>
      </c>
      <c r="F349" s="34" t="s">
        <v>142</v>
      </c>
      <c r="G349" s="33" t="s">
        <v>50</v>
      </c>
      <c r="H349" s="35"/>
      <c r="I349" s="36"/>
      <c r="J349" s="34"/>
      <c r="K349" s="34" t="s">
        <v>29</v>
      </c>
      <c r="L349" s="37"/>
      <c r="M349" s="38"/>
      <c r="N349" s="40"/>
      <c r="O349" s="40"/>
      <c r="P349" s="39">
        <v>45.5</v>
      </c>
      <c r="Q349" s="39">
        <v>305.10000000000002</v>
      </c>
    </row>
    <row r="350" spans="1:17" ht="15.75">
      <c r="A350" s="30">
        <v>32992489</v>
      </c>
      <c r="B350" s="31" t="s">
        <v>880</v>
      </c>
      <c r="C350" s="32">
        <v>1220</v>
      </c>
      <c r="D350" s="33" t="s">
        <v>68</v>
      </c>
      <c r="E350" s="34" t="s">
        <v>22</v>
      </c>
      <c r="F350" s="34" t="s">
        <v>142</v>
      </c>
      <c r="G350" s="33" t="s">
        <v>50</v>
      </c>
      <c r="H350" s="35"/>
      <c r="I350" s="36"/>
      <c r="J350" s="34"/>
      <c r="K350" s="34" t="s">
        <v>25</v>
      </c>
      <c r="L350" s="37"/>
      <c r="M350" s="38"/>
      <c r="N350" s="40"/>
      <c r="O350" s="40"/>
      <c r="P350" s="39">
        <v>10</v>
      </c>
      <c r="Q350" s="39">
        <v>296.60000000000002</v>
      </c>
    </row>
    <row r="351" spans="1:17" ht="15.75">
      <c r="A351" s="30">
        <v>32992493</v>
      </c>
      <c r="B351" s="31" t="s">
        <v>881</v>
      </c>
      <c r="C351" s="32">
        <v>1221</v>
      </c>
      <c r="D351" s="33" t="s">
        <v>73</v>
      </c>
      <c r="E351" s="34" t="s">
        <v>22</v>
      </c>
      <c r="F351" s="34" t="s">
        <v>142</v>
      </c>
      <c r="G351" s="33" t="s">
        <v>50</v>
      </c>
      <c r="H351" s="35"/>
      <c r="I351" s="36"/>
      <c r="J351" s="34"/>
      <c r="K351" s="34" t="s">
        <v>25</v>
      </c>
      <c r="L351" s="37"/>
      <c r="M351" s="38"/>
      <c r="N351" s="40"/>
      <c r="O351" s="40"/>
      <c r="P351" s="39">
        <v>32</v>
      </c>
      <c r="Q351" s="39">
        <v>170.6</v>
      </c>
    </row>
    <row r="352" spans="1:17" ht="15.75" hidden="1">
      <c r="A352" s="30">
        <v>32992492</v>
      </c>
      <c r="B352" s="31" t="s">
        <v>882</v>
      </c>
      <c r="C352" s="32">
        <v>1222</v>
      </c>
      <c r="D352" s="33" t="s">
        <v>73</v>
      </c>
      <c r="E352" s="34" t="s">
        <v>22</v>
      </c>
      <c r="F352" s="34" t="s">
        <v>142</v>
      </c>
      <c r="G352" s="33" t="s">
        <v>50</v>
      </c>
      <c r="H352" s="35"/>
      <c r="I352" s="36"/>
      <c r="J352" s="34"/>
      <c r="K352" s="34" t="s">
        <v>29</v>
      </c>
      <c r="L352" s="37"/>
      <c r="M352" s="38"/>
      <c r="N352" s="40"/>
      <c r="O352" s="40"/>
      <c r="P352" s="39">
        <v>32.5</v>
      </c>
      <c r="Q352" s="39">
        <v>279.5</v>
      </c>
    </row>
    <row r="353" spans="1:17" ht="15.75" hidden="1">
      <c r="A353" s="30">
        <v>32992500</v>
      </c>
      <c r="B353" s="31" t="s">
        <v>883</v>
      </c>
      <c r="C353" s="32">
        <v>1223</v>
      </c>
      <c r="D353" s="33" t="s">
        <v>73</v>
      </c>
      <c r="E353" s="34" t="s">
        <v>22</v>
      </c>
      <c r="F353" s="34" t="s">
        <v>142</v>
      </c>
      <c r="G353" s="33" t="s">
        <v>50</v>
      </c>
      <c r="H353" s="35"/>
      <c r="I353" s="36"/>
      <c r="J353" s="34"/>
      <c r="K353" s="34" t="s">
        <v>29</v>
      </c>
      <c r="L353" s="37"/>
      <c r="M353" s="38"/>
      <c r="N353" s="40"/>
      <c r="O353" s="40"/>
      <c r="P353" s="39">
        <v>3</v>
      </c>
      <c r="Q353" s="39">
        <v>275.8</v>
      </c>
    </row>
    <row r="354" spans="1:17" ht="30">
      <c r="A354" s="30">
        <v>32992517</v>
      </c>
      <c r="B354" s="31" t="s">
        <v>884</v>
      </c>
      <c r="C354" s="32">
        <v>1224</v>
      </c>
      <c r="D354" s="33" t="s">
        <v>33</v>
      </c>
      <c r="E354" s="34" t="s">
        <v>22</v>
      </c>
      <c r="F354" s="34" t="s">
        <v>142</v>
      </c>
      <c r="G354" s="33" t="s">
        <v>50</v>
      </c>
      <c r="H354" s="35"/>
      <c r="I354" s="36"/>
      <c r="J354" s="34"/>
      <c r="K354" s="34" t="s">
        <v>25</v>
      </c>
      <c r="L354" s="37"/>
      <c r="M354" s="38"/>
      <c r="N354" s="40"/>
      <c r="O354" s="40"/>
      <c r="P354" s="39">
        <v>9.5</v>
      </c>
      <c r="Q354" s="39">
        <v>286.89999999999998</v>
      </c>
    </row>
    <row r="355" spans="1:17" ht="30" hidden="1">
      <c r="A355" s="30">
        <v>32992509</v>
      </c>
      <c r="B355" s="31" t="s">
        <v>885</v>
      </c>
      <c r="C355" s="32">
        <v>1225</v>
      </c>
      <c r="D355" s="33" t="s">
        <v>186</v>
      </c>
      <c r="E355" s="34" t="s">
        <v>22</v>
      </c>
      <c r="F355" s="34" t="s">
        <v>142</v>
      </c>
      <c r="G355" s="33" t="s">
        <v>50</v>
      </c>
      <c r="H355" s="35"/>
      <c r="I355" s="36"/>
      <c r="J355" s="34"/>
      <c r="K355" s="34" t="s">
        <v>29</v>
      </c>
      <c r="L355" s="37"/>
      <c r="M355" s="38"/>
      <c r="N355" s="40"/>
      <c r="O355" s="40"/>
      <c r="P355" s="39">
        <v>26</v>
      </c>
      <c r="Q355" s="39">
        <v>303.5</v>
      </c>
    </row>
    <row r="356" spans="1:17" ht="15.75" hidden="1">
      <c r="A356" s="30">
        <v>32992699</v>
      </c>
      <c r="B356" s="31" t="s">
        <v>886</v>
      </c>
      <c r="C356" s="32">
        <v>1227</v>
      </c>
      <c r="D356" s="33" t="s">
        <v>73</v>
      </c>
      <c r="E356" s="34" t="s">
        <v>22</v>
      </c>
      <c r="F356" s="34" t="s">
        <v>35</v>
      </c>
      <c r="G356" s="33" t="s">
        <v>50</v>
      </c>
      <c r="H356" s="35"/>
      <c r="I356" s="36"/>
      <c r="J356" s="34"/>
      <c r="K356" s="34" t="s">
        <v>29</v>
      </c>
      <c r="L356" s="37"/>
      <c r="M356" s="38"/>
      <c r="N356" s="40"/>
      <c r="O356" s="40"/>
      <c r="P356" s="39"/>
      <c r="Q356" s="39"/>
    </row>
    <row r="357" spans="1:17" ht="15.75" hidden="1">
      <c r="A357" s="30">
        <v>32992702</v>
      </c>
      <c r="B357" s="31" t="s">
        <v>887</v>
      </c>
      <c r="C357" s="32">
        <v>1228</v>
      </c>
      <c r="D357" s="33" t="s">
        <v>73</v>
      </c>
      <c r="E357" s="34" t="s">
        <v>22</v>
      </c>
      <c r="F357" s="34" t="s">
        <v>35</v>
      </c>
      <c r="G357" s="33" t="s">
        <v>50</v>
      </c>
      <c r="H357" s="35"/>
      <c r="I357" s="36"/>
      <c r="J357" s="34"/>
      <c r="K357" s="34" t="s">
        <v>29</v>
      </c>
      <c r="L357" s="37"/>
      <c r="M357" s="38"/>
      <c r="N357" s="40"/>
      <c r="O357" s="40"/>
      <c r="P357" s="39"/>
      <c r="Q357" s="39"/>
    </row>
    <row r="358" spans="1:17" ht="15.75" hidden="1">
      <c r="A358" s="30">
        <v>32992708</v>
      </c>
      <c r="B358" s="31" t="s">
        <v>888</v>
      </c>
      <c r="C358" s="32">
        <v>1229</v>
      </c>
      <c r="D358" s="33" t="s">
        <v>73</v>
      </c>
      <c r="E358" s="34" t="s">
        <v>22</v>
      </c>
      <c r="F358" s="34" t="s">
        <v>35</v>
      </c>
      <c r="G358" s="33" t="s">
        <v>50</v>
      </c>
      <c r="H358" s="35"/>
      <c r="I358" s="36"/>
      <c r="J358" s="34"/>
      <c r="K358" s="34" t="s">
        <v>29</v>
      </c>
      <c r="L358" s="37"/>
      <c r="M358" s="38"/>
      <c r="N358" s="40"/>
      <c r="O358" s="40"/>
      <c r="P358" s="39"/>
      <c r="Q358" s="39"/>
    </row>
    <row r="359" spans="1:17" ht="15.75" hidden="1">
      <c r="A359" s="30">
        <v>32992709</v>
      </c>
      <c r="B359" s="31" t="s">
        <v>889</v>
      </c>
      <c r="C359" s="32">
        <v>1230</v>
      </c>
      <c r="D359" s="33" t="s">
        <v>73</v>
      </c>
      <c r="E359" s="34" t="s">
        <v>22</v>
      </c>
      <c r="F359" s="34" t="s">
        <v>35</v>
      </c>
      <c r="G359" s="33" t="s">
        <v>50</v>
      </c>
      <c r="H359" s="35"/>
      <c r="I359" s="36"/>
      <c r="J359" s="34"/>
      <c r="K359" s="34" t="s">
        <v>29</v>
      </c>
      <c r="L359" s="37"/>
      <c r="M359" s="38"/>
      <c r="N359" s="40"/>
      <c r="O359" s="40"/>
      <c r="P359" s="39"/>
      <c r="Q359" s="39"/>
    </row>
    <row r="360" spans="1:17" ht="15.75" hidden="1">
      <c r="A360" s="30">
        <v>32992712</v>
      </c>
      <c r="B360" s="31" t="s">
        <v>890</v>
      </c>
      <c r="C360" s="32">
        <v>1231</v>
      </c>
      <c r="D360" s="33" t="s">
        <v>73</v>
      </c>
      <c r="E360" s="34" t="s">
        <v>22</v>
      </c>
      <c r="F360" s="34" t="s">
        <v>35</v>
      </c>
      <c r="G360" s="33" t="s">
        <v>50</v>
      </c>
      <c r="H360" s="35"/>
      <c r="I360" s="36"/>
      <c r="J360" s="34"/>
      <c r="K360" s="34" t="s">
        <v>29</v>
      </c>
      <c r="L360" s="37"/>
      <c r="M360" s="38"/>
      <c r="N360" s="40"/>
      <c r="O360" s="40"/>
      <c r="P360" s="39"/>
      <c r="Q360" s="39"/>
    </row>
    <row r="361" spans="1:17" ht="15.75" hidden="1">
      <c r="A361" s="30">
        <v>32992717</v>
      </c>
      <c r="B361" s="31" t="s">
        <v>891</v>
      </c>
      <c r="C361" s="32">
        <v>1232</v>
      </c>
      <c r="D361" s="33" t="s">
        <v>73</v>
      </c>
      <c r="E361" s="34" t="s">
        <v>22</v>
      </c>
      <c r="F361" s="34" t="s">
        <v>35</v>
      </c>
      <c r="G361" s="33" t="s">
        <v>50</v>
      </c>
      <c r="H361" s="35"/>
      <c r="I361" s="36"/>
      <c r="J361" s="34"/>
      <c r="K361" s="34" t="s">
        <v>29</v>
      </c>
      <c r="L361" s="37"/>
      <c r="M361" s="38"/>
      <c r="N361" s="40"/>
      <c r="O361" s="40"/>
      <c r="P361" s="39"/>
      <c r="Q361" s="39"/>
    </row>
    <row r="362" spans="1:17" ht="15.75" hidden="1">
      <c r="A362" s="30">
        <v>32992719</v>
      </c>
      <c r="B362" s="31" t="s">
        <v>892</v>
      </c>
      <c r="C362" s="32">
        <v>1233</v>
      </c>
      <c r="D362" s="33" t="s">
        <v>73</v>
      </c>
      <c r="E362" s="34" t="s">
        <v>22</v>
      </c>
      <c r="F362" s="34" t="s">
        <v>35</v>
      </c>
      <c r="G362" s="33" t="s">
        <v>50</v>
      </c>
      <c r="H362" s="35"/>
      <c r="I362" s="36"/>
      <c r="J362" s="34"/>
      <c r="K362" s="34" t="s">
        <v>29</v>
      </c>
      <c r="L362" s="37"/>
      <c r="M362" s="38"/>
      <c r="N362" s="40"/>
      <c r="O362" s="40"/>
      <c r="P362" s="39"/>
      <c r="Q362" s="39"/>
    </row>
    <row r="363" spans="1:17" ht="30">
      <c r="A363" s="30">
        <v>32992731</v>
      </c>
      <c r="B363" s="31" t="s">
        <v>893</v>
      </c>
      <c r="C363" s="32">
        <v>1234</v>
      </c>
      <c r="D363" s="33" t="s">
        <v>61</v>
      </c>
      <c r="E363" s="34" t="s">
        <v>22</v>
      </c>
      <c r="F363" s="34" t="s">
        <v>35</v>
      </c>
      <c r="G363" s="33" t="s">
        <v>50</v>
      </c>
      <c r="H363" s="35"/>
      <c r="I363" s="36"/>
      <c r="J363" s="34"/>
      <c r="K363" s="34" t="s">
        <v>25</v>
      </c>
      <c r="L363" s="37"/>
      <c r="M363" s="38"/>
      <c r="N363" s="40"/>
      <c r="O363" s="40"/>
      <c r="P363" s="39">
        <v>5</v>
      </c>
      <c r="Q363" s="39">
        <v>284.39999999999998</v>
      </c>
    </row>
    <row r="364" spans="1:17" ht="30" hidden="1">
      <c r="A364" s="30">
        <v>32992738</v>
      </c>
      <c r="B364" s="31" t="s">
        <v>894</v>
      </c>
      <c r="C364" s="32">
        <v>1235</v>
      </c>
      <c r="D364" s="33" t="s">
        <v>68</v>
      </c>
      <c r="E364" s="34" t="s">
        <v>22</v>
      </c>
      <c r="F364" s="34" t="s">
        <v>35</v>
      </c>
      <c r="G364" s="33" t="s">
        <v>50</v>
      </c>
      <c r="H364" s="35"/>
      <c r="I364" s="36"/>
      <c r="J364" s="34"/>
      <c r="K364" s="34" t="s">
        <v>29</v>
      </c>
      <c r="L364" s="37"/>
      <c r="M364" s="38"/>
      <c r="N364" s="40"/>
      <c r="O364" s="40"/>
      <c r="P364" s="39"/>
      <c r="Q364" s="39"/>
    </row>
    <row r="365" spans="1:17" ht="30" hidden="1">
      <c r="A365" s="30">
        <v>32994020</v>
      </c>
      <c r="B365" s="31" t="s">
        <v>895</v>
      </c>
      <c r="C365" s="32">
        <v>1247</v>
      </c>
      <c r="D365" s="33" t="s">
        <v>186</v>
      </c>
      <c r="E365" s="34" t="s">
        <v>34</v>
      </c>
      <c r="F365" s="34" t="s">
        <v>35</v>
      </c>
      <c r="G365" s="33" t="s">
        <v>187</v>
      </c>
      <c r="H365" s="35"/>
      <c r="I365" s="36"/>
      <c r="J365" s="34"/>
      <c r="K365" s="34" t="s">
        <v>37</v>
      </c>
      <c r="L365" s="37">
        <v>46229</v>
      </c>
      <c r="M365" s="38">
        <v>46229</v>
      </c>
      <c r="N365" s="39">
        <v>24</v>
      </c>
      <c r="O365" s="40"/>
      <c r="P365" s="39">
        <v>24</v>
      </c>
      <c r="Q365" s="39">
        <v>8</v>
      </c>
    </row>
    <row r="366" spans="1:17" ht="30" hidden="1">
      <c r="A366" s="30">
        <v>32994039</v>
      </c>
      <c r="B366" s="31" t="s">
        <v>896</v>
      </c>
      <c r="C366" s="32">
        <v>1248</v>
      </c>
      <c r="D366" s="33" t="s">
        <v>186</v>
      </c>
      <c r="E366" s="34" t="s">
        <v>34</v>
      </c>
      <c r="F366" s="34" t="s">
        <v>35</v>
      </c>
      <c r="G366" s="33" t="s">
        <v>187</v>
      </c>
      <c r="H366" s="35"/>
      <c r="I366" s="36"/>
      <c r="J366" s="34"/>
      <c r="K366" s="34" t="s">
        <v>37</v>
      </c>
      <c r="L366" s="37">
        <v>46229</v>
      </c>
      <c r="M366" s="38">
        <v>46229</v>
      </c>
      <c r="N366" s="39">
        <v>12</v>
      </c>
      <c r="O366" s="40"/>
      <c r="P366" s="39">
        <v>12</v>
      </c>
      <c r="Q366" s="39">
        <v>61.4</v>
      </c>
    </row>
    <row r="367" spans="1:17" ht="30" hidden="1">
      <c r="A367" s="30">
        <v>32994149</v>
      </c>
      <c r="B367" s="31" t="s">
        <v>897</v>
      </c>
      <c r="C367" s="32">
        <v>1250</v>
      </c>
      <c r="D367" s="33" t="s">
        <v>186</v>
      </c>
      <c r="E367" s="34" t="s">
        <v>22</v>
      </c>
      <c r="F367" s="34" t="s">
        <v>35</v>
      </c>
      <c r="G367" s="33" t="s">
        <v>187</v>
      </c>
      <c r="H367" s="35" t="s">
        <v>51</v>
      </c>
      <c r="I367" s="36"/>
      <c r="J367" s="34"/>
      <c r="K367" s="34" t="s">
        <v>37</v>
      </c>
      <c r="L367" s="37"/>
      <c r="M367" s="38"/>
      <c r="N367" s="39">
        <v>6.5</v>
      </c>
      <c r="O367" s="40"/>
      <c r="P367" s="39">
        <v>8</v>
      </c>
      <c r="Q367" s="39">
        <v>143.6</v>
      </c>
    </row>
    <row r="368" spans="1:17" ht="30" hidden="1">
      <c r="A368" s="30">
        <v>32994746</v>
      </c>
      <c r="B368" s="31" t="s">
        <v>898</v>
      </c>
      <c r="C368" s="32">
        <v>1254</v>
      </c>
      <c r="D368" s="33" t="s">
        <v>186</v>
      </c>
      <c r="E368" s="34" t="s">
        <v>22</v>
      </c>
      <c r="F368" s="34" t="s">
        <v>35</v>
      </c>
      <c r="G368" s="33" t="s">
        <v>187</v>
      </c>
      <c r="H368" s="35" t="s">
        <v>51</v>
      </c>
      <c r="I368" s="36"/>
      <c r="J368" s="34"/>
      <c r="K368" s="34" t="s">
        <v>37</v>
      </c>
      <c r="L368" s="37"/>
      <c r="M368" s="38"/>
      <c r="N368" s="39">
        <v>2</v>
      </c>
      <c r="O368" s="40"/>
      <c r="P368" s="39">
        <v>2</v>
      </c>
      <c r="Q368" s="39">
        <v>204.9</v>
      </c>
    </row>
    <row r="369" spans="1:17" ht="30" hidden="1">
      <c r="A369" s="30">
        <v>32996054</v>
      </c>
      <c r="B369" s="31" t="s">
        <v>899</v>
      </c>
      <c r="C369" s="32">
        <v>1261</v>
      </c>
      <c r="D369" s="33" t="s">
        <v>97</v>
      </c>
      <c r="E369" s="34" t="s">
        <v>22</v>
      </c>
      <c r="F369" s="34" t="s">
        <v>35</v>
      </c>
      <c r="G369" s="33" t="s">
        <v>158</v>
      </c>
      <c r="H369" s="35"/>
      <c r="I369" s="36"/>
      <c r="J369" s="34"/>
      <c r="K369" s="34" t="s">
        <v>37</v>
      </c>
      <c r="L369" s="37"/>
      <c r="M369" s="38"/>
      <c r="N369" s="40"/>
      <c r="O369" s="40"/>
      <c r="P369" s="39"/>
      <c r="Q369" s="39"/>
    </row>
    <row r="370" spans="1:17" ht="45" hidden="1">
      <c r="A370" s="30">
        <v>32996073</v>
      </c>
      <c r="B370" s="31" t="s">
        <v>900</v>
      </c>
      <c r="C370" s="32">
        <v>1262</v>
      </c>
      <c r="D370" s="33" t="s">
        <v>97</v>
      </c>
      <c r="E370" s="34" t="s">
        <v>22</v>
      </c>
      <c r="F370" s="34" t="s">
        <v>35</v>
      </c>
      <c r="G370" s="33" t="s">
        <v>158</v>
      </c>
      <c r="H370" s="35"/>
      <c r="I370" s="36"/>
      <c r="J370" s="34"/>
      <c r="K370" s="34" t="s">
        <v>37</v>
      </c>
      <c r="L370" s="37"/>
      <c r="M370" s="38"/>
      <c r="N370" s="39">
        <v>3</v>
      </c>
      <c r="O370" s="40"/>
      <c r="P370" s="39">
        <v>0.2</v>
      </c>
      <c r="Q370" s="39">
        <v>161.4</v>
      </c>
    </row>
    <row r="371" spans="1:17" ht="30" hidden="1">
      <c r="A371" s="30">
        <v>32996610</v>
      </c>
      <c r="B371" s="31" t="s">
        <v>901</v>
      </c>
      <c r="C371" s="32">
        <v>1264</v>
      </c>
      <c r="D371" s="33" t="s">
        <v>186</v>
      </c>
      <c r="E371" s="34" t="s">
        <v>34</v>
      </c>
      <c r="F371" s="34" t="s">
        <v>35</v>
      </c>
      <c r="G371" s="33" t="s">
        <v>187</v>
      </c>
      <c r="H371" s="35"/>
      <c r="I371" s="36"/>
      <c r="J371" s="34"/>
      <c r="K371" s="34" t="s">
        <v>37</v>
      </c>
      <c r="L371" s="37">
        <v>46229</v>
      </c>
      <c r="M371" s="38">
        <v>46229</v>
      </c>
      <c r="N371" s="39">
        <v>6.5</v>
      </c>
      <c r="O371" s="40"/>
      <c r="P371" s="39">
        <v>6.5</v>
      </c>
      <c r="Q371" s="39">
        <v>6.7</v>
      </c>
    </row>
    <row r="372" spans="1:17" ht="30" hidden="1">
      <c r="A372" s="30">
        <v>32998113</v>
      </c>
      <c r="B372" s="31" t="s">
        <v>902</v>
      </c>
      <c r="C372" s="32">
        <v>1271</v>
      </c>
      <c r="D372" s="33" t="s">
        <v>68</v>
      </c>
      <c r="E372" s="34" t="s">
        <v>22</v>
      </c>
      <c r="F372" s="34" t="s">
        <v>35</v>
      </c>
      <c r="G372" s="33" t="s">
        <v>168</v>
      </c>
      <c r="H372" s="35"/>
      <c r="I372" s="36"/>
      <c r="J372" s="34"/>
      <c r="K372" s="34" t="s">
        <v>37</v>
      </c>
      <c r="L372" s="37"/>
      <c r="M372" s="38"/>
      <c r="N372" s="39">
        <v>13</v>
      </c>
      <c r="O372" s="40"/>
      <c r="P372" s="39">
        <v>13</v>
      </c>
      <c r="Q372" s="39">
        <v>265.5</v>
      </c>
    </row>
    <row r="373" spans="1:17" ht="45" hidden="1">
      <c r="A373" s="30">
        <v>33011258</v>
      </c>
      <c r="B373" s="31" t="s">
        <v>903</v>
      </c>
      <c r="C373" s="32">
        <v>1302</v>
      </c>
      <c r="D373" s="33" t="s">
        <v>49</v>
      </c>
      <c r="E373" s="34" t="s">
        <v>34</v>
      </c>
      <c r="F373" s="34" t="s">
        <v>35</v>
      </c>
      <c r="G373" s="33" t="s">
        <v>168</v>
      </c>
      <c r="H373" s="35"/>
      <c r="I373" s="36"/>
      <c r="J373" s="34"/>
      <c r="K373" s="34" t="s">
        <v>37</v>
      </c>
      <c r="L373" s="37">
        <v>46233</v>
      </c>
      <c r="M373" s="38">
        <v>46233</v>
      </c>
      <c r="N373" s="39">
        <v>24</v>
      </c>
      <c r="O373" s="40"/>
      <c r="P373" s="39">
        <v>8</v>
      </c>
      <c r="Q373" s="39">
        <v>4.5</v>
      </c>
    </row>
    <row r="374" spans="1:17" ht="30">
      <c r="A374" s="116" t="s">
        <v>904</v>
      </c>
      <c r="B374" s="31" t="s">
        <v>905</v>
      </c>
      <c r="C374" s="32" t="s">
        <v>906</v>
      </c>
      <c r="D374" s="33" t="s">
        <v>49</v>
      </c>
      <c r="E374" s="34" t="s">
        <v>827</v>
      </c>
      <c r="F374" s="34" t="s">
        <v>35</v>
      </c>
      <c r="G374" s="33" t="s">
        <v>50</v>
      </c>
      <c r="H374" s="35"/>
      <c r="I374" s="36"/>
      <c r="J374" s="34"/>
      <c r="K374" s="34" t="s">
        <v>25</v>
      </c>
      <c r="L374" s="37"/>
      <c r="M374" s="38"/>
      <c r="N374" s="40"/>
      <c r="O374" s="40"/>
      <c r="P374" s="39"/>
      <c r="Q374" s="39"/>
    </row>
    <row r="375" spans="1:17" ht="15.75">
      <c r="A375" s="116" t="s">
        <v>907</v>
      </c>
      <c r="B375" s="31" t="s">
        <v>908</v>
      </c>
      <c r="C375" s="32" t="s">
        <v>909</v>
      </c>
      <c r="D375" s="33" t="s">
        <v>68</v>
      </c>
      <c r="E375" s="34" t="s">
        <v>22</v>
      </c>
      <c r="F375" s="34" t="s">
        <v>35</v>
      </c>
      <c r="G375" s="33" t="s">
        <v>50</v>
      </c>
      <c r="H375" s="35"/>
      <c r="I375" s="36"/>
      <c r="J375" s="34"/>
      <c r="K375" s="34" t="s">
        <v>25</v>
      </c>
      <c r="L375" s="37"/>
      <c r="M375" s="38"/>
      <c r="N375" s="40"/>
      <c r="O375" s="40"/>
      <c r="P375" s="39"/>
      <c r="Q375" s="39"/>
    </row>
    <row r="376" spans="1:17" ht="30">
      <c r="A376" s="116" t="s">
        <v>910</v>
      </c>
      <c r="B376" s="31" t="s">
        <v>911</v>
      </c>
      <c r="C376" s="32" t="s">
        <v>912</v>
      </c>
      <c r="D376" s="33" t="s">
        <v>68</v>
      </c>
      <c r="E376" s="34" t="s">
        <v>34</v>
      </c>
      <c r="F376" s="34" t="s">
        <v>35</v>
      </c>
      <c r="G376" s="33" t="s">
        <v>50</v>
      </c>
      <c r="H376" s="35"/>
      <c r="I376" s="36"/>
      <c r="J376" s="34"/>
      <c r="K376" s="34" t="s">
        <v>25</v>
      </c>
      <c r="L376" s="37"/>
      <c r="M376" s="38"/>
      <c r="N376" s="40"/>
      <c r="O376" s="40"/>
      <c r="P376" s="39"/>
      <c r="Q376" s="39"/>
    </row>
    <row r="377" spans="1:17" ht="45">
      <c r="A377" s="116" t="s">
        <v>913</v>
      </c>
      <c r="B377" s="31" t="s">
        <v>914</v>
      </c>
      <c r="C377" s="32" t="s">
        <v>915</v>
      </c>
      <c r="D377" s="33" t="s">
        <v>33</v>
      </c>
      <c r="E377" s="34" t="s">
        <v>22</v>
      </c>
      <c r="F377" s="34" t="s">
        <v>142</v>
      </c>
      <c r="G377" s="33" t="s">
        <v>50</v>
      </c>
      <c r="H377" s="35"/>
      <c r="I377" s="36"/>
      <c r="J377" s="34"/>
      <c r="K377" s="34" t="s">
        <v>24</v>
      </c>
      <c r="L377" s="37"/>
      <c r="M377" s="38"/>
      <c r="N377" s="40"/>
      <c r="O377" s="40"/>
      <c r="P377" s="39"/>
      <c r="Q377" s="39"/>
    </row>
    <row r="378" spans="1:17" ht="31.5">
      <c r="A378" s="116" t="s">
        <v>916</v>
      </c>
      <c r="B378" s="31" t="s">
        <v>917</v>
      </c>
      <c r="C378" s="32" t="s">
        <v>918</v>
      </c>
      <c r="D378" s="33" t="s">
        <v>97</v>
      </c>
      <c r="E378" s="34" t="s">
        <v>22</v>
      </c>
      <c r="F378" s="34" t="s">
        <v>62</v>
      </c>
      <c r="G378" s="33" t="s">
        <v>50</v>
      </c>
      <c r="H378" s="35" t="s">
        <v>51</v>
      </c>
      <c r="I378" s="36"/>
      <c r="J378" s="34"/>
      <c r="K378" s="34" t="s">
        <v>25</v>
      </c>
      <c r="L378" s="37"/>
      <c r="M378" s="38"/>
      <c r="N378" s="40"/>
      <c r="O378" s="40"/>
      <c r="P378" s="39">
        <v>6</v>
      </c>
      <c r="Q378" s="39">
        <v>188.1</v>
      </c>
    </row>
    <row r="379" spans="1:17" ht="31.5">
      <c r="A379" s="116" t="s">
        <v>919</v>
      </c>
      <c r="B379" s="31" t="s">
        <v>920</v>
      </c>
      <c r="C379" s="32" t="s">
        <v>921</v>
      </c>
      <c r="D379" s="33" t="s">
        <v>97</v>
      </c>
      <c r="E379" s="34" t="s">
        <v>22</v>
      </c>
      <c r="F379" s="34" t="s">
        <v>62</v>
      </c>
      <c r="G379" s="33" t="s">
        <v>50</v>
      </c>
      <c r="H379" s="35" t="s">
        <v>51</v>
      </c>
      <c r="I379" s="36"/>
      <c r="J379" s="34"/>
      <c r="K379" s="34" t="s">
        <v>25</v>
      </c>
      <c r="L379" s="37"/>
      <c r="M379" s="38"/>
      <c r="N379" s="40"/>
      <c r="O379" s="40"/>
      <c r="P379" s="39">
        <v>6</v>
      </c>
      <c r="Q379" s="39">
        <v>188</v>
      </c>
    </row>
    <row r="380" spans="1:17" ht="31.5" hidden="1">
      <c r="A380" s="116" t="s">
        <v>922</v>
      </c>
      <c r="B380" s="31" t="s">
        <v>923</v>
      </c>
      <c r="C380" s="32" t="s">
        <v>924</v>
      </c>
      <c r="D380" s="33" t="s">
        <v>97</v>
      </c>
      <c r="E380" s="34" t="s">
        <v>22</v>
      </c>
      <c r="F380" s="34" t="s">
        <v>62</v>
      </c>
      <c r="G380" s="33" t="s">
        <v>50</v>
      </c>
      <c r="H380" s="35" t="s">
        <v>51</v>
      </c>
      <c r="I380" s="36"/>
      <c r="J380" s="34"/>
      <c r="K380" s="34" t="s">
        <v>29</v>
      </c>
      <c r="L380" s="37"/>
      <c r="M380" s="38"/>
      <c r="N380" s="40"/>
      <c r="O380" s="40"/>
      <c r="P380" s="39">
        <v>9</v>
      </c>
      <c r="Q380" s="39">
        <v>187.9</v>
      </c>
    </row>
    <row r="381" spans="1:17" ht="30" hidden="1">
      <c r="A381" s="116" t="s">
        <v>925</v>
      </c>
      <c r="B381" s="31" t="s">
        <v>926</v>
      </c>
      <c r="C381" s="32" t="s">
        <v>927</v>
      </c>
      <c r="D381" s="33" t="s">
        <v>97</v>
      </c>
      <c r="E381" s="34" t="s">
        <v>22</v>
      </c>
      <c r="F381" s="34" t="s">
        <v>142</v>
      </c>
      <c r="G381" s="33" t="s">
        <v>50</v>
      </c>
      <c r="H381" s="35"/>
      <c r="I381" s="36"/>
      <c r="J381" s="34"/>
      <c r="K381" s="34" t="s">
        <v>29</v>
      </c>
      <c r="L381" s="37"/>
      <c r="M381" s="38"/>
      <c r="N381" s="40"/>
      <c r="O381" s="40"/>
      <c r="P381" s="39">
        <v>9</v>
      </c>
      <c r="Q381" s="39">
        <v>187.8</v>
      </c>
    </row>
    <row r="382" spans="1:17" ht="30">
      <c r="A382" s="116" t="s">
        <v>928</v>
      </c>
      <c r="B382" s="31" t="s">
        <v>929</v>
      </c>
      <c r="C382" s="32" t="s">
        <v>930</v>
      </c>
      <c r="D382" s="33" t="s">
        <v>97</v>
      </c>
      <c r="E382" s="34" t="s">
        <v>34</v>
      </c>
      <c r="F382" s="34" t="s">
        <v>35</v>
      </c>
      <c r="G382" s="33" t="s">
        <v>168</v>
      </c>
      <c r="H382" s="35"/>
      <c r="I382" s="36"/>
      <c r="J382" s="34"/>
      <c r="K382" s="34" t="s">
        <v>25</v>
      </c>
      <c r="L382" s="37">
        <v>46233</v>
      </c>
      <c r="M382" s="38">
        <v>46233</v>
      </c>
      <c r="N382" s="39">
        <v>24</v>
      </c>
      <c r="O382" s="40"/>
      <c r="P382" s="39">
        <v>9</v>
      </c>
      <c r="Q382" s="39">
        <v>47.4</v>
      </c>
    </row>
    <row r="383" spans="1:17" ht="30" hidden="1">
      <c r="A383" s="116" t="s">
        <v>931</v>
      </c>
      <c r="B383" s="31" t="s">
        <v>932</v>
      </c>
      <c r="C383" s="32" t="s">
        <v>933</v>
      </c>
      <c r="D383" s="33" t="s">
        <v>97</v>
      </c>
      <c r="E383" s="34" t="s">
        <v>34</v>
      </c>
      <c r="F383" s="34" t="s">
        <v>35</v>
      </c>
      <c r="G383" s="33" t="s">
        <v>168</v>
      </c>
      <c r="H383" s="35"/>
      <c r="I383" s="36"/>
      <c r="J383" s="34"/>
      <c r="K383" s="34" t="s">
        <v>29</v>
      </c>
      <c r="L383" s="37">
        <v>46233</v>
      </c>
      <c r="M383" s="38">
        <v>46233</v>
      </c>
      <c r="N383" s="39">
        <v>24</v>
      </c>
      <c r="O383" s="40"/>
      <c r="P383" s="39">
        <v>16.5</v>
      </c>
      <c r="Q383" s="39">
        <v>49.1</v>
      </c>
    </row>
    <row r="384" spans="1:17" ht="47.25" hidden="1">
      <c r="A384" s="116" t="s">
        <v>934</v>
      </c>
      <c r="B384" s="31" t="s">
        <v>935</v>
      </c>
      <c r="C384" s="32" t="s">
        <v>936</v>
      </c>
      <c r="D384" s="33" t="s">
        <v>33</v>
      </c>
      <c r="E384" s="34" t="s">
        <v>22</v>
      </c>
      <c r="F384" s="34" t="s">
        <v>23</v>
      </c>
      <c r="G384" s="33" t="s">
        <v>757</v>
      </c>
      <c r="H384" s="35"/>
      <c r="I384" s="36"/>
      <c r="J384" s="34"/>
      <c r="K384" s="34" t="s">
        <v>29</v>
      </c>
      <c r="L384" s="37"/>
      <c r="M384" s="38"/>
      <c r="N384" s="40"/>
      <c r="O384" s="40"/>
      <c r="P384" s="39">
        <v>0.2</v>
      </c>
      <c r="Q384" s="39">
        <v>117.8</v>
      </c>
    </row>
    <row r="385" spans="1:17" ht="63" hidden="1">
      <c r="A385" s="116" t="s">
        <v>937</v>
      </c>
      <c r="B385" s="31" t="s">
        <v>938</v>
      </c>
      <c r="C385" s="32" t="s">
        <v>939</v>
      </c>
      <c r="D385" s="33" t="s">
        <v>33</v>
      </c>
      <c r="E385" s="34" t="s">
        <v>22</v>
      </c>
      <c r="F385" s="34" t="s">
        <v>23</v>
      </c>
      <c r="G385" s="33" t="s">
        <v>757</v>
      </c>
      <c r="H385" s="35"/>
      <c r="I385" s="36"/>
      <c r="J385" s="34"/>
      <c r="K385" s="34" t="s">
        <v>29</v>
      </c>
      <c r="L385" s="37"/>
      <c r="M385" s="38"/>
      <c r="N385" s="40"/>
      <c r="O385" s="40"/>
      <c r="P385" s="39">
        <v>7.8</v>
      </c>
      <c r="Q385" s="39">
        <v>159.80000000000001</v>
      </c>
    </row>
    <row r="386" spans="1:17" ht="63" hidden="1">
      <c r="A386" s="116" t="s">
        <v>940</v>
      </c>
      <c r="B386" s="31" t="s">
        <v>941</v>
      </c>
      <c r="C386" s="32" t="s">
        <v>942</v>
      </c>
      <c r="D386" s="33" t="s">
        <v>33</v>
      </c>
      <c r="E386" s="34" t="s">
        <v>22</v>
      </c>
      <c r="F386" s="34" t="s">
        <v>23</v>
      </c>
      <c r="G386" s="33" t="s">
        <v>757</v>
      </c>
      <c r="H386" s="35"/>
      <c r="I386" s="36"/>
      <c r="J386" s="34"/>
      <c r="K386" s="34" t="s">
        <v>29</v>
      </c>
      <c r="L386" s="37"/>
      <c r="M386" s="38"/>
      <c r="N386" s="40"/>
      <c r="O386" s="40"/>
      <c r="P386" s="39">
        <v>4</v>
      </c>
      <c r="Q386" s="39">
        <v>158.30000000000001</v>
      </c>
    </row>
    <row r="387" spans="1:17" ht="78.75" hidden="1">
      <c r="A387" s="116" t="s">
        <v>943</v>
      </c>
      <c r="B387" s="31" t="s">
        <v>944</v>
      </c>
      <c r="C387" s="32" t="s">
        <v>945</v>
      </c>
      <c r="D387" s="33" t="s">
        <v>33</v>
      </c>
      <c r="E387" s="34" t="s">
        <v>22</v>
      </c>
      <c r="F387" s="34" t="s">
        <v>23</v>
      </c>
      <c r="G387" s="33" t="s">
        <v>50</v>
      </c>
      <c r="H387" s="35"/>
      <c r="I387" s="36"/>
      <c r="J387" s="34"/>
      <c r="K387" s="34" t="s">
        <v>29</v>
      </c>
      <c r="L387" s="37"/>
      <c r="M387" s="38"/>
      <c r="N387" s="40"/>
      <c r="O387" s="40"/>
      <c r="P387" s="39">
        <v>2.4</v>
      </c>
      <c r="Q387" s="39">
        <v>13.1</v>
      </c>
    </row>
    <row r="388" spans="1:17" ht="30">
      <c r="A388" s="116">
        <v>33021722</v>
      </c>
      <c r="B388" s="31" t="s">
        <v>946</v>
      </c>
      <c r="C388" s="32">
        <v>1339</v>
      </c>
      <c r="D388" s="33" t="s">
        <v>68</v>
      </c>
      <c r="E388" s="34" t="s">
        <v>22</v>
      </c>
      <c r="F388" s="34" t="s">
        <v>35</v>
      </c>
      <c r="G388" s="33" t="s">
        <v>757</v>
      </c>
      <c r="H388" s="35"/>
      <c r="I388" s="36"/>
      <c r="J388" s="34"/>
      <c r="K388" s="34" t="s">
        <v>25</v>
      </c>
      <c r="L388" s="37"/>
      <c r="M388" s="38"/>
      <c r="N388" s="40"/>
      <c r="O388" s="40"/>
      <c r="P388" s="39"/>
      <c r="Q388" s="39"/>
    </row>
    <row r="389" spans="1:17" ht="30">
      <c r="A389" s="116">
        <v>33021799</v>
      </c>
      <c r="B389" s="31" t="s">
        <v>947</v>
      </c>
      <c r="C389" s="32">
        <v>1340</v>
      </c>
      <c r="D389" s="33" t="s">
        <v>33</v>
      </c>
      <c r="E389" s="34" t="s">
        <v>22</v>
      </c>
      <c r="F389" s="34" t="s">
        <v>35</v>
      </c>
      <c r="G389" s="33" t="s">
        <v>50</v>
      </c>
      <c r="H389" s="35"/>
      <c r="I389" s="36"/>
      <c r="J389" s="34"/>
      <c r="K389" s="34" t="s">
        <v>25</v>
      </c>
      <c r="L389" s="37"/>
      <c r="M389" s="38"/>
      <c r="N389" s="40"/>
      <c r="O389" s="40"/>
      <c r="P389" s="39">
        <v>4</v>
      </c>
      <c r="Q389" s="39">
        <v>157.4</v>
      </c>
    </row>
    <row r="390" spans="1:17" ht="15.75">
      <c r="A390" s="116">
        <v>33021843</v>
      </c>
      <c r="B390" s="31" t="s">
        <v>948</v>
      </c>
      <c r="C390" s="32">
        <v>1341</v>
      </c>
      <c r="D390" s="33" t="s">
        <v>68</v>
      </c>
      <c r="E390" s="34" t="s">
        <v>34</v>
      </c>
      <c r="F390" s="34" t="s">
        <v>35</v>
      </c>
      <c r="G390" s="33" t="s">
        <v>50</v>
      </c>
      <c r="H390" s="35"/>
      <c r="I390" s="36"/>
      <c r="J390" s="34"/>
      <c r="K390" s="34" t="s">
        <v>25</v>
      </c>
      <c r="L390" s="37"/>
      <c r="M390" s="38"/>
      <c r="N390" s="40"/>
      <c r="O390" s="40"/>
      <c r="P390" s="39"/>
      <c r="Q390" s="39"/>
    </row>
    <row r="391" spans="1:17" ht="15.75">
      <c r="A391" s="116">
        <v>33022670</v>
      </c>
      <c r="B391" s="31" t="s">
        <v>949</v>
      </c>
      <c r="C391" s="32">
        <v>1342</v>
      </c>
      <c r="D391" s="33" t="s">
        <v>68</v>
      </c>
      <c r="E391" s="34" t="s">
        <v>22</v>
      </c>
      <c r="F391" s="34" t="s">
        <v>62</v>
      </c>
      <c r="G391" s="33" t="s">
        <v>50</v>
      </c>
      <c r="H391" s="35" t="s">
        <v>51</v>
      </c>
      <c r="I391" s="36" t="s">
        <v>950</v>
      </c>
      <c r="J391" s="34"/>
      <c r="K391" s="34" t="s">
        <v>25</v>
      </c>
      <c r="L391" s="37"/>
      <c r="M391" s="38"/>
      <c r="N391" s="40"/>
      <c r="O391" s="40"/>
      <c r="P391" s="39"/>
      <c r="Q391" s="39"/>
    </row>
    <row r="392" spans="1:17" ht="31.5">
      <c r="A392" s="116">
        <v>33022800</v>
      </c>
      <c r="B392" s="31" t="s">
        <v>951</v>
      </c>
      <c r="C392" s="32">
        <v>1343</v>
      </c>
      <c r="D392" s="33" t="s">
        <v>68</v>
      </c>
      <c r="E392" s="34" t="s">
        <v>22</v>
      </c>
      <c r="F392" s="34" t="s">
        <v>62</v>
      </c>
      <c r="G392" s="33" t="s">
        <v>50</v>
      </c>
      <c r="H392" s="35" t="s">
        <v>51</v>
      </c>
      <c r="I392" s="36"/>
      <c r="J392" s="34"/>
      <c r="K392" s="34" t="s">
        <v>25</v>
      </c>
      <c r="L392" s="37"/>
      <c r="M392" s="38"/>
      <c r="N392" s="40"/>
      <c r="O392" s="40"/>
      <c r="P392" s="39"/>
      <c r="Q392" s="39"/>
    </row>
    <row r="393" spans="1:17" ht="30">
      <c r="A393" s="116">
        <v>33022853</v>
      </c>
      <c r="B393" s="31" t="s">
        <v>952</v>
      </c>
      <c r="C393" s="32">
        <v>1344</v>
      </c>
      <c r="D393" s="33" t="s">
        <v>68</v>
      </c>
      <c r="E393" s="34" t="s">
        <v>34</v>
      </c>
      <c r="F393" s="34" t="s">
        <v>35</v>
      </c>
      <c r="G393" s="33" t="s">
        <v>50</v>
      </c>
      <c r="H393" s="35"/>
      <c r="I393" s="36"/>
      <c r="J393" s="34"/>
      <c r="K393" s="34" t="s">
        <v>25</v>
      </c>
      <c r="L393" s="37"/>
      <c r="M393" s="38"/>
      <c r="N393" s="40"/>
      <c r="O393" s="40"/>
      <c r="P393" s="39"/>
      <c r="Q393" s="39"/>
    </row>
    <row r="394" spans="1:17" ht="30">
      <c r="A394" s="116">
        <v>33022868</v>
      </c>
      <c r="B394" s="31" t="s">
        <v>953</v>
      </c>
      <c r="C394" s="32">
        <v>1345</v>
      </c>
      <c r="D394" s="33" t="s">
        <v>49</v>
      </c>
      <c r="E394" s="34" t="s">
        <v>34</v>
      </c>
      <c r="F394" s="34" t="s">
        <v>35</v>
      </c>
      <c r="G394" s="33" t="s">
        <v>50</v>
      </c>
      <c r="H394" s="35"/>
      <c r="I394" s="36"/>
      <c r="J394" s="34"/>
      <c r="K394" s="34" t="s">
        <v>25</v>
      </c>
      <c r="L394" s="37"/>
      <c r="M394" s="38"/>
      <c r="N394" s="40"/>
      <c r="O394" s="40"/>
      <c r="P394" s="39"/>
      <c r="Q394" s="39"/>
    </row>
    <row r="395" spans="1:17" ht="30">
      <c r="A395" s="116">
        <v>33022953</v>
      </c>
      <c r="B395" s="31" t="s">
        <v>954</v>
      </c>
      <c r="C395" s="32">
        <v>1347</v>
      </c>
      <c r="D395" s="33" t="s">
        <v>49</v>
      </c>
      <c r="E395" s="34" t="s">
        <v>34</v>
      </c>
      <c r="F395" s="34" t="s">
        <v>35</v>
      </c>
      <c r="G395" s="33" t="s">
        <v>50</v>
      </c>
      <c r="H395" s="35"/>
      <c r="I395" s="36"/>
      <c r="J395" s="34"/>
      <c r="K395" s="34" t="s">
        <v>25</v>
      </c>
      <c r="L395" s="37"/>
      <c r="M395" s="38"/>
      <c r="N395" s="40"/>
      <c r="O395" s="40"/>
      <c r="P395" s="39"/>
      <c r="Q395" s="39"/>
    </row>
    <row r="396" spans="1:17" ht="30">
      <c r="A396" s="116">
        <v>33022966</v>
      </c>
      <c r="B396" s="31" t="s">
        <v>955</v>
      </c>
      <c r="C396" s="32">
        <v>1348</v>
      </c>
      <c r="D396" s="33" t="s">
        <v>49</v>
      </c>
      <c r="E396" s="34" t="s">
        <v>34</v>
      </c>
      <c r="F396" s="34" t="s">
        <v>35</v>
      </c>
      <c r="G396" s="33" t="s">
        <v>50</v>
      </c>
      <c r="H396" s="35"/>
      <c r="I396" s="36"/>
      <c r="J396" s="34"/>
      <c r="K396" s="34" t="s">
        <v>25</v>
      </c>
      <c r="L396" s="37"/>
      <c r="M396" s="38"/>
      <c r="N396" s="40"/>
      <c r="O396" s="40"/>
      <c r="P396" s="39">
        <v>0.5</v>
      </c>
      <c r="Q396" s="39">
        <v>16.899999999999999</v>
      </c>
    </row>
    <row r="397" spans="1:17" ht="15.75">
      <c r="A397" s="116">
        <v>33022983</v>
      </c>
      <c r="B397" s="31" t="s">
        <v>956</v>
      </c>
      <c r="C397" s="32">
        <v>1349</v>
      </c>
      <c r="D397" s="33" t="s">
        <v>73</v>
      </c>
      <c r="E397" s="34" t="s">
        <v>22</v>
      </c>
      <c r="F397" s="34" t="s">
        <v>35</v>
      </c>
      <c r="G397" s="33" t="s">
        <v>50</v>
      </c>
      <c r="H397" s="35"/>
      <c r="I397" s="36"/>
      <c r="J397" s="34"/>
      <c r="K397" s="34" t="s">
        <v>25</v>
      </c>
      <c r="L397" s="37"/>
      <c r="M397" s="38"/>
      <c r="N397" s="40"/>
      <c r="O397" s="40"/>
      <c r="P397" s="39"/>
      <c r="Q397" s="39"/>
    </row>
    <row r="398" spans="1:17" ht="30">
      <c r="A398" s="116">
        <v>33023575</v>
      </c>
      <c r="B398" s="31" t="s">
        <v>957</v>
      </c>
      <c r="C398" s="32">
        <v>1352</v>
      </c>
      <c r="D398" s="33" t="s">
        <v>97</v>
      </c>
      <c r="E398" s="34" t="s">
        <v>34</v>
      </c>
      <c r="F398" s="34" t="s">
        <v>35</v>
      </c>
      <c r="G398" s="33" t="s">
        <v>168</v>
      </c>
      <c r="H398" s="35"/>
      <c r="I398" s="36"/>
      <c r="J398" s="34"/>
      <c r="K398" s="34" t="s">
        <v>25</v>
      </c>
      <c r="L398" s="37">
        <v>46232</v>
      </c>
      <c r="M398" s="38">
        <v>46232</v>
      </c>
      <c r="N398" s="39">
        <v>9</v>
      </c>
      <c r="O398" s="40"/>
      <c r="P398" s="39">
        <v>10</v>
      </c>
      <c r="Q398" s="39">
        <v>5.2</v>
      </c>
    </row>
    <row r="399" spans="1:17" ht="30">
      <c r="A399" s="116">
        <v>33023666</v>
      </c>
      <c r="B399" s="31" t="s">
        <v>958</v>
      </c>
      <c r="C399" s="32">
        <v>1353</v>
      </c>
      <c r="D399" s="33" t="s">
        <v>49</v>
      </c>
      <c r="E399" s="34" t="s">
        <v>827</v>
      </c>
      <c r="F399" s="34" t="s">
        <v>35</v>
      </c>
      <c r="G399" s="33" t="s">
        <v>50</v>
      </c>
      <c r="H399" s="35" t="s">
        <v>51</v>
      </c>
      <c r="I399" s="36"/>
      <c r="J399" s="34"/>
      <c r="K399" s="34" t="s">
        <v>25</v>
      </c>
      <c r="L399" s="37"/>
      <c r="M399" s="38"/>
      <c r="N399" s="40"/>
      <c r="O399" s="40"/>
      <c r="P399" s="39"/>
      <c r="Q399" s="39"/>
    </row>
    <row r="400" spans="1:17" ht="30" hidden="1">
      <c r="A400" s="116">
        <v>33023735</v>
      </c>
      <c r="B400" s="31" t="s">
        <v>959</v>
      </c>
      <c r="C400" s="32">
        <v>1354</v>
      </c>
      <c r="D400" s="33" t="s">
        <v>97</v>
      </c>
      <c r="E400" s="34" t="s">
        <v>34</v>
      </c>
      <c r="F400" s="34" t="s">
        <v>35</v>
      </c>
      <c r="G400" s="33" t="s">
        <v>168</v>
      </c>
      <c r="H400" s="35"/>
      <c r="I400" s="36"/>
      <c r="J400" s="34"/>
      <c r="K400" s="34" t="s">
        <v>29</v>
      </c>
      <c r="L400" s="37">
        <v>46232</v>
      </c>
      <c r="M400" s="38">
        <v>46232</v>
      </c>
      <c r="N400" s="39">
        <v>7</v>
      </c>
      <c r="O400" s="40"/>
      <c r="P400" s="39">
        <v>8</v>
      </c>
      <c r="Q400" s="39">
        <v>5.0999999999999996</v>
      </c>
    </row>
    <row r="401" spans="1:17" ht="30">
      <c r="A401" s="116">
        <v>33023745</v>
      </c>
      <c r="B401" s="31" t="s">
        <v>960</v>
      </c>
      <c r="C401" s="32">
        <v>1355</v>
      </c>
      <c r="D401" s="33" t="s">
        <v>49</v>
      </c>
      <c r="E401" s="34" t="s">
        <v>34</v>
      </c>
      <c r="F401" s="34" t="s">
        <v>35</v>
      </c>
      <c r="G401" s="33" t="s">
        <v>50</v>
      </c>
      <c r="H401" s="35"/>
      <c r="I401" s="36"/>
      <c r="J401" s="34"/>
      <c r="K401" s="34" t="s">
        <v>25</v>
      </c>
      <c r="L401" s="37">
        <v>46238</v>
      </c>
      <c r="M401" s="38">
        <v>46237</v>
      </c>
      <c r="N401" s="40"/>
      <c r="O401" s="40"/>
      <c r="P401" s="39">
        <v>6.6</v>
      </c>
      <c r="Q401" s="39">
        <v>5.4</v>
      </c>
    </row>
    <row r="402" spans="1:17" ht="30.75">
      <c r="A402" s="116">
        <v>33023803</v>
      </c>
      <c r="B402" s="31" t="s">
        <v>961</v>
      </c>
      <c r="C402" s="32">
        <v>1356</v>
      </c>
      <c r="D402" s="33" t="s">
        <v>49</v>
      </c>
      <c r="E402" s="34" t="s">
        <v>34</v>
      </c>
      <c r="F402" s="34" t="s">
        <v>62</v>
      </c>
      <c r="G402" s="33" t="s">
        <v>50</v>
      </c>
      <c r="H402" s="35" t="s">
        <v>51</v>
      </c>
      <c r="I402" s="36" t="s">
        <v>962</v>
      </c>
      <c r="J402" s="34"/>
      <c r="K402" s="34" t="s">
        <v>25</v>
      </c>
      <c r="L402" s="37"/>
      <c r="M402" s="38"/>
      <c r="N402" s="40"/>
      <c r="O402" s="40"/>
      <c r="P402" s="39"/>
      <c r="Q402" s="39"/>
    </row>
    <row r="403" spans="1:17" ht="30">
      <c r="A403" s="116">
        <v>33023820</v>
      </c>
      <c r="B403" s="31" t="s">
        <v>963</v>
      </c>
      <c r="C403" s="32">
        <v>1357</v>
      </c>
      <c r="D403" s="33" t="s">
        <v>68</v>
      </c>
      <c r="E403" s="34" t="s">
        <v>22</v>
      </c>
      <c r="F403" s="34" t="s">
        <v>35</v>
      </c>
      <c r="G403" s="33" t="s">
        <v>50</v>
      </c>
      <c r="H403" s="35"/>
      <c r="I403" s="36"/>
      <c r="J403" s="34"/>
      <c r="K403" s="34" t="s">
        <v>25</v>
      </c>
      <c r="L403" s="37"/>
      <c r="M403" s="38"/>
      <c r="N403" s="40"/>
      <c r="O403" s="40"/>
      <c r="P403" s="39"/>
      <c r="Q403" s="39"/>
    </row>
    <row r="404" spans="1:17" ht="30">
      <c r="A404" s="116">
        <v>33023837</v>
      </c>
      <c r="B404" s="31" t="s">
        <v>964</v>
      </c>
      <c r="C404" s="32">
        <v>1358</v>
      </c>
      <c r="D404" s="33" t="s">
        <v>68</v>
      </c>
      <c r="E404" s="34" t="s">
        <v>22</v>
      </c>
      <c r="F404" s="34" t="s">
        <v>35</v>
      </c>
      <c r="G404" s="33" t="s">
        <v>50</v>
      </c>
      <c r="H404" s="35"/>
      <c r="I404" s="36"/>
      <c r="J404" s="34"/>
      <c r="K404" s="34" t="s">
        <v>25</v>
      </c>
      <c r="L404" s="37"/>
      <c r="M404" s="38"/>
      <c r="N404" s="40"/>
      <c r="O404" s="40"/>
      <c r="P404" s="39"/>
      <c r="Q404" s="39"/>
    </row>
    <row r="405" spans="1:17" ht="31.5">
      <c r="A405" s="116">
        <v>33025667</v>
      </c>
      <c r="B405" s="31" t="s">
        <v>965</v>
      </c>
      <c r="C405" s="32">
        <v>1360</v>
      </c>
      <c r="D405" s="33" t="s">
        <v>97</v>
      </c>
      <c r="E405" s="34" t="s">
        <v>22</v>
      </c>
      <c r="F405" s="34" t="s">
        <v>62</v>
      </c>
      <c r="G405" s="33" t="s">
        <v>50</v>
      </c>
      <c r="H405" s="35" t="s">
        <v>51</v>
      </c>
      <c r="I405" s="36"/>
      <c r="J405" s="34"/>
      <c r="K405" s="34" t="s">
        <v>25</v>
      </c>
      <c r="L405" s="37"/>
      <c r="M405" s="38"/>
      <c r="N405" s="40"/>
      <c r="O405" s="40"/>
      <c r="P405" s="39"/>
      <c r="Q405" s="39"/>
    </row>
    <row r="406" spans="1:17" ht="30">
      <c r="A406" s="116" t="s">
        <v>966</v>
      </c>
      <c r="B406" s="31" t="s">
        <v>967</v>
      </c>
      <c r="C406" s="32" t="s">
        <v>968</v>
      </c>
      <c r="D406" s="33" t="s">
        <v>68</v>
      </c>
      <c r="E406" s="34" t="s">
        <v>827</v>
      </c>
      <c r="F406" s="34" t="s">
        <v>35</v>
      </c>
      <c r="G406" s="33" t="s">
        <v>50</v>
      </c>
      <c r="H406" s="35"/>
      <c r="I406" s="36" t="s">
        <v>969</v>
      </c>
      <c r="J406" s="34"/>
      <c r="K406" s="34" t="s">
        <v>25</v>
      </c>
      <c r="L406" s="37"/>
      <c r="M406" s="38"/>
      <c r="N406" s="40"/>
      <c r="O406" s="40"/>
      <c r="P406" s="39"/>
      <c r="Q406" s="39"/>
    </row>
    <row r="407" spans="1:17" ht="45" hidden="1">
      <c r="A407" s="116" t="s">
        <v>970</v>
      </c>
      <c r="B407" s="31" t="s">
        <v>971</v>
      </c>
      <c r="C407" s="32" t="s">
        <v>972</v>
      </c>
      <c r="D407" s="33" t="s">
        <v>97</v>
      </c>
      <c r="E407" s="34" t="s">
        <v>22</v>
      </c>
      <c r="F407" s="34" t="s">
        <v>35</v>
      </c>
      <c r="G407" s="33" t="s">
        <v>757</v>
      </c>
      <c r="H407" s="35"/>
      <c r="I407" s="36"/>
      <c r="J407" s="34"/>
      <c r="K407" s="34" t="s">
        <v>29</v>
      </c>
      <c r="L407" s="37"/>
      <c r="M407" s="38"/>
      <c r="N407" s="40"/>
      <c r="O407" s="40"/>
      <c r="P407" s="39">
        <v>23.1</v>
      </c>
      <c r="Q407" s="39">
        <v>119.8</v>
      </c>
    </row>
    <row r="408" spans="1:17" ht="45" hidden="1">
      <c r="A408" s="116" t="s">
        <v>973</v>
      </c>
      <c r="B408" s="31" t="s">
        <v>974</v>
      </c>
      <c r="C408" s="32" t="s">
        <v>975</v>
      </c>
      <c r="D408" s="33" t="s">
        <v>97</v>
      </c>
      <c r="E408" s="34" t="s">
        <v>22</v>
      </c>
      <c r="F408" s="34" t="s">
        <v>35</v>
      </c>
      <c r="G408" s="33" t="s">
        <v>757</v>
      </c>
      <c r="H408" s="35"/>
      <c r="I408" s="36"/>
      <c r="J408" s="34"/>
      <c r="K408" s="34" t="s">
        <v>29</v>
      </c>
      <c r="L408" s="37"/>
      <c r="M408" s="38"/>
      <c r="N408" s="40"/>
      <c r="O408" s="40"/>
      <c r="P408" s="39">
        <v>17.2</v>
      </c>
      <c r="Q408" s="39">
        <v>144.4</v>
      </c>
    </row>
    <row r="409" spans="1:17" ht="15.75">
      <c r="A409" s="116" t="s">
        <v>976</v>
      </c>
      <c r="B409" s="31" t="s">
        <v>977</v>
      </c>
      <c r="C409" s="32" t="s">
        <v>978</v>
      </c>
      <c r="D409" s="33" t="s">
        <v>68</v>
      </c>
      <c r="E409" s="34" t="s">
        <v>22</v>
      </c>
      <c r="F409" s="34" t="s">
        <v>142</v>
      </c>
      <c r="G409" s="33" t="s">
        <v>50</v>
      </c>
      <c r="H409" s="35"/>
      <c r="I409" s="36"/>
      <c r="J409" s="34"/>
      <c r="K409" s="34" t="s">
        <v>25</v>
      </c>
      <c r="L409" s="37"/>
      <c r="M409" s="38"/>
      <c r="N409" s="40"/>
      <c r="O409" s="40"/>
      <c r="P409" s="39">
        <v>19.5</v>
      </c>
      <c r="Q409" s="39">
        <v>143.4</v>
      </c>
    </row>
    <row r="410" spans="1:17" ht="15.75">
      <c r="A410" s="116" t="s">
        <v>979</v>
      </c>
      <c r="B410" s="31" t="s">
        <v>980</v>
      </c>
      <c r="C410" s="32" t="s">
        <v>981</v>
      </c>
      <c r="D410" s="33" t="s">
        <v>186</v>
      </c>
      <c r="E410" s="34" t="s">
        <v>22</v>
      </c>
      <c r="F410" s="34" t="s">
        <v>142</v>
      </c>
      <c r="G410" s="33" t="s">
        <v>50</v>
      </c>
      <c r="H410" s="35"/>
      <c r="I410" s="36"/>
      <c r="J410" s="34"/>
      <c r="K410" s="34" t="s">
        <v>25</v>
      </c>
      <c r="L410" s="37"/>
      <c r="M410" s="38"/>
      <c r="N410" s="40"/>
      <c r="O410" s="40"/>
      <c r="P410" s="39">
        <v>26</v>
      </c>
      <c r="Q410" s="39">
        <v>143.4</v>
      </c>
    </row>
    <row r="411" spans="1:17" ht="30.75">
      <c r="A411" s="116" t="s">
        <v>982</v>
      </c>
      <c r="B411" s="31" t="s">
        <v>983</v>
      </c>
      <c r="C411" s="32" t="s">
        <v>984</v>
      </c>
      <c r="D411" s="33" t="s">
        <v>33</v>
      </c>
      <c r="E411" s="34" t="s">
        <v>827</v>
      </c>
      <c r="F411" s="34" t="s">
        <v>35</v>
      </c>
      <c r="G411" s="33" t="s">
        <v>50</v>
      </c>
      <c r="H411" s="35" t="s">
        <v>51</v>
      </c>
      <c r="I411" s="36" t="s">
        <v>985</v>
      </c>
      <c r="J411" s="34"/>
      <c r="K411" s="34" t="s">
        <v>25</v>
      </c>
      <c r="L411" s="37"/>
      <c r="M411" s="38"/>
      <c r="N411" s="40"/>
      <c r="O411" s="40"/>
      <c r="P411" s="39"/>
      <c r="Q411" s="39"/>
    </row>
    <row r="412" spans="1:17" ht="30">
      <c r="A412" s="116" t="s">
        <v>986</v>
      </c>
      <c r="B412" s="31" t="s">
        <v>987</v>
      </c>
      <c r="C412" s="32" t="s">
        <v>988</v>
      </c>
      <c r="D412" s="33" t="s">
        <v>68</v>
      </c>
      <c r="E412" s="34" t="s">
        <v>22</v>
      </c>
      <c r="F412" s="34" t="s">
        <v>35</v>
      </c>
      <c r="G412" s="33" t="s">
        <v>168</v>
      </c>
      <c r="H412" s="35"/>
      <c r="I412" s="36"/>
      <c r="J412" s="34"/>
      <c r="K412" s="34" t="s">
        <v>25</v>
      </c>
      <c r="L412" s="37"/>
      <c r="M412" s="38"/>
      <c r="N412" s="40"/>
      <c r="O412" s="40"/>
      <c r="P412" s="39"/>
      <c r="Q412" s="39"/>
    </row>
    <row r="413" spans="1:17" ht="60">
      <c r="A413" s="116" t="s">
        <v>989</v>
      </c>
      <c r="B413" s="31" t="s">
        <v>990</v>
      </c>
      <c r="C413" s="32" t="s">
        <v>991</v>
      </c>
      <c r="D413" s="33" t="s">
        <v>68</v>
      </c>
      <c r="E413" s="34" t="s">
        <v>22</v>
      </c>
      <c r="F413" s="34" t="s">
        <v>35</v>
      </c>
      <c r="G413" s="33" t="s">
        <v>757</v>
      </c>
      <c r="H413" s="35"/>
      <c r="I413" s="36"/>
      <c r="J413" s="34"/>
      <c r="K413" s="34" t="s">
        <v>25</v>
      </c>
      <c r="L413" s="37"/>
      <c r="M413" s="38"/>
      <c r="N413" s="40"/>
      <c r="O413" s="40"/>
      <c r="P413" s="39">
        <v>5.2</v>
      </c>
      <c r="Q413" s="39">
        <v>117.6</v>
      </c>
    </row>
    <row r="414" spans="1:17" ht="15.75">
      <c r="A414" s="93" t="s">
        <v>976</v>
      </c>
      <c r="B414" s="31" t="s">
        <v>977</v>
      </c>
      <c r="C414" s="32" t="s">
        <v>978</v>
      </c>
      <c r="D414" s="33" t="s">
        <v>68</v>
      </c>
      <c r="E414" s="34" t="s">
        <v>22</v>
      </c>
      <c r="F414" s="34" t="s">
        <v>142</v>
      </c>
      <c r="G414" s="33" t="s">
        <v>50</v>
      </c>
      <c r="H414" s="35"/>
      <c r="I414" s="36"/>
      <c r="J414" s="34"/>
      <c r="K414" s="34" t="s">
        <v>25</v>
      </c>
      <c r="L414" s="37"/>
      <c r="M414" s="38"/>
      <c r="N414" s="40"/>
      <c r="O414" s="40"/>
      <c r="P414" s="39">
        <v>19.5</v>
      </c>
      <c r="Q414" s="39">
        <v>143.4</v>
      </c>
    </row>
    <row r="415" spans="1:17" ht="15.75">
      <c r="A415" s="93" t="s">
        <v>979</v>
      </c>
      <c r="B415" s="31" t="s">
        <v>980</v>
      </c>
      <c r="C415" s="32" t="s">
        <v>981</v>
      </c>
      <c r="D415" s="33" t="s">
        <v>186</v>
      </c>
      <c r="E415" s="34" t="s">
        <v>22</v>
      </c>
      <c r="F415" s="34" t="s">
        <v>142</v>
      </c>
      <c r="G415" s="33" t="s">
        <v>50</v>
      </c>
      <c r="H415" s="35"/>
      <c r="I415" s="36"/>
      <c r="J415" s="34"/>
      <c r="K415" s="34" t="s">
        <v>25</v>
      </c>
      <c r="L415" s="37"/>
      <c r="M415" s="38"/>
      <c r="N415" s="40"/>
      <c r="O415" s="40"/>
      <c r="P415" s="39">
        <v>26</v>
      </c>
      <c r="Q415" s="39">
        <v>143.4</v>
      </c>
    </row>
    <row r="416" spans="1:17" ht="30.75">
      <c r="A416" s="93" t="s">
        <v>992</v>
      </c>
      <c r="B416" s="31" t="s">
        <v>993</v>
      </c>
      <c r="C416" s="32" t="s">
        <v>994</v>
      </c>
      <c r="D416" s="33" t="s">
        <v>68</v>
      </c>
      <c r="E416" s="34" t="s">
        <v>827</v>
      </c>
      <c r="F416" s="34" t="s">
        <v>35</v>
      </c>
      <c r="G416" s="33" t="s">
        <v>50</v>
      </c>
      <c r="H416" s="35" t="s">
        <v>51</v>
      </c>
      <c r="I416" s="36"/>
      <c r="J416" s="34"/>
      <c r="K416" s="34" t="s">
        <v>25</v>
      </c>
      <c r="L416" s="37"/>
      <c r="M416" s="38"/>
      <c r="N416" s="40"/>
      <c r="O416" s="40"/>
      <c r="P416" s="39"/>
      <c r="Q416" s="39"/>
    </row>
    <row r="417" spans="1:17" ht="15.75">
      <c r="A417" s="93" t="s">
        <v>995</v>
      </c>
      <c r="B417" s="31" t="s">
        <v>996</v>
      </c>
      <c r="C417" s="32" t="s">
        <v>997</v>
      </c>
      <c r="D417" s="33" t="s">
        <v>33</v>
      </c>
      <c r="E417" s="34" t="s">
        <v>34</v>
      </c>
      <c r="F417" s="34" t="s">
        <v>35</v>
      </c>
      <c r="G417" s="33" t="s">
        <v>998</v>
      </c>
      <c r="H417" s="35" t="s">
        <v>51</v>
      </c>
      <c r="I417" s="36"/>
      <c r="J417" s="34"/>
      <c r="K417" s="34" t="s">
        <v>25</v>
      </c>
      <c r="L417" s="37"/>
      <c r="M417" s="38"/>
      <c r="N417" s="39">
        <v>24</v>
      </c>
      <c r="O417" s="40"/>
      <c r="P417" s="39"/>
      <c r="Q417" s="39"/>
    </row>
    <row r="418" spans="1:17" ht="15.75">
      <c r="A418" s="93" t="s">
        <v>999</v>
      </c>
      <c r="B418" s="31" t="s">
        <v>1000</v>
      </c>
      <c r="C418" s="32" t="s">
        <v>1001</v>
      </c>
      <c r="D418" s="33" t="s">
        <v>33</v>
      </c>
      <c r="E418" s="34" t="s">
        <v>34</v>
      </c>
      <c r="F418" s="34" t="s">
        <v>35</v>
      </c>
      <c r="G418" s="33" t="s">
        <v>998</v>
      </c>
      <c r="H418" s="35" t="s">
        <v>51</v>
      </c>
      <c r="I418" s="36"/>
      <c r="J418" s="34"/>
      <c r="K418" s="34" t="s">
        <v>25</v>
      </c>
      <c r="L418" s="37"/>
      <c r="M418" s="38"/>
      <c r="N418" s="39">
        <v>12</v>
      </c>
      <c r="O418" s="40"/>
      <c r="P418" s="39"/>
      <c r="Q418" s="39"/>
    </row>
    <row r="419" spans="1:17" ht="30.75" hidden="1">
      <c r="A419" s="93" t="s">
        <v>1002</v>
      </c>
      <c r="B419" s="31" t="s">
        <v>1003</v>
      </c>
      <c r="C419" s="32" t="s">
        <v>1004</v>
      </c>
      <c r="D419" s="33" t="s">
        <v>33</v>
      </c>
      <c r="E419" s="34" t="s">
        <v>22</v>
      </c>
      <c r="F419" s="34" t="s">
        <v>35</v>
      </c>
      <c r="G419" s="33" t="s">
        <v>50</v>
      </c>
      <c r="H419" s="35"/>
      <c r="I419" s="36"/>
      <c r="J419" s="34"/>
      <c r="K419" s="34" t="s">
        <v>29</v>
      </c>
      <c r="L419" s="37"/>
      <c r="M419" s="38"/>
      <c r="N419" s="40"/>
      <c r="O419" s="40"/>
      <c r="P419" s="39"/>
      <c r="Q419" s="39"/>
    </row>
    <row r="420" spans="1:17" ht="15.75">
      <c r="A420" s="93">
        <v>33057946</v>
      </c>
      <c r="B420" s="31" t="s">
        <v>1005</v>
      </c>
      <c r="C420" s="32">
        <v>1416</v>
      </c>
      <c r="D420" s="33" t="s">
        <v>671</v>
      </c>
      <c r="E420" s="34" t="s">
        <v>827</v>
      </c>
      <c r="F420" s="34" t="s">
        <v>35</v>
      </c>
      <c r="G420" s="33" t="s">
        <v>998</v>
      </c>
      <c r="H420" s="35"/>
      <c r="I420" s="36"/>
      <c r="J420" s="34"/>
      <c r="K420" s="34" t="s">
        <v>25</v>
      </c>
      <c r="L420" s="37"/>
      <c r="M420" s="38"/>
      <c r="N420" s="40"/>
      <c r="O420" s="40"/>
      <c r="P420" s="39"/>
      <c r="Q420" s="39"/>
    </row>
    <row r="421" spans="1:17" ht="15.75" hidden="1">
      <c r="A421" s="93">
        <v>33058259</v>
      </c>
      <c r="B421" s="31" t="s">
        <v>1006</v>
      </c>
      <c r="C421" s="32">
        <v>1417</v>
      </c>
      <c r="D421" s="33" t="s">
        <v>671</v>
      </c>
      <c r="E421" s="34" t="s">
        <v>22</v>
      </c>
      <c r="F421" s="34" t="s">
        <v>35</v>
      </c>
      <c r="G421" s="33" t="s">
        <v>998</v>
      </c>
      <c r="H421" s="35"/>
      <c r="I421" s="36"/>
      <c r="J421" s="34"/>
      <c r="K421" s="34" t="s">
        <v>37</v>
      </c>
      <c r="L421" s="37"/>
      <c r="M421" s="38"/>
      <c r="N421" s="40"/>
      <c r="O421" s="40"/>
      <c r="P421" s="39"/>
      <c r="Q421" s="39"/>
    </row>
    <row r="422" spans="1:17" ht="30.75" hidden="1">
      <c r="A422" s="93">
        <v>33058303</v>
      </c>
      <c r="B422" s="31" t="s">
        <v>1007</v>
      </c>
      <c r="C422" s="32">
        <v>1418</v>
      </c>
      <c r="D422" s="33" t="s">
        <v>671</v>
      </c>
      <c r="E422" s="34" t="s">
        <v>22</v>
      </c>
      <c r="F422" s="34" t="s">
        <v>35</v>
      </c>
      <c r="G422" s="33" t="s">
        <v>998</v>
      </c>
      <c r="H422" s="35"/>
      <c r="I422" s="36"/>
      <c r="J422" s="34"/>
      <c r="K422" s="34" t="s">
        <v>37</v>
      </c>
      <c r="L422" s="37"/>
      <c r="M422" s="38"/>
      <c r="N422" s="40"/>
      <c r="O422" s="40"/>
      <c r="P422" s="39"/>
      <c r="Q422" s="39"/>
    </row>
    <row r="423" spans="1:17" ht="15.75" hidden="1">
      <c r="A423" s="93">
        <v>33058312</v>
      </c>
      <c r="B423" s="31" t="s">
        <v>1008</v>
      </c>
      <c r="C423" s="32">
        <v>1419</v>
      </c>
      <c r="D423" s="33" t="s">
        <v>671</v>
      </c>
      <c r="E423" s="34" t="s">
        <v>22</v>
      </c>
      <c r="F423" s="34" t="s">
        <v>35</v>
      </c>
      <c r="G423" s="33" t="s">
        <v>998</v>
      </c>
      <c r="H423" s="35"/>
      <c r="I423" s="36"/>
      <c r="J423" s="34"/>
      <c r="K423" s="34" t="s">
        <v>37</v>
      </c>
      <c r="L423" s="37"/>
      <c r="M423" s="38"/>
      <c r="N423" s="40"/>
      <c r="O423" s="40"/>
      <c r="P423" s="39"/>
      <c r="Q423" s="39"/>
    </row>
    <row r="424" spans="1:17" ht="30.75" hidden="1">
      <c r="A424" s="93">
        <v>33060679</v>
      </c>
      <c r="B424" s="31" t="s">
        <v>1009</v>
      </c>
      <c r="C424" s="32">
        <v>1420</v>
      </c>
      <c r="D424" s="33" t="s">
        <v>671</v>
      </c>
      <c r="E424" s="34" t="s">
        <v>22</v>
      </c>
      <c r="F424" s="34" t="s">
        <v>35</v>
      </c>
      <c r="G424" s="33" t="s">
        <v>998</v>
      </c>
      <c r="H424" s="35"/>
      <c r="I424" s="36"/>
      <c r="J424" s="34"/>
      <c r="K424" s="34" t="s">
        <v>37</v>
      </c>
      <c r="L424" s="37"/>
      <c r="M424" s="38"/>
      <c r="N424" s="40"/>
      <c r="O424" s="40"/>
      <c r="P424" s="39"/>
      <c r="Q424" s="39"/>
    </row>
    <row r="425" spans="1:17" ht="30.75" hidden="1">
      <c r="A425" s="93">
        <v>33060680</v>
      </c>
      <c r="B425" s="31" t="s">
        <v>1010</v>
      </c>
      <c r="C425" s="32">
        <v>1421</v>
      </c>
      <c r="D425" s="33" t="s">
        <v>671</v>
      </c>
      <c r="E425" s="34" t="s">
        <v>22</v>
      </c>
      <c r="F425" s="34" t="s">
        <v>35</v>
      </c>
      <c r="G425" s="33" t="s">
        <v>998</v>
      </c>
      <c r="H425" s="35"/>
      <c r="I425" s="36"/>
      <c r="J425" s="34"/>
      <c r="K425" s="34" t="s">
        <v>37</v>
      </c>
      <c r="L425" s="37"/>
      <c r="M425" s="38"/>
      <c r="N425" s="40"/>
      <c r="O425" s="40"/>
      <c r="P425" s="39"/>
      <c r="Q425" s="39"/>
    </row>
    <row r="426" spans="1:17" ht="30.75" hidden="1">
      <c r="A426" s="93">
        <v>33060681</v>
      </c>
      <c r="B426" s="31" t="s">
        <v>1011</v>
      </c>
      <c r="C426" s="32">
        <v>1422</v>
      </c>
      <c r="D426" s="33" t="s">
        <v>671</v>
      </c>
      <c r="E426" s="34" t="s">
        <v>22</v>
      </c>
      <c r="F426" s="34" t="s">
        <v>35</v>
      </c>
      <c r="G426" s="33" t="s">
        <v>998</v>
      </c>
      <c r="H426" s="35"/>
      <c r="I426" s="36"/>
      <c r="J426" s="34"/>
      <c r="K426" s="34" t="s">
        <v>37</v>
      </c>
      <c r="L426" s="37"/>
      <c r="M426" s="38"/>
      <c r="N426" s="40"/>
      <c r="O426" s="40"/>
      <c r="P426" s="39"/>
      <c r="Q426" s="39"/>
    </row>
    <row r="427" spans="1:17" ht="30.75">
      <c r="A427" s="93">
        <v>33062059</v>
      </c>
      <c r="B427" s="31" t="s">
        <v>1012</v>
      </c>
      <c r="C427" s="32">
        <v>1423</v>
      </c>
      <c r="D427" s="33" t="s">
        <v>49</v>
      </c>
      <c r="E427" s="34" t="s">
        <v>22</v>
      </c>
      <c r="F427" s="34" t="s">
        <v>35</v>
      </c>
      <c r="G427" s="33" t="s">
        <v>168</v>
      </c>
      <c r="H427" s="35"/>
      <c r="I427" s="36"/>
      <c r="J427" s="34"/>
      <c r="K427" s="34" t="s">
        <v>25</v>
      </c>
      <c r="L427" s="37"/>
      <c r="M427" s="38"/>
      <c r="N427" s="40"/>
      <c r="O427" s="40"/>
      <c r="P427" s="39"/>
      <c r="Q427" s="39"/>
    </row>
    <row r="428" spans="1:17" ht="30.75">
      <c r="A428" s="93">
        <v>33062121</v>
      </c>
      <c r="B428" s="31" t="s">
        <v>1013</v>
      </c>
      <c r="C428" s="32">
        <v>1424</v>
      </c>
      <c r="D428" s="33" t="s">
        <v>49</v>
      </c>
      <c r="E428" s="34" t="s">
        <v>22</v>
      </c>
      <c r="F428" s="34" t="s">
        <v>35</v>
      </c>
      <c r="G428" s="33" t="s">
        <v>168</v>
      </c>
      <c r="H428" s="35"/>
      <c r="I428" s="36"/>
      <c r="J428" s="34"/>
      <c r="K428" s="34" t="s">
        <v>25</v>
      </c>
      <c r="L428" s="37"/>
      <c r="M428" s="38"/>
      <c r="N428" s="40"/>
      <c r="O428" s="40"/>
      <c r="P428" s="39"/>
      <c r="Q428" s="39"/>
    </row>
    <row r="429" spans="1:17" ht="30.75">
      <c r="A429" s="93">
        <v>33062156</v>
      </c>
      <c r="B429" s="31" t="s">
        <v>1014</v>
      </c>
      <c r="C429" s="32">
        <v>1425</v>
      </c>
      <c r="D429" s="33" t="s">
        <v>49</v>
      </c>
      <c r="E429" s="34" t="s">
        <v>22</v>
      </c>
      <c r="F429" s="34" t="s">
        <v>35</v>
      </c>
      <c r="G429" s="33" t="s">
        <v>168</v>
      </c>
      <c r="H429" s="35"/>
      <c r="I429" s="36"/>
      <c r="J429" s="34"/>
      <c r="K429" s="34" t="s">
        <v>25</v>
      </c>
      <c r="L429" s="37"/>
      <c r="M429" s="38"/>
      <c r="N429" s="40"/>
      <c r="O429" s="40"/>
      <c r="P429" s="39"/>
      <c r="Q429" s="39"/>
    </row>
    <row r="430" spans="1:17" ht="15.75">
      <c r="A430" s="93">
        <v>33062169</v>
      </c>
      <c r="B430" s="31" t="s">
        <v>1015</v>
      </c>
      <c r="C430" s="32">
        <v>1426</v>
      </c>
      <c r="D430" s="33" t="s">
        <v>49</v>
      </c>
      <c r="E430" s="34" t="s">
        <v>22</v>
      </c>
      <c r="F430" s="34" t="s">
        <v>35</v>
      </c>
      <c r="G430" s="33" t="s">
        <v>168</v>
      </c>
      <c r="H430" s="35"/>
      <c r="I430" s="36"/>
      <c r="J430" s="34"/>
      <c r="K430" s="34" t="s">
        <v>25</v>
      </c>
      <c r="L430" s="37"/>
      <c r="M430" s="38"/>
      <c r="N430" s="40"/>
      <c r="O430" s="40"/>
      <c r="P430" s="39"/>
      <c r="Q430" s="39"/>
    </row>
    <row r="431" spans="1:17" ht="30.75" hidden="1">
      <c r="A431" s="93">
        <v>33069516</v>
      </c>
      <c r="B431" s="31" t="s">
        <v>1016</v>
      </c>
      <c r="C431" s="32">
        <v>1430</v>
      </c>
      <c r="D431" s="33" t="s">
        <v>671</v>
      </c>
      <c r="E431" s="34" t="s">
        <v>22</v>
      </c>
      <c r="F431" s="34" t="s">
        <v>35</v>
      </c>
      <c r="G431" s="33" t="s">
        <v>998</v>
      </c>
      <c r="H431" s="35"/>
      <c r="I431" s="36"/>
      <c r="J431" s="34"/>
      <c r="K431" s="34" t="s">
        <v>29</v>
      </c>
      <c r="L431" s="37"/>
      <c r="M431" s="38"/>
      <c r="N431" s="40"/>
      <c r="O431" s="40"/>
      <c r="P431" s="39"/>
      <c r="Q431" s="39"/>
    </row>
    <row r="432" spans="1:17" ht="15.75" hidden="1">
      <c r="A432" s="93">
        <v>33069524</v>
      </c>
      <c r="B432" s="31" t="s">
        <v>1017</v>
      </c>
      <c r="C432" s="32">
        <v>1431</v>
      </c>
      <c r="D432" s="33" t="s">
        <v>68</v>
      </c>
      <c r="E432" s="34" t="s">
        <v>22</v>
      </c>
      <c r="F432" s="34" t="s">
        <v>35</v>
      </c>
      <c r="G432" s="33" t="s">
        <v>50</v>
      </c>
      <c r="H432" s="35"/>
      <c r="I432" s="36"/>
      <c r="J432" s="34"/>
      <c r="K432" s="34" t="s">
        <v>29</v>
      </c>
      <c r="L432" s="37"/>
      <c r="M432" s="38"/>
      <c r="N432" s="40"/>
      <c r="O432" s="40"/>
      <c r="P432" s="39"/>
      <c r="Q432" s="39"/>
    </row>
    <row r="433" spans="1:17" ht="30.75">
      <c r="A433" s="93">
        <v>33073741</v>
      </c>
      <c r="B433" s="31" t="s">
        <v>1018</v>
      </c>
      <c r="C433" s="32">
        <v>1432</v>
      </c>
      <c r="D433" s="33" t="s">
        <v>61</v>
      </c>
      <c r="E433" s="34" t="s">
        <v>22</v>
      </c>
      <c r="F433" s="34" t="s">
        <v>35</v>
      </c>
      <c r="G433" s="33" t="s">
        <v>50</v>
      </c>
      <c r="H433" s="35" t="s">
        <v>51</v>
      </c>
      <c r="I433" s="36"/>
      <c r="J433" s="34"/>
      <c r="K433" s="34" t="s">
        <v>25</v>
      </c>
      <c r="L433" s="37"/>
      <c r="M433" s="38"/>
      <c r="N433" s="40"/>
      <c r="O433" s="40"/>
      <c r="P433" s="39"/>
      <c r="Q433" s="39"/>
    </row>
    <row r="434" spans="1:17" ht="30.75">
      <c r="A434" s="93">
        <v>33073939</v>
      </c>
      <c r="B434" s="31" t="s">
        <v>1019</v>
      </c>
      <c r="C434" s="32">
        <v>1433</v>
      </c>
      <c r="D434" s="33" t="s">
        <v>33</v>
      </c>
      <c r="E434" s="34" t="s">
        <v>34</v>
      </c>
      <c r="F434" s="34" t="s">
        <v>35</v>
      </c>
      <c r="G434" s="33" t="s">
        <v>757</v>
      </c>
      <c r="H434" s="35"/>
      <c r="I434" s="36"/>
      <c r="J434" s="34"/>
      <c r="K434" s="34" t="s">
        <v>25</v>
      </c>
      <c r="L434" s="37"/>
      <c r="M434" s="38"/>
      <c r="N434" s="40"/>
      <c r="O434" s="40"/>
      <c r="P434" s="39"/>
      <c r="Q434" s="39"/>
    </row>
    <row r="435" spans="1:17" ht="15.75">
      <c r="A435" s="41"/>
      <c r="B435" s="31"/>
      <c r="C435" s="42"/>
      <c r="D435" s="33"/>
      <c r="E435" s="34" t="s">
        <v>22</v>
      </c>
      <c r="F435" s="34" t="s">
        <v>35</v>
      </c>
      <c r="G435" s="33"/>
      <c r="H435" s="35"/>
      <c r="I435" s="36"/>
      <c r="J435" s="34"/>
      <c r="K435" s="34"/>
      <c r="L435" s="37"/>
      <c r="M435" s="38"/>
      <c r="N435" s="40"/>
      <c r="O435" s="40"/>
      <c r="P435" s="39"/>
      <c r="Q435" s="39"/>
    </row>
    <row r="436" spans="1:17" ht="15.75">
      <c r="A436" s="41"/>
      <c r="B436" s="31"/>
      <c r="C436" s="42"/>
      <c r="D436" s="33"/>
      <c r="E436" s="34" t="s">
        <v>22</v>
      </c>
      <c r="F436" s="34" t="s">
        <v>35</v>
      </c>
      <c r="G436" s="33"/>
      <c r="H436" s="35"/>
      <c r="I436" s="36"/>
      <c r="J436" s="34"/>
      <c r="K436" s="34"/>
      <c r="L436" s="37"/>
      <c r="M436" s="38"/>
      <c r="N436" s="40"/>
      <c r="O436" s="40"/>
      <c r="P436" s="39"/>
      <c r="Q436" s="39"/>
    </row>
    <row r="437" spans="1:17" ht="15.75">
      <c r="A437" s="41"/>
      <c r="B437" s="31"/>
      <c r="C437" s="42"/>
      <c r="D437" s="33"/>
      <c r="E437" s="34" t="s">
        <v>22</v>
      </c>
      <c r="F437" s="34" t="s">
        <v>35</v>
      </c>
      <c r="G437" s="33"/>
      <c r="H437" s="35"/>
      <c r="I437" s="36"/>
      <c r="J437" s="34"/>
      <c r="K437" s="34"/>
      <c r="L437" s="37"/>
      <c r="M437" s="38"/>
      <c r="N437" s="40"/>
      <c r="O437" s="40"/>
      <c r="P437" s="39"/>
      <c r="Q437" s="39"/>
    </row>
    <row r="438" spans="1:17" ht="15.75">
      <c r="A438" s="41"/>
      <c r="B438" s="31"/>
      <c r="C438" s="42"/>
      <c r="D438" s="33"/>
      <c r="E438" s="34" t="s">
        <v>22</v>
      </c>
      <c r="F438" s="34" t="s">
        <v>35</v>
      </c>
      <c r="G438" s="33"/>
      <c r="H438" s="35"/>
      <c r="I438" s="36"/>
      <c r="J438" s="34"/>
      <c r="K438" s="34"/>
      <c r="L438" s="37"/>
      <c r="M438" s="38"/>
      <c r="N438" s="40"/>
      <c r="O438" s="40"/>
      <c r="P438" s="39"/>
      <c r="Q438" s="39"/>
    </row>
    <row r="439" spans="1:17" ht="15.75">
      <c r="A439" s="41"/>
      <c r="B439" s="31"/>
      <c r="C439" s="42"/>
      <c r="D439" s="33"/>
      <c r="E439" s="34" t="s">
        <v>22</v>
      </c>
      <c r="F439" s="34" t="s">
        <v>35</v>
      </c>
      <c r="G439" s="33"/>
      <c r="H439" s="35"/>
      <c r="I439" s="36"/>
      <c r="J439" s="34"/>
      <c r="K439" s="34"/>
      <c r="L439" s="37"/>
      <c r="M439" s="38"/>
      <c r="N439" s="40"/>
      <c r="O439" s="40"/>
      <c r="P439" s="39"/>
      <c r="Q439" s="39"/>
    </row>
    <row r="440" spans="1:17" ht="15.75">
      <c r="A440" s="41"/>
      <c r="B440" s="31"/>
      <c r="C440" s="42"/>
      <c r="D440" s="33"/>
      <c r="E440" s="34" t="s">
        <v>22</v>
      </c>
      <c r="F440" s="34" t="s">
        <v>35</v>
      </c>
      <c r="G440" s="33"/>
      <c r="H440" s="35"/>
      <c r="I440" s="36"/>
      <c r="J440" s="34"/>
      <c r="K440" s="34"/>
      <c r="L440" s="37"/>
      <c r="M440" s="38"/>
      <c r="N440" s="40"/>
      <c r="O440" s="40"/>
      <c r="P440" s="39"/>
      <c r="Q440" s="39"/>
    </row>
    <row r="441" spans="1:17" ht="15.75">
      <c r="A441" s="41"/>
      <c r="B441" s="31"/>
      <c r="C441" s="42"/>
      <c r="D441" s="33"/>
      <c r="E441" s="34" t="s">
        <v>22</v>
      </c>
      <c r="F441" s="34" t="s">
        <v>35</v>
      </c>
      <c r="G441" s="33"/>
      <c r="H441" s="35"/>
      <c r="I441" s="36"/>
      <c r="J441" s="34"/>
      <c r="K441" s="34"/>
      <c r="L441" s="37"/>
      <c r="M441" s="38"/>
      <c r="N441" s="40"/>
      <c r="O441" s="40"/>
      <c r="P441" s="39"/>
      <c r="Q441" s="39"/>
    </row>
    <row r="442" spans="1:17" ht="15.75">
      <c r="A442" s="41"/>
      <c r="B442" s="31"/>
      <c r="C442" s="42"/>
      <c r="D442" s="33"/>
      <c r="E442" s="34" t="s">
        <v>22</v>
      </c>
      <c r="F442" s="34" t="s">
        <v>35</v>
      </c>
      <c r="G442" s="33"/>
      <c r="H442" s="35"/>
      <c r="I442" s="36"/>
      <c r="J442" s="34"/>
      <c r="K442" s="34"/>
      <c r="L442" s="37"/>
      <c r="M442" s="38"/>
      <c r="N442" s="40"/>
      <c r="O442" s="40"/>
      <c r="P442" s="39"/>
      <c r="Q442" s="39"/>
    </row>
    <row r="443" spans="1:17" ht="15.75">
      <c r="A443" s="41"/>
      <c r="B443" s="31"/>
      <c r="C443" s="42"/>
      <c r="D443" s="33"/>
      <c r="E443" s="34" t="s">
        <v>22</v>
      </c>
      <c r="F443" s="34" t="s">
        <v>35</v>
      </c>
      <c r="G443" s="33"/>
      <c r="H443" s="35"/>
      <c r="I443" s="36"/>
      <c r="J443" s="34"/>
      <c r="K443" s="34"/>
      <c r="L443" s="37"/>
      <c r="M443" s="38"/>
      <c r="N443" s="40"/>
      <c r="O443" s="40"/>
      <c r="P443" s="39"/>
      <c r="Q443" s="39"/>
    </row>
    <row r="444" spans="1:17" ht="15.75">
      <c r="A444" s="41"/>
      <c r="B444" s="31"/>
      <c r="C444" s="42"/>
      <c r="D444" s="33"/>
      <c r="E444" s="34" t="s">
        <v>22</v>
      </c>
      <c r="F444" s="34" t="s">
        <v>35</v>
      </c>
      <c r="G444" s="33"/>
      <c r="H444" s="35"/>
      <c r="I444" s="36"/>
      <c r="J444" s="34"/>
      <c r="K444" s="34"/>
      <c r="L444" s="37"/>
      <c r="M444" s="38"/>
      <c r="N444" s="40"/>
      <c r="O444" s="40"/>
      <c r="P444" s="39"/>
      <c r="Q444" s="39"/>
    </row>
    <row r="445" spans="1:17" ht="15.75">
      <c r="A445" s="30"/>
      <c r="B445" s="31"/>
      <c r="C445" s="42"/>
      <c r="D445" s="33"/>
      <c r="E445" s="34" t="s">
        <v>22</v>
      </c>
      <c r="F445" s="34" t="s">
        <v>35</v>
      </c>
      <c r="G445" s="33"/>
      <c r="H445" s="35"/>
      <c r="I445" s="36"/>
      <c r="J445" s="34"/>
      <c r="K445" s="34"/>
      <c r="L445" s="37"/>
      <c r="M445" s="38"/>
      <c r="N445" s="40"/>
      <c r="O445" s="40"/>
      <c r="P445" s="39"/>
      <c r="Q445" s="39"/>
    </row>
    <row r="446" spans="1:17" ht="15.75">
      <c r="A446" s="41"/>
      <c r="B446" s="31"/>
      <c r="C446" s="42"/>
      <c r="D446" s="33"/>
      <c r="E446" s="34" t="s">
        <v>22</v>
      </c>
      <c r="F446" s="34" t="s">
        <v>35</v>
      </c>
      <c r="G446" s="33"/>
      <c r="H446" s="35"/>
      <c r="I446" s="36"/>
      <c r="J446" s="34"/>
      <c r="K446" s="34"/>
      <c r="L446" s="37"/>
      <c r="M446" s="38"/>
      <c r="N446" s="40"/>
      <c r="O446" s="40"/>
      <c r="P446" s="39"/>
      <c r="Q446" s="39"/>
    </row>
    <row r="447" spans="1:17" ht="15.75">
      <c r="A447" s="41"/>
      <c r="B447" s="31"/>
      <c r="C447" s="42"/>
      <c r="D447" s="33"/>
      <c r="E447" s="34" t="s">
        <v>22</v>
      </c>
      <c r="F447" s="34" t="s">
        <v>35</v>
      </c>
      <c r="G447" s="33"/>
      <c r="H447" s="35"/>
      <c r="I447" s="36"/>
      <c r="J447" s="34"/>
      <c r="K447" s="34"/>
      <c r="L447" s="37"/>
      <c r="M447" s="38"/>
      <c r="N447" s="40"/>
      <c r="O447" s="40"/>
      <c r="P447" s="39"/>
      <c r="Q447" s="39"/>
    </row>
    <row r="448" spans="1:17" ht="15.75">
      <c r="A448" s="41"/>
      <c r="B448" s="31"/>
      <c r="C448" s="42"/>
      <c r="D448" s="33"/>
      <c r="E448" s="34" t="s">
        <v>22</v>
      </c>
      <c r="F448" s="34" t="s">
        <v>35</v>
      </c>
      <c r="G448" s="33"/>
      <c r="H448" s="35"/>
      <c r="I448" s="36"/>
      <c r="J448" s="34"/>
      <c r="K448" s="34"/>
      <c r="L448" s="37"/>
      <c r="M448" s="38"/>
      <c r="N448" s="40"/>
      <c r="O448" s="40"/>
      <c r="P448" s="39"/>
      <c r="Q448" s="39"/>
    </row>
    <row r="449" spans="1:17" ht="15.75">
      <c r="A449" s="41"/>
      <c r="B449" s="31"/>
      <c r="C449" s="42"/>
      <c r="D449" s="33"/>
      <c r="E449" s="34" t="s">
        <v>22</v>
      </c>
      <c r="F449" s="34" t="s">
        <v>35</v>
      </c>
      <c r="G449" s="33"/>
      <c r="H449" s="35"/>
      <c r="I449" s="36"/>
      <c r="J449" s="34"/>
      <c r="K449" s="34"/>
      <c r="L449" s="37"/>
      <c r="M449" s="38"/>
      <c r="N449" s="40"/>
      <c r="O449" s="40"/>
      <c r="P449" s="39"/>
      <c r="Q449" s="39"/>
    </row>
    <row r="450" spans="1:17" ht="15.75">
      <c r="A450" s="41"/>
      <c r="B450" s="31"/>
      <c r="C450" s="42"/>
      <c r="D450" s="33"/>
      <c r="E450" s="34" t="s">
        <v>22</v>
      </c>
      <c r="F450" s="34" t="s">
        <v>35</v>
      </c>
      <c r="G450" s="33"/>
      <c r="H450" s="35"/>
      <c r="I450" s="36"/>
      <c r="J450" s="34"/>
      <c r="K450" s="34"/>
      <c r="L450" s="37"/>
      <c r="M450" s="38"/>
      <c r="N450" s="40"/>
      <c r="O450" s="40"/>
      <c r="P450" s="39"/>
      <c r="Q450" s="39"/>
    </row>
    <row r="451" spans="1:17" ht="15.75">
      <c r="A451" s="41"/>
      <c r="B451" s="31"/>
      <c r="C451" s="42"/>
      <c r="D451" s="33"/>
      <c r="E451" s="34" t="s">
        <v>22</v>
      </c>
      <c r="F451" s="34" t="s">
        <v>35</v>
      </c>
      <c r="G451" s="33"/>
      <c r="H451" s="35"/>
      <c r="I451" s="36"/>
      <c r="J451" s="34"/>
      <c r="K451" s="34"/>
      <c r="L451" s="37"/>
      <c r="M451" s="38"/>
      <c r="N451" s="40"/>
      <c r="O451" s="40"/>
      <c r="P451" s="39"/>
      <c r="Q451" s="39"/>
    </row>
    <row r="452" spans="1:17" ht="15.75">
      <c r="A452" s="41"/>
      <c r="B452" s="31"/>
      <c r="C452" s="42"/>
      <c r="D452" s="33"/>
      <c r="E452" s="34" t="s">
        <v>22</v>
      </c>
      <c r="F452" s="34" t="s">
        <v>35</v>
      </c>
      <c r="G452" s="33"/>
      <c r="H452" s="35"/>
      <c r="I452" s="36"/>
      <c r="J452" s="34"/>
      <c r="K452" s="34"/>
      <c r="L452" s="37"/>
      <c r="M452" s="38"/>
      <c r="N452" s="40"/>
      <c r="O452" s="40"/>
      <c r="P452" s="39"/>
      <c r="Q452" s="39"/>
    </row>
    <row r="453" spans="1:17" ht="15.75">
      <c r="A453" s="41"/>
      <c r="B453" s="31"/>
      <c r="C453" s="42"/>
      <c r="D453" s="33"/>
      <c r="E453" s="34" t="s">
        <v>22</v>
      </c>
      <c r="F453" s="34" t="s">
        <v>35</v>
      </c>
      <c r="G453" s="33"/>
      <c r="H453" s="35"/>
      <c r="I453" s="36"/>
      <c r="J453" s="34"/>
      <c r="K453" s="34"/>
      <c r="L453" s="37"/>
      <c r="M453" s="38"/>
      <c r="N453" s="40"/>
      <c r="O453" s="40"/>
      <c r="P453" s="39"/>
      <c r="Q453" s="39"/>
    </row>
    <row r="454" spans="1:17" ht="15.75">
      <c r="A454" s="41"/>
      <c r="B454" s="31"/>
      <c r="C454" s="42"/>
      <c r="D454" s="33"/>
      <c r="E454" s="34" t="s">
        <v>22</v>
      </c>
      <c r="F454" s="34" t="s">
        <v>35</v>
      </c>
      <c r="G454" s="33"/>
      <c r="H454" s="35"/>
      <c r="I454" s="36"/>
      <c r="J454" s="34"/>
      <c r="K454" s="34"/>
      <c r="L454" s="37"/>
      <c r="M454" s="38"/>
      <c r="N454" s="40"/>
      <c r="O454" s="40"/>
      <c r="P454" s="39"/>
      <c r="Q454" s="39"/>
    </row>
    <row r="455" spans="1:17" ht="15.75">
      <c r="A455" s="41"/>
      <c r="B455" s="31"/>
      <c r="C455" s="42"/>
      <c r="D455" s="33"/>
      <c r="E455" s="34" t="s">
        <v>22</v>
      </c>
      <c r="F455" s="34" t="s">
        <v>35</v>
      </c>
      <c r="G455" s="33"/>
      <c r="H455" s="35"/>
      <c r="I455" s="36"/>
      <c r="J455" s="34"/>
      <c r="K455" s="34"/>
      <c r="L455" s="37"/>
      <c r="M455" s="38"/>
      <c r="N455" s="40"/>
      <c r="O455" s="40"/>
      <c r="P455" s="39"/>
      <c r="Q455" s="39"/>
    </row>
    <row r="456" spans="1:17" ht="15.75">
      <c r="A456" s="41"/>
      <c r="B456" s="31"/>
      <c r="C456" s="42"/>
      <c r="D456" s="33"/>
      <c r="E456" s="34" t="s">
        <v>22</v>
      </c>
      <c r="F456" s="34" t="s">
        <v>35</v>
      </c>
      <c r="G456" s="33"/>
      <c r="H456" s="35"/>
      <c r="I456" s="36"/>
      <c r="J456" s="34"/>
      <c r="K456" s="34"/>
      <c r="L456" s="37"/>
      <c r="M456" s="38"/>
      <c r="N456" s="40"/>
      <c r="O456" s="40"/>
      <c r="P456" s="39"/>
      <c r="Q456" s="39"/>
    </row>
    <row r="457" spans="1:17" ht="15.75">
      <c r="A457" s="41"/>
      <c r="B457" s="31"/>
      <c r="C457" s="42"/>
      <c r="D457" s="33"/>
      <c r="E457" s="34" t="s">
        <v>22</v>
      </c>
      <c r="F457" s="34" t="s">
        <v>35</v>
      </c>
      <c r="G457" s="33"/>
      <c r="H457" s="35"/>
      <c r="I457" s="36"/>
      <c r="J457" s="34"/>
      <c r="K457" s="34"/>
      <c r="L457" s="37"/>
      <c r="M457" s="38"/>
      <c r="N457" s="40"/>
      <c r="O457" s="40"/>
      <c r="P457" s="39"/>
      <c r="Q457" s="39"/>
    </row>
    <row r="458" spans="1:17" ht="15.75">
      <c r="A458" s="41"/>
      <c r="B458" s="31"/>
      <c r="C458" s="42"/>
      <c r="D458" s="33"/>
      <c r="E458" s="34" t="s">
        <v>22</v>
      </c>
      <c r="F458" s="34" t="s">
        <v>35</v>
      </c>
      <c r="G458" s="33"/>
      <c r="H458" s="35"/>
      <c r="I458" s="36"/>
      <c r="J458" s="34"/>
      <c r="K458" s="34"/>
      <c r="L458" s="37"/>
      <c r="M458" s="38"/>
      <c r="N458" s="40"/>
      <c r="O458" s="40"/>
      <c r="P458" s="39"/>
      <c r="Q458" s="39"/>
    </row>
    <row r="459" spans="1:17" ht="15.75">
      <c r="A459" s="41"/>
      <c r="B459" s="31"/>
      <c r="C459" s="42"/>
      <c r="D459" s="33"/>
      <c r="E459" s="34" t="s">
        <v>22</v>
      </c>
      <c r="F459" s="34" t="s">
        <v>35</v>
      </c>
      <c r="G459" s="33"/>
      <c r="H459" s="35"/>
      <c r="I459" s="36"/>
      <c r="J459" s="34"/>
      <c r="K459" s="34"/>
      <c r="L459" s="37"/>
      <c r="M459" s="38"/>
      <c r="N459" s="40"/>
      <c r="O459" s="40"/>
      <c r="P459" s="39"/>
      <c r="Q459" s="39"/>
    </row>
    <row r="460" spans="1:17" ht="15.75">
      <c r="A460" s="41"/>
      <c r="B460" s="31"/>
      <c r="C460" s="42"/>
      <c r="D460" s="33"/>
      <c r="E460" s="34" t="s">
        <v>22</v>
      </c>
      <c r="F460" s="34" t="s">
        <v>35</v>
      </c>
      <c r="G460" s="33"/>
      <c r="H460" s="35"/>
      <c r="I460" s="36"/>
      <c r="J460" s="34"/>
      <c r="K460" s="34"/>
      <c r="L460" s="37"/>
      <c r="M460" s="38"/>
      <c r="N460" s="40"/>
      <c r="O460" s="40"/>
      <c r="P460" s="39"/>
      <c r="Q460" s="39"/>
    </row>
    <row r="461" spans="1:17" ht="15.75">
      <c r="A461" s="41"/>
      <c r="B461" s="31"/>
      <c r="C461" s="42"/>
      <c r="D461" s="33"/>
      <c r="E461" s="34" t="s">
        <v>22</v>
      </c>
      <c r="F461" s="34" t="s">
        <v>35</v>
      </c>
      <c r="G461" s="33"/>
      <c r="H461" s="35"/>
      <c r="I461" s="36"/>
      <c r="J461" s="34"/>
      <c r="K461" s="34"/>
      <c r="L461" s="37"/>
      <c r="M461" s="38"/>
      <c r="N461" s="40"/>
      <c r="O461" s="40"/>
      <c r="P461" s="39"/>
      <c r="Q461" s="39"/>
    </row>
    <row r="462" spans="1:17" ht="15.75">
      <c r="A462" s="41"/>
      <c r="B462" s="31"/>
      <c r="C462" s="42"/>
      <c r="D462" s="33"/>
      <c r="E462" s="34" t="s">
        <v>22</v>
      </c>
      <c r="F462" s="34" t="s">
        <v>35</v>
      </c>
      <c r="G462" s="33"/>
      <c r="H462" s="35"/>
      <c r="I462" s="36"/>
      <c r="J462" s="34"/>
      <c r="K462" s="34"/>
      <c r="L462" s="37"/>
      <c r="M462" s="38"/>
      <c r="N462" s="40"/>
      <c r="O462" s="40"/>
      <c r="P462" s="39"/>
      <c r="Q462" s="39"/>
    </row>
    <row r="463" spans="1:17" ht="15.75">
      <c r="A463" s="41"/>
      <c r="B463" s="31"/>
      <c r="C463" s="42"/>
      <c r="D463" s="33"/>
      <c r="E463" s="34" t="s">
        <v>22</v>
      </c>
      <c r="F463" s="34" t="s">
        <v>35</v>
      </c>
      <c r="G463" s="33"/>
      <c r="H463" s="35"/>
      <c r="I463" s="36"/>
      <c r="J463" s="34"/>
      <c r="K463" s="34"/>
      <c r="L463" s="37"/>
      <c r="M463" s="38"/>
      <c r="N463" s="40"/>
      <c r="O463" s="40"/>
      <c r="P463" s="39"/>
      <c r="Q463" s="39"/>
    </row>
    <row r="464" spans="1:17" ht="15.75">
      <c r="A464" s="41"/>
      <c r="B464" s="31"/>
      <c r="C464" s="42"/>
      <c r="D464" s="33"/>
      <c r="E464" s="34" t="s">
        <v>22</v>
      </c>
      <c r="F464" s="34" t="s">
        <v>35</v>
      </c>
      <c r="G464" s="33"/>
      <c r="H464" s="35"/>
      <c r="I464" s="36"/>
      <c r="J464" s="34"/>
      <c r="K464" s="34"/>
      <c r="L464" s="37"/>
      <c r="M464" s="38"/>
      <c r="N464" s="40"/>
      <c r="O464" s="40"/>
      <c r="P464" s="39"/>
      <c r="Q464" s="39"/>
    </row>
    <row r="465" spans="1:17" ht="15.75">
      <c r="A465" s="41"/>
      <c r="B465" s="31"/>
      <c r="C465" s="42"/>
      <c r="D465" s="33"/>
      <c r="E465" s="34" t="s">
        <v>22</v>
      </c>
      <c r="F465" s="34" t="s">
        <v>35</v>
      </c>
      <c r="G465" s="33"/>
      <c r="H465" s="35"/>
      <c r="I465" s="36"/>
      <c r="J465" s="34"/>
      <c r="K465" s="34"/>
      <c r="L465" s="37"/>
      <c r="M465" s="38"/>
      <c r="N465" s="40"/>
      <c r="O465" s="40"/>
      <c r="P465" s="39"/>
      <c r="Q465" s="39"/>
    </row>
    <row r="466" spans="1:17" ht="15.75">
      <c r="A466" s="41"/>
      <c r="B466" s="31"/>
      <c r="C466" s="42"/>
      <c r="D466" s="33"/>
      <c r="E466" s="34" t="s">
        <v>22</v>
      </c>
      <c r="F466" s="34" t="s">
        <v>35</v>
      </c>
      <c r="G466" s="33"/>
      <c r="H466" s="35"/>
      <c r="I466" s="36"/>
      <c r="J466" s="34"/>
      <c r="K466" s="34"/>
      <c r="L466" s="37"/>
      <c r="M466" s="38"/>
      <c r="N466" s="40"/>
      <c r="O466" s="40"/>
      <c r="P466" s="39"/>
      <c r="Q466" s="39"/>
    </row>
    <row r="467" spans="1:17" ht="15.75">
      <c r="A467" s="41"/>
      <c r="B467" s="31"/>
      <c r="C467" s="42"/>
      <c r="D467" s="33"/>
      <c r="E467" s="34" t="s">
        <v>22</v>
      </c>
      <c r="F467" s="34" t="s">
        <v>35</v>
      </c>
      <c r="G467" s="33"/>
      <c r="H467" s="35"/>
      <c r="I467" s="36"/>
      <c r="J467" s="34"/>
      <c r="K467" s="34"/>
      <c r="L467" s="37"/>
      <c r="M467" s="38"/>
      <c r="N467" s="40"/>
      <c r="O467" s="40"/>
      <c r="P467" s="39"/>
      <c r="Q467" s="39"/>
    </row>
    <row r="468" spans="1:17" ht="15.75">
      <c r="A468" s="41"/>
      <c r="B468" s="31"/>
      <c r="C468" s="42"/>
      <c r="D468" s="33"/>
      <c r="E468" s="34" t="s">
        <v>22</v>
      </c>
      <c r="F468" s="34" t="s">
        <v>35</v>
      </c>
      <c r="G468" s="33"/>
      <c r="H468" s="35"/>
      <c r="I468" s="36"/>
      <c r="J468" s="34"/>
      <c r="K468" s="34"/>
      <c r="L468" s="37"/>
      <c r="M468" s="38"/>
      <c r="N468" s="40"/>
      <c r="O468" s="40"/>
      <c r="P468" s="39"/>
      <c r="Q468" s="39"/>
    </row>
    <row r="469" spans="1:17" ht="15.75">
      <c r="A469" s="41"/>
      <c r="B469" s="31"/>
      <c r="C469" s="42"/>
      <c r="D469" s="33"/>
      <c r="E469" s="34" t="s">
        <v>22</v>
      </c>
      <c r="F469" s="34" t="s">
        <v>35</v>
      </c>
      <c r="G469" s="33"/>
      <c r="H469" s="35"/>
      <c r="I469" s="36"/>
      <c r="J469" s="34"/>
      <c r="K469" s="34"/>
      <c r="L469" s="37"/>
      <c r="M469" s="38"/>
      <c r="N469" s="40"/>
      <c r="O469" s="40"/>
      <c r="P469" s="39"/>
      <c r="Q469" s="39"/>
    </row>
    <row r="470" spans="1:17" ht="15.75">
      <c r="A470" s="41"/>
      <c r="B470" s="31"/>
      <c r="C470" s="42"/>
      <c r="D470" s="33"/>
      <c r="E470" s="34" t="s">
        <v>22</v>
      </c>
      <c r="F470" s="34" t="s">
        <v>35</v>
      </c>
      <c r="G470" s="33"/>
      <c r="H470" s="35"/>
      <c r="I470" s="36"/>
      <c r="J470" s="34"/>
      <c r="K470" s="34"/>
      <c r="L470" s="37"/>
      <c r="M470" s="38"/>
      <c r="N470" s="40"/>
      <c r="O470" s="40"/>
      <c r="P470" s="39"/>
      <c r="Q470" s="39"/>
    </row>
    <row r="471" spans="1:17" ht="15.75">
      <c r="A471" s="41"/>
      <c r="B471" s="31"/>
      <c r="C471" s="42"/>
      <c r="D471" s="33"/>
      <c r="E471" s="34" t="s">
        <v>22</v>
      </c>
      <c r="F471" s="34" t="s">
        <v>35</v>
      </c>
      <c r="G471" s="33"/>
      <c r="H471" s="35"/>
      <c r="I471" s="36"/>
      <c r="J471" s="34"/>
      <c r="K471" s="34"/>
      <c r="L471" s="37"/>
      <c r="M471" s="38"/>
      <c r="N471" s="40"/>
      <c r="O471" s="40"/>
      <c r="P471" s="39"/>
      <c r="Q471" s="39"/>
    </row>
    <row r="472" spans="1:17" ht="15.75">
      <c r="A472" s="41"/>
      <c r="B472" s="31"/>
      <c r="C472" s="42"/>
      <c r="D472" s="33"/>
      <c r="E472" s="34" t="s">
        <v>22</v>
      </c>
      <c r="F472" s="34" t="s">
        <v>35</v>
      </c>
      <c r="G472" s="33"/>
      <c r="H472" s="35"/>
      <c r="I472" s="36"/>
      <c r="J472" s="34"/>
      <c r="K472" s="34"/>
      <c r="L472" s="37"/>
      <c r="M472" s="38"/>
      <c r="N472" s="40"/>
      <c r="O472" s="40"/>
      <c r="P472" s="39"/>
      <c r="Q472" s="39"/>
    </row>
    <row r="473" spans="1:17" ht="15.75">
      <c r="A473" s="41"/>
      <c r="B473" s="31"/>
      <c r="C473" s="42"/>
      <c r="D473" s="33"/>
      <c r="E473" s="34" t="s">
        <v>22</v>
      </c>
      <c r="F473" s="34" t="s">
        <v>35</v>
      </c>
      <c r="G473" s="33"/>
      <c r="H473" s="35"/>
      <c r="I473" s="36"/>
      <c r="J473" s="34"/>
      <c r="K473" s="34"/>
      <c r="L473" s="37"/>
      <c r="M473" s="38"/>
      <c r="N473" s="40"/>
      <c r="O473" s="40"/>
      <c r="P473" s="39"/>
      <c r="Q473" s="39"/>
    </row>
    <row r="474" spans="1:17" ht="15.75">
      <c r="A474" s="41"/>
      <c r="B474" s="31"/>
      <c r="C474" s="42"/>
      <c r="D474" s="33"/>
      <c r="E474" s="34" t="s">
        <v>22</v>
      </c>
      <c r="F474" s="34" t="s">
        <v>35</v>
      </c>
      <c r="G474" s="33"/>
      <c r="H474" s="35"/>
      <c r="I474" s="36"/>
      <c r="J474" s="34"/>
      <c r="K474" s="34"/>
      <c r="L474" s="37"/>
      <c r="M474" s="38"/>
      <c r="N474" s="40"/>
      <c r="O474" s="40"/>
      <c r="P474" s="39"/>
      <c r="Q474" s="39"/>
    </row>
    <row r="475" spans="1:17" ht="15.75">
      <c r="A475" s="41"/>
      <c r="B475" s="31"/>
      <c r="C475" s="42"/>
      <c r="D475" s="33"/>
      <c r="E475" s="34" t="s">
        <v>22</v>
      </c>
      <c r="F475" s="34" t="s">
        <v>35</v>
      </c>
      <c r="G475" s="33"/>
      <c r="H475" s="35"/>
      <c r="I475" s="36"/>
      <c r="J475" s="34"/>
      <c r="K475" s="34"/>
      <c r="L475" s="37"/>
      <c r="M475" s="38"/>
      <c r="N475" s="40"/>
      <c r="O475" s="40"/>
      <c r="P475" s="39"/>
      <c r="Q475" s="39"/>
    </row>
    <row r="476" spans="1:17" ht="15.75">
      <c r="A476" s="41"/>
      <c r="B476" s="31"/>
      <c r="C476" s="42"/>
      <c r="D476" s="33"/>
      <c r="E476" s="34" t="s">
        <v>22</v>
      </c>
      <c r="F476" s="34" t="s">
        <v>35</v>
      </c>
      <c r="G476" s="33"/>
      <c r="H476" s="35"/>
      <c r="I476" s="36"/>
      <c r="J476" s="34"/>
      <c r="K476" s="34"/>
      <c r="L476" s="37"/>
      <c r="M476" s="38"/>
      <c r="N476" s="40"/>
      <c r="O476" s="40"/>
      <c r="P476" s="39"/>
      <c r="Q476" s="39"/>
    </row>
    <row r="477" spans="1:17" ht="15.75">
      <c r="A477" s="41"/>
      <c r="B477" s="31"/>
      <c r="C477" s="42"/>
      <c r="D477" s="33"/>
      <c r="E477" s="34" t="s">
        <v>22</v>
      </c>
      <c r="F477" s="34" t="s">
        <v>35</v>
      </c>
      <c r="G477" s="33"/>
      <c r="H477" s="35"/>
      <c r="I477" s="36"/>
      <c r="J477" s="34"/>
      <c r="K477" s="34"/>
      <c r="L477" s="37"/>
      <c r="M477" s="38"/>
      <c r="N477" s="40"/>
      <c r="O477" s="40"/>
      <c r="P477" s="39"/>
      <c r="Q477" s="39"/>
    </row>
    <row r="478" spans="1:17" ht="15.75">
      <c r="A478" s="41"/>
      <c r="B478" s="31"/>
      <c r="C478" s="42"/>
      <c r="D478" s="33"/>
      <c r="E478" s="34" t="s">
        <v>22</v>
      </c>
      <c r="F478" s="34" t="s">
        <v>35</v>
      </c>
      <c r="G478" s="33"/>
      <c r="H478" s="35"/>
      <c r="I478" s="36"/>
      <c r="J478" s="34"/>
      <c r="K478" s="34"/>
      <c r="L478" s="37"/>
      <c r="M478" s="38"/>
      <c r="N478" s="40"/>
      <c r="O478" s="40"/>
      <c r="P478" s="39"/>
      <c r="Q478" s="39"/>
    </row>
    <row r="479" spans="1:17" ht="15.75">
      <c r="A479" s="41"/>
      <c r="B479" s="31"/>
      <c r="C479" s="42"/>
      <c r="D479" s="33"/>
      <c r="E479" s="34" t="s">
        <v>22</v>
      </c>
      <c r="F479" s="34" t="s">
        <v>35</v>
      </c>
      <c r="G479" s="33"/>
      <c r="H479" s="35"/>
      <c r="I479" s="36"/>
      <c r="J479" s="34"/>
      <c r="K479" s="34"/>
      <c r="L479" s="37"/>
      <c r="M479" s="38"/>
      <c r="N479" s="40"/>
      <c r="O479" s="40"/>
      <c r="P479" s="39"/>
      <c r="Q479" s="39"/>
    </row>
    <row r="480" spans="1:17" ht="15.75">
      <c r="A480" s="41"/>
      <c r="B480" s="31"/>
      <c r="C480" s="42"/>
      <c r="D480" s="33"/>
      <c r="E480" s="34" t="s">
        <v>22</v>
      </c>
      <c r="F480" s="34" t="s">
        <v>35</v>
      </c>
      <c r="G480" s="33"/>
      <c r="H480" s="35"/>
      <c r="I480" s="36"/>
      <c r="J480" s="34"/>
      <c r="K480" s="34"/>
      <c r="L480" s="37"/>
      <c r="M480" s="38"/>
      <c r="N480" s="40"/>
      <c r="O480" s="40"/>
      <c r="P480" s="39"/>
      <c r="Q480" s="39"/>
    </row>
    <row r="481" spans="1:17" ht="15.75">
      <c r="A481" s="41"/>
      <c r="B481" s="31"/>
      <c r="C481" s="42"/>
      <c r="D481" s="33"/>
      <c r="E481" s="34" t="s">
        <v>22</v>
      </c>
      <c r="F481" s="34" t="s">
        <v>35</v>
      </c>
      <c r="G481" s="33"/>
      <c r="H481" s="35"/>
      <c r="I481" s="36"/>
      <c r="J481" s="34"/>
      <c r="K481" s="34"/>
      <c r="L481" s="37"/>
      <c r="M481" s="38"/>
      <c r="N481" s="40"/>
      <c r="O481" s="40"/>
      <c r="P481" s="39"/>
      <c r="Q481" s="39"/>
    </row>
    <row r="482" spans="1:17" ht="15.75">
      <c r="A482" s="41"/>
      <c r="B482" s="31"/>
      <c r="C482" s="42"/>
      <c r="D482" s="33"/>
      <c r="E482" s="34" t="s">
        <v>22</v>
      </c>
      <c r="F482" s="34" t="s">
        <v>35</v>
      </c>
      <c r="G482" s="33"/>
      <c r="H482" s="35"/>
      <c r="I482" s="36"/>
      <c r="J482" s="34"/>
      <c r="K482" s="34"/>
      <c r="L482" s="37"/>
      <c r="M482" s="38"/>
      <c r="N482" s="40"/>
      <c r="O482" s="40"/>
      <c r="P482" s="39"/>
      <c r="Q482" s="39"/>
    </row>
    <row r="483" spans="1:17" ht="15.75">
      <c r="A483" s="41"/>
      <c r="B483" s="31"/>
      <c r="C483" s="42"/>
      <c r="D483" s="33"/>
      <c r="E483" s="34" t="s">
        <v>22</v>
      </c>
      <c r="F483" s="34" t="s">
        <v>35</v>
      </c>
      <c r="G483" s="33"/>
      <c r="H483" s="35"/>
      <c r="I483" s="36"/>
      <c r="J483" s="34"/>
      <c r="K483" s="34"/>
      <c r="L483" s="37"/>
      <c r="M483" s="38"/>
      <c r="N483" s="40"/>
      <c r="O483" s="40"/>
      <c r="P483" s="39"/>
      <c r="Q483" s="39"/>
    </row>
    <row r="484" spans="1:17" ht="15.75">
      <c r="A484" s="41"/>
      <c r="B484" s="31"/>
      <c r="C484" s="42"/>
      <c r="D484" s="33"/>
      <c r="E484" s="34" t="s">
        <v>22</v>
      </c>
      <c r="F484" s="34" t="s">
        <v>35</v>
      </c>
      <c r="G484" s="33"/>
      <c r="H484" s="35"/>
      <c r="I484" s="36"/>
      <c r="J484" s="34"/>
      <c r="K484" s="34"/>
      <c r="L484" s="37"/>
      <c r="M484" s="38"/>
      <c r="N484" s="40"/>
      <c r="O484" s="40"/>
      <c r="P484" s="39"/>
      <c r="Q484" s="39"/>
    </row>
    <row r="485" spans="1:17" ht="15.75">
      <c r="A485" s="41"/>
      <c r="B485" s="31"/>
      <c r="C485" s="42"/>
      <c r="D485" s="33"/>
      <c r="E485" s="34" t="s">
        <v>22</v>
      </c>
      <c r="F485" s="34" t="s">
        <v>35</v>
      </c>
      <c r="G485" s="33"/>
      <c r="H485" s="35"/>
      <c r="I485" s="36"/>
      <c r="J485" s="34"/>
      <c r="K485" s="34"/>
      <c r="L485" s="37"/>
      <c r="M485" s="38"/>
      <c r="N485" s="40"/>
      <c r="O485" s="40"/>
      <c r="P485" s="39"/>
      <c r="Q485" s="39"/>
    </row>
    <row r="486" spans="1:17" ht="15.75">
      <c r="A486" s="41"/>
      <c r="B486" s="31"/>
      <c r="C486" s="42"/>
      <c r="D486" s="33"/>
      <c r="E486" s="34" t="s">
        <v>22</v>
      </c>
      <c r="F486" s="34" t="s">
        <v>35</v>
      </c>
      <c r="G486" s="33"/>
      <c r="H486" s="35"/>
      <c r="I486" s="36"/>
      <c r="J486" s="34"/>
      <c r="K486" s="34"/>
      <c r="L486" s="37"/>
      <c r="M486" s="38"/>
      <c r="N486" s="40"/>
      <c r="O486" s="40"/>
      <c r="P486" s="39"/>
      <c r="Q486" s="39"/>
    </row>
    <row r="487" spans="1:17" ht="15.75">
      <c r="A487" s="41"/>
      <c r="B487" s="31"/>
      <c r="C487" s="42"/>
      <c r="D487" s="33"/>
      <c r="E487" s="34" t="s">
        <v>22</v>
      </c>
      <c r="F487" s="34" t="s">
        <v>35</v>
      </c>
      <c r="G487" s="33"/>
      <c r="H487" s="35"/>
      <c r="I487" s="36"/>
      <c r="J487" s="34"/>
      <c r="K487" s="34"/>
      <c r="L487" s="37"/>
      <c r="M487" s="38"/>
      <c r="N487" s="40"/>
      <c r="O487" s="40"/>
      <c r="P487" s="39"/>
      <c r="Q487" s="39"/>
    </row>
    <row r="488" spans="1:17" ht="15.75">
      <c r="A488" s="41"/>
      <c r="B488" s="31"/>
      <c r="C488" s="42"/>
      <c r="D488" s="33"/>
      <c r="E488" s="34" t="s">
        <v>22</v>
      </c>
      <c r="F488" s="34" t="s">
        <v>35</v>
      </c>
      <c r="G488" s="33"/>
      <c r="H488" s="35"/>
      <c r="I488" s="36"/>
      <c r="J488" s="34"/>
      <c r="K488" s="34"/>
      <c r="L488" s="37"/>
      <c r="M488" s="38"/>
      <c r="N488" s="40"/>
      <c r="O488" s="40"/>
      <c r="P488" s="39"/>
      <c r="Q488" s="39"/>
    </row>
    <row r="489" spans="1:17" ht="15.75">
      <c r="A489" s="41"/>
      <c r="B489" s="31"/>
      <c r="C489" s="42"/>
      <c r="D489" s="33"/>
      <c r="E489" s="34"/>
      <c r="F489" s="34"/>
      <c r="G489" s="33"/>
      <c r="H489" s="35"/>
      <c r="I489" s="36"/>
      <c r="J489" s="34"/>
      <c r="K489" s="34"/>
      <c r="L489" s="37"/>
      <c r="M489" s="38"/>
      <c r="N489" s="40"/>
      <c r="O489" s="40"/>
      <c r="P489" s="39"/>
      <c r="Q489" s="39"/>
    </row>
    <row r="490" spans="1:17" ht="15.75">
      <c r="A490" s="41"/>
      <c r="B490" s="31"/>
      <c r="C490" s="42"/>
      <c r="D490" s="33"/>
      <c r="E490" s="34"/>
      <c r="F490" s="34"/>
      <c r="G490" s="33"/>
      <c r="H490" s="35"/>
      <c r="I490" s="36"/>
      <c r="J490" s="34"/>
      <c r="K490" s="34"/>
      <c r="L490" s="37"/>
      <c r="M490" s="38"/>
      <c r="N490" s="40"/>
      <c r="O490" s="40"/>
      <c r="P490" s="39"/>
      <c r="Q490" s="39"/>
    </row>
    <row r="491" spans="1:17" ht="15.75">
      <c r="A491" s="41"/>
      <c r="B491" s="31"/>
      <c r="C491" s="42"/>
      <c r="D491" s="33"/>
      <c r="E491" s="34"/>
      <c r="F491" s="34"/>
      <c r="G491" s="33"/>
      <c r="H491" s="35"/>
      <c r="I491" s="36"/>
      <c r="J491" s="34"/>
      <c r="K491" s="34"/>
      <c r="L491" s="37"/>
      <c r="M491" s="38"/>
      <c r="N491" s="40"/>
      <c r="O491" s="40"/>
      <c r="P491" s="39"/>
      <c r="Q491" s="39"/>
    </row>
    <row r="492" spans="1:17" ht="15.75">
      <c r="A492" s="41"/>
      <c r="B492" s="31"/>
      <c r="C492" s="42"/>
      <c r="D492" s="33"/>
      <c r="E492" s="34"/>
      <c r="F492" s="34"/>
      <c r="G492" s="33"/>
      <c r="H492" s="35"/>
      <c r="I492" s="36"/>
      <c r="J492" s="34"/>
      <c r="K492" s="34"/>
      <c r="L492" s="37"/>
      <c r="M492" s="38"/>
      <c r="N492" s="40"/>
      <c r="O492" s="40"/>
      <c r="P492" s="39"/>
      <c r="Q492" s="39"/>
    </row>
    <row r="493" spans="1:17" ht="15.75">
      <c r="A493" s="41"/>
      <c r="B493" s="31"/>
      <c r="C493" s="42"/>
      <c r="D493" s="33"/>
      <c r="E493" s="34"/>
      <c r="F493" s="34"/>
      <c r="G493" s="33"/>
      <c r="H493" s="35"/>
      <c r="I493" s="36"/>
      <c r="J493" s="34"/>
      <c r="K493" s="34"/>
      <c r="L493" s="37"/>
      <c r="M493" s="38"/>
      <c r="N493" s="40"/>
      <c r="O493" s="40"/>
      <c r="P493" s="39"/>
      <c r="Q493" s="39"/>
    </row>
    <row r="494" spans="1:17" ht="15.75">
      <c r="A494" s="41"/>
      <c r="B494" s="31"/>
      <c r="C494" s="42"/>
      <c r="D494" s="33"/>
      <c r="E494" s="34"/>
      <c r="F494" s="34"/>
      <c r="G494" s="33"/>
      <c r="H494" s="35"/>
      <c r="I494" s="36"/>
      <c r="J494" s="34"/>
      <c r="K494" s="34"/>
      <c r="L494" s="37"/>
      <c r="M494" s="38"/>
      <c r="N494" s="40"/>
      <c r="O494" s="40"/>
      <c r="P494" s="39"/>
      <c r="Q494" s="39"/>
    </row>
    <row r="495" spans="1:17" ht="15.75">
      <c r="A495" s="41"/>
      <c r="B495" s="31"/>
      <c r="C495" s="42"/>
      <c r="D495" s="33"/>
      <c r="E495" s="34"/>
      <c r="F495" s="34"/>
      <c r="G495" s="33"/>
      <c r="H495" s="35"/>
      <c r="I495" s="36"/>
      <c r="J495" s="34"/>
      <c r="K495" s="34"/>
      <c r="L495" s="37"/>
      <c r="M495" s="38"/>
      <c r="N495" s="40"/>
      <c r="O495" s="40"/>
      <c r="P495" s="39"/>
      <c r="Q495" s="39"/>
    </row>
    <row r="496" spans="1:17" ht="15.75">
      <c r="A496" s="41"/>
      <c r="B496" s="31"/>
      <c r="C496" s="42"/>
      <c r="D496" s="33"/>
      <c r="E496" s="34"/>
      <c r="F496" s="34"/>
      <c r="G496" s="33"/>
      <c r="H496" s="35"/>
      <c r="I496" s="36"/>
      <c r="J496" s="34"/>
      <c r="K496" s="34"/>
      <c r="L496" s="37"/>
      <c r="M496" s="38"/>
      <c r="N496" s="40"/>
      <c r="O496" s="40"/>
      <c r="P496" s="39"/>
      <c r="Q496" s="39"/>
    </row>
    <row r="497" spans="1:17" ht="15.75">
      <c r="A497" s="41"/>
      <c r="B497" s="31"/>
      <c r="C497" s="42"/>
      <c r="D497" s="33"/>
      <c r="E497" s="34"/>
      <c r="F497" s="34"/>
      <c r="G497" s="33"/>
      <c r="H497" s="35"/>
      <c r="I497" s="36"/>
      <c r="J497" s="34"/>
      <c r="K497" s="34"/>
      <c r="L497" s="37"/>
      <c r="M497" s="38"/>
      <c r="N497" s="40"/>
      <c r="O497" s="40"/>
      <c r="P497" s="39"/>
      <c r="Q497" s="39"/>
    </row>
    <row r="498" spans="1:17" ht="15.75">
      <c r="A498" s="41"/>
      <c r="B498" s="31"/>
      <c r="C498" s="42"/>
      <c r="D498" s="33"/>
      <c r="E498" s="34"/>
      <c r="F498" s="34"/>
      <c r="G498" s="33"/>
      <c r="H498" s="35"/>
      <c r="I498" s="36"/>
      <c r="J498" s="34"/>
      <c r="K498" s="34"/>
      <c r="L498" s="37"/>
      <c r="M498" s="38"/>
      <c r="N498" s="40"/>
      <c r="O498" s="40"/>
      <c r="P498" s="39"/>
      <c r="Q498" s="39"/>
    </row>
    <row r="499" spans="1:17" ht="15.75">
      <c r="A499" s="41"/>
      <c r="B499" s="31"/>
      <c r="C499" s="42"/>
      <c r="D499" s="33"/>
      <c r="E499" s="34"/>
      <c r="F499" s="34"/>
      <c r="G499" s="33"/>
      <c r="H499" s="35"/>
      <c r="I499" s="36"/>
      <c r="J499" s="34"/>
      <c r="K499" s="34"/>
      <c r="L499" s="37"/>
      <c r="M499" s="38"/>
      <c r="N499" s="40"/>
      <c r="O499" s="40"/>
      <c r="P499" s="39"/>
      <c r="Q499" s="39"/>
    </row>
    <row r="500" spans="1:17" ht="15.75">
      <c r="A500" s="41"/>
      <c r="B500" s="31"/>
      <c r="C500" s="42"/>
      <c r="D500" s="33"/>
      <c r="E500" s="34"/>
      <c r="F500" s="34"/>
      <c r="G500" s="33"/>
      <c r="H500" s="35"/>
      <c r="I500" s="36"/>
      <c r="J500" s="34"/>
      <c r="K500" s="34"/>
      <c r="L500" s="37"/>
      <c r="M500" s="38"/>
      <c r="N500" s="40"/>
      <c r="O500" s="40"/>
      <c r="P500" s="39"/>
      <c r="Q500" s="39"/>
    </row>
    <row r="501" spans="1:17" ht="15.75">
      <c r="A501" s="41"/>
      <c r="B501" s="31"/>
      <c r="C501" s="42"/>
      <c r="D501" s="33"/>
      <c r="E501" s="34"/>
      <c r="F501" s="34"/>
      <c r="G501" s="33"/>
      <c r="H501" s="35"/>
      <c r="I501" s="36"/>
      <c r="J501" s="34"/>
      <c r="K501" s="34"/>
      <c r="L501" s="37"/>
      <c r="M501" s="38"/>
      <c r="N501" s="40"/>
      <c r="O501" s="40"/>
      <c r="P501" s="39"/>
      <c r="Q501" s="39"/>
    </row>
    <row r="502" spans="1:17" ht="15.75">
      <c r="A502" s="41"/>
      <c r="B502" s="31"/>
      <c r="C502" s="42"/>
      <c r="D502" s="33"/>
      <c r="E502" s="34"/>
      <c r="F502" s="34"/>
      <c r="G502" s="33"/>
      <c r="H502" s="35"/>
      <c r="I502" s="36"/>
      <c r="J502" s="34"/>
      <c r="K502" s="34"/>
      <c r="L502" s="37"/>
      <c r="M502" s="38"/>
      <c r="N502" s="40"/>
      <c r="O502" s="40"/>
      <c r="P502" s="39"/>
      <c r="Q502" s="39"/>
    </row>
    <row r="503" spans="1:17" ht="15.75">
      <c r="A503" s="41"/>
      <c r="B503" s="31"/>
      <c r="C503" s="42"/>
      <c r="D503" s="33"/>
      <c r="E503" s="34"/>
      <c r="F503" s="34"/>
      <c r="G503" s="33"/>
      <c r="H503" s="35"/>
      <c r="I503" s="36"/>
      <c r="J503" s="34"/>
      <c r="K503" s="34"/>
      <c r="L503" s="37"/>
      <c r="M503" s="38"/>
      <c r="N503" s="40"/>
      <c r="O503" s="40"/>
      <c r="P503" s="39"/>
      <c r="Q503" s="39"/>
    </row>
    <row r="504" spans="1:17" ht="15.75">
      <c r="A504" s="41"/>
      <c r="B504" s="31"/>
      <c r="C504" s="42"/>
      <c r="D504" s="33"/>
      <c r="E504" s="34"/>
      <c r="F504" s="34"/>
      <c r="G504" s="33"/>
      <c r="H504" s="35"/>
      <c r="I504" s="36"/>
      <c r="J504" s="34"/>
      <c r="K504" s="34"/>
      <c r="L504" s="37"/>
      <c r="M504" s="38"/>
      <c r="N504" s="40"/>
      <c r="O504" s="40"/>
      <c r="P504" s="39"/>
      <c r="Q504" s="39"/>
    </row>
    <row r="505" spans="1:17" ht="15.75">
      <c r="A505" s="41"/>
      <c r="B505" s="31"/>
      <c r="C505" s="42"/>
      <c r="D505" s="33"/>
      <c r="E505" s="34"/>
      <c r="F505" s="34"/>
      <c r="G505" s="33"/>
      <c r="H505" s="35"/>
      <c r="I505" s="36"/>
      <c r="J505" s="34"/>
      <c r="K505" s="34"/>
      <c r="L505" s="37"/>
      <c r="M505" s="38"/>
      <c r="N505" s="40"/>
      <c r="O505" s="40"/>
      <c r="P505" s="39"/>
      <c r="Q505" s="39"/>
    </row>
    <row r="506" spans="1:17" ht="15.75">
      <c r="A506" s="41"/>
      <c r="B506" s="31"/>
      <c r="C506" s="42"/>
      <c r="D506" s="33"/>
      <c r="E506" s="34"/>
      <c r="F506" s="34"/>
      <c r="G506" s="33"/>
      <c r="H506" s="35"/>
      <c r="I506" s="36"/>
      <c r="J506" s="34"/>
      <c r="K506" s="34"/>
      <c r="L506" s="37"/>
      <c r="M506" s="38"/>
      <c r="N506" s="40"/>
      <c r="O506" s="40"/>
      <c r="P506" s="39"/>
      <c r="Q506" s="39"/>
    </row>
    <row r="507" spans="1:17" ht="15.75">
      <c r="A507" s="41"/>
      <c r="B507" s="31"/>
      <c r="C507" s="42"/>
      <c r="D507" s="33"/>
      <c r="E507" s="34"/>
      <c r="F507" s="34"/>
      <c r="G507" s="33"/>
      <c r="H507" s="35"/>
      <c r="I507" s="36"/>
      <c r="J507" s="34"/>
      <c r="K507" s="34"/>
      <c r="L507" s="37"/>
      <c r="M507" s="38"/>
      <c r="N507" s="40"/>
      <c r="O507" s="40"/>
      <c r="P507" s="39"/>
      <c r="Q507" s="39"/>
    </row>
    <row r="508" spans="1:17" ht="15.75">
      <c r="A508" s="41"/>
      <c r="B508" s="31"/>
      <c r="C508" s="42"/>
      <c r="D508" s="33"/>
      <c r="E508" s="34"/>
      <c r="F508" s="34"/>
      <c r="G508" s="33"/>
      <c r="H508" s="35"/>
      <c r="I508" s="36"/>
      <c r="J508" s="34"/>
      <c r="K508" s="34"/>
      <c r="L508" s="37"/>
      <c r="M508" s="38"/>
      <c r="N508" s="40"/>
      <c r="O508" s="40"/>
      <c r="P508" s="39"/>
      <c r="Q508" s="39"/>
    </row>
    <row r="509" spans="1:17" ht="15.75">
      <c r="A509" s="41"/>
      <c r="B509" s="31"/>
      <c r="C509" s="42"/>
      <c r="D509" s="33"/>
      <c r="E509" s="34"/>
      <c r="F509" s="34"/>
      <c r="G509" s="33"/>
      <c r="H509" s="35"/>
      <c r="I509" s="36"/>
      <c r="J509" s="34"/>
      <c r="K509" s="34"/>
      <c r="L509" s="37"/>
      <c r="M509" s="38"/>
      <c r="N509" s="40"/>
      <c r="O509" s="40"/>
      <c r="P509" s="39"/>
      <c r="Q509" s="39"/>
    </row>
    <row r="510" spans="1:17" ht="15.75">
      <c r="A510" s="41"/>
      <c r="B510" s="31"/>
      <c r="C510" s="42"/>
      <c r="D510" s="33"/>
      <c r="E510" s="34"/>
      <c r="F510" s="34"/>
      <c r="G510" s="33"/>
      <c r="H510" s="35"/>
      <c r="I510" s="36"/>
      <c r="J510" s="34"/>
      <c r="K510" s="34"/>
      <c r="L510" s="37"/>
      <c r="M510" s="38"/>
      <c r="N510" s="40"/>
      <c r="O510" s="40"/>
      <c r="P510" s="39"/>
      <c r="Q510" s="39"/>
    </row>
    <row r="511" spans="1:17" ht="15.75">
      <c r="A511" s="41"/>
      <c r="B511" s="31"/>
      <c r="C511" s="42"/>
      <c r="D511" s="33"/>
      <c r="E511" s="34"/>
      <c r="F511" s="34"/>
      <c r="G511" s="33"/>
      <c r="H511" s="35"/>
      <c r="I511" s="36"/>
      <c r="J511" s="34"/>
      <c r="K511" s="34"/>
      <c r="L511" s="37"/>
      <c r="M511" s="38"/>
      <c r="N511" s="40"/>
      <c r="O511" s="40"/>
      <c r="P511" s="39"/>
      <c r="Q511" s="39"/>
    </row>
    <row r="512" spans="1:17" ht="15.75">
      <c r="A512" s="41"/>
      <c r="B512" s="31"/>
      <c r="C512" s="42"/>
      <c r="D512" s="33"/>
      <c r="E512" s="34"/>
      <c r="F512" s="34"/>
      <c r="G512" s="33"/>
      <c r="H512" s="35"/>
      <c r="I512" s="36"/>
      <c r="J512" s="34"/>
      <c r="K512" s="34"/>
      <c r="L512" s="37"/>
      <c r="M512" s="38"/>
      <c r="N512" s="40"/>
      <c r="O512" s="40"/>
      <c r="P512" s="39"/>
      <c r="Q512" s="39"/>
    </row>
    <row r="513" spans="1:17" ht="15.75">
      <c r="A513" s="41"/>
      <c r="B513" s="31"/>
      <c r="C513" s="42"/>
      <c r="D513" s="33"/>
      <c r="E513" s="34"/>
      <c r="F513" s="34"/>
      <c r="G513" s="33"/>
      <c r="H513" s="35"/>
      <c r="I513" s="36"/>
      <c r="J513" s="34"/>
      <c r="K513" s="34"/>
      <c r="L513" s="37"/>
      <c r="M513" s="38"/>
      <c r="N513" s="40"/>
      <c r="O513" s="40"/>
      <c r="P513" s="39"/>
      <c r="Q513" s="39"/>
    </row>
    <row r="514" spans="1:17" ht="15.75">
      <c r="A514" s="41"/>
      <c r="B514" s="31"/>
      <c r="C514" s="42"/>
      <c r="D514" s="33"/>
      <c r="E514" s="34"/>
      <c r="F514" s="34"/>
      <c r="G514" s="33"/>
      <c r="H514" s="35"/>
      <c r="I514" s="36"/>
      <c r="J514" s="34"/>
      <c r="K514" s="34"/>
      <c r="L514" s="37"/>
      <c r="M514" s="38"/>
      <c r="N514" s="40"/>
      <c r="O514" s="40"/>
      <c r="P514" s="39"/>
      <c r="Q514" s="39"/>
    </row>
    <row r="515" spans="1:17" ht="15.75">
      <c r="A515" s="41"/>
      <c r="B515" s="31"/>
      <c r="C515" s="42"/>
      <c r="D515" s="33"/>
      <c r="E515" s="34"/>
      <c r="F515" s="34"/>
      <c r="G515" s="33"/>
      <c r="H515" s="35"/>
      <c r="I515" s="36"/>
      <c r="J515" s="34"/>
      <c r="K515" s="34"/>
      <c r="L515" s="37"/>
      <c r="M515" s="38"/>
      <c r="N515" s="40"/>
      <c r="O515" s="40"/>
      <c r="P515" s="39"/>
      <c r="Q515" s="39"/>
    </row>
    <row r="516" spans="1:17" ht="15.75">
      <c r="A516" s="41"/>
      <c r="B516" s="31"/>
      <c r="C516" s="42"/>
      <c r="D516" s="33"/>
      <c r="E516" s="34"/>
      <c r="F516" s="34"/>
      <c r="G516" s="33"/>
      <c r="H516" s="35"/>
      <c r="I516" s="36"/>
      <c r="J516" s="34"/>
      <c r="K516" s="34"/>
      <c r="L516" s="37"/>
      <c r="M516" s="38"/>
      <c r="N516" s="40"/>
      <c r="O516" s="40"/>
      <c r="P516" s="39"/>
      <c r="Q516" s="39"/>
    </row>
    <row r="517" spans="1:17" ht="15.75">
      <c r="A517" s="41"/>
      <c r="B517" s="31"/>
      <c r="C517" s="42"/>
      <c r="D517" s="33"/>
      <c r="E517" s="34"/>
      <c r="F517" s="34"/>
      <c r="G517" s="33"/>
      <c r="H517" s="35"/>
      <c r="I517" s="36"/>
      <c r="J517" s="34"/>
      <c r="K517" s="34"/>
      <c r="L517" s="37"/>
      <c r="M517" s="38"/>
      <c r="N517" s="40"/>
      <c r="O517" s="40"/>
      <c r="P517" s="39"/>
      <c r="Q517" s="39"/>
    </row>
    <row r="518" spans="1:17" ht="15.75">
      <c r="A518" s="41"/>
      <c r="B518" s="31"/>
      <c r="C518" s="42"/>
      <c r="D518" s="33"/>
      <c r="E518" s="34"/>
      <c r="F518" s="34"/>
      <c r="G518" s="33"/>
      <c r="H518" s="35"/>
      <c r="I518" s="36"/>
      <c r="J518" s="34"/>
      <c r="K518" s="34"/>
      <c r="L518" s="37"/>
      <c r="M518" s="38"/>
      <c r="N518" s="40"/>
      <c r="O518" s="40"/>
      <c r="P518" s="39"/>
      <c r="Q518" s="39"/>
    </row>
    <row r="519" spans="1:17" ht="15.75">
      <c r="A519" s="41"/>
      <c r="B519" s="31"/>
      <c r="C519" s="42"/>
      <c r="D519" s="33"/>
      <c r="E519" s="34"/>
      <c r="F519" s="34"/>
      <c r="G519" s="33"/>
      <c r="H519" s="35"/>
      <c r="I519" s="36"/>
      <c r="J519" s="34"/>
      <c r="K519" s="34"/>
      <c r="L519" s="37"/>
      <c r="M519" s="38"/>
      <c r="N519" s="40"/>
      <c r="O519" s="40"/>
      <c r="P519" s="39"/>
      <c r="Q519" s="39"/>
    </row>
    <row r="520" spans="1:17" ht="15.75">
      <c r="A520" s="41"/>
      <c r="B520" s="31"/>
      <c r="C520" s="42"/>
      <c r="D520" s="33"/>
      <c r="E520" s="34"/>
      <c r="F520" s="34"/>
      <c r="G520" s="33"/>
      <c r="H520" s="35"/>
      <c r="I520" s="36"/>
      <c r="J520" s="34"/>
      <c r="K520" s="34"/>
      <c r="L520" s="37"/>
      <c r="M520" s="38"/>
      <c r="N520" s="40"/>
      <c r="O520" s="40"/>
      <c r="P520" s="39"/>
      <c r="Q520" s="39"/>
    </row>
    <row r="521" spans="1:17" ht="15.75">
      <c r="A521" s="41"/>
      <c r="B521" s="31"/>
      <c r="C521" s="42"/>
      <c r="D521" s="33"/>
      <c r="E521" s="34"/>
      <c r="F521" s="34"/>
      <c r="G521" s="33"/>
      <c r="H521" s="35"/>
      <c r="I521" s="36"/>
      <c r="J521" s="34"/>
      <c r="K521" s="34"/>
      <c r="L521" s="37"/>
      <c r="M521" s="38"/>
      <c r="N521" s="40"/>
      <c r="O521" s="40"/>
      <c r="P521" s="39"/>
      <c r="Q521" s="39"/>
    </row>
    <row r="522" spans="1:17" ht="15.75">
      <c r="A522" s="41"/>
      <c r="B522" s="31"/>
      <c r="C522" s="42"/>
      <c r="D522" s="33"/>
      <c r="E522" s="34"/>
      <c r="F522" s="34"/>
      <c r="G522" s="33"/>
      <c r="H522" s="35"/>
      <c r="I522" s="36"/>
      <c r="J522" s="34"/>
      <c r="K522" s="34"/>
      <c r="L522" s="37"/>
      <c r="M522" s="38"/>
      <c r="N522" s="40"/>
      <c r="O522" s="40"/>
      <c r="P522" s="39"/>
      <c r="Q522" s="39"/>
    </row>
    <row r="523" spans="1:17" ht="15.75">
      <c r="A523" s="41"/>
      <c r="B523" s="31"/>
      <c r="C523" s="42"/>
      <c r="D523" s="33"/>
      <c r="E523" s="34"/>
      <c r="F523" s="34"/>
      <c r="G523" s="33"/>
      <c r="H523" s="35"/>
      <c r="I523" s="36"/>
      <c r="J523" s="34"/>
      <c r="K523" s="34"/>
      <c r="L523" s="37"/>
      <c r="M523" s="38"/>
      <c r="N523" s="40"/>
      <c r="O523" s="40"/>
      <c r="P523" s="39"/>
      <c r="Q523" s="39"/>
    </row>
    <row r="524" spans="1:17" ht="15.75">
      <c r="A524" s="41"/>
      <c r="B524" s="31"/>
      <c r="C524" s="42"/>
      <c r="D524" s="33"/>
      <c r="E524" s="34"/>
      <c r="F524" s="34"/>
      <c r="G524" s="33"/>
      <c r="H524" s="35"/>
      <c r="I524" s="36"/>
      <c r="J524" s="34"/>
      <c r="K524" s="34"/>
      <c r="L524" s="37"/>
      <c r="M524" s="38"/>
      <c r="N524" s="40"/>
      <c r="O524" s="40"/>
      <c r="P524" s="39"/>
      <c r="Q524" s="39"/>
    </row>
    <row r="525" spans="1:17" ht="15.75">
      <c r="A525" s="41"/>
      <c r="B525" s="31"/>
      <c r="C525" s="42"/>
      <c r="D525" s="33"/>
      <c r="E525" s="34"/>
      <c r="F525" s="34"/>
      <c r="G525" s="33"/>
      <c r="H525" s="35"/>
      <c r="I525" s="36"/>
      <c r="J525" s="34"/>
      <c r="K525" s="34"/>
      <c r="L525" s="37"/>
      <c r="M525" s="38"/>
      <c r="N525" s="40"/>
      <c r="O525" s="40"/>
      <c r="P525" s="39"/>
      <c r="Q525" s="39"/>
    </row>
    <row r="526" spans="1:17" ht="15.75">
      <c r="A526" s="41"/>
      <c r="B526" s="31"/>
      <c r="C526" s="42"/>
      <c r="D526" s="33"/>
      <c r="E526" s="34"/>
      <c r="F526" s="34"/>
      <c r="G526" s="33"/>
      <c r="H526" s="35"/>
      <c r="I526" s="36"/>
      <c r="J526" s="34"/>
      <c r="K526" s="34"/>
      <c r="L526" s="37"/>
      <c r="M526" s="38"/>
      <c r="N526" s="40"/>
      <c r="O526" s="40"/>
      <c r="P526" s="39"/>
      <c r="Q526" s="39"/>
    </row>
    <row r="527" spans="1:17" ht="15.75">
      <c r="A527" s="41"/>
      <c r="B527" s="31"/>
      <c r="C527" s="42"/>
      <c r="D527" s="33"/>
      <c r="E527" s="34"/>
      <c r="F527" s="34"/>
      <c r="G527" s="33"/>
      <c r="H527" s="35"/>
      <c r="I527" s="36"/>
      <c r="J527" s="34"/>
      <c r="K527" s="34"/>
      <c r="L527" s="37"/>
      <c r="M527" s="38"/>
      <c r="N527" s="40"/>
      <c r="O527" s="40"/>
      <c r="P527" s="39"/>
      <c r="Q527" s="39"/>
    </row>
    <row r="528" spans="1:17" ht="15.75">
      <c r="A528" s="41"/>
      <c r="B528" s="31"/>
      <c r="C528" s="42"/>
      <c r="D528" s="33"/>
      <c r="E528" s="34"/>
      <c r="F528" s="34"/>
      <c r="G528" s="33"/>
      <c r="H528" s="35"/>
      <c r="I528" s="36"/>
      <c r="J528" s="34"/>
      <c r="K528" s="34"/>
      <c r="L528" s="37"/>
      <c r="M528" s="38"/>
      <c r="N528" s="40"/>
      <c r="O528" s="40"/>
      <c r="P528" s="39"/>
      <c r="Q528" s="39"/>
    </row>
    <row r="529" spans="1:17" ht="15.75">
      <c r="A529" s="41"/>
      <c r="B529" s="31"/>
      <c r="C529" s="42"/>
      <c r="D529" s="33"/>
      <c r="E529" s="34"/>
      <c r="F529" s="34"/>
      <c r="G529" s="33"/>
      <c r="H529" s="35"/>
      <c r="I529" s="36"/>
      <c r="J529" s="34"/>
      <c r="K529" s="34"/>
      <c r="L529" s="37"/>
      <c r="M529" s="38"/>
      <c r="N529" s="40"/>
      <c r="O529" s="40"/>
      <c r="P529" s="39"/>
      <c r="Q529" s="39"/>
    </row>
    <row r="530" spans="1:17" ht="15.75">
      <c r="A530" s="41"/>
      <c r="B530" s="31"/>
      <c r="C530" s="42"/>
      <c r="D530" s="33"/>
      <c r="E530" s="34"/>
      <c r="F530" s="34"/>
      <c r="G530" s="33"/>
      <c r="H530" s="35"/>
      <c r="I530" s="36"/>
      <c r="J530" s="34"/>
      <c r="K530" s="34"/>
      <c r="L530" s="37"/>
      <c r="M530" s="38"/>
      <c r="N530" s="40"/>
      <c r="O530" s="40"/>
      <c r="P530" s="39"/>
      <c r="Q530" s="39"/>
    </row>
    <row r="531" spans="1:17" ht="15.75">
      <c r="A531" s="41"/>
      <c r="B531" s="31"/>
      <c r="C531" s="42"/>
      <c r="D531" s="33"/>
      <c r="E531" s="34"/>
      <c r="F531" s="34"/>
      <c r="G531" s="33"/>
      <c r="H531" s="35"/>
      <c r="I531" s="36"/>
      <c r="J531" s="34"/>
      <c r="K531" s="34"/>
      <c r="L531" s="37"/>
      <c r="M531" s="38"/>
      <c r="N531" s="40"/>
      <c r="O531" s="40"/>
      <c r="P531" s="39"/>
      <c r="Q531" s="39"/>
    </row>
    <row r="532" spans="1:17" ht="15.75">
      <c r="A532" s="41"/>
      <c r="B532" s="31"/>
      <c r="C532" s="42"/>
      <c r="D532" s="33"/>
      <c r="E532" s="34"/>
      <c r="F532" s="34"/>
      <c r="G532" s="33"/>
      <c r="H532" s="35"/>
      <c r="I532" s="36"/>
      <c r="J532" s="34"/>
      <c r="K532" s="34"/>
      <c r="L532" s="37"/>
      <c r="M532" s="38"/>
      <c r="N532" s="40"/>
      <c r="O532" s="40"/>
      <c r="P532" s="39"/>
      <c r="Q532" s="39"/>
    </row>
    <row r="533" spans="1:17" ht="15.75">
      <c r="A533" s="41"/>
      <c r="B533" s="31"/>
      <c r="C533" s="42"/>
      <c r="D533" s="33"/>
      <c r="E533" s="34"/>
      <c r="F533" s="34"/>
      <c r="G533" s="33"/>
      <c r="H533" s="35"/>
      <c r="I533" s="36"/>
      <c r="J533" s="34"/>
      <c r="K533" s="34"/>
      <c r="L533" s="37"/>
      <c r="M533" s="38"/>
      <c r="N533" s="40"/>
      <c r="O533" s="40"/>
      <c r="P533" s="39"/>
      <c r="Q533" s="39"/>
    </row>
    <row r="534" spans="1:17" ht="15.75">
      <c r="A534" s="41"/>
      <c r="B534" s="31"/>
      <c r="C534" s="42"/>
      <c r="D534" s="33"/>
      <c r="E534" s="34"/>
      <c r="F534" s="34"/>
      <c r="G534" s="33"/>
      <c r="H534" s="35"/>
      <c r="I534" s="36"/>
      <c r="J534" s="34"/>
      <c r="K534" s="34"/>
      <c r="L534" s="37"/>
      <c r="M534" s="38"/>
      <c r="N534" s="40"/>
      <c r="O534" s="40"/>
      <c r="P534" s="39"/>
      <c r="Q534" s="39"/>
    </row>
    <row r="535" spans="1:17" ht="15.75">
      <c r="A535" s="41"/>
      <c r="B535" s="31"/>
      <c r="C535" s="42"/>
      <c r="D535" s="33"/>
      <c r="E535" s="34"/>
      <c r="F535" s="34"/>
      <c r="G535" s="33"/>
      <c r="H535" s="35"/>
      <c r="I535" s="36"/>
      <c r="J535" s="34"/>
      <c r="K535" s="34"/>
      <c r="L535" s="37"/>
      <c r="M535" s="38"/>
      <c r="N535" s="40"/>
      <c r="O535" s="40"/>
      <c r="P535" s="39"/>
      <c r="Q535" s="39"/>
    </row>
    <row r="536" spans="1:17" ht="15.75">
      <c r="A536" s="41"/>
      <c r="B536" s="31"/>
      <c r="C536" s="42"/>
      <c r="D536" s="33"/>
      <c r="E536" s="34"/>
      <c r="F536" s="34"/>
      <c r="G536" s="33"/>
      <c r="H536" s="35"/>
      <c r="I536" s="36"/>
      <c r="J536" s="34"/>
      <c r="K536" s="34"/>
      <c r="L536" s="37"/>
      <c r="M536" s="38"/>
      <c r="N536" s="40"/>
      <c r="O536" s="40"/>
      <c r="P536" s="39"/>
      <c r="Q536" s="39"/>
    </row>
    <row r="537" spans="1:17" ht="15.75">
      <c r="A537" s="41"/>
      <c r="B537" s="31"/>
      <c r="C537" s="42"/>
      <c r="D537" s="33"/>
      <c r="E537" s="34"/>
      <c r="F537" s="34"/>
      <c r="G537" s="33"/>
      <c r="H537" s="35"/>
      <c r="I537" s="36"/>
      <c r="J537" s="34"/>
      <c r="K537" s="34"/>
      <c r="L537" s="37"/>
      <c r="M537" s="38"/>
      <c r="N537" s="40"/>
      <c r="O537" s="40"/>
      <c r="P537" s="39"/>
      <c r="Q537" s="39"/>
    </row>
    <row r="538" spans="1:17" ht="15.75">
      <c r="A538" s="41"/>
      <c r="B538" s="31"/>
      <c r="C538" s="42"/>
      <c r="D538" s="33"/>
      <c r="E538" s="34"/>
      <c r="F538" s="34"/>
      <c r="G538" s="33"/>
      <c r="H538" s="35"/>
      <c r="I538" s="36"/>
      <c r="J538" s="34"/>
      <c r="K538" s="34"/>
      <c r="L538" s="37"/>
      <c r="M538" s="38"/>
      <c r="N538" s="40"/>
      <c r="O538" s="40"/>
      <c r="P538" s="39"/>
      <c r="Q538" s="39"/>
    </row>
    <row r="539" spans="1:17" ht="15.75">
      <c r="A539" s="41"/>
      <c r="B539" s="31"/>
      <c r="C539" s="42"/>
      <c r="D539" s="33"/>
      <c r="E539" s="34"/>
      <c r="F539" s="34"/>
      <c r="G539" s="33"/>
      <c r="H539" s="35"/>
      <c r="I539" s="36"/>
      <c r="J539" s="34"/>
      <c r="K539" s="34"/>
      <c r="L539" s="37"/>
      <c r="M539" s="38"/>
      <c r="N539" s="40"/>
      <c r="O539" s="40"/>
      <c r="P539" s="39"/>
      <c r="Q539" s="39"/>
    </row>
    <row r="540" spans="1:17" ht="15.75">
      <c r="A540" s="41"/>
      <c r="B540" s="31"/>
      <c r="C540" s="42"/>
      <c r="D540" s="33"/>
      <c r="E540" s="34"/>
      <c r="F540" s="34"/>
      <c r="G540" s="33"/>
      <c r="H540" s="35"/>
      <c r="I540" s="36"/>
      <c r="J540" s="34"/>
      <c r="K540" s="34"/>
      <c r="L540" s="37"/>
      <c r="M540" s="38"/>
      <c r="N540" s="40"/>
      <c r="O540" s="40"/>
      <c r="P540" s="39"/>
      <c r="Q540" s="39"/>
    </row>
    <row r="541" spans="1:17" ht="15.75">
      <c r="A541" s="41"/>
      <c r="B541" s="31"/>
      <c r="C541" s="42"/>
      <c r="D541" s="33"/>
      <c r="E541" s="34"/>
      <c r="F541" s="34"/>
      <c r="G541" s="33"/>
      <c r="H541" s="35"/>
      <c r="I541" s="36"/>
      <c r="J541" s="34"/>
      <c r="K541" s="34"/>
      <c r="L541" s="37"/>
      <c r="M541" s="38"/>
      <c r="N541" s="40"/>
      <c r="O541" s="40"/>
      <c r="P541" s="39"/>
      <c r="Q541" s="39"/>
    </row>
    <row r="542" spans="1:17" ht="15.75">
      <c r="A542" s="41"/>
      <c r="B542" s="31"/>
      <c r="C542" s="42"/>
      <c r="D542" s="33"/>
      <c r="E542" s="34"/>
      <c r="F542" s="34"/>
      <c r="G542" s="33"/>
      <c r="H542" s="35"/>
      <c r="I542" s="36"/>
      <c r="J542" s="34"/>
      <c r="K542" s="34"/>
      <c r="L542" s="37"/>
      <c r="M542" s="38"/>
      <c r="N542" s="40"/>
      <c r="O542" s="40"/>
      <c r="P542" s="39"/>
      <c r="Q542" s="39"/>
    </row>
    <row r="543" spans="1:17" ht="15.75">
      <c r="A543" s="41"/>
      <c r="B543" s="31"/>
      <c r="C543" s="42"/>
      <c r="D543" s="33"/>
      <c r="E543" s="34"/>
      <c r="F543" s="34"/>
      <c r="G543" s="33"/>
      <c r="H543" s="35"/>
      <c r="I543" s="36"/>
      <c r="J543" s="34"/>
      <c r="K543" s="34"/>
      <c r="L543" s="37"/>
      <c r="M543" s="38"/>
      <c r="N543" s="40"/>
      <c r="O543" s="40"/>
      <c r="P543" s="39"/>
      <c r="Q543" s="39"/>
    </row>
    <row r="544" spans="1:17" ht="15.75">
      <c r="A544" s="41"/>
      <c r="B544" s="31"/>
      <c r="C544" s="42"/>
      <c r="D544" s="33"/>
      <c r="E544" s="34"/>
      <c r="F544" s="34"/>
      <c r="G544" s="33"/>
      <c r="H544" s="35"/>
      <c r="I544" s="36"/>
      <c r="J544" s="34"/>
      <c r="K544" s="34"/>
      <c r="L544" s="37"/>
      <c r="M544" s="38"/>
      <c r="N544" s="40"/>
      <c r="O544" s="40"/>
      <c r="P544" s="39"/>
      <c r="Q544" s="39"/>
    </row>
    <row r="545" spans="1:17" ht="15.75">
      <c r="A545" s="41"/>
      <c r="B545" s="31"/>
      <c r="C545" s="42"/>
      <c r="D545" s="33"/>
      <c r="E545" s="34"/>
      <c r="F545" s="34"/>
      <c r="G545" s="33"/>
      <c r="H545" s="35"/>
      <c r="I545" s="36"/>
      <c r="J545" s="34"/>
      <c r="K545" s="34"/>
      <c r="L545" s="37"/>
      <c r="M545" s="38"/>
      <c r="N545" s="40"/>
      <c r="O545" s="40"/>
      <c r="P545" s="39"/>
      <c r="Q545" s="39"/>
    </row>
    <row r="546" spans="1:17" ht="15.75">
      <c r="A546" s="41"/>
      <c r="B546" s="31"/>
      <c r="C546" s="42"/>
      <c r="D546" s="33"/>
      <c r="E546" s="34"/>
      <c r="F546" s="34"/>
      <c r="G546" s="33"/>
      <c r="H546" s="35"/>
      <c r="I546" s="36"/>
      <c r="J546" s="34"/>
      <c r="K546" s="34"/>
      <c r="L546" s="37"/>
      <c r="M546" s="38"/>
      <c r="N546" s="40"/>
      <c r="O546" s="40"/>
      <c r="P546" s="39"/>
      <c r="Q546" s="39"/>
    </row>
    <row r="547" spans="1:17" ht="15.75">
      <c r="A547" s="41"/>
      <c r="B547" s="31"/>
      <c r="C547" s="42"/>
      <c r="D547" s="33"/>
      <c r="E547" s="34"/>
      <c r="F547" s="34"/>
      <c r="G547" s="33"/>
      <c r="H547" s="35"/>
      <c r="I547" s="36"/>
      <c r="J547" s="34"/>
      <c r="K547" s="34"/>
      <c r="L547" s="37"/>
      <c r="M547" s="38"/>
      <c r="N547" s="40"/>
      <c r="O547" s="40"/>
      <c r="P547" s="39"/>
      <c r="Q547" s="39"/>
    </row>
    <row r="548" spans="1:17" ht="15.75">
      <c r="A548" s="41"/>
      <c r="B548" s="31"/>
      <c r="C548" s="42"/>
      <c r="D548" s="33"/>
      <c r="E548" s="34"/>
      <c r="F548" s="34"/>
      <c r="G548" s="33"/>
      <c r="H548" s="35"/>
      <c r="I548" s="36"/>
      <c r="J548" s="34"/>
      <c r="K548" s="34"/>
      <c r="L548" s="37"/>
      <c r="M548" s="38"/>
      <c r="N548" s="40"/>
      <c r="O548" s="40"/>
      <c r="P548" s="39"/>
      <c r="Q548" s="39"/>
    </row>
    <row r="549" spans="1:17" ht="15.75">
      <c r="A549" s="41"/>
      <c r="B549" s="31"/>
      <c r="C549" s="42"/>
      <c r="D549" s="33"/>
      <c r="E549" s="34"/>
      <c r="F549" s="34"/>
      <c r="G549" s="33"/>
      <c r="H549" s="35"/>
      <c r="I549" s="36"/>
      <c r="J549" s="34"/>
      <c r="K549" s="34"/>
      <c r="L549" s="37"/>
      <c r="M549" s="38"/>
      <c r="N549" s="40"/>
      <c r="O549" s="40"/>
      <c r="P549" s="39"/>
      <c r="Q549" s="39"/>
    </row>
    <row r="550" spans="1:17" ht="15.75">
      <c r="A550" s="30"/>
      <c r="B550" s="31"/>
      <c r="C550" s="42"/>
      <c r="D550" s="33"/>
      <c r="E550" s="34"/>
      <c r="F550" s="34"/>
      <c r="G550" s="33"/>
      <c r="H550" s="35"/>
      <c r="I550" s="36"/>
      <c r="J550" s="34"/>
      <c r="K550" s="34"/>
      <c r="L550" s="37"/>
      <c r="M550" s="38"/>
      <c r="N550" s="40"/>
      <c r="O550" s="40"/>
      <c r="P550" s="39"/>
      <c r="Q550" s="39"/>
    </row>
    <row r="551" spans="1:17" ht="15.75">
      <c r="A551" s="41"/>
      <c r="B551" s="31"/>
      <c r="C551" s="42"/>
      <c r="D551" s="33"/>
      <c r="E551" s="34"/>
      <c r="F551" s="34"/>
      <c r="G551" s="33"/>
      <c r="H551" s="35"/>
      <c r="I551" s="36"/>
      <c r="J551" s="34"/>
      <c r="K551" s="34"/>
      <c r="L551" s="37"/>
      <c r="M551" s="38"/>
      <c r="N551" s="40"/>
      <c r="O551" s="40"/>
      <c r="P551" s="39"/>
      <c r="Q551" s="39"/>
    </row>
    <row r="552" spans="1:17" ht="15.75">
      <c r="A552" s="41"/>
      <c r="B552" s="31"/>
      <c r="C552" s="42"/>
      <c r="D552" s="33"/>
      <c r="E552" s="34"/>
      <c r="F552" s="34"/>
      <c r="G552" s="33"/>
      <c r="H552" s="35"/>
      <c r="I552" s="36"/>
      <c r="J552" s="34"/>
      <c r="K552" s="34"/>
      <c r="L552" s="37"/>
      <c r="M552" s="38"/>
      <c r="N552" s="40"/>
      <c r="O552" s="40"/>
      <c r="P552" s="39"/>
      <c r="Q552" s="39"/>
    </row>
    <row r="553" spans="1:17" ht="15.75">
      <c r="A553" s="41"/>
      <c r="B553" s="31"/>
      <c r="C553" s="42"/>
      <c r="D553" s="33"/>
      <c r="E553" s="34"/>
      <c r="F553" s="34"/>
      <c r="G553" s="33"/>
      <c r="H553" s="35"/>
      <c r="I553" s="36"/>
      <c r="J553" s="34"/>
      <c r="K553" s="34"/>
      <c r="L553" s="37"/>
      <c r="M553" s="38"/>
      <c r="N553" s="40"/>
      <c r="O553" s="40"/>
      <c r="P553" s="39"/>
      <c r="Q553" s="39"/>
    </row>
    <row r="554" spans="1:17" ht="15.75">
      <c r="A554" s="41"/>
      <c r="B554" s="31"/>
      <c r="C554" s="42"/>
      <c r="D554" s="33"/>
      <c r="E554" s="34"/>
      <c r="F554" s="34"/>
      <c r="G554" s="33"/>
      <c r="H554" s="35"/>
      <c r="I554" s="36"/>
      <c r="J554" s="34"/>
      <c r="K554" s="34"/>
      <c r="L554" s="37"/>
      <c r="M554" s="38"/>
      <c r="N554" s="40"/>
      <c r="O554" s="40"/>
      <c r="P554" s="39"/>
      <c r="Q554" s="39"/>
    </row>
    <row r="555" spans="1:17" ht="15.75">
      <c r="A555" s="41"/>
      <c r="B555" s="31"/>
      <c r="C555" s="42"/>
      <c r="D555" s="33"/>
      <c r="E555" s="34"/>
      <c r="F555" s="34"/>
      <c r="G555" s="33"/>
      <c r="H555" s="35"/>
      <c r="I555" s="36"/>
      <c r="J555" s="34"/>
      <c r="K555" s="34"/>
      <c r="L555" s="37"/>
      <c r="M555" s="38"/>
      <c r="N555" s="40"/>
      <c r="O555" s="40"/>
      <c r="P555" s="39"/>
      <c r="Q555" s="39"/>
    </row>
    <row r="556" spans="1:17" ht="15.75">
      <c r="A556" s="41"/>
      <c r="B556" s="31"/>
      <c r="C556" s="42"/>
      <c r="D556" s="33"/>
      <c r="E556" s="34"/>
      <c r="F556" s="34"/>
      <c r="G556" s="33"/>
      <c r="H556" s="35"/>
      <c r="I556" s="36"/>
      <c r="J556" s="34"/>
      <c r="K556" s="34"/>
      <c r="L556" s="37"/>
      <c r="M556" s="38"/>
      <c r="N556" s="40"/>
      <c r="O556" s="40"/>
      <c r="P556" s="39"/>
      <c r="Q556" s="39"/>
    </row>
    <row r="557" spans="1:17" ht="15.75">
      <c r="A557" s="41"/>
      <c r="B557" s="31"/>
      <c r="C557" s="42"/>
      <c r="D557" s="33"/>
      <c r="E557" s="34"/>
      <c r="F557" s="34"/>
      <c r="G557" s="33"/>
      <c r="H557" s="35"/>
      <c r="I557" s="36"/>
      <c r="J557" s="34"/>
      <c r="K557" s="34"/>
      <c r="L557" s="37"/>
      <c r="M557" s="38"/>
      <c r="N557" s="40"/>
      <c r="O557" s="40"/>
      <c r="P557" s="39"/>
      <c r="Q557" s="39"/>
    </row>
    <row r="558" spans="1:17" ht="15.75">
      <c r="A558" s="41"/>
      <c r="B558" s="31"/>
      <c r="C558" s="42"/>
      <c r="D558" s="33"/>
      <c r="E558" s="34"/>
      <c r="F558" s="34"/>
      <c r="G558" s="33"/>
      <c r="H558" s="35"/>
      <c r="I558" s="36"/>
      <c r="J558" s="34"/>
      <c r="K558" s="34"/>
      <c r="L558" s="37"/>
      <c r="M558" s="38"/>
      <c r="N558" s="40"/>
      <c r="O558" s="40"/>
      <c r="P558" s="39"/>
      <c r="Q558" s="39"/>
    </row>
    <row r="559" spans="1:17" ht="15.75">
      <c r="A559" s="41"/>
      <c r="B559" s="31"/>
      <c r="C559" s="42"/>
      <c r="D559" s="33"/>
      <c r="E559" s="34"/>
      <c r="F559" s="34"/>
      <c r="G559" s="33"/>
      <c r="H559" s="35"/>
      <c r="I559" s="36"/>
      <c r="J559" s="34"/>
      <c r="K559" s="34"/>
      <c r="L559" s="37"/>
      <c r="M559" s="38"/>
      <c r="N559" s="40"/>
      <c r="O559" s="40"/>
      <c r="P559" s="39"/>
      <c r="Q559" s="39"/>
    </row>
    <row r="560" spans="1:17" ht="15.75">
      <c r="A560" s="41"/>
      <c r="B560" s="31"/>
      <c r="C560" s="42"/>
      <c r="D560" s="33"/>
      <c r="E560" s="34"/>
      <c r="F560" s="34"/>
      <c r="G560" s="33"/>
      <c r="H560" s="35"/>
      <c r="I560" s="36"/>
      <c r="J560" s="34"/>
      <c r="K560" s="34"/>
      <c r="L560" s="37"/>
      <c r="M560" s="38"/>
      <c r="N560" s="40"/>
      <c r="O560" s="40"/>
      <c r="P560" s="39"/>
      <c r="Q560" s="39"/>
    </row>
    <row r="561" spans="1:17" ht="15.75">
      <c r="A561" s="41"/>
      <c r="B561" s="31"/>
      <c r="C561" s="42"/>
      <c r="D561" s="33"/>
      <c r="E561" s="34"/>
      <c r="F561" s="34"/>
      <c r="G561" s="33"/>
      <c r="H561" s="35"/>
      <c r="I561" s="36"/>
      <c r="J561" s="34"/>
      <c r="K561" s="34"/>
      <c r="L561" s="37"/>
      <c r="M561" s="38"/>
      <c r="N561" s="40"/>
      <c r="O561" s="40"/>
      <c r="P561" s="39"/>
      <c r="Q561" s="39"/>
    </row>
    <row r="562" spans="1:17" ht="15.75">
      <c r="A562" s="41"/>
      <c r="B562" s="31"/>
      <c r="C562" s="42"/>
      <c r="D562" s="33"/>
      <c r="E562" s="34"/>
      <c r="F562" s="34"/>
      <c r="G562" s="33"/>
      <c r="H562" s="35"/>
      <c r="I562" s="36"/>
      <c r="J562" s="34"/>
      <c r="K562" s="34"/>
      <c r="L562" s="37"/>
      <c r="M562" s="38"/>
      <c r="N562" s="40"/>
      <c r="O562" s="40"/>
      <c r="P562" s="39"/>
      <c r="Q562" s="39"/>
    </row>
    <row r="563" spans="1:17" ht="15.75">
      <c r="A563" s="41"/>
      <c r="B563" s="31"/>
      <c r="C563" s="42"/>
      <c r="D563" s="33"/>
      <c r="E563" s="34"/>
      <c r="F563" s="34"/>
      <c r="G563" s="33"/>
      <c r="H563" s="35"/>
      <c r="I563" s="36"/>
      <c r="J563" s="34"/>
      <c r="K563" s="34"/>
      <c r="L563" s="37"/>
      <c r="M563" s="38"/>
      <c r="N563" s="40"/>
      <c r="O563" s="40"/>
      <c r="P563" s="39"/>
      <c r="Q563" s="39"/>
    </row>
    <row r="564" spans="1:17" ht="15.75">
      <c r="A564" s="41"/>
      <c r="B564" s="31"/>
      <c r="C564" s="42"/>
      <c r="D564" s="33"/>
      <c r="E564" s="34"/>
      <c r="F564" s="34"/>
      <c r="G564" s="33"/>
      <c r="H564" s="35"/>
      <c r="I564" s="36"/>
      <c r="J564" s="34"/>
      <c r="K564" s="34"/>
      <c r="L564" s="37"/>
      <c r="M564" s="38"/>
      <c r="N564" s="40"/>
      <c r="O564" s="40"/>
      <c r="P564" s="39"/>
      <c r="Q564" s="39"/>
    </row>
    <row r="565" spans="1:17" ht="15.75">
      <c r="A565" s="41"/>
      <c r="B565" s="31"/>
      <c r="C565" s="42"/>
      <c r="D565" s="33"/>
      <c r="E565" s="34"/>
      <c r="F565" s="34"/>
      <c r="G565" s="33"/>
      <c r="H565" s="35"/>
      <c r="I565" s="36"/>
      <c r="J565" s="34"/>
      <c r="K565" s="34"/>
      <c r="L565" s="37"/>
      <c r="M565" s="38"/>
      <c r="N565" s="40"/>
      <c r="O565" s="40"/>
      <c r="P565" s="39"/>
      <c r="Q565" s="39"/>
    </row>
    <row r="566" spans="1:17" ht="15.75">
      <c r="A566" s="41"/>
      <c r="B566" s="31"/>
      <c r="C566" s="42"/>
      <c r="D566" s="33"/>
      <c r="E566" s="34"/>
      <c r="F566" s="34"/>
      <c r="G566" s="33"/>
      <c r="H566" s="35"/>
      <c r="I566" s="36"/>
      <c r="J566" s="34"/>
      <c r="K566" s="34"/>
      <c r="L566" s="37"/>
      <c r="M566" s="38"/>
      <c r="N566" s="40"/>
      <c r="O566" s="40"/>
      <c r="P566" s="39"/>
      <c r="Q566" s="39"/>
    </row>
    <row r="567" spans="1:17" ht="15.75">
      <c r="A567" s="41"/>
      <c r="B567" s="31"/>
      <c r="C567" s="42"/>
      <c r="D567" s="33"/>
      <c r="E567" s="34"/>
      <c r="F567" s="34"/>
      <c r="G567" s="33"/>
      <c r="H567" s="35"/>
      <c r="I567" s="36"/>
      <c r="J567" s="34"/>
      <c r="K567" s="34"/>
      <c r="L567" s="37"/>
      <c r="M567" s="38"/>
      <c r="N567" s="40"/>
      <c r="O567" s="40"/>
      <c r="P567" s="39"/>
      <c r="Q567" s="39"/>
    </row>
    <row r="568" spans="1:17" ht="15.75">
      <c r="A568" s="41"/>
      <c r="B568" s="31"/>
      <c r="C568" s="42"/>
      <c r="D568" s="33"/>
      <c r="E568" s="34"/>
      <c r="F568" s="34"/>
      <c r="G568" s="33"/>
      <c r="H568" s="35"/>
      <c r="I568" s="36"/>
      <c r="J568" s="34"/>
      <c r="K568" s="34"/>
      <c r="L568" s="37"/>
      <c r="M568" s="38"/>
      <c r="N568" s="40"/>
      <c r="O568" s="40"/>
      <c r="P568" s="39"/>
      <c r="Q568" s="39"/>
    </row>
    <row r="569" spans="1:17" ht="15.75">
      <c r="A569" s="41"/>
      <c r="B569" s="31"/>
      <c r="C569" s="42"/>
      <c r="D569" s="33"/>
      <c r="E569" s="34"/>
      <c r="F569" s="34"/>
      <c r="G569" s="33"/>
      <c r="H569" s="35"/>
      <c r="I569" s="36"/>
      <c r="J569" s="34"/>
      <c r="K569" s="34"/>
      <c r="L569" s="37"/>
      <c r="M569" s="38"/>
      <c r="N569" s="40"/>
      <c r="O569" s="40"/>
      <c r="P569" s="39"/>
      <c r="Q569" s="39"/>
    </row>
    <row r="570" spans="1:17" ht="15.75">
      <c r="A570" s="41"/>
      <c r="B570" s="31"/>
      <c r="C570" s="42"/>
      <c r="D570" s="33"/>
      <c r="E570" s="34"/>
      <c r="F570" s="34"/>
      <c r="G570" s="33"/>
      <c r="H570" s="35"/>
      <c r="I570" s="36"/>
      <c r="J570" s="34"/>
      <c r="K570" s="34"/>
      <c r="L570" s="37"/>
      <c r="M570" s="38"/>
      <c r="N570" s="40"/>
      <c r="O570" s="40"/>
      <c r="P570" s="39"/>
      <c r="Q570" s="39"/>
    </row>
    <row r="571" spans="1:17" ht="15.75">
      <c r="A571" s="41"/>
      <c r="B571" s="31"/>
      <c r="C571" s="42"/>
      <c r="D571" s="33"/>
      <c r="E571" s="34"/>
      <c r="F571" s="34"/>
      <c r="G571" s="33"/>
      <c r="H571" s="35"/>
      <c r="I571" s="36"/>
      <c r="J571" s="34"/>
      <c r="K571" s="34"/>
      <c r="L571" s="37"/>
      <c r="M571" s="38"/>
      <c r="N571" s="40"/>
      <c r="O571" s="40"/>
      <c r="P571" s="39"/>
      <c r="Q571" s="39"/>
    </row>
    <row r="572" spans="1:17" ht="15.75">
      <c r="A572" s="41"/>
      <c r="B572" s="31"/>
      <c r="C572" s="42"/>
      <c r="D572" s="33"/>
      <c r="E572" s="34"/>
      <c r="F572" s="34"/>
      <c r="G572" s="33"/>
      <c r="H572" s="35"/>
      <c r="I572" s="36"/>
      <c r="J572" s="34"/>
      <c r="K572" s="34"/>
      <c r="L572" s="37"/>
      <c r="M572" s="38"/>
      <c r="N572" s="40"/>
      <c r="O572" s="40"/>
      <c r="P572" s="39"/>
      <c r="Q572" s="39"/>
    </row>
    <row r="573" spans="1:17" ht="15.75">
      <c r="A573" s="41"/>
      <c r="B573" s="31"/>
      <c r="C573" s="42"/>
      <c r="D573" s="33"/>
      <c r="E573" s="34"/>
      <c r="F573" s="34"/>
      <c r="G573" s="33"/>
      <c r="H573" s="35"/>
      <c r="I573" s="36"/>
      <c r="J573" s="34"/>
      <c r="K573" s="34"/>
      <c r="L573" s="37"/>
      <c r="M573" s="38"/>
      <c r="N573" s="40"/>
      <c r="O573" s="40"/>
      <c r="P573" s="39"/>
      <c r="Q573" s="39"/>
    </row>
    <row r="574" spans="1:17" ht="15.75">
      <c r="A574" s="41"/>
      <c r="B574" s="31"/>
      <c r="C574" s="42"/>
      <c r="D574" s="33"/>
      <c r="E574" s="34"/>
      <c r="F574" s="34"/>
      <c r="G574" s="33"/>
      <c r="H574" s="35"/>
      <c r="I574" s="36"/>
      <c r="J574" s="34"/>
      <c r="K574" s="34"/>
      <c r="L574" s="37"/>
      <c r="M574" s="38"/>
      <c r="N574" s="40"/>
      <c r="O574" s="40"/>
      <c r="P574" s="39"/>
      <c r="Q574" s="39"/>
    </row>
    <row r="575" spans="1:17" ht="15.75">
      <c r="A575" s="41"/>
      <c r="B575" s="31"/>
      <c r="C575" s="42"/>
      <c r="D575" s="33"/>
      <c r="E575" s="34"/>
      <c r="F575" s="34"/>
      <c r="G575" s="33"/>
      <c r="H575" s="35"/>
      <c r="I575" s="36"/>
      <c r="J575" s="34"/>
      <c r="K575" s="34"/>
      <c r="L575" s="37"/>
      <c r="M575" s="38"/>
      <c r="N575" s="40"/>
      <c r="O575" s="40"/>
      <c r="P575" s="39"/>
      <c r="Q575" s="39"/>
    </row>
    <row r="576" spans="1:17" ht="15.75">
      <c r="A576" s="41"/>
      <c r="B576" s="31"/>
      <c r="C576" s="42"/>
      <c r="D576" s="33"/>
      <c r="E576" s="34"/>
      <c r="F576" s="34"/>
      <c r="G576" s="33"/>
      <c r="H576" s="35"/>
      <c r="I576" s="36"/>
      <c r="J576" s="34"/>
      <c r="K576" s="34"/>
      <c r="L576" s="37"/>
      <c r="M576" s="38"/>
      <c r="N576" s="40"/>
      <c r="O576" s="40"/>
      <c r="P576" s="39"/>
      <c r="Q576" s="39"/>
    </row>
    <row r="577" spans="1:17" ht="15.75">
      <c r="A577" s="41"/>
      <c r="B577" s="31"/>
      <c r="C577" s="42"/>
      <c r="D577" s="33"/>
      <c r="E577" s="34"/>
      <c r="F577" s="34"/>
      <c r="G577" s="33"/>
      <c r="H577" s="35"/>
      <c r="I577" s="36"/>
      <c r="J577" s="34"/>
      <c r="K577" s="34"/>
      <c r="L577" s="37"/>
      <c r="M577" s="38"/>
      <c r="N577" s="40"/>
      <c r="O577" s="40"/>
      <c r="P577" s="39"/>
      <c r="Q577" s="39"/>
    </row>
    <row r="578" spans="1:17" ht="15.75">
      <c r="A578" s="41"/>
      <c r="B578" s="31"/>
      <c r="C578" s="42"/>
      <c r="D578" s="33"/>
      <c r="E578" s="34"/>
      <c r="F578" s="34"/>
      <c r="G578" s="33"/>
      <c r="H578" s="35"/>
      <c r="I578" s="36"/>
      <c r="J578" s="34"/>
      <c r="K578" s="34"/>
      <c r="L578" s="37"/>
      <c r="M578" s="38"/>
      <c r="N578" s="40"/>
      <c r="O578" s="40"/>
      <c r="P578" s="39"/>
      <c r="Q578" s="39"/>
    </row>
    <row r="579" spans="1:17" ht="15.75">
      <c r="A579" s="41"/>
      <c r="B579" s="31"/>
      <c r="C579" s="42"/>
      <c r="D579" s="33"/>
      <c r="E579" s="34"/>
      <c r="F579" s="34"/>
      <c r="G579" s="33"/>
      <c r="H579" s="35"/>
      <c r="I579" s="36"/>
      <c r="J579" s="34"/>
      <c r="K579" s="34"/>
      <c r="L579" s="37"/>
      <c r="M579" s="38"/>
      <c r="N579" s="40"/>
      <c r="O579" s="40"/>
      <c r="P579" s="39"/>
      <c r="Q579" s="39"/>
    </row>
    <row r="580" spans="1:17" ht="15.75">
      <c r="A580" s="41"/>
      <c r="B580" s="31"/>
      <c r="C580" s="42"/>
      <c r="D580" s="33"/>
      <c r="E580" s="34"/>
      <c r="F580" s="34"/>
      <c r="G580" s="33"/>
      <c r="H580" s="35"/>
      <c r="I580" s="36"/>
      <c r="J580" s="34"/>
      <c r="K580" s="34"/>
      <c r="L580" s="37"/>
      <c r="M580" s="38"/>
      <c r="N580" s="40"/>
      <c r="O580" s="40"/>
      <c r="P580" s="39"/>
      <c r="Q580" s="39"/>
    </row>
    <row r="581" spans="1:17" ht="15.75">
      <c r="A581" s="41"/>
      <c r="B581" s="31"/>
      <c r="C581" s="42"/>
      <c r="D581" s="33"/>
      <c r="E581" s="34"/>
      <c r="F581" s="34"/>
      <c r="G581" s="33"/>
      <c r="H581" s="35"/>
      <c r="I581" s="36"/>
      <c r="J581" s="34"/>
      <c r="K581" s="34"/>
      <c r="L581" s="37"/>
      <c r="M581" s="38"/>
      <c r="N581" s="40"/>
      <c r="O581" s="40"/>
      <c r="P581" s="39"/>
      <c r="Q581" s="39"/>
    </row>
    <row r="582" spans="1:17" ht="15.75">
      <c r="A582" s="41"/>
      <c r="B582" s="31"/>
      <c r="C582" s="42"/>
      <c r="D582" s="33"/>
      <c r="E582" s="34"/>
      <c r="F582" s="34"/>
      <c r="G582" s="33"/>
      <c r="H582" s="35"/>
      <c r="I582" s="36"/>
      <c r="J582" s="34"/>
      <c r="K582" s="34"/>
      <c r="L582" s="37"/>
      <c r="M582" s="38"/>
      <c r="N582" s="40"/>
      <c r="O582" s="40"/>
      <c r="P582" s="39"/>
      <c r="Q582" s="39"/>
    </row>
    <row r="583" spans="1:17" ht="15.75">
      <c r="A583" s="41"/>
      <c r="B583" s="31"/>
      <c r="C583" s="42"/>
      <c r="D583" s="33"/>
      <c r="E583" s="34"/>
      <c r="F583" s="34"/>
      <c r="G583" s="33"/>
      <c r="H583" s="35"/>
      <c r="I583" s="36"/>
      <c r="J583" s="34"/>
      <c r="K583" s="34"/>
      <c r="L583" s="37"/>
      <c r="M583" s="38"/>
      <c r="N583" s="40"/>
      <c r="O583" s="40"/>
      <c r="P583" s="39"/>
      <c r="Q583" s="39"/>
    </row>
    <row r="584" spans="1:17" ht="15.75">
      <c r="A584" s="41"/>
      <c r="B584" s="31"/>
      <c r="C584" s="42"/>
      <c r="D584" s="33"/>
      <c r="E584" s="34"/>
      <c r="F584" s="34"/>
      <c r="G584" s="33"/>
      <c r="H584" s="35"/>
      <c r="I584" s="36"/>
      <c r="J584" s="34"/>
      <c r="K584" s="34"/>
      <c r="L584" s="37"/>
      <c r="M584" s="38"/>
      <c r="N584" s="40"/>
      <c r="O584" s="40"/>
      <c r="P584" s="39"/>
      <c r="Q584" s="39"/>
    </row>
    <row r="585" spans="1:17" ht="15.75">
      <c r="A585" s="41"/>
      <c r="B585" s="31"/>
      <c r="C585" s="42"/>
      <c r="D585" s="33"/>
      <c r="E585" s="34"/>
      <c r="F585" s="34"/>
      <c r="G585" s="33"/>
      <c r="H585" s="35"/>
      <c r="I585" s="36"/>
      <c r="J585" s="34"/>
      <c r="K585" s="34"/>
      <c r="L585" s="37"/>
      <c r="M585" s="38"/>
      <c r="N585" s="40"/>
      <c r="O585" s="40"/>
      <c r="P585" s="39"/>
      <c r="Q585" s="39"/>
    </row>
    <row r="586" spans="1:17" ht="15.75">
      <c r="A586" s="41"/>
      <c r="B586" s="31"/>
      <c r="C586" s="42"/>
      <c r="D586" s="33"/>
      <c r="E586" s="34"/>
      <c r="F586" s="34"/>
      <c r="G586" s="33"/>
      <c r="H586" s="35"/>
      <c r="I586" s="36"/>
      <c r="J586" s="34"/>
      <c r="K586" s="34"/>
      <c r="L586" s="37"/>
      <c r="M586" s="38"/>
      <c r="N586" s="40"/>
      <c r="O586" s="40"/>
      <c r="P586" s="39"/>
      <c r="Q586" s="39"/>
    </row>
    <row r="587" spans="1:17" ht="15.75">
      <c r="A587" s="41"/>
      <c r="B587" s="31"/>
      <c r="C587" s="42"/>
      <c r="D587" s="33"/>
      <c r="E587" s="34"/>
      <c r="F587" s="34"/>
      <c r="G587" s="33"/>
      <c r="H587" s="35"/>
      <c r="I587" s="36"/>
      <c r="J587" s="34"/>
      <c r="K587" s="34"/>
      <c r="L587" s="37"/>
      <c r="M587" s="38"/>
      <c r="N587" s="40"/>
      <c r="O587" s="40"/>
      <c r="P587" s="39"/>
      <c r="Q587" s="39"/>
    </row>
    <row r="588" spans="1:17" ht="15.75">
      <c r="A588" s="41"/>
      <c r="B588" s="31"/>
      <c r="C588" s="42"/>
      <c r="D588" s="33"/>
      <c r="E588" s="34"/>
      <c r="F588" s="34"/>
      <c r="G588" s="33"/>
      <c r="H588" s="35"/>
      <c r="I588" s="36"/>
      <c r="J588" s="34"/>
      <c r="K588" s="34"/>
      <c r="L588" s="37"/>
      <c r="M588" s="38"/>
      <c r="N588" s="40"/>
      <c r="O588" s="40"/>
      <c r="P588" s="39"/>
      <c r="Q588" s="39"/>
    </row>
    <row r="589" spans="1:17" ht="15.75">
      <c r="A589" s="41"/>
      <c r="B589" s="31"/>
      <c r="C589" s="42"/>
      <c r="D589" s="33"/>
      <c r="E589" s="34"/>
      <c r="F589" s="34"/>
      <c r="G589" s="33"/>
      <c r="H589" s="35"/>
      <c r="I589" s="36"/>
      <c r="J589" s="34"/>
      <c r="K589" s="34"/>
      <c r="L589" s="37"/>
      <c r="M589" s="38"/>
      <c r="N589" s="40"/>
      <c r="O589" s="40"/>
      <c r="P589" s="39"/>
      <c r="Q589" s="39"/>
    </row>
    <row r="590" spans="1:17" ht="15.75">
      <c r="A590" s="41"/>
      <c r="B590" s="31"/>
      <c r="C590" s="42"/>
      <c r="D590" s="33"/>
      <c r="E590" s="34"/>
      <c r="F590" s="34"/>
      <c r="G590" s="33"/>
      <c r="H590" s="35"/>
      <c r="I590" s="36"/>
      <c r="J590" s="34"/>
      <c r="K590" s="34"/>
      <c r="L590" s="37"/>
      <c r="M590" s="38"/>
      <c r="N590" s="40"/>
      <c r="O590" s="40"/>
      <c r="P590" s="39"/>
      <c r="Q590" s="39"/>
    </row>
    <row r="591" spans="1:17" ht="15.75">
      <c r="A591" s="41"/>
      <c r="B591" s="31"/>
      <c r="C591" s="42"/>
      <c r="D591" s="33"/>
      <c r="E591" s="34"/>
      <c r="F591" s="34"/>
      <c r="G591" s="33"/>
      <c r="H591" s="35"/>
      <c r="I591" s="36"/>
      <c r="J591" s="34"/>
      <c r="K591" s="34"/>
      <c r="L591" s="37"/>
      <c r="M591" s="38"/>
      <c r="N591" s="40"/>
      <c r="O591" s="40"/>
      <c r="P591" s="39"/>
      <c r="Q591" s="39"/>
    </row>
    <row r="592" spans="1:17" ht="15.75">
      <c r="A592" s="41"/>
      <c r="B592" s="31"/>
      <c r="C592" s="42"/>
      <c r="D592" s="33"/>
      <c r="E592" s="34"/>
      <c r="F592" s="34"/>
      <c r="G592" s="33"/>
      <c r="H592" s="35"/>
      <c r="I592" s="36"/>
      <c r="J592" s="34"/>
      <c r="K592" s="34"/>
      <c r="L592" s="37"/>
      <c r="M592" s="38"/>
      <c r="N592" s="40"/>
      <c r="O592" s="40"/>
      <c r="P592" s="39"/>
      <c r="Q592" s="39"/>
    </row>
    <row r="593" spans="1:17" ht="15.75">
      <c r="A593" s="41"/>
      <c r="B593" s="31"/>
      <c r="C593" s="42"/>
      <c r="D593" s="33"/>
      <c r="E593" s="34"/>
      <c r="F593" s="34"/>
      <c r="G593" s="33"/>
      <c r="H593" s="35"/>
      <c r="I593" s="36"/>
      <c r="J593" s="34"/>
      <c r="K593" s="34"/>
      <c r="L593" s="37"/>
      <c r="M593" s="38"/>
      <c r="N593" s="40"/>
      <c r="O593" s="40"/>
      <c r="P593" s="39"/>
      <c r="Q593" s="39"/>
    </row>
    <row r="594" spans="1:17" ht="15.75">
      <c r="A594" s="41"/>
      <c r="B594" s="31"/>
      <c r="C594" s="42"/>
      <c r="D594" s="33"/>
      <c r="E594" s="34"/>
      <c r="F594" s="34"/>
      <c r="G594" s="33"/>
      <c r="H594" s="35"/>
      <c r="I594" s="36"/>
      <c r="J594" s="34"/>
      <c r="K594" s="34"/>
      <c r="L594" s="37"/>
      <c r="M594" s="38"/>
      <c r="N594" s="40"/>
      <c r="O594" s="40"/>
      <c r="P594" s="39"/>
      <c r="Q594" s="39"/>
    </row>
    <row r="595" spans="1:17" ht="15.75">
      <c r="A595" s="41"/>
      <c r="B595" s="31"/>
      <c r="C595" s="42"/>
      <c r="D595" s="33"/>
      <c r="E595" s="34"/>
      <c r="F595" s="34"/>
      <c r="G595" s="33"/>
      <c r="H595" s="35"/>
      <c r="I595" s="36"/>
      <c r="J595" s="34"/>
      <c r="K595" s="34"/>
      <c r="L595" s="37"/>
      <c r="M595" s="38"/>
      <c r="N595" s="40"/>
      <c r="O595" s="40"/>
      <c r="P595" s="39"/>
      <c r="Q595" s="39"/>
    </row>
    <row r="596" spans="1:17" ht="15.75">
      <c r="A596" s="41"/>
      <c r="B596" s="31"/>
      <c r="C596" s="42"/>
      <c r="D596" s="33"/>
      <c r="E596" s="34"/>
      <c r="F596" s="34"/>
      <c r="G596" s="33"/>
      <c r="H596" s="35"/>
      <c r="I596" s="36"/>
      <c r="J596" s="34"/>
      <c r="K596" s="34"/>
      <c r="L596" s="37"/>
      <c r="M596" s="38"/>
      <c r="N596" s="40"/>
      <c r="O596" s="40"/>
      <c r="P596" s="39"/>
      <c r="Q596" s="39"/>
    </row>
    <row r="597" spans="1:17" ht="15.75">
      <c r="A597" s="41"/>
      <c r="B597" s="31"/>
      <c r="C597" s="42"/>
      <c r="D597" s="33"/>
      <c r="E597" s="34"/>
      <c r="F597" s="34"/>
      <c r="G597" s="33"/>
      <c r="H597" s="35"/>
      <c r="I597" s="36"/>
      <c r="J597" s="34"/>
      <c r="K597" s="34"/>
      <c r="L597" s="37"/>
      <c r="M597" s="38"/>
      <c r="N597" s="40"/>
      <c r="O597" s="40"/>
      <c r="P597" s="39"/>
      <c r="Q597" s="39"/>
    </row>
    <row r="598" spans="1:17" ht="15.75">
      <c r="A598" s="41"/>
      <c r="B598" s="31"/>
      <c r="C598" s="42"/>
      <c r="D598" s="33"/>
      <c r="E598" s="34"/>
      <c r="F598" s="34"/>
      <c r="G598" s="33"/>
      <c r="H598" s="35"/>
      <c r="I598" s="36"/>
      <c r="J598" s="34"/>
      <c r="K598" s="34"/>
      <c r="L598" s="37"/>
      <c r="M598" s="38"/>
      <c r="N598" s="40"/>
      <c r="O598" s="40"/>
      <c r="P598" s="39"/>
      <c r="Q598" s="39"/>
    </row>
    <row r="599" spans="1:17" ht="15.75">
      <c r="A599" s="41"/>
      <c r="B599" s="31"/>
      <c r="C599" s="42"/>
      <c r="D599" s="33"/>
      <c r="E599" s="34"/>
      <c r="F599" s="34"/>
      <c r="G599" s="33"/>
      <c r="H599" s="35"/>
      <c r="I599" s="36"/>
      <c r="J599" s="34"/>
      <c r="K599" s="34"/>
      <c r="L599" s="37"/>
      <c r="M599" s="38"/>
      <c r="N599" s="40"/>
      <c r="O599" s="40"/>
      <c r="P599" s="39"/>
      <c r="Q599" s="39"/>
    </row>
    <row r="600" spans="1:17" ht="15.75">
      <c r="A600" s="41"/>
      <c r="B600" s="31"/>
      <c r="C600" s="42"/>
      <c r="D600" s="33"/>
      <c r="E600" s="34"/>
      <c r="F600" s="34"/>
      <c r="G600" s="33"/>
      <c r="H600" s="35"/>
      <c r="I600" s="36"/>
      <c r="J600" s="34"/>
      <c r="K600" s="34"/>
      <c r="L600" s="37"/>
      <c r="M600" s="38"/>
      <c r="N600" s="40"/>
      <c r="O600" s="40"/>
      <c r="P600" s="39"/>
      <c r="Q600" s="39"/>
    </row>
    <row r="601" spans="1:17" ht="15.75">
      <c r="A601" s="41"/>
      <c r="B601" s="31"/>
      <c r="C601" s="42"/>
      <c r="D601" s="33"/>
      <c r="E601" s="34"/>
      <c r="F601" s="34"/>
      <c r="G601" s="33"/>
      <c r="H601" s="35"/>
      <c r="I601" s="36"/>
      <c r="J601" s="34"/>
      <c r="K601" s="34"/>
      <c r="L601" s="37"/>
      <c r="M601" s="38"/>
      <c r="N601" s="40"/>
      <c r="O601" s="40"/>
      <c r="P601" s="39"/>
      <c r="Q601" s="39"/>
    </row>
    <row r="602" spans="1:17" ht="15.75">
      <c r="A602" s="41"/>
      <c r="B602" s="31"/>
      <c r="C602" s="42"/>
      <c r="D602" s="33"/>
      <c r="E602" s="34"/>
      <c r="F602" s="34"/>
      <c r="G602" s="33"/>
      <c r="H602" s="35"/>
      <c r="I602" s="36"/>
      <c r="J602" s="34"/>
      <c r="K602" s="34"/>
      <c r="L602" s="37"/>
      <c r="M602" s="38"/>
      <c r="N602" s="40"/>
      <c r="O602" s="40"/>
      <c r="P602" s="39"/>
      <c r="Q602" s="39"/>
    </row>
    <row r="603" spans="1:17" ht="15.75">
      <c r="A603" s="41"/>
      <c r="B603" s="31"/>
      <c r="C603" s="42"/>
      <c r="D603" s="33"/>
      <c r="E603" s="34"/>
      <c r="F603" s="34"/>
      <c r="G603" s="33"/>
      <c r="H603" s="35"/>
      <c r="I603" s="36"/>
      <c r="J603" s="34"/>
      <c r="K603" s="34"/>
      <c r="L603" s="37"/>
      <c r="M603" s="38"/>
      <c r="N603" s="40"/>
      <c r="O603" s="40"/>
      <c r="P603" s="39"/>
      <c r="Q603" s="39"/>
    </row>
    <row r="604" spans="1:17" ht="15.75">
      <c r="A604" s="41"/>
      <c r="B604" s="31"/>
      <c r="C604" s="42"/>
      <c r="D604" s="33"/>
      <c r="E604" s="34"/>
      <c r="F604" s="34"/>
      <c r="G604" s="33"/>
      <c r="H604" s="35"/>
      <c r="I604" s="36"/>
      <c r="J604" s="34"/>
      <c r="K604" s="34"/>
      <c r="L604" s="37"/>
      <c r="M604" s="38"/>
      <c r="N604" s="40"/>
      <c r="O604" s="40"/>
      <c r="P604" s="39"/>
      <c r="Q604" s="39"/>
    </row>
    <row r="605" spans="1:17" ht="15.75">
      <c r="A605" s="41"/>
      <c r="B605" s="31"/>
      <c r="C605" s="42"/>
      <c r="D605" s="33"/>
      <c r="E605" s="34"/>
      <c r="F605" s="34"/>
      <c r="G605" s="33"/>
      <c r="H605" s="35"/>
      <c r="I605" s="36"/>
      <c r="J605" s="34"/>
      <c r="K605" s="34"/>
      <c r="L605" s="37"/>
      <c r="M605" s="38"/>
      <c r="N605" s="40"/>
      <c r="O605" s="40"/>
      <c r="P605" s="39"/>
      <c r="Q605" s="39"/>
    </row>
    <row r="606" spans="1:17" ht="15.75">
      <c r="A606" s="41"/>
      <c r="B606" s="31"/>
      <c r="C606" s="42"/>
      <c r="D606" s="33"/>
      <c r="E606" s="34"/>
      <c r="F606" s="34"/>
      <c r="G606" s="33"/>
      <c r="H606" s="35"/>
      <c r="I606" s="36"/>
      <c r="J606" s="34"/>
      <c r="K606" s="34"/>
      <c r="L606" s="37"/>
      <c r="M606" s="38"/>
      <c r="N606" s="40"/>
      <c r="O606" s="40"/>
      <c r="P606" s="39"/>
      <c r="Q606" s="39"/>
    </row>
    <row r="607" spans="1:17" ht="15.75">
      <c r="A607" s="41"/>
      <c r="B607" s="31"/>
      <c r="C607" s="42"/>
      <c r="D607" s="33"/>
      <c r="E607" s="34"/>
      <c r="F607" s="34"/>
      <c r="G607" s="33"/>
      <c r="H607" s="35"/>
      <c r="I607" s="36"/>
      <c r="J607" s="34"/>
      <c r="K607" s="34"/>
      <c r="L607" s="37"/>
      <c r="M607" s="38"/>
      <c r="N607" s="40"/>
      <c r="O607" s="40"/>
      <c r="P607" s="39"/>
      <c r="Q607" s="39"/>
    </row>
    <row r="608" spans="1:17" ht="15.75">
      <c r="A608" s="41"/>
      <c r="B608" s="31"/>
      <c r="C608" s="42"/>
      <c r="D608" s="33"/>
      <c r="E608" s="34"/>
      <c r="F608" s="34"/>
      <c r="G608" s="33"/>
      <c r="H608" s="35"/>
      <c r="I608" s="36"/>
      <c r="J608" s="34"/>
      <c r="K608" s="34"/>
      <c r="L608" s="37"/>
      <c r="M608" s="38"/>
      <c r="N608" s="40"/>
      <c r="O608" s="40"/>
      <c r="P608" s="39"/>
      <c r="Q608" s="39"/>
    </row>
    <row r="609" spans="1:17" ht="15.75">
      <c r="A609" s="41"/>
      <c r="B609" s="31"/>
      <c r="C609" s="42"/>
      <c r="D609" s="33"/>
      <c r="E609" s="34"/>
      <c r="F609" s="34"/>
      <c r="G609" s="33"/>
      <c r="H609" s="35"/>
      <c r="I609" s="36"/>
      <c r="J609" s="34"/>
      <c r="K609" s="34"/>
      <c r="L609" s="37"/>
      <c r="M609" s="38"/>
      <c r="N609" s="40"/>
      <c r="O609" s="40"/>
      <c r="P609" s="39"/>
      <c r="Q609" s="39"/>
    </row>
    <row r="610" spans="1:17" ht="15.75">
      <c r="A610" s="41"/>
      <c r="B610" s="31"/>
      <c r="C610" s="42"/>
      <c r="D610" s="33"/>
      <c r="E610" s="34"/>
      <c r="F610" s="34"/>
      <c r="G610" s="33"/>
      <c r="H610" s="35"/>
      <c r="I610" s="36"/>
      <c r="J610" s="34"/>
      <c r="K610" s="34"/>
      <c r="L610" s="37"/>
      <c r="M610" s="38"/>
      <c r="N610" s="40"/>
      <c r="O610" s="40"/>
      <c r="P610" s="39"/>
      <c r="Q610" s="39"/>
    </row>
    <row r="611" spans="1:17" ht="15.75">
      <c r="A611" s="41"/>
      <c r="B611" s="31"/>
      <c r="C611" s="42"/>
      <c r="D611" s="33"/>
      <c r="E611" s="34"/>
      <c r="F611" s="34"/>
      <c r="G611" s="33"/>
      <c r="H611" s="35"/>
      <c r="I611" s="36"/>
      <c r="J611" s="34"/>
      <c r="K611" s="34"/>
      <c r="L611" s="37"/>
      <c r="M611" s="38"/>
      <c r="N611" s="40"/>
      <c r="O611" s="40"/>
      <c r="P611" s="39"/>
      <c r="Q611" s="39"/>
    </row>
    <row r="612" spans="1:17" ht="15.75">
      <c r="A612" s="41"/>
      <c r="B612" s="31"/>
      <c r="C612" s="42"/>
      <c r="D612" s="33"/>
      <c r="E612" s="34"/>
      <c r="F612" s="34"/>
      <c r="G612" s="33"/>
      <c r="H612" s="35"/>
      <c r="I612" s="36"/>
      <c r="J612" s="34"/>
      <c r="K612" s="34"/>
      <c r="L612" s="37"/>
      <c r="M612" s="38"/>
      <c r="N612" s="40"/>
      <c r="O612" s="40"/>
      <c r="P612" s="39"/>
      <c r="Q612" s="39"/>
    </row>
    <row r="613" spans="1:17" ht="15.75">
      <c r="A613" s="41"/>
      <c r="B613" s="31"/>
      <c r="C613" s="42"/>
      <c r="D613" s="33"/>
      <c r="E613" s="34"/>
      <c r="F613" s="34"/>
      <c r="G613" s="33"/>
      <c r="H613" s="35"/>
      <c r="I613" s="36"/>
      <c r="J613" s="34"/>
      <c r="K613" s="34"/>
      <c r="L613" s="37"/>
      <c r="M613" s="38"/>
      <c r="N613" s="40"/>
      <c r="O613" s="40"/>
      <c r="P613" s="39"/>
      <c r="Q613" s="39"/>
    </row>
    <row r="614" spans="1:17" ht="15.75">
      <c r="A614" s="41"/>
      <c r="B614" s="31"/>
      <c r="C614" s="42"/>
      <c r="D614" s="33"/>
      <c r="E614" s="34"/>
      <c r="F614" s="34"/>
      <c r="G614" s="33"/>
      <c r="H614" s="35"/>
      <c r="I614" s="36"/>
      <c r="J614" s="34"/>
      <c r="K614" s="34"/>
      <c r="L614" s="37"/>
      <c r="M614" s="38"/>
      <c r="N614" s="40"/>
      <c r="O614" s="40"/>
      <c r="P614" s="39"/>
      <c r="Q614" s="39"/>
    </row>
    <row r="615" spans="1:17" ht="15.75">
      <c r="A615" s="41"/>
      <c r="B615" s="31"/>
      <c r="C615" s="42"/>
      <c r="D615" s="33"/>
      <c r="E615" s="34"/>
      <c r="F615" s="34"/>
      <c r="G615" s="33"/>
      <c r="H615" s="35"/>
      <c r="I615" s="36"/>
      <c r="J615" s="34"/>
      <c r="K615" s="34"/>
      <c r="L615" s="37"/>
      <c r="M615" s="38"/>
      <c r="N615" s="40"/>
      <c r="O615" s="40"/>
      <c r="P615" s="39"/>
      <c r="Q615" s="39"/>
    </row>
    <row r="616" spans="1:17" ht="15.75">
      <c r="A616" s="41"/>
      <c r="B616" s="31"/>
      <c r="C616" s="42"/>
      <c r="D616" s="33"/>
      <c r="E616" s="34"/>
      <c r="F616" s="34"/>
      <c r="G616" s="33"/>
      <c r="H616" s="35"/>
      <c r="I616" s="36"/>
      <c r="J616" s="34"/>
      <c r="K616" s="34"/>
      <c r="L616" s="37"/>
      <c r="M616" s="38"/>
      <c r="N616" s="40"/>
      <c r="O616" s="40"/>
      <c r="P616" s="39"/>
      <c r="Q616" s="39"/>
    </row>
    <row r="617" spans="1:17" ht="15.75">
      <c r="A617" s="41"/>
      <c r="B617" s="31"/>
      <c r="C617" s="42"/>
      <c r="D617" s="33"/>
      <c r="E617" s="34"/>
      <c r="F617" s="34"/>
      <c r="G617" s="33"/>
      <c r="H617" s="35"/>
      <c r="I617" s="36"/>
      <c r="J617" s="34"/>
      <c r="K617" s="34"/>
      <c r="L617" s="37"/>
      <c r="M617" s="38"/>
      <c r="N617" s="40"/>
      <c r="O617" s="40"/>
      <c r="P617" s="39"/>
      <c r="Q617" s="39"/>
    </row>
    <row r="618" spans="1:17" ht="15.75">
      <c r="A618" s="41"/>
      <c r="B618" s="31"/>
      <c r="C618" s="42"/>
      <c r="D618" s="33"/>
      <c r="E618" s="34"/>
      <c r="F618" s="34"/>
      <c r="G618" s="33"/>
      <c r="H618" s="35"/>
      <c r="I618" s="36"/>
      <c r="J618" s="34"/>
      <c r="K618" s="34"/>
      <c r="L618" s="37"/>
      <c r="M618" s="38"/>
      <c r="N618" s="40"/>
      <c r="O618" s="40"/>
      <c r="P618" s="39"/>
      <c r="Q618" s="39"/>
    </row>
    <row r="619" spans="1:17" ht="15.75">
      <c r="A619" s="41"/>
      <c r="B619" s="31"/>
      <c r="C619" s="42"/>
      <c r="D619" s="33"/>
      <c r="E619" s="34"/>
      <c r="F619" s="34"/>
      <c r="G619" s="33"/>
      <c r="H619" s="35"/>
      <c r="I619" s="36"/>
      <c r="J619" s="34"/>
      <c r="K619" s="34"/>
      <c r="L619" s="37"/>
      <c r="M619" s="38"/>
      <c r="N619" s="40"/>
      <c r="O619" s="40"/>
      <c r="P619" s="39"/>
      <c r="Q619" s="39"/>
    </row>
    <row r="620" spans="1:17" ht="15.75">
      <c r="A620" s="41"/>
      <c r="B620" s="31"/>
      <c r="C620" s="42"/>
      <c r="D620" s="33"/>
      <c r="E620" s="34"/>
      <c r="F620" s="34"/>
      <c r="G620" s="33"/>
      <c r="H620" s="35"/>
      <c r="I620" s="36"/>
      <c r="J620" s="34"/>
      <c r="K620" s="34"/>
      <c r="L620" s="37"/>
      <c r="M620" s="38"/>
      <c r="N620" s="40"/>
      <c r="O620" s="40"/>
      <c r="P620" s="39"/>
      <c r="Q620" s="39"/>
    </row>
    <row r="621" spans="1:17" ht="15.75">
      <c r="A621" s="41"/>
      <c r="B621" s="31"/>
      <c r="C621" s="42"/>
      <c r="D621" s="33"/>
      <c r="E621" s="34"/>
      <c r="F621" s="34"/>
      <c r="G621" s="33"/>
      <c r="H621" s="35"/>
      <c r="I621" s="36"/>
      <c r="J621" s="34"/>
      <c r="K621" s="34"/>
      <c r="L621" s="37"/>
      <c r="M621" s="38"/>
      <c r="N621" s="40"/>
      <c r="O621" s="40"/>
      <c r="P621" s="39"/>
      <c r="Q621" s="39"/>
    </row>
    <row r="622" spans="1:17" ht="15.75">
      <c r="A622" s="41"/>
      <c r="B622" s="31"/>
      <c r="C622" s="42"/>
      <c r="D622" s="33"/>
      <c r="E622" s="34"/>
      <c r="F622" s="34"/>
      <c r="G622" s="33"/>
      <c r="H622" s="35"/>
      <c r="I622" s="36"/>
      <c r="J622" s="34"/>
      <c r="K622" s="34"/>
      <c r="L622" s="37"/>
      <c r="M622" s="38"/>
      <c r="N622" s="40"/>
      <c r="O622" s="40"/>
      <c r="P622" s="39"/>
      <c r="Q622" s="39"/>
    </row>
    <row r="623" spans="1:17" ht="15.75">
      <c r="A623" s="41"/>
      <c r="B623" s="31"/>
      <c r="C623" s="42"/>
      <c r="D623" s="33"/>
      <c r="E623" s="34"/>
      <c r="F623" s="34"/>
      <c r="G623" s="33"/>
      <c r="H623" s="35"/>
      <c r="I623" s="36"/>
      <c r="J623" s="34"/>
      <c r="K623" s="34"/>
      <c r="L623" s="37"/>
      <c r="M623" s="38"/>
      <c r="N623" s="40"/>
      <c r="O623" s="40"/>
      <c r="P623" s="39"/>
      <c r="Q623" s="39"/>
    </row>
    <row r="624" spans="1:17" ht="15.75">
      <c r="A624" s="41"/>
      <c r="B624" s="31"/>
      <c r="C624" s="42"/>
      <c r="D624" s="33"/>
      <c r="E624" s="34"/>
      <c r="F624" s="34"/>
      <c r="G624" s="33"/>
      <c r="H624" s="35"/>
      <c r="I624" s="36"/>
      <c r="J624" s="34"/>
      <c r="K624" s="34"/>
      <c r="L624" s="37"/>
      <c r="M624" s="38"/>
      <c r="N624" s="40"/>
      <c r="O624" s="40"/>
      <c r="P624" s="39"/>
      <c r="Q624" s="39"/>
    </row>
    <row r="625" spans="1:17" ht="15.75">
      <c r="A625" s="41"/>
      <c r="B625" s="31"/>
      <c r="C625" s="42"/>
      <c r="D625" s="33"/>
      <c r="E625" s="34"/>
      <c r="F625" s="34"/>
      <c r="G625" s="33"/>
      <c r="H625" s="35"/>
      <c r="I625" s="36"/>
      <c r="J625" s="34"/>
      <c r="K625" s="34"/>
      <c r="L625" s="37"/>
      <c r="M625" s="38"/>
      <c r="N625" s="40"/>
      <c r="O625" s="40"/>
      <c r="P625" s="39"/>
      <c r="Q625" s="39"/>
    </row>
    <row r="626" spans="1:17" ht="15.75">
      <c r="A626" s="41"/>
      <c r="B626" s="31"/>
      <c r="C626" s="42"/>
      <c r="D626" s="33"/>
      <c r="E626" s="34"/>
      <c r="F626" s="34"/>
      <c r="G626" s="33"/>
      <c r="H626" s="35"/>
      <c r="I626" s="36"/>
      <c r="J626" s="34"/>
      <c r="K626" s="34"/>
      <c r="L626" s="37"/>
      <c r="M626" s="38"/>
      <c r="N626" s="40"/>
      <c r="O626" s="40"/>
      <c r="P626" s="39"/>
      <c r="Q626" s="39"/>
    </row>
    <row r="627" spans="1:17" ht="15.75">
      <c r="A627" s="41"/>
      <c r="B627" s="31"/>
      <c r="C627" s="42"/>
      <c r="D627" s="33"/>
      <c r="E627" s="34"/>
      <c r="F627" s="34"/>
      <c r="G627" s="33"/>
      <c r="H627" s="35"/>
      <c r="I627" s="36"/>
      <c r="J627" s="34"/>
      <c r="K627" s="34"/>
      <c r="L627" s="37"/>
      <c r="M627" s="38"/>
      <c r="N627" s="40"/>
      <c r="O627" s="40"/>
      <c r="P627" s="39"/>
      <c r="Q627" s="39"/>
    </row>
    <row r="628" spans="1:17" ht="15.75">
      <c r="A628" s="41"/>
      <c r="B628" s="31"/>
      <c r="C628" s="42"/>
      <c r="D628" s="33"/>
      <c r="E628" s="34"/>
      <c r="F628" s="34"/>
      <c r="G628" s="33"/>
      <c r="H628" s="35"/>
      <c r="I628" s="36"/>
      <c r="J628" s="34"/>
      <c r="K628" s="34"/>
      <c r="L628" s="37"/>
      <c r="M628" s="38"/>
      <c r="N628" s="40"/>
      <c r="O628" s="40"/>
      <c r="P628" s="39"/>
      <c r="Q628" s="39"/>
    </row>
    <row r="629" spans="1:17" ht="15.75">
      <c r="A629" s="41"/>
      <c r="B629" s="31"/>
      <c r="C629" s="42"/>
      <c r="D629" s="33"/>
      <c r="E629" s="34"/>
      <c r="F629" s="34"/>
      <c r="G629" s="33"/>
      <c r="H629" s="35"/>
      <c r="I629" s="36"/>
      <c r="J629" s="34"/>
      <c r="K629" s="34"/>
      <c r="L629" s="37"/>
      <c r="M629" s="38"/>
      <c r="N629" s="40"/>
      <c r="O629" s="40"/>
      <c r="P629" s="39"/>
      <c r="Q629" s="39"/>
    </row>
    <row r="630" spans="1:17" ht="15.75">
      <c r="A630" s="41"/>
      <c r="B630" s="31"/>
      <c r="C630" s="42"/>
      <c r="D630" s="33"/>
      <c r="E630" s="34"/>
      <c r="F630" s="34"/>
      <c r="G630" s="33"/>
      <c r="H630" s="35"/>
      <c r="I630" s="36"/>
      <c r="J630" s="34"/>
      <c r="K630" s="34"/>
      <c r="L630" s="37"/>
      <c r="M630" s="38"/>
      <c r="N630" s="40"/>
      <c r="O630" s="40"/>
      <c r="P630" s="39"/>
      <c r="Q630" s="39"/>
    </row>
    <row r="631" spans="1:17" ht="15.75">
      <c r="A631" s="41"/>
      <c r="B631" s="31"/>
      <c r="C631" s="42"/>
      <c r="D631" s="33"/>
      <c r="E631" s="34"/>
      <c r="F631" s="34"/>
      <c r="G631" s="33"/>
      <c r="H631" s="35"/>
      <c r="I631" s="36"/>
      <c r="J631" s="34"/>
      <c r="K631" s="34"/>
      <c r="L631" s="37"/>
      <c r="M631" s="38"/>
      <c r="N631" s="40"/>
      <c r="O631" s="40"/>
      <c r="P631" s="39"/>
      <c r="Q631" s="39"/>
    </row>
    <row r="632" spans="1:17" ht="15.75">
      <c r="A632" s="41"/>
      <c r="B632" s="31"/>
      <c r="C632" s="42"/>
      <c r="D632" s="33"/>
      <c r="E632" s="34"/>
      <c r="F632" s="34"/>
      <c r="G632" s="33"/>
      <c r="H632" s="35"/>
      <c r="I632" s="36"/>
      <c r="J632" s="34"/>
      <c r="K632" s="34"/>
      <c r="L632" s="37"/>
      <c r="M632" s="38"/>
      <c r="N632" s="40"/>
      <c r="O632" s="40"/>
      <c r="P632" s="39"/>
      <c r="Q632" s="39"/>
    </row>
    <row r="633" spans="1:17" ht="15.75">
      <c r="A633" s="41"/>
      <c r="B633" s="31"/>
      <c r="C633" s="42"/>
      <c r="D633" s="33"/>
      <c r="E633" s="34"/>
      <c r="F633" s="34"/>
      <c r="G633" s="33"/>
      <c r="H633" s="35"/>
      <c r="I633" s="36"/>
      <c r="J633" s="34"/>
      <c r="K633" s="34"/>
      <c r="L633" s="37"/>
      <c r="M633" s="38"/>
      <c r="N633" s="40"/>
      <c r="O633" s="40"/>
      <c r="P633" s="39"/>
      <c r="Q633" s="39"/>
    </row>
    <row r="634" spans="1:17" ht="15.75">
      <c r="A634" s="41"/>
      <c r="B634" s="31"/>
      <c r="C634" s="42"/>
      <c r="D634" s="33"/>
      <c r="E634" s="34"/>
      <c r="F634" s="34"/>
      <c r="G634" s="33"/>
      <c r="H634" s="35"/>
      <c r="I634" s="36"/>
      <c r="J634" s="34"/>
      <c r="K634" s="34"/>
      <c r="L634" s="37"/>
      <c r="M634" s="38"/>
      <c r="N634" s="40"/>
      <c r="O634" s="40"/>
      <c r="P634" s="39"/>
      <c r="Q634" s="39"/>
    </row>
    <row r="635" spans="1:17" ht="15.75">
      <c r="A635" s="41"/>
      <c r="B635" s="31"/>
      <c r="C635" s="42"/>
      <c r="D635" s="33"/>
      <c r="E635" s="34"/>
      <c r="F635" s="34"/>
      <c r="G635" s="33"/>
      <c r="H635" s="35"/>
      <c r="I635" s="36"/>
      <c r="J635" s="34"/>
      <c r="K635" s="34"/>
      <c r="L635" s="37"/>
      <c r="M635" s="38"/>
      <c r="N635" s="40"/>
      <c r="O635" s="40"/>
      <c r="P635" s="39"/>
      <c r="Q635" s="39"/>
    </row>
    <row r="636" spans="1:17" ht="15.75">
      <c r="A636" s="41"/>
      <c r="B636" s="31"/>
      <c r="C636" s="42"/>
      <c r="D636" s="33"/>
      <c r="E636" s="34"/>
      <c r="F636" s="34"/>
      <c r="G636" s="33"/>
      <c r="H636" s="35"/>
      <c r="I636" s="36"/>
      <c r="J636" s="34"/>
      <c r="K636" s="34"/>
      <c r="L636" s="37"/>
      <c r="M636" s="38"/>
      <c r="N636" s="40"/>
      <c r="O636" s="40"/>
      <c r="P636" s="39"/>
      <c r="Q636" s="39"/>
    </row>
    <row r="637" spans="1:17" ht="15.75">
      <c r="A637" s="41"/>
      <c r="B637" s="31"/>
      <c r="C637" s="42"/>
      <c r="D637" s="33"/>
      <c r="E637" s="34"/>
      <c r="F637" s="34"/>
      <c r="G637" s="33"/>
      <c r="H637" s="35"/>
      <c r="I637" s="36"/>
      <c r="J637" s="34"/>
      <c r="K637" s="34"/>
      <c r="L637" s="37"/>
      <c r="M637" s="38"/>
      <c r="N637" s="40"/>
      <c r="O637" s="40"/>
      <c r="P637" s="39"/>
      <c r="Q637" s="39"/>
    </row>
    <row r="638" spans="1:17" ht="15.75">
      <c r="A638" s="41"/>
      <c r="B638" s="31"/>
      <c r="C638" s="42"/>
      <c r="D638" s="33"/>
      <c r="E638" s="34"/>
      <c r="F638" s="34"/>
      <c r="G638" s="33"/>
      <c r="H638" s="35"/>
      <c r="I638" s="36"/>
      <c r="J638" s="34"/>
      <c r="K638" s="34"/>
      <c r="L638" s="37"/>
      <c r="M638" s="38"/>
      <c r="N638" s="40"/>
      <c r="O638" s="40"/>
      <c r="P638" s="39"/>
      <c r="Q638" s="39"/>
    </row>
    <row r="639" spans="1:17" ht="15.75">
      <c r="A639" s="41"/>
      <c r="B639" s="31"/>
      <c r="C639" s="42"/>
      <c r="D639" s="33"/>
      <c r="E639" s="34"/>
      <c r="F639" s="34"/>
      <c r="G639" s="33"/>
      <c r="H639" s="35"/>
      <c r="I639" s="36"/>
      <c r="J639" s="34"/>
      <c r="K639" s="34"/>
      <c r="L639" s="37"/>
      <c r="M639" s="38"/>
      <c r="N639" s="40"/>
      <c r="O639" s="40"/>
      <c r="P639" s="39"/>
      <c r="Q639" s="39"/>
    </row>
    <row r="640" spans="1:17" ht="15.75">
      <c r="A640" s="41"/>
      <c r="B640" s="31"/>
      <c r="C640" s="42"/>
      <c r="D640" s="33"/>
      <c r="E640" s="34"/>
      <c r="F640" s="34"/>
      <c r="G640" s="33"/>
      <c r="H640" s="35"/>
      <c r="I640" s="36"/>
      <c r="J640" s="34"/>
      <c r="K640" s="34"/>
      <c r="L640" s="37"/>
      <c r="M640" s="38"/>
      <c r="N640" s="40"/>
      <c r="O640" s="40"/>
      <c r="P640" s="39"/>
      <c r="Q640" s="39"/>
    </row>
    <row r="641" spans="1:17" ht="15.75">
      <c r="A641" s="41"/>
      <c r="B641" s="31"/>
      <c r="C641" s="42"/>
      <c r="D641" s="33"/>
      <c r="E641" s="34"/>
      <c r="F641" s="34"/>
      <c r="G641" s="33"/>
      <c r="H641" s="35"/>
      <c r="I641" s="36"/>
      <c r="J641" s="34"/>
      <c r="K641" s="34"/>
      <c r="L641" s="37"/>
      <c r="M641" s="38"/>
      <c r="N641" s="40"/>
      <c r="O641" s="40"/>
      <c r="P641" s="39"/>
      <c r="Q641" s="39"/>
    </row>
    <row r="642" spans="1:17" ht="15.75">
      <c r="A642" s="41"/>
      <c r="B642" s="31"/>
      <c r="C642" s="42"/>
      <c r="D642" s="33"/>
      <c r="E642" s="34"/>
      <c r="F642" s="34"/>
      <c r="G642" s="33"/>
      <c r="H642" s="35"/>
      <c r="I642" s="36"/>
      <c r="J642" s="34"/>
      <c r="K642" s="34"/>
      <c r="L642" s="37"/>
      <c r="M642" s="38"/>
      <c r="N642" s="40"/>
      <c r="O642" s="40"/>
      <c r="P642" s="39"/>
      <c r="Q642" s="39"/>
    </row>
    <row r="643" spans="1:17" ht="15.75">
      <c r="A643" s="41"/>
      <c r="B643" s="31"/>
      <c r="C643" s="42"/>
      <c r="D643" s="33"/>
      <c r="E643" s="34"/>
      <c r="F643" s="34"/>
      <c r="G643" s="33"/>
      <c r="H643" s="35"/>
      <c r="I643" s="36"/>
      <c r="J643" s="34"/>
      <c r="K643" s="34"/>
      <c r="L643" s="37"/>
      <c r="M643" s="38"/>
      <c r="N643" s="40"/>
      <c r="O643" s="40"/>
      <c r="P643" s="39"/>
      <c r="Q643" s="39"/>
    </row>
    <row r="644" spans="1:17" ht="15.75">
      <c r="A644" s="41"/>
      <c r="B644" s="31"/>
      <c r="C644" s="42"/>
      <c r="D644" s="33"/>
      <c r="E644" s="34"/>
      <c r="F644" s="34"/>
      <c r="G644" s="33"/>
      <c r="H644" s="35"/>
      <c r="I644" s="36"/>
      <c r="J644" s="34"/>
      <c r="K644" s="34"/>
      <c r="L644" s="37"/>
      <c r="M644" s="38"/>
      <c r="N644" s="40"/>
      <c r="O644" s="40"/>
      <c r="P644" s="39"/>
      <c r="Q644" s="39"/>
    </row>
    <row r="645" spans="1:17" ht="15.75">
      <c r="A645" s="41"/>
      <c r="B645" s="31"/>
      <c r="C645" s="42"/>
      <c r="D645" s="33"/>
      <c r="E645" s="34"/>
      <c r="F645" s="34"/>
      <c r="G645" s="33"/>
      <c r="H645" s="35"/>
      <c r="I645" s="36"/>
      <c r="J645" s="34"/>
      <c r="K645" s="34"/>
      <c r="L645" s="37"/>
      <c r="M645" s="38"/>
      <c r="N645" s="40"/>
      <c r="O645" s="40"/>
      <c r="P645" s="39"/>
      <c r="Q645" s="39"/>
    </row>
    <row r="646" spans="1:17" ht="15.75">
      <c r="A646" s="41"/>
      <c r="B646" s="31"/>
      <c r="C646" s="42"/>
      <c r="D646" s="33"/>
      <c r="E646" s="34"/>
      <c r="F646" s="34"/>
      <c r="G646" s="33"/>
      <c r="H646" s="35"/>
      <c r="I646" s="36"/>
      <c r="J646" s="34"/>
      <c r="K646" s="34"/>
      <c r="L646" s="37"/>
      <c r="M646" s="38"/>
      <c r="N646" s="40"/>
      <c r="O646" s="40"/>
      <c r="P646" s="39"/>
      <c r="Q646" s="39"/>
    </row>
    <row r="647" spans="1:17" ht="15.75">
      <c r="A647" s="41"/>
      <c r="B647" s="31"/>
      <c r="C647" s="42"/>
      <c r="D647" s="33"/>
      <c r="E647" s="34"/>
      <c r="F647" s="34"/>
      <c r="G647" s="33"/>
      <c r="H647" s="35"/>
      <c r="I647" s="36"/>
      <c r="J647" s="34"/>
      <c r="K647" s="34"/>
      <c r="L647" s="37"/>
      <c r="M647" s="38"/>
      <c r="N647" s="40"/>
      <c r="O647" s="40"/>
      <c r="P647" s="39"/>
      <c r="Q647" s="39"/>
    </row>
    <row r="648" spans="1:17" ht="15.75">
      <c r="A648" s="41"/>
      <c r="B648" s="31"/>
      <c r="C648" s="42"/>
      <c r="D648" s="33"/>
      <c r="E648" s="34"/>
      <c r="F648" s="34"/>
      <c r="G648" s="33"/>
      <c r="H648" s="35"/>
      <c r="I648" s="36"/>
      <c r="J648" s="34"/>
      <c r="K648" s="34"/>
      <c r="L648" s="37"/>
      <c r="M648" s="38"/>
      <c r="N648" s="40"/>
      <c r="O648" s="40"/>
      <c r="P648" s="39"/>
      <c r="Q648" s="39"/>
    </row>
    <row r="649" spans="1:17" ht="15.75">
      <c r="A649" s="41"/>
      <c r="B649" s="31"/>
      <c r="C649" s="42"/>
      <c r="D649" s="33"/>
      <c r="E649" s="34"/>
      <c r="F649" s="34"/>
      <c r="G649" s="33"/>
      <c r="H649" s="35"/>
      <c r="I649" s="36"/>
      <c r="J649" s="34"/>
      <c r="K649" s="34"/>
      <c r="L649" s="37"/>
      <c r="M649" s="38"/>
      <c r="N649" s="40"/>
      <c r="O649" s="40"/>
      <c r="P649" s="39"/>
      <c r="Q649" s="39"/>
    </row>
    <row r="650" spans="1:17" ht="15.75">
      <c r="A650" s="41"/>
      <c r="B650" s="31"/>
      <c r="C650" s="42"/>
      <c r="D650" s="33"/>
      <c r="E650" s="34"/>
      <c r="F650" s="34"/>
      <c r="G650" s="33"/>
      <c r="H650" s="35"/>
      <c r="I650" s="36"/>
      <c r="J650" s="34"/>
      <c r="K650" s="34"/>
      <c r="L650" s="37"/>
      <c r="M650" s="38"/>
      <c r="N650" s="40"/>
      <c r="O650" s="40"/>
      <c r="P650" s="39"/>
      <c r="Q650" s="39"/>
    </row>
    <row r="651" spans="1:17" ht="15.75">
      <c r="A651" s="30"/>
      <c r="B651" s="31"/>
      <c r="C651" s="32"/>
      <c r="D651" s="33"/>
      <c r="E651" s="34"/>
      <c r="F651" s="34"/>
      <c r="G651" s="33"/>
      <c r="H651" s="43"/>
      <c r="I651" s="36"/>
      <c r="J651" s="34"/>
      <c r="K651" s="34"/>
      <c r="L651" s="37"/>
      <c r="M651" s="38"/>
      <c r="N651" s="40"/>
      <c r="O651" s="40"/>
      <c r="P651" s="39"/>
      <c r="Q651" s="39"/>
    </row>
    <row r="652" spans="1:17" ht="15.75">
      <c r="A652" s="30"/>
      <c r="B652" s="31"/>
      <c r="C652" s="32"/>
      <c r="D652" s="33"/>
      <c r="E652" s="34"/>
      <c r="F652" s="34"/>
      <c r="G652" s="33"/>
      <c r="H652" s="43"/>
      <c r="I652" s="36"/>
      <c r="J652" s="34"/>
      <c r="K652" s="34"/>
      <c r="L652" s="37"/>
      <c r="M652" s="38"/>
      <c r="N652" s="40"/>
      <c r="O652" s="40"/>
      <c r="P652" s="39"/>
      <c r="Q652" s="39"/>
    </row>
    <row r="653" spans="1:17" ht="15.75">
      <c r="A653" s="30"/>
      <c r="B653" s="31"/>
      <c r="C653" s="32"/>
      <c r="D653" s="43"/>
      <c r="E653" s="34"/>
      <c r="F653" s="34"/>
      <c r="G653" s="43"/>
      <c r="H653" s="43"/>
      <c r="I653" s="36"/>
      <c r="J653" s="34"/>
      <c r="K653" s="34"/>
      <c r="L653" s="37"/>
      <c r="M653" s="38"/>
      <c r="N653" s="40"/>
      <c r="O653" s="40"/>
      <c r="P653" s="39"/>
      <c r="Q653" s="39"/>
    </row>
    <row r="654" spans="1:17" ht="15.75">
      <c r="A654" s="30"/>
      <c r="B654" s="31"/>
      <c r="C654" s="32"/>
      <c r="D654" s="43"/>
      <c r="E654" s="34"/>
      <c r="F654" s="34"/>
      <c r="G654" s="43"/>
      <c r="H654" s="43"/>
      <c r="I654" s="36"/>
      <c r="J654" s="34"/>
      <c r="K654" s="34"/>
      <c r="L654" s="37"/>
      <c r="M654" s="38"/>
      <c r="N654" s="40"/>
      <c r="O654" s="40"/>
      <c r="P654" s="39"/>
      <c r="Q654" s="39"/>
    </row>
    <row r="655" spans="1:17" ht="15.75">
      <c r="A655" s="30"/>
      <c r="B655" s="31"/>
      <c r="C655" s="32"/>
      <c r="D655" s="43"/>
      <c r="E655" s="34"/>
      <c r="F655" s="34"/>
      <c r="G655" s="43"/>
      <c r="H655" s="43"/>
      <c r="I655" s="36"/>
      <c r="J655" s="34"/>
      <c r="K655" s="34"/>
      <c r="L655" s="37"/>
      <c r="M655" s="38"/>
      <c r="N655" s="40"/>
      <c r="O655" s="40"/>
      <c r="P655" s="39"/>
      <c r="Q655" s="39"/>
    </row>
    <row r="656" spans="1:17" ht="15.75">
      <c r="A656" s="30"/>
      <c r="B656" s="31"/>
      <c r="C656" s="32"/>
      <c r="D656" s="43"/>
      <c r="E656" s="34"/>
      <c r="F656" s="34"/>
      <c r="G656" s="43"/>
      <c r="H656" s="43"/>
      <c r="I656" s="36"/>
      <c r="J656" s="34"/>
      <c r="K656" s="34"/>
      <c r="L656" s="37"/>
      <c r="M656" s="38"/>
      <c r="N656" s="40"/>
      <c r="O656" s="40"/>
      <c r="P656" s="39"/>
      <c r="Q656" s="39"/>
    </row>
    <row r="657" spans="1:17" ht="15.75">
      <c r="A657" s="30"/>
      <c r="B657" s="31"/>
      <c r="C657" s="32"/>
      <c r="D657" s="43"/>
      <c r="E657" s="34"/>
      <c r="F657" s="34"/>
      <c r="G657" s="43"/>
      <c r="H657" s="43"/>
      <c r="I657" s="36"/>
      <c r="J657" s="34"/>
      <c r="K657" s="34"/>
      <c r="L657" s="37"/>
      <c r="M657" s="38"/>
      <c r="N657" s="40"/>
      <c r="O657" s="40"/>
      <c r="P657" s="39"/>
      <c r="Q657" s="39"/>
    </row>
    <row r="658" spans="1:17" ht="15.75">
      <c r="A658" s="30"/>
      <c r="B658" s="31"/>
      <c r="C658" s="32"/>
      <c r="D658" s="43"/>
      <c r="E658" s="34"/>
      <c r="F658" s="34"/>
      <c r="G658" s="43"/>
      <c r="H658" s="43"/>
      <c r="I658" s="36"/>
      <c r="J658" s="34"/>
      <c r="K658" s="34"/>
      <c r="L658" s="37"/>
      <c r="M658" s="38"/>
      <c r="N658" s="40"/>
      <c r="O658" s="40"/>
      <c r="P658" s="39"/>
      <c r="Q658" s="39"/>
    </row>
    <row r="659" spans="1:17" ht="15.75">
      <c r="A659" s="30"/>
      <c r="B659" s="31"/>
      <c r="C659" s="32"/>
      <c r="D659" s="43"/>
      <c r="E659" s="34"/>
      <c r="F659" s="34"/>
      <c r="G659" s="43"/>
      <c r="H659" s="43"/>
      <c r="I659" s="36"/>
      <c r="J659" s="34"/>
      <c r="K659" s="34"/>
      <c r="L659" s="37"/>
      <c r="M659" s="38"/>
      <c r="N659" s="40"/>
      <c r="O659" s="40"/>
      <c r="P659" s="39"/>
      <c r="Q659" s="39"/>
    </row>
    <row r="660" spans="1:17" ht="15.75">
      <c r="A660" s="30"/>
      <c r="B660" s="31"/>
      <c r="C660" s="32"/>
      <c r="D660" s="43"/>
      <c r="E660" s="34"/>
      <c r="F660" s="43"/>
      <c r="G660" s="43"/>
      <c r="H660" s="43"/>
      <c r="I660" s="36"/>
      <c r="J660" s="34"/>
      <c r="K660" s="34"/>
      <c r="L660" s="37"/>
      <c r="M660" s="38"/>
      <c r="N660" s="40"/>
      <c r="O660" s="40"/>
      <c r="P660" s="39"/>
      <c r="Q660" s="39"/>
    </row>
    <row r="661" spans="1:17" ht="15.75">
      <c r="A661" s="30"/>
      <c r="B661" s="31"/>
      <c r="C661" s="32"/>
      <c r="D661" s="43"/>
      <c r="E661" s="34"/>
      <c r="F661" s="43"/>
      <c r="G661" s="43"/>
      <c r="H661" s="43"/>
      <c r="I661" s="36"/>
      <c r="J661" s="34"/>
      <c r="K661" s="34"/>
      <c r="L661" s="37"/>
      <c r="M661" s="38"/>
      <c r="N661" s="40"/>
      <c r="O661" s="40"/>
      <c r="P661" s="39"/>
      <c r="Q661" s="39"/>
    </row>
    <row r="662" spans="1:17" ht="15.75">
      <c r="A662" s="30"/>
      <c r="B662" s="31"/>
      <c r="C662" s="32"/>
      <c r="D662" s="43"/>
      <c r="E662" s="34"/>
      <c r="F662" s="43"/>
      <c r="G662" s="43"/>
      <c r="H662" s="43"/>
      <c r="I662" s="36"/>
      <c r="J662" s="34"/>
      <c r="K662" s="34"/>
      <c r="L662" s="37"/>
      <c r="M662" s="38"/>
      <c r="N662" s="40"/>
      <c r="O662" s="40"/>
      <c r="P662" s="39"/>
      <c r="Q662" s="39"/>
    </row>
    <row r="663" spans="1:17" ht="15.75">
      <c r="A663" s="30"/>
      <c r="B663" s="31"/>
      <c r="C663" s="32"/>
      <c r="D663" s="43"/>
      <c r="E663" s="34"/>
      <c r="F663" s="43"/>
      <c r="G663" s="43"/>
      <c r="H663" s="43"/>
      <c r="I663" s="36"/>
      <c r="J663" s="34"/>
      <c r="K663" s="34"/>
      <c r="L663" s="37"/>
      <c r="M663" s="38"/>
      <c r="N663" s="40"/>
      <c r="O663" s="40"/>
      <c r="P663" s="39"/>
      <c r="Q663" s="39"/>
    </row>
    <row r="664" spans="1:17" ht="15.75">
      <c r="A664" s="30"/>
      <c r="B664" s="31"/>
      <c r="C664" s="32"/>
      <c r="D664" s="43"/>
      <c r="E664" s="34"/>
      <c r="F664" s="43"/>
      <c r="G664" s="43"/>
      <c r="H664" s="43"/>
      <c r="I664" s="36"/>
      <c r="J664" s="34"/>
      <c r="K664" s="34"/>
      <c r="L664" s="37"/>
      <c r="M664" s="38"/>
      <c r="N664" s="40"/>
      <c r="O664" s="40"/>
      <c r="P664" s="39"/>
      <c r="Q664" s="39"/>
    </row>
    <row r="665" spans="1:17" ht="15.75">
      <c r="A665" s="30"/>
      <c r="B665" s="31"/>
      <c r="C665" s="32"/>
      <c r="D665" s="43"/>
      <c r="E665" s="34"/>
      <c r="F665" s="43"/>
      <c r="G665" s="43"/>
      <c r="H665" s="43"/>
      <c r="I665" s="36"/>
      <c r="J665" s="34"/>
      <c r="K665" s="34"/>
      <c r="L665" s="37"/>
      <c r="M665" s="38"/>
      <c r="N665" s="40"/>
      <c r="O665" s="40"/>
      <c r="P665" s="39"/>
      <c r="Q665" s="39"/>
    </row>
    <row r="666" spans="1:17" ht="15.75">
      <c r="A666" s="30"/>
      <c r="B666" s="31"/>
      <c r="C666" s="32"/>
      <c r="D666" s="43"/>
      <c r="E666" s="34"/>
      <c r="F666" s="43"/>
      <c r="G666" s="43"/>
      <c r="H666" s="43"/>
      <c r="I666" s="36"/>
      <c r="J666" s="34"/>
      <c r="K666" s="34"/>
      <c r="L666" s="37"/>
      <c r="M666" s="38"/>
      <c r="N666" s="40"/>
      <c r="O666" s="40"/>
      <c r="P666" s="39"/>
      <c r="Q666" s="39"/>
    </row>
    <row r="667" spans="1:17" ht="15.75">
      <c r="A667" s="30"/>
      <c r="B667" s="31"/>
      <c r="C667" s="32"/>
      <c r="D667" s="43"/>
      <c r="E667" s="34"/>
      <c r="F667" s="43"/>
      <c r="G667" s="43"/>
      <c r="H667" s="43"/>
      <c r="I667" s="44"/>
      <c r="J667" s="34"/>
      <c r="K667" s="34"/>
      <c r="L667" s="37"/>
      <c r="M667" s="38"/>
      <c r="N667" s="40"/>
      <c r="O667" s="40"/>
      <c r="P667" s="39"/>
      <c r="Q667" s="39"/>
    </row>
    <row r="668" spans="1:17" ht="15.75">
      <c r="A668" s="30"/>
      <c r="B668" s="31"/>
      <c r="C668" s="32"/>
      <c r="D668" s="43"/>
      <c r="E668" s="34"/>
      <c r="F668" s="43"/>
      <c r="G668" s="43"/>
      <c r="H668" s="43"/>
      <c r="I668" s="44"/>
      <c r="J668" s="34"/>
      <c r="K668" s="34"/>
      <c r="L668" s="37"/>
      <c r="M668" s="38"/>
      <c r="N668" s="40"/>
      <c r="O668" s="40"/>
      <c r="P668" s="39"/>
      <c r="Q668" s="39"/>
    </row>
    <row r="669" spans="1:17" ht="15.75">
      <c r="A669" s="30"/>
      <c r="B669" s="31"/>
      <c r="C669" s="32"/>
      <c r="D669" s="43"/>
      <c r="E669" s="34"/>
      <c r="F669" s="43"/>
      <c r="G669" s="43"/>
      <c r="H669" s="43"/>
      <c r="I669" s="44"/>
      <c r="J669" s="34"/>
      <c r="K669" s="34"/>
      <c r="L669" s="37"/>
      <c r="M669" s="38"/>
      <c r="N669" s="40"/>
      <c r="O669" s="40"/>
      <c r="P669" s="39"/>
      <c r="Q669" s="39"/>
    </row>
    <row r="670" spans="1:17" ht="15.75">
      <c r="A670" s="30"/>
      <c r="B670" s="31"/>
      <c r="C670" s="32"/>
      <c r="D670" s="43"/>
      <c r="E670" s="34"/>
      <c r="F670" s="43"/>
      <c r="G670" s="43"/>
      <c r="H670" s="43"/>
      <c r="I670" s="44"/>
      <c r="J670" s="34"/>
      <c r="K670" s="34"/>
      <c r="L670" s="37"/>
      <c r="M670" s="38"/>
      <c r="N670" s="40"/>
      <c r="O670" s="40"/>
      <c r="P670" s="39"/>
      <c r="Q670" s="39"/>
    </row>
    <row r="671" spans="1:17" ht="15.75">
      <c r="A671" s="30"/>
      <c r="B671" s="31"/>
      <c r="C671" s="32"/>
      <c r="D671" s="43"/>
      <c r="E671" s="34"/>
      <c r="F671" s="43"/>
      <c r="G671" s="43"/>
      <c r="H671" s="43"/>
      <c r="I671" s="44"/>
      <c r="J671" s="34"/>
      <c r="K671" s="34"/>
      <c r="L671" s="37"/>
      <c r="M671" s="38"/>
      <c r="N671" s="40"/>
      <c r="O671" s="40"/>
      <c r="P671" s="39"/>
      <c r="Q671" s="39"/>
    </row>
    <row r="672" spans="1:17" ht="15.75">
      <c r="A672" s="30"/>
      <c r="B672" s="31"/>
      <c r="C672" s="32"/>
      <c r="D672" s="43"/>
      <c r="E672" s="34"/>
      <c r="F672" s="43"/>
      <c r="G672" s="43"/>
      <c r="H672" s="43"/>
      <c r="I672" s="44"/>
      <c r="J672" s="34"/>
      <c r="K672" s="34"/>
      <c r="L672" s="37"/>
      <c r="M672" s="38"/>
      <c r="N672" s="40"/>
      <c r="O672" s="40"/>
      <c r="P672" s="39"/>
      <c r="Q672" s="39"/>
    </row>
    <row r="673" spans="1:17" ht="15.75">
      <c r="A673" s="45"/>
      <c r="B673" s="46"/>
      <c r="C673" s="45"/>
      <c r="D673" s="43"/>
      <c r="E673" s="43"/>
      <c r="F673" s="43"/>
      <c r="G673" s="43"/>
      <c r="H673" s="43"/>
      <c r="I673" s="44"/>
      <c r="J673" s="43"/>
      <c r="K673" s="117"/>
      <c r="L673" s="37"/>
      <c r="M673" s="38"/>
      <c r="N673" s="40"/>
      <c r="O673" s="40"/>
      <c r="P673" s="39"/>
      <c r="Q673" s="39"/>
    </row>
    <row r="674" spans="1:17" ht="15.75">
      <c r="A674" s="45"/>
      <c r="B674" s="46"/>
      <c r="C674" s="45"/>
      <c r="D674" s="43"/>
      <c r="E674" s="43"/>
      <c r="F674" s="43"/>
      <c r="G674" s="43"/>
      <c r="H674" s="43"/>
      <c r="I674" s="44"/>
      <c r="J674" s="43"/>
      <c r="K674" s="117"/>
      <c r="L674" s="37"/>
      <c r="M674" s="38"/>
      <c r="N674" s="40"/>
      <c r="O674" s="40"/>
      <c r="P674" s="39"/>
      <c r="Q674" s="39"/>
    </row>
    <row r="675" spans="1:17" ht="15.75">
      <c r="A675" s="45"/>
      <c r="B675" s="46"/>
      <c r="C675" s="45"/>
      <c r="D675" s="43"/>
      <c r="E675" s="43"/>
      <c r="F675" s="43"/>
      <c r="G675" s="43"/>
      <c r="H675" s="43"/>
      <c r="I675" s="44"/>
      <c r="J675" s="43"/>
      <c r="K675" s="117"/>
      <c r="L675" s="37"/>
      <c r="M675" s="38"/>
      <c r="N675" s="40"/>
      <c r="O675" s="40"/>
      <c r="P675" s="39"/>
      <c r="Q675" s="39"/>
    </row>
    <row r="676" spans="1:17" ht="15.75">
      <c r="A676" s="45"/>
      <c r="B676" s="46"/>
      <c r="C676" s="45"/>
      <c r="D676" s="43"/>
      <c r="E676" s="43"/>
      <c r="F676" s="43"/>
      <c r="G676" s="43"/>
      <c r="H676" s="43"/>
      <c r="I676" s="44"/>
      <c r="J676" s="43"/>
      <c r="K676" s="117"/>
      <c r="L676" s="37"/>
      <c r="M676" s="38"/>
      <c r="N676" s="40"/>
      <c r="O676" s="40"/>
      <c r="P676" s="39"/>
      <c r="Q676" s="39"/>
    </row>
    <row r="677" spans="1:17" ht="15.75">
      <c r="A677" s="45"/>
      <c r="B677" s="46"/>
      <c r="C677" s="45"/>
      <c r="D677" s="43"/>
      <c r="E677" s="43"/>
      <c r="F677" s="43"/>
      <c r="G677" s="43"/>
      <c r="H677" s="43"/>
      <c r="I677" s="44"/>
      <c r="J677" s="43"/>
      <c r="K677" s="117"/>
      <c r="L677" s="37"/>
      <c r="M677" s="38"/>
      <c r="N677" s="40"/>
      <c r="O677" s="40"/>
      <c r="P677" s="39"/>
      <c r="Q677" s="39"/>
    </row>
    <row r="678" spans="1:17" ht="15.75">
      <c r="A678" s="45"/>
      <c r="B678" s="46"/>
      <c r="C678" s="45"/>
      <c r="D678" s="43"/>
      <c r="E678" s="43"/>
      <c r="F678" s="43"/>
      <c r="G678" s="43"/>
      <c r="H678" s="43"/>
      <c r="I678" s="44"/>
      <c r="J678" s="43"/>
      <c r="K678" s="117"/>
      <c r="L678" s="37"/>
      <c r="M678" s="38"/>
      <c r="N678" s="40"/>
      <c r="O678" s="40"/>
      <c r="P678" s="39"/>
      <c r="Q678" s="39"/>
    </row>
    <row r="679" spans="1:17" ht="15.75">
      <c r="A679" s="45"/>
      <c r="B679" s="46"/>
      <c r="C679" s="45"/>
      <c r="D679" s="43"/>
      <c r="E679" s="43"/>
      <c r="F679" s="43"/>
      <c r="G679" s="43"/>
      <c r="H679" s="43"/>
      <c r="I679" s="44"/>
      <c r="J679" s="43"/>
      <c r="K679" s="117"/>
      <c r="L679" s="37"/>
      <c r="M679" s="38"/>
      <c r="N679" s="40"/>
      <c r="O679" s="40"/>
      <c r="P679" s="39"/>
      <c r="Q679" s="39"/>
    </row>
    <row r="680" spans="1:17" ht="15.75">
      <c r="A680" s="45"/>
      <c r="B680" s="46"/>
      <c r="C680" s="45"/>
      <c r="D680" s="43"/>
      <c r="E680" s="43"/>
      <c r="F680" s="43"/>
      <c r="G680" s="43"/>
      <c r="H680" s="43"/>
      <c r="I680" s="44"/>
      <c r="J680" s="43"/>
      <c r="K680" s="117"/>
      <c r="L680" s="37"/>
      <c r="M680" s="38"/>
      <c r="N680" s="40"/>
      <c r="O680" s="40"/>
      <c r="P680" s="39"/>
      <c r="Q680" s="39"/>
    </row>
    <row r="681" spans="1:17" ht="15.75">
      <c r="A681" s="45"/>
      <c r="B681" s="46"/>
      <c r="C681" s="45"/>
      <c r="D681" s="43"/>
      <c r="E681" s="43"/>
      <c r="F681" s="43"/>
      <c r="G681" s="43"/>
      <c r="H681" s="43"/>
      <c r="I681" s="44"/>
      <c r="J681" s="43"/>
      <c r="K681" s="117"/>
      <c r="L681" s="37"/>
      <c r="M681" s="38"/>
      <c r="N681" s="40"/>
      <c r="O681" s="40"/>
      <c r="P681" s="39"/>
      <c r="Q681" s="39"/>
    </row>
    <row r="682" spans="1:17" ht="15.75">
      <c r="A682" s="45"/>
      <c r="B682" s="46"/>
      <c r="C682" s="45"/>
      <c r="D682" s="43"/>
      <c r="E682" s="43"/>
      <c r="F682" s="43"/>
      <c r="G682" s="43"/>
      <c r="H682" s="43"/>
      <c r="I682" s="44"/>
      <c r="J682" s="43"/>
      <c r="K682" s="117"/>
      <c r="L682" s="37"/>
      <c r="M682" s="38"/>
      <c r="N682" s="40"/>
      <c r="O682" s="40"/>
      <c r="P682" s="39"/>
      <c r="Q682" s="39"/>
    </row>
    <row r="683" spans="1:17" ht="15.75">
      <c r="A683" s="45"/>
      <c r="B683" s="46"/>
      <c r="C683" s="45"/>
      <c r="D683" s="43"/>
      <c r="E683" s="43"/>
      <c r="F683" s="43"/>
      <c r="G683" s="43"/>
      <c r="H683" s="43"/>
      <c r="I683" s="44"/>
      <c r="J683" s="43"/>
      <c r="K683" s="117"/>
      <c r="L683" s="37"/>
      <c r="M683" s="38"/>
      <c r="N683" s="40"/>
      <c r="O683" s="40"/>
      <c r="P683" s="39"/>
      <c r="Q683" s="39"/>
    </row>
    <row r="684" spans="1:17" ht="15.75">
      <c r="A684" s="45"/>
      <c r="B684" s="46"/>
      <c r="C684" s="45"/>
      <c r="D684" s="43"/>
      <c r="E684" s="43"/>
      <c r="F684" s="43"/>
      <c r="G684" s="43"/>
      <c r="H684" s="43"/>
      <c r="I684" s="44"/>
      <c r="J684" s="43"/>
      <c r="K684" s="117"/>
      <c r="L684" s="37"/>
      <c r="M684" s="38"/>
      <c r="N684" s="40"/>
      <c r="O684" s="40"/>
      <c r="P684" s="39"/>
      <c r="Q684" s="39"/>
    </row>
    <row r="685" spans="1:17" ht="15.75">
      <c r="A685" s="45"/>
      <c r="B685" s="46"/>
      <c r="C685" s="45"/>
      <c r="D685" s="43"/>
      <c r="E685" s="43"/>
      <c r="F685" s="43"/>
      <c r="G685" s="43"/>
      <c r="H685" s="43"/>
      <c r="I685" s="44"/>
      <c r="J685" s="43"/>
      <c r="K685" s="117"/>
      <c r="L685" s="37"/>
      <c r="M685" s="38"/>
      <c r="N685" s="40"/>
      <c r="O685" s="40"/>
      <c r="P685" s="39"/>
      <c r="Q685" s="39"/>
    </row>
    <row r="686" spans="1:17" ht="15.75">
      <c r="A686" s="45"/>
      <c r="B686" s="46"/>
      <c r="C686" s="45"/>
      <c r="D686" s="43"/>
      <c r="E686" s="43"/>
      <c r="F686" s="43"/>
      <c r="G686" s="43"/>
      <c r="H686" s="43"/>
      <c r="I686" s="44"/>
      <c r="J686" s="43"/>
      <c r="K686" s="117"/>
      <c r="L686" s="37"/>
      <c r="M686" s="38"/>
      <c r="N686" s="40"/>
      <c r="O686" s="40"/>
      <c r="P686" s="39"/>
      <c r="Q686" s="39"/>
    </row>
    <row r="687" spans="1:17" ht="15.75">
      <c r="A687" s="45"/>
      <c r="B687" s="46"/>
      <c r="C687" s="45"/>
      <c r="D687" s="43"/>
      <c r="E687" s="43"/>
      <c r="F687" s="43"/>
      <c r="G687" s="43"/>
      <c r="H687" s="43"/>
      <c r="I687" s="44"/>
      <c r="J687" s="43"/>
      <c r="K687" s="117"/>
      <c r="L687" s="37"/>
      <c r="M687" s="38"/>
      <c r="N687" s="40"/>
      <c r="O687" s="40"/>
      <c r="P687" s="39"/>
      <c r="Q687" s="39"/>
    </row>
    <row r="688" spans="1:17" ht="15.75">
      <c r="A688" s="45"/>
      <c r="B688" s="46"/>
      <c r="C688" s="45"/>
      <c r="D688" s="43"/>
      <c r="E688" s="43"/>
      <c r="F688" s="43"/>
      <c r="G688" s="43"/>
      <c r="H688" s="43"/>
      <c r="I688" s="44"/>
      <c r="J688" s="43"/>
      <c r="K688" s="117"/>
      <c r="L688" s="37"/>
      <c r="M688" s="38"/>
      <c r="N688" s="40"/>
      <c r="O688" s="40"/>
      <c r="P688" s="39"/>
      <c r="Q688" s="39"/>
    </row>
    <row r="689" spans="1:17" ht="15.75">
      <c r="A689" s="45"/>
      <c r="B689" s="46"/>
      <c r="C689" s="45"/>
      <c r="D689" s="43"/>
      <c r="E689" s="43"/>
      <c r="F689" s="43"/>
      <c r="G689" s="43"/>
      <c r="H689" s="43"/>
      <c r="I689" s="44"/>
      <c r="J689" s="43"/>
      <c r="K689" s="117"/>
      <c r="L689" s="37"/>
      <c r="M689" s="38"/>
      <c r="N689" s="40"/>
      <c r="O689" s="40"/>
      <c r="P689" s="39"/>
      <c r="Q689" s="39"/>
    </row>
    <row r="690" spans="1:17" ht="15.75">
      <c r="A690" s="45"/>
      <c r="B690" s="46"/>
      <c r="C690" s="45"/>
      <c r="D690" s="43"/>
      <c r="E690" s="43"/>
      <c r="F690" s="43"/>
      <c r="G690" s="43"/>
      <c r="H690" s="43"/>
      <c r="I690" s="44"/>
      <c r="J690" s="43"/>
      <c r="K690" s="117"/>
      <c r="L690" s="37"/>
      <c r="M690" s="38"/>
      <c r="N690" s="40"/>
      <c r="O690" s="40"/>
      <c r="P690" s="39"/>
      <c r="Q690" s="39"/>
    </row>
    <row r="691" spans="1:17" ht="15.75">
      <c r="A691" s="45"/>
      <c r="B691" s="46"/>
      <c r="C691" s="45"/>
      <c r="D691" s="43"/>
      <c r="E691" s="43"/>
      <c r="F691" s="43"/>
      <c r="G691" s="43"/>
      <c r="H691" s="43"/>
      <c r="I691" s="44"/>
      <c r="J691" s="43"/>
      <c r="K691" s="117"/>
      <c r="L691" s="37"/>
      <c r="M691" s="38"/>
      <c r="N691" s="40"/>
      <c r="O691" s="40"/>
      <c r="P691" s="39"/>
      <c r="Q691" s="39"/>
    </row>
    <row r="692" spans="1:17" ht="15.75">
      <c r="A692" s="45"/>
      <c r="B692" s="46"/>
      <c r="C692" s="45"/>
      <c r="D692" s="43"/>
      <c r="E692" s="43"/>
      <c r="F692" s="43"/>
      <c r="G692" s="43"/>
      <c r="H692" s="43"/>
      <c r="I692" s="44"/>
      <c r="J692" s="43"/>
      <c r="K692" s="117"/>
      <c r="L692" s="37"/>
      <c r="M692" s="38"/>
      <c r="N692" s="40"/>
      <c r="O692" s="40"/>
      <c r="P692" s="39"/>
      <c r="Q692" s="39"/>
    </row>
    <row r="693" spans="1:17" ht="15.75">
      <c r="A693" s="45"/>
      <c r="B693" s="46"/>
      <c r="C693" s="45"/>
      <c r="D693" s="43"/>
      <c r="E693" s="43"/>
      <c r="F693" s="43"/>
      <c r="G693" s="43"/>
      <c r="H693" s="43"/>
      <c r="I693" s="44"/>
      <c r="J693" s="43"/>
      <c r="K693" s="117"/>
      <c r="L693" s="37"/>
      <c r="M693" s="38"/>
      <c r="N693" s="40"/>
      <c r="O693" s="40"/>
      <c r="P693" s="39"/>
      <c r="Q693" s="39"/>
    </row>
    <row r="694" spans="1:17" ht="15.75">
      <c r="A694" s="45"/>
      <c r="B694" s="46"/>
      <c r="C694" s="45"/>
      <c r="D694" s="43"/>
      <c r="E694" s="43"/>
      <c r="F694" s="43"/>
      <c r="G694" s="43"/>
      <c r="H694" s="43"/>
      <c r="I694" s="44"/>
      <c r="J694" s="43"/>
      <c r="K694" s="117"/>
      <c r="L694" s="37"/>
      <c r="M694" s="38"/>
      <c r="N694" s="40"/>
      <c r="O694" s="40"/>
      <c r="P694" s="39"/>
      <c r="Q694" s="39"/>
    </row>
    <row r="695" spans="1:17" ht="15.75">
      <c r="A695" s="45"/>
      <c r="B695" s="46"/>
      <c r="C695" s="45"/>
      <c r="D695" s="43"/>
      <c r="E695" s="43"/>
      <c r="F695" s="43"/>
      <c r="G695" s="43"/>
      <c r="H695" s="43"/>
      <c r="I695" s="44"/>
      <c r="J695" s="43"/>
      <c r="K695" s="117"/>
      <c r="L695" s="37"/>
      <c r="M695" s="38"/>
      <c r="N695" s="40"/>
      <c r="O695" s="40"/>
      <c r="P695" s="39"/>
      <c r="Q695" s="39"/>
    </row>
    <row r="696" spans="1:17" ht="15.75">
      <c r="A696" s="45"/>
      <c r="B696" s="46"/>
      <c r="C696" s="45"/>
      <c r="D696" s="43"/>
      <c r="E696" s="43"/>
      <c r="F696" s="43"/>
      <c r="G696" s="43"/>
      <c r="H696" s="43"/>
      <c r="I696" s="44"/>
      <c r="J696" s="43"/>
      <c r="K696" s="117"/>
      <c r="L696" s="37"/>
      <c r="M696" s="38"/>
      <c r="N696" s="40"/>
      <c r="O696" s="40"/>
      <c r="P696" s="39"/>
      <c r="Q696" s="39"/>
    </row>
    <row r="697" spans="1:17" ht="15.75">
      <c r="A697" s="45"/>
      <c r="B697" s="46"/>
      <c r="C697" s="45"/>
      <c r="D697" s="43"/>
      <c r="E697" s="43"/>
      <c r="F697" s="43"/>
      <c r="G697" s="43"/>
      <c r="H697" s="43"/>
      <c r="I697" s="44"/>
      <c r="J697" s="43"/>
      <c r="K697" s="117"/>
      <c r="L697" s="37"/>
      <c r="M697" s="38"/>
      <c r="N697" s="40"/>
      <c r="O697" s="40"/>
      <c r="P697" s="39"/>
      <c r="Q697" s="39"/>
    </row>
    <row r="698" spans="1:17" ht="15.75">
      <c r="A698" s="45"/>
      <c r="B698" s="46"/>
      <c r="C698" s="45"/>
      <c r="D698" s="43"/>
      <c r="E698" s="43"/>
      <c r="F698" s="43"/>
      <c r="G698" s="43"/>
      <c r="H698" s="43"/>
      <c r="I698" s="44"/>
      <c r="J698" s="43"/>
      <c r="K698" s="117"/>
      <c r="L698" s="37"/>
      <c r="M698" s="38"/>
      <c r="N698" s="40"/>
      <c r="O698" s="40"/>
      <c r="P698" s="39"/>
      <c r="Q698" s="39"/>
    </row>
    <row r="699" spans="1:17" ht="15.75">
      <c r="A699" s="45"/>
      <c r="B699" s="46"/>
      <c r="C699" s="45"/>
      <c r="D699" s="43"/>
      <c r="E699" s="43"/>
      <c r="F699" s="43"/>
      <c r="G699" s="43"/>
      <c r="H699" s="43"/>
      <c r="I699" s="44"/>
      <c r="J699" s="43"/>
      <c r="K699" s="117"/>
      <c r="L699" s="37"/>
      <c r="M699" s="38"/>
      <c r="N699" s="40"/>
      <c r="O699" s="40"/>
      <c r="P699" s="39"/>
      <c r="Q699" s="39"/>
    </row>
    <row r="700" spans="1:17" ht="15.75">
      <c r="A700" s="45"/>
      <c r="B700" s="46"/>
      <c r="C700" s="45"/>
      <c r="D700" s="43"/>
      <c r="E700" s="43"/>
      <c r="F700" s="43"/>
      <c r="G700" s="43"/>
      <c r="H700" s="43"/>
      <c r="I700" s="44"/>
      <c r="J700" s="43"/>
      <c r="K700" s="117"/>
      <c r="L700" s="37"/>
      <c r="M700" s="38"/>
      <c r="N700" s="40"/>
      <c r="O700" s="40"/>
      <c r="P700" s="39"/>
      <c r="Q700" s="39"/>
    </row>
    <row r="701" spans="1:17" ht="15.75">
      <c r="A701" s="45"/>
      <c r="B701" s="46"/>
      <c r="C701" s="45"/>
      <c r="D701" s="43"/>
      <c r="E701" s="43"/>
      <c r="F701" s="43"/>
      <c r="G701" s="43"/>
      <c r="H701" s="43"/>
      <c r="I701" s="44"/>
      <c r="J701" s="43"/>
      <c r="K701" s="117"/>
      <c r="L701" s="37"/>
      <c r="M701" s="38"/>
      <c r="N701" s="40"/>
      <c r="O701" s="40"/>
      <c r="P701" s="39"/>
      <c r="Q701" s="39"/>
    </row>
    <row r="702" spans="1:17" ht="15.75">
      <c r="A702" s="45"/>
      <c r="B702" s="46"/>
      <c r="C702" s="45"/>
      <c r="D702" s="43"/>
      <c r="E702" s="43"/>
      <c r="F702" s="43"/>
      <c r="G702" s="43"/>
      <c r="H702" s="43"/>
      <c r="I702" s="44"/>
      <c r="J702" s="43"/>
      <c r="K702" s="117"/>
      <c r="L702" s="37"/>
      <c r="M702" s="38"/>
      <c r="N702" s="40"/>
      <c r="O702" s="40"/>
      <c r="P702" s="39"/>
      <c r="Q702" s="39"/>
    </row>
    <row r="703" spans="1:17" ht="15.75">
      <c r="A703" s="45"/>
      <c r="B703" s="46"/>
      <c r="C703" s="45"/>
      <c r="D703" s="43"/>
      <c r="E703" s="43"/>
      <c r="F703" s="43"/>
      <c r="G703" s="43"/>
      <c r="H703" s="43"/>
      <c r="I703" s="44"/>
      <c r="J703" s="43"/>
      <c r="K703" s="117"/>
      <c r="L703" s="37"/>
      <c r="M703" s="38"/>
      <c r="N703" s="40"/>
      <c r="O703" s="40"/>
      <c r="P703" s="39"/>
      <c r="Q703" s="39"/>
    </row>
    <row r="704" spans="1:17" ht="15.75">
      <c r="A704" s="45"/>
      <c r="B704" s="46"/>
      <c r="C704" s="45"/>
      <c r="D704" s="43"/>
      <c r="E704" s="43"/>
      <c r="F704" s="43"/>
      <c r="G704" s="43"/>
      <c r="H704" s="43"/>
      <c r="I704" s="44"/>
      <c r="J704" s="43"/>
      <c r="K704" s="117"/>
      <c r="L704" s="37"/>
      <c r="M704" s="38"/>
      <c r="N704" s="40"/>
      <c r="O704" s="40"/>
      <c r="P704" s="39"/>
      <c r="Q704" s="39"/>
    </row>
    <row r="705" spans="1:17" ht="15.75">
      <c r="A705" s="45"/>
      <c r="B705" s="46"/>
      <c r="C705" s="45"/>
      <c r="D705" s="43"/>
      <c r="E705" s="43"/>
      <c r="F705" s="43"/>
      <c r="G705" s="43"/>
      <c r="H705" s="43"/>
      <c r="I705" s="44"/>
      <c r="J705" s="43"/>
      <c r="K705" s="117"/>
      <c r="L705" s="37"/>
      <c r="M705" s="38"/>
      <c r="N705" s="40"/>
      <c r="O705" s="40"/>
      <c r="P705" s="39"/>
      <c r="Q705" s="39"/>
    </row>
    <row r="706" spans="1:17" ht="15.75">
      <c r="A706" s="45"/>
      <c r="B706" s="46"/>
      <c r="C706" s="45"/>
      <c r="D706" s="43"/>
      <c r="E706" s="43"/>
      <c r="F706" s="43"/>
      <c r="G706" s="43"/>
      <c r="H706" s="43"/>
      <c r="I706" s="44"/>
      <c r="J706" s="43"/>
      <c r="K706" s="117"/>
      <c r="L706" s="37"/>
      <c r="M706" s="38"/>
      <c r="N706" s="40"/>
      <c r="O706" s="40"/>
      <c r="P706" s="39"/>
      <c r="Q706" s="39"/>
    </row>
    <row r="707" spans="1:17" ht="15.75">
      <c r="A707" s="45"/>
      <c r="B707" s="46"/>
      <c r="C707" s="45"/>
      <c r="D707" s="43"/>
      <c r="E707" s="43"/>
      <c r="F707" s="43"/>
      <c r="G707" s="43"/>
      <c r="H707" s="43"/>
      <c r="I707" s="44"/>
      <c r="J707" s="43"/>
      <c r="K707" s="117"/>
      <c r="L707" s="37"/>
      <c r="M707" s="38"/>
      <c r="N707" s="40"/>
      <c r="O707" s="40"/>
      <c r="P707" s="39"/>
      <c r="Q707" s="39"/>
    </row>
    <row r="708" spans="1:17" ht="15.75">
      <c r="A708" s="45"/>
      <c r="B708" s="46"/>
      <c r="C708" s="45"/>
      <c r="D708" s="43"/>
      <c r="E708" s="43"/>
      <c r="F708" s="43"/>
      <c r="G708" s="43"/>
      <c r="H708" s="43"/>
      <c r="I708" s="44"/>
      <c r="J708" s="43"/>
      <c r="K708" s="117"/>
      <c r="L708" s="37"/>
      <c r="M708" s="38"/>
      <c r="N708" s="40"/>
      <c r="O708" s="40"/>
      <c r="P708" s="39"/>
      <c r="Q708" s="39"/>
    </row>
    <row r="709" spans="1:17" ht="15.75">
      <c r="A709" s="45"/>
      <c r="B709" s="46"/>
      <c r="C709" s="45"/>
      <c r="D709" s="43"/>
      <c r="E709" s="43"/>
      <c r="F709" s="43"/>
      <c r="G709" s="43"/>
      <c r="H709" s="43"/>
      <c r="I709" s="44"/>
      <c r="J709" s="43"/>
      <c r="K709" s="117"/>
      <c r="L709" s="37"/>
      <c r="M709" s="38"/>
      <c r="N709" s="40"/>
      <c r="O709" s="40"/>
      <c r="P709" s="39"/>
      <c r="Q709" s="39"/>
    </row>
    <row r="710" spans="1:17" ht="15.75">
      <c r="A710" s="45"/>
      <c r="B710" s="46"/>
      <c r="C710" s="45"/>
      <c r="D710" s="43"/>
      <c r="E710" s="43"/>
      <c r="F710" s="43"/>
      <c r="G710" s="43"/>
      <c r="H710" s="43"/>
      <c r="I710" s="44"/>
      <c r="J710" s="43"/>
      <c r="K710" s="117"/>
      <c r="L710" s="37"/>
      <c r="M710" s="38"/>
      <c r="N710" s="40"/>
      <c r="O710" s="40"/>
      <c r="P710" s="39"/>
      <c r="Q710" s="39"/>
    </row>
    <row r="711" spans="1:17" ht="15.75">
      <c r="A711" s="45"/>
      <c r="B711" s="46"/>
      <c r="C711" s="45"/>
      <c r="D711" s="43"/>
      <c r="E711" s="43"/>
      <c r="F711" s="43"/>
      <c r="G711" s="43"/>
      <c r="H711" s="43"/>
      <c r="I711" s="44"/>
      <c r="J711" s="43"/>
      <c r="K711" s="117"/>
      <c r="L711" s="37"/>
      <c r="M711" s="38"/>
      <c r="N711" s="40"/>
      <c r="O711" s="40"/>
      <c r="P711" s="39"/>
      <c r="Q711" s="39"/>
    </row>
    <row r="712" spans="1:17" ht="15.75">
      <c r="A712" s="45"/>
      <c r="B712" s="46"/>
      <c r="C712" s="45"/>
      <c r="D712" s="43"/>
      <c r="E712" s="43"/>
      <c r="F712" s="43"/>
      <c r="G712" s="43"/>
      <c r="H712" s="43"/>
      <c r="I712" s="44"/>
      <c r="J712" s="43"/>
      <c r="K712" s="117"/>
      <c r="L712" s="37"/>
      <c r="M712" s="38"/>
      <c r="N712" s="40"/>
      <c r="O712" s="40"/>
      <c r="P712" s="39"/>
      <c r="Q712" s="39"/>
    </row>
    <row r="713" spans="1:17" ht="15.75">
      <c r="A713" s="45"/>
      <c r="B713" s="46"/>
      <c r="C713" s="45"/>
      <c r="D713" s="43"/>
      <c r="E713" s="43"/>
      <c r="F713" s="43"/>
      <c r="G713" s="43"/>
      <c r="H713" s="43"/>
      <c r="I713" s="44"/>
      <c r="J713" s="43"/>
      <c r="K713" s="117"/>
      <c r="L713" s="37"/>
      <c r="M713" s="38"/>
      <c r="N713" s="40"/>
      <c r="O713" s="40"/>
      <c r="P713" s="39"/>
      <c r="Q713" s="39"/>
    </row>
    <row r="714" spans="1:17" ht="15.75">
      <c r="A714" s="45"/>
      <c r="B714" s="46"/>
      <c r="C714" s="45"/>
      <c r="D714" s="43"/>
      <c r="E714" s="43"/>
      <c r="F714" s="43"/>
      <c r="G714" s="43"/>
      <c r="H714" s="43"/>
      <c r="I714" s="44"/>
      <c r="J714" s="43"/>
      <c r="K714" s="117"/>
      <c r="L714" s="37"/>
      <c r="M714" s="38"/>
      <c r="N714" s="40"/>
      <c r="O714" s="40"/>
      <c r="P714" s="39"/>
      <c r="Q714" s="39"/>
    </row>
    <row r="715" spans="1:17" ht="15.75">
      <c r="A715" s="45"/>
      <c r="B715" s="46"/>
      <c r="C715" s="45"/>
      <c r="D715" s="43"/>
      <c r="E715" s="43"/>
      <c r="F715" s="43"/>
      <c r="G715" s="43"/>
      <c r="H715" s="43"/>
      <c r="I715" s="44"/>
      <c r="J715" s="43"/>
      <c r="K715" s="117"/>
      <c r="L715" s="37"/>
      <c r="M715" s="38"/>
      <c r="N715" s="40"/>
      <c r="O715" s="40"/>
      <c r="P715" s="39"/>
      <c r="Q715" s="39"/>
    </row>
    <row r="716" spans="1:17" ht="15.75">
      <c r="A716" s="45"/>
      <c r="B716" s="46"/>
      <c r="C716" s="45"/>
      <c r="D716" s="43"/>
      <c r="E716" s="43"/>
      <c r="F716" s="43"/>
      <c r="G716" s="43"/>
      <c r="H716" s="43"/>
      <c r="I716" s="44"/>
      <c r="J716" s="43"/>
      <c r="K716" s="117"/>
      <c r="L716" s="37"/>
      <c r="M716" s="38"/>
      <c r="N716" s="40"/>
      <c r="O716" s="40"/>
      <c r="P716" s="39"/>
      <c r="Q716" s="39"/>
    </row>
    <row r="717" spans="1:17" ht="15.75">
      <c r="A717" s="45"/>
      <c r="B717" s="46"/>
      <c r="C717" s="45"/>
      <c r="D717" s="43"/>
      <c r="E717" s="43"/>
      <c r="F717" s="43"/>
      <c r="G717" s="43"/>
      <c r="H717" s="43"/>
      <c r="I717" s="44"/>
      <c r="J717" s="43"/>
      <c r="K717" s="117"/>
      <c r="L717" s="37"/>
      <c r="M717" s="38"/>
      <c r="N717" s="40"/>
      <c r="O717" s="40"/>
      <c r="P717" s="39"/>
      <c r="Q717" s="39"/>
    </row>
    <row r="718" spans="1:17" ht="15.75">
      <c r="A718" s="45"/>
      <c r="B718" s="46"/>
      <c r="C718" s="45"/>
      <c r="D718" s="43"/>
      <c r="E718" s="43"/>
      <c r="F718" s="43"/>
      <c r="G718" s="43"/>
      <c r="H718" s="43"/>
      <c r="I718" s="44"/>
      <c r="J718" s="43"/>
      <c r="K718" s="117"/>
      <c r="L718" s="37"/>
      <c r="M718" s="38"/>
      <c r="N718" s="40"/>
      <c r="O718" s="40"/>
      <c r="P718" s="39"/>
      <c r="Q718" s="39"/>
    </row>
    <row r="719" spans="1:17" ht="15.75">
      <c r="A719" s="45"/>
      <c r="B719" s="46"/>
      <c r="C719" s="45"/>
      <c r="D719" s="43"/>
      <c r="E719" s="43"/>
      <c r="F719" s="43"/>
      <c r="G719" s="43"/>
      <c r="H719" s="43"/>
      <c r="I719" s="44"/>
      <c r="J719" s="43"/>
      <c r="K719" s="117"/>
      <c r="L719" s="37"/>
      <c r="M719" s="38"/>
      <c r="N719" s="40"/>
      <c r="O719" s="40"/>
      <c r="P719" s="39"/>
      <c r="Q719" s="39"/>
    </row>
    <row r="720" spans="1:17" ht="15.75">
      <c r="A720" s="45"/>
      <c r="B720" s="46"/>
      <c r="C720" s="45"/>
      <c r="D720" s="43"/>
      <c r="E720" s="43"/>
      <c r="F720" s="43"/>
      <c r="G720" s="43"/>
      <c r="H720" s="43"/>
      <c r="I720" s="44"/>
      <c r="J720" s="43"/>
      <c r="K720" s="117"/>
      <c r="L720" s="37"/>
      <c r="M720" s="38"/>
      <c r="N720" s="40"/>
      <c r="O720" s="40"/>
      <c r="P720" s="39"/>
      <c r="Q720" s="39"/>
    </row>
    <row r="721" spans="1:17" ht="15.75">
      <c r="A721" s="45"/>
      <c r="B721" s="46"/>
      <c r="C721" s="45"/>
      <c r="D721" s="43"/>
      <c r="E721" s="43"/>
      <c r="F721" s="43"/>
      <c r="G721" s="43"/>
      <c r="H721" s="43"/>
      <c r="I721" s="44"/>
      <c r="J721" s="43"/>
      <c r="K721" s="117"/>
      <c r="L721" s="37"/>
      <c r="M721" s="38"/>
      <c r="N721" s="40"/>
      <c r="O721" s="40"/>
      <c r="P721" s="39"/>
      <c r="Q721" s="39"/>
    </row>
    <row r="722" spans="1:17" ht="15.75">
      <c r="A722" s="45"/>
      <c r="B722" s="46"/>
      <c r="C722" s="45"/>
      <c r="D722" s="43"/>
      <c r="E722" s="43"/>
      <c r="F722" s="43"/>
      <c r="G722" s="43"/>
      <c r="H722" s="43"/>
      <c r="I722" s="44"/>
      <c r="J722" s="43"/>
      <c r="K722" s="117"/>
      <c r="L722" s="37"/>
      <c r="M722" s="38"/>
      <c r="N722" s="40"/>
      <c r="O722" s="40"/>
      <c r="P722" s="39"/>
      <c r="Q722" s="39"/>
    </row>
    <row r="723" spans="1:17" ht="15.75">
      <c r="A723" s="45"/>
      <c r="B723" s="46"/>
      <c r="C723" s="45"/>
      <c r="D723" s="43"/>
      <c r="E723" s="43"/>
      <c r="F723" s="43"/>
      <c r="G723" s="43"/>
      <c r="H723" s="43"/>
      <c r="I723" s="44"/>
      <c r="J723" s="43"/>
      <c r="K723" s="117"/>
      <c r="L723" s="37"/>
      <c r="M723" s="38"/>
      <c r="N723" s="40"/>
      <c r="O723" s="40"/>
      <c r="P723" s="39"/>
      <c r="Q723" s="39"/>
    </row>
    <row r="724" spans="1:17" ht="15.75">
      <c r="A724" s="45"/>
      <c r="B724" s="46"/>
      <c r="C724" s="45"/>
      <c r="D724" s="43"/>
      <c r="E724" s="43"/>
      <c r="F724" s="43"/>
      <c r="G724" s="43"/>
      <c r="H724" s="43"/>
      <c r="I724" s="44"/>
      <c r="J724" s="43"/>
      <c r="K724" s="117"/>
      <c r="L724" s="37"/>
      <c r="M724" s="38"/>
      <c r="N724" s="40"/>
      <c r="O724" s="40"/>
      <c r="P724" s="39"/>
      <c r="Q724" s="39"/>
    </row>
    <row r="725" spans="1:17" ht="15.75">
      <c r="A725" s="45"/>
      <c r="B725" s="46"/>
      <c r="C725" s="45"/>
      <c r="D725" s="43"/>
      <c r="E725" s="43"/>
      <c r="F725" s="43"/>
      <c r="G725" s="43"/>
      <c r="H725" s="43"/>
      <c r="I725" s="44"/>
      <c r="J725" s="43"/>
      <c r="K725" s="117"/>
      <c r="L725" s="37"/>
      <c r="M725" s="38"/>
      <c r="N725" s="40"/>
      <c r="O725" s="40"/>
      <c r="P725" s="39"/>
      <c r="Q725" s="39"/>
    </row>
    <row r="726" spans="1:17" ht="15.75">
      <c r="A726" s="45"/>
      <c r="B726" s="46"/>
      <c r="C726" s="45"/>
      <c r="D726" s="43"/>
      <c r="E726" s="43"/>
      <c r="F726" s="43"/>
      <c r="G726" s="43"/>
      <c r="H726" s="43"/>
      <c r="I726" s="44"/>
      <c r="J726" s="43"/>
      <c r="K726" s="117"/>
      <c r="L726" s="37"/>
      <c r="M726" s="38"/>
      <c r="N726" s="40"/>
      <c r="O726" s="40"/>
      <c r="P726" s="39"/>
      <c r="Q726" s="39"/>
    </row>
    <row r="727" spans="1:17" ht="15.75">
      <c r="A727" s="45"/>
      <c r="B727" s="46"/>
      <c r="C727" s="45"/>
      <c r="D727" s="43"/>
      <c r="E727" s="43"/>
      <c r="F727" s="43"/>
      <c r="G727" s="43"/>
      <c r="H727" s="43"/>
      <c r="I727" s="44"/>
      <c r="J727" s="43"/>
      <c r="K727" s="117"/>
      <c r="L727" s="37"/>
      <c r="M727" s="38"/>
      <c r="N727" s="40"/>
      <c r="O727" s="40"/>
      <c r="P727" s="39"/>
      <c r="Q727" s="39"/>
    </row>
    <row r="728" spans="1:17" ht="15.75">
      <c r="A728" s="45"/>
      <c r="B728" s="46"/>
      <c r="C728" s="45"/>
      <c r="D728" s="43"/>
      <c r="E728" s="43"/>
      <c r="F728" s="43"/>
      <c r="G728" s="43"/>
      <c r="H728" s="43"/>
      <c r="I728" s="44"/>
      <c r="J728" s="43"/>
      <c r="K728" s="117"/>
      <c r="L728" s="37"/>
      <c r="M728" s="38"/>
      <c r="N728" s="40"/>
      <c r="O728" s="40"/>
      <c r="P728" s="39"/>
      <c r="Q728" s="39"/>
    </row>
    <row r="729" spans="1:17" ht="15.75">
      <c r="A729" s="45"/>
      <c r="B729" s="46"/>
      <c r="C729" s="45"/>
      <c r="D729" s="43"/>
      <c r="E729" s="43"/>
      <c r="F729" s="43"/>
      <c r="G729" s="43"/>
      <c r="H729" s="43"/>
      <c r="I729" s="44"/>
      <c r="J729" s="43"/>
      <c r="K729" s="117"/>
      <c r="L729" s="37"/>
      <c r="M729" s="38"/>
      <c r="N729" s="40"/>
      <c r="O729" s="40"/>
      <c r="P729" s="39"/>
      <c r="Q729" s="39"/>
    </row>
    <row r="730" spans="1:17" ht="15.75">
      <c r="A730" s="45"/>
      <c r="B730" s="46"/>
      <c r="C730" s="45"/>
      <c r="D730" s="43"/>
      <c r="E730" s="43"/>
      <c r="F730" s="43"/>
      <c r="G730" s="43"/>
      <c r="H730" s="43"/>
      <c r="I730" s="44"/>
      <c r="J730" s="43"/>
      <c r="K730" s="117"/>
      <c r="L730" s="37"/>
      <c r="M730" s="38"/>
      <c r="N730" s="40"/>
      <c r="O730" s="40"/>
      <c r="P730" s="39"/>
      <c r="Q730" s="39"/>
    </row>
    <row r="731" spans="1:17" ht="15.75">
      <c r="A731" s="45"/>
      <c r="B731" s="46"/>
      <c r="C731" s="45"/>
      <c r="D731" s="43"/>
      <c r="E731" s="43"/>
      <c r="F731" s="43"/>
      <c r="G731" s="43"/>
      <c r="H731" s="43"/>
      <c r="I731" s="44"/>
      <c r="J731" s="43"/>
      <c r="K731" s="117"/>
      <c r="L731" s="37"/>
      <c r="M731" s="38"/>
      <c r="N731" s="40"/>
      <c r="O731" s="40"/>
      <c r="P731" s="39"/>
      <c r="Q731" s="39"/>
    </row>
    <row r="732" spans="1:17" ht="15.75">
      <c r="A732" s="45"/>
      <c r="B732" s="46"/>
      <c r="C732" s="45"/>
      <c r="D732" s="43"/>
      <c r="E732" s="43"/>
      <c r="F732" s="43"/>
      <c r="G732" s="43"/>
      <c r="H732" s="43"/>
      <c r="I732" s="44"/>
      <c r="J732" s="43"/>
      <c r="K732" s="117"/>
      <c r="L732" s="37"/>
      <c r="M732" s="38"/>
      <c r="N732" s="40"/>
      <c r="O732" s="40"/>
      <c r="P732" s="39"/>
      <c r="Q732" s="39"/>
    </row>
    <row r="733" spans="1:17" ht="15.75">
      <c r="A733" s="45"/>
      <c r="B733" s="46"/>
      <c r="C733" s="45"/>
      <c r="D733" s="43"/>
      <c r="E733" s="43"/>
      <c r="F733" s="43"/>
      <c r="G733" s="43"/>
      <c r="H733" s="43"/>
      <c r="I733" s="44"/>
      <c r="J733" s="43"/>
      <c r="K733" s="117"/>
      <c r="L733" s="37"/>
      <c r="M733" s="38"/>
      <c r="N733" s="40"/>
      <c r="O733" s="40"/>
      <c r="P733" s="39"/>
      <c r="Q733" s="39"/>
    </row>
    <row r="734" spans="1:17" ht="15.75">
      <c r="A734" s="45"/>
      <c r="B734" s="46"/>
      <c r="C734" s="45"/>
      <c r="D734" s="43"/>
      <c r="E734" s="43"/>
      <c r="F734" s="43"/>
      <c r="G734" s="43"/>
      <c r="H734" s="43"/>
      <c r="I734" s="44"/>
      <c r="J734" s="43"/>
      <c r="K734" s="117"/>
      <c r="L734" s="37"/>
      <c r="M734" s="38"/>
      <c r="N734" s="40"/>
      <c r="O734" s="40"/>
      <c r="P734" s="39"/>
      <c r="Q734" s="39"/>
    </row>
    <row r="735" spans="1:17" ht="15.75">
      <c r="A735" s="45"/>
      <c r="B735" s="46"/>
      <c r="C735" s="45"/>
      <c r="D735" s="43"/>
      <c r="E735" s="43"/>
      <c r="F735" s="43"/>
      <c r="G735" s="43"/>
      <c r="H735" s="43"/>
      <c r="I735" s="44"/>
      <c r="J735" s="43"/>
      <c r="K735" s="117"/>
      <c r="L735" s="37"/>
      <c r="M735" s="38"/>
      <c r="N735" s="40"/>
      <c r="O735" s="40"/>
      <c r="P735" s="39"/>
      <c r="Q735" s="39"/>
    </row>
    <row r="736" spans="1:17" ht="15.75">
      <c r="A736" s="45"/>
      <c r="B736" s="46"/>
      <c r="C736" s="45"/>
      <c r="D736" s="43"/>
      <c r="E736" s="43"/>
      <c r="F736" s="43"/>
      <c r="G736" s="43"/>
      <c r="H736" s="43"/>
      <c r="I736" s="44"/>
      <c r="J736" s="43"/>
      <c r="K736" s="117"/>
      <c r="L736" s="37"/>
      <c r="M736" s="38"/>
      <c r="N736" s="40"/>
      <c r="O736" s="40"/>
      <c r="P736" s="39"/>
      <c r="Q736" s="39"/>
    </row>
    <row r="737" spans="1:17" ht="15.75">
      <c r="A737" s="45"/>
      <c r="B737" s="46"/>
      <c r="C737" s="45"/>
      <c r="D737" s="43"/>
      <c r="E737" s="43"/>
      <c r="F737" s="43"/>
      <c r="G737" s="43"/>
      <c r="H737" s="43"/>
      <c r="I737" s="44"/>
      <c r="J737" s="43"/>
      <c r="K737" s="117"/>
      <c r="L737" s="37"/>
      <c r="M737" s="38"/>
      <c r="N737" s="40"/>
      <c r="O737" s="40"/>
      <c r="P737" s="39"/>
      <c r="Q737" s="39"/>
    </row>
    <row r="738" spans="1:17" ht="15.75">
      <c r="A738" s="45"/>
      <c r="B738" s="46"/>
      <c r="C738" s="45"/>
      <c r="D738" s="43"/>
      <c r="E738" s="43"/>
      <c r="F738" s="43"/>
      <c r="G738" s="43"/>
      <c r="H738" s="43"/>
      <c r="I738" s="44"/>
      <c r="J738" s="43"/>
      <c r="K738" s="117"/>
      <c r="L738" s="37"/>
      <c r="M738" s="38"/>
      <c r="N738" s="40"/>
      <c r="O738" s="40"/>
      <c r="P738" s="39"/>
      <c r="Q738" s="39"/>
    </row>
    <row r="739" spans="1:17" ht="15.75">
      <c r="A739" s="45"/>
      <c r="B739" s="46"/>
      <c r="C739" s="45"/>
      <c r="D739" s="43"/>
      <c r="E739" s="43"/>
      <c r="F739" s="43"/>
      <c r="G739" s="43"/>
      <c r="H739" s="43"/>
      <c r="I739" s="44"/>
      <c r="J739" s="43"/>
      <c r="K739" s="117"/>
      <c r="L739" s="37"/>
      <c r="M739" s="38"/>
      <c r="N739" s="40"/>
      <c r="O739" s="40"/>
      <c r="P739" s="39"/>
      <c r="Q739" s="39"/>
    </row>
    <row r="740" spans="1:17" ht="15.75">
      <c r="A740" s="45"/>
      <c r="B740" s="46"/>
      <c r="C740" s="45"/>
      <c r="D740" s="43"/>
      <c r="E740" s="43"/>
      <c r="F740" s="43"/>
      <c r="G740" s="43"/>
      <c r="H740" s="43"/>
      <c r="I740" s="44"/>
      <c r="J740" s="43"/>
      <c r="K740" s="117"/>
      <c r="L740" s="37"/>
      <c r="M740" s="38"/>
      <c r="N740" s="40"/>
      <c r="O740" s="40"/>
      <c r="P740" s="39"/>
      <c r="Q740" s="39"/>
    </row>
    <row r="741" spans="1:17" ht="15.75">
      <c r="A741" s="45"/>
      <c r="B741" s="46"/>
      <c r="C741" s="45"/>
      <c r="D741" s="43"/>
      <c r="E741" s="43"/>
      <c r="F741" s="43"/>
      <c r="G741" s="43"/>
      <c r="H741" s="43"/>
      <c r="I741" s="44"/>
      <c r="J741" s="43"/>
      <c r="K741" s="117"/>
      <c r="L741" s="37"/>
      <c r="M741" s="38"/>
      <c r="N741" s="40"/>
      <c r="O741" s="40"/>
      <c r="P741" s="39"/>
      <c r="Q741" s="39"/>
    </row>
    <row r="742" spans="1:17" ht="15.75">
      <c r="A742" s="45"/>
      <c r="B742" s="46"/>
      <c r="C742" s="45"/>
      <c r="D742" s="43"/>
      <c r="E742" s="43"/>
      <c r="F742" s="43"/>
      <c r="G742" s="43"/>
      <c r="H742" s="43"/>
      <c r="I742" s="44"/>
      <c r="J742" s="43"/>
      <c r="K742" s="117"/>
      <c r="L742" s="37"/>
      <c r="M742" s="38"/>
      <c r="N742" s="40"/>
      <c r="O742" s="40"/>
      <c r="P742" s="39"/>
      <c r="Q742" s="39"/>
    </row>
    <row r="743" spans="1:17" ht="15.75">
      <c r="A743" s="45"/>
      <c r="B743" s="46"/>
      <c r="C743" s="45"/>
      <c r="D743" s="43"/>
      <c r="E743" s="43"/>
      <c r="F743" s="43"/>
      <c r="G743" s="43"/>
      <c r="H743" s="43"/>
      <c r="I743" s="44"/>
      <c r="J743" s="43"/>
      <c r="K743" s="117"/>
      <c r="L743" s="37"/>
      <c r="M743" s="38"/>
      <c r="N743" s="40"/>
      <c r="O743" s="40"/>
      <c r="P743" s="39"/>
      <c r="Q743" s="39"/>
    </row>
    <row r="744" spans="1:17" ht="15.75">
      <c r="A744" s="45"/>
      <c r="B744" s="46"/>
      <c r="C744" s="45"/>
      <c r="D744" s="43"/>
      <c r="E744" s="43"/>
      <c r="F744" s="43"/>
      <c r="G744" s="43"/>
      <c r="H744" s="43"/>
      <c r="I744" s="44"/>
      <c r="J744" s="43"/>
      <c r="K744" s="117"/>
      <c r="L744" s="37"/>
      <c r="M744" s="38"/>
      <c r="N744" s="40"/>
      <c r="O744" s="40"/>
      <c r="P744" s="39"/>
      <c r="Q744" s="39"/>
    </row>
    <row r="745" spans="1:17" ht="15.75">
      <c r="A745" s="45"/>
      <c r="B745" s="46"/>
      <c r="C745" s="45"/>
      <c r="D745" s="43"/>
      <c r="E745" s="43"/>
      <c r="F745" s="43"/>
      <c r="G745" s="43"/>
      <c r="H745" s="43"/>
      <c r="I745" s="44"/>
      <c r="J745" s="43"/>
      <c r="K745" s="117"/>
      <c r="L745" s="37"/>
      <c r="M745" s="38"/>
      <c r="N745" s="40"/>
      <c r="O745" s="40"/>
      <c r="P745" s="39"/>
      <c r="Q745" s="39"/>
    </row>
    <row r="746" spans="1:17" ht="15.75">
      <c r="A746" s="45"/>
      <c r="B746" s="46"/>
      <c r="C746" s="45"/>
      <c r="D746" s="43"/>
      <c r="E746" s="43"/>
      <c r="F746" s="43"/>
      <c r="G746" s="43"/>
      <c r="H746" s="43"/>
      <c r="I746" s="44"/>
      <c r="J746" s="43"/>
      <c r="K746" s="117"/>
      <c r="L746" s="37"/>
      <c r="M746" s="38"/>
      <c r="N746" s="40"/>
      <c r="O746" s="40"/>
      <c r="P746" s="39"/>
      <c r="Q746" s="39"/>
    </row>
    <row r="747" spans="1:17" ht="15.75">
      <c r="A747" s="45"/>
      <c r="B747" s="46"/>
      <c r="C747" s="45"/>
      <c r="D747" s="43"/>
      <c r="E747" s="43"/>
      <c r="F747" s="43"/>
      <c r="G747" s="43"/>
      <c r="H747" s="43"/>
      <c r="I747" s="44"/>
      <c r="J747" s="43"/>
      <c r="K747" s="117"/>
      <c r="L747" s="37"/>
      <c r="M747" s="38"/>
      <c r="N747" s="40"/>
      <c r="O747" s="40"/>
      <c r="P747" s="39"/>
      <c r="Q747" s="39"/>
    </row>
    <row r="748" spans="1:17" ht="15.75">
      <c r="A748" s="45"/>
      <c r="B748" s="46"/>
      <c r="C748" s="45"/>
      <c r="D748" s="43"/>
      <c r="E748" s="43"/>
      <c r="F748" s="43"/>
      <c r="G748" s="43"/>
      <c r="H748" s="43"/>
      <c r="I748" s="44"/>
      <c r="J748" s="43"/>
      <c r="K748" s="117"/>
      <c r="L748" s="37"/>
      <c r="M748" s="38"/>
      <c r="N748" s="40"/>
      <c r="O748" s="40"/>
      <c r="P748" s="39"/>
      <c r="Q748" s="39"/>
    </row>
    <row r="749" spans="1:17" ht="15.75">
      <c r="A749" s="45"/>
      <c r="B749" s="46"/>
      <c r="C749" s="45"/>
      <c r="D749" s="43"/>
      <c r="E749" s="43"/>
      <c r="F749" s="43"/>
      <c r="G749" s="43"/>
      <c r="H749" s="43"/>
      <c r="I749" s="44"/>
      <c r="J749" s="43"/>
      <c r="K749" s="117"/>
      <c r="L749" s="37"/>
      <c r="M749" s="38"/>
      <c r="N749" s="40"/>
      <c r="O749" s="40"/>
      <c r="P749" s="39"/>
      <c r="Q749" s="39"/>
    </row>
    <row r="750" spans="1:17" ht="15.75">
      <c r="A750" s="45"/>
      <c r="B750" s="46"/>
      <c r="C750" s="45"/>
      <c r="D750" s="43"/>
      <c r="E750" s="43"/>
      <c r="F750" s="43"/>
      <c r="G750" s="43"/>
      <c r="H750" s="43"/>
      <c r="I750" s="44"/>
      <c r="J750" s="43"/>
      <c r="K750" s="117"/>
      <c r="L750" s="37"/>
      <c r="M750" s="38"/>
      <c r="N750" s="40"/>
      <c r="O750" s="40"/>
      <c r="P750" s="39"/>
      <c r="Q750" s="39"/>
    </row>
    <row r="751" spans="1:17" ht="15.75">
      <c r="A751" s="45"/>
      <c r="B751" s="46"/>
      <c r="C751" s="45"/>
      <c r="D751" s="43"/>
      <c r="E751" s="43"/>
      <c r="F751" s="43"/>
      <c r="G751" s="43"/>
      <c r="H751" s="43"/>
      <c r="I751" s="44"/>
      <c r="J751" s="43"/>
      <c r="K751" s="117"/>
      <c r="L751" s="37"/>
      <c r="M751" s="38"/>
      <c r="N751" s="40"/>
      <c r="O751" s="40"/>
      <c r="P751" s="39"/>
      <c r="Q751" s="39"/>
    </row>
    <row r="752" spans="1:17" ht="15.75">
      <c r="A752" s="45"/>
      <c r="B752" s="46"/>
      <c r="C752" s="45"/>
      <c r="D752" s="43"/>
      <c r="E752" s="43"/>
      <c r="F752" s="43"/>
      <c r="G752" s="43"/>
      <c r="H752" s="43"/>
      <c r="I752" s="44"/>
      <c r="J752" s="43"/>
      <c r="K752" s="117"/>
      <c r="L752" s="37"/>
      <c r="M752" s="38"/>
      <c r="N752" s="40"/>
      <c r="O752" s="40"/>
      <c r="P752" s="39"/>
      <c r="Q752" s="39"/>
    </row>
    <row r="753" spans="1:17" ht="15.75">
      <c r="A753" s="45"/>
      <c r="B753" s="46"/>
      <c r="C753" s="45"/>
      <c r="D753" s="43"/>
      <c r="E753" s="43"/>
      <c r="F753" s="43"/>
      <c r="G753" s="43"/>
      <c r="H753" s="43"/>
      <c r="I753" s="44"/>
      <c r="J753" s="43"/>
      <c r="K753" s="117"/>
      <c r="L753" s="37"/>
      <c r="M753" s="38"/>
      <c r="N753" s="40"/>
      <c r="O753" s="40"/>
      <c r="P753" s="39"/>
      <c r="Q753" s="39"/>
    </row>
    <row r="754" spans="1:17" ht="15.75">
      <c r="A754" s="45"/>
      <c r="B754" s="46"/>
      <c r="C754" s="45"/>
      <c r="D754" s="43"/>
      <c r="E754" s="43"/>
      <c r="F754" s="43"/>
      <c r="G754" s="43"/>
      <c r="H754" s="43"/>
      <c r="I754" s="44"/>
      <c r="J754" s="43"/>
      <c r="K754" s="117"/>
      <c r="L754" s="37"/>
      <c r="M754" s="38"/>
      <c r="N754" s="40"/>
      <c r="O754" s="40"/>
      <c r="P754" s="39"/>
      <c r="Q754" s="39"/>
    </row>
    <row r="755" spans="1:17" ht="15.75">
      <c r="A755" s="45"/>
      <c r="B755" s="46"/>
      <c r="C755" s="45"/>
      <c r="D755" s="43"/>
      <c r="E755" s="43"/>
      <c r="F755" s="43"/>
      <c r="G755" s="43"/>
      <c r="H755" s="43"/>
      <c r="I755" s="44"/>
      <c r="J755" s="43"/>
      <c r="K755" s="117"/>
      <c r="L755" s="37"/>
      <c r="M755" s="38"/>
      <c r="N755" s="40"/>
      <c r="O755" s="40"/>
      <c r="P755" s="39"/>
      <c r="Q755" s="39"/>
    </row>
    <row r="756" spans="1:17" ht="15.75">
      <c r="A756" s="45"/>
      <c r="B756" s="46"/>
      <c r="C756" s="45"/>
      <c r="D756" s="43"/>
      <c r="E756" s="43"/>
      <c r="F756" s="43"/>
      <c r="G756" s="43"/>
      <c r="H756" s="43"/>
      <c r="I756" s="44"/>
      <c r="J756" s="43"/>
      <c r="K756" s="117"/>
      <c r="L756" s="37"/>
      <c r="M756" s="38"/>
      <c r="N756" s="40"/>
      <c r="O756" s="40"/>
      <c r="P756" s="39"/>
      <c r="Q756" s="39"/>
    </row>
    <row r="757" spans="1:17" ht="15.75">
      <c r="A757" s="45"/>
      <c r="B757" s="46"/>
      <c r="C757" s="45"/>
      <c r="D757" s="43"/>
      <c r="E757" s="43"/>
      <c r="F757" s="43"/>
      <c r="G757" s="43"/>
      <c r="H757" s="43"/>
      <c r="I757" s="44"/>
      <c r="J757" s="43"/>
      <c r="K757" s="117"/>
      <c r="L757" s="37"/>
      <c r="M757" s="38"/>
      <c r="N757" s="40"/>
      <c r="O757" s="40"/>
      <c r="P757" s="39"/>
      <c r="Q757" s="39"/>
    </row>
    <row r="758" spans="1:17" ht="15.75">
      <c r="A758" s="45"/>
      <c r="B758" s="46"/>
      <c r="C758" s="45"/>
      <c r="D758" s="43"/>
      <c r="E758" s="43"/>
      <c r="F758" s="43"/>
      <c r="G758" s="43"/>
      <c r="H758" s="43"/>
      <c r="I758" s="44"/>
      <c r="J758" s="43"/>
      <c r="K758" s="117"/>
      <c r="L758" s="37"/>
      <c r="M758" s="38"/>
      <c r="N758" s="40"/>
      <c r="O758" s="40"/>
      <c r="P758" s="39"/>
      <c r="Q758" s="39"/>
    </row>
    <row r="759" spans="1:17" ht="15.75">
      <c r="A759" s="45"/>
      <c r="B759" s="46"/>
      <c r="C759" s="45"/>
      <c r="D759" s="43"/>
      <c r="E759" s="43"/>
      <c r="F759" s="43"/>
      <c r="G759" s="43"/>
      <c r="H759" s="43"/>
      <c r="I759" s="44"/>
      <c r="J759" s="43"/>
      <c r="K759" s="117"/>
      <c r="L759" s="37"/>
      <c r="M759" s="38"/>
      <c r="N759" s="40"/>
      <c r="O759" s="40"/>
      <c r="P759" s="39"/>
      <c r="Q759" s="39"/>
    </row>
    <row r="760" spans="1:17" ht="15.75">
      <c r="A760" s="45"/>
      <c r="B760" s="46"/>
      <c r="C760" s="45"/>
      <c r="D760" s="43"/>
      <c r="E760" s="43"/>
      <c r="F760" s="43"/>
      <c r="G760" s="43"/>
      <c r="H760" s="43"/>
      <c r="I760" s="44"/>
      <c r="J760" s="43"/>
      <c r="K760" s="117"/>
      <c r="L760" s="37"/>
      <c r="M760" s="38"/>
      <c r="N760" s="40"/>
      <c r="O760" s="40"/>
      <c r="P760" s="39"/>
      <c r="Q760" s="39"/>
    </row>
    <row r="761" spans="1:17" ht="15.75">
      <c r="A761" s="45"/>
      <c r="B761" s="46"/>
      <c r="C761" s="45"/>
      <c r="D761" s="43"/>
      <c r="E761" s="43"/>
      <c r="F761" s="43"/>
      <c r="G761" s="43"/>
      <c r="H761" s="43"/>
      <c r="I761" s="44"/>
      <c r="J761" s="43"/>
      <c r="K761" s="117"/>
      <c r="L761" s="37"/>
      <c r="M761" s="38"/>
      <c r="N761" s="40"/>
      <c r="O761" s="40"/>
      <c r="P761" s="39"/>
      <c r="Q761" s="39"/>
    </row>
    <row r="762" spans="1:17" ht="15.75">
      <c r="A762" s="45"/>
      <c r="B762" s="46"/>
      <c r="C762" s="45"/>
      <c r="D762" s="43"/>
      <c r="E762" s="43"/>
      <c r="F762" s="43"/>
      <c r="G762" s="43"/>
      <c r="H762" s="43"/>
      <c r="I762" s="44"/>
      <c r="J762" s="43"/>
      <c r="K762" s="117"/>
      <c r="L762" s="37"/>
      <c r="M762" s="38"/>
      <c r="N762" s="40"/>
      <c r="O762" s="40"/>
      <c r="P762" s="39"/>
      <c r="Q762" s="39"/>
    </row>
    <row r="763" spans="1:17" ht="15.75">
      <c r="A763" s="45"/>
      <c r="B763" s="46"/>
      <c r="C763" s="45"/>
      <c r="D763" s="43"/>
      <c r="E763" s="43"/>
      <c r="F763" s="43"/>
      <c r="G763" s="43"/>
      <c r="H763" s="43"/>
      <c r="I763" s="44"/>
      <c r="J763" s="43"/>
      <c r="K763" s="117"/>
      <c r="L763" s="37"/>
      <c r="M763" s="38"/>
      <c r="N763" s="40"/>
      <c r="O763" s="40"/>
      <c r="P763" s="39"/>
      <c r="Q763" s="39"/>
    </row>
    <row r="764" spans="1:17" ht="15.75">
      <c r="A764" s="45"/>
      <c r="B764" s="46"/>
      <c r="C764" s="45"/>
      <c r="D764" s="43"/>
      <c r="E764" s="43"/>
      <c r="F764" s="43"/>
      <c r="G764" s="43"/>
      <c r="H764" s="43"/>
      <c r="I764" s="44"/>
      <c r="J764" s="43"/>
      <c r="K764" s="117"/>
      <c r="L764" s="37"/>
      <c r="M764" s="38"/>
      <c r="N764" s="40"/>
      <c r="O764" s="40"/>
      <c r="P764" s="39"/>
      <c r="Q764" s="39"/>
    </row>
    <row r="765" spans="1:17" ht="15.75">
      <c r="A765" s="45"/>
      <c r="B765" s="46"/>
      <c r="C765" s="45"/>
      <c r="D765" s="43"/>
      <c r="E765" s="43"/>
      <c r="F765" s="43"/>
      <c r="G765" s="43"/>
      <c r="H765" s="43"/>
      <c r="I765" s="44"/>
      <c r="J765" s="43"/>
      <c r="K765" s="117"/>
      <c r="L765" s="37"/>
      <c r="M765" s="38"/>
      <c r="N765" s="40"/>
      <c r="O765" s="40"/>
      <c r="P765" s="39"/>
      <c r="Q765" s="39"/>
    </row>
    <row r="766" spans="1:17" ht="15.75">
      <c r="A766" s="45"/>
      <c r="B766" s="46"/>
      <c r="C766" s="45"/>
      <c r="D766" s="43"/>
      <c r="E766" s="43"/>
      <c r="F766" s="43"/>
      <c r="G766" s="43"/>
      <c r="H766" s="43"/>
      <c r="I766" s="44"/>
      <c r="J766" s="43"/>
      <c r="K766" s="117"/>
      <c r="L766" s="37"/>
      <c r="M766" s="38"/>
      <c r="N766" s="40"/>
      <c r="O766" s="40"/>
      <c r="P766" s="39"/>
      <c r="Q766" s="39"/>
    </row>
    <row r="767" spans="1:17" ht="15.75">
      <c r="A767" s="45"/>
      <c r="B767" s="46"/>
      <c r="C767" s="45"/>
      <c r="D767" s="43"/>
      <c r="E767" s="43"/>
      <c r="F767" s="43"/>
      <c r="G767" s="43"/>
      <c r="H767" s="43"/>
      <c r="I767" s="44"/>
      <c r="J767" s="43"/>
      <c r="K767" s="117"/>
      <c r="L767" s="37"/>
      <c r="M767" s="38"/>
      <c r="N767" s="40"/>
      <c r="O767" s="40"/>
      <c r="P767" s="39"/>
      <c r="Q767" s="39"/>
    </row>
    <row r="768" spans="1:17" ht="15.75">
      <c r="A768" s="45"/>
      <c r="B768" s="46"/>
      <c r="C768" s="45"/>
      <c r="D768" s="43"/>
      <c r="E768" s="43"/>
      <c r="F768" s="43"/>
      <c r="G768" s="43"/>
      <c r="H768" s="43"/>
      <c r="I768" s="44"/>
      <c r="J768" s="43"/>
      <c r="K768" s="117"/>
      <c r="L768" s="37"/>
      <c r="M768" s="38"/>
      <c r="N768" s="40"/>
      <c r="O768" s="40"/>
      <c r="P768" s="39"/>
      <c r="Q768" s="39"/>
    </row>
    <row r="769" spans="1:17" ht="15.75">
      <c r="A769" s="45"/>
      <c r="B769" s="46"/>
      <c r="C769" s="45"/>
      <c r="D769" s="43"/>
      <c r="E769" s="43"/>
      <c r="F769" s="43"/>
      <c r="G769" s="43"/>
      <c r="H769" s="43"/>
      <c r="I769" s="44"/>
      <c r="J769" s="43"/>
      <c r="K769" s="117"/>
      <c r="L769" s="37"/>
      <c r="M769" s="38"/>
      <c r="N769" s="40"/>
      <c r="O769" s="40"/>
      <c r="P769" s="39"/>
      <c r="Q769" s="39"/>
    </row>
    <row r="770" spans="1:17" ht="15.75">
      <c r="A770" s="45"/>
      <c r="B770" s="46"/>
      <c r="C770" s="45"/>
      <c r="D770" s="43"/>
      <c r="E770" s="43"/>
      <c r="F770" s="43"/>
      <c r="G770" s="43"/>
      <c r="H770" s="43"/>
      <c r="I770" s="44"/>
      <c r="J770" s="43"/>
      <c r="K770" s="117"/>
      <c r="L770" s="37"/>
      <c r="M770" s="38"/>
      <c r="N770" s="40"/>
      <c r="O770" s="40"/>
      <c r="P770" s="39"/>
      <c r="Q770" s="39"/>
    </row>
    <row r="771" spans="1:17" ht="15.75">
      <c r="A771" s="45"/>
      <c r="B771" s="46"/>
      <c r="C771" s="45"/>
      <c r="D771" s="43"/>
      <c r="E771" s="43"/>
      <c r="F771" s="43"/>
      <c r="G771" s="43"/>
      <c r="H771" s="43"/>
      <c r="I771" s="44"/>
      <c r="J771" s="43"/>
      <c r="K771" s="117"/>
      <c r="L771" s="37"/>
      <c r="M771" s="38"/>
      <c r="N771" s="40"/>
      <c r="O771" s="40"/>
      <c r="P771" s="39"/>
      <c r="Q771" s="39"/>
    </row>
    <row r="772" spans="1:17" ht="15.75">
      <c r="A772" s="45"/>
      <c r="B772" s="46"/>
      <c r="C772" s="45"/>
      <c r="D772" s="43"/>
      <c r="E772" s="43"/>
      <c r="F772" s="43"/>
      <c r="G772" s="43"/>
      <c r="H772" s="43"/>
      <c r="I772" s="44"/>
      <c r="J772" s="43"/>
      <c r="K772" s="117"/>
      <c r="L772" s="37"/>
      <c r="M772" s="38"/>
      <c r="N772" s="40"/>
      <c r="O772" s="40"/>
      <c r="P772" s="39"/>
      <c r="Q772" s="39"/>
    </row>
    <row r="773" spans="1:17" ht="15.75">
      <c r="A773" s="45"/>
      <c r="B773" s="46"/>
      <c r="C773" s="45"/>
      <c r="D773" s="43"/>
      <c r="E773" s="43"/>
      <c r="F773" s="43"/>
      <c r="G773" s="43"/>
      <c r="H773" s="43"/>
      <c r="I773" s="44"/>
      <c r="J773" s="43"/>
      <c r="K773" s="117"/>
      <c r="L773" s="37"/>
      <c r="M773" s="38"/>
      <c r="N773" s="40"/>
      <c r="O773" s="40"/>
      <c r="P773" s="39"/>
      <c r="Q773" s="39"/>
    </row>
    <row r="774" spans="1:17" ht="15.75">
      <c r="A774" s="45"/>
      <c r="B774" s="46"/>
      <c r="C774" s="45"/>
      <c r="D774" s="43"/>
      <c r="E774" s="43"/>
      <c r="F774" s="43"/>
      <c r="G774" s="43"/>
      <c r="H774" s="43"/>
      <c r="I774" s="44"/>
      <c r="J774" s="43"/>
      <c r="K774" s="117"/>
      <c r="L774" s="37"/>
      <c r="M774" s="38"/>
      <c r="N774" s="40"/>
      <c r="O774" s="40"/>
      <c r="P774" s="39"/>
      <c r="Q774" s="39"/>
    </row>
    <row r="775" spans="1:17" ht="15.75">
      <c r="A775" s="45"/>
      <c r="B775" s="46"/>
      <c r="C775" s="45"/>
      <c r="D775" s="43"/>
      <c r="E775" s="43"/>
      <c r="F775" s="43"/>
      <c r="G775" s="43"/>
      <c r="H775" s="43"/>
      <c r="I775" s="44"/>
      <c r="J775" s="43"/>
      <c r="K775" s="117"/>
      <c r="L775" s="37"/>
      <c r="M775" s="38"/>
      <c r="N775" s="40"/>
      <c r="O775" s="40"/>
      <c r="P775" s="39"/>
      <c r="Q775" s="39"/>
    </row>
    <row r="776" spans="1:17" ht="15.75">
      <c r="A776" s="45"/>
      <c r="B776" s="46"/>
      <c r="C776" s="45"/>
      <c r="D776" s="43"/>
      <c r="E776" s="43"/>
      <c r="F776" s="43"/>
      <c r="G776" s="43"/>
      <c r="H776" s="43"/>
      <c r="I776" s="44"/>
      <c r="J776" s="43"/>
      <c r="K776" s="117"/>
      <c r="L776" s="37"/>
      <c r="M776" s="38"/>
      <c r="N776" s="40"/>
      <c r="O776" s="40"/>
      <c r="P776" s="39"/>
      <c r="Q776" s="39"/>
    </row>
    <row r="777" spans="1:17" ht="15.75">
      <c r="A777" s="45"/>
      <c r="B777" s="46"/>
      <c r="C777" s="45"/>
      <c r="D777" s="43"/>
      <c r="E777" s="43"/>
      <c r="F777" s="43"/>
      <c r="G777" s="43"/>
      <c r="H777" s="43"/>
      <c r="I777" s="44"/>
      <c r="J777" s="43"/>
      <c r="K777" s="117"/>
      <c r="L777" s="37"/>
      <c r="M777" s="38"/>
      <c r="N777" s="40"/>
      <c r="O777" s="40"/>
      <c r="P777" s="39"/>
      <c r="Q777" s="39"/>
    </row>
    <row r="778" spans="1:17" ht="15.75">
      <c r="A778" s="45"/>
      <c r="B778" s="46"/>
      <c r="C778" s="45"/>
      <c r="D778" s="43"/>
      <c r="E778" s="43"/>
      <c r="F778" s="43"/>
      <c r="G778" s="43"/>
      <c r="H778" s="43"/>
      <c r="I778" s="44"/>
      <c r="J778" s="43"/>
      <c r="K778" s="117"/>
      <c r="L778" s="37"/>
      <c r="M778" s="38"/>
      <c r="N778" s="40"/>
      <c r="O778" s="40"/>
      <c r="P778" s="39"/>
      <c r="Q778" s="39"/>
    </row>
    <row r="779" spans="1:17" ht="15.75">
      <c r="A779" s="45"/>
      <c r="B779" s="46"/>
      <c r="C779" s="45"/>
      <c r="D779" s="43"/>
      <c r="E779" s="43"/>
      <c r="F779" s="43"/>
      <c r="G779" s="43"/>
      <c r="H779" s="43"/>
      <c r="I779" s="44"/>
      <c r="J779" s="43"/>
      <c r="K779" s="117"/>
      <c r="L779" s="37"/>
      <c r="M779" s="38"/>
      <c r="N779" s="40"/>
      <c r="O779" s="40"/>
      <c r="P779" s="39"/>
      <c r="Q779" s="39"/>
    </row>
    <row r="780" spans="1:17" ht="15.75">
      <c r="A780" s="45"/>
      <c r="B780" s="46"/>
      <c r="C780" s="45"/>
      <c r="D780" s="43"/>
      <c r="E780" s="43"/>
      <c r="F780" s="43"/>
      <c r="G780" s="43"/>
      <c r="H780" s="43"/>
      <c r="I780" s="44"/>
      <c r="J780" s="43"/>
      <c r="K780" s="117"/>
      <c r="L780" s="37"/>
      <c r="M780" s="38"/>
      <c r="N780" s="40"/>
      <c r="O780" s="40"/>
      <c r="P780" s="39"/>
      <c r="Q780" s="39"/>
    </row>
    <row r="781" spans="1:17" ht="15.75">
      <c r="A781" s="45"/>
      <c r="B781" s="46"/>
      <c r="C781" s="45"/>
      <c r="D781" s="43"/>
      <c r="E781" s="43"/>
      <c r="F781" s="43"/>
      <c r="G781" s="43"/>
      <c r="H781" s="43"/>
      <c r="I781" s="44"/>
      <c r="J781" s="43"/>
      <c r="K781" s="117"/>
      <c r="L781" s="37"/>
      <c r="M781" s="38"/>
      <c r="N781" s="40"/>
      <c r="O781" s="40"/>
      <c r="P781" s="39"/>
      <c r="Q781" s="39"/>
    </row>
    <row r="782" spans="1:17" ht="15.75">
      <c r="A782" s="45"/>
      <c r="B782" s="46"/>
      <c r="C782" s="45"/>
      <c r="D782" s="43"/>
      <c r="E782" s="43"/>
      <c r="F782" s="43"/>
      <c r="G782" s="43"/>
      <c r="H782" s="43"/>
      <c r="I782" s="44"/>
      <c r="J782" s="43"/>
      <c r="K782" s="117"/>
      <c r="L782" s="37"/>
      <c r="M782" s="38"/>
      <c r="N782" s="40"/>
      <c r="O782" s="40"/>
      <c r="P782" s="39"/>
      <c r="Q782" s="39"/>
    </row>
    <row r="783" spans="1:17" ht="15.75">
      <c r="A783" s="45"/>
      <c r="B783" s="46"/>
      <c r="C783" s="45"/>
      <c r="D783" s="43"/>
      <c r="E783" s="43"/>
      <c r="F783" s="43"/>
      <c r="G783" s="43"/>
      <c r="H783" s="43"/>
      <c r="I783" s="44"/>
      <c r="J783" s="43"/>
      <c r="K783" s="117"/>
      <c r="L783" s="37"/>
      <c r="M783" s="38"/>
      <c r="N783" s="40"/>
      <c r="O783" s="40"/>
      <c r="P783" s="39"/>
      <c r="Q783" s="39"/>
    </row>
    <row r="784" spans="1:17" ht="15.75">
      <c r="A784" s="45"/>
      <c r="B784" s="46"/>
      <c r="C784" s="45"/>
      <c r="D784" s="43"/>
      <c r="E784" s="43"/>
      <c r="F784" s="43"/>
      <c r="G784" s="43"/>
      <c r="H784" s="43"/>
      <c r="I784" s="44"/>
      <c r="J784" s="43"/>
      <c r="K784" s="117"/>
      <c r="L784" s="37"/>
      <c r="M784" s="38"/>
      <c r="N784" s="40"/>
      <c r="O784" s="40"/>
      <c r="P784" s="39"/>
      <c r="Q784" s="39"/>
    </row>
    <row r="785" spans="1:17" ht="15.75">
      <c r="A785" s="45"/>
      <c r="B785" s="46"/>
      <c r="C785" s="45"/>
      <c r="D785" s="43"/>
      <c r="E785" s="43"/>
      <c r="F785" s="43"/>
      <c r="G785" s="43"/>
      <c r="H785" s="43"/>
      <c r="I785" s="44"/>
      <c r="J785" s="43"/>
      <c r="K785" s="117"/>
      <c r="L785" s="37"/>
      <c r="M785" s="38"/>
      <c r="N785" s="40"/>
      <c r="O785" s="40"/>
      <c r="P785" s="39"/>
      <c r="Q785" s="39"/>
    </row>
    <row r="786" spans="1:17" ht="15.75">
      <c r="A786" s="45"/>
      <c r="B786" s="46"/>
      <c r="C786" s="45"/>
      <c r="D786" s="43"/>
      <c r="E786" s="43"/>
      <c r="F786" s="43"/>
      <c r="G786" s="43"/>
      <c r="H786" s="43"/>
      <c r="I786" s="44"/>
      <c r="J786" s="43"/>
      <c r="K786" s="117"/>
      <c r="L786" s="37"/>
      <c r="M786" s="38"/>
      <c r="N786" s="40"/>
      <c r="O786" s="40"/>
      <c r="P786" s="39"/>
      <c r="Q786" s="39"/>
    </row>
    <row r="787" spans="1:17" ht="15.75">
      <c r="A787" s="45"/>
      <c r="B787" s="46"/>
      <c r="C787" s="45"/>
      <c r="D787" s="43"/>
      <c r="E787" s="43"/>
      <c r="F787" s="43"/>
      <c r="G787" s="43"/>
      <c r="H787" s="43"/>
      <c r="I787" s="44"/>
      <c r="J787" s="43"/>
      <c r="K787" s="117"/>
      <c r="L787" s="37"/>
      <c r="M787" s="38"/>
      <c r="N787" s="40"/>
      <c r="O787" s="40"/>
      <c r="P787" s="39"/>
      <c r="Q787" s="39"/>
    </row>
    <row r="788" spans="1:17" ht="15.75">
      <c r="A788" s="45"/>
      <c r="B788" s="46"/>
      <c r="C788" s="45"/>
      <c r="D788" s="43"/>
      <c r="E788" s="43"/>
      <c r="F788" s="43"/>
      <c r="G788" s="43"/>
      <c r="H788" s="43"/>
      <c r="I788" s="44"/>
      <c r="J788" s="43"/>
      <c r="K788" s="117"/>
      <c r="L788" s="37"/>
      <c r="M788" s="38"/>
      <c r="N788" s="40"/>
      <c r="O788" s="40"/>
      <c r="P788" s="39"/>
      <c r="Q788" s="39"/>
    </row>
    <row r="789" spans="1:17" ht="15.75">
      <c r="A789" s="45"/>
      <c r="B789" s="46"/>
      <c r="C789" s="45"/>
      <c r="D789" s="43"/>
      <c r="E789" s="43"/>
      <c r="F789" s="43"/>
      <c r="G789" s="43"/>
      <c r="H789" s="43"/>
      <c r="I789" s="44"/>
      <c r="J789" s="43"/>
      <c r="K789" s="117"/>
      <c r="L789" s="37"/>
      <c r="M789" s="38"/>
      <c r="N789" s="40"/>
      <c r="O789" s="40"/>
      <c r="P789" s="39"/>
      <c r="Q789" s="39"/>
    </row>
    <row r="790" spans="1:17" ht="15.75">
      <c r="A790" s="45"/>
      <c r="B790" s="46"/>
      <c r="C790" s="45"/>
      <c r="D790" s="43"/>
      <c r="E790" s="43"/>
      <c r="F790" s="43"/>
      <c r="G790" s="43"/>
      <c r="H790" s="43"/>
      <c r="I790" s="44"/>
      <c r="J790" s="43"/>
      <c r="K790" s="117"/>
      <c r="L790" s="37"/>
      <c r="M790" s="38"/>
      <c r="N790" s="40"/>
      <c r="O790" s="40"/>
      <c r="P790" s="39"/>
      <c r="Q790" s="39"/>
    </row>
    <row r="791" spans="1:17" ht="15.75">
      <c r="A791" s="45"/>
      <c r="B791" s="46"/>
      <c r="C791" s="45"/>
      <c r="D791" s="43"/>
      <c r="E791" s="43"/>
      <c r="F791" s="43"/>
      <c r="G791" s="43"/>
      <c r="H791" s="43"/>
      <c r="I791" s="44"/>
      <c r="J791" s="43"/>
      <c r="K791" s="117"/>
      <c r="L791" s="37"/>
      <c r="M791" s="38"/>
      <c r="N791" s="40"/>
      <c r="O791" s="40"/>
      <c r="P791" s="39"/>
      <c r="Q791" s="39"/>
    </row>
    <row r="792" spans="1:17" ht="15.75">
      <c r="A792" s="45"/>
      <c r="B792" s="46"/>
      <c r="C792" s="45"/>
      <c r="D792" s="43"/>
      <c r="E792" s="43"/>
      <c r="F792" s="43"/>
      <c r="G792" s="43"/>
      <c r="H792" s="43"/>
      <c r="I792" s="44"/>
      <c r="J792" s="43"/>
      <c r="K792" s="117"/>
      <c r="L792" s="37"/>
      <c r="M792" s="38"/>
      <c r="N792" s="40"/>
      <c r="O792" s="40"/>
      <c r="P792" s="39"/>
      <c r="Q792" s="39"/>
    </row>
    <row r="793" spans="1:17" ht="15.75">
      <c r="A793" s="45"/>
      <c r="B793" s="46"/>
      <c r="C793" s="45"/>
      <c r="D793" s="43"/>
      <c r="E793" s="43"/>
      <c r="F793" s="43"/>
      <c r="G793" s="43"/>
      <c r="H793" s="43"/>
      <c r="I793" s="44"/>
      <c r="J793" s="43"/>
      <c r="K793" s="117"/>
      <c r="L793" s="37"/>
      <c r="M793" s="38"/>
      <c r="N793" s="40"/>
      <c r="O793" s="40"/>
      <c r="P793" s="39"/>
      <c r="Q793" s="39"/>
    </row>
    <row r="794" spans="1:17" ht="15.75">
      <c r="A794" s="45"/>
      <c r="B794" s="46"/>
      <c r="C794" s="45"/>
      <c r="D794" s="43"/>
      <c r="E794" s="43"/>
      <c r="F794" s="43"/>
      <c r="G794" s="43"/>
      <c r="H794" s="43"/>
      <c r="I794" s="44"/>
      <c r="J794" s="43"/>
      <c r="K794" s="117"/>
      <c r="L794" s="37"/>
      <c r="M794" s="38"/>
      <c r="N794" s="40"/>
      <c r="O794" s="40"/>
      <c r="P794" s="39"/>
      <c r="Q794" s="39"/>
    </row>
    <row r="795" spans="1:17" ht="15.75">
      <c r="A795" s="45"/>
      <c r="B795" s="46"/>
      <c r="C795" s="45"/>
      <c r="D795" s="43"/>
      <c r="E795" s="43"/>
      <c r="F795" s="43"/>
      <c r="G795" s="43"/>
      <c r="H795" s="43"/>
      <c r="I795" s="44"/>
      <c r="J795" s="43"/>
      <c r="K795" s="117"/>
      <c r="L795" s="37"/>
      <c r="M795" s="38"/>
      <c r="N795" s="40"/>
      <c r="O795" s="40"/>
      <c r="P795" s="39"/>
      <c r="Q795" s="39"/>
    </row>
    <row r="796" spans="1:17" ht="15.75">
      <c r="A796" s="45"/>
      <c r="B796" s="46"/>
      <c r="C796" s="45"/>
      <c r="D796" s="43"/>
      <c r="E796" s="43"/>
      <c r="F796" s="43"/>
      <c r="G796" s="43"/>
      <c r="H796" s="43"/>
      <c r="I796" s="44"/>
      <c r="J796" s="43"/>
      <c r="K796" s="117"/>
      <c r="L796" s="37"/>
      <c r="M796" s="38"/>
      <c r="N796" s="40"/>
      <c r="O796" s="40"/>
      <c r="P796" s="39"/>
      <c r="Q796" s="39"/>
    </row>
    <row r="797" spans="1:17" ht="15.75">
      <c r="A797" s="45"/>
      <c r="B797" s="46"/>
      <c r="C797" s="45"/>
      <c r="D797" s="43"/>
      <c r="E797" s="43"/>
      <c r="F797" s="43"/>
      <c r="G797" s="43"/>
      <c r="H797" s="43"/>
      <c r="I797" s="44"/>
      <c r="J797" s="43"/>
      <c r="K797" s="117"/>
      <c r="L797" s="37"/>
      <c r="M797" s="38"/>
      <c r="N797" s="40"/>
      <c r="O797" s="40"/>
      <c r="P797" s="39"/>
      <c r="Q797" s="39"/>
    </row>
    <row r="798" spans="1:17" ht="15.75">
      <c r="A798" s="45"/>
      <c r="B798" s="46"/>
      <c r="C798" s="45"/>
      <c r="D798" s="43"/>
      <c r="E798" s="43"/>
      <c r="F798" s="43"/>
      <c r="G798" s="43"/>
      <c r="H798" s="43"/>
      <c r="I798" s="44"/>
      <c r="J798" s="43"/>
      <c r="K798" s="117"/>
      <c r="L798" s="37"/>
      <c r="M798" s="38"/>
      <c r="N798" s="40"/>
      <c r="O798" s="40"/>
      <c r="P798" s="39"/>
      <c r="Q798" s="39"/>
    </row>
    <row r="799" spans="1:17" ht="15.75">
      <c r="A799" s="45"/>
      <c r="B799" s="46"/>
      <c r="C799" s="45"/>
      <c r="D799" s="43"/>
      <c r="E799" s="43"/>
      <c r="F799" s="43"/>
      <c r="G799" s="43"/>
      <c r="H799" s="43"/>
      <c r="I799" s="44"/>
      <c r="J799" s="43"/>
      <c r="K799" s="117"/>
      <c r="L799" s="37"/>
      <c r="M799" s="38"/>
      <c r="N799" s="40"/>
      <c r="O799" s="40"/>
      <c r="P799" s="39"/>
      <c r="Q799" s="39"/>
    </row>
    <row r="800" spans="1:17" ht="15.75">
      <c r="A800" s="45"/>
      <c r="B800" s="46"/>
      <c r="C800" s="45"/>
      <c r="D800" s="43"/>
      <c r="E800" s="43"/>
      <c r="F800" s="43"/>
      <c r="G800" s="43"/>
      <c r="H800" s="43"/>
      <c r="I800" s="44"/>
      <c r="J800" s="43"/>
      <c r="K800" s="117"/>
      <c r="L800" s="37"/>
      <c r="M800" s="38"/>
      <c r="N800" s="40"/>
      <c r="O800" s="40"/>
      <c r="P800" s="39"/>
      <c r="Q800" s="39"/>
    </row>
    <row r="801" spans="1:17" ht="15.75">
      <c r="A801" s="45"/>
      <c r="B801" s="46"/>
      <c r="C801" s="45"/>
      <c r="D801" s="43"/>
      <c r="E801" s="43"/>
      <c r="F801" s="43"/>
      <c r="G801" s="43"/>
      <c r="H801" s="43"/>
      <c r="I801" s="44"/>
      <c r="J801" s="43"/>
      <c r="K801" s="117"/>
      <c r="L801" s="37"/>
      <c r="M801" s="38"/>
      <c r="N801" s="40"/>
      <c r="O801" s="40"/>
      <c r="P801" s="39"/>
      <c r="Q801" s="39"/>
    </row>
    <row r="802" spans="1:17" ht="15.75">
      <c r="A802" s="45"/>
      <c r="B802" s="46"/>
      <c r="C802" s="45"/>
      <c r="D802" s="43"/>
      <c r="E802" s="43"/>
      <c r="F802" s="43"/>
      <c r="G802" s="43"/>
      <c r="H802" s="43"/>
      <c r="I802" s="44"/>
      <c r="J802" s="43"/>
      <c r="K802" s="117"/>
      <c r="L802" s="37"/>
      <c r="M802" s="38"/>
      <c r="N802" s="40"/>
      <c r="O802" s="40"/>
      <c r="P802" s="39"/>
      <c r="Q802" s="39"/>
    </row>
    <row r="803" spans="1:17" ht="15.75">
      <c r="A803" s="45"/>
      <c r="B803" s="46"/>
      <c r="C803" s="45"/>
      <c r="D803" s="43"/>
      <c r="E803" s="43"/>
      <c r="F803" s="43"/>
      <c r="G803" s="43"/>
      <c r="H803" s="43"/>
      <c r="I803" s="44"/>
      <c r="J803" s="43"/>
      <c r="K803" s="117"/>
      <c r="L803" s="37"/>
      <c r="M803" s="38"/>
      <c r="N803" s="40"/>
      <c r="O803" s="40"/>
      <c r="P803" s="39"/>
      <c r="Q803" s="39"/>
    </row>
    <row r="804" spans="1:17" ht="15.75">
      <c r="A804" s="45"/>
      <c r="B804" s="46"/>
      <c r="C804" s="45"/>
      <c r="D804" s="43"/>
      <c r="E804" s="43"/>
      <c r="F804" s="43"/>
      <c r="G804" s="43"/>
      <c r="H804" s="43"/>
      <c r="I804" s="44"/>
      <c r="J804" s="43"/>
      <c r="K804" s="117"/>
      <c r="L804" s="37"/>
      <c r="M804" s="38"/>
      <c r="N804" s="40"/>
      <c r="O804" s="40"/>
      <c r="P804" s="39"/>
      <c r="Q804" s="39"/>
    </row>
    <row r="805" spans="1:17" ht="15.75">
      <c r="A805" s="45"/>
      <c r="B805" s="46"/>
      <c r="C805" s="45"/>
      <c r="D805" s="43"/>
      <c r="E805" s="43"/>
      <c r="F805" s="43"/>
      <c r="G805" s="43"/>
      <c r="H805" s="43"/>
      <c r="I805" s="44"/>
      <c r="J805" s="43"/>
      <c r="K805" s="117"/>
      <c r="L805" s="37"/>
      <c r="M805" s="38"/>
      <c r="N805" s="40"/>
      <c r="O805" s="40"/>
      <c r="P805" s="39"/>
      <c r="Q805" s="39"/>
    </row>
    <row r="806" spans="1:17" ht="15.75">
      <c r="A806" s="45"/>
      <c r="B806" s="46"/>
      <c r="C806" s="45"/>
      <c r="D806" s="43"/>
      <c r="E806" s="43"/>
      <c r="F806" s="43"/>
      <c r="G806" s="43"/>
      <c r="H806" s="43"/>
      <c r="I806" s="44"/>
      <c r="J806" s="43"/>
      <c r="K806" s="117"/>
      <c r="L806" s="37"/>
      <c r="M806" s="38"/>
      <c r="N806" s="40"/>
      <c r="O806" s="40"/>
      <c r="P806" s="39"/>
      <c r="Q806" s="39"/>
    </row>
    <row r="807" spans="1:17" ht="15.75">
      <c r="A807" s="45"/>
      <c r="B807" s="46"/>
      <c r="C807" s="45"/>
      <c r="D807" s="43"/>
      <c r="E807" s="43"/>
      <c r="F807" s="43"/>
      <c r="G807" s="43"/>
      <c r="H807" s="43"/>
      <c r="I807" s="44"/>
      <c r="J807" s="43"/>
      <c r="K807" s="117"/>
      <c r="L807" s="37"/>
      <c r="M807" s="38"/>
      <c r="N807" s="40"/>
      <c r="O807" s="40"/>
      <c r="P807" s="39"/>
      <c r="Q807" s="39"/>
    </row>
    <row r="808" spans="1:17" ht="15.75">
      <c r="A808" s="45"/>
      <c r="B808" s="46"/>
      <c r="C808" s="45"/>
      <c r="D808" s="43"/>
      <c r="E808" s="43"/>
      <c r="F808" s="43"/>
      <c r="G808" s="43"/>
      <c r="H808" s="43"/>
      <c r="I808" s="44"/>
      <c r="J808" s="43"/>
      <c r="K808" s="117"/>
      <c r="L808" s="37"/>
      <c r="M808" s="38"/>
      <c r="N808" s="40"/>
      <c r="O808" s="40"/>
      <c r="P808" s="39"/>
      <c r="Q808" s="39"/>
    </row>
    <row r="809" spans="1:17" ht="15.75">
      <c r="A809" s="45"/>
      <c r="B809" s="46"/>
      <c r="C809" s="45"/>
      <c r="D809" s="43"/>
      <c r="E809" s="43"/>
      <c r="F809" s="43"/>
      <c r="G809" s="43"/>
      <c r="H809" s="43"/>
      <c r="I809" s="44"/>
      <c r="J809" s="43"/>
      <c r="K809" s="117"/>
      <c r="L809" s="37"/>
      <c r="M809" s="38"/>
      <c r="N809" s="40"/>
      <c r="O809" s="40"/>
      <c r="P809" s="39"/>
      <c r="Q809" s="39"/>
    </row>
    <row r="810" spans="1:17" ht="15.75">
      <c r="A810" s="45"/>
      <c r="B810" s="46"/>
      <c r="C810" s="45"/>
      <c r="D810" s="43"/>
      <c r="E810" s="43"/>
      <c r="F810" s="43"/>
      <c r="G810" s="43"/>
      <c r="H810" s="43"/>
      <c r="I810" s="44"/>
      <c r="J810" s="43"/>
      <c r="K810" s="117"/>
      <c r="L810" s="37"/>
      <c r="M810" s="38"/>
      <c r="N810" s="40"/>
      <c r="O810" s="40"/>
      <c r="P810" s="39"/>
      <c r="Q810" s="39"/>
    </row>
    <row r="811" spans="1:17" ht="15.75">
      <c r="A811" s="45"/>
      <c r="B811" s="46"/>
      <c r="C811" s="45"/>
      <c r="D811" s="43"/>
      <c r="E811" s="43"/>
      <c r="F811" s="43"/>
      <c r="G811" s="43"/>
      <c r="H811" s="43"/>
      <c r="I811" s="44"/>
      <c r="J811" s="43"/>
      <c r="K811" s="117"/>
      <c r="L811" s="37"/>
      <c r="M811" s="38"/>
      <c r="N811" s="40"/>
      <c r="O811" s="40"/>
      <c r="P811" s="39"/>
      <c r="Q811" s="39"/>
    </row>
    <row r="812" spans="1:17" ht="15.75">
      <c r="A812" s="45"/>
      <c r="B812" s="46"/>
      <c r="C812" s="45"/>
      <c r="D812" s="43"/>
      <c r="E812" s="43"/>
      <c r="F812" s="43"/>
      <c r="G812" s="43"/>
      <c r="H812" s="43"/>
      <c r="I812" s="44"/>
      <c r="J812" s="43"/>
      <c r="K812" s="117"/>
      <c r="L812" s="37"/>
      <c r="M812" s="38"/>
      <c r="N812" s="40"/>
      <c r="O812" s="40"/>
      <c r="P812" s="39"/>
      <c r="Q812" s="39"/>
    </row>
    <row r="813" spans="1:17" ht="15.75">
      <c r="A813" s="45"/>
      <c r="B813" s="46"/>
      <c r="C813" s="45"/>
      <c r="D813" s="43"/>
      <c r="E813" s="43"/>
      <c r="F813" s="43"/>
      <c r="G813" s="43"/>
      <c r="H813" s="43"/>
      <c r="I813" s="44"/>
      <c r="J813" s="43"/>
      <c r="K813" s="117"/>
      <c r="L813" s="37"/>
      <c r="M813" s="38"/>
      <c r="N813" s="40"/>
      <c r="O813" s="40"/>
      <c r="P813" s="39"/>
      <c r="Q813" s="39"/>
    </row>
    <row r="814" spans="1:17" ht="15.75">
      <c r="A814" s="45"/>
      <c r="B814" s="46"/>
      <c r="C814" s="45"/>
      <c r="D814" s="43"/>
      <c r="E814" s="43"/>
      <c r="F814" s="43"/>
      <c r="G814" s="43"/>
      <c r="H814" s="43"/>
      <c r="I814" s="44"/>
      <c r="J814" s="43"/>
      <c r="K814" s="117"/>
      <c r="L814" s="37"/>
      <c r="M814" s="38"/>
      <c r="N814" s="40"/>
      <c r="O814" s="40"/>
      <c r="P814" s="39"/>
      <c r="Q814" s="39"/>
    </row>
    <row r="815" spans="1:17" ht="15.75">
      <c r="A815" s="45"/>
      <c r="B815" s="46"/>
      <c r="C815" s="45"/>
      <c r="D815" s="43"/>
      <c r="E815" s="43"/>
      <c r="F815" s="43"/>
      <c r="G815" s="43"/>
      <c r="H815" s="43"/>
      <c r="I815" s="44"/>
      <c r="J815" s="43"/>
      <c r="K815" s="117"/>
      <c r="L815" s="37"/>
      <c r="M815" s="38"/>
      <c r="N815" s="40"/>
      <c r="O815" s="40"/>
      <c r="P815" s="39"/>
      <c r="Q815" s="39"/>
    </row>
    <row r="816" spans="1:17" ht="15.75">
      <c r="A816" s="45"/>
      <c r="B816" s="46"/>
      <c r="C816" s="45"/>
      <c r="D816" s="43"/>
      <c r="E816" s="43"/>
      <c r="F816" s="43"/>
      <c r="G816" s="43"/>
      <c r="H816" s="43"/>
      <c r="I816" s="44"/>
      <c r="J816" s="43"/>
      <c r="K816" s="117"/>
      <c r="L816" s="37"/>
      <c r="M816" s="38"/>
      <c r="N816" s="40"/>
      <c r="O816" s="40"/>
      <c r="P816" s="39"/>
      <c r="Q816" s="39"/>
    </row>
    <row r="817" spans="1:17" ht="15.75">
      <c r="A817" s="45"/>
      <c r="B817" s="46"/>
      <c r="C817" s="45"/>
      <c r="D817" s="43"/>
      <c r="E817" s="43"/>
      <c r="F817" s="43"/>
      <c r="G817" s="43"/>
      <c r="H817" s="43"/>
      <c r="I817" s="44"/>
      <c r="J817" s="43"/>
      <c r="K817" s="117"/>
      <c r="L817" s="37"/>
      <c r="M817" s="38"/>
      <c r="N817" s="40"/>
      <c r="O817" s="40"/>
      <c r="P817" s="39"/>
      <c r="Q817" s="39"/>
    </row>
    <row r="818" spans="1:17" ht="15.75">
      <c r="A818" s="45"/>
      <c r="B818" s="46"/>
      <c r="C818" s="45"/>
      <c r="D818" s="43"/>
      <c r="E818" s="43"/>
      <c r="F818" s="43"/>
      <c r="G818" s="43"/>
      <c r="H818" s="43"/>
      <c r="I818" s="44"/>
      <c r="J818" s="43"/>
      <c r="K818" s="117"/>
      <c r="L818" s="37"/>
      <c r="M818" s="38"/>
      <c r="N818" s="40"/>
      <c r="O818" s="40"/>
      <c r="P818" s="39"/>
      <c r="Q818" s="39"/>
    </row>
    <row r="819" spans="1:17" ht="15.75">
      <c r="A819" s="45"/>
      <c r="B819" s="46"/>
      <c r="C819" s="45"/>
      <c r="D819" s="43"/>
      <c r="E819" s="43"/>
      <c r="F819" s="43"/>
      <c r="G819" s="43"/>
      <c r="H819" s="43"/>
      <c r="I819" s="44"/>
      <c r="J819" s="43"/>
      <c r="K819" s="117"/>
      <c r="L819" s="37"/>
      <c r="M819" s="38"/>
      <c r="N819" s="40"/>
      <c r="O819" s="40"/>
      <c r="P819" s="39"/>
      <c r="Q819" s="39"/>
    </row>
    <row r="820" spans="1:17" ht="15.75">
      <c r="A820" s="45"/>
      <c r="B820" s="46"/>
      <c r="C820" s="45"/>
      <c r="D820" s="43"/>
      <c r="E820" s="43"/>
      <c r="F820" s="43"/>
      <c r="G820" s="43"/>
      <c r="H820" s="43"/>
      <c r="I820" s="44"/>
      <c r="J820" s="43"/>
      <c r="K820" s="117"/>
      <c r="L820" s="37"/>
      <c r="M820" s="38"/>
      <c r="N820" s="40"/>
      <c r="O820" s="40"/>
      <c r="P820" s="39"/>
      <c r="Q820" s="39"/>
    </row>
    <row r="821" spans="1:17" ht="15.75">
      <c r="A821" s="45"/>
      <c r="B821" s="46"/>
      <c r="C821" s="45"/>
      <c r="D821" s="43"/>
      <c r="E821" s="43"/>
      <c r="F821" s="43"/>
      <c r="G821" s="43"/>
      <c r="H821" s="43"/>
      <c r="I821" s="44"/>
      <c r="J821" s="43"/>
      <c r="K821" s="117"/>
      <c r="L821" s="37"/>
      <c r="M821" s="38"/>
      <c r="N821" s="40"/>
      <c r="O821" s="40"/>
      <c r="P821" s="39"/>
      <c r="Q821" s="39"/>
    </row>
    <row r="822" spans="1:17" ht="15.75">
      <c r="A822" s="45"/>
      <c r="B822" s="46"/>
      <c r="C822" s="45"/>
      <c r="D822" s="43"/>
      <c r="E822" s="43"/>
      <c r="F822" s="43"/>
      <c r="G822" s="43"/>
      <c r="H822" s="43"/>
      <c r="I822" s="44"/>
      <c r="J822" s="43"/>
      <c r="K822" s="117"/>
      <c r="L822" s="37"/>
      <c r="M822" s="38"/>
      <c r="N822" s="40"/>
      <c r="O822" s="40"/>
      <c r="P822" s="39"/>
      <c r="Q822" s="39"/>
    </row>
    <row r="823" spans="1:17" ht="15.75">
      <c r="A823" s="45"/>
      <c r="B823" s="46"/>
      <c r="C823" s="45"/>
      <c r="D823" s="43"/>
      <c r="E823" s="43"/>
      <c r="F823" s="43"/>
      <c r="G823" s="43"/>
      <c r="H823" s="43"/>
      <c r="I823" s="44"/>
      <c r="J823" s="43"/>
      <c r="K823" s="117"/>
      <c r="L823" s="37"/>
      <c r="M823" s="38"/>
      <c r="N823" s="40"/>
      <c r="O823" s="40"/>
      <c r="P823" s="39"/>
      <c r="Q823" s="39"/>
    </row>
    <row r="824" spans="1:17" ht="15.75">
      <c r="A824" s="45"/>
      <c r="B824" s="46"/>
      <c r="C824" s="45"/>
      <c r="D824" s="43"/>
      <c r="E824" s="43"/>
      <c r="F824" s="43"/>
      <c r="G824" s="43"/>
      <c r="H824" s="43"/>
      <c r="I824" s="44"/>
      <c r="J824" s="43"/>
      <c r="K824" s="117"/>
      <c r="L824" s="37"/>
      <c r="M824" s="38"/>
      <c r="N824" s="40"/>
      <c r="O824" s="40"/>
      <c r="P824" s="39"/>
      <c r="Q824" s="39"/>
    </row>
    <row r="825" spans="1:17" ht="15.75">
      <c r="A825" s="45"/>
      <c r="B825" s="46"/>
      <c r="C825" s="45"/>
      <c r="D825" s="43"/>
      <c r="E825" s="43"/>
      <c r="F825" s="43"/>
      <c r="G825" s="43"/>
      <c r="H825" s="43"/>
      <c r="I825" s="44"/>
      <c r="J825" s="43"/>
      <c r="K825" s="117"/>
      <c r="L825" s="37"/>
      <c r="M825" s="38"/>
      <c r="N825" s="40"/>
      <c r="O825" s="40"/>
      <c r="P825" s="39"/>
      <c r="Q825" s="39"/>
    </row>
    <row r="826" spans="1:17" ht="15.75">
      <c r="A826" s="45"/>
      <c r="B826" s="46"/>
      <c r="C826" s="45"/>
      <c r="D826" s="43"/>
      <c r="E826" s="43"/>
      <c r="F826" s="43"/>
      <c r="G826" s="43"/>
      <c r="H826" s="43"/>
      <c r="I826" s="44"/>
      <c r="J826" s="43"/>
      <c r="K826" s="117"/>
      <c r="L826" s="37"/>
      <c r="M826" s="38"/>
      <c r="N826" s="40"/>
      <c r="O826" s="40"/>
      <c r="P826" s="39"/>
      <c r="Q826" s="39"/>
    </row>
    <row r="827" spans="1:17" ht="15.75">
      <c r="A827" s="45"/>
      <c r="B827" s="46"/>
      <c r="C827" s="45"/>
      <c r="D827" s="43"/>
      <c r="E827" s="43"/>
      <c r="F827" s="43"/>
      <c r="G827" s="43"/>
      <c r="H827" s="43"/>
      <c r="I827" s="44"/>
      <c r="J827" s="43"/>
      <c r="K827" s="117"/>
      <c r="L827" s="37"/>
      <c r="M827" s="38"/>
      <c r="N827" s="40"/>
      <c r="O827" s="40"/>
      <c r="P827" s="39"/>
      <c r="Q827" s="39"/>
    </row>
    <row r="828" spans="1:17" ht="15.75">
      <c r="A828" s="45"/>
      <c r="B828" s="46"/>
      <c r="C828" s="45"/>
      <c r="D828" s="43"/>
      <c r="E828" s="43"/>
      <c r="F828" s="43"/>
      <c r="G828" s="43"/>
      <c r="H828" s="43"/>
      <c r="I828" s="44"/>
      <c r="J828" s="43"/>
      <c r="K828" s="117"/>
      <c r="L828" s="37"/>
      <c r="M828" s="38"/>
      <c r="N828" s="40"/>
      <c r="O828" s="40"/>
      <c r="P828" s="39"/>
      <c r="Q828" s="39"/>
    </row>
    <row r="829" spans="1:17" ht="15.75">
      <c r="A829" s="45"/>
      <c r="B829" s="46"/>
      <c r="C829" s="45"/>
      <c r="D829" s="43"/>
      <c r="E829" s="43"/>
      <c r="F829" s="43"/>
      <c r="G829" s="43"/>
      <c r="H829" s="43"/>
      <c r="I829" s="44"/>
      <c r="J829" s="43"/>
      <c r="K829" s="117"/>
      <c r="L829" s="37"/>
      <c r="M829" s="38"/>
      <c r="N829" s="40"/>
      <c r="O829" s="40"/>
      <c r="P829" s="39"/>
      <c r="Q829" s="39"/>
    </row>
    <row r="830" spans="1:17" ht="15.75">
      <c r="A830" s="45"/>
      <c r="B830" s="46"/>
      <c r="C830" s="45"/>
      <c r="D830" s="43"/>
      <c r="E830" s="43"/>
      <c r="F830" s="43"/>
      <c r="G830" s="43"/>
      <c r="H830" s="43"/>
      <c r="I830" s="44"/>
      <c r="J830" s="43"/>
      <c r="K830" s="117"/>
      <c r="L830" s="37"/>
      <c r="M830" s="38"/>
      <c r="N830" s="40"/>
      <c r="O830" s="40"/>
      <c r="P830" s="39"/>
      <c r="Q830" s="39"/>
    </row>
    <row r="831" spans="1:17" ht="15.75">
      <c r="A831" s="45"/>
      <c r="B831" s="46"/>
      <c r="C831" s="45"/>
      <c r="D831" s="43"/>
      <c r="E831" s="43"/>
      <c r="F831" s="43"/>
      <c r="G831" s="43"/>
      <c r="H831" s="43"/>
      <c r="I831" s="44"/>
      <c r="J831" s="43"/>
      <c r="K831" s="117"/>
      <c r="L831" s="37"/>
      <c r="M831" s="38"/>
      <c r="N831" s="40"/>
      <c r="O831" s="40"/>
      <c r="P831" s="39"/>
      <c r="Q831" s="39"/>
    </row>
    <row r="832" spans="1:17" ht="15.75">
      <c r="A832" s="45"/>
      <c r="B832" s="46"/>
      <c r="C832" s="45"/>
      <c r="D832" s="43"/>
      <c r="E832" s="43"/>
      <c r="F832" s="43"/>
      <c r="G832" s="43"/>
      <c r="H832" s="43"/>
      <c r="I832" s="44"/>
      <c r="J832" s="43"/>
      <c r="K832" s="117"/>
      <c r="L832" s="37"/>
      <c r="M832" s="38"/>
      <c r="N832" s="40"/>
      <c r="O832" s="40"/>
      <c r="P832" s="39"/>
      <c r="Q832" s="39"/>
    </row>
    <row r="833" spans="1:17" ht="15.75">
      <c r="A833" s="45"/>
      <c r="B833" s="46"/>
      <c r="C833" s="45"/>
      <c r="D833" s="43"/>
      <c r="E833" s="43"/>
      <c r="F833" s="43"/>
      <c r="G833" s="43"/>
      <c r="H833" s="43"/>
      <c r="I833" s="44"/>
      <c r="J833" s="43"/>
      <c r="K833" s="117"/>
      <c r="L833" s="37"/>
      <c r="M833" s="38"/>
      <c r="N833" s="40"/>
      <c r="O833" s="40"/>
      <c r="P833" s="39"/>
      <c r="Q833" s="39"/>
    </row>
    <row r="834" spans="1:17" ht="15.75">
      <c r="A834" s="45"/>
      <c r="B834" s="46"/>
      <c r="C834" s="45"/>
      <c r="D834" s="43"/>
      <c r="E834" s="43"/>
      <c r="F834" s="43"/>
      <c r="G834" s="43"/>
      <c r="H834" s="43"/>
      <c r="I834" s="44"/>
      <c r="J834" s="43"/>
      <c r="K834" s="117"/>
      <c r="L834" s="37"/>
      <c r="M834" s="38"/>
      <c r="N834" s="40"/>
      <c r="O834" s="40"/>
      <c r="P834" s="39"/>
      <c r="Q834" s="39"/>
    </row>
    <row r="835" spans="1:17" ht="15.75">
      <c r="A835" s="45"/>
      <c r="B835" s="46"/>
      <c r="C835" s="45"/>
      <c r="D835" s="43"/>
      <c r="E835" s="43"/>
      <c r="F835" s="43"/>
      <c r="G835" s="43"/>
      <c r="H835" s="43"/>
      <c r="I835" s="44"/>
      <c r="J835" s="43"/>
      <c r="K835" s="117"/>
      <c r="L835" s="37"/>
      <c r="M835" s="38"/>
      <c r="N835" s="40"/>
      <c r="O835" s="40"/>
      <c r="P835" s="39"/>
      <c r="Q835" s="39"/>
    </row>
    <row r="836" spans="1:17" ht="15.75">
      <c r="A836" s="45"/>
      <c r="B836" s="46"/>
      <c r="C836" s="45"/>
      <c r="D836" s="43"/>
      <c r="E836" s="43"/>
      <c r="F836" s="43"/>
      <c r="G836" s="43"/>
      <c r="H836" s="43"/>
      <c r="I836" s="44"/>
      <c r="J836" s="43"/>
      <c r="K836" s="117"/>
      <c r="L836" s="37"/>
      <c r="M836" s="38"/>
      <c r="N836" s="40"/>
      <c r="O836" s="40"/>
      <c r="P836" s="39"/>
      <c r="Q836" s="39"/>
    </row>
    <row r="837" spans="1:17" ht="15.75">
      <c r="A837" s="45"/>
      <c r="B837" s="46"/>
      <c r="C837" s="45"/>
      <c r="D837" s="43"/>
      <c r="E837" s="43"/>
      <c r="F837" s="43"/>
      <c r="G837" s="43"/>
      <c r="H837" s="43"/>
      <c r="I837" s="44"/>
      <c r="J837" s="43"/>
      <c r="K837" s="117"/>
      <c r="L837" s="37"/>
      <c r="M837" s="38"/>
      <c r="N837" s="40"/>
      <c r="O837" s="40"/>
      <c r="P837" s="39"/>
      <c r="Q837" s="39"/>
    </row>
    <row r="838" spans="1:17" ht="15.75">
      <c r="A838" s="45"/>
      <c r="B838" s="46"/>
      <c r="C838" s="45"/>
      <c r="D838" s="43"/>
      <c r="E838" s="43"/>
      <c r="F838" s="43"/>
      <c r="G838" s="43"/>
      <c r="H838" s="43"/>
      <c r="I838" s="44"/>
      <c r="J838" s="43"/>
      <c r="K838" s="117"/>
      <c r="L838" s="37"/>
      <c r="M838" s="38"/>
      <c r="N838" s="40"/>
      <c r="O838" s="40"/>
      <c r="P838" s="39"/>
      <c r="Q838" s="39"/>
    </row>
    <row r="839" spans="1:17" ht="15.75">
      <c r="A839" s="45"/>
      <c r="B839" s="46"/>
      <c r="C839" s="45"/>
      <c r="D839" s="43"/>
      <c r="E839" s="43"/>
      <c r="F839" s="43"/>
      <c r="G839" s="43"/>
      <c r="H839" s="43"/>
      <c r="I839" s="44"/>
      <c r="J839" s="43"/>
      <c r="K839" s="117"/>
      <c r="L839" s="37"/>
      <c r="M839" s="38"/>
      <c r="N839" s="40"/>
      <c r="O839" s="40"/>
      <c r="P839" s="39"/>
      <c r="Q839" s="39"/>
    </row>
    <row r="840" spans="1:17" ht="15.75">
      <c r="A840" s="45"/>
      <c r="B840" s="46"/>
      <c r="C840" s="45"/>
      <c r="D840" s="43"/>
      <c r="E840" s="43"/>
      <c r="F840" s="43"/>
      <c r="G840" s="43"/>
      <c r="H840" s="43"/>
      <c r="I840" s="44"/>
      <c r="J840" s="43"/>
      <c r="K840" s="117"/>
      <c r="L840" s="37"/>
      <c r="M840" s="38"/>
      <c r="N840" s="40"/>
      <c r="O840" s="40"/>
      <c r="P840" s="39"/>
      <c r="Q840" s="39"/>
    </row>
    <row r="841" spans="1:17" ht="15.75">
      <c r="A841" s="45"/>
      <c r="B841" s="46"/>
      <c r="C841" s="45"/>
      <c r="D841" s="43"/>
      <c r="E841" s="43"/>
      <c r="F841" s="43"/>
      <c r="G841" s="43"/>
      <c r="H841" s="43"/>
      <c r="I841" s="44"/>
      <c r="J841" s="43"/>
      <c r="K841" s="117"/>
      <c r="L841" s="37"/>
      <c r="M841" s="38"/>
      <c r="N841" s="40"/>
      <c r="O841" s="40"/>
      <c r="P841" s="39"/>
      <c r="Q841" s="39"/>
    </row>
    <row r="842" spans="1:17" ht="15.75">
      <c r="A842" s="45"/>
      <c r="B842" s="46"/>
      <c r="C842" s="45"/>
      <c r="D842" s="43"/>
      <c r="E842" s="43"/>
      <c r="F842" s="43"/>
      <c r="G842" s="43"/>
      <c r="H842" s="43"/>
      <c r="I842" s="44"/>
      <c r="J842" s="43"/>
      <c r="K842" s="117"/>
      <c r="L842" s="37"/>
      <c r="M842" s="38"/>
      <c r="N842" s="40"/>
      <c r="O842" s="40"/>
      <c r="P842" s="39"/>
      <c r="Q842" s="39"/>
    </row>
    <row r="843" spans="1:17" ht="15.75">
      <c r="A843" s="45"/>
      <c r="B843" s="46"/>
      <c r="C843" s="45"/>
      <c r="D843" s="43"/>
      <c r="E843" s="43"/>
      <c r="F843" s="43"/>
      <c r="G843" s="43"/>
      <c r="H843" s="43"/>
      <c r="I843" s="44"/>
      <c r="J843" s="43"/>
      <c r="K843" s="117"/>
      <c r="L843" s="37"/>
      <c r="M843" s="38"/>
      <c r="N843" s="40"/>
      <c r="O843" s="40"/>
      <c r="P843" s="39"/>
      <c r="Q843" s="39"/>
    </row>
    <row r="844" spans="1:17" ht="15.75">
      <c r="A844" s="45"/>
      <c r="B844" s="46"/>
      <c r="C844" s="45"/>
      <c r="D844" s="43"/>
      <c r="E844" s="43"/>
      <c r="F844" s="43"/>
      <c r="G844" s="43"/>
      <c r="H844" s="43"/>
      <c r="I844" s="44"/>
      <c r="J844" s="43"/>
      <c r="K844" s="117"/>
      <c r="L844" s="37"/>
      <c r="M844" s="38"/>
      <c r="N844" s="40"/>
      <c r="O844" s="40"/>
      <c r="P844" s="39"/>
      <c r="Q844" s="39"/>
    </row>
    <row r="845" spans="1:17" ht="15.75">
      <c r="A845" s="45"/>
      <c r="B845" s="46"/>
      <c r="C845" s="45"/>
      <c r="D845" s="43"/>
      <c r="E845" s="43"/>
      <c r="F845" s="43"/>
      <c r="G845" s="43"/>
      <c r="H845" s="43"/>
      <c r="I845" s="44"/>
      <c r="J845" s="43"/>
      <c r="K845" s="117"/>
      <c r="L845" s="37"/>
      <c r="M845" s="38"/>
      <c r="N845" s="40"/>
      <c r="O845" s="40"/>
      <c r="P845" s="39"/>
      <c r="Q845" s="39"/>
    </row>
    <row r="846" spans="1:17" ht="15.75">
      <c r="A846" s="45"/>
      <c r="B846" s="46"/>
      <c r="C846" s="45"/>
      <c r="D846" s="43"/>
      <c r="E846" s="43"/>
      <c r="F846" s="43"/>
      <c r="G846" s="43"/>
      <c r="H846" s="43"/>
      <c r="I846" s="44"/>
      <c r="J846" s="43"/>
      <c r="K846" s="117"/>
      <c r="L846" s="37"/>
      <c r="M846" s="38"/>
      <c r="N846" s="40"/>
      <c r="O846" s="40"/>
      <c r="P846" s="39"/>
      <c r="Q846" s="39"/>
    </row>
    <row r="847" spans="1:17" ht="15.75">
      <c r="A847" s="45"/>
      <c r="B847" s="46"/>
      <c r="C847" s="45"/>
      <c r="D847" s="43"/>
      <c r="E847" s="43"/>
      <c r="F847" s="43"/>
      <c r="G847" s="43"/>
      <c r="H847" s="43"/>
      <c r="I847" s="44"/>
      <c r="J847" s="43"/>
      <c r="K847" s="117"/>
      <c r="L847" s="37"/>
      <c r="M847" s="38"/>
      <c r="N847" s="40"/>
      <c r="O847" s="40"/>
      <c r="P847" s="39"/>
      <c r="Q847" s="39"/>
    </row>
    <row r="848" spans="1:17" ht="15.75">
      <c r="A848" s="45"/>
      <c r="B848" s="46"/>
      <c r="C848" s="45"/>
      <c r="D848" s="43"/>
      <c r="E848" s="43"/>
      <c r="F848" s="43"/>
      <c r="G848" s="43"/>
      <c r="H848" s="43"/>
      <c r="I848" s="44"/>
      <c r="J848" s="43"/>
      <c r="K848" s="117"/>
      <c r="L848" s="37"/>
      <c r="M848" s="38"/>
      <c r="N848" s="40"/>
      <c r="O848" s="40"/>
      <c r="P848" s="39"/>
      <c r="Q848" s="39"/>
    </row>
    <row r="849" spans="1:17" ht="15.75">
      <c r="A849" s="45"/>
      <c r="B849" s="46"/>
      <c r="C849" s="45"/>
      <c r="D849" s="43"/>
      <c r="E849" s="43"/>
      <c r="F849" s="43"/>
      <c r="G849" s="43"/>
      <c r="H849" s="43"/>
      <c r="I849" s="44"/>
      <c r="J849" s="43"/>
      <c r="K849" s="117"/>
      <c r="L849" s="37"/>
      <c r="M849" s="38"/>
      <c r="N849" s="40"/>
      <c r="O849" s="40"/>
      <c r="P849" s="39"/>
      <c r="Q849" s="39"/>
    </row>
    <row r="850" spans="1:17" ht="15.75">
      <c r="A850" s="45"/>
      <c r="B850" s="46"/>
      <c r="C850" s="45"/>
      <c r="D850" s="43"/>
      <c r="E850" s="43"/>
      <c r="F850" s="43"/>
      <c r="G850" s="43"/>
      <c r="H850" s="43"/>
      <c r="I850" s="44"/>
      <c r="J850" s="43"/>
      <c r="K850" s="117"/>
      <c r="L850" s="37"/>
      <c r="M850" s="38"/>
      <c r="N850" s="40"/>
      <c r="O850" s="40"/>
      <c r="P850" s="39"/>
      <c r="Q850" s="39"/>
    </row>
    <row r="851" spans="1:17" ht="15.75">
      <c r="A851" s="45"/>
      <c r="B851" s="46"/>
      <c r="C851" s="45"/>
      <c r="D851" s="43"/>
      <c r="E851" s="43"/>
      <c r="F851" s="43"/>
      <c r="G851" s="43"/>
      <c r="H851" s="43"/>
      <c r="I851" s="44"/>
      <c r="J851" s="43"/>
      <c r="K851" s="117"/>
      <c r="L851" s="37"/>
      <c r="M851" s="38"/>
      <c r="N851" s="40"/>
      <c r="O851" s="40"/>
      <c r="P851" s="39"/>
      <c r="Q851" s="39"/>
    </row>
    <row r="852" spans="1:17" ht="15.75">
      <c r="A852" s="45"/>
      <c r="B852" s="46"/>
      <c r="C852" s="45"/>
      <c r="D852" s="43"/>
      <c r="E852" s="43"/>
      <c r="F852" s="43"/>
      <c r="G852" s="43"/>
      <c r="H852" s="43"/>
      <c r="I852" s="44"/>
      <c r="J852" s="43"/>
      <c r="K852" s="117"/>
      <c r="L852" s="37"/>
      <c r="M852" s="38"/>
      <c r="N852" s="40"/>
      <c r="O852" s="40"/>
      <c r="P852" s="39"/>
      <c r="Q852" s="39"/>
    </row>
    <row r="853" spans="1:17" ht="15.75">
      <c r="A853" s="45"/>
      <c r="B853" s="46"/>
      <c r="C853" s="45"/>
      <c r="D853" s="43"/>
      <c r="E853" s="43"/>
      <c r="F853" s="43"/>
      <c r="G853" s="43"/>
      <c r="H853" s="43"/>
      <c r="I853" s="44"/>
      <c r="J853" s="43"/>
      <c r="K853" s="117"/>
      <c r="L853" s="37"/>
      <c r="M853" s="38"/>
      <c r="N853" s="40"/>
      <c r="O853" s="40"/>
      <c r="P853" s="39"/>
      <c r="Q853" s="39"/>
    </row>
    <row r="854" spans="1:17" ht="15.75">
      <c r="A854" s="45"/>
      <c r="B854" s="46"/>
      <c r="C854" s="45"/>
      <c r="D854" s="43"/>
      <c r="E854" s="43"/>
      <c r="F854" s="43"/>
      <c r="G854" s="43"/>
      <c r="H854" s="43"/>
      <c r="I854" s="44"/>
      <c r="J854" s="43"/>
      <c r="K854" s="117"/>
      <c r="L854" s="37"/>
      <c r="M854" s="38"/>
      <c r="N854" s="40"/>
      <c r="O854" s="40"/>
      <c r="P854" s="39"/>
      <c r="Q854" s="39"/>
    </row>
    <row r="855" spans="1:17" ht="15.75">
      <c r="A855" s="45"/>
      <c r="B855" s="46"/>
      <c r="C855" s="45"/>
      <c r="D855" s="43"/>
      <c r="E855" s="43"/>
      <c r="F855" s="43"/>
      <c r="G855" s="43"/>
      <c r="H855" s="43"/>
      <c r="I855" s="44"/>
      <c r="J855" s="43"/>
      <c r="K855" s="117"/>
      <c r="L855" s="37"/>
      <c r="M855" s="38"/>
      <c r="N855" s="40"/>
      <c r="O855" s="40"/>
      <c r="P855" s="39"/>
      <c r="Q855" s="39"/>
    </row>
    <row r="856" spans="1:17" ht="15.75">
      <c r="A856" s="45"/>
      <c r="B856" s="46"/>
      <c r="C856" s="45"/>
      <c r="D856" s="43"/>
      <c r="E856" s="43"/>
      <c r="F856" s="43"/>
      <c r="G856" s="43"/>
      <c r="H856" s="43"/>
      <c r="I856" s="44"/>
      <c r="J856" s="43"/>
      <c r="K856" s="117"/>
      <c r="L856" s="37"/>
      <c r="M856" s="38"/>
      <c r="N856" s="40"/>
      <c r="O856" s="40"/>
      <c r="P856" s="39"/>
      <c r="Q856" s="39"/>
    </row>
    <row r="857" spans="1:17" ht="15.75">
      <c r="A857" s="45"/>
      <c r="B857" s="46"/>
      <c r="C857" s="45"/>
      <c r="D857" s="43"/>
      <c r="E857" s="43"/>
      <c r="F857" s="43"/>
      <c r="G857" s="43"/>
      <c r="H857" s="43"/>
      <c r="I857" s="44"/>
      <c r="J857" s="43"/>
      <c r="K857" s="117"/>
      <c r="L857" s="37"/>
      <c r="M857" s="38"/>
      <c r="N857" s="40"/>
      <c r="O857" s="40"/>
      <c r="P857" s="39"/>
      <c r="Q857" s="39"/>
    </row>
    <row r="858" spans="1:17" ht="15.75">
      <c r="A858" s="45"/>
      <c r="B858" s="46"/>
      <c r="C858" s="45"/>
      <c r="D858" s="43"/>
      <c r="E858" s="43"/>
      <c r="F858" s="43"/>
      <c r="G858" s="43"/>
      <c r="H858" s="43"/>
      <c r="I858" s="44"/>
      <c r="J858" s="43"/>
      <c r="K858" s="117"/>
      <c r="L858" s="37"/>
      <c r="M858" s="38"/>
      <c r="N858" s="40"/>
      <c r="O858" s="40"/>
      <c r="P858" s="39"/>
      <c r="Q858" s="39"/>
    </row>
    <row r="859" spans="1:17" ht="15.75">
      <c r="A859" s="45"/>
      <c r="B859" s="46"/>
      <c r="C859" s="45"/>
      <c r="D859" s="43"/>
      <c r="E859" s="43"/>
      <c r="F859" s="43"/>
      <c r="G859" s="43"/>
      <c r="H859" s="43"/>
      <c r="I859" s="44"/>
      <c r="J859" s="43"/>
      <c r="K859" s="117"/>
      <c r="L859" s="37"/>
      <c r="M859" s="38"/>
      <c r="N859" s="40"/>
      <c r="O859" s="40"/>
      <c r="P859" s="39"/>
      <c r="Q859" s="39"/>
    </row>
    <row r="860" spans="1:17" ht="15.75">
      <c r="A860" s="45"/>
      <c r="B860" s="46"/>
      <c r="C860" s="45"/>
      <c r="D860" s="43"/>
      <c r="E860" s="43"/>
      <c r="F860" s="43"/>
      <c r="G860" s="43"/>
      <c r="H860" s="43"/>
      <c r="I860" s="44"/>
      <c r="J860" s="43"/>
      <c r="K860" s="117"/>
      <c r="L860" s="37"/>
      <c r="M860" s="38"/>
      <c r="N860" s="40"/>
      <c r="O860" s="40"/>
      <c r="P860" s="39"/>
      <c r="Q860" s="39"/>
    </row>
    <row r="861" spans="1:17" ht="15.75">
      <c r="A861" s="45"/>
      <c r="B861" s="46"/>
      <c r="C861" s="45"/>
      <c r="D861" s="43"/>
      <c r="E861" s="43"/>
      <c r="F861" s="43"/>
      <c r="G861" s="43"/>
      <c r="H861" s="43"/>
      <c r="I861" s="44"/>
      <c r="J861" s="43"/>
      <c r="K861" s="117"/>
      <c r="L861" s="37"/>
      <c r="M861" s="38"/>
      <c r="N861" s="40"/>
      <c r="O861" s="40"/>
      <c r="P861" s="39"/>
      <c r="Q861" s="39"/>
    </row>
    <row r="862" spans="1:17" ht="15.75">
      <c r="A862" s="45"/>
      <c r="B862" s="46"/>
      <c r="C862" s="45"/>
      <c r="D862" s="43"/>
      <c r="E862" s="43"/>
      <c r="F862" s="43"/>
      <c r="G862" s="43"/>
      <c r="H862" s="43"/>
      <c r="I862" s="44"/>
      <c r="J862" s="43"/>
      <c r="K862" s="117"/>
      <c r="L862" s="37"/>
      <c r="M862" s="38"/>
      <c r="N862" s="40"/>
      <c r="O862" s="40"/>
      <c r="P862" s="39"/>
      <c r="Q862" s="39"/>
    </row>
    <row r="863" spans="1:17" ht="15.75">
      <c r="A863" s="45"/>
      <c r="B863" s="46"/>
      <c r="C863" s="45"/>
      <c r="D863" s="43"/>
      <c r="E863" s="43"/>
      <c r="F863" s="43"/>
      <c r="G863" s="43"/>
      <c r="H863" s="43"/>
      <c r="I863" s="44"/>
      <c r="J863" s="43"/>
      <c r="K863" s="117"/>
      <c r="L863" s="37"/>
      <c r="M863" s="38"/>
      <c r="N863" s="40"/>
      <c r="O863" s="40"/>
      <c r="P863" s="39"/>
      <c r="Q863" s="39"/>
    </row>
    <row r="864" spans="1:17" ht="15.75">
      <c r="A864" s="45"/>
      <c r="B864" s="46"/>
      <c r="C864" s="45"/>
      <c r="D864" s="43"/>
      <c r="E864" s="43"/>
      <c r="F864" s="43"/>
      <c r="G864" s="43"/>
      <c r="H864" s="43"/>
      <c r="I864" s="44"/>
      <c r="J864" s="43"/>
      <c r="K864" s="117"/>
      <c r="L864" s="37"/>
      <c r="M864" s="38"/>
      <c r="N864" s="40"/>
      <c r="O864" s="40"/>
      <c r="P864" s="39"/>
      <c r="Q864" s="39"/>
    </row>
    <row r="865" spans="1:17" ht="15.75">
      <c r="A865" s="45"/>
      <c r="B865" s="46"/>
      <c r="C865" s="45"/>
      <c r="D865" s="43"/>
      <c r="E865" s="43"/>
      <c r="F865" s="43"/>
      <c r="G865" s="43"/>
      <c r="H865" s="43"/>
      <c r="I865" s="44"/>
      <c r="J865" s="43"/>
      <c r="K865" s="117"/>
      <c r="L865" s="37"/>
      <c r="M865" s="38"/>
      <c r="N865" s="40"/>
      <c r="O865" s="40"/>
      <c r="P865" s="39"/>
      <c r="Q865" s="39"/>
    </row>
    <row r="866" spans="1:17" ht="15.75">
      <c r="A866" s="45"/>
      <c r="B866" s="46"/>
      <c r="C866" s="45"/>
      <c r="D866" s="43"/>
      <c r="E866" s="43"/>
      <c r="F866" s="43"/>
      <c r="G866" s="43"/>
      <c r="H866" s="43"/>
      <c r="I866" s="44"/>
      <c r="J866" s="43"/>
      <c r="K866" s="117"/>
      <c r="L866" s="37"/>
      <c r="M866" s="38"/>
      <c r="N866" s="40"/>
      <c r="O866" s="40"/>
      <c r="P866" s="39"/>
      <c r="Q866" s="39"/>
    </row>
    <row r="867" spans="1:17" ht="15.75">
      <c r="A867" s="45"/>
      <c r="B867" s="46"/>
      <c r="C867" s="45"/>
      <c r="D867" s="43"/>
      <c r="E867" s="43"/>
      <c r="F867" s="43"/>
      <c r="G867" s="43"/>
      <c r="H867" s="43"/>
      <c r="I867" s="44"/>
      <c r="J867" s="43"/>
      <c r="K867" s="117"/>
      <c r="L867" s="37"/>
      <c r="M867" s="38"/>
      <c r="N867" s="40"/>
      <c r="O867" s="40"/>
      <c r="P867" s="39"/>
      <c r="Q867" s="39"/>
    </row>
    <row r="868" spans="1:17" ht="15.75">
      <c r="A868" s="45"/>
      <c r="B868" s="46"/>
      <c r="C868" s="45"/>
      <c r="D868" s="43"/>
      <c r="E868" s="43"/>
      <c r="F868" s="43"/>
      <c r="G868" s="43"/>
      <c r="H868" s="43"/>
      <c r="I868" s="44"/>
      <c r="J868" s="43"/>
      <c r="K868" s="117"/>
      <c r="L868" s="37"/>
      <c r="M868" s="38"/>
      <c r="N868" s="40"/>
      <c r="O868" s="40"/>
      <c r="P868" s="39"/>
      <c r="Q868" s="39"/>
    </row>
    <row r="869" spans="1:17" ht="15.75">
      <c r="A869" s="45"/>
      <c r="B869" s="46"/>
      <c r="C869" s="45"/>
      <c r="D869" s="43"/>
      <c r="E869" s="43"/>
      <c r="F869" s="43"/>
      <c r="G869" s="43"/>
      <c r="H869" s="43"/>
      <c r="I869" s="44"/>
      <c r="J869" s="43"/>
      <c r="K869" s="117"/>
      <c r="L869" s="37"/>
      <c r="M869" s="38"/>
      <c r="N869" s="40"/>
      <c r="O869" s="40"/>
      <c r="P869" s="39"/>
      <c r="Q869" s="39"/>
    </row>
    <row r="870" spans="1:17" ht="15.75">
      <c r="A870" s="45"/>
      <c r="B870" s="46"/>
      <c r="C870" s="45"/>
      <c r="D870" s="43"/>
      <c r="E870" s="43"/>
      <c r="F870" s="43"/>
      <c r="G870" s="43"/>
      <c r="H870" s="43"/>
      <c r="I870" s="44"/>
      <c r="J870" s="43"/>
      <c r="K870" s="117"/>
      <c r="L870" s="37"/>
      <c r="M870" s="38"/>
      <c r="N870" s="40"/>
      <c r="O870" s="40"/>
      <c r="P870" s="39"/>
      <c r="Q870" s="39"/>
    </row>
    <row r="871" spans="1:17" ht="15.75">
      <c r="A871" s="45"/>
      <c r="B871" s="46"/>
      <c r="C871" s="45"/>
      <c r="D871" s="43"/>
      <c r="E871" s="43"/>
      <c r="F871" s="43"/>
      <c r="G871" s="43"/>
      <c r="H871" s="43"/>
      <c r="I871" s="44"/>
      <c r="J871" s="43"/>
      <c r="K871" s="117"/>
      <c r="L871" s="37"/>
      <c r="M871" s="38"/>
      <c r="N871" s="40"/>
      <c r="O871" s="40"/>
      <c r="P871" s="39"/>
      <c r="Q871" s="39"/>
    </row>
    <row r="872" spans="1:17" ht="15.75">
      <c r="A872" s="45"/>
      <c r="B872" s="46"/>
      <c r="C872" s="45"/>
      <c r="D872" s="43"/>
      <c r="E872" s="43"/>
      <c r="F872" s="43"/>
      <c r="G872" s="43"/>
      <c r="H872" s="43"/>
      <c r="I872" s="44"/>
      <c r="J872" s="43"/>
      <c r="K872" s="117"/>
      <c r="L872" s="37"/>
      <c r="M872" s="38"/>
      <c r="N872" s="40"/>
      <c r="O872" s="40"/>
      <c r="P872" s="39"/>
      <c r="Q872" s="39"/>
    </row>
    <row r="873" spans="1:17" ht="15.75">
      <c r="A873" s="45"/>
      <c r="B873" s="46"/>
      <c r="C873" s="45"/>
      <c r="D873" s="43"/>
      <c r="E873" s="43"/>
      <c r="F873" s="43"/>
      <c r="G873" s="43"/>
      <c r="H873" s="43"/>
      <c r="I873" s="44"/>
      <c r="J873" s="43"/>
      <c r="K873" s="117"/>
      <c r="L873" s="37"/>
      <c r="M873" s="38"/>
      <c r="N873" s="40"/>
      <c r="O873" s="40"/>
      <c r="P873" s="39"/>
      <c r="Q873" s="39"/>
    </row>
    <row r="874" spans="1:17" ht="15.75">
      <c r="A874" s="45"/>
      <c r="B874" s="46"/>
      <c r="C874" s="45"/>
      <c r="D874" s="43"/>
      <c r="E874" s="43"/>
      <c r="F874" s="43"/>
      <c r="G874" s="43"/>
      <c r="H874" s="43"/>
      <c r="I874" s="44"/>
      <c r="J874" s="43"/>
      <c r="K874" s="117"/>
      <c r="L874" s="37"/>
      <c r="M874" s="38"/>
      <c r="N874" s="40"/>
      <c r="O874" s="40"/>
      <c r="P874" s="39"/>
      <c r="Q874" s="39"/>
    </row>
    <row r="875" spans="1:17" ht="15.75">
      <c r="A875" s="45"/>
      <c r="B875" s="46"/>
      <c r="C875" s="45"/>
      <c r="D875" s="43"/>
      <c r="E875" s="43"/>
      <c r="F875" s="43"/>
      <c r="G875" s="43"/>
      <c r="H875" s="43"/>
      <c r="I875" s="44"/>
      <c r="J875" s="43"/>
      <c r="K875" s="117"/>
      <c r="L875" s="37"/>
      <c r="M875" s="38"/>
      <c r="N875" s="40"/>
      <c r="O875" s="40"/>
      <c r="P875" s="39"/>
      <c r="Q875" s="39"/>
    </row>
    <row r="876" spans="1:17" ht="15.75">
      <c r="A876" s="45"/>
      <c r="B876" s="46"/>
      <c r="C876" s="45"/>
      <c r="D876" s="43"/>
      <c r="E876" s="43"/>
      <c r="F876" s="43"/>
      <c r="G876" s="43"/>
      <c r="H876" s="43"/>
      <c r="I876" s="44"/>
      <c r="J876" s="43"/>
      <c r="K876" s="117"/>
      <c r="L876" s="37"/>
      <c r="M876" s="38"/>
      <c r="N876" s="40"/>
      <c r="O876" s="40"/>
      <c r="P876" s="39"/>
      <c r="Q876" s="39"/>
    </row>
    <row r="877" spans="1:17" ht="15.75">
      <c r="A877" s="45"/>
      <c r="B877" s="46"/>
      <c r="C877" s="45"/>
      <c r="D877" s="43"/>
      <c r="E877" s="43"/>
      <c r="F877" s="43"/>
      <c r="G877" s="43"/>
      <c r="H877" s="43"/>
      <c r="I877" s="44"/>
      <c r="J877" s="43"/>
      <c r="K877" s="117"/>
      <c r="L877" s="37"/>
      <c r="M877" s="38"/>
      <c r="N877" s="40"/>
      <c r="O877" s="40"/>
      <c r="P877" s="39"/>
      <c r="Q877" s="39"/>
    </row>
    <row r="878" spans="1:17" ht="15.75">
      <c r="A878" s="45"/>
      <c r="B878" s="46"/>
      <c r="C878" s="45"/>
      <c r="D878" s="43"/>
      <c r="E878" s="43"/>
      <c r="F878" s="43"/>
      <c r="G878" s="43"/>
      <c r="H878" s="43"/>
      <c r="I878" s="44"/>
      <c r="J878" s="43"/>
      <c r="K878" s="117"/>
      <c r="L878" s="37"/>
      <c r="M878" s="38"/>
      <c r="N878" s="40"/>
      <c r="O878" s="40"/>
      <c r="P878" s="39"/>
      <c r="Q878" s="39"/>
    </row>
    <row r="879" spans="1:17" ht="15.75">
      <c r="A879" s="45"/>
      <c r="B879" s="46"/>
      <c r="C879" s="45"/>
      <c r="D879" s="43"/>
      <c r="E879" s="43"/>
      <c r="F879" s="43"/>
      <c r="G879" s="43"/>
      <c r="H879" s="43"/>
      <c r="I879" s="44"/>
      <c r="J879" s="43"/>
      <c r="K879" s="117"/>
      <c r="L879" s="37"/>
      <c r="M879" s="38"/>
      <c r="N879" s="40"/>
      <c r="O879" s="40"/>
      <c r="P879" s="39"/>
      <c r="Q879" s="39"/>
    </row>
    <row r="880" spans="1:17" ht="15.75">
      <c r="A880" s="45"/>
      <c r="B880" s="46"/>
      <c r="C880" s="45"/>
      <c r="D880" s="43"/>
      <c r="E880" s="43"/>
      <c r="F880" s="43"/>
      <c r="G880" s="43"/>
      <c r="H880" s="43"/>
      <c r="I880" s="44"/>
      <c r="J880" s="43"/>
      <c r="K880" s="117"/>
      <c r="L880" s="37"/>
      <c r="M880" s="38"/>
      <c r="N880" s="40"/>
      <c r="O880" s="40"/>
      <c r="P880" s="39"/>
      <c r="Q880" s="39"/>
    </row>
    <row r="881" spans="1:17" ht="15.75">
      <c r="A881" s="45"/>
      <c r="B881" s="46"/>
      <c r="C881" s="45"/>
      <c r="D881" s="43"/>
      <c r="E881" s="43"/>
      <c r="F881" s="43"/>
      <c r="G881" s="43"/>
      <c r="H881" s="43"/>
      <c r="I881" s="44"/>
      <c r="J881" s="43"/>
      <c r="K881" s="117"/>
      <c r="L881" s="37"/>
      <c r="M881" s="38"/>
      <c r="N881" s="40"/>
      <c r="O881" s="40"/>
      <c r="P881" s="39"/>
      <c r="Q881" s="39"/>
    </row>
    <row r="882" spans="1:17" ht="15.75">
      <c r="A882" s="45"/>
      <c r="B882" s="46"/>
      <c r="C882" s="45"/>
      <c r="D882" s="43"/>
      <c r="E882" s="43"/>
      <c r="F882" s="43"/>
      <c r="G882" s="43"/>
      <c r="H882" s="43"/>
      <c r="I882" s="44"/>
      <c r="J882" s="43"/>
      <c r="K882" s="117"/>
      <c r="L882" s="37"/>
      <c r="M882" s="38"/>
      <c r="N882" s="40"/>
      <c r="O882" s="40"/>
      <c r="P882" s="39"/>
      <c r="Q882" s="39"/>
    </row>
    <row r="883" spans="1:17" ht="15.75">
      <c r="A883" s="45"/>
      <c r="B883" s="46"/>
      <c r="C883" s="45"/>
      <c r="D883" s="43"/>
      <c r="E883" s="43"/>
      <c r="F883" s="43"/>
      <c r="G883" s="43"/>
      <c r="H883" s="43"/>
      <c r="I883" s="44"/>
      <c r="J883" s="43"/>
      <c r="K883" s="117"/>
      <c r="L883" s="37"/>
      <c r="M883" s="38"/>
      <c r="N883" s="40"/>
      <c r="O883" s="40"/>
      <c r="P883" s="39"/>
      <c r="Q883" s="39"/>
    </row>
    <row r="884" spans="1:17" ht="15.75">
      <c r="A884" s="45"/>
      <c r="B884" s="46"/>
      <c r="C884" s="45"/>
      <c r="D884" s="43"/>
      <c r="E884" s="43"/>
      <c r="F884" s="43"/>
      <c r="G884" s="43"/>
      <c r="H884" s="43"/>
      <c r="I884" s="44"/>
      <c r="J884" s="43"/>
      <c r="K884" s="117"/>
      <c r="L884" s="37"/>
      <c r="M884" s="38"/>
      <c r="N884" s="40"/>
      <c r="O884" s="40"/>
      <c r="P884" s="39"/>
      <c r="Q884" s="39"/>
    </row>
    <row r="885" spans="1:17" ht="15.75">
      <c r="A885" s="45"/>
      <c r="B885" s="46"/>
      <c r="C885" s="45"/>
      <c r="D885" s="43"/>
      <c r="E885" s="43"/>
      <c r="F885" s="43"/>
      <c r="G885" s="43"/>
      <c r="H885" s="43"/>
      <c r="I885" s="44"/>
      <c r="J885" s="43"/>
      <c r="K885" s="117"/>
      <c r="L885" s="37"/>
      <c r="M885" s="38"/>
      <c r="N885" s="40"/>
      <c r="O885" s="40"/>
      <c r="P885" s="39"/>
      <c r="Q885" s="39"/>
    </row>
    <row r="886" spans="1:17" ht="15.75">
      <c r="A886" s="45"/>
      <c r="B886" s="46"/>
      <c r="C886" s="45"/>
      <c r="D886" s="43"/>
      <c r="E886" s="43"/>
      <c r="F886" s="43"/>
      <c r="G886" s="43"/>
      <c r="H886" s="43"/>
      <c r="I886" s="44"/>
      <c r="J886" s="43"/>
      <c r="K886" s="117"/>
      <c r="L886" s="37"/>
      <c r="M886" s="38"/>
      <c r="N886" s="40"/>
      <c r="O886" s="40"/>
      <c r="P886" s="39"/>
      <c r="Q886" s="39"/>
    </row>
    <row r="887" spans="1:17" ht="15.75">
      <c r="A887" s="45"/>
      <c r="B887" s="46"/>
      <c r="C887" s="45"/>
      <c r="D887" s="43"/>
      <c r="E887" s="43"/>
      <c r="F887" s="43"/>
      <c r="G887" s="43"/>
      <c r="H887" s="43"/>
      <c r="I887" s="44"/>
      <c r="J887" s="43"/>
      <c r="K887" s="117"/>
      <c r="L887" s="37"/>
      <c r="M887" s="38"/>
      <c r="N887" s="40"/>
      <c r="O887" s="40"/>
      <c r="P887" s="39"/>
      <c r="Q887" s="39"/>
    </row>
    <row r="888" spans="1:17" ht="15.75">
      <c r="A888" s="45"/>
      <c r="B888" s="46"/>
      <c r="C888" s="45"/>
      <c r="D888" s="43"/>
      <c r="E888" s="43"/>
      <c r="F888" s="43"/>
      <c r="G888" s="43"/>
      <c r="H888" s="43"/>
      <c r="I888" s="44"/>
      <c r="J888" s="43"/>
      <c r="K888" s="117"/>
      <c r="L888" s="37"/>
      <c r="M888" s="38"/>
      <c r="N888" s="40"/>
      <c r="O888" s="40"/>
      <c r="P888" s="39"/>
      <c r="Q888" s="39"/>
    </row>
    <row r="889" spans="1:17" ht="15.75">
      <c r="A889" s="45"/>
      <c r="B889" s="46"/>
      <c r="C889" s="45"/>
      <c r="D889" s="43"/>
      <c r="E889" s="43"/>
      <c r="F889" s="43"/>
      <c r="G889" s="43"/>
      <c r="H889" s="43"/>
      <c r="I889" s="44"/>
      <c r="J889" s="43"/>
      <c r="K889" s="117"/>
      <c r="L889" s="37"/>
      <c r="M889" s="38"/>
      <c r="N889" s="40"/>
      <c r="O889" s="40"/>
      <c r="P889" s="39"/>
      <c r="Q889" s="39"/>
    </row>
    <row r="890" spans="1:17" ht="15.75">
      <c r="A890" s="45"/>
      <c r="B890" s="46"/>
      <c r="C890" s="45"/>
      <c r="D890" s="43"/>
      <c r="E890" s="43"/>
      <c r="F890" s="43"/>
      <c r="G890" s="43"/>
      <c r="H890" s="43"/>
      <c r="I890" s="44"/>
      <c r="J890" s="43"/>
      <c r="K890" s="117"/>
      <c r="L890" s="37"/>
      <c r="M890" s="38"/>
      <c r="N890" s="40"/>
      <c r="O890" s="40"/>
      <c r="P890" s="39"/>
      <c r="Q890" s="39"/>
    </row>
    <row r="891" spans="1:17" ht="15.75">
      <c r="A891" s="45"/>
      <c r="B891" s="46"/>
      <c r="C891" s="45"/>
      <c r="D891" s="43"/>
      <c r="E891" s="43"/>
      <c r="F891" s="43"/>
      <c r="G891" s="43"/>
      <c r="H891" s="43"/>
      <c r="I891" s="44"/>
      <c r="J891" s="43"/>
      <c r="K891" s="117"/>
      <c r="L891" s="37"/>
      <c r="M891" s="38"/>
      <c r="N891" s="40"/>
      <c r="O891" s="40"/>
      <c r="P891" s="39"/>
      <c r="Q891" s="39"/>
    </row>
    <row r="892" spans="1:17" ht="15.75">
      <c r="A892" s="45"/>
      <c r="B892" s="46"/>
      <c r="C892" s="45"/>
      <c r="D892" s="43"/>
      <c r="E892" s="43"/>
      <c r="F892" s="43"/>
      <c r="G892" s="43"/>
      <c r="H892" s="43"/>
      <c r="I892" s="44"/>
      <c r="J892" s="43"/>
      <c r="K892" s="117"/>
      <c r="L892" s="37"/>
      <c r="M892" s="38"/>
      <c r="N892" s="40"/>
      <c r="O892" s="40"/>
      <c r="P892" s="39"/>
      <c r="Q892" s="39"/>
    </row>
    <row r="893" spans="1:17" ht="15.75">
      <c r="A893" s="45"/>
      <c r="B893" s="46"/>
      <c r="C893" s="45"/>
      <c r="D893" s="43"/>
      <c r="E893" s="43"/>
      <c r="F893" s="43"/>
      <c r="G893" s="43"/>
      <c r="H893" s="43"/>
      <c r="I893" s="44"/>
      <c r="J893" s="43"/>
      <c r="K893" s="117"/>
      <c r="L893" s="37"/>
      <c r="M893" s="38"/>
      <c r="N893" s="40"/>
      <c r="O893" s="40"/>
      <c r="P893" s="39"/>
      <c r="Q893" s="39"/>
    </row>
    <row r="894" spans="1:17" ht="15.75">
      <c r="A894" s="45"/>
      <c r="B894" s="46"/>
      <c r="C894" s="45"/>
      <c r="D894" s="43"/>
      <c r="E894" s="43"/>
      <c r="F894" s="43"/>
      <c r="G894" s="43"/>
      <c r="H894" s="43"/>
      <c r="I894" s="44"/>
      <c r="J894" s="43"/>
      <c r="K894" s="117"/>
      <c r="L894" s="37"/>
      <c r="M894" s="38"/>
      <c r="N894" s="40"/>
      <c r="O894" s="40"/>
      <c r="P894" s="39"/>
      <c r="Q894" s="39"/>
    </row>
    <row r="895" spans="1:17" ht="15.75">
      <c r="A895" s="45"/>
      <c r="B895" s="46"/>
      <c r="C895" s="45"/>
      <c r="D895" s="43"/>
      <c r="E895" s="43"/>
      <c r="F895" s="43"/>
      <c r="G895" s="43"/>
      <c r="H895" s="43"/>
      <c r="I895" s="44"/>
      <c r="J895" s="43"/>
      <c r="K895" s="117"/>
      <c r="L895" s="37"/>
      <c r="M895" s="38"/>
      <c r="N895" s="40"/>
      <c r="O895" s="40"/>
      <c r="P895" s="39"/>
      <c r="Q895" s="39"/>
    </row>
    <row r="896" spans="1:17" ht="15.75">
      <c r="A896" s="45"/>
      <c r="B896" s="46"/>
      <c r="C896" s="45"/>
      <c r="D896" s="43"/>
      <c r="E896" s="43"/>
      <c r="F896" s="43"/>
      <c r="G896" s="43"/>
      <c r="H896" s="43"/>
      <c r="I896" s="44"/>
      <c r="J896" s="43"/>
      <c r="K896" s="117"/>
      <c r="L896" s="37"/>
      <c r="M896" s="38"/>
      <c r="N896" s="40"/>
      <c r="O896" s="40"/>
      <c r="P896" s="39"/>
      <c r="Q896" s="39"/>
    </row>
    <row r="897" spans="1:17" ht="15.75">
      <c r="A897" s="45"/>
      <c r="B897" s="46"/>
      <c r="C897" s="45"/>
      <c r="D897" s="43"/>
      <c r="E897" s="43"/>
      <c r="F897" s="43"/>
      <c r="G897" s="43"/>
      <c r="H897" s="43"/>
      <c r="I897" s="44"/>
      <c r="J897" s="43"/>
      <c r="K897" s="117"/>
      <c r="L897" s="37"/>
      <c r="M897" s="38"/>
      <c r="N897" s="40"/>
      <c r="O897" s="40"/>
      <c r="P897" s="39"/>
      <c r="Q897" s="39"/>
    </row>
    <row r="898" spans="1:17" ht="15.75">
      <c r="A898" s="45"/>
      <c r="B898" s="46"/>
      <c r="C898" s="45"/>
      <c r="D898" s="43"/>
      <c r="E898" s="43"/>
      <c r="F898" s="43"/>
      <c r="G898" s="43"/>
      <c r="H898" s="43"/>
      <c r="I898" s="44"/>
      <c r="J898" s="43"/>
      <c r="K898" s="117"/>
      <c r="L898" s="37"/>
      <c r="M898" s="38"/>
      <c r="N898" s="40"/>
      <c r="O898" s="40"/>
      <c r="P898" s="39"/>
      <c r="Q898" s="39"/>
    </row>
    <row r="899" spans="1:17" ht="15.75">
      <c r="A899" s="45"/>
      <c r="B899" s="46"/>
      <c r="C899" s="45"/>
      <c r="D899" s="43"/>
      <c r="E899" s="43"/>
      <c r="F899" s="43"/>
      <c r="G899" s="43"/>
      <c r="H899" s="43"/>
      <c r="I899" s="44"/>
      <c r="J899" s="43"/>
      <c r="K899" s="117"/>
      <c r="L899" s="37"/>
      <c r="M899" s="38"/>
      <c r="N899" s="40"/>
      <c r="O899" s="40"/>
      <c r="P899" s="39"/>
      <c r="Q899" s="39"/>
    </row>
    <row r="900" spans="1:17" ht="15.75">
      <c r="A900" s="45"/>
      <c r="B900" s="46"/>
      <c r="C900" s="45"/>
      <c r="D900" s="43"/>
      <c r="E900" s="43"/>
      <c r="F900" s="43"/>
      <c r="G900" s="43"/>
      <c r="H900" s="43"/>
      <c r="I900" s="44"/>
      <c r="J900" s="43"/>
      <c r="K900" s="117"/>
      <c r="L900" s="37"/>
      <c r="M900" s="38"/>
      <c r="N900" s="40"/>
      <c r="O900" s="40"/>
      <c r="P900" s="39"/>
      <c r="Q900" s="39"/>
    </row>
    <row r="901" spans="1:17" ht="15.75">
      <c r="A901" s="45"/>
      <c r="B901" s="46"/>
      <c r="C901" s="45"/>
      <c r="D901" s="43"/>
      <c r="E901" s="43"/>
      <c r="F901" s="43"/>
      <c r="G901" s="43"/>
      <c r="H901" s="43"/>
      <c r="I901" s="44"/>
      <c r="J901" s="43"/>
      <c r="K901" s="117"/>
      <c r="L901" s="37"/>
      <c r="M901" s="38"/>
      <c r="N901" s="40"/>
      <c r="O901" s="40"/>
      <c r="P901" s="39"/>
      <c r="Q901" s="39"/>
    </row>
    <row r="902" spans="1:17" ht="15.75">
      <c r="A902" s="45"/>
      <c r="B902" s="46"/>
      <c r="C902" s="45"/>
      <c r="D902" s="43"/>
      <c r="E902" s="43"/>
      <c r="F902" s="43"/>
      <c r="G902" s="43"/>
      <c r="H902" s="43"/>
      <c r="I902" s="44"/>
      <c r="J902" s="43"/>
      <c r="K902" s="117"/>
      <c r="L902" s="37"/>
      <c r="M902" s="38"/>
      <c r="N902" s="40"/>
      <c r="O902" s="40"/>
      <c r="P902" s="39"/>
      <c r="Q902" s="39"/>
    </row>
    <row r="903" spans="1:17" ht="15.75">
      <c r="A903" s="45"/>
      <c r="B903" s="46"/>
      <c r="C903" s="45"/>
      <c r="D903" s="43"/>
      <c r="E903" s="43"/>
      <c r="F903" s="43"/>
      <c r="G903" s="43"/>
      <c r="H903" s="43"/>
      <c r="I903" s="44"/>
      <c r="J903" s="43"/>
      <c r="K903" s="117"/>
      <c r="L903" s="37"/>
      <c r="M903" s="38"/>
      <c r="N903" s="40"/>
      <c r="O903" s="40"/>
      <c r="P903" s="39"/>
      <c r="Q903" s="39"/>
    </row>
    <row r="904" spans="1:17" ht="15.75">
      <c r="A904" s="45"/>
      <c r="B904" s="46"/>
      <c r="C904" s="45"/>
      <c r="D904" s="43"/>
      <c r="E904" s="43"/>
      <c r="F904" s="43"/>
      <c r="G904" s="43"/>
      <c r="H904" s="43"/>
      <c r="I904" s="44"/>
      <c r="J904" s="43"/>
      <c r="K904" s="117"/>
      <c r="L904" s="37"/>
      <c r="M904" s="38"/>
      <c r="N904" s="40"/>
      <c r="O904" s="40"/>
      <c r="P904" s="39"/>
      <c r="Q904" s="39"/>
    </row>
    <row r="905" spans="1:17" ht="15.75">
      <c r="A905" s="45"/>
      <c r="B905" s="46"/>
      <c r="C905" s="45"/>
      <c r="D905" s="43"/>
      <c r="E905" s="43"/>
      <c r="F905" s="43"/>
      <c r="G905" s="43"/>
      <c r="H905" s="43"/>
      <c r="I905" s="44"/>
      <c r="J905" s="43"/>
      <c r="K905" s="117"/>
      <c r="L905" s="37"/>
      <c r="M905" s="38"/>
      <c r="N905" s="40"/>
      <c r="O905" s="40"/>
      <c r="P905" s="39"/>
      <c r="Q905" s="39"/>
    </row>
    <row r="906" spans="1:17" ht="15.75">
      <c r="A906" s="45"/>
      <c r="B906" s="46"/>
      <c r="C906" s="45"/>
      <c r="D906" s="43"/>
      <c r="E906" s="43"/>
      <c r="F906" s="43"/>
      <c r="G906" s="43"/>
      <c r="H906" s="43"/>
      <c r="I906" s="44"/>
      <c r="J906" s="43"/>
      <c r="K906" s="117"/>
      <c r="L906" s="37"/>
      <c r="M906" s="38"/>
      <c r="N906" s="40"/>
      <c r="O906" s="40"/>
      <c r="P906" s="39"/>
      <c r="Q906" s="39"/>
    </row>
    <row r="907" spans="1:17" ht="15.75">
      <c r="A907" s="45"/>
      <c r="B907" s="46"/>
      <c r="C907" s="45"/>
      <c r="D907" s="43"/>
      <c r="E907" s="43"/>
      <c r="F907" s="43"/>
      <c r="G907" s="43"/>
      <c r="H907" s="43"/>
      <c r="I907" s="44"/>
      <c r="J907" s="43"/>
      <c r="K907" s="117"/>
      <c r="L907" s="37"/>
      <c r="M907" s="38"/>
      <c r="N907" s="40"/>
      <c r="O907" s="40"/>
      <c r="P907" s="39"/>
      <c r="Q907" s="39"/>
    </row>
    <row r="908" spans="1:17" ht="15.75">
      <c r="A908" s="45"/>
      <c r="B908" s="46"/>
      <c r="C908" s="45"/>
      <c r="D908" s="43"/>
      <c r="E908" s="43"/>
      <c r="F908" s="43"/>
      <c r="G908" s="43"/>
      <c r="H908" s="43"/>
      <c r="I908" s="44"/>
      <c r="J908" s="43"/>
      <c r="K908" s="117"/>
      <c r="L908" s="37"/>
      <c r="M908" s="38"/>
      <c r="N908" s="40"/>
      <c r="O908" s="40"/>
      <c r="P908" s="39"/>
      <c r="Q908" s="39"/>
    </row>
    <row r="909" spans="1:17" ht="15.75">
      <c r="A909" s="45"/>
      <c r="B909" s="46"/>
      <c r="C909" s="45"/>
      <c r="D909" s="43"/>
      <c r="E909" s="43"/>
      <c r="F909" s="43"/>
      <c r="G909" s="43"/>
      <c r="H909" s="43"/>
      <c r="I909" s="44"/>
      <c r="J909" s="43"/>
      <c r="K909" s="117"/>
      <c r="L909" s="37"/>
      <c r="M909" s="38"/>
      <c r="N909" s="40"/>
      <c r="O909" s="40"/>
      <c r="P909" s="39"/>
      <c r="Q909" s="39"/>
    </row>
    <row r="910" spans="1:17" ht="15.75">
      <c r="A910" s="45"/>
      <c r="B910" s="46"/>
      <c r="C910" s="45"/>
      <c r="D910" s="43"/>
      <c r="E910" s="43"/>
      <c r="F910" s="43"/>
      <c r="G910" s="43"/>
      <c r="H910" s="43"/>
      <c r="I910" s="44"/>
      <c r="J910" s="43"/>
      <c r="K910" s="117"/>
      <c r="L910" s="37"/>
      <c r="M910" s="38"/>
      <c r="N910" s="40"/>
      <c r="O910" s="40"/>
      <c r="P910" s="39"/>
      <c r="Q910" s="39"/>
    </row>
    <row r="911" spans="1:17" ht="15.75">
      <c r="A911" s="45"/>
      <c r="B911" s="46"/>
      <c r="C911" s="45"/>
      <c r="D911" s="43"/>
      <c r="E911" s="43"/>
      <c r="F911" s="43"/>
      <c r="G911" s="43"/>
      <c r="H911" s="43"/>
      <c r="I911" s="44"/>
      <c r="J911" s="43"/>
      <c r="K911" s="117"/>
      <c r="L911" s="37"/>
      <c r="M911" s="38"/>
      <c r="N911" s="40"/>
      <c r="O911" s="40"/>
      <c r="P911" s="39"/>
      <c r="Q911" s="39"/>
    </row>
    <row r="912" spans="1:17" ht="15.75">
      <c r="A912" s="45"/>
      <c r="B912" s="46"/>
      <c r="C912" s="45"/>
      <c r="D912" s="43"/>
      <c r="E912" s="43"/>
      <c r="F912" s="43"/>
      <c r="G912" s="43"/>
      <c r="H912" s="43"/>
      <c r="I912" s="44"/>
      <c r="J912" s="43"/>
      <c r="K912" s="117"/>
      <c r="L912" s="37"/>
      <c r="M912" s="38"/>
      <c r="N912" s="40"/>
      <c r="O912" s="40"/>
      <c r="P912" s="39"/>
      <c r="Q912" s="39"/>
    </row>
    <row r="913" spans="1:17" ht="15.75">
      <c r="A913" s="45"/>
      <c r="B913" s="46"/>
      <c r="C913" s="45"/>
      <c r="D913" s="43"/>
      <c r="E913" s="43"/>
      <c r="F913" s="43"/>
      <c r="G913" s="43"/>
      <c r="H913" s="43"/>
      <c r="I913" s="44"/>
      <c r="J913" s="43"/>
      <c r="K913" s="117"/>
      <c r="L913" s="37"/>
      <c r="M913" s="38"/>
      <c r="N913" s="40"/>
      <c r="O913" s="40"/>
      <c r="P913" s="39"/>
      <c r="Q913" s="39"/>
    </row>
    <row r="914" spans="1:17" ht="15.75">
      <c r="A914" s="45"/>
      <c r="B914" s="46"/>
      <c r="C914" s="45"/>
      <c r="D914" s="43"/>
      <c r="E914" s="43"/>
      <c r="F914" s="43"/>
      <c r="G914" s="43"/>
      <c r="H914" s="43"/>
      <c r="I914" s="44"/>
      <c r="J914" s="43"/>
      <c r="K914" s="117"/>
      <c r="L914" s="37"/>
      <c r="M914" s="38"/>
      <c r="N914" s="40"/>
      <c r="O914" s="40"/>
      <c r="P914" s="39"/>
      <c r="Q914" s="39"/>
    </row>
    <row r="915" spans="1:17" ht="15.75">
      <c r="A915" s="45"/>
      <c r="B915" s="46"/>
      <c r="C915" s="45"/>
      <c r="D915" s="43"/>
      <c r="E915" s="43"/>
      <c r="F915" s="43"/>
      <c r="G915" s="43"/>
      <c r="H915" s="43"/>
      <c r="I915" s="44"/>
      <c r="J915" s="43"/>
      <c r="K915" s="117"/>
      <c r="L915" s="37"/>
      <c r="M915" s="38"/>
      <c r="N915" s="40"/>
      <c r="O915" s="40"/>
      <c r="P915" s="39"/>
      <c r="Q915" s="39"/>
    </row>
    <row r="916" spans="1:17" ht="15.75">
      <c r="A916" s="45"/>
      <c r="B916" s="46"/>
      <c r="C916" s="45"/>
      <c r="D916" s="43"/>
      <c r="E916" s="43"/>
      <c r="F916" s="43"/>
      <c r="G916" s="43"/>
      <c r="H916" s="43"/>
      <c r="I916" s="44"/>
      <c r="J916" s="43"/>
      <c r="K916" s="117"/>
      <c r="L916" s="37"/>
      <c r="M916" s="38"/>
      <c r="N916" s="40"/>
      <c r="O916" s="40"/>
      <c r="P916" s="39"/>
      <c r="Q916" s="39"/>
    </row>
    <row r="917" spans="1:17" ht="15.75">
      <c r="A917" s="45"/>
      <c r="B917" s="46"/>
      <c r="C917" s="45"/>
      <c r="D917" s="43"/>
      <c r="E917" s="43"/>
      <c r="F917" s="43"/>
      <c r="G917" s="43"/>
      <c r="H917" s="43"/>
      <c r="I917" s="44"/>
      <c r="J917" s="43"/>
      <c r="K917" s="117"/>
      <c r="L917" s="37"/>
      <c r="M917" s="38"/>
      <c r="N917" s="40"/>
      <c r="O917" s="40"/>
      <c r="P917" s="39"/>
      <c r="Q917" s="39"/>
    </row>
    <row r="918" spans="1:17" ht="15.75">
      <c r="A918" s="45"/>
      <c r="B918" s="46"/>
      <c r="C918" s="45"/>
      <c r="D918" s="43"/>
      <c r="E918" s="43"/>
      <c r="F918" s="43"/>
      <c r="G918" s="43"/>
      <c r="H918" s="43"/>
      <c r="I918" s="44"/>
      <c r="J918" s="43"/>
      <c r="K918" s="117"/>
      <c r="L918" s="37"/>
      <c r="M918" s="38"/>
      <c r="N918" s="40"/>
      <c r="O918" s="40"/>
      <c r="P918" s="39"/>
      <c r="Q918" s="39"/>
    </row>
    <row r="919" spans="1:17" ht="15.75">
      <c r="A919" s="45"/>
      <c r="B919" s="46"/>
      <c r="C919" s="45"/>
      <c r="D919" s="43"/>
      <c r="E919" s="43"/>
      <c r="F919" s="43"/>
      <c r="G919" s="43"/>
      <c r="H919" s="43"/>
      <c r="I919" s="44"/>
      <c r="J919" s="43"/>
      <c r="K919" s="117"/>
      <c r="L919" s="37"/>
      <c r="M919" s="38"/>
      <c r="N919" s="40"/>
      <c r="O919" s="40"/>
      <c r="P919" s="39"/>
      <c r="Q919" s="39"/>
    </row>
    <row r="920" spans="1:17" ht="15.75">
      <c r="A920" s="45"/>
      <c r="B920" s="46"/>
      <c r="C920" s="45"/>
      <c r="D920" s="43"/>
      <c r="E920" s="43"/>
      <c r="F920" s="43"/>
      <c r="G920" s="43"/>
      <c r="H920" s="43"/>
      <c r="I920" s="44"/>
      <c r="J920" s="43"/>
      <c r="K920" s="117"/>
      <c r="L920" s="37"/>
      <c r="M920" s="38"/>
      <c r="N920" s="40"/>
      <c r="O920" s="40"/>
      <c r="P920" s="39"/>
      <c r="Q920" s="39"/>
    </row>
    <row r="921" spans="1:17" ht="15.75">
      <c r="A921" s="45"/>
      <c r="B921" s="46"/>
      <c r="C921" s="45"/>
      <c r="D921" s="43"/>
      <c r="E921" s="43"/>
      <c r="F921" s="43"/>
      <c r="G921" s="43"/>
      <c r="H921" s="43"/>
      <c r="I921" s="44"/>
      <c r="J921" s="43"/>
      <c r="K921" s="117"/>
      <c r="L921" s="37"/>
      <c r="M921" s="38"/>
      <c r="N921" s="40"/>
      <c r="O921" s="40"/>
      <c r="P921" s="39"/>
      <c r="Q921" s="39"/>
    </row>
    <row r="922" spans="1:17" ht="15.75">
      <c r="A922" s="45"/>
      <c r="B922" s="46"/>
      <c r="C922" s="45"/>
      <c r="D922" s="43"/>
      <c r="E922" s="43"/>
      <c r="F922" s="43"/>
      <c r="G922" s="43"/>
      <c r="H922" s="43"/>
      <c r="I922" s="44"/>
      <c r="J922" s="43"/>
      <c r="K922" s="117"/>
      <c r="L922" s="37"/>
      <c r="M922" s="38"/>
      <c r="N922" s="40"/>
      <c r="O922" s="40"/>
      <c r="P922" s="39"/>
      <c r="Q922" s="39"/>
    </row>
    <row r="923" spans="1:17" ht="15.75">
      <c r="A923" s="45"/>
      <c r="B923" s="46"/>
      <c r="C923" s="45"/>
      <c r="D923" s="43"/>
      <c r="E923" s="43"/>
      <c r="F923" s="43"/>
      <c r="G923" s="43"/>
      <c r="H923" s="43"/>
      <c r="I923" s="44"/>
      <c r="J923" s="43"/>
      <c r="K923" s="117"/>
      <c r="L923" s="37"/>
      <c r="M923" s="38"/>
      <c r="N923" s="40"/>
      <c r="O923" s="40"/>
      <c r="P923" s="39"/>
      <c r="Q923" s="39"/>
    </row>
    <row r="924" spans="1:17" ht="15.75">
      <c r="A924" s="45"/>
      <c r="B924" s="46"/>
      <c r="C924" s="45"/>
      <c r="D924" s="43"/>
      <c r="E924" s="43"/>
      <c r="F924" s="43"/>
      <c r="G924" s="43"/>
      <c r="H924" s="43"/>
      <c r="I924" s="44"/>
      <c r="J924" s="43"/>
      <c r="K924" s="117"/>
      <c r="L924" s="37"/>
      <c r="M924" s="38"/>
      <c r="N924" s="40"/>
      <c r="O924" s="40"/>
      <c r="P924" s="39"/>
      <c r="Q924" s="39"/>
    </row>
    <row r="925" spans="1:17" ht="15.75">
      <c r="A925" s="45"/>
      <c r="B925" s="46"/>
      <c r="C925" s="45"/>
      <c r="D925" s="43"/>
      <c r="E925" s="43"/>
      <c r="F925" s="43"/>
      <c r="G925" s="43"/>
      <c r="H925" s="43"/>
      <c r="I925" s="44"/>
      <c r="J925" s="43"/>
      <c r="K925" s="117"/>
      <c r="L925" s="37"/>
      <c r="M925" s="38"/>
      <c r="N925" s="40"/>
      <c r="O925" s="40"/>
      <c r="P925" s="39"/>
      <c r="Q925" s="39"/>
    </row>
    <row r="926" spans="1:17" ht="15.75">
      <c r="A926" s="45"/>
      <c r="B926" s="46"/>
      <c r="C926" s="45"/>
      <c r="D926" s="43"/>
      <c r="E926" s="43"/>
      <c r="F926" s="43"/>
      <c r="G926" s="43"/>
      <c r="H926" s="43"/>
      <c r="I926" s="44"/>
      <c r="J926" s="43"/>
      <c r="K926" s="117"/>
      <c r="L926" s="37"/>
      <c r="M926" s="38"/>
      <c r="N926" s="40"/>
      <c r="O926" s="40"/>
      <c r="P926" s="39"/>
      <c r="Q926" s="39"/>
    </row>
    <row r="927" spans="1:17" ht="15.75">
      <c r="A927" s="45"/>
      <c r="B927" s="46"/>
      <c r="C927" s="45"/>
      <c r="D927" s="43"/>
      <c r="E927" s="43"/>
      <c r="F927" s="43"/>
      <c r="G927" s="43"/>
      <c r="H927" s="43"/>
      <c r="I927" s="44"/>
      <c r="J927" s="43"/>
      <c r="K927" s="117"/>
      <c r="L927" s="37"/>
      <c r="M927" s="38"/>
      <c r="N927" s="40"/>
      <c r="O927" s="40"/>
      <c r="P927" s="39"/>
      <c r="Q927" s="39"/>
    </row>
    <row r="928" spans="1:17" ht="15.75">
      <c r="A928" s="45"/>
      <c r="B928" s="46"/>
      <c r="C928" s="45"/>
      <c r="D928" s="43"/>
      <c r="E928" s="43"/>
      <c r="F928" s="43"/>
      <c r="G928" s="43"/>
      <c r="H928" s="43"/>
      <c r="I928" s="44"/>
      <c r="J928" s="43"/>
      <c r="K928" s="117"/>
      <c r="L928" s="37"/>
      <c r="M928" s="38"/>
      <c r="N928" s="40"/>
      <c r="O928" s="40"/>
      <c r="P928" s="39"/>
      <c r="Q928" s="39"/>
    </row>
    <row r="929" spans="1:17" ht="15.75">
      <c r="A929" s="45"/>
      <c r="B929" s="46"/>
      <c r="C929" s="45"/>
      <c r="D929" s="43"/>
      <c r="E929" s="43"/>
      <c r="F929" s="43"/>
      <c r="G929" s="43"/>
      <c r="H929" s="43"/>
      <c r="I929" s="44"/>
      <c r="J929" s="43"/>
      <c r="K929" s="117"/>
      <c r="L929" s="37"/>
      <c r="M929" s="38"/>
      <c r="N929" s="40"/>
      <c r="O929" s="40"/>
      <c r="P929" s="39"/>
      <c r="Q929" s="39"/>
    </row>
    <row r="930" spans="1:17" ht="15.75">
      <c r="A930" s="45"/>
      <c r="B930" s="46"/>
      <c r="C930" s="45"/>
      <c r="D930" s="43"/>
      <c r="E930" s="43"/>
      <c r="F930" s="43"/>
      <c r="G930" s="43"/>
      <c r="H930" s="43"/>
      <c r="I930" s="44"/>
      <c r="J930" s="43"/>
      <c r="K930" s="117"/>
      <c r="L930" s="37"/>
      <c r="M930" s="38"/>
      <c r="N930" s="40"/>
      <c r="O930" s="40"/>
      <c r="P930" s="39"/>
      <c r="Q930" s="39"/>
    </row>
    <row r="931" spans="1:17" ht="15.75">
      <c r="A931" s="45"/>
      <c r="B931" s="46"/>
      <c r="C931" s="45"/>
      <c r="D931" s="43"/>
      <c r="E931" s="43"/>
      <c r="F931" s="43"/>
      <c r="G931" s="43"/>
      <c r="H931" s="43"/>
      <c r="I931" s="44"/>
      <c r="J931" s="43"/>
      <c r="K931" s="117"/>
      <c r="L931" s="37"/>
      <c r="M931" s="38"/>
      <c r="N931" s="40"/>
      <c r="O931" s="40"/>
      <c r="P931" s="39"/>
      <c r="Q931" s="39"/>
    </row>
    <row r="932" spans="1:17" ht="15.75">
      <c r="A932" s="45"/>
      <c r="B932" s="46"/>
      <c r="C932" s="45"/>
      <c r="D932" s="43"/>
      <c r="E932" s="43"/>
      <c r="F932" s="43"/>
      <c r="G932" s="43"/>
      <c r="H932" s="43"/>
      <c r="I932" s="44"/>
      <c r="J932" s="43"/>
      <c r="K932" s="117"/>
      <c r="L932" s="37"/>
      <c r="M932" s="38"/>
      <c r="N932" s="40"/>
      <c r="O932" s="40"/>
      <c r="P932" s="39"/>
      <c r="Q932" s="39"/>
    </row>
    <row r="933" spans="1:17" ht="15.75">
      <c r="A933" s="45"/>
      <c r="B933" s="46"/>
      <c r="C933" s="45"/>
      <c r="D933" s="43"/>
      <c r="E933" s="43"/>
      <c r="F933" s="43"/>
      <c r="G933" s="43"/>
      <c r="H933" s="43"/>
      <c r="I933" s="44"/>
      <c r="J933" s="43"/>
      <c r="K933" s="117"/>
      <c r="L933" s="37"/>
      <c r="M933" s="38"/>
      <c r="N933" s="40"/>
      <c r="O933" s="40"/>
      <c r="P933" s="39"/>
      <c r="Q933" s="39"/>
    </row>
    <row r="934" spans="1:17" ht="15.75">
      <c r="A934" s="45"/>
      <c r="B934" s="46"/>
      <c r="C934" s="45"/>
      <c r="D934" s="43"/>
      <c r="E934" s="43"/>
      <c r="F934" s="43"/>
      <c r="G934" s="43"/>
      <c r="H934" s="43"/>
      <c r="I934" s="44"/>
      <c r="J934" s="43"/>
      <c r="K934" s="117"/>
      <c r="L934" s="37"/>
      <c r="M934" s="38"/>
      <c r="N934" s="40"/>
      <c r="O934" s="40"/>
      <c r="P934" s="39"/>
      <c r="Q934" s="39"/>
    </row>
    <row r="935" spans="1:17" ht="15.75">
      <c r="A935" s="45"/>
      <c r="B935" s="46"/>
      <c r="C935" s="45"/>
      <c r="D935" s="43"/>
      <c r="E935" s="43"/>
      <c r="F935" s="43"/>
      <c r="G935" s="43"/>
      <c r="H935" s="43"/>
      <c r="I935" s="44"/>
      <c r="J935" s="43"/>
      <c r="K935" s="117"/>
      <c r="L935" s="37"/>
      <c r="M935" s="38"/>
      <c r="N935" s="40"/>
      <c r="O935" s="40"/>
      <c r="P935" s="39"/>
      <c r="Q935" s="39"/>
    </row>
    <row r="936" spans="1:17" ht="15.75">
      <c r="A936" s="45"/>
      <c r="B936" s="46"/>
      <c r="C936" s="45"/>
      <c r="D936" s="43"/>
      <c r="E936" s="43"/>
      <c r="F936" s="43"/>
      <c r="G936" s="43"/>
      <c r="H936" s="43"/>
      <c r="I936" s="44"/>
      <c r="J936" s="43"/>
      <c r="K936" s="117"/>
      <c r="L936" s="37"/>
      <c r="M936" s="38"/>
      <c r="N936" s="40"/>
      <c r="O936" s="40"/>
      <c r="P936" s="39"/>
      <c r="Q936" s="39"/>
    </row>
    <row r="937" spans="1:17" ht="15.75">
      <c r="A937" s="45"/>
      <c r="B937" s="46"/>
      <c r="C937" s="45"/>
      <c r="D937" s="43"/>
      <c r="E937" s="43"/>
      <c r="F937" s="43"/>
      <c r="G937" s="43"/>
      <c r="H937" s="43"/>
      <c r="I937" s="44"/>
      <c r="J937" s="43"/>
      <c r="K937" s="117"/>
      <c r="L937" s="37"/>
      <c r="M937" s="38"/>
      <c r="N937" s="40"/>
      <c r="O937" s="40"/>
      <c r="P937" s="39"/>
      <c r="Q937" s="39"/>
    </row>
    <row r="938" spans="1:17" ht="15.75">
      <c r="A938" s="45"/>
      <c r="B938" s="46"/>
      <c r="C938" s="45"/>
      <c r="D938" s="43"/>
      <c r="E938" s="43"/>
      <c r="F938" s="43"/>
      <c r="G938" s="43"/>
      <c r="H938" s="43"/>
      <c r="I938" s="44"/>
      <c r="J938" s="43"/>
      <c r="K938" s="117"/>
      <c r="L938" s="37"/>
      <c r="M938" s="38"/>
      <c r="N938" s="40"/>
      <c r="O938" s="40"/>
      <c r="P938" s="39"/>
      <c r="Q938" s="39"/>
    </row>
    <row r="939" spans="1:17" ht="15.75">
      <c r="A939" s="45"/>
      <c r="B939" s="46"/>
      <c r="C939" s="45"/>
      <c r="D939" s="43"/>
      <c r="E939" s="43"/>
      <c r="F939" s="43"/>
      <c r="G939" s="43"/>
      <c r="H939" s="43"/>
      <c r="I939" s="44"/>
      <c r="J939" s="43"/>
      <c r="K939" s="117"/>
      <c r="L939" s="37"/>
      <c r="M939" s="38"/>
      <c r="N939" s="40"/>
      <c r="O939" s="40"/>
      <c r="P939" s="39"/>
      <c r="Q939" s="39"/>
    </row>
    <row r="940" spans="1:17" ht="15.75">
      <c r="A940" s="45"/>
      <c r="B940" s="46"/>
      <c r="C940" s="45"/>
      <c r="D940" s="43"/>
      <c r="E940" s="43"/>
      <c r="F940" s="43"/>
      <c r="G940" s="43"/>
      <c r="H940" s="43"/>
      <c r="I940" s="44"/>
      <c r="J940" s="43"/>
      <c r="K940" s="117"/>
      <c r="L940" s="37"/>
      <c r="M940" s="38"/>
      <c r="N940" s="40"/>
      <c r="O940" s="40"/>
      <c r="P940" s="39"/>
      <c r="Q940" s="39"/>
    </row>
    <row r="941" spans="1:17" ht="15.75">
      <c r="A941" s="45"/>
      <c r="B941" s="46"/>
      <c r="C941" s="45"/>
      <c r="D941" s="43"/>
      <c r="E941" s="43"/>
      <c r="F941" s="43"/>
      <c r="G941" s="43"/>
      <c r="H941" s="43"/>
      <c r="I941" s="44"/>
      <c r="J941" s="43"/>
      <c r="K941" s="117"/>
      <c r="L941" s="37"/>
      <c r="M941" s="38"/>
      <c r="N941" s="40"/>
      <c r="O941" s="40"/>
      <c r="P941" s="39"/>
      <c r="Q941" s="39"/>
    </row>
    <row r="942" spans="1:17" ht="15.75">
      <c r="A942" s="45"/>
      <c r="B942" s="46"/>
      <c r="C942" s="45"/>
      <c r="D942" s="43"/>
      <c r="E942" s="43"/>
      <c r="F942" s="43"/>
      <c r="G942" s="43"/>
      <c r="H942" s="43"/>
      <c r="I942" s="44"/>
      <c r="J942" s="43"/>
      <c r="K942" s="117"/>
      <c r="L942" s="37"/>
      <c r="M942" s="38"/>
      <c r="N942" s="40"/>
      <c r="O942" s="40"/>
      <c r="P942" s="39"/>
      <c r="Q942" s="39"/>
    </row>
    <row r="943" spans="1:17" ht="15.75">
      <c r="A943" s="45"/>
      <c r="B943" s="46"/>
      <c r="C943" s="45"/>
      <c r="D943" s="43"/>
      <c r="E943" s="43"/>
      <c r="F943" s="43"/>
      <c r="G943" s="43"/>
      <c r="H943" s="43"/>
      <c r="I943" s="44"/>
      <c r="J943" s="43"/>
      <c r="K943" s="117"/>
      <c r="L943" s="37"/>
      <c r="M943" s="38"/>
      <c r="N943" s="40"/>
      <c r="O943" s="40"/>
      <c r="P943" s="39"/>
      <c r="Q943" s="39"/>
    </row>
    <row r="944" spans="1:17" ht="15.75">
      <c r="A944" s="45"/>
      <c r="B944" s="46"/>
      <c r="C944" s="45"/>
      <c r="D944" s="43"/>
      <c r="E944" s="43"/>
      <c r="F944" s="43"/>
      <c r="G944" s="43"/>
      <c r="H944" s="43"/>
      <c r="I944" s="44"/>
      <c r="J944" s="43"/>
      <c r="K944" s="117"/>
      <c r="L944" s="37"/>
      <c r="M944" s="38"/>
      <c r="N944" s="40"/>
      <c r="O944" s="40"/>
      <c r="P944" s="39"/>
      <c r="Q944" s="39"/>
    </row>
    <row r="945" spans="1:17" ht="15.75">
      <c r="A945" s="45"/>
      <c r="B945" s="46"/>
      <c r="C945" s="45"/>
      <c r="D945" s="43"/>
      <c r="E945" s="43"/>
      <c r="F945" s="43"/>
      <c r="G945" s="43"/>
      <c r="H945" s="43"/>
      <c r="I945" s="44"/>
      <c r="J945" s="43"/>
      <c r="K945" s="117"/>
      <c r="L945" s="37"/>
      <c r="M945" s="38"/>
      <c r="N945" s="40"/>
      <c r="O945" s="40"/>
      <c r="P945" s="39"/>
      <c r="Q945" s="39"/>
    </row>
    <row r="946" spans="1:17" ht="15.75">
      <c r="A946" s="45"/>
      <c r="B946" s="46"/>
      <c r="C946" s="45"/>
      <c r="D946" s="43"/>
      <c r="E946" s="43"/>
      <c r="F946" s="43"/>
      <c r="G946" s="43"/>
      <c r="H946" s="43"/>
      <c r="I946" s="44"/>
      <c r="J946" s="43"/>
      <c r="K946" s="117"/>
      <c r="L946" s="37"/>
      <c r="M946" s="38"/>
      <c r="N946" s="40"/>
      <c r="O946" s="40"/>
      <c r="P946" s="39"/>
      <c r="Q946" s="39"/>
    </row>
    <row r="947" spans="1:17" ht="15.75">
      <c r="A947" s="45"/>
      <c r="B947" s="46"/>
      <c r="C947" s="45"/>
      <c r="D947" s="43"/>
      <c r="E947" s="43"/>
      <c r="F947" s="43"/>
      <c r="G947" s="43"/>
      <c r="H947" s="43"/>
      <c r="I947" s="44"/>
      <c r="J947" s="43"/>
      <c r="K947" s="117"/>
      <c r="L947" s="37"/>
      <c r="M947" s="38"/>
      <c r="N947" s="40"/>
      <c r="O947" s="40"/>
      <c r="P947" s="39"/>
      <c r="Q947" s="39"/>
    </row>
    <row r="948" spans="1:17" ht="15.75">
      <c r="A948" s="45"/>
      <c r="B948" s="46"/>
      <c r="C948" s="45"/>
      <c r="D948" s="43"/>
      <c r="E948" s="43"/>
      <c r="F948" s="43"/>
      <c r="G948" s="43"/>
      <c r="H948" s="43"/>
      <c r="I948" s="44"/>
      <c r="J948" s="43"/>
      <c r="K948" s="117"/>
      <c r="L948" s="37"/>
      <c r="M948" s="38"/>
      <c r="N948" s="40"/>
      <c r="O948" s="40"/>
      <c r="P948" s="39"/>
      <c r="Q948" s="39"/>
    </row>
    <row r="949" spans="1:17" ht="15.75">
      <c r="A949" s="45"/>
      <c r="B949" s="46"/>
      <c r="C949" s="45"/>
      <c r="D949" s="43"/>
      <c r="E949" s="43"/>
      <c r="F949" s="43"/>
      <c r="G949" s="43"/>
      <c r="H949" s="43"/>
      <c r="I949" s="44"/>
      <c r="J949" s="43"/>
      <c r="K949" s="117"/>
      <c r="L949" s="37"/>
      <c r="M949" s="38"/>
      <c r="N949" s="40"/>
      <c r="O949" s="40"/>
      <c r="P949" s="39"/>
      <c r="Q949" s="39"/>
    </row>
    <row r="950" spans="1:17" ht="15.75">
      <c r="A950" s="45"/>
      <c r="B950" s="46"/>
      <c r="C950" s="45"/>
      <c r="D950" s="43"/>
      <c r="E950" s="43"/>
      <c r="F950" s="43"/>
      <c r="G950" s="43"/>
      <c r="H950" s="43"/>
      <c r="I950" s="44"/>
      <c r="J950" s="43"/>
      <c r="K950" s="117"/>
      <c r="L950" s="37"/>
      <c r="M950" s="38"/>
      <c r="N950" s="40"/>
      <c r="O950" s="40"/>
      <c r="P950" s="39"/>
      <c r="Q950" s="39"/>
    </row>
    <row r="951" spans="1:17" ht="15.75">
      <c r="A951" s="45"/>
      <c r="B951" s="46"/>
      <c r="C951" s="45"/>
      <c r="D951" s="43"/>
      <c r="E951" s="43"/>
      <c r="F951" s="43"/>
      <c r="G951" s="43"/>
      <c r="H951" s="43"/>
      <c r="I951" s="44"/>
      <c r="J951" s="43"/>
      <c r="K951" s="117"/>
      <c r="L951" s="37"/>
      <c r="M951" s="38"/>
      <c r="N951" s="40"/>
      <c r="O951" s="40"/>
      <c r="P951" s="39"/>
      <c r="Q951" s="39"/>
    </row>
    <row r="952" spans="1:17" ht="15.75">
      <c r="A952" s="45"/>
      <c r="B952" s="46"/>
      <c r="C952" s="45"/>
      <c r="D952" s="43"/>
      <c r="E952" s="43"/>
      <c r="F952" s="43"/>
      <c r="G952" s="43"/>
      <c r="H952" s="43"/>
      <c r="I952" s="44"/>
      <c r="J952" s="43"/>
      <c r="K952" s="117"/>
      <c r="L952" s="37"/>
      <c r="M952" s="38"/>
      <c r="N952" s="40"/>
      <c r="O952" s="40"/>
      <c r="P952" s="39"/>
      <c r="Q952" s="39"/>
    </row>
    <row r="953" spans="1:17" ht="15.75">
      <c r="A953" s="45"/>
      <c r="B953" s="46"/>
      <c r="C953" s="45"/>
      <c r="D953" s="43"/>
      <c r="E953" s="43"/>
      <c r="F953" s="43"/>
      <c r="G953" s="43"/>
      <c r="H953" s="43"/>
      <c r="I953" s="44"/>
      <c r="J953" s="43"/>
      <c r="K953" s="117"/>
      <c r="L953" s="37"/>
      <c r="M953" s="38"/>
      <c r="N953" s="40"/>
      <c r="O953" s="40"/>
      <c r="P953" s="39"/>
      <c r="Q953" s="39"/>
    </row>
    <row r="954" spans="1:17" ht="15.75">
      <c r="A954" s="45"/>
      <c r="B954" s="46"/>
      <c r="C954" s="45"/>
      <c r="D954" s="43"/>
      <c r="E954" s="43"/>
      <c r="F954" s="43"/>
      <c r="G954" s="43"/>
      <c r="H954" s="43"/>
      <c r="I954" s="44"/>
      <c r="J954" s="43"/>
      <c r="K954" s="117"/>
      <c r="L954" s="37"/>
      <c r="M954" s="38"/>
      <c r="N954" s="40"/>
      <c r="O954" s="40"/>
      <c r="P954" s="39"/>
      <c r="Q954" s="39"/>
    </row>
    <row r="955" spans="1:17" ht="15.75">
      <c r="A955" s="45"/>
      <c r="B955" s="46"/>
      <c r="C955" s="45"/>
      <c r="D955" s="43"/>
      <c r="E955" s="43"/>
      <c r="F955" s="43"/>
      <c r="G955" s="43"/>
      <c r="H955" s="43"/>
      <c r="I955" s="44"/>
      <c r="J955" s="43"/>
      <c r="K955" s="117"/>
      <c r="L955" s="37"/>
      <c r="M955" s="38"/>
      <c r="N955" s="40"/>
      <c r="O955" s="40"/>
      <c r="P955" s="39"/>
      <c r="Q955" s="39"/>
    </row>
    <row r="956" spans="1:17" ht="15.75">
      <c r="A956" s="45"/>
      <c r="B956" s="46"/>
      <c r="C956" s="45"/>
      <c r="D956" s="43"/>
      <c r="E956" s="43"/>
      <c r="F956" s="43"/>
      <c r="G956" s="43"/>
      <c r="H956" s="43"/>
      <c r="I956" s="44"/>
      <c r="J956" s="43"/>
      <c r="K956" s="117"/>
      <c r="L956" s="37"/>
      <c r="M956" s="38"/>
      <c r="N956" s="40"/>
      <c r="O956" s="40"/>
      <c r="P956" s="39"/>
      <c r="Q956" s="39"/>
    </row>
    <row r="957" spans="1:17" ht="15.75">
      <c r="A957" s="45"/>
      <c r="B957" s="46"/>
      <c r="C957" s="45"/>
      <c r="D957" s="43"/>
      <c r="E957" s="43"/>
      <c r="F957" s="43"/>
      <c r="G957" s="43"/>
      <c r="H957" s="43"/>
      <c r="I957" s="44"/>
      <c r="J957" s="43"/>
      <c r="K957" s="117"/>
      <c r="L957" s="37"/>
      <c r="M957" s="38"/>
      <c r="N957" s="40"/>
      <c r="O957" s="40"/>
      <c r="P957" s="39"/>
      <c r="Q957" s="39"/>
    </row>
    <row r="958" spans="1:17" ht="15.75">
      <c r="A958" s="45"/>
      <c r="B958" s="46"/>
      <c r="C958" s="45"/>
      <c r="D958" s="43"/>
      <c r="E958" s="43"/>
      <c r="F958" s="43"/>
      <c r="G958" s="43"/>
      <c r="H958" s="43"/>
      <c r="I958" s="44"/>
      <c r="J958" s="43"/>
      <c r="K958" s="117"/>
      <c r="L958" s="37"/>
      <c r="M958" s="38"/>
      <c r="N958" s="40"/>
      <c r="O958" s="40"/>
      <c r="P958" s="39"/>
      <c r="Q958" s="39"/>
    </row>
    <row r="959" spans="1:17" ht="15.75">
      <c r="A959" s="45"/>
      <c r="B959" s="46"/>
      <c r="C959" s="45"/>
      <c r="D959" s="43"/>
      <c r="E959" s="43"/>
      <c r="F959" s="43"/>
      <c r="G959" s="43"/>
      <c r="H959" s="43"/>
      <c r="I959" s="44"/>
      <c r="J959" s="43"/>
      <c r="K959" s="117"/>
      <c r="L959" s="37"/>
      <c r="M959" s="38"/>
      <c r="N959" s="40"/>
      <c r="O959" s="40"/>
      <c r="P959" s="39"/>
      <c r="Q959" s="39"/>
    </row>
    <row r="960" spans="1:17" ht="15.75">
      <c r="A960" s="45"/>
      <c r="B960" s="46"/>
      <c r="C960" s="45"/>
      <c r="D960" s="43"/>
      <c r="E960" s="43"/>
      <c r="F960" s="43"/>
      <c r="G960" s="43"/>
      <c r="H960" s="43"/>
      <c r="I960" s="44"/>
      <c r="J960" s="43"/>
      <c r="K960" s="117"/>
      <c r="L960" s="37"/>
      <c r="M960" s="38"/>
      <c r="N960" s="40"/>
      <c r="O960" s="40"/>
      <c r="P960" s="39"/>
      <c r="Q960" s="39"/>
    </row>
    <row r="961" spans="1:17" ht="15.75">
      <c r="A961" s="45"/>
      <c r="B961" s="46"/>
      <c r="C961" s="45"/>
      <c r="D961" s="43"/>
      <c r="E961" s="43"/>
      <c r="F961" s="43"/>
      <c r="G961" s="43"/>
      <c r="H961" s="43"/>
      <c r="I961" s="44"/>
      <c r="J961" s="43"/>
      <c r="K961" s="117"/>
      <c r="L961" s="37"/>
      <c r="M961" s="38"/>
      <c r="N961" s="40"/>
      <c r="O961" s="40"/>
      <c r="P961" s="39"/>
      <c r="Q961" s="39"/>
    </row>
    <row r="962" spans="1:17" ht="15.75">
      <c r="A962" s="45"/>
      <c r="B962" s="46"/>
      <c r="C962" s="45"/>
      <c r="D962" s="43"/>
      <c r="E962" s="43"/>
      <c r="F962" s="43"/>
      <c r="G962" s="43"/>
      <c r="H962" s="43"/>
      <c r="I962" s="44"/>
      <c r="J962" s="43"/>
      <c r="K962" s="117"/>
      <c r="L962" s="37"/>
      <c r="M962" s="38"/>
      <c r="N962" s="40"/>
      <c r="O962" s="40"/>
      <c r="P962" s="39"/>
      <c r="Q962" s="39"/>
    </row>
    <row r="963" spans="1:17" ht="15.75">
      <c r="A963" s="45"/>
      <c r="B963" s="46"/>
      <c r="C963" s="45"/>
      <c r="D963" s="43"/>
      <c r="E963" s="43"/>
      <c r="F963" s="43"/>
      <c r="G963" s="43"/>
      <c r="H963" s="43"/>
      <c r="I963" s="44"/>
      <c r="J963" s="43"/>
      <c r="K963" s="117"/>
      <c r="L963" s="37"/>
      <c r="M963" s="38"/>
      <c r="N963" s="40"/>
      <c r="O963" s="40"/>
      <c r="P963" s="39"/>
      <c r="Q963" s="39"/>
    </row>
    <row r="964" spans="1:17" ht="15.75">
      <c r="A964" s="45"/>
      <c r="B964" s="46"/>
      <c r="C964" s="45"/>
      <c r="D964" s="43"/>
      <c r="E964" s="43"/>
      <c r="F964" s="43"/>
      <c r="G964" s="43"/>
      <c r="H964" s="43"/>
      <c r="I964" s="44"/>
      <c r="J964" s="43"/>
      <c r="K964" s="117"/>
      <c r="L964" s="37"/>
      <c r="M964" s="38"/>
      <c r="N964" s="40"/>
      <c r="O964" s="40"/>
      <c r="P964" s="39"/>
      <c r="Q964" s="39"/>
    </row>
    <row r="965" spans="1:17" ht="15.75">
      <c r="A965" s="45"/>
      <c r="B965" s="46"/>
      <c r="C965" s="45"/>
      <c r="D965" s="43"/>
      <c r="E965" s="43"/>
      <c r="F965" s="43"/>
      <c r="G965" s="43"/>
      <c r="H965" s="43"/>
      <c r="I965" s="44"/>
      <c r="J965" s="43"/>
      <c r="K965" s="117"/>
      <c r="L965" s="37"/>
      <c r="M965" s="38"/>
      <c r="N965" s="40"/>
      <c r="O965" s="40"/>
      <c r="P965" s="39"/>
      <c r="Q965" s="39"/>
    </row>
    <row r="966" spans="1:17" ht="15.75">
      <c r="A966" s="45"/>
      <c r="B966" s="46"/>
      <c r="C966" s="45"/>
      <c r="D966" s="43"/>
      <c r="E966" s="43"/>
      <c r="F966" s="43"/>
      <c r="G966" s="43"/>
      <c r="H966" s="43"/>
      <c r="I966" s="44"/>
      <c r="J966" s="43"/>
      <c r="K966" s="117"/>
      <c r="L966" s="37"/>
      <c r="M966" s="38"/>
      <c r="N966" s="40"/>
      <c r="O966" s="40"/>
      <c r="P966" s="39"/>
      <c r="Q966" s="39"/>
    </row>
    <row r="967" spans="1:17" ht="15.75">
      <c r="A967" s="45"/>
      <c r="B967" s="46"/>
      <c r="C967" s="45"/>
      <c r="D967" s="43"/>
      <c r="E967" s="43"/>
      <c r="F967" s="43"/>
      <c r="G967" s="43"/>
      <c r="H967" s="43"/>
      <c r="I967" s="44"/>
      <c r="J967" s="43"/>
      <c r="K967" s="117"/>
      <c r="L967" s="37"/>
      <c r="M967" s="38"/>
      <c r="N967" s="40"/>
      <c r="O967" s="40"/>
      <c r="P967" s="39"/>
      <c r="Q967" s="39"/>
    </row>
    <row r="968" spans="1:17" ht="15.75">
      <c r="A968" s="45"/>
      <c r="B968" s="46"/>
      <c r="C968" s="45"/>
      <c r="D968" s="43"/>
      <c r="E968" s="43"/>
      <c r="F968" s="43"/>
      <c r="G968" s="43"/>
      <c r="H968" s="43"/>
      <c r="I968" s="44"/>
      <c r="J968" s="43"/>
      <c r="K968" s="117"/>
      <c r="L968" s="37"/>
      <c r="M968" s="38"/>
      <c r="N968" s="40"/>
      <c r="O968" s="40"/>
      <c r="P968" s="39"/>
      <c r="Q968" s="39"/>
    </row>
    <row r="969" spans="1:17" ht="15.75">
      <c r="A969" s="45"/>
      <c r="B969" s="46"/>
      <c r="C969" s="45"/>
      <c r="D969" s="43"/>
      <c r="E969" s="43"/>
      <c r="F969" s="43"/>
      <c r="G969" s="43"/>
      <c r="H969" s="43"/>
      <c r="I969" s="44"/>
      <c r="J969" s="43"/>
      <c r="K969" s="117"/>
      <c r="L969" s="37"/>
      <c r="M969" s="38"/>
      <c r="N969" s="40"/>
      <c r="O969" s="40"/>
      <c r="P969" s="39"/>
      <c r="Q969" s="39"/>
    </row>
    <row r="970" spans="1:17" ht="15.75">
      <c r="A970" s="45"/>
      <c r="B970" s="46"/>
      <c r="C970" s="45"/>
      <c r="D970" s="43"/>
      <c r="E970" s="43"/>
      <c r="F970" s="43"/>
      <c r="G970" s="43"/>
      <c r="H970" s="43"/>
      <c r="I970" s="44"/>
      <c r="J970" s="43"/>
      <c r="K970" s="117"/>
      <c r="L970" s="37"/>
      <c r="M970" s="38"/>
      <c r="N970" s="40"/>
      <c r="O970" s="40"/>
      <c r="P970" s="39"/>
      <c r="Q970" s="39"/>
    </row>
    <row r="971" spans="1:17" ht="15.75">
      <c r="A971" s="45"/>
      <c r="B971" s="46"/>
      <c r="C971" s="45"/>
      <c r="D971" s="43"/>
      <c r="E971" s="43"/>
      <c r="F971" s="43"/>
      <c r="G971" s="43"/>
      <c r="H971" s="43"/>
      <c r="I971" s="44"/>
      <c r="J971" s="43"/>
      <c r="K971" s="117"/>
      <c r="L971" s="37"/>
      <c r="M971" s="38"/>
      <c r="N971" s="40"/>
      <c r="O971" s="40"/>
      <c r="P971" s="39"/>
      <c r="Q971" s="39"/>
    </row>
    <row r="972" spans="1:17" ht="15.75">
      <c r="A972" s="45"/>
      <c r="B972" s="46"/>
      <c r="C972" s="45"/>
      <c r="D972" s="43"/>
      <c r="E972" s="43"/>
      <c r="F972" s="43"/>
      <c r="G972" s="43"/>
      <c r="H972" s="43"/>
      <c r="I972" s="44"/>
      <c r="J972" s="43"/>
      <c r="K972" s="117"/>
      <c r="L972" s="37"/>
      <c r="M972" s="38"/>
      <c r="N972" s="40"/>
      <c r="O972" s="40"/>
      <c r="P972" s="39"/>
      <c r="Q972" s="39"/>
    </row>
    <row r="973" spans="1:17" ht="15.75">
      <c r="A973" s="45"/>
      <c r="B973" s="46"/>
      <c r="C973" s="45"/>
      <c r="D973" s="43"/>
      <c r="E973" s="43"/>
      <c r="F973" s="43"/>
      <c r="G973" s="43"/>
      <c r="H973" s="43"/>
      <c r="I973" s="44"/>
      <c r="J973" s="43"/>
      <c r="K973" s="117"/>
      <c r="L973" s="37"/>
      <c r="M973" s="38"/>
      <c r="N973" s="40"/>
      <c r="O973" s="40"/>
      <c r="P973" s="39"/>
      <c r="Q973" s="39"/>
    </row>
    <row r="974" spans="1:17" ht="15.75">
      <c r="A974" s="45"/>
      <c r="B974" s="46"/>
      <c r="C974" s="45"/>
      <c r="D974" s="43"/>
      <c r="E974" s="43"/>
      <c r="F974" s="43"/>
      <c r="G974" s="43"/>
      <c r="H974" s="43"/>
      <c r="I974" s="44"/>
      <c r="J974" s="43"/>
      <c r="K974" s="117"/>
      <c r="L974" s="37"/>
      <c r="M974" s="38"/>
      <c r="N974" s="40"/>
      <c r="O974" s="40"/>
      <c r="P974" s="39"/>
      <c r="Q974" s="39"/>
    </row>
    <row r="975" spans="1:17" ht="15.75">
      <c r="A975" s="45"/>
      <c r="B975" s="46"/>
      <c r="C975" s="45"/>
      <c r="D975" s="43"/>
      <c r="E975" s="43"/>
      <c r="F975" s="43"/>
      <c r="G975" s="43"/>
      <c r="H975" s="43"/>
      <c r="I975" s="44"/>
      <c r="J975" s="43"/>
      <c r="K975" s="117"/>
      <c r="L975" s="37"/>
      <c r="M975" s="38"/>
      <c r="N975" s="40"/>
      <c r="O975" s="40"/>
      <c r="P975" s="39"/>
      <c r="Q975" s="39"/>
    </row>
    <row r="976" spans="1:17" ht="15.75">
      <c r="A976" s="45"/>
      <c r="B976" s="46"/>
      <c r="C976" s="45"/>
      <c r="D976" s="43"/>
      <c r="E976" s="43"/>
      <c r="F976" s="43"/>
      <c r="G976" s="43"/>
      <c r="H976" s="43"/>
      <c r="I976" s="44"/>
      <c r="J976" s="43"/>
      <c r="K976" s="117"/>
      <c r="L976" s="37"/>
      <c r="M976" s="38"/>
      <c r="N976" s="40"/>
      <c r="O976" s="40"/>
      <c r="P976" s="39"/>
      <c r="Q976" s="39"/>
    </row>
    <row r="977" spans="1:17" ht="15.75">
      <c r="A977" s="45"/>
      <c r="B977" s="46"/>
      <c r="C977" s="45"/>
      <c r="D977" s="43"/>
      <c r="E977" s="43"/>
      <c r="F977" s="43"/>
      <c r="G977" s="43"/>
      <c r="H977" s="43"/>
      <c r="I977" s="44"/>
      <c r="J977" s="43"/>
      <c r="K977" s="117"/>
      <c r="L977" s="37"/>
      <c r="M977" s="38"/>
      <c r="N977" s="40"/>
      <c r="O977" s="40"/>
      <c r="P977" s="39"/>
      <c r="Q977" s="39"/>
    </row>
    <row r="978" spans="1:17" ht="15.75">
      <c r="A978" s="45"/>
      <c r="B978" s="46"/>
      <c r="C978" s="45"/>
      <c r="D978" s="43"/>
      <c r="E978" s="43"/>
      <c r="F978" s="43"/>
      <c r="G978" s="43"/>
      <c r="H978" s="43"/>
      <c r="I978" s="44"/>
      <c r="J978" s="43"/>
      <c r="K978" s="117"/>
      <c r="L978" s="37"/>
      <c r="M978" s="38"/>
      <c r="N978" s="40"/>
      <c r="O978" s="40"/>
      <c r="P978" s="39"/>
      <c r="Q978" s="39"/>
    </row>
    <row r="979" spans="1:17" ht="15.75">
      <c r="A979" s="45"/>
      <c r="B979" s="46"/>
      <c r="C979" s="45"/>
      <c r="D979" s="43"/>
      <c r="E979" s="43"/>
      <c r="F979" s="43"/>
      <c r="G979" s="43"/>
      <c r="H979" s="43"/>
      <c r="I979" s="44"/>
      <c r="J979" s="43"/>
      <c r="K979" s="117"/>
      <c r="L979" s="37"/>
      <c r="M979" s="38"/>
      <c r="N979" s="40"/>
      <c r="O979" s="40"/>
      <c r="P979" s="39"/>
      <c r="Q979" s="39"/>
    </row>
    <row r="980" spans="1:17" ht="15.75">
      <c r="A980" s="45"/>
      <c r="B980" s="46"/>
      <c r="C980" s="45"/>
      <c r="D980" s="43"/>
      <c r="E980" s="43"/>
      <c r="F980" s="43"/>
      <c r="G980" s="43"/>
      <c r="H980" s="43"/>
      <c r="I980" s="44"/>
      <c r="J980" s="43"/>
      <c r="K980" s="117"/>
      <c r="L980" s="37"/>
      <c r="M980" s="38"/>
      <c r="N980" s="40"/>
      <c r="O980" s="40"/>
      <c r="P980" s="39"/>
      <c r="Q980" s="39"/>
    </row>
    <row r="981" spans="1:17" ht="15.75">
      <c r="A981" s="45"/>
      <c r="B981" s="46"/>
      <c r="C981" s="45"/>
      <c r="D981" s="43"/>
      <c r="E981" s="43"/>
      <c r="F981" s="43"/>
      <c r="G981" s="43"/>
      <c r="H981" s="43"/>
      <c r="I981" s="44"/>
      <c r="J981" s="43"/>
      <c r="K981" s="117"/>
      <c r="L981" s="37"/>
      <c r="M981" s="38"/>
      <c r="N981" s="40"/>
      <c r="O981" s="40"/>
      <c r="P981" s="39"/>
      <c r="Q981" s="39"/>
    </row>
    <row r="982" spans="1:17" ht="15.75">
      <c r="A982" s="45"/>
      <c r="B982" s="46"/>
      <c r="C982" s="45"/>
      <c r="D982" s="43"/>
      <c r="E982" s="43"/>
      <c r="F982" s="43"/>
      <c r="G982" s="43"/>
      <c r="H982" s="43"/>
      <c r="I982" s="44"/>
      <c r="J982" s="43"/>
      <c r="K982" s="117"/>
      <c r="L982" s="37"/>
      <c r="M982" s="38"/>
      <c r="N982" s="40"/>
      <c r="O982" s="40"/>
      <c r="P982" s="39"/>
      <c r="Q982" s="39"/>
    </row>
    <row r="983" spans="1:17" ht="15.75">
      <c r="A983" s="45"/>
      <c r="B983" s="46"/>
      <c r="C983" s="45"/>
      <c r="D983" s="43"/>
      <c r="E983" s="43"/>
      <c r="F983" s="43"/>
      <c r="G983" s="43"/>
      <c r="H983" s="43"/>
      <c r="I983" s="44"/>
      <c r="J983" s="43"/>
      <c r="K983" s="117"/>
      <c r="L983" s="37"/>
      <c r="M983" s="38"/>
      <c r="N983" s="40"/>
      <c r="O983" s="40"/>
      <c r="P983" s="39"/>
      <c r="Q983" s="39"/>
    </row>
    <row r="984" spans="1:17" ht="15.75">
      <c r="A984" s="45"/>
      <c r="B984" s="46"/>
      <c r="C984" s="45"/>
      <c r="D984" s="43"/>
      <c r="E984" s="43"/>
      <c r="F984" s="43"/>
      <c r="G984" s="43"/>
      <c r="H984" s="43"/>
      <c r="I984" s="44"/>
      <c r="J984" s="43"/>
      <c r="K984" s="117"/>
      <c r="L984" s="37"/>
      <c r="M984" s="38"/>
      <c r="N984" s="40"/>
      <c r="O984" s="40"/>
      <c r="P984" s="39"/>
      <c r="Q984" s="39"/>
    </row>
    <row r="985" spans="1:17" ht="15.75">
      <c r="A985" s="45"/>
      <c r="B985" s="46"/>
      <c r="C985" s="45"/>
      <c r="D985" s="43"/>
      <c r="E985" s="43"/>
      <c r="F985" s="43"/>
      <c r="G985" s="43"/>
      <c r="H985" s="43"/>
      <c r="I985" s="44"/>
      <c r="J985" s="43"/>
      <c r="K985" s="117"/>
      <c r="L985" s="37"/>
      <c r="M985" s="38"/>
      <c r="N985" s="40"/>
      <c r="O985" s="40"/>
      <c r="P985" s="39"/>
      <c r="Q985" s="39"/>
    </row>
    <row r="986" spans="1:17" ht="15.75">
      <c r="A986" s="45"/>
      <c r="B986" s="46"/>
      <c r="C986" s="45"/>
      <c r="D986" s="43"/>
      <c r="E986" s="43"/>
      <c r="F986" s="43"/>
      <c r="G986" s="43"/>
      <c r="H986" s="43"/>
      <c r="I986" s="44"/>
      <c r="J986" s="43"/>
      <c r="K986" s="117"/>
      <c r="L986" s="37"/>
      <c r="M986" s="38"/>
      <c r="N986" s="40"/>
      <c r="O986" s="40"/>
      <c r="P986" s="39"/>
      <c r="Q986" s="39"/>
    </row>
    <row r="987" spans="1:17" ht="15.75">
      <c r="A987" s="45"/>
      <c r="B987" s="46"/>
      <c r="C987" s="45"/>
      <c r="D987" s="43"/>
      <c r="E987" s="43"/>
      <c r="F987" s="43"/>
      <c r="G987" s="43"/>
      <c r="H987" s="43"/>
      <c r="I987" s="44"/>
      <c r="J987" s="43"/>
      <c r="K987" s="117"/>
      <c r="L987" s="37"/>
      <c r="M987" s="38"/>
      <c r="N987" s="40"/>
      <c r="O987" s="40"/>
      <c r="P987" s="39"/>
      <c r="Q987" s="39"/>
    </row>
    <row r="988" spans="1:17" ht="15.75">
      <c r="A988" s="41"/>
      <c r="B988" s="31"/>
      <c r="C988" s="42"/>
      <c r="D988" s="33"/>
      <c r="E988" s="34"/>
      <c r="F988" s="34"/>
      <c r="G988" s="33"/>
      <c r="H988" s="35"/>
      <c r="I988" s="47"/>
      <c r="J988" s="34"/>
      <c r="K988" s="117"/>
      <c r="L988" s="37"/>
      <c r="M988" s="38"/>
      <c r="N988" s="40"/>
      <c r="O988" s="40"/>
      <c r="P988" s="39"/>
      <c r="Q988" s="39"/>
    </row>
    <row r="989" spans="1:17">
      <c r="A989" s="116"/>
      <c r="B989" s="118"/>
      <c r="C989" s="116"/>
      <c r="D989" s="117"/>
      <c r="E989" s="117"/>
      <c r="F989" s="117"/>
      <c r="G989" s="117"/>
      <c r="H989" s="117"/>
      <c r="I989" s="119"/>
      <c r="J989" s="117"/>
      <c r="K989" s="117"/>
      <c r="L989" s="117"/>
      <c r="M989" s="117"/>
      <c r="N989" s="117"/>
      <c r="O989" s="117"/>
      <c r="P989" s="117"/>
      <c r="Q989" s="117"/>
    </row>
    <row r="990" spans="1:17">
      <c r="A990" s="116"/>
      <c r="B990" s="118"/>
      <c r="C990" s="116"/>
      <c r="D990" s="117"/>
      <c r="E990" s="117"/>
      <c r="F990" s="117"/>
      <c r="G990" s="117"/>
      <c r="H990" s="117"/>
      <c r="I990" s="119"/>
      <c r="J990" s="117"/>
      <c r="K990" s="117"/>
      <c r="L990" s="117"/>
      <c r="M990" s="117"/>
      <c r="N990" s="117"/>
      <c r="O990" s="117"/>
      <c r="P990" s="117"/>
      <c r="Q990" s="117"/>
    </row>
    <row r="991" spans="1:17">
      <c r="A991" s="116"/>
      <c r="B991" s="118"/>
      <c r="C991" s="116"/>
      <c r="D991" s="117"/>
      <c r="E991" s="117"/>
      <c r="F991" s="117"/>
      <c r="G991" s="117"/>
      <c r="H991" s="117"/>
      <c r="I991" s="119"/>
      <c r="J991" s="117"/>
      <c r="K991" s="117"/>
      <c r="L991" s="117"/>
      <c r="M991" s="117"/>
      <c r="N991" s="117"/>
      <c r="O991" s="117"/>
      <c r="P991" s="117"/>
      <c r="Q991" s="117"/>
    </row>
    <row r="992" spans="1:17">
      <c r="A992" s="93"/>
      <c r="B992" s="94"/>
      <c r="C992" s="93"/>
      <c r="D992" s="95"/>
      <c r="E992" s="95"/>
      <c r="F992" s="95"/>
      <c r="G992" s="95"/>
      <c r="H992" s="95"/>
      <c r="I992" s="96"/>
      <c r="J992" s="95"/>
      <c r="K992" s="95"/>
      <c r="L992" s="95"/>
      <c r="M992" s="95"/>
      <c r="N992" s="95"/>
      <c r="O992" s="95"/>
      <c r="P992" s="95"/>
      <c r="Q992" s="95"/>
    </row>
    <row r="993" spans="1:17">
      <c r="A993" s="93"/>
      <c r="B993" s="94"/>
      <c r="C993" s="93"/>
      <c r="D993" s="95"/>
      <c r="E993" s="95"/>
      <c r="F993" s="95"/>
      <c r="G993" s="95"/>
      <c r="H993" s="95"/>
      <c r="I993" s="96"/>
      <c r="J993" s="95"/>
      <c r="K993" s="95"/>
      <c r="L993" s="95"/>
      <c r="M993" s="95"/>
      <c r="N993" s="95"/>
      <c r="O993" s="95"/>
      <c r="P993" s="95"/>
      <c r="Q993" s="95"/>
    </row>
    <row r="994" spans="1:17">
      <c r="A994" s="93"/>
      <c r="B994" s="94"/>
      <c r="C994" s="93"/>
      <c r="D994" s="95"/>
      <c r="E994" s="95"/>
      <c r="F994" s="95"/>
      <c r="G994" s="95"/>
      <c r="H994" s="95"/>
      <c r="I994" s="96"/>
      <c r="J994" s="95"/>
      <c r="K994" s="95"/>
      <c r="L994" s="95"/>
      <c r="M994" s="95"/>
      <c r="N994" s="95"/>
      <c r="O994" s="95"/>
      <c r="P994" s="95"/>
      <c r="Q994" s="95"/>
    </row>
    <row r="995" spans="1:17">
      <c r="A995" s="93"/>
      <c r="B995" s="94"/>
      <c r="C995" s="93"/>
      <c r="D995" s="95"/>
      <c r="E995" s="95"/>
      <c r="F995" s="95"/>
      <c r="G995" s="95"/>
      <c r="H995" s="95"/>
      <c r="I995" s="96"/>
      <c r="J995" s="95"/>
      <c r="K995" s="95"/>
      <c r="L995" s="95"/>
      <c r="M995" s="95"/>
      <c r="N995" s="95"/>
      <c r="O995" s="95"/>
      <c r="P995" s="95"/>
      <c r="Q995" s="95"/>
    </row>
    <row r="996" spans="1:17">
      <c r="A996" s="93"/>
      <c r="B996" s="94"/>
      <c r="C996" s="93"/>
      <c r="D996" s="95"/>
      <c r="E996" s="95"/>
      <c r="F996" s="95"/>
      <c r="G996" s="95"/>
      <c r="H996" s="95"/>
      <c r="I996" s="96"/>
      <c r="J996" s="95"/>
      <c r="K996" s="95"/>
      <c r="L996" s="95"/>
      <c r="M996" s="95"/>
      <c r="N996" s="95"/>
      <c r="O996" s="95"/>
      <c r="P996" s="95"/>
      <c r="Q996" s="95"/>
    </row>
    <row r="997" spans="1:17">
      <c r="A997" s="93"/>
      <c r="B997" s="94"/>
      <c r="C997" s="93"/>
      <c r="D997" s="95"/>
      <c r="E997" s="95"/>
      <c r="F997" s="95"/>
      <c r="G997" s="95"/>
      <c r="H997" s="95"/>
      <c r="I997" s="96"/>
      <c r="J997" s="95"/>
      <c r="K997" s="95"/>
      <c r="L997" s="95"/>
      <c r="M997" s="95"/>
      <c r="N997" s="95"/>
      <c r="O997" s="95"/>
      <c r="P997" s="95"/>
      <c r="Q997" s="95"/>
    </row>
    <row r="998" spans="1:17">
      <c r="A998" s="93"/>
      <c r="B998" s="94"/>
      <c r="C998" s="93"/>
      <c r="D998" s="95"/>
      <c r="E998" s="95"/>
      <c r="F998" s="95"/>
      <c r="G998" s="95"/>
      <c r="H998" s="95"/>
      <c r="I998" s="96"/>
      <c r="J998" s="95"/>
      <c r="K998" s="95"/>
      <c r="L998" s="95"/>
      <c r="M998" s="95"/>
      <c r="N998" s="95"/>
      <c r="O998" s="95"/>
      <c r="P998" s="95"/>
      <c r="Q998" s="95"/>
    </row>
    <row r="999" spans="1:17">
      <c r="A999" s="93"/>
      <c r="B999" s="94"/>
      <c r="C999" s="93"/>
      <c r="D999" s="95"/>
      <c r="E999" s="95"/>
      <c r="F999" s="95"/>
      <c r="G999" s="95"/>
      <c r="H999" s="95"/>
      <c r="I999" s="96"/>
      <c r="J999" s="95"/>
      <c r="K999" s="95"/>
      <c r="L999" s="95"/>
      <c r="M999" s="95"/>
      <c r="N999" s="95"/>
      <c r="O999" s="95"/>
      <c r="P999" s="95"/>
      <c r="Q999" s="95"/>
    </row>
    <row r="1000" spans="1:17">
      <c r="A1000" s="93"/>
      <c r="B1000" s="94"/>
      <c r="C1000" s="93"/>
      <c r="D1000" s="95"/>
      <c r="E1000" s="95"/>
      <c r="F1000" s="95"/>
      <c r="G1000" s="95"/>
      <c r="H1000" s="95"/>
      <c r="I1000" s="96"/>
      <c r="J1000" s="95"/>
      <c r="K1000" s="95"/>
      <c r="L1000" s="95"/>
      <c r="M1000" s="95"/>
      <c r="N1000" s="95"/>
      <c r="O1000" s="95"/>
      <c r="P1000" s="95"/>
      <c r="Q1000" s="95"/>
    </row>
    <row r="1001" spans="1:17">
      <c r="A1001" s="93"/>
      <c r="B1001" s="94"/>
      <c r="C1001" s="93"/>
      <c r="D1001" s="95"/>
      <c r="E1001" s="95"/>
      <c r="F1001" s="95"/>
      <c r="G1001" s="95"/>
      <c r="H1001" s="95"/>
      <c r="I1001" s="96"/>
      <c r="J1001" s="95"/>
      <c r="K1001" s="95"/>
      <c r="L1001" s="95"/>
      <c r="M1001" s="95"/>
      <c r="N1001" s="95"/>
      <c r="O1001" s="95"/>
      <c r="P1001" s="95"/>
      <c r="Q1001" s="95"/>
    </row>
    <row r="1002" spans="1:17">
      <c r="A1002" s="93"/>
      <c r="B1002" s="94"/>
      <c r="C1002" s="93"/>
      <c r="D1002" s="95"/>
      <c r="E1002" s="95"/>
      <c r="F1002" s="95"/>
      <c r="G1002" s="95"/>
      <c r="H1002" s="95"/>
      <c r="I1002" s="96"/>
      <c r="J1002" s="95"/>
      <c r="K1002" s="95"/>
      <c r="L1002" s="95"/>
      <c r="M1002" s="95"/>
      <c r="N1002" s="95"/>
      <c r="O1002" s="95"/>
      <c r="P1002" s="95"/>
      <c r="Q1002" s="95"/>
    </row>
    <row r="1003" spans="1:17">
      <c r="A1003" s="93"/>
      <c r="B1003" s="94"/>
      <c r="C1003" s="93"/>
      <c r="D1003" s="95"/>
      <c r="E1003" s="95"/>
      <c r="F1003" s="95"/>
      <c r="G1003" s="95"/>
      <c r="H1003" s="95"/>
      <c r="I1003" s="96"/>
      <c r="J1003" s="95"/>
      <c r="K1003" s="95"/>
      <c r="L1003" s="95"/>
      <c r="M1003" s="95"/>
      <c r="N1003" s="95"/>
      <c r="O1003" s="95"/>
      <c r="P1003" s="95"/>
      <c r="Q1003" s="95"/>
    </row>
    <row r="1004" spans="1:17">
      <c r="A1004" s="93"/>
      <c r="B1004" s="94"/>
      <c r="C1004" s="93"/>
      <c r="D1004" s="95"/>
      <c r="E1004" s="95"/>
      <c r="F1004" s="95"/>
      <c r="G1004" s="95"/>
      <c r="H1004" s="95"/>
      <c r="I1004" s="96"/>
      <c r="J1004" s="95"/>
      <c r="K1004" s="95"/>
      <c r="L1004" s="95"/>
      <c r="M1004" s="95"/>
      <c r="N1004" s="95"/>
      <c r="O1004" s="95"/>
      <c r="P1004" s="95"/>
      <c r="Q1004" s="95"/>
    </row>
  </sheetData>
  <mergeCells count="5">
    <mergeCell ref="A1:D1"/>
    <mergeCell ref="E1:G2"/>
    <mergeCell ref="H2:Q2"/>
    <mergeCell ref="A2:D2"/>
    <mergeCell ref="H1:Q1"/>
  </mergeCells>
  <conditionalFormatting sqref="A4:A991">
    <cfRule type="expression" dxfId="116" priority="1295" stopIfTrue="1">
      <formula>AND($A4&lt;&gt;"",COUNTIF($A$4:$A$991,$A4)&gt;1)</formula>
    </cfRule>
    <cfRule type="expression" dxfId="115" priority="1296" stopIfTrue="1">
      <formula>AND(AND($A4&lt;&gt;"",LEN($A4)=8,ISNUMBER(--$A4)),LEFT($B4,8)="REPLACE ")</formula>
    </cfRule>
    <cfRule type="expression" dxfId="114" priority="1297" stopIfTrue="1">
      <formula>AND(AND($A4&lt;&gt;"",LEN($A4)=8,ISNUMBER(--$A4)),OR(LEFT($B4,4)="EOD-",LEFT($B4,3)="EO-",LEFT($B4,3)="ER-",LEFT($B4,5)="FRSEO",AND(LEFT($B4,1)="S",ISNUMBER(--MID($B4,2,2)),MID($B4,4,2)="-R"),ISNUMBER(SEARCH("/AD-",$B4))))</formula>
    </cfRule>
    <cfRule type="expression" dxfId="113"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12" priority="1299">
      <formula>LEFT($A4,4)="STJC"</formula>
    </cfRule>
  </conditionalFormatting>
  <conditionalFormatting sqref="A366:A369">
    <cfRule type="expression" dxfId="111" priority="4">
      <formula>AND($A366&lt;&gt;"",MOD(ROW(),2)=0)</formula>
    </cfRule>
    <cfRule type="expression" dxfId="110" priority="72">
      <formula>AND($A366&lt;&gt;"",$L366=TODAY())</formula>
    </cfRule>
  </conditionalFormatting>
  <conditionalFormatting sqref="A4:C426 C433 A427:B433 A434:C1003">
    <cfRule type="expression" dxfId="109" priority="5">
      <formula>$F4="AOG"</formula>
    </cfRule>
    <cfRule type="expression" dxfId="108" priority="6">
      <formula>$F4="Critical"</formula>
    </cfRule>
  </conditionalFormatting>
  <conditionalFormatting sqref="A4:H342 D343:H370 A371:H384 D385:H402 C403:H404 B405:H405 A342:C364 A365:B365 C365:C403 A370:B370 A385:A412 B401:C412 A406:H418 C419:H419 C419:C432 B340:B433 D420:H432 C433:H433 A419:A434 A434:H991 J4:L991">
    <cfRule type="expression" dxfId="107" priority="74">
      <formula>AND($A4&lt;&gt;"",$L4=TODAY())</formula>
    </cfRule>
  </conditionalFormatting>
  <conditionalFormatting sqref="C278:M342 D343:M370 A371:M384 D385:M402 C403:M404 B405:M405 K403:K410 A277:B365 C342:C403 A370 A385:A412 B401:C412 A406:M418 C419:M419 C419:C432 B385:B433 D420:M432 C433:M433 A419:A434 A434:M991 A4:M277">
    <cfRule type="expression" dxfId="106" priority="171">
      <formula>AND($A4&lt;&gt;"",MOD(ROW(),2)=0)</formula>
    </cfRule>
  </conditionalFormatting>
  <conditionalFormatting sqref="B4:B1003">
    <cfRule type="expression" dxfId="105" priority="3">
      <formula>$F4="AOG"</formula>
    </cfRule>
    <cfRule type="expression" dxfId="104" priority="1294">
      <formula>$F4="Critical"</formula>
    </cfRule>
  </conditionalFormatting>
  <conditionalFormatting sqref="D4:D991">
    <cfRule type="cellIs" dxfId="103" priority="16" operator="equal">
      <formula>"GENERAL CABIN"</formula>
    </cfRule>
    <cfRule type="cellIs" dxfId="102" priority="17" operator="equal">
      <formula>"GALLEY"</formula>
    </cfRule>
    <cfRule type="cellIs" dxfId="101" priority="18" operator="equal">
      <formula>"LAVATORY"</formula>
    </cfRule>
    <cfRule type="cellIs" dxfId="100" priority="19" operator="equal">
      <formula>"PAX DOORS"</formula>
    </cfRule>
    <cfRule type="cellIs" dxfId="99" priority="20" operator="equal">
      <formula>"F/A SEAT"</formula>
    </cfRule>
    <cfRule type="cellIs" dxfId="98" priority="21" operator="equal">
      <formula>"PAX SEAT"</formula>
    </cfRule>
    <cfRule type="cellIs" dxfId="97" priority="22" operator="equal">
      <formula>"FLIGHT DECK"</formula>
    </cfRule>
    <cfRule type="cellIs" dxfId="96" priority="23" operator="equal">
      <formula>"OFAR/OFCR"</formula>
    </cfRule>
    <cfRule type="cellIs" dxfId="95" priority="24" operator="equal">
      <formula>"TEDLAR/SIDEWALL"</formula>
    </cfRule>
    <cfRule type="cellIs" dxfId="94" priority="25" operator="equal">
      <formula>"PAINT"</formula>
    </cfRule>
    <cfRule type="cellIs" dxfId="93" priority="26" operator="equal">
      <formula>"ACFT GENERAL T/C"</formula>
    </cfRule>
    <cfRule type="cellIs" dxfId="92" priority="63" operator="equal">
      <formula>"ACCESS"</formula>
    </cfRule>
  </conditionalFormatting>
  <conditionalFormatting sqref="E4:E991">
    <cfRule type="cellIs" dxfId="91" priority="106" operator="equal">
      <formula>"Open"</formula>
    </cfRule>
    <cfRule type="cellIs" dxfId="90" priority="107" operator="equal">
      <formula>"I/W"</formula>
    </cfRule>
    <cfRule type="cellIs" dxfId="89" priority="110" operator="equal">
      <formula>"N/A"</formula>
    </cfRule>
    <cfRule type="cellIs" dxfId="88" priority="167" operator="equal">
      <formula>"HPC"</formula>
    </cfRule>
    <cfRule type="cellIs" dxfId="87" priority="168" operator="equal">
      <formula>"Deferred"</formula>
    </cfRule>
    <cfRule type="cellIs" dxfId="86" priority="168" operator="equal">
      <formula>"On Hold"</formula>
    </cfRule>
    <cfRule type="cellIs" dxfId="85" priority="168" operator="equal">
      <formula>"Closed"</formula>
    </cfRule>
  </conditionalFormatting>
  <conditionalFormatting sqref="F4:F991">
    <cfRule type="cellIs" dxfId="84" priority="66" operator="equal">
      <formula>"Normal"</formula>
    </cfRule>
  </conditionalFormatting>
  <conditionalFormatting sqref="F4:F992">
    <cfRule type="expression" dxfId="83" priority="71">
      <formula>$F4="ACCESS"</formula>
    </cfRule>
  </conditionalFormatting>
  <conditionalFormatting sqref="F4:F1003">
    <cfRule type="expression" dxfId="82" priority="7">
      <formula>$F4="AOG"</formula>
    </cfRule>
    <cfRule type="expression" dxfId="81" priority="8">
      <formula>$F4="Critical"</formula>
    </cfRule>
  </conditionalFormatting>
  <conditionalFormatting sqref="G4:G991">
    <cfRule type="cellIs" dxfId="80" priority="42" operator="equal">
      <formula>"CAB"</formula>
    </cfRule>
    <cfRule type="cellIs" dxfId="79" priority="43" operator="equal">
      <formula>"SEAT"</formula>
    </cfRule>
    <cfRule type="cellIs" dxfId="78" priority="44" operator="equal">
      <formula>"AV"</formula>
    </cfRule>
    <cfRule type="cellIs" dxfId="77" priority="45" operator="equal">
      <formula>"WALL"</formula>
    </cfRule>
    <cfRule type="cellIs" dxfId="76" priority="46" operator="equal">
      <formula>"S/M"</formula>
    </cfRule>
    <cfRule type="cellIs" dxfId="75" priority="47" operator="equal">
      <formula>"PAINT"</formula>
    </cfRule>
    <cfRule type="cellIs" dxfId="74" priority="48" operator="equal">
      <formula>"JOINT"</formula>
    </cfRule>
    <cfRule type="cellIs" dxfId="73" priority="49" operator="equal">
      <formula>"INSP"</formula>
    </cfRule>
    <cfRule type="cellIs" dxfId="72" priority="169" operator="equal">
      <formula>"AP"</formula>
    </cfRule>
  </conditionalFormatting>
  <conditionalFormatting sqref="H4:H991">
    <cfRule type="cellIs" dxfId="71" priority="36" operator="equal">
      <formula>"N/R"</formula>
    </cfRule>
    <cfRule type="cellIs" dxfId="70" priority="37" operator="equal">
      <formula>"Requested"</formula>
    </cfRule>
    <cfRule type="cellIs" dxfId="69" priority="38" operator="equal">
      <formula>"Requested - R"</formula>
    </cfRule>
    <cfRule type="cellIs" dxfId="68" priority="39" operator="equal">
      <formula>"Requested - CR"</formula>
    </cfRule>
    <cfRule type="cellIs" dxfId="67" priority="40" operator="equal">
      <formula>"Pending EVAL"</formula>
    </cfRule>
    <cfRule type="cellIs" dxfId="66" priority="41" operator="equal">
      <formula>"N/A"</formula>
    </cfRule>
  </conditionalFormatting>
  <conditionalFormatting sqref="I4:I991">
    <cfRule type="expression" dxfId="65" priority="137">
      <formula>OR(TRIM(I4)="C/W",TRIM(I4)="CW")</formula>
    </cfRule>
  </conditionalFormatting>
  <conditionalFormatting sqref="J4:J991">
    <cfRule type="cellIs" dxfId="64" priority="162" operator="equal">
      <formula>"Yes"</formula>
    </cfRule>
    <cfRule type="cellIs" dxfId="63" priority="163" operator="equal">
      <formula>"No"</formula>
    </cfRule>
    <cfRule type="cellIs" dxfId="62" priority="164" operator="equal">
      <formula>"N/A"</formula>
    </cfRule>
  </conditionalFormatting>
  <conditionalFormatting sqref="K4:K991">
    <cfRule type="cellIs" dxfId="61" priority="62" operator="equal">
      <formula>"MID"</formula>
    </cfRule>
    <cfRule type="cellIs" dxfId="60" priority="133" operator="equal">
      <formula>"FWD"</formula>
    </cfRule>
    <cfRule type="cellIs" dxfId="59" priority="134" operator="equal">
      <formula>"AFT"</formula>
    </cfRule>
    <cfRule type="cellIs" dxfId="58" priority="135" operator="equal">
      <formula>"JOINT"</formula>
    </cfRule>
  </conditionalFormatting>
  <conditionalFormatting sqref="M4:M991">
    <cfRule type="expression" dxfId="57" priority="170">
      <formula>AND($E4="Closed",$M4="")</formula>
    </cfRule>
    <cfRule type="expression" dxfId="56" priority="170">
      <formula>AND($M4&lt;&gt;"",$E4&lt;&gt;"Closed")</formula>
    </cfRule>
  </conditionalFormatting>
  <conditionalFormatting sqref="C427:C434">
    <cfRule type="expression" dxfId="55" priority="1">
      <formula>$F427="AOG"</formula>
    </cfRule>
    <cfRule type="expression" dxfId="54" priority="2">
      <formula>$F427="Critical"</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67" workbookViewId="0">
      <selection activeCell="E102" sqref="E102"/>
    </sheetView>
  </sheetViews>
  <sheetFormatPr defaultRowHeight="15"/>
  <cols>
    <col min="1" max="1" width="26" customWidth="1"/>
    <col min="2" max="6" width="10" customWidth="1"/>
    <col min="7" max="7" width="30" customWidth="1"/>
    <col min="8" max="8" width="11" customWidth="1"/>
    <col min="12" max="12" width="14" customWidth="1"/>
    <col min="13" max="13" width="13" customWidth="1"/>
  </cols>
  <sheetData>
    <row r="1" spans="1:13" ht="26.1" customHeight="1">
      <c r="A1" s="188" t="s">
        <v>1020</v>
      </c>
      <c r="B1" s="218"/>
      <c r="C1" s="218"/>
      <c r="D1" s="218"/>
      <c r="E1" s="218"/>
      <c r="F1" s="185" t="str">
        <f ca="1">"DAY "&amp;MAX(MIN(TODAY()-DASHBOARD!$M$1+1,DASHBOARD!$M$2-DASHBOARD!$M$1+1),0)&amp;"/"&amp;(DASHBOARD!$M$2-DASHBOARD!$M$1+1)</f>
        <v>DAY 33/38</v>
      </c>
      <c r="G1" s="218"/>
      <c r="H1" s="115"/>
      <c r="I1" s="115"/>
      <c r="J1" s="115"/>
      <c r="K1" s="115"/>
      <c r="L1" s="120" t="s">
        <v>1021</v>
      </c>
      <c r="M1" s="29">
        <v>46221</v>
      </c>
    </row>
    <row r="2" spans="1:13" ht="21.95" customHeight="1">
      <c r="A2" s="183"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32% vs Time 86%  ·  Days Left: 5  ·  Pace needed: 58.2/day vs avg 4.3/day</v>
      </c>
      <c r="B2" s="218"/>
      <c r="C2" s="218"/>
      <c r="D2" s="218"/>
      <c r="E2" s="218"/>
      <c r="F2" s="218"/>
      <c r="G2" s="218"/>
      <c r="H2" s="115"/>
      <c r="I2" s="115"/>
      <c r="J2" s="115"/>
      <c r="K2" s="115"/>
      <c r="L2" s="120" t="s">
        <v>1022</v>
      </c>
      <c r="M2" s="29">
        <v>46258</v>
      </c>
    </row>
    <row r="3" spans="1:13" ht="6" customHeight="1">
      <c r="A3" s="115"/>
      <c r="B3" s="115"/>
      <c r="C3" s="115"/>
      <c r="D3" s="115"/>
      <c r="E3" s="115"/>
      <c r="F3" s="115"/>
      <c r="G3" s="115"/>
      <c r="H3" s="115"/>
      <c r="I3" s="115"/>
      <c r="J3" s="115"/>
      <c r="K3" s="115"/>
      <c r="L3" s="115"/>
      <c r="M3" s="115"/>
    </row>
    <row r="4" spans="1:13" ht="28.15" customHeight="1">
      <c r="A4" s="121" t="s">
        <v>1023</v>
      </c>
      <c r="B4" s="122" t="s">
        <v>1024</v>
      </c>
      <c r="C4" s="123" t="s">
        <v>1025</v>
      </c>
      <c r="D4" s="124" t="s">
        <v>1026</v>
      </c>
      <c r="E4" s="125" t="s">
        <v>1027</v>
      </c>
      <c r="F4" s="126" t="s">
        <v>1028</v>
      </c>
      <c r="G4" s="127" t="s">
        <v>1029</v>
      </c>
      <c r="H4" s="97"/>
      <c r="I4" s="115"/>
      <c r="J4" s="115"/>
      <c r="K4" s="115"/>
      <c r="L4" s="115"/>
      <c r="M4" s="115"/>
    </row>
    <row r="5" spans="1:13" ht="32.1" customHeight="1">
      <c r="A5" s="128">
        <f>COUNTIF('HZ-ASD Tracker'!$A$5:$A$992,"&lt;&gt;")</f>
        <v>430</v>
      </c>
      <c r="B5" s="129">
        <f>COUNTIFS('HZ-ASD Tracker'!$A$5:$A$992,"&lt;&gt;",'HZ-ASD Tracker'!$E$5:$E$992,"Closed")</f>
        <v>139</v>
      </c>
      <c r="C5" s="130">
        <f>COUNTIFS('HZ-ASD Tracker'!$A$5:$A$992,"&lt;&gt;",'HZ-ASD Tracker'!$E$5:$E$992,"Open")</f>
        <v>283</v>
      </c>
      <c r="D5" s="131">
        <f>COUNTIFS('HZ-ASD Tracker'!$A$5:$A$992,"&lt;&gt;",'HZ-ASD Tracker'!$E$5:$E$992,"HPC")</f>
        <v>0</v>
      </c>
      <c r="E5" s="132">
        <f>COUNTIFS('HZ-ASD Tracker'!$A$5:$A$992,"&lt;&gt;",'HZ-ASD Tracker'!$F$5:$F$992,"AOG",'HZ-ASD Tracker'!$E$5:$E$992,"&lt;&gt;Closed")</f>
        <v>19</v>
      </c>
      <c r="F5" s="133">
        <f>COUNTIFS('HZ-ASD Tracker'!$A$5:$A$992,"&lt;&gt;",'HZ-ASD Tracker'!$F$5:$F$992,"Critical",'HZ-ASD Tracker'!$E$5:$E$992,"&lt;&gt;Closed")</f>
        <v>18</v>
      </c>
      <c r="G5" s="134">
        <f>IFERROR(COUNTIFS('HZ-ASD Tracker'!$A$5:$A$992,"&lt;&gt;",'HZ-ASD Tracker'!$E$5:$E$992,"Closed")/COUNTIF('HZ-ASD Tracker'!$A$5:$A$992,"&lt;&gt;"),0)</f>
        <v>0.32325581395348835</v>
      </c>
      <c r="H5" s="98"/>
      <c r="I5" s="115"/>
      <c r="J5" s="115"/>
      <c r="K5" s="115"/>
      <c r="L5" s="115"/>
      <c r="M5" s="115"/>
    </row>
    <row r="6" spans="1:13" ht="7.15" customHeight="1">
      <c r="A6" s="115"/>
      <c r="B6" s="115"/>
      <c r="C6" s="115"/>
      <c r="D6" s="115"/>
      <c r="E6" s="115"/>
      <c r="F6" s="115"/>
      <c r="G6" s="115"/>
      <c r="H6" s="115"/>
      <c r="I6" s="115"/>
      <c r="J6" s="115"/>
      <c r="K6" s="115"/>
      <c r="L6" s="115"/>
      <c r="M6" s="115"/>
    </row>
    <row r="7" spans="1:13" ht="18" customHeight="1">
      <c r="A7" s="165" t="s">
        <v>1030</v>
      </c>
      <c r="B7" s="218"/>
      <c r="C7" s="218"/>
      <c r="D7" s="218"/>
      <c r="E7" s="218"/>
      <c r="F7" s="218"/>
      <c r="G7" s="218"/>
      <c r="H7" s="115"/>
      <c r="I7" s="115"/>
      <c r="J7" s="115"/>
      <c r="K7" s="115"/>
      <c r="L7" s="115"/>
      <c r="M7" s="115"/>
    </row>
    <row r="8" spans="1:13" ht="24" customHeight="1">
      <c r="A8" s="167" t="str">
        <f ca="1">"🛬 O.O.S  "&amp;TEXT(DASHBOARD!$M$1-1,"DD-MMM")&amp;"      🛫 B.I.S  "&amp;TEXT(DASHBOARD!$M$2,"DD-MMM")&amp;"      GROUND TIME "&amp;(DASHBOARD!$M$2-DASHBOARD!$M$1+1)&amp;" days"&amp;"      ·      DAY "&amp;MAX(MIN(TODAY()-DASHBOARD!$M$1+1,DASHBOARD!$M$2-DASHBOARD!$M$1+1),0)&amp;"/"&amp;(DASHBOARD!$M$2-DASHBOARD!$M$1+1)</f>
        <v>🛬 O.O.S  17-Jul      🛫 B.I.S  24-Aug      GROUND TIME 38 days      ·      DAY 33/38</v>
      </c>
      <c r="B8" s="218"/>
      <c r="C8" s="218"/>
      <c r="D8" s="218"/>
      <c r="E8" s="218"/>
      <c r="F8" s="218"/>
      <c r="G8" s="218"/>
      <c r="H8" s="115"/>
      <c r="I8" s="115"/>
      <c r="J8" s="115"/>
      <c r="K8" s="115"/>
      <c r="L8" s="115"/>
      <c r="M8" s="115"/>
    </row>
    <row r="9" spans="1:13" ht="18" customHeight="1">
      <c r="A9" s="190"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18"/>
      <c r="C9" s="218"/>
      <c r="D9" s="218"/>
      <c r="E9" s="218"/>
      <c r="F9" s="218"/>
      <c r="G9" s="218"/>
      <c r="H9" s="115"/>
      <c r="I9" s="115"/>
      <c r="J9" s="115"/>
      <c r="K9" s="115"/>
      <c r="L9" s="115"/>
      <c r="M9" s="115"/>
    </row>
    <row r="10" spans="1:13" ht="18" customHeight="1">
      <c r="A10" s="189" t="str">
        <f ca="1">IF(NOT(ISNUMBER(LAYOVER!$B$19)),"⏳ set findings cutoff (LAYOVER)",IF(TODAY()&gt;LAYOVER!$B$19,"🔒 FINDINGS WINDOW CLOSED","⏳ Findings window closes in: "&amp;(LAYOVER!$B$19-TODAY())&amp;" day(s)"))</f>
        <v>🔒 FINDINGS WINDOW CLOSED</v>
      </c>
      <c r="B10" s="218"/>
      <c r="C10" s="218"/>
      <c r="D10" s="218"/>
      <c r="E10" s="218"/>
      <c r="F10" s="218"/>
      <c r="G10" s="218"/>
      <c r="H10" s="115"/>
      <c r="I10" s="115"/>
      <c r="J10" s="115"/>
      <c r="K10" s="115"/>
      <c r="L10" s="115"/>
      <c r="M10" s="115"/>
    </row>
    <row r="11" spans="1:13" ht="18" customHeight="1">
      <c r="A11" s="191" t="str">
        <f ca="1">IF(MIN(LAYOVER!$D$41:$D$48)=9^9,"📅 No upcoming milestone","📅 Next: "&amp;INDEX(LAYOVER!$A$41:$A$48,MATCH(MIN(LAYOVER!$D$41:$D$48),LAYOVER!$D$41:$D$48,0))&amp;" — "&amp;TEXT(MIN(LAYOVER!$D$41:$D$48),"DD-MMM")&amp;IF(MIN(LAYOVER!$D$41:$D$48)=TODAY()," (TODAY!)"," (in "&amp;(MIN(LAYOVER!$D$41:$D$48)-TODAY())&amp;"d)"))</f>
        <v>📅 Next: CABIN CLOSE-UP — 19-Aug (TODAY!)</v>
      </c>
      <c r="B11" s="218"/>
      <c r="C11" s="218"/>
      <c r="D11" s="218"/>
      <c r="E11" s="218"/>
      <c r="F11" s="218"/>
      <c r="G11" s="218"/>
      <c r="H11" s="115"/>
      <c r="I11" s="115"/>
      <c r="J11" s="115"/>
      <c r="K11" s="115"/>
      <c r="L11" s="115"/>
      <c r="M11" s="115"/>
    </row>
    <row r="12" spans="1:13" ht="18" customHeight="1">
      <c r="A12" s="187"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0 day(s)  ·  24 ACCESS still open</v>
      </c>
      <c r="B12" s="218"/>
      <c r="C12" s="218"/>
      <c r="D12" s="218"/>
      <c r="E12" s="218"/>
      <c r="F12" s="218"/>
      <c r="G12" s="218"/>
      <c r="H12" s="115"/>
      <c r="I12" s="115"/>
      <c r="J12" s="115"/>
      <c r="K12" s="115"/>
      <c r="L12" s="115"/>
      <c r="M12" s="115"/>
    </row>
    <row r="13" spans="1:13" ht="18" customHeight="1">
      <c r="A13" s="165" t="s">
        <v>1031</v>
      </c>
      <c r="B13" s="218"/>
      <c r="C13" s="218"/>
      <c r="D13" s="218"/>
      <c r="E13" s="218"/>
      <c r="F13" s="218"/>
      <c r="G13" s="218"/>
      <c r="H13" s="115"/>
      <c r="I13" s="115"/>
      <c r="J13" s="115"/>
      <c r="K13" s="115"/>
      <c r="L13" s="115"/>
      <c r="M13" s="115"/>
    </row>
    <row r="14" spans="1:13" ht="12" customHeight="1">
      <c r="A14" s="135"/>
      <c r="B14" s="135" t="s">
        <v>34</v>
      </c>
      <c r="C14" s="135" t="s">
        <v>1032</v>
      </c>
      <c r="D14" s="135" t="s">
        <v>1033</v>
      </c>
      <c r="E14" s="135" t="s">
        <v>1034</v>
      </c>
      <c r="F14" s="135" t="s">
        <v>1035</v>
      </c>
      <c r="G14" s="115"/>
      <c r="H14" s="115"/>
      <c r="I14" s="115"/>
      <c r="J14" s="115"/>
      <c r="K14" s="115"/>
      <c r="L14" s="115"/>
      <c r="M14" s="115"/>
    </row>
    <row r="15" spans="1:13" ht="16.5" customHeight="1">
      <c r="A15" s="13" t="s">
        <v>1036</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56</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0.33939393939393941</v>
      </c>
      <c r="E15" s="15">
        <f ca="1">MIN(MAX((TODAY()-DASHBOARD!$M$1)/(DASHBOARD!$M$2-DASHBOARD!$M$1),0),1)</f>
        <v>0.86486486486486491</v>
      </c>
      <c r="F15" s="24">
        <f>C15-B15</f>
        <v>109</v>
      </c>
      <c r="G15" s="11">
        <f>IF(D15=0,"",D15)</f>
        <v>0.33939393939393941</v>
      </c>
      <c r="H15" s="115"/>
      <c r="I15" s="115"/>
      <c r="J15" s="115"/>
      <c r="K15" s="115"/>
      <c r="L15" s="115"/>
      <c r="M15" s="115"/>
    </row>
    <row r="16" spans="1:13" ht="16.5" customHeight="1">
      <c r="A16" s="16" t="s">
        <v>1037</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2</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23</v>
      </c>
      <c r="D16" s="15">
        <f>IFERROR(B16/C16,0)</f>
        <v>8.6956521739130432E-2</v>
      </c>
      <c r="E16" s="15">
        <f ca="1">IF(AND(ISNUMBER(LAYOVER!$B$22),ISNUMBER(LAYOVER!$C$22)),MIN(MAX((TODAY()-LAYOVER!$B$22)/(LAYOVER!$C$22-LAYOVER!$B$22),0),1),"")</f>
        <v>1</v>
      </c>
      <c r="F16" s="24">
        <f>C16-B16</f>
        <v>21</v>
      </c>
      <c r="G16" s="11">
        <f>IF(D16=0,"",D16)</f>
        <v>8.6956521739130432E-2</v>
      </c>
      <c r="H16" s="115"/>
      <c r="I16" s="115"/>
      <c r="J16" s="115"/>
      <c r="K16" s="115"/>
      <c r="L16" s="115"/>
      <c r="M16" s="115"/>
    </row>
    <row r="17" spans="1:7" ht="16.5" customHeight="1">
      <c r="A17" s="17" t="s">
        <v>1038</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81</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242</v>
      </c>
      <c r="D17" s="15">
        <f>IFERROR(B17/C17,0)</f>
        <v>0.33471074380165289</v>
      </c>
      <c r="E17" s="15">
        <f ca="1">IF(AND(ISNUMBER(LAYOVER!$B$21),ISNUMBER(LAYOVER!$C$21)),MIN(MAX((TODAY()-LAYOVER!$B$21)/(LAYOVER!$C$21-LAYOVER!$B$21),0),1),"")</f>
        <v>1</v>
      </c>
      <c r="F17" s="24">
        <f>C17-B17</f>
        <v>161</v>
      </c>
      <c r="G17" s="11">
        <f>IF(D17=0,"",D17)</f>
        <v>0.33471074380165289</v>
      </c>
    </row>
    <row r="18" spans="1:7" ht="7.15" customHeight="1">
      <c r="A18" s="115"/>
      <c r="B18" s="115"/>
      <c r="C18" s="115"/>
      <c r="D18" s="115"/>
      <c r="E18" s="115"/>
      <c r="F18" s="115"/>
      <c r="G18" s="115"/>
    </row>
    <row r="19" spans="1:7" ht="18" customHeight="1">
      <c r="A19" s="165" t="s">
        <v>1039</v>
      </c>
      <c r="B19" s="218"/>
      <c r="C19" s="218"/>
      <c r="D19" s="218"/>
      <c r="E19" s="218"/>
      <c r="F19" s="218"/>
      <c r="G19" s="218"/>
    </row>
    <row r="20" spans="1:7" ht="12" customHeight="1">
      <c r="A20" s="135"/>
      <c r="B20" s="135" t="s">
        <v>34</v>
      </c>
      <c r="C20" s="135" t="s">
        <v>1032</v>
      </c>
      <c r="D20" s="135" t="s">
        <v>1033</v>
      </c>
      <c r="E20" s="135" t="s">
        <v>1040</v>
      </c>
      <c r="F20" s="135" t="s">
        <v>1035</v>
      </c>
      <c r="G20" s="115"/>
    </row>
    <row r="21" spans="1:7" ht="16.5" customHeight="1">
      <c r="A21" s="79" t="s">
        <v>33</v>
      </c>
      <c r="B21" s="14">
        <f>COUNTIFS('HZ-ASD Tracker'!$A$5:$A$992,"&lt;&gt;",'HZ-ASD Tracker'!$D$5:$D$992,"GENERAL CABIN",'HZ-ASD Tracker'!$E$5:$E$992,"Closed")</f>
        <v>19</v>
      </c>
      <c r="C21" s="14">
        <f>COUNTIFS('HZ-ASD Tracker'!$A$5:$A$992,"&lt;&gt;",'HZ-ASD Tracker'!$D$5:$D$992,"GENERAL CABIN")</f>
        <v>70</v>
      </c>
      <c r="D21" s="15">
        <f t="shared" ref="D21:D30" si="0">IFERROR(B21/C21,0)</f>
        <v>0.27142857142857141</v>
      </c>
      <c r="E21" s="15">
        <f>IFERROR(C21/COUNTIF('HZ-ASD Tracker'!$A$5:$A$992,"&lt;&gt;"),0)</f>
        <v>0.16279069767441862</v>
      </c>
      <c r="F21" s="24">
        <f t="shared" ref="F21:F30" si="1">C21-B21</f>
        <v>51</v>
      </c>
      <c r="G21" s="11">
        <f t="shared" ref="G21:G30" si="2">IF(D21=0,"",D21)</f>
        <v>0.27142857142857141</v>
      </c>
    </row>
    <row r="22" spans="1:7" ht="16.5" customHeight="1">
      <c r="A22" s="80" t="s">
        <v>68</v>
      </c>
      <c r="B22" s="14">
        <f>COUNTIFS('HZ-ASD Tracker'!$A$5:$A$992,"&lt;&gt;",'HZ-ASD Tracker'!$D$5:$D$992,"GALLEY",'HZ-ASD Tracker'!$E$5:$E$992,"Closed")</f>
        <v>7</v>
      </c>
      <c r="C22" s="14">
        <f>COUNTIFS('HZ-ASD Tracker'!$A$5:$A$992,"&lt;&gt;",'HZ-ASD Tracker'!$D$5:$D$992,"GALLEY")</f>
        <v>50</v>
      </c>
      <c r="D22" s="15">
        <f t="shared" si="0"/>
        <v>0.14000000000000001</v>
      </c>
      <c r="E22" s="15">
        <f>IFERROR(C22/COUNTIF('HZ-ASD Tracker'!$A$5:$A$992,"&lt;&gt;"),0)</f>
        <v>0.11627906976744186</v>
      </c>
      <c r="F22" s="24">
        <f t="shared" si="1"/>
        <v>43</v>
      </c>
      <c r="G22" s="11">
        <f t="shared" si="2"/>
        <v>0.14000000000000001</v>
      </c>
    </row>
    <row r="23" spans="1:7" ht="16.5" customHeight="1">
      <c r="A23" s="18" t="s">
        <v>73</v>
      </c>
      <c r="B23" s="14">
        <f>COUNTIFS('HZ-ASD Tracker'!$A$5:$A$992,"&lt;&gt;",'HZ-ASD Tracker'!$D$5:$D$992,"LAVATORY",'HZ-ASD Tracker'!$E$5:$E$992,"Closed")</f>
        <v>11</v>
      </c>
      <c r="C23" s="14">
        <f>COUNTIFS('HZ-ASD Tracker'!$A$5:$A$992,"&lt;&gt;",'HZ-ASD Tracker'!$D$5:$D$992,"LAVATORY")</f>
        <v>39</v>
      </c>
      <c r="D23" s="15">
        <f t="shared" si="0"/>
        <v>0.28205128205128205</v>
      </c>
      <c r="E23" s="15">
        <f>IFERROR(C23/COUNTIF('HZ-ASD Tracker'!$A$5:$A$992,"&lt;&gt;"),0)</f>
        <v>9.0697674418604657E-2</v>
      </c>
      <c r="F23" s="24">
        <f t="shared" si="1"/>
        <v>28</v>
      </c>
      <c r="G23" s="11">
        <f t="shared" si="2"/>
        <v>0.28205128205128205</v>
      </c>
    </row>
    <row r="24" spans="1:7" ht="16.5" customHeight="1">
      <c r="A24" s="77" t="s">
        <v>97</v>
      </c>
      <c r="B24" s="14">
        <f>COUNTIFS('HZ-ASD Tracker'!$A$5:$A$992,"&lt;&gt;",'HZ-ASD Tracker'!$D$5:$D$992,"PAX DOORS",'HZ-ASD Tracker'!$E$5:$E$992,"Closed")</f>
        <v>26</v>
      </c>
      <c r="C24" s="14">
        <f>COUNTIFS('HZ-ASD Tracker'!$A$5:$A$992,"&lt;&gt;",'HZ-ASD Tracker'!$D$5:$D$992,"PAX DOORS")</f>
        <v>63</v>
      </c>
      <c r="D24" s="15">
        <f t="shared" si="0"/>
        <v>0.41269841269841268</v>
      </c>
      <c r="E24" s="15">
        <f>IFERROR(C24/COUNTIF('HZ-ASD Tracker'!$A$5:$A$992,"&lt;&gt;"),0)</f>
        <v>0.14651162790697675</v>
      </c>
      <c r="F24" s="24">
        <f t="shared" si="1"/>
        <v>37</v>
      </c>
      <c r="G24" s="11">
        <f t="shared" si="2"/>
        <v>0.41269841269841268</v>
      </c>
    </row>
    <row r="25" spans="1:7" ht="16.5" customHeight="1">
      <c r="A25" s="82" t="s">
        <v>61</v>
      </c>
      <c r="B25" s="14">
        <f>COUNTIFS('HZ-ASD Tracker'!$A$5:$A$992,"&lt;&gt;",'HZ-ASD Tracker'!$D$5:$D$992,"F/A SEAT",'HZ-ASD Tracker'!$E$5:$E$992,"Closed")</f>
        <v>14</v>
      </c>
      <c r="C25" s="14">
        <f>COUNTIFS('HZ-ASD Tracker'!$A$5:$A$992,"&lt;&gt;",'HZ-ASD Tracker'!$D$5:$D$992,"F/A SEAT")</f>
        <v>34</v>
      </c>
      <c r="D25" s="15">
        <f t="shared" si="0"/>
        <v>0.41176470588235292</v>
      </c>
      <c r="E25" s="15">
        <f>IFERROR(C25/COUNTIF('HZ-ASD Tracker'!$A$5:$A$992,"&lt;&gt;"),0)</f>
        <v>7.9069767441860464E-2</v>
      </c>
      <c r="F25" s="24">
        <f t="shared" si="1"/>
        <v>20</v>
      </c>
      <c r="G25" s="11">
        <f t="shared" si="2"/>
        <v>0.41176470588235292</v>
      </c>
    </row>
    <row r="26" spans="1:7" ht="16.5" customHeight="1">
      <c r="A26" s="19" t="s">
        <v>186</v>
      </c>
      <c r="B26" s="14">
        <f>COUNTIFS('HZ-ASD Tracker'!$A$5:$A$992,"&lt;&gt;",'HZ-ASD Tracker'!$D$5:$D$992,"PAX SEAT",'HZ-ASD Tracker'!$E$5:$E$992,"Closed")</f>
        <v>31</v>
      </c>
      <c r="C26" s="14">
        <f>COUNTIFS('HZ-ASD Tracker'!$A$5:$A$992,"&lt;&gt;",'HZ-ASD Tracker'!$D$5:$D$992,"PAX SEAT")</f>
        <v>68</v>
      </c>
      <c r="D26" s="15">
        <f t="shared" si="0"/>
        <v>0.45588235294117646</v>
      </c>
      <c r="E26" s="15">
        <f>IFERROR(C26/COUNTIF('HZ-ASD Tracker'!$A$5:$A$992,"&lt;&gt;"),0)</f>
        <v>0.15813953488372093</v>
      </c>
      <c r="F26" s="24">
        <f t="shared" si="1"/>
        <v>37</v>
      </c>
      <c r="G26" s="11">
        <f t="shared" si="2"/>
        <v>0.45588235294117646</v>
      </c>
    </row>
    <row r="27" spans="1:7" ht="16.5" customHeight="1">
      <c r="A27" s="20" t="s">
        <v>49</v>
      </c>
      <c r="B27" s="14">
        <f>COUNTIFS('HZ-ASD Tracker'!$A$5:$A$992,"&lt;&gt;",'HZ-ASD Tracker'!$D$5:$D$992,"FLIGHT DECK",'HZ-ASD Tracker'!$E$5:$E$992,"Closed")</f>
        <v>27</v>
      </c>
      <c r="C27" s="14">
        <f>COUNTIFS('HZ-ASD Tracker'!$A$5:$A$992,"&lt;&gt;",'HZ-ASD Tracker'!$D$5:$D$992,"FLIGHT DECK")</f>
        <v>47</v>
      </c>
      <c r="D27" s="15">
        <f t="shared" si="0"/>
        <v>0.57446808510638303</v>
      </c>
      <c r="E27" s="15">
        <f>IFERROR(C27/COUNTIF('HZ-ASD Tracker'!$A$5:$A$992,"&lt;&gt;"),0)</f>
        <v>0.10930232558139535</v>
      </c>
      <c r="F27" s="24">
        <f t="shared" si="1"/>
        <v>20</v>
      </c>
      <c r="G27" s="11">
        <f t="shared" si="2"/>
        <v>0.57446808510638303</v>
      </c>
    </row>
    <row r="28" spans="1:7" ht="16.5" customHeight="1">
      <c r="A28" s="83" t="s">
        <v>671</v>
      </c>
      <c r="B28" s="14">
        <f>COUNTIFS('HZ-ASD Tracker'!$A$5:$A$992,"&lt;&gt;",'HZ-ASD Tracker'!$D$5:$D$992,"TEDLAR/SIDEWALL",'HZ-ASD Tracker'!$E$5:$E$992,"Closed")</f>
        <v>0</v>
      </c>
      <c r="C28" s="14">
        <f>COUNTIFS('HZ-ASD Tracker'!$A$5:$A$992,"&lt;&gt;",'HZ-ASD Tracker'!$D$5:$D$992,"TEDLAR/SIDEWALL")</f>
        <v>9</v>
      </c>
      <c r="D28" s="15">
        <f t="shared" si="0"/>
        <v>0</v>
      </c>
      <c r="E28" s="15">
        <f>IFERROR(C28/COUNTIF('HZ-ASD Tracker'!$A$5:$A$992,"&lt;&gt;"),0)</f>
        <v>2.0930232558139535E-2</v>
      </c>
      <c r="F28" s="24">
        <f t="shared" si="1"/>
        <v>9</v>
      </c>
      <c r="G28" s="11" t="str">
        <f t="shared" si="2"/>
        <v/>
      </c>
    </row>
    <row r="29" spans="1:7" ht="16.5" customHeight="1">
      <c r="A29" s="21" t="s">
        <v>142</v>
      </c>
      <c r="B29" s="14">
        <f>COUNTIFS('HZ-ASD Tracker'!$A$5:$A$992,"&lt;&gt;",'HZ-ASD Tracker'!$F$5:$F$992,"ACCESS",'HZ-ASD Tracker'!$E$5:$E$992,"Closed")</f>
        <v>0</v>
      </c>
      <c r="C29" s="14">
        <f>COUNTIFS('HZ-ASD Tracker'!$A$5:$A$992,"&lt;&gt;",'HZ-ASD Tracker'!$F$5:$F$992,"ACCESS")</f>
        <v>24</v>
      </c>
      <c r="D29" s="15">
        <f t="shared" si="0"/>
        <v>0</v>
      </c>
      <c r="E29" s="15">
        <f>IFERROR(C29/COUNTIF('HZ-ASD Tracker'!$A$5:$A$992,"&lt;&gt;"),0)</f>
        <v>5.5813953488372092E-2</v>
      </c>
      <c r="F29" s="24">
        <f t="shared" si="1"/>
        <v>24</v>
      </c>
      <c r="G29" s="11" t="str">
        <f t="shared" si="2"/>
        <v/>
      </c>
    </row>
    <row r="30" spans="1:7" ht="16.5" customHeight="1">
      <c r="A30" s="22" t="s">
        <v>21</v>
      </c>
      <c r="B30" s="14">
        <f>COUNTIFS('HZ-ASD Tracker'!$A$5:$A$992,"&lt;&gt;",'HZ-ASD Tracker'!$D$5:$D$992,"ACFT GENERAL T/C",'HZ-ASD Tracker'!$E$5:$E$992,"Closed")</f>
        <v>4</v>
      </c>
      <c r="C30" s="14">
        <f>COUNTIFS('HZ-ASD Tracker'!$A$5:$A$992,"&lt;&gt;",'HZ-ASD Tracker'!$D$5:$D$992,"ACFT GENERAL T/C")</f>
        <v>49</v>
      </c>
      <c r="D30" s="15">
        <f t="shared" si="0"/>
        <v>8.1632653061224483E-2</v>
      </c>
      <c r="E30" s="15">
        <f>IFERROR(C30/COUNTIF('HZ-ASD Tracker'!$A$5:$A$992,"&lt;&gt;"),0)</f>
        <v>0.11395348837209303</v>
      </c>
      <c r="F30" s="24">
        <f t="shared" si="1"/>
        <v>45</v>
      </c>
      <c r="G30" s="11">
        <f t="shared" si="2"/>
        <v>8.1632653061224483E-2</v>
      </c>
    </row>
    <row r="31" spans="1:7" ht="7.15" customHeight="1">
      <c r="A31" s="115"/>
      <c r="B31" s="115"/>
      <c r="C31" s="115"/>
      <c r="D31" s="115"/>
      <c r="E31" s="115"/>
      <c r="F31" s="115"/>
      <c r="G31" s="115"/>
    </row>
    <row r="32" spans="1:7" ht="18" customHeight="1">
      <c r="A32" s="165" t="s">
        <v>1041</v>
      </c>
      <c r="B32" s="218"/>
      <c r="C32" s="218"/>
      <c r="D32" s="218"/>
      <c r="E32" s="218"/>
      <c r="F32" s="218"/>
      <c r="G32" s="218"/>
    </row>
    <row r="33" spans="1:7" ht="12" customHeight="1">
      <c r="A33" s="135"/>
      <c r="B33" s="135" t="s">
        <v>34</v>
      </c>
      <c r="C33" s="135" t="s">
        <v>1032</v>
      </c>
      <c r="D33" s="135" t="s">
        <v>1033</v>
      </c>
      <c r="E33" s="135" t="s">
        <v>1040</v>
      </c>
      <c r="F33" s="135" t="s">
        <v>1035</v>
      </c>
      <c r="G33" s="115"/>
    </row>
    <row r="34" spans="1:7" ht="16.5" customHeight="1">
      <c r="A34" s="84" t="s">
        <v>50</v>
      </c>
      <c r="B34" s="14">
        <f>COUNTIFS('HZ-ASD Tracker'!$A$5:$A$992,"&lt;&gt;",'HZ-ASD Tracker'!$G$5:$G$992,"CAB",'HZ-ASD Tracker'!$E$5:$E$992,"Closed")</f>
        <v>39</v>
      </c>
      <c r="C34" s="14">
        <f>COUNTIFS('HZ-ASD Tracker'!$A$5:$A$992,"&lt;&gt;",'HZ-ASD Tracker'!$G$5:$G$992,"CAB")</f>
        <v>201</v>
      </c>
      <c r="D34" s="15">
        <f t="shared" ref="D34:D42" si="3">IFERROR(B34/C34,0)</f>
        <v>0.19402985074626866</v>
      </c>
      <c r="E34" s="15">
        <f>IFERROR(C34/COUNTIF('HZ-ASD Tracker'!$A$5:$A$992,"&lt;&gt;"),0)</f>
        <v>0.46744186046511627</v>
      </c>
      <c r="F34" s="24">
        <f t="shared" ref="F34:F42" si="4">C34-B34</f>
        <v>162</v>
      </c>
      <c r="G34" s="11">
        <f t="shared" ref="G34:G42" si="5">IF(D34=0,"",D34)</f>
        <v>0.19402985074626866</v>
      </c>
    </row>
    <row r="35" spans="1:7" ht="16.5" customHeight="1">
      <c r="A35" s="82" t="s">
        <v>187</v>
      </c>
      <c r="B35" s="14">
        <f>COUNTIFS('HZ-ASD Tracker'!$A$5:$A$992,"&lt;&gt;",'HZ-ASD Tracker'!$G$5:$G$992,"SEAT",'HZ-ASD Tracker'!$E$5:$E$992,"Closed")</f>
        <v>32</v>
      </c>
      <c r="C35" s="14">
        <f>COUNTIFS('HZ-ASD Tracker'!$A$5:$A$992,"&lt;&gt;",'HZ-ASD Tracker'!$G$5:$G$992,"SEAT")</f>
        <v>53</v>
      </c>
      <c r="D35" s="15">
        <f t="shared" si="3"/>
        <v>0.60377358490566035</v>
      </c>
      <c r="E35" s="15">
        <f>IFERROR(C35/COUNTIF('HZ-ASD Tracker'!$A$5:$A$992,"&lt;&gt;"),0)</f>
        <v>0.12325581395348838</v>
      </c>
      <c r="F35" s="24">
        <f t="shared" si="4"/>
        <v>21</v>
      </c>
      <c r="G35" s="11">
        <f t="shared" si="5"/>
        <v>0.60377358490566035</v>
      </c>
    </row>
    <row r="36" spans="1:7" ht="16.5" customHeight="1">
      <c r="A36" s="77" t="s">
        <v>209</v>
      </c>
      <c r="B36" s="14">
        <f>COUNTIFS('HZ-ASD Tracker'!$A$5:$A$992,"&lt;&gt;",'HZ-ASD Tracker'!$G$5:$G$992,"AV",'HZ-ASD Tracker'!$E$5:$E$992,"Closed")</f>
        <v>13</v>
      </c>
      <c r="C36" s="14">
        <f>COUNTIFS('HZ-ASD Tracker'!$A$5:$A$992,"&lt;&gt;",'HZ-ASD Tracker'!$G$5:$G$992,"AV")</f>
        <v>39</v>
      </c>
      <c r="D36" s="15">
        <f t="shared" si="3"/>
        <v>0.33333333333333331</v>
      </c>
      <c r="E36" s="15">
        <f>IFERROR(C36/COUNTIF('HZ-ASD Tracker'!$A$5:$A$992,"&lt;&gt;"),0)</f>
        <v>9.0697674418604657E-2</v>
      </c>
      <c r="F36" s="24">
        <f t="shared" si="4"/>
        <v>26</v>
      </c>
      <c r="G36" s="11">
        <f t="shared" si="5"/>
        <v>0.33333333333333331</v>
      </c>
    </row>
    <row r="37" spans="1:7" ht="16.5" customHeight="1">
      <c r="A37" s="83" t="s">
        <v>998</v>
      </c>
      <c r="B37" s="14">
        <f>COUNTIFS('HZ-ASD Tracker'!$A$5:$A$992,"&lt;&gt;",'HZ-ASD Tracker'!$G$5:$G$992,"WALL",'HZ-ASD Tracker'!$E$5:$E$992,"Closed")</f>
        <v>2</v>
      </c>
      <c r="C37" s="14">
        <f>COUNTIFS('HZ-ASD Tracker'!$A$5:$A$992,"&lt;&gt;",'HZ-ASD Tracker'!$G$5:$G$992,"WALL")</f>
        <v>10</v>
      </c>
      <c r="D37" s="15">
        <f t="shared" si="3"/>
        <v>0.2</v>
      </c>
      <c r="E37" s="15">
        <f>IFERROR(C37/COUNTIF('HZ-ASD Tracker'!$A$5:$A$992,"&lt;&gt;"),0)</f>
        <v>2.3255813953488372E-2</v>
      </c>
      <c r="F37" s="24">
        <f t="shared" si="4"/>
        <v>8</v>
      </c>
      <c r="G37" s="11">
        <f t="shared" si="5"/>
        <v>0.2</v>
      </c>
    </row>
    <row r="38" spans="1:7" ht="16.5" customHeight="1">
      <c r="A38" s="80" t="s">
        <v>757</v>
      </c>
      <c r="B38" s="14">
        <f>COUNTIFS('HZ-ASD Tracker'!$A$5:$A$992,"&lt;&gt;",'HZ-ASD Tracker'!$G$5:$G$992,"S/M",'HZ-ASD Tracker'!$E$5:$E$992,"Closed")</f>
        <v>2</v>
      </c>
      <c r="C38" s="14">
        <f>COUNTIFS('HZ-ASD Tracker'!$A$5:$A$992,"&lt;&gt;",'HZ-ASD Tracker'!$G$5:$G$992,"S/M")</f>
        <v>13</v>
      </c>
      <c r="D38" s="15">
        <f t="shared" si="3"/>
        <v>0.15384615384615385</v>
      </c>
      <c r="E38" s="15">
        <f>IFERROR(C38/COUNTIF('HZ-ASD Tracker'!$A$5:$A$992,"&lt;&gt;"),0)</f>
        <v>3.0232558139534883E-2</v>
      </c>
      <c r="F38" s="24">
        <f t="shared" si="4"/>
        <v>11</v>
      </c>
      <c r="G38" s="11">
        <f t="shared" si="5"/>
        <v>0.15384615384615385</v>
      </c>
    </row>
    <row r="39" spans="1:7" ht="16.5" customHeight="1">
      <c r="A39" s="81" t="s">
        <v>168</v>
      </c>
      <c r="B39" s="14">
        <f>COUNTIFS('HZ-ASD Tracker'!$A$5:$A$992,"&lt;&gt;",'HZ-ASD Tracker'!$G$5:$G$992,"PAINT",'HZ-ASD Tracker'!$E$5:$E$992,"Closed")</f>
        <v>22</v>
      </c>
      <c r="C39" s="14">
        <f>COUNTIFS('HZ-ASD Tracker'!$A$5:$A$992,"&lt;&gt;",'HZ-ASD Tracker'!$G$5:$G$992,"PAINT")</f>
        <v>33</v>
      </c>
      <c r="D39" s="15">
        <f t="shared" si="3"/>
        <v>0.66666666666666663</v>
      </c>
      <c r="E39" s="15">
        <f>IFERROR(C39/COUNTIF('HZ-ASD Tracker'!$A$5:$A$992,"&lt;&gt;"),0)</f>
        <v>7.6744186046511634E-2</v>
      </c>
      <c r="F39" s="24">
        <f t="shared" si="4"/>
        <v>11</v>
      </c>
      <c r="G39" s="11">
        <f t="shared" si="5"/>
        <v>0.66666666666666663</v>
      </c>
    </row>
    <row r="40" spans="1:7" ht="16.5" customHeight="1">
      <c r="A40" s="76" t="s">
        <v>24</v>
      </c>
      <c r="B40" s="14">
        <f>COUNTIFS('HZ-ASD Tracker'!$A$5:$A$992,"&lt;&gt;",'HZ-ASD Tracker'!$G$5:$G$992,"JOINT",'HZ-ASD Tracker'!$E$5:$E$992,"Closed")</f>
        <v>11</v>
      </c>
      <c r="C40" s="14">
        <f>COUNTIFS('HZ-ASD Tracker'!$A$5:$A$992,"&lt;&gt;",'HZ-ASD Tracker'!$G$5:$G$992,"JOINT")</f>
        <v>37</v>
      </c>
      <c r="D40" s="15">
        <f t="shared" si="3"/>
        <v>0.29729729729729731</v>
      </c>
      <c r="E40" s="15">
        <f>IFERROR(C40/COUNTIF('HZ-ASD Tracker'!$A$5:$A$992,"&lt;&gt;"),0)</f>
        <v>8.6046511627906982E-2</v>
      </c>
      <c r="F40" s="24">
        <f t="shared" si="4"/>
        <v>26</v>
      </c>
      <c r="G40" s="11">
        <f t="shared" si="5"/>
        <v>0.29729729729729731</v>
      </c>
    </row>
    <row r="41" spans="1:7" ht="16.5" customHeight="1">
      <c r="A41" s="79" t="s">
        <v>84</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4.1860465116279069E-2</v>
      </c>
      <c r="F41" s="24">
        <f t="shared" si="4"/>
        <v>7</v>
      </c>
      <c r="G41" s="11">
        <f t="shared" si="5"/>
        <v>0.61111111111111116</v>
      </c>
    </row>
    <row r="42" spans="1:7" ht="16.5" customHeight="1">
      <c r="A42" s="78" t="s">
        <v>158</v>
      </c>
      <c r="B42" s="14">
        <f>COUNTIFS('HZ-ASD Tracker'!$A$5:$A$992,"&lt;&gt;",'HZ-ASD Tracker'!$G$5:$G$992,"AP",'HZ-ASD Tracker'!$E$5:$E$992,"Closed")</f>
        <v>5</v>
      </c>
      <c r="C42" s="14">
        <f>COUNTIFS('HZ-ASD Tracker'!$A$5:$A$992,"&lt;&gt;",'HZ-ASD Tracker'!$G$5:$G$992,"AP")</f>
        <v>18</v>
      </c>
      <c r="D42" s="15">
        <f t="shared" si="3"/>
        <v>0.27777777777777779</v>
      </c>
      <c r="E42" s="15">
        <f>IFERROR(C42/COUNTIF('HZ-ASD Tracker'!$A$5:$A$992,"&lt;&gt;"),0)</f>
        <v>4.1860465116279069E-2</v>
      </c>
      <c r="F42" s="24">
        <f t="shared" si="4"/>
        <v>13</v>
      </c>
      <c r="G42" s="11">
        <f t="shared" si="5"/>
        <v>0.27777777777777779</v>
      </c>
    </row>
    <row r="43" spans="1:7" ht="7.15" customHeight="1">
      <c r="A43" s="115"/>
      <c r="B43" s="115"/>
      <c r="C43" s="115"/>
      <c r="D43" s="115"/>
      <c r="E43" s="115"/>
      <c r="F43" s="115"/>
      <c r="G43" s="115"/>
    </row>
    <row r="44" spans="1:7" ht="18" customHeight="1">
      <c r="A44" s="165" t="s">
        <v>1042</v>
      </c>
      <c r="B44" s="218"/>
      <c r="C44" s="136" t="s">
        <v>1043</v>
      </c>
      <c r="D44" s="136" t="s">
        <v>1035</v>
      </c>
      <c r="E44" s="136" t="s">
        <v>1044</v>
      </c>
      <c r="F44" s="172" t="str">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S-curve: -212 behind 🔴</v>
      </c>
      <c r="G44" s="218"/>
    </row>
    <row r="45" spans="1:7" ht="15" customHeight="1">
      <c r="A45" s="23">
        <f ca="1">TODAY()-9</f>
        <v>46244</v>
      </c>
      <c r="B45" s="12">
        <f ca="1">COUNTIFS('HZ-ASD Tracker'!$M$5:$M$992,TODAY()-9,'HZ-ASD Tracker'!$E$5:$E$992,"Closed")</f>
        <v>0</v>
      </c>
      <c r="C45" s="24">
        <f ca="1">COUNTIFS('HZ-ASD Tracker'!$M$5:$M$992,"&lt;="&amp;TODAY()-9,'HZ-ASD Tracker'!$E$5:$E$992,"Closed")</f>
        <v>123</v>
      </c>
      <c r="D45" s="24">
        <f ca="1">COUNTIF('HZ-ASD Tracker'!$A$5:$A$992,"&lt;&gt;")-C45</f>
        <v>307</v>
      </c>
      <c r="E45" s="25">
        <f ca="1">IFERROR(C45/COUNTIF('HZ-ASD Tracker'!$A$5:$A$992,"&lt;&gt;"),0)</f>
        <v>0.28604651162790695</v>
      </c>
      <c r="F45" s="11">
        <f t="shared" ref="F45:F54" ca="1" si="6">IF(E45=0,"",E45)</f>
        <v>0.28604651162790695</v>
      </c>
      <c r="G45" s="11" t="str">
        <f t="shared" ref="G45:G54" ca="1" si="7">IF(B45=0,"",B45)</f>
        <v/>
      </c>
    </row>
    <row r="46" spans="1:7" ht="15" customHeight="1">
      <c r="A46" s="23">
        <f ca="1">TODAY()-8</f>
        <v>46245</v>
      </c>
      <c r="B46" s="12">
        <f ca="1">COUNTIFS('HZ-ASD Tracker'!$M$5:$M$992,TODAY()-8,'HZ-ASD Tracker'!$E$5:$E$992,"Closed")</f>
        <v>0</v>
      </c>
      <c r="C46" s="24">
        <f ca="1">COUNTIFS('HZ-ASD Tracker'!$M$5:$M$992,"&lt;="&amp;TODAY()-8,'HZ-ASD Tracker'!$E$5:$E$992,"Closed")</f>
        <v>123</v>
      </c>
      <c r="D46" s="24">
        <f ca="1">COUNTIF('HZ-ASD Tracker'!$A$5:$A$992,"&lt;&gt;")-C46</f>
        <v>307</v>
      </c>
      <c r="E46" s="25">
        <f ca="1">IFERROR(C46/COUNTIF('HZ-ASD Tracker'!$A$5:$A$992,"&lt;&gt;"),0)</f>
        <v>0.28604651162790695</v>
      </c>
      <c r="F46" s="11">
        <f t="shared" ca="1" si="6"/>
        <v>0.28604651162790695</v>
      </c>
      <c r="G46" s="11" t="str">
        <f t="shared" ca="1" si="7"/>
        <v/>
      </c>
    </row>
    <row r="47" spans="1:7" ht="15" customHeight="1">
      <c r="A47" s="23">
        <f ca="1">TODAY()-7</f>
        <v>46246</v>
      </c>
      <c r="B47" s="12">
        <f ca="1">COUNTIFS('HZ-ASD Tracker'!$M$5:$M$992,TODAY()-7,'HZ-ASD Tracker'!$E$5:$E$992,"Closed")</f>
        <v>0</v>
      </c>
      <c r="C47" s="24">
        <f ca="1">COUNTIFS('HZ-ASD Tracker'!$M$5:$M$992,"&lt;="&amp;TODAY()-7,'HZ-ASD Tracker'!$E$5:$E$992,"Closed")</f>
        <v>123</v>
      </c>
      <c r="D47" s="24">
        <f ca="1">COUNTIF('HZ-ASD Tracker'!$A$5:$A$992,"&lt;&gt;")-C47</f>
        <v>307</v>
      </c>
      <c r="E47" s="25">
        <f ca="1">IFERROR(C47/COUNTIF('HZ-ASD Tracker'!$A$5:$A$992,"&lt;&gt;"),0)</f>
        <v>0.28604651162790695</v>
      </c>
      <c r="F47" s="11">
        <f t="shared" ca="1" si="6"/>
        <v>0.28604651162790695</v>
      </c>
      <c r="G47" s="11" t="str">
        <f t="shared" ca="1" si="7"/>
        <v/>
      </c>
    </row>
    <row r="48" spans="1:7" ht="15" customHeight="1">
      <c r="A48" s="23">
        <f ca="1">TODAY()-6</f>
        <v>46247</v>
      </c>
      <c r="B48" s="12">
        <f ca="1">COUNTIFS('HZ-ASD Tracker'!$M$5:$M$992,TODAY()-6,'HZ-ASD Tracker'!$E$5:$E$992,"Closed")</f>
        <v>0</v>
      </c>
      <c r="C48" s="24">
        <f ca="1">COUNTIFS('HZ-ASD Tracker'!$M$5:$M$992,"&lt;="&amp;TODAY()-6,'HZ-ASD Tracker'!$E$5:$E$992,"Closed")</f>
        <v>123</v>
      </c>
      <c r="D48" s="24">
        <f ca="1">COUNTIF('HZ-ASD Tracker'!$A$5:$A$992,"&lt;&gt;")-C48</f>
        <v>307</v>
      </c>
      <c r="E48" s="25">
        <f ca="1">IFERROR(C48/COUNTIF('HZ-ASD Tracker'!$A$5:$A$992,"&lt;&gt;"),0)</f>
        <v>0.28604651162790695</v>
      </c>
      <c r="F48" s="11">
        <f t="shared" ca="1" si="6"/>
        <v>0.28604651162790695</v>
      </c>
      <c r="G48" s="11" t="str">
        <f t="shared" ca="1" si="7"/>
        <v/>
      </c>
    </row>
    <row r="49" spans="1:7" ht="15" customHeight="1">
      <c r="A49" s="23">
        <f ca="1">TODAY()-5</f>
        <v>46248</v>
      </c>
      <c r="B49" s="12">
        <f ca="1">COUNTIFS('HZ-ASD Tracker'!$M$5:$M$992,TODAY()-5,'HZ-ASD Tracker'!$E$5:$E$992,"Closed")</f>
        <v>0</v>
      </c>
      <c r="C49" s="24">
        <f ca="1">COUNTIFS('HZ-ASD Tracker'!$M$5:$M$992,"&lt;="&amp;TODAY()-5,'HZ-ASD Tracker'!$E$5:$E$992,"Closed")</f>
        <v>123</v>
      </c>
      <c r="D49" s="24">
        <f ca="1">COUNTIF('HZ-ASD Tracker'!$A$5:$A$992,"&lt;&gt;")-C49</f>
        <v>307</v>
      </c>
      <c r="E49" s="25">
        <f ca="1">IFERROR(C49/COUNTIF('HZ-ASD Tracker'!$A$5:$A$992,"&lt;&gt;"),0)</f>
        <v>0.28604651162790695</v>
      </c>
      <c r="F49" s="11">
        <f t="shared" ca="1" si="6"/>
        <v>0.28604651162790695</v>
      </c>
      <c r="G49" s="11" t="str">
        <f t="shared" ca="1" si="7"/>
        <v/>
      </c>
    </row>
    <row r="50" spans="1:7" ht="15" customHeight="1">
      <c r="A50" s="23">
        <f ca="1">TODAY()-4</f>
        <v>46249</v>
      </c>
      <c r="B50" s="12">
        <f ca="1">COUNTIFS('HZ-ASD Tracker'!$M$5:$M$992,TODAY()-4,'HZ-ASD Tracker'!$E$5:$E$992,"Closed")</f>
        <v>0</v>
      </c>
      <c r="C50" s="24">
        <f ca="1">COUNTIFS('HZ-ASD Tracker'!$M$5:$M$992,"&lt;="&amp;TODAY()-4,'HZ-ASD Tracker'!$E$5:$E$992,"Closed")</f>
        <v>123</v>
      </c>
      <c r="D50" s="24">
        <f ca="1">COUNTIF('HZ-ASD Tracker'!$A$5:$A$992,"&lt;&gt;")-C50</f>
        <v>307</v>
      </c>
      <c r="E50" s="25">
        <f ca="1">IFERROR(C50/COUNTIF('HZ-ASD Tracker'!$A$5:$A$992,"&lt;&gt;"),0)</f>
        <v>0.28604651162790695</v>
      </c>
      <c r="F50" s="11">
        <f t="shared" ca="1" si="6"/>
        <v>0.28604651162790695</v>
      </c>
      <c r="G50" s="11" t="str">
        <f t="shared" ca="1" si="7"/>
        <v/>
      </c>
    </row>
    <row r="51" spans="1:7" ht="15" customHeight="1">
      <c r="A51" s="23">
        <f ca="1">TODAY()-3</f>
        <v>46250</v>
      </c>
      <c r="B51" s="12">
        <f ca="1">COUNTIFS('HZ-ASD Tracker'!$M$5:$M$992,TODAY()-3,'HZ-ASD Tracker'!$E$5:$E$992,"Closed")</f>
        <v>0</v>
      </c>
      <c r="C51" s="24">
        <f ca="1">COUNTIFS('HZ-ASD Tracker'!$M$5:$M$992,"&lt;="&amp;TODAY()-3,'HZ-ASD Tracker'!$E$5:$E$992,"Closed")</f>
        <v>123</v>
      </c>
      <c r="D51" s="24">
        <f ca="1">COUNTIF('HZ-ASD Tracker'!$A$5:$A$992,"&lt;&gt;")-C51</f>
        <v>307</v>
      </c>
      <c r="E51" s="25">
        <f ca="1">IFERROR(C51/COUNTIF('HZ-ASD Tracker'!$A$5:$A$992,"&lt;&gt;"),0)</f>
        <v>0.28604651162790695</v>
      </c>
      <c r="F51" s="11">
        <f t="shared" ca="1" si="6"/>
        <v>0.28604651162790695</v>
      </c>
      <c r="G51" s="11" t="str">
        <f t="shared" ca="1" si="7"/>
        <v/>
      </c>
    </row>
    <row r="52" spans="1:7" ht="15" customHeight="1">
      <c r="A52" s="23">
        <f ca="1">TODAY()-2</f>
        <v>46251</v>
      </c>
      <c r="B52" s="12">
        <f ca="1">COUNTIFS('HZ-ASD Tracker'!$M$5:$M$992,TODAY()-2,'HZ-ASD Tracker'!$E$5:$E$992,"Closed")</f>
        <v>0</v>
      </c>
      <c r="C52" s="24">
        <f ca="1">COUNTIFS('HZ-ASD Tracker'!$M$5:$M$992,"&lt;="&amp;TODAY()-2,'HZ-ASD Tracker'!$E$5:$E$992,"Closed")</f>
        <v>123</v>
      </c>
      <c r="D52" s="24">
        <f ca="1">COUNTIF('HZ-ASD Tracker'!$A$5:$A$992,"&lt;&gt;")-C52</f>
        <v>307</v>
      </c>
      <c r="E52" s="25">
        <f ca="1">IFERROR(C52/COUNTIF('HZ-ASD Tracker'!$A$5:$A$992,"&lt;&gt;"),0)</f>
        <v>0.28604651162790695</v>
      </c>
      <c r="F52" s="11">
        <f t="shared" ca="1" si="6"/>
        <v>0.28604651162790695</v>
      </c>
      <c r="G52" s="11" t="str">
        <f t="shared" ca="1" si="7"/>
        <v/>
      </c>
    </row>
    <row r="53" spans="1:7" ht="15" customHeight="1">
      <c r="A53" s="23">
        <f ca="1">TODAY()-1</f>
        <v>46252</v>
      </c>
      <c r="B53" s="12">
        <f ca="1">COUNTIFS('HZ-ASD Tracker'!$M$5:$M$992,TODAY()-1,'HZ-ASD Tracker'!$E$5:$E$992,"Closed")</f>
        <v>0</v>
      </c>
      <c r="C53" s="24">
        <f ca="1">COUNTIFS('HZ-ASD Tracker'!$M$5:$M$992,"&lt;="&amp;TODAY()-1,'HZ-ASD Tracker'!$E$5:$E$992,"Closed")</f>
        <v>123</v>
      </c>
      <c r="D53" s="24">
        <f ca="1">COUNTIF('HZ-ASD Tracker'!$A$5:$A$992,"&lt;&gt;")-C53</f>
        <v>307</v>
      </c>
      <c r="E53" s="25">
        <f ca="1">IFERROR(C53/COUNTIF('HZ-ASD Tracker'!$A$5:$A$992,"&lt;&gt;"),0)</f>
        <v>0.28604651162790695</v>
      </c>
      <c r="F53" s="11">
        <f t="shared" ca="1" si="6"/>
        <v>0.28604651162790695</v>
      </c>
      <c r="G53" s="11" t="str">
        <f t="shared" ca="1" si="7"/>
        <v/>
      </c>
    </row>
    <row r="54" spans="1:7" ht="15" customHeight="1">
      <c r="A54" s="23">
        <f ca="1">TODAY()-0</f>
        <v>46253</v>
      </c>
      <c r="B54" s="12">
        <f ca="1">COUNTIFS('HZ-ASD Tracker'!$M$5:$M$992,TODAY()-0,'HZ-ASD Tracker'!$E$5:$E$992,"Closed")</f>
        <v>0</v>
      </c>
      <c r="C54" s="24">
        <f ca="1">COUNTIFS('HZ-ASD Tracker'!$M$5:$M$992,"&lt;="&amp;TODAY()-0,'HZ-ASD Tracker'!$E$5:$E$992,"Closed")</f>
        <v>123</v>
      </c>
      <c r="D54" s="24">
        <f ca="1">COUNTIF('HZ-ASD Tracker'!$A$5:$A$992,"&lt;&gt;")-C54</f>
        <v>307</v>
      </c>
      <c r="E54" s="25">
        <f ca="1">IFERROR(C54/COUNTIF('HZ-ASD Tracker'!$A$5:$A$992,"&lt;&gt;"),0)</f>
        <v>0.28604651162790695</v>
      </c>
      <c r="F54" s="11">
        <f t="shared" ca="1" si="6"/>
        <v>0.28604651162790695</v>
      </c>
      <c r="G54" s="11" t="str">
        <f t="shared" ca="1" si="7"/>
        <v/>
      </c>
    </row>
    <row r="55" spans="1:7" ht="7.15" customHeight="1">
      <c r="A55" s="115"/>
      <c r="B55" s="115"/>
      <c r="C55" s="115"/>
      <c r="D55" s="115"/>
      <c r="E55" s="115"/>
      <c r="F55" s="115"/>
      <c r="G55" s="115"/>
    </row>
    <row r="56" spans="1:7" ht="18" customHeight="1">
      <c r="A56" s="165" t="s">
        <v>1045</v>
      </c>
      <c r="B56" s="218"/>
      <c r="C56" s="218"/>
      <c r="D56" s="218"/>
      <c r="E56" s="172"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0 d · 24 open</v>
      </c>
      <c r="F56" s="218"/>
      <c r="G56" s="218"/>
    </row>
    <row r="57" spans="1:7" ht="12" customHeight="1">
      <c r="A57" s="135" t="s">
        <v>1046</v>
      </c>
      <c r="B57" s="135">
        <f>COUNTIFS('HZ-ASD Tracker'!$A$5:$A$992,"&lt;&gt;",'HZ-ASD Tracker'!$F$5:$F$992,"ACCESS",'HZ-ASD Tracker'!$E$5:$E$992,"&lt;&gt;Closed")</f>
        <v>24</v>
      </c>
      <c r="C57" s="135">
        <f>COUNTIFS('HZ-ASD Tracker'!$A$5:$A$992,"&lt;&gt;",'HZ-ASD Tracker'!$F$5:$F$992,"ACCESS")</f>
        <v>24</v>
      </c>
      <c r="D57" s="137">
        <f>IFERROR(B57/C57,0)</f>
        <v>1</v>
      </c>
      <c r="E57" s="135"/>
      <c r="F57" s="115"/>
      <c r="G57" s="115"/>
    </row>
    <row r="58" spans="1:7" ht="16.5" customHeight="1">
      <c r="A58" s="19" t="s">
        <v>1047</v>
      </c>
      <c r="B58" s="14">
        <f>COUNTIFS('HZ-ASD Tracker'!$A$5:$A$992,"&lt;&gt;",'HZ-ASD Tracker'!$F$5:$F$992,"ACCESS",'HZ-ASD Tracker'!$E$5:$E$992,"Closed")</f>
        <v>0</v>
      </c>
      <c r="C58" s="14">
        <f>COUNTIFS('HZ-ASD Tracker'!$A$5:$A$992,"&lt;&gt;",'HZ-ASD Tracker'!$F$5:$F$992,"ACCESS")</f>
        <v>24</v>
      </c>
      <c r="D58" s="15">
        <f>IFERROR(B58/C58,0)</f>
        <v>0</v>
      </c>
      <c r="E58" s="99"/>
      <c r="F58" s="92"/>
      <c r="G58" s="11" t="str">
        <f>IF(D58=0,"",D58)</f>
        <v/>
      </c>
    </row>
    <row r="59" spans="1:7" ht="7.15" customHeight="1">
      <c r="A59" s="138"/>
      <c r="B59" s="139"/>
      <c r="C59" s="139"/>
      <c r="D59" s="140"/>
      <c r="E59" s="140"/>
      <c r="F59" s="115"/>
      <c r="G59" s="141"/>
    </row>
    <row r="60" spans="1:7" ht="6" hidden="1" customHeight="1">
      <c r="A60" s="142"/>
      <c r="B60" s="139"/>
      <c r="C60" s="139"/>
      <c r="D60" s="140"/>
      <c r="E60" s="140"/>
      <c r="F60" s="115"/>
      <c r="G60" s="141"/>
    </row>
    <row r="61" spans="1:7" ht="19.899999999999999" customHeight="1">
      <c r="A61" s="165" t="s">
        <v>1048</v>
      </c>
      <c r="B61" s="218"/>
      <c r="C61" s="218"/>
      <c r="D61" s="218"/>
      <c r="E61" s="218"/>
      <c r="F61" s="218"/>
      <c r="G61" s="218"/>
    </row>
    <row r="62" spans="1:7" ht="18.399999999999999" customHeight="1">
      <c r="A62" s="169" t="str">
        <f>"🔧 PARTS — Requested: "&amp;COUNTIFS('HZ-ASD Tracker'!$A$5:$A$992,"&lt;&gt;",'HZ-ASD Tracker'!$H$5:$H$992,"Requested")&amp;"   ·   Pending EVAL: "&amp;COUNTIFS('HZ-ASD Tracker'!$A$5:$A$992,"&lt;&gt;",'HZ-ASD Tracker'!$H$5:$H$992,"Pending EVAL")&amp;"   ·   Not required: "&amp;COUNTIFS('HZ-ASD Tracker'!$A$5:$A$992,"&lt;&gt;",'HZ-ASD Tracker'!$H$5:$H$992,"N/R")</f>
        <v>🔧 PARTS — Requested: 183   ·   Pending EVAL: 0   ·   Not required: 0</v>
      </c>
      <c r="B62" s="218"/>
      <c r="C62" s="218"/>
      <c r="D62" s="218"/>
      <c r="E62" s="218"/>
      <c r="F62" s="218"/>
      <c r="G62" s="218"/>
    </row>
    <row r="63" spans="1:7" ht="18.399999999999999" customHeight="1">
      <c r="A63" s="169"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218"/>
      <c r="C63" s="218"/>
      <c r="D63" s="218"/>
      <c r="E63" s="218"/>
      <c r="F63" s="218"/>
      <c r="G63" s="218"/>
    </row>
    <row r="64" spans="1:7" ht="18.399999999999999" customHeight="1">
      <c r="A64" s="181" t="str">
        <f>"🕐 CABIN WORKLOAD — Estimated "&amp;TEXT(SUM('HZ-ASD Tracker'!$N$5:$N$992),"#,##0")&amp;" MH   ·   Booked "&amp;TEXT(SUM('HZ-ASD Tracker'!$P$5:$P$992),"#,##0")&amp;" MH   ·   Booked / Est "&amp;TEXT(IFERROR(SUM('HZ-ASD Tracker'!$P$5:$P$992)/SUM('HZ-ASD Tracker'!$N$5:$N$992),0),"0%")</f>
        <v>🕐 CABIN WORKLOAD — Estimated 2,453 MH   ·   Booked 3,696 MH   ·   Booked / Est 151%</v>
      </c>
      <c r="B64" s="218"/>
      <c r="C64" s="218"/>
      <c r="D64" s="218"/>
      <c r="E64" s="218"/>
      <c r="F64" s="218"/>
      <c r="G64" s="218"/>
    </row>
    <row r="65" spans="1:7" ht="7.15" customHeight="1">
      <c r="A65" s="186"/>
      <c r="B65" s="218"/>
      <c r="C65" s="218"/>
      <c r="D65" s="218"/>
      <c r="E65" s="218"/>
      <c r="F65" s="218"/>
      <c r="G65" s="218"/>
    </row>
    <row r="66" spans="1:7" ht="30" customHeight="1">
      <c r="A66" s="165" t="s">
        <v>1049</v>
      </c>
      <c r="B66" s="218"/>
      <c r="C66" s="143" t="s">
        <v>1050</v>
      </c>
      <c r="D66" s="143" t="s">
        <v>1051</v>
      </c>
      <c r="E66" s="143" t="s">
        <v>1052</v>
      </c>
      <c r="F66" s="100" t="s">
        <v>1053</v>
      </c>
      <c r="G66" s="144"/>
    </row>
    <row r="67" spans="1:7" ht="16.5" customHeight="1">
      <c r="A67" s="184" t="s">
        <v>50</v>
      </c>
      <c r="B67" s="221"/>
      <c r="C67" s="26">
        <f>SUMIFS('HZ-ASD Tracker'!$N$5:$N$992,'HZ-ASD Tracker'!$G$5:$G$992,"CAB")</f>
        <v>415.25</v>
      </c>
      <c r="D67" s="26">
        <f>SUMIFS('HZ-ASD Tracker'!$P$5:$P$992,'HZ-ASD Tracker'!$G$5:$G$992,"CAB")</f>
        <v>1480.6999999999998</v>
      </c>
      <c r="E67" s="15">
        <f>IFERROR(C67/SUM('HZ-ASD Tracker'!$N$5:$N$992),0)</f>
        <v>0.16929286340379557</v>
      </c>
      <c r="F67" s="15">
        <f>IFERROR(D67/SUM('HZ-ASD Tracker'!$P$5:$P$992),0)</f>
        <v>0.40067649844405367</v>
      </c>
      <c r="G67" s="11">
        <f t="shared" ref="G67:G75" si="8">IF(E67=0,"",E67)</f>
        <v>0.16929286340379557</v>
      </c>
    </row>
    <row r="68" spans="1:7" ht="16.5" customHeight="1">
      <c r="A68" s="176" t="s">
        <v>187</v>
      </c>
      <c r="B68" s="221"/>
      <c r="C68" s="26">
        <f>SUMIFS('HZ-ASD Tracker'!$N$5:$N$992,'HZ-ASD Tracker'!$G$5:$G$992,"SEAT")</f>
        <v>538.79999999999995</v>
      </c>
      <c r="D68" s="26">
        <f>SUMIFS('HZ-ASD Tracker'!$P$5:$P$992,'HZ-ASD Tracker'!$G$5:$G$992,"SEAT")</f>
        <v>913.40000000000009</v>
      </c>
      <c r="E68" s="15">
        <f>IFERROR(C68/SUM('HZ-ASD Tracker'!$N$5:$N$992),0)</f>
        <v>0.21966284118474422</v>
      </c>
      <c r="F68" s="15">
        <f>IFERROR(D68/SUM('HZ-ASD Tracker'!$P$5:$P$992),0)</f>
        <v>0.24716547151941562</v>
      </c>
      <c r="G68" s="11">
        <f t="shared" si="8"/>
        <v>0.21966284118474422</v>
      </c>
    </row>
    <row r="69" spans="1:7" ht="16.5" customHeight="1">
      <c r="A69" s="179" t="s">
        <v>209</v>
      </c>
      <c r="B69" s="221"/>
      <c r="C69" s="26">
        <f>SUMIFS('HZ-ASD Tracker'!$N$5:$N$992,'HZ-ASD Tracker'!$G$5:$G$992,"AV")</f>
        <v>773.6</v>
      </c>
      <c r="D69" s="26">
        <f>SUMIFS('HZ-ASD Tracker'!$P$5:$P$992,'HZ-ASD Tracker'!$G$5:$G$992,"AV")</f>
        <v>283.89999999999998</v>
      </c>
      <c r="E69" s="15">
        <f>IFERROR(C69/SUM('HZ-ASD Tracker'!$N$5:$N$992),0)</f>
        <v>0.31538822186436183</v>
      </c>
      <c r="F69" s="15">
        <f>IFERROR(D69/SUM('HZ-ASD Tracker'!$P$5:$P$992),0)</f>
        <v>7.6823163306724424E-2</v>
      </c>
      <c r="G69" s="11">
        <f t="shared" si="8"/>
        <v>0.31538822186436183</v>
      </c>
    </row>
    <row r="70" spans="1:7" ht="16.5" customHeight="1">
      <c r="A70" s="178" t="s">
        <v>998</v>
      </c>
      <c r="B70" s="221"/>
      <c r="C70" s="26">
        <f>SUMIFS('HZ-ASD Tracker'!$N$5:$N$992,'HZ-ASD Tracker'!$G$5:$G$992,"WALL")</f>
        <v>36</v>
      </c>
      <c r="D70" s="26">
        <f>SUMIFS('HZ-ASD Tracker'!$P$5:$P$992,'HZ-ASD Tracker'!$G$5:$G$992,"WALL")</f>
        <v>0</v>
      </c>
      <c r="E70" s="15">
        <f>IFERROR(C70/SUM('HZ-ASD Tracker'!$N$5:$N$992),0)</f>
        <v>1.4676804533501843E-2</v>
      </c>
      <c r="F70" s="15">
        <f>IFERROR(D70/SUM('HZ-ASD Tracker'!$P$5:$P$992),0)</f>
        <v>0</v>
      </c>
      <c r="G70" s="11">
        <f t="shared" si="8"/>
        <v>1.4676804533501843E-2</v>
      </c>
    </row>
    <row r="71" spans="1:7" ht="16.5" customHeight="1">
      <c r="A71" s="164" t="s">
        <v>757</v>
      </c>
      <c r="B71" s="221"/>
      <c r="C71" s="26">
        <f>SUMIFS('HZ-ASD Tracker'!$N$5:$N$992,'HZ-ASD Tracker'!$G$5:$G$992,"S/M")</f>
        <v>8</v>
      </c>
      <c r="D71" s="26">
        <f>SUMIFS('HZ-ASD Tracker'!$P$5:$P$992,'HZ-ASD Tracker'!$G$5:$G$992,"S/M")</f>
        <v>89.300000000000011</v>
      </c>
      <c r="E71" s="15">
        <f>IFERROR(C71/SUM('HZ-ASD Tracker'!$N$5:$N$992),0)</f>
        <v>3.2615121185559652E-3</v>
      </c>
      <c r="F71" s="15">
        <f>IFERROR(D71/SUM('HZ-ASD Tracker'!$P$5:$P$992),0)</f>
        <v>2.4164524421593843E-2</v>
      </c>
      <c r="G71" s="11">
        <f t="shared" si="8"/>
        <v>3.2615121185559652E-3</v>
      </c>
    </row>
    <row r="72" spans="1:7" ht="16.5" customHeight="1">
      <c r="A72" s="175" t="s">
        <v>168</v>
      </c>
      <c r="B72" s="221"/>
      <c r="C72" s="26">
        <f>SUMIFS('HZ-ASD Tracker'!$N$5:$N$992,'HZ-ASD Tracker'!$G$5:$G$992,"PAINT")</f>
        <v>150</v>
      </c>
      <c r="D72" s="26">
        <f>SUMIFS('HZ-ASD Tracker'!$P$5:$P$992,'HZ-ASD Tracker'!$G$5:$G$992,"PAINT")</f>
        <v>129.5</v>
      </c>
      <c r="E72" s="15">
        <f>IFERROR(C72/SUM('HZ-ASD Tracker'!$N$5:$N$992),0)</f>
        <v>6.1153352222924347E-2</v>
      </c>
      <c r="F72" s="15">
        <f>IFERROR(D72/SUM('HZ-ASD Tracker'!$P$5:$P$992),0)</f>
        <v>3.5042619401975388E-2</v>
      </c>
      <c r="G72" s="11">
        <f t="shared" si="8"/>
        <v>6.1153352222924347E-2</v>
      </c>
    </row>
    <row r="73" spans="1:7" ht="16.5" customHeight="1">
      <c r="A73" s="168" t="s">
        <v>24</v>
      </c>
      <c r="B73" s="221"/>
      <c r="C73" s="26">
        <f>SUMIFS('HZ-ASD Tracker'!$N$5:$N$992,'HZ-ASD Tracker'!$G$5:$G$992,"JOINT")</f>
        <v>167</v>
      </c>
      <c r="D73" s="26">
        <f>SUMIFS('HZ-ASD Tracker'!$P$5:$P$992,'HZ-ASD Tracker'!$G$5:$G$992,"JOINT")</f>
        <v>580.6</v>
      </c>
      <c r="E73" s="15">
        <f>IFERROR(C73/SUM('HZ-ASD Tracker'!$N$5:$N$992),0)</f>
        <v>6.8084065474855765E-2</v>
      </c>
      <c r="F73" s="15">
        <f>IFERROR(D73/SUM('HZ-ASD Tracker'!$P$5:$P$992),0)</f>
        <v>0.15710999864700317</v>
      </c>
      <c r="G73" s="11">
        <f t="shared" si="8"/>
        <v>6.8084065474855765E-2</v>
      </c>
    </row>
    <row r="74" spans="1:7" ht="16.5" customHeight="1">
      <c r="A74" s="182" t="s">
        <v>84</v>
      </c>
      <c r="B74" s="221"/>
      <c r="C74" s="26">
        <f>SUMIFS('HZ-ASD Tracker'!$N$5:$N$992,'HZ-ASD Tracker'!$G$5:$G$992,"INSP")</f>
        <v>138.9</v>
      </c>
      <c r="D74" s="26">
        <f>SUMIFS('HZ-ASD Tracker'!$P$5:$P$992,'HZ-ASD Tracker'!$G$5:$G$992,"INSP")</f>
        <v>137.40000000000003</v>
      </c>
      <c r="E74" s="15">
        <f>IFERROR(C74/SUM('HZ-ASD Tracker'!$N$5:$N$992),0)</f>
        <v>5.6628004158427947E-2</v>
      </c>
      <c r="F74" s="15">
        <f>IFERROR(D74/SUM('HZ-ASD Tracker'!$P$5:$P$992),0)</f>
        <v>3.7180354485184704E-2</v>
      </c>
      <c r="G74" s="11">
        <f t="shared" si="8"/>
        <v>5.6628004158427947E-2</v>
      </c>
    </row>
    <row r="75" spans="1:7" ht="16.5" customHeight="1">
      <c r="A75" s="180" t="s">
        <v>158</v>
      </c>
      <c r="B75" s="221"/>
      <c r="C75" s="26">
        <f>SUMIFS('HZ-ASD Tracker'!$N$5:$N$992,'HZ-ASD Tracker'!$G$5:$G$992,"AP")</f>
        <v>126.60000000000001</v>
      </c>
      <c r="D75" s="26">
        <f>SUMIFS('HZ-ASD Tracker'!$P$5:$P$992,'HZ-ASD Tracker'!$G$5:$G$992,"AP")</f>
        <v>70</v>
      </c>
      <c r="E75" s="15">
        <f>IFERROR(C75/SUM('HZ-ASD Tracker'!$N$5:$N$992),0)</f>
        <v>5.1613429276148148E-2</v>
      </c>
      <c r="F75" s="15">
        <f>IFERROR(D75/SUM('HZ-ASD Tracker'!$P$5:$P$992),0)</f>
        <v>1.8941956433500211E-2</v>
      </c>
      <c r="G75" s="11">
        <f t="shared" si="8"/>
        <v>5.1613429276148148E-2</v>
      </c>
    </row>
    <row r="76" spans="1:7" ht="7.15" customHeight="1">
      <c r="A76" s="177"/>
      <c r="B76" s="218"/>
      <c r="C76" s="218"/>
      <c r="D76" s="218"/>
      <c r="E76" s="218"/>
      <c r="F76" s="218"/>
      <c r="G76" s="218"/>
    </row>
    <row r="77" spans="1:7" hidden="1">
      <c r="A77" s="115"/>
      <c r="B77" s="115"/>
      <c r="C77" s="115"/>
      <c r="D77" s="115"/>
      <c r="E77" s="115"/>
      <c r="F77" s="115"/>
      <c r="G77" s="115"/>
    </row>
    <row r="78" spans="1:7" ht="19.899999999999999" customHeight="1">
      <c r="A78" s="171" t="s">
        <v>1054</v>
      </c>
      <c r="B78" s="218"/>
      <c r="C78" s="218"/>
      <c r="D78" s="218"/>
      <c r="E78" s="218"/>
      <c r="F78" s="218"/>
      <c r="G78" s="218"/>
    </row>
    <row r="79" spans="1:7" ht="12.95" customHeight="1">
      <c r="A79" s="145" t="s">
        <v>1055</v>
      </c>
      <c r="B79" s="145" t="s">
        <v>1024</v>
      </c>
      <c r="C79" s="145" t="s">
        <v>1025</v>
      </c>
      <c r="D79" s="145" t="s">
        <v>1029</v>
      </c>
      <c r="E79" s="145" t="s">
        <v>1056</v>
      </c>
      <c r="F79" s="145" t="s">
        <v>1050</v>
      </c>
      <c r="G79" s="145" t="s">
        <v>1057</v>
      </c>
    </row>
    <row r="80" spans="1:7" ht="24" customHeight="1">
      <c r="A80" s="146">
        <f>COUNTIF('FULL PKG'!$B$2:$B$3000,"&lt;&gt;")</f>
        <v>1398</v>
      </c>
      <c r="B80" s="146">
        <f>COUNTIF('FULL PKG'!$H$2:$H$3000,"Closed")</f>
        <v>626</v>
      </c>
      <c r="C80" s="146">
        <f>COUNTIF('FULL PKG'!$B$2:$B$3000,"&lt;&gt;")-COUNTIF('FULL PKG'!$H$2:$H$3000,"Closed")</f>
        <v>772</v>
      </c>
      <c r="D80" s="147">
        <f>IFERROR(COUNTIF('FULL PKG'!$H$2:$H$3000,"Closed")/COUNTIF('FULL PKG'!$B$2:$B$3000,"&lt;&gt;"),0)</f>
        <v>0.44778254649499283</v>
      </c>
      <c r="E80" s="147">
        <f ca="1">MIN(MAX((TODAY()-DASHBOARD!$M$1+1)/(DASHBOARD!$M$2-DASHBOARD!$M$1+1),0),1)</f>
        <v>0.86842105263157898</v>
      </c>
      <c r="F80" s="148">
        <f>SUM('FULL PKG'!$E$2:$E$3000)</f>
        <v>6350.1999999999643</v>
      </c>
      <c r="G80" s="148">
        <f>SUM('FULL PKG'!$F$2:$F$3000)</f>
        <v>11112.000000000024</v>
      </c>
    </row>
    <row r="81" spans="1:7" ht="18.399999999999999" customHeight="1">
      <c r="A81" s="170"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139/430 (32%)   ·   Non-cabin 487/968 (50%)   ·   Package 626/1398 (45%)</v>
      </c>
      <c r="B81" s="218"/>
      <c r="C81" s="218"/>
      <c r="D81" s="218"/>
      <c r="E81" s="218"/>
      <c r="F81" s="218"/>
      <c r="G81" s="218"/>
    </row>
    <row r="82" spans="1:7" ht="18.399999999999999" customHeight="1">
      <c r="A82" s="170" t="str">
        <f>"⏱ ESTIMATED MH — Cabin "&amp;TEXT(SUM('HZ-ASD Tracker'!$N$5:$N$992),"#,##0")&amp;"h   ·   Non-cabin "&amp;TEXT(SUM('FULL PKG'!$E$2:$E$3000)-SUM('HZ-ASD Tracker'!$N$5:$N$992),"#,##0")&amp;"h   ·   Cabin share "&amp;TEXT(IFERROR(SUM('HZ-ASD Tracker'!$N$5:$N$992)/SUM('FULL PKG'!$E$2:$E$3000),0),"0%")</f>
        <v>⏱ ESTIMATED MH — Cabin 2,453h   ·   Non-cabin 3,897h   ·   Cabin share 39%</v>
      </c>
      <c r="B82" s="218"/>
      <c r="C82" s="218"/>
      <c r="D82" s="218"/>
      <c r="E82" s="218"/>
      <c r="F82" s="218"/>
      <c r="G82" s="218"/>
    </row>
    <row r="83" spans="1:7" ht="18.399999999999999" customHeight="1">
      <c r="A83" s="170" t="str">
        <f>"⏱ BOOKED MH — Cabin "&amp;TEXT(SUM('HZ-ASD Tracker'!$P$5:$P$992),"#,##0")&amp;"h   ·   Non-cabin "&amp;TEXT(SUM('FULL PKG'!$F$2:$F$3000)-SUM('HZ-ASD Tracker'!$P$5:$P$992),"#,##0")&amp;"h   ·   Cabin share "&amp;TEXT(IFERROR(SUM('HZ-ASD Tracker'!$P$5:$P$992)/SUM('FULL PKG'!$F$2:$F$3000),0),"0%")</f>
        <v>⏱ BOOKED MH — Cabin 3,696h   ·   Non-cabin 7,417h   ·   Cabin share 33%</v>
      </c>
      <c r="B83" s="218"/>
      <c r="C83" s="218"/>
      <c r="D83" s="218"/>
      <c r="E83" s="218"/>
      <c r="F83" s="218"/>
      <c r="G83" s="218"/>
    </row>
    <row r="84" spans="1:7" ht="19.899999999999999" customHeight="1">
      <c r="A84" s="173" t="s">
        <v>1058</v>
      </c>
      <c r="B84" s="218"/>
      <c r="C84" s="218"/>
      <c r="D84" s="218"/>
      <c r="E84" s="218"/>
      <c r="F84" s="218"/>
      <c r="G84" s="218"/>
    </row>
    <row r="85" spans="1:7" ht="12" customHeight="1">
      <c r="A85" s="101" t="s">
        <v>11</v>
      </c>
      <c r="B85" s="101" t="s">
        <v>1059</v>
      </c>
      <c r="C85" s="101" t="s">
        <v>1024</v>
      </c>
      <c r="D85" s="101" t="s">
        <v>1060</v>
      </c>
      <c r="E85" s="101" t="s">
        <v>1050</v>
      </c>
      <c r="F85" s="101" t="s">
        <v>1051</v>
      </c>
      <c r="G85" s="102"/>
    </row>
    <row r="86" spans="1:7" ht="15" customHeight="1">
      <c r="A86" s="56" t="s">
        <v>25</v>
      </c>
      <c r="B86" s="57">
        <f>COUNTIFS('HZ-ASD Tracker'!$A$5:$A$992,"&lt;&gt;",'HZ-ASD Tracker'!$K$5:$K$992,"FWD")</f>
        <v>143</v>
      </c>
      <c r="C86" s="57">
        <f>COUNTIFS('HZ-ASD Tracker'!$A$5:$A$992,"&lt;&gt;",'HZ-ASD Tracker'!$K$5:$K$992,"FWD",'HZ-ASD Tracker'!$E$5:$E$992,"Closed")</f>
        <v>48</v>
      </c>
      <c r="D86" s="58">
        <f>IFERROR(C86/B86,0)</f>
        <v>0.33566433566433568</v>
      </c>
      <c r="E86" s="59">
        <f>SUMIFS('HZ-ASD Tracker'!$N$5:$N$992,'HZ-ASD Tracker'!$K$5:$K$992,"FWD")</f>
        <v>254</v>
      </c>
      <c r="F86" s="59">
        <f>SUMIFS('HZ-ASD Tracker'!$P$5:$P$992,'HZ-ASD Tracker'!$K$5:$K$992,"FWD")</f>
        <v>840.5</v>
      </c>
      <c r="G86" s="103"/>
    </row>
    <row r="87" spans="1:7" ht="15" customHeight="1">
      <c r="A87" s="56" t="s">
        <v>29</v>
      </c>
      <c r="B87" s="57">
        <f>COUNTIFS('HZ-ASD Tracker'!$A$5:$A$992,"&lt;&gt;",'HZ-ASD Tracker'!$K$5:$K$992,"AFT")</f>
        <v>102</v>
      </c>
      <c r="C87" s="57">
        <f>COUNTIFS('HZ-ASD Tracker'!$A$5:$A$992,"&lt;&gt;",'HZ-ASD Tracker'!$K$5:$K$992,"AFT",'HZ-ASD Tracker'!$E$5:$E$992,"Closed")</f>
        <v>23</v>
      </c>
      <c r="D87" s="58">
        <f>IFERROR(C87/B87,0)</f>
        <v>0.22549019607843138</v>
      </c>
      <c r="E87" s="59">
        <f>SUMIFS('HZ-ASD Tracker'!$N$5:$N$992,'HZ-ASD Tracker'!$K$5:$K$992,"AFT")</f>
        <v>298.8</v>
      </c>
      <c r="F87" s="59">
        <f>SUMIFS('HZ-ASD Tracker'!$P$5:$P$992,'HZ-ASD Tracker'!$K$5:$K$992,"AFT")</f>
        <v>688.40000000000009</v>
      </c>
      <c r="G87" s="103"/>
    </row>
    <row r="88" spans="1:7" ht="15" customHeight="1">
      <c r="A88" s="56" t="s">
        <v>24</v>
      </c>
      <c r="B88" s="57">
        <f>COUNTIFS('HZ-ASD Tracker'!$A$5:$A$992,"&lt;&gt;",'HZ-ASD Tracker'!$K$5:$K$992,"JOINT")</f>
        <v>116</v>
      </c>
      <c r="C88" s="57">
        <f>COUNTIFS('HZ-ASD Tracker'!$A$5:$A$992,"&lt;&gt;",'HZ-ASD Tracker'!$K$5:$K$992,"JOINT",'HZ-ASD Tracker'!$E$5:$E$992,"Closed")</f>
        <v>35</v>
      </c>
      <c r="D88" s="58">
        <f>IFERROR(C88/B88,0)</f>
        <v>0.30172413793103448</v>
      </c>
      <c r="E88" s="59">
        <f>SUMIFS('HZ-ASD Tracker'!$N$5:$N$992,'HZ-ASD Tracker'!$K$5:$K$992,"JOINT")</f>
        <v>1247.3499999999999</v>
      </c>
      <c r="F88" s="59">
        <f>SUMIFS('HZ-ASD Tracker'!$P$5:$P$992,'HZ-ASD Tracker'!$K$5:$K$992,"JOINT")</f>
        <v>1662.4</v>
      </c>
      <c r="G88" s="103"/>
    </row>
    <row r="89" spans="1:7" ht="19.899999999999999" customHeight="1">
      <c r="A89" s="174" t="s">
        <v>1061</v>
      </c>
      <c r="B89" s="218"/>
      <c r="C89" s="218"/>
      <c r="D89" s="218"/>
      <c r="E89" s="218"/>
      <c r="F89" s="218"/>
      <c r="G89" s="218"/>
    </row>
    <row r="90" spans="1:7" ht="12" customHeight="1">
      <c r="A90" s="102" t="s">
        <v>1062</v>
      </c>
      <c r="B90" s="102" t="s">
        <v>1063</v>
      </c>
      <c r="C90" s="102"/>
      <c r="D90" s="102"/>
      <c r="E90" s="104" t="s">
        <v>1064</v>
      </c>
      <c r="F90" s="104" t="s">
        <v>1065</v>
      </c>
      <c r="G90" s="104" t="s">
        <v>1066</v>
      </c>
    </row>
    <row r="91" spans="1:7" ht="14.45" customHeight="1">
      <c r="A91" s="70" t="s">
        <v>668</v>
      </c>
      <c r="B91" s="166" t="s">
        <v>669</v>
      </c>
      <c r="C91" s="222"/>
      <c r="D91" s="223"/>
      <c r="E91" s="71">
        <v>6861</v>
      </c>
      <c r="F91" s="71">
        <v>16</v>
      </c>
      <c r="G91" s="73">
        <v>6845</v>
      </c>
    </row>
    <row r="92" spans="1:7" ht="14.45" customHeight="1">
      <c r="A92" s="70" t="s">
        <v>673</v>
      </c>
      <c r="B92" s="166" t="s">
        <v>1067</v>
      </c>
      <c r="C92" s="222"/>
      <c r="D92" s="223"/>
      <c r="E92" s="71">
        <v>2354</v>
      </c>
      <c r="F92" s="71">
        <v>15</v>
      </c>
      <c r="G92" s="73">
        <v>2339</v>
      </c>
    </row>
    <row r="93" spans="1:7" ht="14.45" customHeight="1">
      <c r="A93" s="70" t="s">
        <v>1068</v>
      </c>
      <c r="B93" s="166" t="s">
        <v>1069</v>
      </c>
      <c r="C93" s="222"/>
      <c r="D93" s="223"/>
      <c r="E93" s="71">
        <v>763</v>
      </c>
      <c r="F93" s="71">
        <v>4</v>
      </c>
      <c r="G93" s="73">
        <v>760</v>
      </c>
    </row>
    <row r="94" spans="1:7" ht="14.45" customHeight="1">
      <c r="A94" s="70" t="s">
        <v>1070</v>
      </c>
      <c r="B94" s="166" t="s">
        <v>1071</v>
      </c>
      <c r="C94" s="222"/>
      <c r="D94" s="223"/>
      <c r="E94" s="70">
        <v>466</v>
      </c>
      <c r="F94" s="70">
        <v>35</v>
      </c>
      <c r="G94" s="74">
        <v>431</v>
      </c>
    </row>
    <row r="95" spans="1:7" ht="14.45" customHeight="1">
      <c r="A95" s="70" t="s">
        <v>1072</v>
      </c>
      <c r="B95" s="166" t="s">
        <v>1073</v>
      </c>
      <c r="C95" s="222"/>
      <c r="D95" s="223"/>
      <c r="E95" s="70">
        <v>370</v>
      </c>
      <c r="F95" s="70">
        <v>2</v>
      </c>
      <c r="G95" s="74">
        <v>369</v>
      </c>
    </row>
    <row r="96" spans="1:7" ht="14.45" customHeight="1">
      <c r="A96" s="70" t="s">
        <v>1074</v>
      </c>
      <c r="B96" s="166" t="s">
        <v>1075</v>
      </c>
      <c r="C96" s="222"/>
      <c r="D96" s="223"/>
      <c r="E96" s="70">
        <v>370</v>
      </c>
      <c r="F96" s="70">
        <v>2</v>
      </c>
      <c r="G96" s="74">
        <v>368</v>
      </c>
    </row>
    <row r="97" spans="1:7" ht="14.45" customHeight="1">
      <c r="A97" s="70" t="s">
        <v>1076</v>
      </c>
      <c r="B97" s="166" t="s">
        <v>1077</v>
      </c>
      <c r="C97" s="222"/>
      <c r="D97" s="223"/>
      <c r="E97" s="72">
        <v>371</v>
      </c>
      <c r="F97" s="72">
        <v>4</v>
      </c>
      <c r="G97" s="75">
        <v>367</v>
      </c>
    </row>
    <row r="98" spans="1:7" ht="14.45" customHeight="1">
      <c r="A98" s="70" t="s">
        <v>1078</v>
      </c>
      <c r="B98" s="166" t="s">
        <v>761</v>
      </c>
      <c r="C98" s="222"/>
      <c r="D98" s="223"/>
      <c r="E98" s="72">
        <v>372</v>
      </c>
      <c r="F98" s="72">
        <v>10</v>
      </c>
      <c r="G98" s="75">
        <v>363</v>
      </c>
    </row>
    <row r="99" spans="1:7">
      <c r="A99" s="105"/>
      <c r="B99" s="106"/>
      <c r="C99" s="106"/>
      <c r="D99" s="107"/>
      <c r="E99" s="108"/>
      <c r="F99" s="108"/>
      <c r="G99" s="108"/>
    </row>
    <row r="100" spans="1:7">
      <c r="A100" s="105"/>
      <c r="B100" s="106"/>
      <c r="C100" s="106"/>
      <c r="D100" s="107"/>
      <c r="E100" s="108"/>
      <c r="F100" s="108"/>
      <c r="G100" s="108"/>
    </row>
  </sheetData>
  <sheetProtection sheet="1"/>
  <mergeCells count="46">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96"/>
  <sheetViews>
    <sheetView showGridLines="0" workbookViewId="0">
      <pane ySplit="3" topLeftCell="A4" activePane="bottomLeft" state="frozen"/>
      <selection pane="bottomLeft" activeCell="Q27" sqref="Q27"/>
    </sheetView>
  </sheetViews>
  <sheetFormatPr defaultRowHeight="15"/>
  <cols>
    <col min="1" max="1" width="4.42578125" customWidth="1"/>
    <col min="2" max="2" width="10" customWidth="1"/>
    <col min="3" max="3" width="5.42578125" customWidth="1"/>
    <col min="4" max="4" width="46"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c r="A1" s="193" t="s">
        <v>1079</v>
      </c>
      <c r="B1" s="218"/>
      <c r="C1" s="218"/>
      <c r="D1" s="218"/>
      <c r="E1" s="218"/>
      <c r="F1" s="218"/>
      <c r="G1" s="218"/>
      <c r="H1" s="218"/>
      <c r="I1" s="218"/>
      <c r="J1" s="218"/>
      <c r="K1" s="218"/>
      <c r="L1" s="218"/>
      <c r="M1" s="218"/>
    </row>
    <row r="2" spans="1:13" ht="19.899999999999999" customHeight="1">
      <c r="A2" s="192" t="str">
        <f>"Part lines: "&amp;COUNTIF($B$4:$B$196,"&lt;&gt;")&amp;"     ·     🔴 NOT AVAILABLE: "&amp;COUNTIF($I$4:$I$196,"NOT AVAILABLE")&amp;"     ·     🟢 AVAILABLE: "&amp;COUNTIF($I$4:$I$196,"AVAILABLE")</f>
        <v>Part lines: 22     ·     🔴 NOT AVAILABLE: 17     ·     🟢 AVAILABLE: 0</v>
      </c>
      <c r="B2" s="218"/>
      <c r="C2" s="218"/>
      <c r="D2" s="218"/>
      <c r="E2" s="218"/>
      <c r="F2" s="218"/>
      <c r="G2" s="218"/>
      <c r="H2" s="218"/>
      <c r="I2" s="218"/>
      <c r="J2" s="218"/>
      <c r="K2" s="218"/>
      <c r="L2" s="218"/>
      <c r="M2" s="218"/>
    </row>
    <row r="3" spans="1:13" ht="24" customHeight="1">
      <c r="A3" s="149" t="s">
        <v>1080</v>
      </c>
      <c r="B3" s="149" t="s">
        <v>1081</v>
      </c>
      <c r="C3" s="149" t="s">
        <v>1082</v>
      </c>
      <c r="D3" s="149" t="s">
        <v>1083</v>
      </c>
      <c r="E3" s="149" t="s">
        <v>1084</v>
      </c>
      <c r="F3" s="149" t="s">
        <v>1085</v>
      </c>
      <c r="G3" s="149" t="s">
        <v>1086</v>
      </c>
      <c r="H3" s="149" t="s">
        <v>1087</v>
      </c>
      <c r="I3" s="149" t="s">
        <v>1088</v>
      </c>
      <c r="J3" s="149" t="s">
        <v>1089</v>
      </c>
      <c r="K3" s="149" t="s">
        <v>1090</v>
      </c>
      <c r="L3" s="149" t="s">
        <v>1091</v>
      </c>
      <c r="M3" s="149" t="s">
        <v>1092</v>
      </c>
    </row>
    <row r="4" spans="1:13" ht="25.15" customHeight="1">
      <c r="A4" s="86">
        <f>IF($B4="","",COUNTA($B$4:$B4))</f>
        <v>1</v>
      </c>
      <c r="B4" s="87" t="s">
        <v>1093</v>
      </c>
      <c r="C4" s="86">
        <v>1038</v>
      </c>
      <c r="D4" s="88" t="s">
        <v>790</v>
      </c>
      <c r="E4" s="87" t="s">
        <v>1094</v>
      </c>
      <c r="F4" s="88" t="s">
        <v>1095</v>
      </c>
      <c r="G4" s="86" t="s">
        <v>1096</v>
      </c>
      <c r="H4" s="86" t="s">
        <v>1097</v>
      </c>
      <c r="I4" s="86" t="s">
        <v>1098</v>
      </c>
      <c r="J4" s="86" t="s">
        <v>1099</v>
      </c>
      <c r="K4" s="86" t="s">
        <v>1100</v>
      </c>
      <c r="L4" s="88" t="s">
        <v>1101</v>
      </c>
      <c r="M4" s="86" t="s">
        <v>1099</v>
      </c>
    </row>
    <row r="5" spans="1:13" ht="25.15" customHeight="1">
      <c r="A5" s="86">
        <f>IF($B5="","",COUNTA($B$4:$B5))</f>
        <v>2</v>
      </c>
      <c r="B5" s="87" t="s">
        <v>1102</v>
      </c>
      <c r="C5" s="86">
        <v>1045</v>
      </c>
      <c r="D5" s="88" t="s">
        <v>797</v>
      </c>
      <c r="E5" s="87" t="s">
        <v>1094</v>
      </c>
      <c r="F5" s="88" t="s">
        <v>1095</v>
      </c>
      <c r="G5" s="86" t="s">
        <v>1096</v>
      </c>
      <c r="H5" s="86" t="s">
        <v>1097</v>
      </c>
      <c r="I5" s="86" t="s">
        <v>1098</v>
      </c>
      <c r="J5" s="86" t="s">
        <v>1099</v>
      </c>
      <c r="K5" s="86" t="s">
        <v>1100</v>
      </c>
      <c r="L5" s="88" t="s">
        <v>1101</v>
      </c>
      <c r="M5" s="86" t="s">
        <v>1099</v>
      </c>
    </row>
    <row r="6" spans="1:13" ht="63" customHeight="1">
      <c r="A6" s="86">
        <f>IF($B6="","",COUNTA($B$4:$B6))</f>
        <v>3</v>
      </c>
      <c r="B6" s="87" t="s">
        <v>1103</v>
      </c>
      <c r="C6" s="86">
        <v>1061</v>
      </c>
      <c r="D6" s="88" t="s">
        <v>808</v>
      </c>
      <c r="E6" s="87" t="s">
        <v>1104</v>
      </c>
      <c r="F6" s="88" t="s">
        <v>1105</v>
      </c>
      <c r="G6" s="86" t="s">
        <v>1106</v>
      </c>
      <c r="H6" s="86" t="s">
        <v>1097</v>
      </c>
      <c r="I6" s="86" t="s">
        <v>1098</v>
      </c>
      <c r="J6" s="86" t="s">
        <v>1099</v>
      </c>
      <c r="K6" s="86" t="s">
        <v>1100</v>
      </c>
      <c r="L6" s="91" t="s">
        <v>1107</v>
      </c>
      <c r="M6" s="86" t="s">
        <v>1099</v>
      </c>
    </row>
    <row r="7" spans="1:13" ht="50.45" customHeight="1">
      <c r="A7" s="86">
        <f>IF($B7="","",COUNTA($B$4:$B7))</f>
        <v>4</v>
      </c>
      <c r="B7" s="87" t="s">
        <v>1108</v>
      </c>
      <c r="C7" s="86">
        <v>1062</v>
      </c>
      <c r="D7" s="88" t="s">
        <v>809</v>
      </c>
      <c r="E7" s="87" t="s">
        <v>1104</v>
      </c>
      <c r="F7" s="88" t="s">
        <v>1105</v>
      </c>
      <c r="G7" s="86" t="s">
        <v>1106</v>
      </c>
      <c r="H7" s="86" t="s">
        <v>1097</v>
      </c>
      <c r="I7" s="86" t="s">
        <v>1098</v>
      </c>
      <c r="J7" s="86" t="s">
        <v>1099</v>
      </c>
      <c r="K7" s="86" t="s">
        <v>1100</v>
      </c>
      <c r="L7" s="91" t="s">
        <v>1107</v>
      </c>
      <c r="M7" s="86" t="s">
        <v>1099</v>
      </c>
    </row>
    <row r="8" spans="1:13" ht="25.15" customHeight="1">
      <c r="A8" s="86">
        <f>IF($B8="","",COUNTA($B$4:$B8))</f>
        <v>5</v>
      </c>
      <c r="B8" s="87" t="s">
        <v>1109</v>
      </c>
      <c r="C8" s="86">
        <v>1012</v>
      </c>
      <c r="D8" s="88" t="s">
        <v>777</v>
      </c>
      <c r="E8" s="87" t="s">
        <v>1110</v>
      </c>
      <c r="F8" s="88" t="s">
        <v>1111</v>
      </c>
      <c r="G8" s="86">
        <v>3</v>
      </c>
      <c r="H8" s="86" t="s">
        <v>1097</v>
      </c>
      <c r="I8" s="86" t="s">
        <v>1098</v>
      </c>
      <c r="J8" s="86" t="s">
        <v>1112</v>
      </c>
      <c r="K8" s="86" t="s">
        <v>1100</v>
      </c>
      <c r="L8" s="88"/>
      <c r="M8" s="86" t="s">
        <v>1099</v>
      </c>
    </row>
    <row r="9" spans="1:13" ht="37.9" customHeight="1">
      <c r="A9" s="86">
        <f>IF($B9="","",COUNTA($B$4:$B9))</f>
        <v>6</v>
      </c>
      <c r="B9" s="87" t="s">
        <v>1074</v>
      </c>
      <c r="C9" s="86">
        <v>972</v>
      </c>
      <c r="D9" s="88" t="s">
        <v>763</v>
      </c>
      <c r="E9" s="87" t="s">
        <v>1113</v>
      </c>
      <c r="F9" s="88" t="s">
        <v>1114</v>
      </c>
      <c r="G9" s="86" t="s">
        <v>1115</v>
      </c>
      <c r="H9" s="86" t="s">
        <v>1097</v>
      </c>
      <c r="I9" s="86" t="s">
        <v>1098</v>
      </c>
      <c r="J9" s="86" t="s">
        <v>1099</v>
      </c>
      <c r="K9" s="86" t="s">
        <v>1116</v>
      </c>
      <c r="L9" s="88" t="s">
        <v>1117</v>
      </c>
      <c r="M9" s="86" t="s">
        <v>1099</v>
      </c>
    </row>
    <row r="10" spans="1:13" ht="63" customHeight="1">
      <c r="A10" s="86">
        <f>IF($B10="","",COUNTA($B$4:$B10))</f>
        <v>7</v>
      </c>
      <c r="B10" s="87" t="s">
        <v>1103</v>
      </c>
      <c r="C10" s="86">
        <v>1061</v>
      </c>
      <c r="D10" s="88" t="s">
        <v>808</v>
      </c>
      <c r="E10" s="87" t="s">
        <v>1118</v>
      </c>
      <c r="F10" s="88" t="s">
        <v>1119</v>
      </c>
      <c r="G10" s="86" t="s">
        <v>1120</v>
      </c>
      <c r="H10" s="86" t="s">
        <v>1097</v>
      </c>
      <c r="I10" s="86" t="s">
        <v>1121</v>
      </c>
      <c r="J10" s="86" t="s">
        <v>1099</v>
      </c>
      <c r="K10" s="86" t="s">
        <v>1116</v>
      </c>
      <c r="L10" s="88" t="s">
        <v>1122</v>
      </c>
      <c r="M10" s="86" t="s">
        <v>1123</v>
      </c>
    </row>
    <row r="11" spans="1:13" ht="50.45" customHeight="1">
      <c r="A11" s="86">
        <f>IF($B11="","",COUNTA($B$4:$B11))</f>
        <v>8</v>
      </c>
      <c r="B11" s="87" t="s">
        <v>1108</v>
      </c>
      <c r="C11" s="86">
        <v>1062</v>
      </c>
      <c r="D11" s="88" t="s">
        <v>809</v>
      </c>
      <c r="E11" s="87" t="s">
        <v>1118</v>
      </c>
      <c r="F11" s="88" t="s">
        <v>1119</v>
      </c>
      <c r="G11" s="86" t="s">
        <v>1124</v>
      </c>
      <c r="H11" s="86" t="s">
        <v>1097</v>
      </c>
      <c r="I11" s="86" t="s">
        <v>1121</v>
      </c>
      <c r="J11" s="86" t="s">
        <v>1099</v>
      </c>
      <c r="K11" s="86" t="s">
        <v>1116</v>
      </c>
      <c r="L11" s="88" t="s">
        <v>1122</v>
      </c>
      <c r="M11" s="86" t="s">
        <v>1123</v>
      </c>
    </row>
    <row r="12" spans="1:13" ht="37.9" customHeight="1">
      <c r="A12" s="86">
        <f>IF($B12="","",COUNTA($B$4:$B12))</f>
        <v>9</v>
      </c>
      <c r="B12" s="87" t="s">
        <v>1125</v>
      </c>
      <c r="C12" s="86">
        <v>1121</v>
      </c>
      <c r="D12" s="88" t="s">
        <v>830</v>
      </c>
      <c r="E12" s="87" t="s">
        <v>1126</v>
      </c>
      <c r="F12" s="88" t="s">
        <v>1127</v>
      </c>
      <c r="G12" s="86" t="s">
        <v>1128</v>
      </c>
      <c r="H12" s="86" t="s">
        <v>1097</v>
      </c>
      <c r="I12" s="86" t="s">
        <v>1098</v>
      </c>
      <c r="J12" s="86" t="s">
        <v>1099</v>
      </c>
      <c r="K12" s="86" t="s">
        <v>1129</v>
      </c>
      <c r="L12" s="88" t="s">
        <v>1130</v>
      </c>
      <c r="M12" s="86" t="s">
        <v>1099</v>
      </c>
    </row>
    <row r="13" spans="1:13" ht="37.9" customHeight="1">
      <c r="A13" s="86">
        <f>IF($B13="","",COUNTA($B$4:$B13))</f>
        <v>10</v>
      </c>
      <c r="B13" s="87" t="s">
        <v>1131</v>
      </c>
      <c r="C13" s="86">
        <v>1343</v>
      </c>
      <c r="D13" s="88" t="s">
        <v>951</v>
      </c>
      <c r="E13" s="87" t="s">
        <v>1132</v>
      </c>
      <c r="F13" s="88" t="s">
        <v>1133</v>
      </c>
      <c r="G13" s="86" t="s">
        <v>1134</v>
      </c>
      <c r="H13" s="86" t="s">
        <v>1097</v>
      </c>
      <c r="I13" s="86" t="s">
        <v>1098</v>
      </c>
      <c r="J13" s="86" t="s">
        <v>1099</v>
      </c>
      <c r="K13" s="86" t="s">
        <v>1135</v>
      </c>
      <c r="L13" s="88" t="s">
        <v>1136</v>
      </c>
      <c r="M13" s="86" t="s">
        <v>1099</v>
      </c>
    </row>
    <row r="14" spans="1:13" ht="25.15" customHeight="1">
      <c r="A14" s="86">
        <f>IF($B14="","",COUNTA($B$4:$B14))</f>
        <v>11</v>
      </c>
      <c r="B14" s="87" t="s">
        <v>1137</v>
      </c>
      <c r="C14" s="86">
        <v>1360</v>
      </c>
      <c r="D14" s="88" t="s">
        <v>965</v>
      </c>
      <c r="E14" s="87" t="s">
        <v>1138</v>
      </c>
      <c r="F14" s="88" t="s">
        <v>1139</v>
      </c>
      <c r="G14" s="86" t="s">
        <v>1115</v>
      </c>
      <c r="H14" s="86" t="s">
        <v>1097</v>
      </c>
      <c r="I14" s="86" t="s">
        <v>1121</v>
      </c>
      <c r="J14" s="86" t="s">
        <v>1099</v>
      </c>
      <c r="K14" s="86" t="s">
        <v>1135</v>
      </c>
      <c r="L14" s="88"/>
      <c r="M14" s="86" t="s">
        <v>1140</v>
      </c>
    </row>
    <row r="15" spans="1:13" ht="25.15" customHeight="1">
      <c r="A15" s="86">
        <f>IF($B15="","",COUNTA($B$4:$B15))</f>
        <v>12</v>
      </c>
      <c r="B15" s="87" t="s">
        <v>1141</v>
      </c>
      <c r="C15" s="86">
        <v>1342</v>
      </c>
      <c r="D15" s="88" t="s">
        <v>949</v>
      </c>
      <c r="E15" s="87" t="s">
        <v>1142</v>
      </c>
      <c r="F15" s="88" t="s">
        <v>1143</v>
      </c>
      <c r="G15" s="86" t="s">
        <v>1115</v>
      </c>
      <c r="H15" s="86" t="s">
        <v>1097</v>
      </c>
      <c r="I15" s="86" t="s">
        <v>1098</v>
      </c>
      <c r="J15" s="86" t="s">
        <v>1099</v>
      </c>
      <c r="K15" s="86" t="s">
        <v>1123</v>
      </c>
      <c r="L15" s="88"/>
      <c r="M15" s="86" t="s">
        <v>1099</v>
      </c>
    </row>
    <row r="16" spans="1:13" ht="75.599999999999994" customHeight="1">
      <c r="A16" s="86">
        <f>IF($B16="","",COUNTA($B$4:$B16))</f>
        <v>13</v>
      </c>
      <c r="B16" s="87" t="s">
        <v>1144</v>
      </c>
      <c r="C16" s="86">
        <v>1049</v>
      </c>
      <c r="D16" s="88" t="s">
        <v>801</v>
      </c>
      <c r="E16" s="87" t="s">
        <v>1145</v>
      </c>
      <c r="F16" s="88" t="s">
        <v>1146</v>
      </c>
      <c r="G16" s="86" t="s">
        <v>1115</v>
      </c>
      <c r="H16" s="86" t="s">
        <v>1097</v>
      </c>
      <c r="I16" s="86" t="s">
        <v>1098</v>
      </c>
      <c r="J16" s="86" t="s">
        <v>1099</v>
      </c>
      <c r="K16" s="86" t="s">
        <v>1123</v>
      </c>
      <c r="L16" s="88" t="s">
        <v>1147</v>
      </c>
      <c r="M16" s="86" t="s">
        <v>1099</v>
      </c>
    </row>
    <row r="17" spans="1:13" ht="75.599999999999994" customHeight="1">
      <c r="A17" s="86">
        <f>IF($B17="","",COUNTA($B$4:$B17))</f>
        <v>14</v>
      </c>
      <c r="B17" s="87" t="s">
        <v>1148</v>
      </c>
      <c r="C17" s="86">
        <v>1036</v>
      </c>
      <c r="D17" s="88" t="s">
        <v>788</v>
      </c>
      <c r="E17" s="87" t="s">
        <v>1145</v>
      </c>
      <c r="F17" s="88" t="s">
        <v>1146</v>
      </c>
      <c r="G17" s="86" t="s">
        <v>1115</v>
      </c>
      <c r="H17" s="86" t="s">
        <v>1097</v>
      </c>
      <c r="I17" s="86" t="s">
        <v>1098</v>
      </c>
      <c r="J17" s="86" t="s">
        <v>1099</v>
      </c>
      <c r="K17" s="86" t="s">
        <v>1123</v>
      </c>
      <c r="L17" s="88" t="s">
        <v>1147</v>
      </c>
      <c r="M17" s="86" t="s">
        <v>1099</v>
      </c>
    </row>
    <row r="18" spans="1:13" ht="25.15" customHeight="1">
      <c r="A18" s="86">
        <f>IF($B18="","",COUNTA($B$4:$B18))</f>
        <v>15</v>
      </c>
      <c r="B18" s="87" t="s">
        <v>1148</v>
      </c>
      <c r="C18" s="86">
        <v>1036</v>
      </c>
      <c r="D18" s="88" t="s">
        <v>788</v>
      </c>
      <c r="E18" s="87" t="s">
        <v>1149</v>
      </c>
      <c r="F18" s="88" t="s">
        <v>1150</v>
      </c>
      <c r="G18" s="86" t="s">
        <v>1115</v>
      </c>
      <c r="H18" s="86" t="s">
        <v>1097</v>
      </c>
      <c r="I18" s="86" t="s">
        <v>1098</v>
      </c>
      <c r="J18" s="86" t="s">
        <v>1099</v>
      </c>
      <c r="K18" s="86" t="s">
        <v>1123</v>
      </c>
      <c r="L18" s="88" t="s">
        <v>1151</v>
      </c>
      <c r="M18" s="86" t="s">
        <v>1099</v>
      </c>
    </row>
    <row r="19" spans="1:13" ht="37.9" customHeight="1">
      <c r="A19" s="86">
        <f>IF($B19="","",COUNTA($B$4:$B19))</f>
        <v>16</v>
      </c>
      <c r="B19" s="87" t="s">
        <v>1152</v>
      </c>
      <c r="C19" s="86">
        <v>973</v>
      </c>
      <c r="D19" s="88" t="s">
        <v>764</v>
      </c>
      <c r="E19" s="87" t="s">
        <v>1153</v>
      </c>
      <c r="F19" s="88" t="s">
        <v>1154</v>
      </c>
      <c r="G19" s="86">
        <v>8</v>
      </c>
      <c r="H19" s="86" t="s">
        <v>1097</v>
      </c>
      <c r="I19" s="86" t="s">
        <v>1098</v>
      </c>
      <c r="J19" s="86" t="s">
        <v>1099</v>
      </c>
      <c r="K19" s="86" t="s">
        <v>1123</v>
      </c>
      <c r="L19" s="88"/>
      <c r="M19" s="86" t="s">
        <v>1099</v>
      </c>
    </row>
    <row r="20" spans="1:13" ht="25.15" customHeight="1">
      <c r="A20" s="86">
        <f>IF($B20="","",COUNTA($B$4:$B20))</f>
        <v>17</v>
      </c>
      <c r="B20" s="87" t="s">
        <v>1155</v>
      </c>
      <c r="C20" s="86">
        <v>1202</v>
      </c>
      <c r="D20" s="88" t="s">
        <v>871</v>
      </c>
      <c r="E20" s="87" t="s">
        <v>1156</v>
      </c>
      <c r="F20" s="88" t="s">
        <v>1157</v>
      </c>
      <c r="G20" s="86">
        <v>1</v>
      </c>
      <c r="H20" s="86" t="s">
        <v>1097</v>
      </c>
      <c r="I20" s="86" t="s">
        <v>1098</v>
      </c>
      <c r="J20" s="86" t="s">
        <v>1099</v>
      </c>
      <c r="K20" s="86" t="s">
        <v>1123</v>
      </c>
      <c r="L20" s="88"/>
      <c r="M20" s="86" t="s">
        <v>1099</v>
      </c>
    </row>
    <row r="21" spans="1:13" ht="25.15" customHeight="1">
      <c r="A21" s="86">
        <f>IF($B21="","",COUNTA($B$4:$B21))</f>
        <v>18</v>
      </c>
      <c r="B21" s="87" t="s">
        <v>1144</v>
      </c>
      <c r="C21" s="86">
        <v>1049</v>
      </c>
      <c r="D21" s="88" t="s">
        <v>801</v>
      </c>
      <c r="E21" s="87" t="s">
        <v>1149</v>
      </c>
      <c r="F21" s="88" t="s">
        <v>1150</v>
      </c>
      <c r="G21" s="86" t="s">
        <v>1115</v>
      </c>
      <c r="H21" s="86" t="s">
        <v>1097</v>
      </c>
      <c r="I21" s="86" t="s">
        <v>1098</v>
      </c>
      <c r="J21" s="86" t="s">
        <v>1099</v>
      </c>
      <c r="K21" s="86" t="s">
        <v>1123</v>
      </c>
      <c r="L21" s="88" t="s">
        <v>1151</v>
      </c>
      <c r="M21" s="86" t="s">
        <v>1099</v>
      </c>
    </row>
    <row r="22" spans="1:13" ht="37.9" customHeight="1">
      <c r="A22" s="86">
        <f>IF($B22="","",COUNTA($B$4:$B22))</f>
        <v>19</v>
      </c>
      <c r="B22" s="87" t="s">
        <v>1072</v>
      </c>
      <c r="C22" s="86">
        <v>971</v>
      </c>
      <c r="D22" s="88" t="s">
        <v>762</v>
      </c>
      <c r="E22" s="87" t="s">
        <v>1153</v>
      </c>
      <c r="F22" s="88" t="s">
        <v>1154</v>
      </c>
      <c r="G22" s="86" t="s">
        <v>1158</v>
      </c>
      <c r="H22" s="86" t="s">
        <v>1097</v>
      </c>
      <c r="I22" s="86" t="s">
        <v>1098</v>
      </c>
      <c r="J22" s="86" t="s">
        <v>1099</v>
      </c>
      <c r="K22" s="86" t="s">
        <v>1123</v>
      </c>
      <c r="L22" s="88"/>
      <c r="M22" s="86" t="s">
        <v>1099</v>
      </c>
    </row>
    <row r="23" spans="1:13" ht="37.9" customHeight="1">
      <c r="A23" s="86">
        <f>IF($B23="","",COUNTA($B$4:$B23))</f>
        <v>20</v>
      </c>
      <c r="B23" s="87" t="s">
        <v>1072</v>
      </c>
      <c r="C23" s="86">
        <v>971</v>
      </c>
      <c r="D23" s="88" t="s">
        <v>762</v>
      </c>
      <c r="E23" s="87" t="s">
        <v>1159</v>
      </c>
      <c r="F23" s="88" t="s">
        <v>1154</v>
      </c>
      <c r="G23" s="86">
        <v>12</v>
      </c>
      <c r="H23" s="86" t="s">
        <v>1097</v>
      </c>
      <c r="I23" s="86" t="s">
        <v>1098</v>
      </c>
      <c r="J23" s="86" t="s">
        <v>1099</v>
      </c>
      <c r="K23" s="86" t="s">
        <v>1160</v>
      </c>
      <c r="L23" s="88"/>
      <c r="M23" s="86" t="s">
        <v>1099</v>
      </c>
    </row>
    <row r="24" spans="1:13" ht="70.5" customHeight="1">
      <c r="A24" s="86">
        <f>IF($B24="","",COUNTA($B$4:$B24))</f>
        <v>21</v>
      </c>
      <c r="B24" s="87" t="s">
        <v>1103</v>
      </c>
      <c r="C24" s="86">
        <v>1061</v>
      </c>
      <c r="D24" s="88" t="s">
        <v>808</v>
      </c>
      <c r="E24" s="87" t="s">
        <v>1161</v>
      </c>
      <c r="F24" s="88" t="s">
        <v>1105</v>
      </c>
      <c r="G24" s="86">
        <v>72</v>
      </c>
      <c r="H24" s="86" t="s">
        <v>1097</v>
      </c>
      <c r="I24" s="86" t="s">
        <v>1121</v>
      </c>
      <c r="J24" s="86" t="s">
        <v>1099</v>
      </c>
      <c r="K24" s="86" t="s">
        <v>1160</v>
      </c>
      <c r="L24" s="88"/>
      <c r="M24" s="86" t="s">
        <v>1160</v>
      </c>
    </row>
    <row r="25" spans="1:13" ht="59.25" customHeight="1">
      <c r="A25" s="86">
        <f>IF($B25="","",COUNTA($B$4:$B25))</f>
        <v>22</v>
      </c>
      <c r="B25" s="87" t="s">
        <v>1108</v>
      </c>
      <c r="C25" s="86">
        <v>1062</v>
      </c>
      <c r="D25" s="88" t="s">
        <v>809</v>
      </c>
      <c r="E25" s="87" t="s">
        <v>1161</v>
      </c>
      <c r="F25" s="88" t="s">
        <v>1105</v>
      </c>
      <c r="G25" s="86">
        <v>72</v>
      </c>
      <c r="H25" s="86" t="s">
        <v>1097</v>
      </c>
      <c r="I25" s="86" t="s">
        <v>1121</v>
      </c>
      <c r="J25" s="86" t="s">
        <v>1099</v>
      </c>
      <c r="K25" s="86" t="s">
        <v>1160</v>
      </c>
      <c r="L25" s="88"/>
      <c r="M25" s="86" t="s">
        <v>1160</v>
      </c>
    </row>
    <row r="26" spans="1:13">
      <c r="A26" s="86" t="str">
        <f>IF($B26="","",COUNTA($B$4:$B26))</f>
        <v/>
      </c>
      <c r="B26" s="87"/>
      <c r="C26" s="86"/>
      <c r="D26" s="88"/>
      <c r="E26" s="87"/>
      <c r="F26" s="88"/>
      <c r="G26" s="86"/>
      <c r="H26" s="86"/>
      <c r="I26" s="86"/>
      <c r="J26" s="86"/>
      <c r="K26" s="86"/>
      <c r="L26" s="88"/>
      <c r="M26" s="86"/>
    </row>
    <row r="27" spans="1:13">
      <c r="A27" s="86" t="str">
        <f>IF($B27="","",COUNTA($B$4:$B27))</f>
        <v/>
      </c>
      <c r="B27" s="87"/>
      <c r="C27" s="86"/>
      <c r="D27" s="88"/>
      <c r="E27" s="87"/>
      <c r="F27" s="88"/>
      <c r="G27" s="86"/>
      <c r="H27" s="86"/>
      <c r="I27" s="86"/>
      <c r="J27" s="86"/>
      <c r="K27" s="86"/>
      <c r="L27" s="88"/>
      <c r="M27" s="86"/>
    </row>
    <row r="28" spans="1:13">
      <c r="A28" s="86" t="str">
        <f>IF($B28="","",COUNTA($B$4:$B28))</f>
        <v/>
      </c>
      <c r="B28" s="87"/>
      <c r="C28" s="86"/>
      <c r="D28" s="88"/>
      <c r="E28" s="87"/>
      <c r="F28" s="88"/>
      <c r="G28" s="86"/>
      <c r="H28" s="86"/>
      <c r="I28" s="86"/>
      <c r="J28" s="86"/>
      <c r="K28" s="86"/>
      <c r="L28" s="88"/>
      <c r="M28" s="86"/>
    </row>
    <row r="29" spans="1:13">
      <c r="A29" s="86" t="str">
        <f>IF($B29="","",COUNTA($B$4:$B29))</f>
        <v/>
      </c>
      <c r="B29" s="87"/>
      <c r="C29" s="86"/>
      <c r="D29" s="88"/>
      <c r="E29" s="87"/>
      <c r="F29" s="88"/>
      <c r="G29" s="86"/>
      <c r="H29" s="86"/>
      <c r="I29" s="86"/>
      <c r="J29" s="86"/>
      <c r="K29" s="86"/>
      <c r="L29" s="88"/>
      <c r="M29" s="86"/>
    </row>
    <row r="30" spans="1:13">
      <c r="A30" s="86" t="str">
        <f>IF($B30="","",COUNTA($B$4:$B30))</f>
        <v/>
      </c>
      <c r="B30" s="87"/>
      <c r="C30" s="86"/>
      <c r="D30" s="88"/>
      <c r="E30" s="87"/>
      <c r="F30" s="88"/>
      <c r="G30" s="86"/>
      <c r="H30" s="86"/>
      <c r="I30" s="86"/>
      <c r="J30" s="86"/>
      <c r="K30" s="86"/>
      <c r="L30" s="88"/>
      <c r="M30" s="86"/>
    </row>
    <row r="31" spans="1:13">
      <c r="A31" s="86" t="str">
        <f>IF($B31="","",COUNTA($B$4:$B31))</f>
        <v/>
      </c>
      <c r="B31" s="87"/>
      <c r="C31" s="86"/>
      <c r="D31" s="88"/>
      <c r="E31" s="87"/>
      <c r="F31" s="88"/>
      <c r="G31" s="86"/>
      <c r="H31" s="86"/>
      <c r="I31" s="86"/>
      <c r="J31" s="86"/>
      <c r="K31" s="86"/>
      <c r="L31" s="88"/>
      <c r="M31" s="86"/>
    </row>
    <row r="32" spans="1:13">
      <c r="A32" s="86" t="str">
        <f>IF($B32="","",COUNTA($B$4:$B32))</f>
        <v/>
      </c>
      <c r="B32" s="87"/>
      <c r="C32" s="86"/>
      <c r="D32" s="88"/>
      <c r="E32" s="87"/>
      <c r="F32" s="88"/>
      <c r="G32" s="86"/>
      <c r="H32" s="86"/>
      <c r="I32" s="86"/>
      <c r="J32" s="86"/>
      <c r="K32" s="86"/>
      <c r="L32" s="88"/>
      <c r="M32" s="86"/>
    </row>
    <row r="33" spans="1:13">
      <c r="A33" s="86" t="str">
        <f>IF($B33="","",COUNTA($B$4:$B33))</f>
        <v/>
      </c>
      <c r="B33" s="87"/>
      <c r="C33" s="86"/>
      <c r="D33" s="88"/>
      <c r="E33" s="87"/>
      <c r="F33" s="88"/>
      <c r="G33" s="86"/>
      <c r="H33" s="86"/>
      <c r="I33" s="86"/>
      <c r="J33" s="86"/>
      <c r="K33" s="86"/>
      <c r="L33" s="88"/>
      <c r="M33" s="86"/>
    </row>
    <row r="34" spans="1:13">
      <c r="A34" s="86" t="str">
        <f>IF($B34="","",COUNTA($B$4:$B34))</f>
        <v/>
      </c>
      <c r="B34" s="87"/>
      <c r="C34" s="86"/>
      <c r="D34" s="88"/>
      <c r="E34" s="87"/>
      <c r="F34" s="88"/>
      <c r="G34" s="86"/>
      <c r="H34" s="86"/>
      <c r="I34" s="86"/>
      <c r="J34" s="86"/>
      <c r="K34" s="86"/>
      <c r="L34" s="88"/>
      <c r="M34" s="86"/>
    </row>
    <row r="35" spans="1:13">
      <c r="A35" s="86" t="str">
        <f>IF($B35="","",COUNTA($B$4:$B35))</f>
        <v/>
      </c>
      <c r="B35" s="87"/>
      <c r="C35" s="86"/>
      <c r="D35" s="88"/>
      <c r="E35" s="87"/>
      <c r="F35" s="88"/>
      <c r="G35" s="86"/>
      <c r="H35" s="86"/>
      <c r="I35" s="86"/>
      <c r="J35" s="86"/>
      <c r="K35" s="86"/>
      <c r="L35" s="88"/>
      <c r="M35" s="86"/>
    </row>
    <row r="36" spans="1:13">
      <c r="A36" s="86" t="str">
        <f>IF($B36="","",COUNTA($B$4:$B36))</f>
        <v/>
      </c>
      <c r="B36" s="87"/>
      <c r="C36" s="86"/>
      <c r="D36" s="88"/>
      <c r="E36" s="87"/>
      <c r="F36" s="88"/>
      <c r="G36" s="86"/>
      <c r="H36" s="86"/>
      <c r="I36" s="86"/>
      <c r="J36" s="86"/>
      <c r="K36" s="86"/>
      <c r="L36" s="88"/>
      <c r="M36" s="86"/>
    </row>
    <row r="37" spans="1:13">
      <c r="A37" s="86" t="str">
        <f>IF($B37="","",COUNTA($B$4:$B37))</f>
        <v/>
      </c>
      <c r="B37" s="87"/>
      <c r="C37" s="86"/>
      <c r="D37" s="88"/>
      <c r="E37" s="87"/>
      <c r="F37" s="88"/>
      <c r="G37" s="86"/>
      <c r="H37" s="86"/>
      <c r="I37" s="86"/>
      <c r="J37" s="86"/>
      <c r="K37" s="86"/>
      <c r="L37" s="88"/>
      <c r="M37" s="86"/>
    </row>
    <row r="38" spans="1:13">
      <c r="A38" s="86" t="str">
        <f>IF($B38="","",COUNTA($B$4:$B38))</f>
        <v/>
      </c>
      <c r="B38" s="87"/>
      <c r="C38" s="86"/>
      <c r="D38" s="88"/>
      <c r="E38" s="87"/>
      <c r="F38" s="88"/>
      <c r="G38" s="86"/>
      <c r="H38" s="86"/>
      <c r="I38" s="86"/>
      <c r="J38" s="86"/>
      <c r="K38" s="86"/>
      <c r="L38" s="88"/>
      <c r="M38" s="86"/>
    </row>
    <row r="39" spans="1:13">
      <c r="A39" s="86" t="str">
        <f>IF($B39="","",COUNTA($B$4:$B39))</f>
        <v/>
      </c>
      <c r="B39" s="87"/>
      <c r="C39" s="86"/>
      <c r="D39" s="88"/>
      <c r="E39" s="87"/>
      <c r="F39" s="88"/>
      <c r="G39" s="86"/>
      <c r="H39" s="86"/>
      <c r="I39" s="86"/>
      <c r="J39" s="86"/>
      <c r="K39" s="86"/>
      <c r="L39" s="88"/>
      <c r="M39" s="86"/>
    </row>
    <row r="40" spans="1:13">
      <c r="A40" s="86" t="str">
        <f>IF($B40="","",COUNTA($B$4:$B40))</f>
        <v/>
      </c>
      <c r="B40" s="87"/>
      <c r="C40" s="86"/>
      <c r="D40" s="88"/>
      <c r="E40" s="87"/>
      <c r="F40" s="88"/>
      <c r="G40" s="86"/>
      <c r="H40" s="86"/>
      <c r="I40" s="86"/>
      <c r="J40" s="86"/>
      <c r="K40" s="86"/>
      <c r="L40" s="88"/>
      <c r="M40" s="86"/>
    </row>
    <row r="41" spans="1:13">
      <c r="A41" s="86" t="str">
        <f>IF($B41="","",COUNTA($B$4:$B41))</f>
        <v/>
      </c>
      <c r="B41" s="87"/>
      <c r="C41" s="86"/>
      <c r="D41" s="88"/>
      <c r="E41" s="87"/>
      <c r="F41" s="88"/>
      <c r="G41" s="86"/>
      <c r="H41" s="86"/>
      <c r="I41" s="86"/>
      <c r="J41" s="86"/>
      <c r="K41" s="86"/>
      <c r="L41" s="88"/>
      <c r="M41" s="86"/>
    </row>
    <row r="42" spans="1:13">
      <c r="A42" s="86" t="str">
        <f>IF($B42="","",COUNTA($B$4:$B42))</f>
        <v/>
      </c>
      <c r="B42" s="87"/>
      <c r="C42" s="86"/>
      <c r="D42" s="88"/>
      <c r="E42" s="87"/>
      <c r="F42" s="88"/>
      <c r="G42" s="86"/>
      <c r="H42" s="86"/>
      <c r="I42" s="86"/>
      <c r="J42" s="86"/>
      <c r="K42" s="86"/>
      <c r="L42" s="88"/>
      <c r="M42" s="86"/>
    </row>
    <row r="43" spans="1:13">
      <c r="A43" s="86" t="str">
        <f>IF($B43="","",COUNTA($B$4:$B43))</f>
        <v/>
      </c>
      <c r="B43" s="87"/>
      <c r="C43" s="86"/>
      <c r="D43" s="88"/>
      <c r="E43" s="87"/>
      <c r="F43" s="88"/>
      <c r="G43" s="86"/>
      <c r="H43" s="86"/>
      <c r="I43" s="86"/>
      <c r="J43" s="86"/>
      <c r="K43" s="86"/>
      <c r="L43" s="88"/>
      <c r="M43" s="86"/>
    </row>
    <row r="44" spans="1:13">
      <c r="A44" s="86" t="str">
        <f>IF($B44="","",COUNTA($B$4:$B44))</f>
        <v/>
      </c>
      <c r="B44" s="87"/>
      <c r="C44" s="86"/>
      <c r="D44" s="88"/>
      <c r="E44" s="87"/>
      <c r="F44" s="88"/>
      <c r="G44" s="86"/>
      <c r="H44" s="86"/>
      <c r="I44" s="86"/>
      <c r="J44" s="86"/>
      <c r="K44" s="86"/>
      <c r="L44" s="88"/>
      <c r="M44" s="86"/>
    </row>
    <row r="45" spans="1:13">
      <c r="A45" s="86" t="str">
        <f>IF($B45="","",COUNTA($B$4:$B45))</f>
        <v/>
      </c>
      <c r="B45" s="87"/>
      <c r="C45" s="86"/>
      <c r="D45" s="88"/>
      <c r="E45" s="87"/>
      <c r="F45" s="88"/>
      <c r="G45" s="86"/>
      <c r="H45" s="86"/>
      <c r="I45" s="86"/>
      <c r="J45" s="86"/>
      <c r="K45" s="86"/>
      <c r="L45" s="88"/>
      <c r="M45" s="86"/>
    </row>
    <row r="46" spans="1:13">
      <c r="A46" s="86" t="str">
        <f>IF($B46="","",COUNTA($B$4:$B46))</f>
        <v/>
      </c>
      <c r="B46" s="87"/>
      <c r="C46" s="86"/>
      <c r="D46" s="88"/>
      <c r="E46" s="87"/>
      <c r="F46" s="88"/>
      <c r="G46" s="86"/>
      <c r="H46" s="86"/>
      <c r="I46" s="86"/>
      <c r="J46" s="86"/>
      <c r="K46" s="86"/>
      <c r="L46" s="88"/>
      <c r="M46" s="86"/>
    </row>
    <row r="47" spans="1:13">
      <c r="A47" s="86" t="str">
        <f>IF($B47="","",COUNTA($B$4:$B47))</f>
        <v/>
      </c>
      <c r="B47" s="87"/>
      <c r="C47" s="86"/>
      <c r="D47" s="88"/>
      <c r="E47" s="87"/>
      <c r="F47" s="88"/>
      <c r="G47" s="86"/>
      <c r="H47" s="86"/>
      <c r="I47" s="86"/>
      <c r="J47" s="86"/>
      <c r="K47" s="86"/>
      <c r="L47" s="88"/>
      <c r="M47" s="86"/>
    </row>
    <row r="48" spans="1:13">
      <c r="A48" s="86" t="str">
        <f>IF($B48="","",COUNTA($B$4:$B48))</f>
        <v/>
      </c>
      <c r="B48" s="87"/>
      <c r="C48" s="86"/>
      <c r="D48" s="88"/>
      <c r="E48" s="87"/>
      <c r="F48" s="88"/>
      <c r="G48" s="86"/>
      <c r="H48" s="86"/>
      <c r="I48" s="86"/>
      <c r="J48" s="86"/>
      <c r="K48" s="86"/>
      <c r="L48" s="88"/>
      <c r="M48" s="86"/>
    </row>
    <row r="49" spans="1:13">
      <c r="A49" s="86" t="str">
        <f>IF($B49="","",COUNTA($B$4:$B49))</f>
        <v/>
      </c>
      <c r="B49" s="87"/>
      <c r="C49" s="86"/>
      <c r="D49" s="88"/>
      <c r="E49" s="87"/>
      <c r="F49" s="88"/>
      <c r="G49" s="86"/>
      <c r="H49" s="86"/>
      <c r="I49" s="86"/>
      <c r="J49" s="86"/>
      <c r="K49" s="86"/>
      <c r="L49" s="88"/>
      <c r="M49" s="86"/>
    </row>
    <row r="50" spans="1:13">
      <c r="A50" s="86" t="str">
        <f>IF($B50="","",COUNTA($B$4:$B50))</f>
        <v/>
      </c>
      <c r="B50" s="87"/>
      <c r="C50" s="86"/>
      <c r="D50" s="88"/>
      <c r="E50" s="87"/>
      <c r="F50" s="88"/>
      <c r="G50" s="86"/>
      <c r="H50" s="86"/>
      <c r="I50" s="86"/>
      <c r="J50" s="86"/>
      <c r="K50" s="86"/>
      <c r="L50" s="88"/>
      <c r="M50" s="86"/>
    </row>
    <row r="51" spans="1:13">
      <c r="A51" s="86" t="str">
        <f>IF($B51="","",COUNTA($B$4:$B51))</f>
        <v/>
      </c>
      <c r="B51" s="87"/>
      <c r="C51" s="86"/>
      <c r="D51" s="88"/>
      <c r="E51" s="87"/>
      <c r="F51" s="88"/>
      <c r="G51" s="86"/>
      <c r="H51" s="86"/>
      <c r="I51" s="86"/>
      <c r="J51" s="86"/>
      <c r="K51" s="86"/>
      <c r="L51" s="88"/>
      <c r="M51" s="86"/>
    </row>
    <row r="52" spans="1:13">
      <c r="A52" s="86" t="str">
        <f>IF($B52="","",COUNTA($B$4:$B52))</f>
        <v/>
      </c>
      <c r="B52" s="87"/>
      <c r="C52" s="86"/>
      <c r="D52" s="88"/>
      <c r="E52" s="87"/>
      <c r="F52" s="88"/>
      <c r="G52" s="86"/>
      <c r="H52" s="86"/>
      <c r="I52" s="86"/>
      <c r="J52" s="86"/>
      <c r="K52" s="86"/>
      <c r="L52" s="88"/>
      <c r="M52" s="86"/>
    </row>
    <row r="53" spans="1:13">
      <c r="A53" s="86" t="str">
        <f>IF($B53="","",COUNTA($B$4:$B53))</f>
        <v/>
      </c>
      <c r="B53" s="87"/>
      <c r="C53" s="86"/>
      <c r="D53" s="88"/>
      <c r="E53" s="87"/>
      <c r="F53" s="88"/>
      <c r="G53" s="86"/>
      <c r="H53" s="86"/>
      <c r="I53" s="86"/>
      <c r="J53" s="86"/>
      <c r="K53" s="86"/>
      <c r="L53" s="88"/>
      <c r="M53" s="86"/>
    </row>
    <row r="54" spans="1:13">
      <c r="A54" s="86" t="str">
        <f>IF($B54="","",COUNTA($B$4:$B54))</f>
        <v/>
      </c>
      <c r="B54" s="87"/>
      <c r="C54" s="86"/>
      <c r="D54" s="88"/>
      <c r="E54" s="87"/>
      <c r="F54" s="88"/>
      <c r="G54" s="86"/>
      <c r="H54" s="86"/>
      <c r="I54" s="86"/>
      <c r="J54" s="86"/>
      <c r="K54" s="86"/>
      <c r="L54" s="88"/>
      <c r="M54" s="86"/>
    </row>
    <row r="55" spans="1:13">
      <c r="A55" s="86" t="str">
        <f>IF($B55="","",COUNTA($B$4:$B55))</f>
        <v/>
      </c>
      <c r="B55" s="87"/>
      <c r="C55" s="86"/>
      <c r="D55" s="88"/>
      <c r="E55" s="87"/>
      <c r="F55" s="88"/>
      <c r="G55" s="86"/>
      <c r="H55" s="86"/>
      <c r="I55" s="86"/>
      <c r="J55" s="86"/>
      <c r="K55" s="86"/>
      <c r="L55" s="88"/>
      <c r="M55" s="86"/>
    </row>
    <row r="56" spans="1:13">
      <c r="A56" s="86" t="str">
        <f>IF($B56="","",COUNTA($B$4:$B56))</f>
        <v/>
      </c>
      <c r="B56" s="87"/>
      <c r="C56" s="86"/>
      <c r="D56" s="88"/>
      <c r="E56" s="87"/>
      <c r="F56" s="88"/>
      <c r="G56" s="86"/>
      <c r="H56" s="86"/>
      <c r="I56" s="86"/>
      <c r="J56" s="86"/>
      <c r="K56" s="86"/>
      <c r="L56" s="88"/>
      <c r="M56" s="86"/>
    </row>
    <row r="57" spans="1:13">
      <c r="A57" s="86" t="str">
        <f>IF($B57="","",COUNTA($B$4:$B57))</f>
        <v/>
      </c>
      <c r="B57" s="87"/>
      <c r="C57" s="86"/>
      <c r="D57" s="88"/>
      <c r="E57" s="87"/>
      <c r="F57" s="88"/>
      <c r="G57" s="86"/>
      <c r="H57" s="86"/>
      <c r="I57" s="86"/>
      <c r="J57" s="86"/>
      <c r="K57" s="86"/>
      <c r="L57" s="88"/>
      <c r="M57" s="86"/>
    </row>
    <row r="58" spans="1:13">
      <c r="A58" s="86" t="str">
        <f>IF($B58="","",COUNTA($B$4:$B58))</f>
        <v/>
      </c>
      <c r="B58" s="87"/>
      <c r="C58" s="86"/>
      <c r="D58" s="88"/>
      <c r="E58" s="87"/>
      <c r="F58" s="88"/>
      <c r="G58" s="86"/>
      <c r="H58" s="86"/>
      <c r="I58" s="86"/>
      <c r="J58" s="86"/>
      <c r="K58" s="86"/>
      <c r="L58" s="88"/>
      <c r="M58" s="86"/>
    </row>
    <row r="59" spans="1:13">
      <c r="A59" s="86" t="str">
        <f>IF($B59="","",COUNTA($B$4:$B59))</f>
        <v/>
      </c>
      <c r="B59" s="87"/>
      <c r="C59" s="86"/>
      <c r="D59" s="88"/>
      <c r="E59" s="87"/>
      <c r="F59" s="88"/>
      <c r="G59" s="86"/>
      <c r="H59" s="86"/>
      <c r="I59" s="86"/>
      <c r="J59" s="86"/>
      <c r="K59" s="86"/>
      <c r="L59" s="88"/>
      <c r="M59" s="86"/>
    </row>
    <row r="60" spans="1:13">
      <c r="A60" s="86" t="str">
        <f>IF($B60="","",COUNTA($B$4:$B60))</f>
        <v/>
      </c>
      <c r="B60" s="87"/>
      <c r="C60" s="86"/>
      <c r="D60" s="88"/>
      <c r="E60" s="87"/>
      <c r="F60" s="88"/>
      <c r="G60" s="86"/>
      <c r="H60" s="86"/>
      <c r="I60" s="86"/>
      <c r="J60" s="86"/>
      <c r="K60" s="86"/>
      <c r="L60" s="88"/>
      <c r="M60" s="86"/>
    </row>
    <row r="61" spans="1:13">
      <c r="A61" s="86" t="str">
        <f>IF($B61="","",COUNTA($B$4:$B61))</f>
        <v/>
      </c>
      <c r="B61" s="87"/>
      <c r="C61" s="86"/>
      <c r="D61" s="88"/>
      <c r="E61" s="87"/>
      <c r="F61" s="88"/>
      <c r="G61" s="86"/>
      <c r="H61" s="86"/>
      <c r="I61" s="86"/>
      <c r="J61" s="86"/>
      <c r="K61" s="86"/>
      <c r="L61" s="88"/>
      <c r="M61" s="86"/>
    </row>
    <row r="62" spans="1:13">
      <c r="A62" s="86" t="str">
        <f>IF($B62="","",COUNTA($B$4:$B62))</f>
        <v/>
      </c>
      <c r="B62" s="87"/>
      <c r="C62" s="86"/>
      <c r="D62" s="88"/>
      <c r="E62" s="87"/>
      <c r="F62" s="88"/>
      <c r="G62" s="86"/>
      <c r="H62" s="86"/>
      <c r="I62" s="86"/>
      <c r="J62" s="86"/>
      <c r="K62" s="86"/>
      <c r="L62" s="88"/>
      <c r="M62" s="86"/>
    </row>
    <row r="63" spans="1:13">
      <c r="A63" s="86" t="str">
        <f>IF($B63="","",COUNTA($B$4:$B63))</f>
        <v/>
      </c>
      <c r="B63" s="87"/>
      <c r="C63" s="86"/>
      <c r="D63" s="88"/>
      <c r="E63" s="87"/>
      <c r="F63" s="88"/>
      <c r="G63" s="86"/>
      <c r="H63" s="86"/>
      <c r="I63" s="86"/>
      <c r="J63" s="86"/>
      <c r="K63" s="86"/>
      <c r="L63" s="88"/>
      <c r="M63" s="86"/>
    </row>
    <row r="64" spans="1:13">
      <c r="A64" s="86" t="str">
        <f>IF($B64="","",COUNTA($B$4:$B64))</f>
        <v/>
      </c>
      <c r="B64" s="87"/>
      <c r="C64" s="86"/>
      <c r="D64" s="88"/>
      <c r="E64" s="87"/>
      <c r="F64" s="88"/>
      <c r="G64" s="86"/>
      <c r="H64" s="86"/>
      <c r="I64" s="86"/>
      <c r="J64" s="86"/>
      <c r="K64" s="86"/>
      <c r="L64" s="88"/>
      <c r="M64" s="86"/>
    </row>
    <row r="65" spans="1:13">
      <c r="A65" s="86" t="str">
        <f>IF($B65="","",COUNTA($B$4:$B65))</f>
        <v/>
      </c>
      <c r="B65" s="87"/>
      <c r="C65" s="86"/>
      <c r="D65" s="88"/>
      <c r="E65" s="87"/>
      <c r="F65" s="88"/>
      <c r="G65" s="86"/>
      <c r="H65" s="86"/>
      <c r="I65" s="86"/>
      <c r="J65" s="86"/>
      <c r="K65" s="86"/>
      <c r="L65" s="88"/>
      <c r="M65" s="86"/>
    </row>
    <row r="66" spans="1:13">
      <c r="A66" s="86" t="str">
        <f>IF($B66="","",COUNTA($B$4:$B66))</f>
        <v/>
      </c>
      <c r="B66" s="87"/>
      <c r="C66" s="86"/>
      <c r="D66" s="88"/>
      <c r="E66" s="87"/>
      <c r="F66" s="88"/>
      <c r="G66" s="86"/>
      <c r="H66" s="86"/>
      <c r="I66" s="86"/>
      <c r="J66" s="86"/>
      <c r="K66" s="86"/>
      <c r="L66" s="88"/>
      <c r="M66" s="86"/>
    </row>
    <row r="67" spans="1:13">
      <c r="A67" s="86" t="str">
        <f>IF($B67="","",COUNTA($B$4:$B67))</f>
        <v/>
      </c>
      <c r="B67" s="87"/>
      <c r="C67" s="86"/>
      <c r="D67" s="88"/>
      <c r="E67" s="87"/>
      <c r="F67" s="88"/>
      <c r="G67" s="86"/>
      <c r="H67" s="86"/>
      <c r="I67" s="86"/>
      <c r="J67" s="86"/>
      <c r="K67" s="86"/>
      <c r="L67" s="88"/>
      <c r="M67" s="86"/>
    </row>
    <row r="68" spans="1:13">
      <c r="A68" s="86" t="str">
        <f>IF($B68="","",COUNTA($B$4:$B68))</f>
        <v/>
      </c>
      <c r="B68" s="87"/>
      <c r="C68" s="86"/>
      <c r="D68" s="88"/>
      <c r="E68" s="87"/>
      <c r="F68" s="88"/>
      <c r="G68" s="86"/>
      <c r="H68" s="86"/>
      <c r="I68" s="86"/>
      <c r="J68" s="86"/>
      <c r="K68" s="86"/>
      <c r="L68" s="88"/>
      <c r="M68" s="86"/>
    </row>
    <row r="69" spans="1:13">
      <c r="A69" s="86" t="str">
        <f>IF($B69="","",COUNTA($B$4:$B69))</f>
        <v/>
      </c>
      <c r="B69" s="87"/>
      <c r="C69" s="86"/>
      <c r="D69" s="88"/>
      <c r="E69" s="87"/>
      <c r="F69" s="88"/>
      <c r="G69" s="86"/>
      <c r="H69" s="86"/>
      <c r="I69" s="86"/>
      <c r="J69" s="86"/>
      <c r="K69" s="86"/>
      <c r="L69" s="88"/>
      <c r="M69" s="86"/>
    </row>
    <row r="70" spans="1:13">
      <c r="A70" s="86" t="str">
        <f>IF($B70="","",COUNTA($B$4:$B70))</f>
        <v/>
      </c>
      <c r="B70" s="87"/>
      <c r="C70" s="86"/>
      <c r="D70" s="88"/>
      <c r="E70" s="87"/>
      <c r="F70" s="88"/>
      <c r="G70" s="86"/>
      <c r="H70" s="86"/>
      <c r="I70" s="86"/>
      <c r="J70" s="86"/>
      <c r="K70" s="86"/>
      <c r="L70" s="88"/>
      <c r="M70" s="86"/>
    </row>
    <row r="71" spans="1:13">
      <c r="A71" s="86" t="str">
        <f>IF($B71="","",COUNTA($B$4:$B71))</f>
        <v/>
      </c>
      <c r="B71" s="87"/>
      <c r="C71" s="86"/>
      <c r="D71" s="88"/>
      <c r="E71" s="87"/>
      <c r="F71" s="88"/>
      <c r="G71" s="86"/>
      <c r="H71" s="86"/>
      <c r="I71" s="86"/>
      <c r="J71" s="86"/>
      <c r="K71" s="86"/>
      <c r="L71" s="88"/>
      <c r="M71" s="86"/>
    </row>
    <row r="72" spans="1:13">
      <c r="A72" s="86" t="str">
        <f>IF($B72="","",COUNTA($B$4:$B72))</f>
        <v/>
      </c>
      <c r="B72" s="87"/>
      <c r="C72" s="86"/>
      <c r="D72" s="88"/>
      <c r="E72" s="87"/>
      <c r="F72" s="88"/>
      <c r="G72" s="86"/>
      <c r="H72" s="86"/>
      <c r="I72" s="86"/>
      <c r="J72" s="86"/>
      <c r="K72" s="86"/>
      <c r="L72" s="88"/>
      <c r="M72" s="86"/>
    </row>
    <row r="73" spans="1:13">
      <c r="A73" s="86" t="str">
        <f>IF($B73="","",COUNTA($B$4:$B73))</f>
        <v/>
      </c>
      <c r="B73" s="87"/>
      <c r="C73" s="86"/>
      <c r="D73" s="88"/>
      <c r="E73" s="87"/>
      <c r="F73" s="88"/>
      <c r="G73" s="86"/>
      <c r="H73" s="86"/>
      <c r="I73" s="86"/>
      <c r="J73" s="86"/>
      <c r="K73" s="86"/>
      <c r="L73" s="88"/>
      <c r="M73" s="86"/>
    </row>
    <row r="74" spans="1:13">
      <c r="A74" s="86" t="str">
        <f>IF($B74="","",COUNTA($B$4:$B74))</f>
        <v/>
      </c>
      <c r="B74" s="87"/>
      <c r="C74" s="86"/>
      <c r="D74" s="88"/>
      <c r="E74" s="87"/>
      <c r="F74" s="88"/>
      <c r="G74" s="86"/>
      <c r="H74" s="86"/>
      <c r="I74" s="86"/>
      <c r="J74" s="86"/>
      <c r="K74" s="86"/>
      <c r="L74" s="88"/>
      <c r="M74" s="86"/>
    </row>
    <row r="75" spans="1:13">
      <c r="A75" s="86" t="str">
        <f>IF($B75="","",COUNTA($B$4:$B75))</f>
        <v/>
      </c>
      <c r="B75" s="87"/>
      <c r="C75" s="86"/>
      <c r="D75" s="88"/>
      <c r="E75" s="87"/>
      <c r="F75" s="88"/>
      <c r="G75" s="86"/>
      <c r="H75" s="86"/>
      <c r="I75" s="86"/>
      <c r="J75" s="86"/>
      <c r="K75" s="86"/>
      <c r="L75" s="88"/>
      <c r="M75" s="86"/>
    </row>
    <row r="76" spans="1:13">
      <c r="A76" s="86" t="str">
        <f>IF($B76="","",COUNTA($B$4:$B76))</f>
        <v/>
      </c>
      <c r="B76" s="87"/>
      <c r="C76" s="86"/>
      <c r="D76" s="88"/>
      <c r="E76" s="87"/>
      <c r="F76" s="88"/>
      <c r="G76" s="86"/>
      <c r="H76" s="86"/>
      <c r="I76" s="86"/>
      <c r="J76" s="86"/>
      <c r="K76" s="86"/>
      <c r="L76" s="88"/>
      <c r="M76" s="86"/>
    </row>
    <row r="77" spans="1:13">
      <c r="A77" s="86" t="str">
        <f>IF($B77="","",COUNTA($B$4:$B77))</f>
        <v/>
      </c>
      <c r="B77" s="87"/>
      <c r="C77" s="86"/>
      <c r="D77" s="88"/>
      <c r="E77" s="87"/>
      <c r="F77" s="88"/>
      <c r="G77" s="86"/>
      <c r="H77" s="86"/>
      <c r="I77" s="86"/>
      <c r="J77" s="86"/>
      <c r="K77" s="86"/>
      <c r="L77" s="88"/>
      <c r="M77" s="86"/>
    </row>
    <row r="78" spans="1:13">
      <c r="A78" s="86" t="str">
        <f>IF($B78="","",COUNTA($B$4:$B78))</f>
        <v/>
      </c>
      <c r="B78" s="87"/>
      <c r="C78" s="86"/>
      <c r="D78" s="88"/>
      <c r="E78" s="87"/>
      <c r="F78" s="88"/>
      <c r="G78" s="86"/>
      <c r="H78" s="86"/>
      <c r="I78" s="86"/>
      <c r="J78" s="86"/>
      <c r="K78" s="86"/>
      <c r="L78" s="88"/>
      <c r="M78" s="86"/>
    </row>
    <row r="79" spans="1:13">
      <c r="A79" s="86" t="str">
        <f>IF($B79="","",COUNTA($B$4:$B79))</f>
        <v/>
      </c>
      <c r="B79" s="87"/>
      <c r="C79" s="86"/>
      <c r="D79" s="88"/>
      <c r="E79" s="87"/>
      <c r="F79" s="88"/>
      <c r="G79" s="86"/>
      <c r="H79" s="86"/>
      <c r="I79" s="86"/>
      <c r="J79" s="86"/>
      <c r="K79" s="86"/>
      <c r="L79" s="88"/>
      <c r="M79" s="86"/>
    </row>
    <row r="80" spans="1:13">
      <c r="A80" s="86" t="str">
        <f>IF($B80="","",COUNTA($B$4:$B80))</f>
        <v/>
      </c>
      <c r="B80" s="87"/>
      <c r="C80" s="86"/>
      <c r="D80" s="88"/>
      <c r="E80" s="87"/>
      <c r="F80" s="88"/>
      <c r="G80" s="86"/>
      <c r="H80" s="86"/>
      <c r="I80" s="86"/>
      <c r="J80" s="86"/>
      <c r="K80" s="86"/>
      <c r="L80" s="88"/>
      <c r="M80" s="86"/>
    </row>
    <row r="81" spans="1:13">
      <c r="A81" s="86" t="str">
        <f>IF($B81="","",COUNTA($B$4:$B81))</f>
        <v/>
      </c>
      <c r="B81" s="87"/>
      <c r="C81" s="86"/>
      <c r="D81" s="88"/>
      <c r="E81" s="87"/>
      <c r="F81" s="88"/>
      <c r="G81" s="86"/>
      <c r="H81" s="86"/>
      <c r="I81" s="86"/>
      <c r="J81" s="86"/>
      <c r="K81" s="86"/>
      <c r="L81" s="88"/>
      <c r="M81" s="86"/>
    </row>
    <row r="82" spans="1:13">
      <c r="A82" s="86" t="str">
        <f>IF($B82="","",COUNTA($B$4:$B82))</f>
        <v/>
      </c>
      <c r="B82" s="87"/>
      <c r="C82" s="86"/>
      <c r="D82" s="88"/>
      <c r="E82" s="87"/>
      <c r="F82" s="88"/>
      <c r="G82" s="86"/>
      <c r="H82" s="86"/>
      <c r="I82" s="86"/>
      <c r="J82" s="86"/>
      <c r="K82" s="86"/>
      <c r="L82" s="88"/>
      <c r="M82" s="86"/>
    </row>
    <row r="83" spans="1:13">
      <c r="A83" s="86" t="str">
        <f>IF($B83="","",COUNTA($B$4:$B83))</f>
        <v/>
      </c>
      <c r="B83" s="87"/>
      <c r="C83" s="86"/>
      <c r="D83" s="88"/>
      <c r="E83" s="87"/>
      <c r="F83" s="88"/>
      <c r="G83" s="86"/>
      <c r="H83" s="86"/>
      <c r="I83" s="86"/>
      <c r="J83" s="86"/>
      <c r="K83" s="86"/>
      <c r="L83" s="88"/>
      <c r="M83" s="86"/>
    </row>
    <row r="84" spans="1:13">
      <c r="A84" s="86" t="str">
        <f>IF($B84="","",COUNTA($B$4:$B84))</f>
        <v/>
      </c>
      <c r="B84" s="87"/>
      <c r="C84" s="86"/>
      <c r="D84" s="88"/>
      <c r="E84" s="87"/>
      <c r="F84" s="88"/>
      <c r="G84" s="86"/>
      <c r="H84" s="86"/>
      <c r="I84" s="86"/>
      <c r="J84" s="86"/>
      <c r="K84" s="86"/>
      <c r="L84" s="88"/>
      <c r="M84" s="86"/>
    </row>
    <row r="85" spans="1:13">
      <c r="A85" s="86" t="str">
        <f>IF($B85="","",COUNTA($B$4:$B85))</f>
        <v/>
      </c>
      <c r="B85" s="87"/>
      <c r="C85" s="86"/>
      <c r="D85" s="88"/>
      <c r="E85" s="87"/>
      <c r="F85" s="88"/>
      <c r="G85" s="86"/>
      <c r="H85" s="86"/>
      <c r="I85" s="86"/>
      <c r="J85" s="86"/>
      <c r="K85" s="86"/>
      <c r="L85" s="88"/>
      <c r="M85" s="86"/>
    </row>
    <row r="86" spans="1:13">
      <c r="A86" s="86" t="str">
        <f>IF($B86="","",COUNTA($B$4:$B86))</f>
        <v/>
      </c>
      <c r="B86" s="87"/>
      <c r="C86" s="86"/>
      <c r="D86" s="88"/>
      <c r="E86" s="87"/>
      <c r="F86" s="88"/>
      <c r="G86" s="86"/>
      <c r="H86" s="86"/>
      <c r="I86" s="86"/>
      <c r="J86" s="86"/>
      <c r="K86" s="86"/>
      <c r="L86" s="88"/>
      <c r="M86" s="86"/>
    </row>
    <row r="87" spans="1:13">
      <c r="A87" s="86" t="str">
        <f>IF($B87="","",COUNTA($B$4:$B87))</f>
        <v/>
      </c>
      <c r="B87" s="87"/>
      <c r="C87" s="86"/>
      <c r="D87" s="88"/>
      <c r="E87" s="87"/>
      <c r="F87" s="88"/>
      <c r="G87" s="86"/>
      <c r="H87" s="86"/>
      <c r="I87" s="86"/>
      <c r="J87" s="86"/>
      <c r="K87" s="86"/>
      <c r="L87" s="88"/>
      <c r="M87" s="86"/>
    </row>
    <row r="88" spans="1:13">
      <c r="A88" s="86" t="str">
        <f>IF($B88="","",COUNTA($B$4:$B88))</f>
        <v/>
      </c>
      <c r="B88" s="87"/>
      <c r="C88" s="86"/>
      <c r="D88" s="88"/>
      <c r="E88" s="87"/>
      <c r="F88" s="88"/>
      <c r="G88" s="86"/>
      <c r="H88" s="86"/>
      <c r="I88" s="86"/>
      <c r="J88" s="86"/>
      <c r="K88" s="86"/>
      <c r="L88" s="88"/>
      <c r="M88" s="86"/>
    </row>
    <row r="89" spans="1:13">
      <c r="A89" s="86" t="str">
        <f>IF($B89="","",COUNTA($B$4:$B89))</f>
        <v/>
      </c>
      <c r="B89" s="87"/>
      <c r="C89" s="86"/>
      <c r="D89" s="88"/>
      <c r="E89" s="87"/>
      <c r="F89" s="88"/>
      <c r="G89" s="86"/>
      <c r="H89" s="86"/>
      <c r="I89" s="86"/>
      <c r="J89" s="86"/>
      <c r="K89" s="86"/>
      <c r="L89" s="88"/>
      <c r="M89" s="86"/>
    </row>
    <row r="90" spans="1:13">
      <c r="A90" s="86" t="str">
        <f>IF($B90="","",COUNTA($B$4:$B90))</f>
        <v/>
      </c>
      <c r="B90" s="87"/>
      <c r="C90" s="86"/>
      <c r="D90" s="88"/>
      <c r="E90" s="87"/>
      <c r="F90" s="88"/>
      <c r="G90" s="86"/>
      <c r="H90" s="86"/>
      <c r="I90" s="86"/>
      <c r="J90" s="86"/>
      <c r="K90" s="86"/>
      <c r="L90" s="88"/>
      <c r="M90" s="86"/>
    </row>
    <row r="91" spans="1:13">
      <c r="A91" s="86" t="str">
        <f>IF($B91="","",COUNTA($B$4:$B91))</f>
        <v/>
      </c>
      <c r="B91" s="87"/>
      <c r="C91" s="86"/>
      <c r="D91" s="88"/>
      <c r="E91" s="87"/>
      <c r="F91" s="88"/>
      <c r="G91" s="86"/>
      <c r="H91" s="86"/>
      <c r="I91" s="86"/>
      <c r="J91" s="86"/>
      <c r="K91" s="86"/>
      <c r="L91" s="88"/>
      <c r="M91" s="86"/>
    </row>
    <row r="92" spans="1:13">
      <c r="A92" s="86" t="str">
        <f>IF($B92="","",COUNTA($B$4:$B92))</f>
        <v/>
      </c>
      <c r="B92" s="87"/>
      <c r="C92" s="86"/>
      <c r="D92" s="88"/>
      <c r="E92" s="87"/>
      <c r="F92" s="88"/>
      <c r="G92" s="86"/>
      <c r="H92" s="86"/>
      <c r="I92" s="86"/>
      <c r="J92" s="86"/>
      <c r="K92" s="86"/>
      <c r="L92" s="88"/>
      <c r="M92" s="86"/>
    </row>
    <row r="93" spans="1:13">
      <c r="A93" s="86" t="str">
        <f>IF($B93="","",COUNTA($B$4:$B93))</f>
        <v/>
      </c>
      <c r="B93" s="87"/>
      <c r="C93" s="86"/>
      <c r="D93" s="88"/>
      <c r="E93" s="87"/>
      <c r="F93" s="88"/>
      <c r="G93" s="86"/>
      <c r="H93" s="86"/>
      <c r="I93" s="86"/>
      <c r="J93" s="86"/>
      <c r="K93" s="86"/>
      <c r="L93" s="88"/>
      <c r="M93" s="86"/>
    </row>
    <row r="94" spans="1:13">
      <c r="A94" s="86" t="str">
        <f>IF($B94="","",COUNTA($B$4:$B94))</f>
        <v/>
      </c>
      <c r="B94" s="87"/>
      <c r="C94" s="86"/>
      <c r="D94" s="88"/>
      <c r="E94" s="87"/>
      <c r="F94" s="88"/>
      <c r="G94" s="86"/>
      <c r="H94" s="86"/>
      <c r="I94" s="86"/>
      <c r="J94" s="86"/>
      <c r="K94" s="86"/>
      <c r="L94" s="88"/>
      <c r="M94" s="86"/>
    </row>
    <row r="95" spans="1:13">
      <c r="A95" s="86" t="str">
        <f>IF($B95="","",COUNTA($B$4:$B95))</f>
        <v/>
      </c>
      <c r="B95" s="87"/>
      <c r="C95" s="86"/>
      <c r="D95" s="88"/>
      <c r="E95" s="87"/>
      <c r="F95" s="88"/>
      <c r="G95" s="86"/>
      <c r="H95" s="86"/>
      <c r="I95" s="86"/>
      <c r="J95" s="86"/>
      <c r="K95" s="86"/>
      <c r="L95" s="88"/>
      <c r="M95" s="86"/>
    </row>
    <row r="96" spans="1:13">
      <c r="A96" s="86" t="str">
        <f>IF($B96="","",COUNTA($B$4:$B96))</f>
        <v/>
      </c>
      <c r="B96" s="87"/>
      <c r="C96" s="86"/>
      <c r="D96" s="88"/>
      <c r="E96" s="87"/>
      <c r="F96" s="88"/>
      <c r="G96" s="86"/>
      <c r="H96" s="86"/>
      <c r="I96" s="86"/>
      <c r="J96" s="86"/>
      <c r="K96" s="86"/>
      <c r="L96" s="88"/>
      <c r="M96" s="86"/>
    </row>
    <row r="97" spans="1:13">
      <c r="A97" s="86" t="str">
        <f>IF($B97="","",COUNTA($B$4:$B97))</f>
        <v/>
      </c>
      <c r="B97" s="87"/>
      <c r="C97" s="86"/>
      <c r="D97" s="88"/>
      <c r="E97" s="87"/>
      <c r="F97" s="88"/>
      <c r="G97" s="86"/>
      <c r="H97" s="86"/>
      <c r="I97" s="86"/>
      <c r="J97" s="86"/>
      <c r="K97" s="86"/>
      <c r="L97" s="88"/>
      <c r="M97" s="86"/>
    </row>
    <row r="98" spans="1:13">
      <c r="A98" s="86" t="str">
        <f>IF($B98="","",COUNTA($B$4:$B98))</f>
        <v/>
      </c>
      <c r="B98" s="87"/>
      <c r="C98" s="86"/>
      <c r="D98" s="88"/>
      <c r="E98" s="87"/>
      <c r="F98" s="88"/>
      <c r="G98" s="86"/>
      <c r="H98" s="86"/>
      <c r="I98" s="86"/>
      <c r="J98" s="86"/>
      <c r="K98" s="86"/>
      <c r="L98" s="88"/>
      <c r="M98" s="86"/>
    </row>
    <row r="99" spans="1:13">
      <c r="A99" s="86" t="str">
        <f>IF($B99="","",COUNTA($B$4:$B99))</f>
        <v/>
      </c>
      <c r="B99" s="87"/>
      <c r="C99" s="86"/>
      <c r="D99" s="88"/>
      <c r="E99" s="87"/>
      <c r="F99" s="88"/>
      <c r="G99" s="86"/>
      <c r="H99" s="86"/>
      <c r="I99" s="86"/>
      <c r="J99" s="86"/>
      <c r="K99" s="86"/>
      <c r="L99" s="88"/>
      <c r="M99" s="86"/>
    </row>
    <row r="100" spans="1:13">
      <c r="A100" s="86" t="str">
        <f>IF($B100="","",COUNTA($B$4:$B100))</f>
        <v/>
      </c>
      <c r="B100" s="87"/>
      <c r="C100" s="86"/>
      <c r="D100" s="88"/>
      <c r="E100" s="87"/>
      <c r="F100" s="88"/>
      <c r="G100" s="86"/>
      <c r="H100" s="86"/>
      <c r="I100" s="86"/>
      <c r="J100" s="86"/>
      <c r="K100" s="86"/>
      <c r="L100" s="88"/>
      <c r="M100" s="86"/>
    </row>
    <row r="101" spans="1:13">
      <c r="A101" s="86" t="str">
        <f>IF($B101="","",COUNTA($B$4:$B101))</f>
        <v/>
      </c>
      <c r="B101" s="87"/>
      <c r="C101" s="86"/>
      <c r="D101" s="88"/>
      <c r="E101" s="87"/>
      <c r="F101" s="88"/>
      <c r="G101" s="86"/>
      <c r="H101" s="86"/>
      <c r="I101" s="86"/>
      <c r="J101" s="86"/>
      <c r="K101" s="86"/>
      <c r="L101" s="88"/>
      <c r="M101" s="86"/>
    </row>
    <row r="102" spans="1:13">
      <c r="A102" s="86" t="str">
        <f>IF($B102="","",COUNTA($B$4:$B102))</f>
        <v/>
      </c>
      <c r="B102" s="87"/>
      <c r="C102" s="86"/>
      <c r="D102" s="88"/>
      <c r="E102" s="87"/>
      <c r="F102" s="88"/>
      <c r="G102" s="86"/>
      <c r="H102" s="86"/>
      <c r="I102" s="86"/>
      <c r="J102" s="86"/>
      <c r="K102" s="86"/>
      <c r="L102" s="88"/>
      <c r="M102" s="86"/>
    </row>
    <row r="103" spans="1:13">
      <c r="A103" s="86" t="str">
        <f>IF($B103="","",COUNTA($B$4:$B103))</f>
        <v/>
      </c>
      <c r="B103" s="87"/>
      <c r="C103" s="86"/>
      <c r="D103" s="88"/>
      <c r="E103" s="87"/>
      <c r="F103" s="88"/>
      <c r="G103" s="86"/>
      <c r="H103" s="86"/>
      <c r="I103" s="86"/>
      <c r="J103" s="86"/>
      <c r="K103" s="86"/>
      <c r="L103" s="88"/>
      <c r="M103" s="86"/>
    </row>
    <row r="104" spans="1:13">
      <c r="A104" s="86" t="str">
        <f>IF($B104="","",COUNTA($B$4:$B104))</f>
        <v/>
      </c>
      <c r="B104" s="87"/>
      <c r="C104" s="86"/>
      <c r="D104" s="88"/>
      <c r="E104" s="87"/>
      <c r="F104" s="88"/>
      <c r="G104" s="86"/>
      <c r="H104" s="86"/>
      <c r="I104" s="86"/>
      <c r="J104" s="86"/>
      <c r="K104" s="86"/>
      <c r="L104" s="88"/>
      <c r="M104" s="86"/>
    </row>
    <row r="105" spans="1:13">
      <c r="A105" s="86" t="str">
        <f>IF($B105="","",COUNTA($B$4:$B105))</f>
        <v/>
      </c>
      <c r="B105" s="87"/>
      <c r="C105" s="86"/>
      <c r="D105" s="88"/>
      <c r="E105" s="87"/>
      <c r="F105" s="88"/>
      <c r="G105" s="86"/>
      <c r="H105" s="86"/>
      <c r="I105" s="86"/>
      <c r="J105" s="86"/>
      <c r="K105" s="86"/>
      <c r="L105" s="88"/>
      <c r="M105" s="86"/>
    </row>
    <row r="106" spans="1:13">
      <c r="A106" s="86" t="str">
        <f>IF($B106="","",COUNTA($B$4:$B106))</f>
        <v/>
      </c>
      <c r="B106" s="87"/>
      <c r="C106" s="86"/>
      <c r="D106" s="88"/>
      <c r="E106" s="87"/>
      <c r="F106" s="88"/>
      <c r="G106" s="86"/>
      <c r="H106" s="86"/>
      <c r="I106" s="86"/>
      <c r="J106" s="86"/>
      <c r="K106" s="86"/>
      <c r="L106" s="88"/>
      <c r="M106" s="86"/>
    </row>
    <row r="107" spans="1:13">
      <c r="A107" s="86" t="str">
        <f>IF($B107="","",COUNTA($B$4:$B107))</f>
        <v/>
      </c>
      <c r="B107" s="87"/>
      <c r="C107" s="86"/>
      <c r="D107" s="88"/>
      <c r="E107" s="87"/>
      <c r="F107" s="88"/>
      <c r="G107" s="86"/>
      <c r="H107" s="86"/>
      <c r="I107" s="86"/>
      <c r="J107" s="86"/>
      <c r="K107" s="86"/>
      <c r="L107" s="88"/>
      <c r="M107" s="86"/>
    </row>
    <row r="108" spans="1:13">
      <c r="A108" s="86" t="str">
        <f>IF($B108="","",COUNTA($B$4:$B108))</f>
        <v/>
      </c>
      <c r="B108" s="87"/>
      <c r="C108" s="86"/>
      <c r="D108" s="88"/>
      <c r="E108" s="87"/>
      <c r="F108" s="88"/>
      <c r="G108" s="86"/>
      <c r="H108" s="86"/>
      <c r="I108" s="86"/>
      <c r="J108" s="86"/>
      <c r="K108" s="86"/>
      <c r="L108" s="88"/>
      <c r="M108" s="86"/>
    </row>
    <row r="109" spans="1:13">
      <c r="A109" s="86" t="str">
        <f>IF($B109="","",COUNTA($B$4:$B109))</f>
        <v/>
      </c>
      <c r="B109" s="87"/>
      <c r="C109" s="86"/>
      <c r="D109" s="88"/>
      <c r="E109" s="87"/>
      <c r="F109" s="88"/>
      <c r="G109" s="86"/>
      <c r="H109" s="86"/>
      <c r="I109" s="86"/>
      <c r="J109" s="86"/>
      <c r="K109" s="86"/>
      <c r="L109" s="88"/>
      <c r="M109" s="86"/>
    </row>
    <row r="110" spans="1:13">
      <c r="A110" s="86" t="str">
        <f>IF($B110="","",COUNTA($B$4:$B110))</f>
        <v/>
      </c>
      <c r="B110" s="87"/>
      <c r="C110" s="86"/>
      <c r="D110" s="88"/>
      <c r="E110" s="87"/>
      <c r="F110" s="88"/>
      <c r="G110" s="86"/>
      <c r="H110" s="86"/>
      <c r="I110" s="86"/>
      <c r="J110" s="86"/>
      <c r="K110" s="86"/>
      <c r="L110" s="88"/>
      <c r="M110" s="86"/>
    </row>
    <row r="111" spans="1:13">
      <c r="A111" s="86" t="str">
        <f>IF($B111="","",COUNTA($B$4:$B111))</f>
        <v/>
      </c>
      <c r="B111" s="87"/>
      <c r="C111" s="86"/>
      <c r="D111" s="88"/>
      <c r="E111" s="87"/>
      <c r="F111" s="88"/>
      <c r="G111" s="86"/>
      <c r="H111" s="86"/>
      <c r="I111" s="86"/>
      <c r="J111" s="86"/>
      <c r="K111" s="86"/>
      <c r="L111" s="88"/>
      <c r="M111" s="86"/>
    </row>
    <row r="112" spans="1:13">
      <c r="A112" s="86" t="str">
        <f>IF($B112="","",COUNTA($B$4:$B112))</f>
        <v/>
      </c>
      <c r="B112" s="87"/>
      <c r="C112" s="86"/>
      <c r="D112" s="88"/>
      <c r="E112" s="87"/>
      <c r="F112" s="88"/>
      <c r="G112" s="86"/>
      <c r="H112" s="86"/>
      <c r="I112" s="86"/>
      <c r="J112" s="86"/>
      <c r="K112" s="86"/>
      <c r="L112" s="88"/>
      <c r="M112" s="86"/>
    </row>
    <row r="113" spans="1:13">
      <c r="A113" s="86" t="str">
        <f>IF($B113="","",COUNTA($B$4:$B113))</f>
        <v/>
      </c>
      <c r="B113" s="87"/>
      <c r="C113" s="86"/>
      <c r="D113" s="88"/>
      <c r="E113" s="87"/>
      <c r="F113" s="88"/>
      <c r="G113" s="86"/>
      <c r="H113" s="86"/>
      <c r="I113" s="86"/>
      <c r="J113" s="86"/>
      <c r="K113" s="86"/>
      <c r="L113" s="88"/>
      <c r="M113" s="86"/>
    </row>
    <row r="114" spans="1:13">
      <c r="A114" s="86" t="str">
        <f>IF($B114="","",COUNTA($B$4:$B114))</f>
        <v/>
      </c>
      <c r="B114" s="87"/>
      <c r="C114" s="86"/>
      <c r="D114" s="88"/>
      <c r="E114" s="87"/>
      <c r="F114" s="88"/>
      <c r="G114" s="86"/>
      <c r="H114" s="86"/>
      <c r="I114" s="86"/>
      <c r="J114" s="86"/>
      <c r="K114" s="86"/>
      <c r="L114" s="88"/>
      <c r="M114" s="86"/>
    </row>
    <row r="115" spans="1:13">
      <c r="A115" s="86" t="str">
        <f>IF($B115="","",COUNTA($B$4:$B115))</f>
        <v/>
      </c>
      <c r="B115" s="87"/>
      <c r="C115" s="86"/>
      <c r="D115" s="88"/>
      <c r="E115" s="87"/>
      <c r="F115" s="88"/>
      <c r="G115" s="86"/>
      <c r="H115" s="86"/>
      <c r="I115" s="86"/>
      <c r="J115" s="86"/>
      <c r="K115" s="86"/>
      <c r="L115" s="88"/>
      <c r="M115" s="86"/>
    </row>
    <row r="116" spans="1:13">
      <c r="A116" s="86" t="str">
        <f>IF($B116="","",COUNTA($B$4:$B116))</f>
        <v/>
      </c>
      <c r="B116" s="87"/>
      <c r="C116" s="86"/>
      <c r="D116" s="88"/>
      <c r="E116" s="87"/>
      <c r="F116" s="88"/>
      <c r="G116" s="86"/>
      <c r="H116" s="86"/>
      <c r="I116" s="86"/>
      <c r="J116" s="86"/>
      <c r="K116" s="86"/>
      <c r="L116" s="88"/>
      <c r="M116" s="86"/>
    </row>
    <row r="117" spans="1:13">
      <c r="A117" s="86" t="str">
        <f>IF($B117="","",COUNTA($B$4:$B117))</f>
        <v/>
      </c>
      <c r="B117" s="87"/>
      <c r="C117" s="86"/>
      <c r="D117" s="88"/>
      <c r="E117" s="87"/>
      <c r="F117" s="88"/>
      <c r="G117" s="86"/>
      <c r="H117" s="86"/>
      <c r="I117" s="86"/>
      <c r="J117" s="86"/>
      <c r="K117" s="86"/>
      <c r="L117" s="88"/>
      <c r="M117" s="86"/>
    </row>
    <row r="118" spans="1:13">
      <c r="A118" s="86" t="str">
        <f>IF($B118="","",COUNTA($B$4:$B118))</f>
        <v/>
      </c>
      <c r="B118" s="87"/>
      <c r="C118" s="86"/>
      <c r="D118" s="88"/>
      <c r="E118" s="87"/>
      <c r="F118" s="88"/>
      <c r="G118" s="86"/>
      <c r="H118" s="86"/>
      <c r="I118" s="86"/>
      <c r="J118" s="86"/>
      <c r="K118" s="86"/>
      <c r="L118" s="88"/>
      <c r="M118" s="86"/>
    </row>
    <row r="119" spans="1:13">
      <c r="A119" s="86" t="str">
        <f>IF($B119="","",COUNTA($B$4:$B119))</f>
        <v/>
      </c>
      <c r="B119" s="87"/>
      <c r="C119" s="86"/>
      <c r="D119" s="88"/>
      <c r="E119" s="87"/>
      <c r="F119" s="88"/>
      <c r="G119" s="86"/>
      <c r="H119" s="86"/>
      <c r="I119" s="86"/>
      <c r="J119" s="86"/>
      <c r="K119" s="86"/>
      <c r="L119" s="88"/>
      <c r="M119" s="86"/>
    </row>
    <row r="120" spans="1:13">
      <c r="A120" s="86" t="str">
        <f>IF($B120="","",COUNTA($B$4:$B120))</f>
        <v/>
      </c>
      <c r="B120" s="87"/>
      <c r="C120" s="86"/>
      <c r="D120" s="88"/>
      <c r="E120" s="87"/>
      <c r="F120" s="88"/>
      <c r="G120" s="86"/>
      <c r="H120" s="86"/>
      <c r="I120" s="86"/>
      <c r="J120" s="86"/>
      <c r="K120" s="86"/>
      <c r="L120" s="88"/>
      <c r="M120" s="86"/>
    </row>
    <row r="121" spans="1:13">
      <c r="A121" s="86" t="str">
        <f>IF($B121="","",COUNTA($B$4:$B121))</f>
        <v/>
      </c>
      <c r="B121" s="87"/>
      <c r="C121" s="86"/>
      <c r="D121" s="88"/>
      <c r="E121" s="87"/>
      <c r="F121" s="88"/>
      <c r="G121" s="86"/>
      <c r="H121" s="86"/>
      <c r="I121" s="86"/>
      <c r="J121" s="86"/>
      <c r="K121" s="86"/>
      <c r="L121" s="88"/>
      <c r="M121" s="86"/>
    </row>
    <row r="122" spans="1:13">
      <c r="A122" s="86" t="str">
        <f>IF($B122="","",COUNTA($B$4:$B122))</f>
        <v/>
      </c>
      <c r="B122" s="87"/>
      <c r="C122" s="86"/>
      <c r="D122" s="88"/>
      <c r="E122" s="87"/>
      <c r="F122" s="88"/>
      <c r="G122" s="86"/>
      <c r="H122" s="86"/>
      <c r="I122" s="86"/>
      <c r="J122" s="86"/>
      <c r="K122" s="86"/>
      <c r="L122" s="88"/>
      <c r="M122" s="86"/>
    </row>
    <row r="123" spans="1:13">
      <c r="A123" s="86" t="str">
        <f>IF($B123="","",COUNTA($B$4:$B123))</f>
        <v/>
      </c>
      <c r="B123" s="87"/>
      <c r="C123" s="86"/>
      <c r="D123" s="88"/>
      <c r="E123" s="87"/>
      <c r="F123" s="88"/>
      <c r="G123" s="86"/>
      <c r="H123" s="86"/>
      <c r="I123" s="86"/>
      <c r="J123" s="86"/>
      <c r="K123" s="86"/>
      <c r="L123" s="88"/>
      <c r="M123" s="86"/>
    </row>
    <row r="124" spans="1:13">
      <c r="A124" s="86" t="str">
        <f>IF($B124="","",COUNTA($B$4:$B124))</f>
        <v/>
      </c>
      <c r="B124" s="87"/>
      <c r="C124" s="86"/>
      <c r="D124" s="88"/>
      <c r="E124" s="87"/>
      <c r="F124" s="88"/>
      <c r="G124" s="86"/>
      <c r="H124" s="86"/>
      <c r="I124" s="86"/>
      <c r="J124" s="86"/>
      <c r="K124" s="86"/>
      <c r="L124" s="88"/>
      <c r="M124" s="86"/>
    </row>
    <row r="125" spans="1:13">
      <c r="A125" s="86" t="str">
        <f>IF($B125="","",COUNTA($B$4:$B125))</f>
        <v/>
      </c>
      <c r="B125" s="87"/>
      <c r="C125" s="86"/>
      <c r="D125" s="88"/>
      <c r="E125" s="87"/>
      <c r="F125" s="88"/>
      <c r="G125" s="86"/>
      <c r="H125" s="86"/>
      <c r="I125" s="86"/>
      <c r="J125" s="86"/>
      <c r="K125" s="86"/>
      <c r="L125" s="88"/>
      <c r="M125" s="86"/>
    </row>
    <row r="126" spans="1:13">
      <c r="A126" s="86" t="str">
        <f>IF($B126="","",COUNTA($B$4:$B126))</f>
        <v/>
      </c>
      <c r="B126" s="87"/>
      <c r="C126" s="86"/>
      <c r="D126" s="88"/>
      <c r="E126" s="87"/>
      <c r="F126" s="88"/>
      <c r="G126" s="86"/>
      <c r="H126" s="86"/>
      <c r="I126" s="86"/>
      <c r="J126" s="86"/>
      <c r="K126" s="86"/>
      <c r="L126" s="88"/>
      <c r="M126" s="86"/>
    </row>
    <row r="127" spans="1:13">
      <c r="A127" s="86" t="str">
        <f>IF($B127="","",COUNTA($B$4:$B127))</f>
        <v/>
      </c>
      <c r="B127" s="87"/>
      <c r="C127" s="86"/>
      <c r="D127" s="88"/>
      <c r="E127" s="87"/>
      <c r="F127" s="88"/>
      <c r="G127" s="86"/>
      <c r="H127" s="86"/>
      <c r="I127" s="86"/>
      <c r="J127" s="86"/>
      <c r="K127" s="86"/>
      <c r="L127" s="88"/>
      <c r="M127" s="86"/>
    </row>
    <row r="128" spans="1:13">
      <c r="A128" s="86" t="str">
        <f>IF($B128="","",COUNTA($B$4:$B128))</f>
        <v/>
      </c>
      <c r="B128" s="87"/>
      <c r="C128" s="86"/>
      <c r="D128" s="88"/>
      <c r="E128" s="87"/>
      <c r="F128" s="88"/>
      <c r="G128" s="86"/>
      <c r="H128" s="86"/>
      <c r="I128" s="86"/>
      <c r="J128" s="86"/>
      <c r="K128" s="86"/>
      <c r="L128" s="88"/>
      <c r="M128" s="86"/>
    </row>
    <row r="129" spans="1:13">
      <c r="A129" s="86" t="str">
        <f>IF($B129="","",COUNTA($B$4:$B129))</f>
        <v/>
      </c>
      <c r="B129" s="87"/>
      <c r="C129" s="86"/>
      <c r="D129" s="88"/>
      <c r="E129" s="87"/>
      <c r="F129" s="88"/>
      <c r="G129" s="86"/>
      <c r="H129" s="86"/>
      <c r="I129" s="86"/>
      <c r="J129" s="86"/>
      <c r="K129" s="86"/>
      <c r="L129" s="88"/>
      <c r="M129" s="86"/>
    </row>
    <row r="130" spans="1:13">
      <c r="A130" s="86" t="str">
        <f>IF($B130="","",COUNTA($B$4:$B130))</f>
        <v/>
      </c>
      <c r="B130" s="87"/>
      <c r="C130" s="86"/>
      <c r="D130" s="88"/>
      <c r="E130" s="87"/>
      <c r="F130" s="88"/>
      <c r="G130" s="86"/>
      <c r="H130" s="86"/>
      <c r="I130" s="86"/>
      <c r="J130" s="86"/>
      <c r="K130" s="86"/>
      <c r="L130" s="88"/>
      <c r="M130" s="86"/>
    </row>
    <row r="131" spans="1:13">
      <c r="A131" s="86" t="str">
        <f>IF($B131="","",COUNTA($B$4:$B131))</f>
        <v/>
      </c>
      <c r="B131" s="87"/>
      <c r="C131" s="86"/>
      <c r="D131" s="88"/>
      <c r="E131" s="87"/>
      <c r="F131" s="88"/>
      <c r="G131" s="86"/>
      <c r="H131" s="86"/>
      <c r="I131" s="86"/>
      <c r="J131" s="86"/>
      <c r="K131" s="86"/>
      <c r="L131" s="88"/>
      <c r="M131" s="86"/>
    </row>
    <row r="132" spans="1:13">
      <c r="A132" s="86" t="str">
        <f>IF($B132="","",COUNTA($B$4:$B132))</f>
        <v/>
      </c>
      <c r="B132" s="87"/>
      <c r="C132" s="86"/>
      <c r="D132" s="88"/>
      <c r="E132" s="87"/>
      <c r="F132" s="88"/>
      <c r="G132" s="86"/>
      <c r="H132" s="86"/>
      <c r="I132" s="86"/>
      <c r="J132" s="86"/>
      <c r="K132" s="86"/>
      <c r="L132" s="88"/>
      <c r="M132" s="86"/>
    </row>
    <row r="133" spans="1:13">
      <c r="A133" s="86" t="str">
        <f>IF($B133="","",COUNTA($B$4:$B133))</f>
        <v/>
      </c>
      <c r="B133" s="87"/>
      <c r="C133" s="86"/>
      <c r="D133" s="88"/>
      <c r="E133" s="87"/>
      <c r="F133" s="88"/>
      <c r="G133" s="86"/>
      <c r="H133" s="86"/>
      <c r="I133" s="86"/>
      <c r="J133" s="86"/>
      <c r="K133" s="86"/>
      <c r="L133" s="88"/>
      <c r="M133" s="86"/>
    </row>
    <row r="134" spans="1:13">
      <c r="A134" s="86" t="str">
        <f>IF($B134="","",COUNTA($B$4:$B134))</f>
        <v/>
      </c>
      <c r="B134" s="87"/>
      <c r="C134" s="86"/>
      <c r="D134" s="88"/>
      <c r="E134" s="87"/>
      <c r="F134" s="88"/>
      <c r="G134" s="86"/>
      <c r="H134" s="86"/>
      <c r="I134" s="86"/>
      <c r="J134" s="86"/>
      <c r="K134" s="86"/>
      <c r="L134" s="88"/>
      <c r="M134" s="86"/>
    </row>
    <row r="135" spans="1:13">
      <c r="A135" s="86" t="str">
        <f>IF($B135="","",COUNTA($B$4:$B135))</f>
        <v/>
      </c>
      <c r="B135" s="87"/>
      <c r="C135" s="86"/>
      <c r="D135" s="88"/>
      <c r="E135" s="87"/>
      <c r="F135" s="88"/>
      <c r="G135" s="86"/>
      <c r="H135" s="86"/>
      <c r="I135" s="86"/>
      <c r="J135" s="86"/>
      <c r="K135" s="86"/>
      <c r="L135" s="88"/>
      <c r="M135" s="86"/>
    </row>
    <row r="136" spans="1:13">
      <c r="A136" s="86" t="str">
        <f>IF($B136="","",COUNTA($B$4:$B136))</f>
        <v/>
      </c>
      <c r="B136" s="87"/>
      <c r="C136" s="86"/>
      <c r="D136" s="88"/>
      <c r="E136" s="87"/>
      <c r="F136" s="88"/>
      <c r="G136" s="86"/>
      <c r="H136" s="86"/>
      <c r="I136" s="86"/>
      <c r="J136" s="86"/>
      <c r="K136" s="86"/>
      <c r="L136" s="88"/>
      <c r="M136" s="86"/>
    </row>
    <row r="137" spans="1:13">
      <c r="A137" s="86" t="str">
        <f>IF($B137="","",COUNTA($B$4:$B137))</f>
        <v/>
      </c>
      <c r="B137" s="87"/>
      <c r="C137" s="86"/>
      <c r="D137" s="88"/>
      <c r="E137" s="87"/>
      <c r="F137" s="88"/>
      <c r="G137" s="86"/>
      <c r="H137" s="86"/>
      <c r="I137" s="86"/>
      <c r="J137" s="86"/>
      <c r="K137" s="86"/>
      <c r="L137" s="88"/>
      <c r="M137" s="86"/>
    </row>
    <row r="138" spans="1:13">
      <c r="A138" s="86" t="str">
        <f>IF($B138="","",COUNTA($B$4:$B138))</f>
        <v/>
      </c>
      <c r="B138" s="87"/>
      <c r="C138" s="86"/>
      <c r="D138" s="88"/>
      <c r="E138" s="87"/>
      <c r="F138" s="88"/>
      <c r="G138" s="86"/>
      <c r="H138" s="86"/>
      <c r="I138" s="86"/>
      <c r="J138" s="86"/>
      <c r="K138" s="86"/>
      <c r="L138" s="88"/>
      <c r="M138" s="86"/>
    </row>
    <row r="139" spans="1:13">
      <c r="A139" s="86" t="str">
        <f>IF($B139="","",COUNTA($B$4:$B139))</f>
        <v/>
      </c>
      <c r="B139" s="87"/>
      <c r="C139" s="86"/>
      <c r="D139" s="88"/>
      <c r="E139" s="87"/>
      <c r="F139" s="88"/>
      <c r="G139" s="86"/>
      <c r="H139" s="86"/>
      <c r="I139" s="86"/>
      <c r="J139" s="86"/>
      <c r="K139" s="86"/>
      <c r="L139" s="88"/>
      <c r="M139" s="86"/>
    </row>
    <row r="140" spans="1:13">
      <c r="A140" s="86" t="str">
        <f>IF($B140="","",COUNTA($B$4:$B140))</f>
        <v/>
      </c>
      <c r="B140" s="87"/>
      <c r="C140" s="86"/>
      <c r="D140" s="88"/>
      <c r="E140" s="87"/>
      <c r="F140" s="88"/>
      <c r="G140" s="86"/>
      <c r="H140" s="86"/>
      <c r="I140" s="86"/>
      <c r="J140" s="86"/>
      <c r="K140" s="86"/>
      <c r="L140" s="88"/>
      <c r="M140" s="86"/>
    </row>
    <row r="141" spans="1:13">
      <c r="A141" s="86" t="str">
        <f>IF($B141="","",COUNTA($B$4:$B141))</f>
        <v/>
      </c>
      <c r="B141" s="87"/>
      <c r="C141" s="86"/>
      <c r="D141" s="88"/>
      <c r="E141" s="87"/>
      <c r="F141" s="88"/>
      <c r="G141" s="86"/>
      <c r="H141" s="86"/>
      <c r="I141" s="86"/>
      <c r="J141" s="86"/>
      <c r="K141" s="86"/>
      <c r="L141" s="88"/>
      <c r="M141" s="86"/>
    </row>
    <row r="142" spans="1:13">
      <c r="A142" s="86" t="str">
        <f>IF($B142="","",COUNTA($B$4:$B142))</f>
        <v/>
      </c>
      <c r="B142" s="87"/>
      <c r="C142" s="86"/>
      <c r="D142" s="88"/>
      <c r="E142" s="87"/>
      <c r="F142" s="88"/>
      <c r="G142" s="86"/>
      <c r="H142" s="86"/>
      <c r="I142" s="86"/>
      <c r="J142" s="86"/>
      <c r="K142" s="86"/>
      <c r="L142" s="88"/>
      <c r="M142" s="86"/>
    </row>
    <row r="143" spans="1:13">
      <c r="A143" s="86" t="str">
        <f>IF($B143="","",COUNTA($B$4:$B143))</f>
        <v/>
      </c>
      <c r="B143" s="87"/>
      <c r="C143" s="86"/>
      <c r="D143" s="88"/>
      <c r="E143" s="87"/>
      <c r="F143" s="88"/>
      <c r="G143" s="86"/>
      <c r="H143" s="86"/>
      <c r="I143" s="86"/>
      <c r="J143" s="86"/>
      <c r="K143" s="86"/>
      <c r="L143" s="88"/>
      <c r="M143" s="86"/>
    </row>
    <row r="144" spans="1:13">
      <c r="A144" s="86" t="str">
        <f>IF($B144="","",COUNTA($B$4:$B144))</f>
        <v/>
      </c>
      <c r="B144" s="87"/>
      <c r="C144" s="86"/>
      <c r="D144" s="88"/>
      <c r="E144" s="87"/>
      <c r="F144" s="88"/>
      <c r="G144" s="86"/>
      <c r="H144" s="86"/>
      <c r="I144" s="86"/>
      <c r="J144" s="86"/>
      <c r="K144" s="86"/>
      <c r="L144" s="88"/>
      <c r="M144" s="86"/>
    </row>
    <row r="145" spans="1:13">
      <c r="A145" s="86" t="str">
        <f>IF($B145="","",COUNTA($B$4:$B145))</f>
        <v/>
      </c>
      <c r="B145" s="87"/>
      <c r="C145" s="86"/>
      <c r="D145" s="88"/>
      <c r="E145" s="87"/>
      <c r="F145" s="88"/>
      <c r="G145" s="86"/>
      <c r="H145" s="86"/>
      <c r="I145" s="86"/>
      <c r="J145" s="86"/>
      <c r="K145" s="86"/>
      <c r="L145" s="88"/>
      <c r="M145" s="86"/>
    </row>
    <row r="146" spans="1:13">
      <c r="A146" s="86" t="str">
        <f>IF($B146="","",COUNTA($B$4:$B146))</f>
        <v/>
      </c>
      <c r="B146" s="87"/>
      <c r="C146" s="86"/>
      <c r="D146" s="88"/>
      <c r="E146" s="87"/>
      <c r="F146" s="88"/>
      <c r="G146" s="86"/>
      <c r="H146" s="86"/>
      <c r="I146" s="86"/>
      <c r="J146" s="86"/>
      <c r="K146" s="86"/>
      <c r="L146" s="88"/>
      <c r="M146" s="86"/>
    </row>
    <row r="147" spans="1:13">
      <c r="A147" s="86" t="str">
        <f>IF($B147="","",COUNTA($B$4:$B147))</f>
        <v/>
      </c>
      <c r="B147" s="87"/>
      <c r="C147" s="86"/>
      <c r="D147" s="88"/>
      <c r="E147" s="87"/>
      <c r="F147" s="88"/>
      <c r="G147" s="86"/>
      <c r="H147" s="86"/>
      <c r="I147" s="86"/>
      <c r="J147" s="86"/>
      <c r="K147" s="86"/>
      <c r="L147" s="88"/>
      <c r="M147" s="86"/>
    </row>
    <row r="148" spans="1:13">
      <c r="A148" s="86" t="str">
        <f>IF($B148="","",COUNTA($B$4:$B148))</f>
        <v/>
      </c>
      <c r="B148" s="87"/>
      <c r="C148" s="86"/>
      <c r="D148" s="88"/>
      <c r="E148" s="87"/>
      <c r="F148" s="88"/>
      <c r="G148" s="86"/>
      <c r="H148" s="86"/>
      <c r="I148" s="86"/>
      <c r="J148" s="86"/>
      <c r="K148" s="86"/>
      <c r="L148" s="88"/>
      <c r="M148" s="86"/>
    </row>
    <row r="149" spans="1:13">
      <c r="A149" s="86" t="str">
        <f>IF($B149="","",COUNTA($B$4:$B149))</f>
        <v/>
      </c>
      <c r="B149" s="87"/>
      <c r="C149" s="86"/>
      <c r="D149" s="88"/>
      <c r="E149" s="87"/>
      <c r="F149" s="88"/>
      <c r="G149" s="86"/>
      <c r="H149" s="86"/>
      <c r="I149" s="86"/>
      <c r="J149" s="86"/>
      <c r="K149" s="86"/>
      <c r="L149" s="88"/>
      <c r="M149" s="86"/>
    </row>
    <row r="150" spans="1:13">
      <c r="A150" s="86" t="str">
        <f>IF($B150="","",COUNTA($B$4:$B150))</f>
        <v/>
      </c>
      <c r="B150" s="87"/>
      <c r="C150" s="86"/>
      <c r="D150" s="88"/>
      <c r="E150" s="87"/>
      <c r="F150" s="88"/>
      <c r="G150" s="86"/>
      <c r="H150" s="86"/>
      <c r="I150" s="86"/>
      <c r="J150" s="86"/>
      <c r="K150" s="86"/>
      <c r="L150" s="88"/>
      <c r="M150" s="86"/>
    </row>
    <row r="151" spans="1:13">
      <c r="A151" s="86" t="str">
        <f>IF($B151="","",COUNTA($B$4:$B151))</f>
        <v/>
      </c>
      <c r="B151" s="87"/>
      <c r="C151" s="86"/>
      <c r="D151" s="88"/>
      <c r="E151" s="87"/>
      <c r="F151" s="88"/>
      <c r="G151" s="86"/>
      <c r="H151" s="86"/>
      <c r="I151" s="86"/>
      <c r="J151" s="86"/>
      <c r="K151" s="86"/>
      <c r="L151" s="88"/>
      <c r="M151" s="86"/>
    </row>
    <row r="152" spans="1:13">
      <c r="A152" s="86" t="str">
        <f>IF($B152="","",COUNTA($B$4:$B152))</f>
        <v/>
      </c>
      <c r="B152" s="87"/>
      <c r="C152" s="86"/>
      <c r="D152" s="88"/>
      <c r="E152" s="87"/>
      <c r="F152" s="88"/>
      <c r="G152" s="86"/>
      <c r="H152" s="86"/>
      <c r="I152" s="86"/>
      <c r="J152" s="86"/>
      <c r="K152" s="86"/>
      <c r="L152" s="88"/>
      <c r="M152" s="86"/>
    </row>
    <row r="153" spans="1:13">
      <c r="A153" s="86" t="str">
        <f>IF($B153="","",COUNTA($B$4:$B153))</f>
        <v/>
      </c>
      <c r="B153" s="87"/>
      <c r="C153" s="86"/>
      <c r="D153" s="88"/>
      <c r="E153" s="87"/>
      <c r="F153" s="88"/>
      <c r="G153" s="86"/>
      <c r="H153" s="86"/>
      <c r="I153" s="86"/>
      <c r="J153" s="86"/>
      <c r="K153" s="86"/>
      <c r="L153" s="88"/>
      <c r="M153" s="86"/>
    </row>
    <row r="154" spans="1:13">
      <c r="A154" s="86" t="str">
        <f>IF($B154="","",COUNTA($B$4:$B154))</f>
        <v/>
      </c>
      <c r="B154" s="87"/>
      <c r="C154" s="86"/>
      <c r="D154" s="88"/>
      <c r="E154" s="87"/>
      <c r="F154" s="88"/>
      <c r="G154" s="86"/>
      <c r="H154" s="86"/>
      <c r="I154" s="86"/>
      <c r="J154" s="86"/>
      <c r="K154" s="86"/>
      <c r="L154" s="88"/>
      <c r="M154" s="86"/>
    </row>
    <row r="155" spans="1:13">
      <c r="A155" s="86" t="str">
        <f>IF($B155="","",COUNTA($B$4:$B155))</f>
        <v/>
      </c>
      <c r="B155" s="87"/>
      <c r="C155" s="86"/>
      <c r="D155" s="88"/>
      <c r="E155" s="87"/>
      <c r="F155" s="88"/>
      <c r="G155" s="86"/>
      <c r="H155" s="86"/>
      <c r="I155" s="86"/>
      <c r="J155" s="86"/>
      <c r="K155" s="86"/>
      <c r="L155" s="88"/>
      <c r="M155" s="86"/>
    </row>
    <row r="156" spans="1:13">
      <c r="A156" s="86" t="str">
        <f>IF($B156="","",COUNTA($B$4:$B156))</f>
        <v/>
      </c>
      <c r="B156" s="87"/>
      <c r="C156" s="86"/>
      <c r="D156" s="88"/>
      <c r="E156" s="87"/>
      <c r="F156" s="88"/>
      <c r="G156" s="86"/>
      <c r="H156" s="86"/>
      <c r="I156" s="86"/>
      <c r="J156" s="86"/>
      <c r="K156" s="86"/>
      <c r="L156" s="88"/>
      <c r="M156" s="86"/>
    </row>
    <row r="157" spans="1:13">
      <c r="A157" s="86" t="str">
        <f>IF($B157="","",COUNTA($B$4:$B157))</f>
        <v/>
      </c>
      <c r="B157" s="87"/>
      <c r="C157" s="86"/>
      <c r="D157" s="88"/>
      <c r="E157" s="87"/>
      <c r="F157" s="88"/>
      <c r="G157" s="86"/>
      <c r="H157" s="86"/>
      <c r="I157" s="86"/>
      <c r="J157" s="86"/>
      <c r="K157" s="86"/>
      <c r="L157" s="88"/>
      <c r="M157" s="86"/>
    </row>
    <row r="158" spans="1:13">
      <c r="A158" s="86" t="str">
        <f>IF($B158="","",COUNTA($B$4:$B158))</f>
        <v/>
      </c>
      <c r="B158" s="87"/>
      <c r="C158" s="86"/>
      <c r="D158" s="88"/>
      <c r="E158" s="87"/>
      <c r="F158" s="88"/>
      <c r="G158" s="86"/>
      <c r="H158" s="86"/>
      <c r="I158" s="86"/>
      <c r="J158" s="86"/>
      <c r="K158" s="86"/>
      <c r="L158" s="88"/>
      <c r="M158" s="86"/>
    </row>
    <row r="159" spans="1:13">
      <c r="A159" s="86" t="str">
        <f>IF($B159="","",COUNTA($B$4:$B159))</f>
        <v/>
      </c>
      <c r="B159" s="87"/>
      <c r="C159" s="86"/>
      <c r="D159" s="88"/>
      <c r="E159" s="87"/>
      <c r="F159" s="88"/>
      <c r="G159" s="86"/>
      <c r="H159" s="86"/>
      <c r="I159" s="86"/>
      <c r="J159" s="86"/>
      <c r="K159" s="86"/>
      <c r="L159" s="88"/>
      <c r="M159" s="86"/>
    </row>
    <row r="160" spans="1:13">
      <c r="A160" s="86" t="str">
        <f>IF($B160="","",COUNTA($B$4:$B160))</f>
        <v/>
      </c>
      <c r="B160" s="87"/>
      <c r="C160" s="86"/>
      <c r="D160" s="88"/>
      <c r="E160" s="87"/>
      <c r="F160" s="88"/>
      <c r="G160" s="86"/>
      <c r="H160" s="86"/>
      <c r="I160" s="86"/>
      <c r="J160" s="86"/>
      <c r="K160" s="86"/>
      <c r="L160" s="88"/>
      <c r="M160" s="86"/>
    </row>
    <row r="161" spans="1:13">
      <c r="A161" s="86" t="str">
        <f>IF($B161="","",COUNTA($B$4:$B161))</f>
        <v/>
      </c>
      <c r="B161" s="87"/>
      <c r="C161" s="86"/>
      <c r="D161" s="88"/>
      <c r="E161" s="87"/>
      <c r="F161" s="88"/>
      <c r="G161" s="86"/>
      <c r="H161" s="86"/>
      <c r="I161" s="86"/>
      <c r="J161" s="86"/>
      <c r="K161" s="86"/>
      <c r="L161" s="88"/>
      <c r="M161" s="86"/>
    </row>
    <row r="162" spans="1:13">
      <c r="A162" s="86" t="str">
        <f>IF($B162="","",COUNTA($B$4:$B162))</f>
        <v/>
      </c>
      <c r="B162" s="87"/>
      <c r="C162" s="86"/>
      <c r="D162" s="88"/>
      <c r="E162" s="87"/>
      <c r="F162" s="88"/>
      <c r="G162" s="86"/>
      <c r="H162" s="86"/>
      <c r="I162" s="86"/>
      <c r="J162" s="86"/>
      <c r="K162" s="86"/>
      <c r="L162" s="88"/>
      <c r="M162" s="86"/>
    </row>
    <row r="163" spans="1:13">
      <c r="A163" s="86" t="str">
        <f>IF($B163="","",COUNTA($B$4:$B163))</f>
        <v/>
      </c>
      <c r="B163" s="87"/>
      <c r="C163" s="86"/>
      <c r="D163" s="88"/>
      <c r="E163" s="87"/>
      <c r="F163" s="88"/>
      <c r="G163" s="86"/>
      <c r="H163" s="86"/>
      <c r="I163" s="86"/>
      <c r="J163" s="86"/>
      <c r="K163" s="86"/>
      <c r="L163" s="88"/>
      <c r="M163" s="86"/>
    </row>
    <row r="164" spans="1:13">
      <c r="A164" s="86" t="str">
        <f>IF($B164="","",COUNTA($B$4:$B164))</f>
        <v/>
      </c>
      <c r="B164" s="87"/>
      <c r="C164" s="86"/>
      <c r="D164" s="88"/>
      <c r="E164" s="87"/>
      <c r="F164" s="88"/>
      <c r="G164" s="86"/>
      <c r="H164" s="86"/>
      <c r="I164" s="86"/>
      <c r="J164" s="86"/>
      <c r="K164" s="86"/>
      <c r="L164" s="88"/>
      <c r="M164" s="86"/>
    </row>
    <row r="165" spans="1:13">
      <c r="A165" s="86" t="str">
        <f>IF($B165="","",COUNTA($B$4:$B165))</f>
        <v/>
      </c>
      <c r="B165" s="87"/>
      <c r="C165" s="86"/>
      <c r="D165" s="88"/>
      <c r="E165" s="87"/>
      <c r="F165" s="88"/>
      <c r="G165" s="86"/>
      <c r="H165" s="86"/>
      <c r="I165" s="86"/>
      <c r="J165" s="86"/>
      <c r="K165" s="86"/>
      <c r="L165" s="88"/>
      <c r="M165" s="86"/>
    </row>
    <row r="166" spans="1:13">
      <c r="A166" s="86" t="str">
        <f>IF($B166="","",COUNTA($B$4:$B166))</f>
        <v/>
      </c>
      <c r="B166" s="87"/>
      <c r="C166" s="86"/>
      <c r="D166" s="88"/>
      <c r="E166" s="87"/>
      <c r="F166" s="88"/>
      <c r="G166" s="86"/>
      <c r="H166" s="86"/>
      <c r="I166" s="86"/>
      <c r="J166" s="86"/>
      <c r="K166" s="86"/>
      <c r="L166" s="88"/>
      <c r="M166" s="86"/>
    </row>
    <row r="167" spans="1:13">
      <c r="A167" s="86" t="str">
        <f>IF($B167="","",COUNTA($B$4:$B167))</f>
        <v/>
      </c>
      <c r="B167" s="87"/>
      <c r="C167" s="86"/>
      <c r="D167" s="88"/>
      <c r="E167" s="87"/>
      <c r="F167" s="88"/>
      <c r="G167" s="86"/>
      <c r="H167" s="86"/>
      <c r="I167" s="86"/>
      <c r="J167" s="86"/>
      <c r="K167" s="86"/>
      <c r="L167" s="88"/>
      <c r="M167" s="86"/>
    </row>
    <row r="168" spans="1:13">
      <c r="A168" s="86" t="str">
        <f>IF($B168="","",COUNTA($B$4:$B168))</f>
        <v/>
      </c>
      <c r="B168" s="87"/>
      <c r="C168" s="86"/>
      <c r="D168" s="88"/>
      <c r="E168" s="87"/>
      <c r="F168" s="88"/>
      <c r="G168" s="86"/>
      <c r="H168" s="86"/>
      <c r="I168" s="86"/>
      <c r="J168" s="86"/>
      <c r="K168" s="86"/>
      <c r="L168" s="88"/>
      <c r="M168" s="86"/>
    </row>
    <row r="169" spans="1:13">
      <c r="A169" s="86" t="str">
        <f>IF($B169="","",COUNTA($B$4:$B169))</f>
        <v/>
      </c>
      <c r="B169" s="87"/>
      <c r="C169" s="86"/>
      <c r="D169" s="88"/>
      <c r="E169" s="87"/>
      <c r="F169" s="88"/>
      <c r="G169" s="86"/>
      <c r="H169" s="86"/>
      <c r="I169" s="86"/>
      <c r="J169" s="86"/>
      <c r="K169" s="86"/>
      <c r="L169" s="88"/>
      <c r="M169" s="86"/>
    </row>
    <row r="170" spans="1:13">
      <c r="A170" s="86" t="str">
        <f>IF($B170="","",COUNTA($B$4:$B170))</f>
        <v/>
      </c>
      <c r="B170" s="87"/>
      <c r="C170" s="86"/>
      <c r="D170" s="88"/>
      <c r="E170" s="87"/>
      <c r="F170" s="88"/>
      <c r="G170" s="86"/>
      <c r="H170" s="86"/>
      <c r="I170" s="86"/>
      <c r="J170" s="86"/>
      <c r="K170" s="86"/>
      <c r="L170" s="88"/>
      <c r="M170" s="86"/>
    </row>
    <row r="171" spans="1:13">
      <c r="A171" s="86" t="str">
        <f>IF($B171="","",COUNTA($B$4:$B171))</f>
        <v/>
      </c>
      <c r="B171" s="87"/>
      <c r="C171" s="86"/>
      <c r="D171" s="88"/>
      <c r="E171" s="87"/>
      <c r="F171" s="88"/>
      <c r="G171" s="86"/>
      <c r="H171" s="86"/>
      <c r="I171" s="86"/>
      <c r="J171" s="86"/>
      <c r="K171" s="86"/>
      <c r="L171" s="88"/>
      <c r="M171" s="86"/>
    </row>
    <row r="172" spans="1:13">
      <c r="A172" s="86" t="str">
        <f>IF($B172="","",COUNTA($B$4:$B172))</f>
        <v/>
      </c>
      <c r="B172" s="87"/>
      <c r="C172" s="86"/>
      <c r="D172" s="88"/>
      <c r="E172" s="87"/>
      <c r="F172" s="88"/>
      <c r="G172" s="86"/>
      <c r="H172" s="86"/>
      <c r="I172" s="86"/>
      <c r="J172" s="86"/>
      <c r="K172" s="86"/>
      <c r="L172" s="88"/>
      <c r="M172" s="86"/>
    </row>
    <row r="173" spans="1:13">
      <c r="A173" s="86" t="str">
        <f>IF($B173="","",COUNTA($B$4:$B173))</f>
        <v/>
      </c>
      <c r="B173" s="87"/>
      <c r="C173" s="86"/>
      <c r="D173" s="88"/>
      <c r="E173" s="87"/>
      <c r="F173" s="88"/>
      <c r="G173" s="86"/>
      <c r="H173" s="86"/>
      <c r="I173" s="86"/>
      <c r="J173" s="86"/>
      <c r="K173" s="86"/>
      <c r="L173" s="88"/>
      <c r="M173" s="86"/>
    </row>
    <row r="174" spans="1:13">
      <c r="A174" s="86" t="str">
        <f>IF($B174="","",COUNTA($B$4:$B174))</f>
        <v/>
      </c>
      <c r="B174" s="87"/>
      <c r="C174" s="86"/>
      <c r="D174" s="88"/>
      <c r="E174" s="87"/>
      <c r="F174" s="88"/>
      <c r="G174" s="86"/>
      <c r="H174" s="86"/>
      <c r="I174" s="86"/>
      <c r="J174" s="86"/>
      <c r="K174" s="86"/>
      <c r="L174" s="88"/>
      <c r="M174" s="86"/>
    </row>
    <row r="175" spans="1:13">
      <c r="A175" s="86" t="str">
        <f>IF($B175="","",COUNTA($B$4:$B175))</f>
        <v/>
      </c>
      <c r="B175" s="87"/>
      <c r="C175" s="86"/>
      <c r="D175" s="88"/>
      <c r="E175" s="87"/>
      <c r="F175" s="88"/>
      <c r="G175" s="86"/>
      <c r="H175" s="86"/>
      <c r="I175" s="86"/>
      <c r="J175" s="86"/>
      <c r="K175" s="86"/>
      <c r="L175" s="88"/>
      <c r="M175" s="86"/>
    </row>
    <row r="176" spans="1:13">
      <c r="A176" s="86" t="str">
        <f>IF($B176="","",COUNTA($B$4:$B176))</f>
        <v/>
      </c>
      <c r="B176" s="87"/>
      <c r="C176" s="86"/>
      <c r="D176" s="88"/>
      <c r="E176" s="87"/>
      <c r="F176" s="88"/>
      <c r="G176" s="86"/>
      <c r="H176" s="86"/>
      <c r="I176" s="86"/>
      <c r="J176" s="86"/>
      <c r="K176" s="86"/>
      <c r="L176" s="88"/>
      <c r="M176" s="86"/>
    </row>
    <row r="177" spans="1:13">
      <c r="A177" s="86" t="str">
        <f>IF($B177="","",COUNTA($B$4:$B177))</f>
        <v/>
      </c>
      <c r="B177" s="87"/>
      <c r="C177" s="86"/>
      <c r="D177" s="88"/>
      <c r="E177" s="87"/>
      <c r="F177" s="88"/>
      <c r="G177" s="86"/>
      <c r="H177" s="86"/>
      <c r="I177" s="86"/>
      <c r="J177" s="86"/>
      <c r="K177" s="86"/>
      <c r="L177" s="88"/>
      <c r="M177" s="86"/>
    </row>
    <row r="178" spans="1:13">
      <c r="A178" s="86" t="str">
        <f>IF($B178="","",COUNTA($B$4:$B178))</f>
        <v/>
      </c>
      <c r="B178" s="87"/>
      <c r="C178" s="86"/>
      <c r="D178" s="88"/>
      <c r="E178" s="87"/>
      <c r="F178" s="88"/>
      <c r="G178" s="86"/>
      <c r="H178" s="86"/>
      <c r="I178" s="86"/>
      <c r="J178" s="86"/>
      <c r="K178" s="86"/>
      <c r="L178" s="88"/>
      <c r="M178" s="86"/>
    </row>
    <row r="179" spans="1:13">
      <c r="A179" s="86" t="str">
        <f>IF($B179="","",COUNTA($B$4:$B179))</f>
        <v/>
      </c>
      <c r="B179" s="87"/>
      <c r="C179" s="86"/>
      <c r="D179" s="88"/>
      <c r="E179" s="87"/>
      <c r="F179" s="88"/>
      <c r="G179" s="86"/>
      <c r="H179" s="86"/>
      <c r="I179" s="86"/>
      <c r="J179" s="86"/>
      <c r="K179" s="86"/>
      <c r="L179" s="88"/>
      <c r="M179" s="86"/>
    </row>
    <row r="180" spans="1:13">
      <c r="A180" s="86" t="str">
        <f>IF($B180="","",COUNTA($B$4:$B180))</f>
        <v/>
      </c>
      <c r="B180" s="87"/>
      <c r="C180" s="86"/>
      <c r="D180" s="88"/>
      <c r="E180" s="87"/>
      <c r="F180" s="88"/>
      <c r="G180" s="86"/>
      <c r="H180" s="86"/>
      <c r="I180" s="86"/>
      <c r="J180" s="86"/>
      <c r="K180" s="86"/>
      <c r="L180" s="88"/>
      <c r="M180" s="86"/>
    </row>
    <row r="181" spans="1:13">
      <c r="A181" s="86" t="str">
        <f>IF($B181="","",COUNTA($B$4:$B181))</f>
        <v/>
      </c>
      <c r="B181" s="87"/>
      <c r="C181" s="86"/>
      <c r="D181" s="88"/>
      <c r="E181" s="87"/>
      <c r="F181" s="88"/>
      <c r="G181" s="86"/>
      <c r="H181" s="86"/>
      <c r="I181" s="86"/>
      <c r="J181" s="86"/>
      <c r="K181" s="86"/>
      <c r="L181" s="88"/>
      <c r="M181" s="86"/>
    </row>
    <row r="182" spans="1:13">
      <c r="A182" s="86" t="str">
        <f>IF($B182="","",COUNTA($B$4:$B182))</f>
        <v/>
      </c>
      <c r="B182" s="87"/>
      <c r="C182" s="86"/>
      <c r="D182" s="88"/>
      <c r="E182" s="87"/>
      <c r="F182" s="88"/>
      <c r="G182" s="86"/>
      <c r="H182" s="86"/>
      <c r="I182" s="86"/>
      <c r="J182" s="86"/>
      <c r="K182" s="86"/>
      <c r="L182" s="88"/>
      <c r="M182" s="86"/>
    </row>
    <row r="183" spans="1:13">
      <c r="A183" s="86" t="str">
        <f>IF($B183="","",COUNTA($B$4:$B183))</f>
        <v/>
      </c>
      <c r="B183" s="87"/>
      <c r="C183" s="86"/>
      <c r="D183" s="88"/>
      <c r="E183" s="87"/>
      <c r="F183" s="88"/>
      <c r="G183" s="86"/>
      <c r="H183" s="86"/>
      <c r="I183" s="86"/>
      <c r="J183" s="86"/>
      <c r="K183" s="86"/>
      <c r="L183" s="88"/>
      <c r="M183" s="86"/>
    </row>
    <row r="184" spans="1:13">
      <c r="A184" s="86" t="str">
        <f>IF($B184="","",COUNTA($B$4:$B184))</f>
        <v/>
      </c>
      <c r="B184" s="87"/>
      <c r="C184" s="86"/>
      <c r="D184" s="88"/>
      <c r="E184" s="87"/>
      <c r="F184" s="88"/>
      <c r="G184" s="86"/>
      <c r="H184" s="86"/>
      <c r="I184" s="86"/>
      <c r="J184" s="86"/>
      <c r="K184" s="86"/>
      <c r="L184" s="88"/>
      <c r="M184" s="86"/>
    </row>
    <row r="185" spans="1:13">
      <c r="A185" s="86" t="str">
        <f>IF($B185="","",COUNTA($B$4:$B185))</f>
        <v/>
      </c>
      <c r="B185" s="87"/>
      <c r="C185" s="86"/>
      <c r="D185" s="88"/>
      <c r="E185" s="87"/>
      <c r="F185" s="88"/>
      <c r="G185" s="86"/>
      <c r="H185" s="86"/>
      <c r="I185" s="86"/>
      <c r="J185" s="86"/>
      <c r="K185" s="86"/>
      <c r="L185" s="88"/>
      <c r="M185" s="86"/>
    </row>
    <row r="186" spans="1:13">
      <c r="A186" s="86" t="str">
        <f>IF($B186="","",COUNTA($B$4:$B186))</f>
        <v/>
      </c>
      <c r="B186" s="87"/>
      <c r="C186" s="86"/>
      <c r="D186" s="88"/>
      <c r="E186" s="87"/>
      <c r="F186" s="88"/>
      <c r="G186" s="86"/>
      <c r="H186" s="86"/>
      <c r="I186" s="86"/>
      <c r="J186" s="86"/>
      <c r="K186" s="86"/>
      <c r="L186" s="88"/>
      <c r="M186" s="86"/>
    </row>
    <row r="187" spans="1:13">
      <c r="A187" s="86" t="str">
        <f>IF($B187="","",COUNTA($B$4:$B187))</f>
        <v/>
      </c>
      <c r="B187" s="87"/>
      <c r="C187" s="86"/>
      <c r="D187" s="88"/>
      <c r="E187" s="87"/>
      <c r="F187" s="88"/>
      <c r="G187" s="86"/>
      <c r="H187" s="86"/>
      <c r="I187" s="86"/>
      <c r="J187" s="86"/>
      <c r="K187" s="86"/>
      <c r="L187" s="88"/>
      <c r="M187" s="86"/>
    </row>
    <row r="188" spans="1:13">
      <c r="A188" s="86" t="str">
        <f>IF($B188="","",COUNTA($B$4:$B188))</f>
        <v/>
      </c>
      <c r="B188" s="87"/>
      <c r="C188" s="86"/>
      <c r="D188" s="88"/>
      <c r="E188" s="87"/>
      <c r="F188" s="88"/>
      <c r="G188" s="86"/>
      <c r="H188" s="86"/>
      <c r="I188" s="86"/>
      <c r="J188" s="86"/>
      <c r="K188" s="86"/>
      <c r="L188" s="88"/>
      <c r="M188" s="86"/>
    </row>
    <row r="189" spans="1:13">
      <c r="A189" s="86" t="str">
        <f>IF($B189="","",COUNTA($B$4:$B189))</f>
        <v/>
      </c>
      <c r="B189" s="87"/>
      <c r="C189" s="86"/>
      <c r="D189" s="88"/>
      <c r="E189" s="87"/>
      <c r="F189" s="88"/>
      <c r="G189" s="86"/>
      <c r="H189" s="86"/>
      <c r="I189" s="86"/>
      <c r="J189" s="86"/>
      <c r="K189" s="86"/>
      <c r="L189" s="88"/>
      <c r="M189" s="86"/>
    </row>
    <row r="190" spans="1:13">
      <c r="A190" s="86" t="str">
        <f>IF($B190="","",COUNTA($B$4:$B190))</f>
        <v/>
      </c>
      <c r="B190" s="87"/>
      <c r="C190" s="86"/>
      <c r="D190" s="88"/>
      <c r="E190" s="87"/>
      <c r="F190" s="88"/>
      <c r="G190" s="86"/>
      <c r="H190" s="86"/>
      <c r="I190" s="86"/>
      <c r="J190" s="86"/>
      <c r="K190" s="86"/>
      <c r="L190" s="88"/>
      <c r="M190" s="86"/>
    </row>
    <row r="191" spans="1:13">
      <c r="A191" s="86" t="str">
        <f>IF($B191="","",COUNTA($B$4:$B191))</f>
        <v/>
      </c>
      <c r="B191" s="87"/>
      <c r="C191" s="86"/>
      <c r="D191" s="88"/>
      <c r="E191" s="87"/>
      <c r="F191" s="88"/>
      <c r="G191" s="86"/>
      <c r="H191" s="86"/>
      <c r="I191" s="86"/>
      <c r="J191" s="86"/>
      <c r="K191" s="86"/>
      <c r="L191" s="88"/>
      <c r="M191" s="86"/>
    </row>
    <row r="192" spans="1:13">
      <c r="A192" s="86" t="str">
        <f>IF($B192="","",COUNTA($B$4:$B192))</f>
        <v/>
      </c>
      <c r="B192" s="87"/>
      <c r="C192" s="86"/>
      <c r="D192" s="88"/>
      <c r="E192" s="87"/>
      <c r="F192" s="88"/>
      <c r="G192" s="86"/>
      <c r="H192" s="86"/>
      <c r="I192" s="86"/>
      <c r="J192" s="86"/>
      <c r="K192" s="86"/>
      <c r="L192" s="88"/>
      <c r="M192" s="86"/>
    </row>
    <row r="193" spans="1:13">
      <c r="A193" s="86" t="str">
        <f>IF($B193="","",COUNTA($B$4:$B193))</f>
        <v/>
      </c>
      <c r="B193" s="87"/>
      <c r="C193" s="86"/>
      <c r="D193" s="88"/>
      <c r="E193" s="87"/>
      <c r="F193" s="88"/>
      <c r="G193" s="86"/>
      <c r="H193" s="86"/>
      <c r="I193" s="86"/>
      <c r="J193" s="86"/>
      <c r="K193" s="86"/>
      <c r="L193" s="88"/>
      <c r="M193" s="86"/>
    </row>
    <row r="194" spans="1:13">
      <c r="A194" s="86" t="str">
        <f>IF($B194="","",COUNTA($B$4:$B194))</f>
        <v/>
      </c>
      <c r="B194" s="87"/>
      <c r="C194" s="86"/>
      <c r="D194" s="88"/>
      <c r="E194" s="87"/>
      <c r="F194" s="88"/>
      <c r="G194" s="86"/>
      <c r="H194" s="86"/>
      <c r="I194" s="86"/>
      <c r="J194" s="86"/>
      <c r="K194" s="86"/>
      <c r="L194" s="88"/>
      <c r="M194" s="86"/>
    </row>
    <row r="195" spans="1:13">
      <c r="A195" s="86" t="str">
        <f>IF($B195="","",COUNTA($B$4:$B195))</f>
        <v/>
      </c>
      <c r="B195" s="87"/>
      <c r="C195" s="86"/>
      <c r="D195" s="88"/>
      <c r="E195" s="87"/>
      <c r="F195" s="88"/>
      <c r="G195" s="86"/>
      <c r="H195" s="86"/>
      <c r="I195" s="86"/>
      <c r="J195" s="86"/>
      <c r="K195" s="86"/>
      <c r="L195" s="88"/>
      <c r="M195" s="86"/>
    </row>
    <row r="196" spans="1:13">
      <c r="A196" s="86" t="str">
        <f>IF($B196="","",COUNTA($B$4:$B196))</f>
        <v/>
      </c>
      <c r="B196" s="87"/>
      <c r="C196" s="86"/>
      <c r="D196" s="88"/>
      <c r="E196" s="87"/>
      <c r="F196" s="88"/>
      <c r="G196" s="86"/>
      <c r="H196" s="86"/>
      <c r="I196" s="86"/>
      <c r="J196" s="86"/>
      <c r="K196" s="86"/>
      <c r="L196" s="88"/>
      <c r="M196" s="86"/>
    </row>
  </sheetData>
  <autoFilter ref="A3:M196" xr:uid="{00000000-0009-0000-0000-000002000000}"/>
  <mergeCells count="2">
    <mergeCell ref="A2:M2"/>
    <mergeCell ref="A1:M1"/>
  </mergeCells>
  <conditionalFormatting sqref="A4:M196">
    <cfRule type="expression" dxfId="38" priority="1">
      <formula>$I4="NOT AVAILABLE"</formula>
    </cfRule>
    <cfRule type="expression" dxfId="37" priority="2">
      <formula>$I4="AVAILABLE"</formula>
    </cfRule>
    <cfRule type="expression" dxfId="36" priority="3">
      <formula>$I4="ORDERED"</formula>
    </cfRule>
    <cfRule type="expression" dxfId="35" priority="4">
      <formula>$I4="TRANSFER NEEDED"</formula>
    </cfRule>
    <cfRule type="expression" dxfId="34" priority="5">
      <formula>$I4="ISSUED"</formula>
    </cfRule>
  </conditionalFormatting>
  <conditionalFormatting sqref="I4:I196">
    <cfRule type="expression" dxfId="33" priority="11">
      <formula>$I4="NOT AVAILABLE"</formula>
    </cfRule>
  </conditionalFormatting>
  <dataValidations count="1">
    <dataValidation type="list" allowBlank="1" sqref="I4:I196" xr:uid="{00000000-0002-0000-0200-000000000000}">
      <formula1>"NOT AVAILABLE,AVAILABLE,ORDERED,TRANSFER NEEDED,ISSUED"</formula1>
    </dataValidation>
  </dataValidations>
  <hyperlinks>
    <hyperlink ref="E24" r:id="rId1" xr:uid="{00000000-0004-0000-0200-000000000000}"/>
    <hyperlink ref="E25" r:id="rId2" xr:uid="{00000000-0004-0000-0200-000001000000}"/>
  </hyperlinks>
  <pageMargins left="0.75" right="0.75" top="1" bottom="1" header="0.5" footer="0.5"/>
  <pageSetup scale="18" orientation="portrait" r:id="rId3"/>
  <ignoredErrors>
    <ignoredError sqref="D25:EW27 D24:E24 J24:L24 N24:EW24 G24:H24 D3:EW9 D29:EW34 D28:H28 J28:EW28 D11:EW23 D10:H10 N10:EW10 J10:L10"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L13" sqref="BL13"/>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97"/>
      <c r="B1" s="218"/>
      <c r="C1" s="218"/>
      <c r="D1" s="209" t="s">
        <v>1162</v>
      </c>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199" t="str">
        <f>"O.O.S  "&amp;TEXT(DASHBOARD!$M$1-1,"DD-MMM")&amp;"      B.I.S  "&amp;TEXT(DASHBOARD!$M$2,"DD-MMM")&amp;"      GROUND TIME  "&amp;(DASHBOARD!$M$2-DASHBOARD!$M$1+1)&amp;" DAYS"</f>
        <v>O.O.S  17-Jul      B.I.S  24-Aug      GROUND TIME  38 DAYS</v>
      </c>
      <c r="AR1" s="218"/>
      <c r="AS1" s="218"/>
      <c r="AT1" s="218"/>
      <c r="AU1" s="218"/>
      <c r="AV1" s="218"/>
      <c r="AW1" s="218"/>
      <c r="AX1" s="218"/>
      <c r="AY1" s="218"/>
      <c r="AZ1" s="218"/>
      <c r="BA1" s="218"/>
      <c r="BB1" s="218"/>
      <c r="BC1" s="218"/>
      <c r="BD1" s="218"/>
      <c r="BE1" s="218"/>
      <c r="BF1" s="218"/>
      <c r="BG1" s="218"/>
      <c r="BH1" s="218"/>
      <c r="BI1" s="218"/>
      <c r="BJ1" s="218"/>
      <c r="BK1" s="218"/>
      <c r="BL1" s="218"/>
      <c r="BM1" s="218"/>
      <c r="BN1" s="218"/>
      <c r="BO1" s="218"/>
      <c r="BP1" s="218"/>
      <c r="BQ1" s="218"/>
      <c r="BR1" s="218"/>
      <c r="BS1" s="218"/>
      <c r="BT1" s="218"/>
      <c r="BU1" s="218"/>
      <c r="BV1" s="218"/>
      <c r="BW1" s="218"/>
      <c r="BX1" s="218"/>
      <c r="BY1" s="218"/>
      <c r="BZ1" s="218"/>
      <c r="CA1" s="218"/>
      <c r="CB1" s="218"/>
      <c r="CC1" s="218"/>
      <c r="CD1" s="218"/>
      <c r="CE1" s="218"/>
      <c r="CF1" s="218"/>
      <c r="CG1" s="218"/>
      <c r="CH1" s="218"/>
      <c r="CI1" s="218"/>
      <c r="CJ1" s="218"/>
      <c r="CK1" s="218"/>
      <c r="CL1" s="218"/>
      <c r="CM1" s="218"/>
      <c r="CN1" s="218"/>
      <c r="CO1" s="218"/>
      <c r="CP1" s="218"/>
      <c r="CQ1" s="218"/>
      <c r="CR1" s="218"/>
      <c r="CS1" s="218"/>
      <c r="CT1" s="218"/>
      <c r="CU1" s="218"/>
      <c r="CV1" s="218"/>
      <c r="CW1" s="218"/>
      <c r="CX1" s="218"/>
      <c r="CY1" s="218"/>
      <c r="CZ1" s="218"/>
      <c r="DA1" s="218"/>
      <c r="DB1" s="218"/>
      <c r="DC1" s="218"/>
      <c r="DD1" s="218"/>
      <c r="DE1" s="218"/>
      <c r="DF1" s="218"/>
      <c r="DG1" s="218"/>
      <c r="DH1" s="218"/>
      <c r="DI1" s="218"/>
      <c r="DJ1" s="218"/>
      <c r="DK1" s="218"/>
      <c r="DL1" s="218"/>
      <c r="DM1" s="218"/>
      <c r="DN1" s="218"/>
      <c r="DO1" s="218"/>
      <c r="DP1" s="218"/>
      <c r="DQ1" s="218"/>
      <c r="DR1" s="218"/>
      <c r="DS1" s="218"/>
      <c r="DT1" s="218"/>
      <c r="DU1" s="218"/>
      <c r="DV1" s="218"/>
      <c r="DW1" s="218"/>
      <c r="DX1" s="218"/>
      <c r="DY1" s="218"/>
      <c r="DZ1" s="218"/>
      <c r="EA1" s="218"/>
      <c r="EB1" s="218"/>
      <c r="EC1" s="218"/>
      <c r="ED1" s="218"/>
      <c r="EE1" s="218"/>
      <c r="EF1" s="218"/>
      <c r="EG1" s="218"/>
      <c r="EH1" s="218"/>
      <c r="EI1" s="218"/>
      <c r="EJ1" s="218"/>
      <c r="EK1" s="218"/>
      <c r="EL1" s="218"/>
      <c r="EM1" s="218"/>
      <c r="EN1" s="218"/>
      <c r="EO1" s="218"/>
      <c r="EP1" s="218"/>
      <c r="EQ1" s="218"/>
      <c r="ER1" s="218"/>
      <c r="ES1" s="218"/>
      <c r="ET1" s="218"/>
      <c r="EU1" s="218"/>
      <c r="EV1" s="218"/>
      <c r="EW1" s="218"/>
    </row>
    <row r="2" spans="1:153" ht="19.899999999999999" customHeight="1">
      <c r="A2" s="218"/>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c r="EA2" s="218"/>
      <c r="EB2" s="218"/>
      <c r="EC2" s="218"/>
      <c r="ED2" s="218"/>
      <c r="EE2" s="218"/>
      <c r="EF2" s="218"/>
      <c r="EG2" s="218"/>
      <c r="EH2" s="218"/>
      <c r="EI2" s="218"/>
      <c r="EJ2" s="218"/>
      <c r="EK2" s="218"/>
      <c r="EL2" s="218"/>
      <c r="EM2" s="218"/>
      <c r="EN2" s="218"/>
      <c r="EO2" s="218"/>
      <c r="EP2" s="218"/>
      <c r="EQ2" s="218"/>
      <c r="ER2" s="218"/>
      <c r="ES2" s="218"/>
      <c r="ET2" s="218"/>
      <c r="EU2" s="218"/>
      <c r="EV2" s="218"/>
      <c r="EW2" s="218"/>
    </row>
    <row r="3" spans="1:153" ht="13.15" customHeight="1">
      <c r="A3" s="204" t="s">
        <v>1163</v>
      </c>
      <c r="B3" s="206" t="s">
        <v>1164</v>
      </c>
      <c r="C3" s="206" t="s">
        <v>1165</v>
      </c>
      <c r="D3" s="194" t="str">
        <f>IF(DASHBOARD!$M$2-DASHBOARD!$M$1&gt;=0,"Day "&amp;1,"")</f>
        <v>Day 1</v>
      </c>
      <c r="E3" s="218"/>
      <c r="F3" s="218"/>
      <c r="G3" s="194" t="str">
        <f>IF(DASHBOARD!$M$2-DASHBOARD!$M$1&gt;=1,"Day "&amp;2,"")</f>
        <v>Day 2</v>
      </c>
      <c r="H3" s="218"/>
      <c r="I3" s="218"/>
      <c r="J3" s="194" t="str">
        <f>IF(DASHBOARD!$M$2-DASHBOARD!$M$1&gt;=2,"Day "&amp;3,"")</f>
        <v>Day 3</v>
      </c>
      <c r="K3" s="218"/>
      <c r="L3" s="218"/>
      <c r="M3" s="194" t="str">
        <f>IF(DASHBOARD!$M$2-DASHBOARD!$M$1&gt;=3,"Day "&amp;4,"")</f>
        <v>Day 4</v>
      </c>
      <c r="N3" s="218"/>
      <c r="O3" s="218"/>
      <c r="P3" s="194" t="str">
        <f>IF(DASHBOARD!$M$2-DASHBOARD!$M$1&gt;=4,"Day "&amp;5,"")</f>
        <v>Day 5</v>
      </c>
      <c r="Q3" s="218"/>
      <c r="R3" s="218"/>
      <c r="S3" s="194" t="str">
        <f>IF(DASHBOARD!$M$2-DASHBOARD!$M$1&gt;=5,"Day "&amp;6,"")</f>
        <v>Day 6</v>
      </c>
      <c r="T3" s="218"/>
      <c r="U3" s="218"/>
      <c r="V3" s="194" t="str">
        <f>IF(DASHBOARD!$M$2-DASHBOARD!$M$1&gt;=6,"Day "&amp;7,"")</f>
        <v>Day 7</v>
      </c>
      <c r="W3" s="218"/>
      <c r="X3" s="218"/>
      <c r="Y3" s="194" t="str">
        <f>IF(DASHBOARD!$M$2-DASHBOARD!$M$1&gt;=7,"Day "&amp;8,"")</f>
        <v>Day 8</v>
      </c>
      <c r="Z3" s="218"/>
      <c r="AA3" s="218"/>
      <c r="AB3" s="194" t="str">
        <f>IF(DASHBOARD!$M$2-DASHBOARD!$M$1&gt;=8,"Day "&amp;9,"")</f>
        <v>Day 9</v>
      </c>
      <c r="AC3" s="218"/>
      <c r="AD3" s="218"/>
      <c r="AE3" s="194" t="str">
        <f>IF(DASHBOARD!$M$2-DASHBOARD!$M$1&gt;=9,"Day "&amp;10,"")</f>
        <v>Day 10</v>
      </c>
      <c r="AF3" s="218"/>
      <c r="AG3" s="218"/>
      <c r="AH3" s="194" t="str">
        <f>IF(DASHBOARD!$M$2-DASHBOARD!$M$1&gt;=10,"Day "&amp;11,"")</f>
        <v>Day 11</v>
      </c>
      <c r="AI3" s="218"/>
      <c r="AJ3" s="218"/>
      <c r="AK3" s="194" t="str">
        <f>IF(DASHBOARD!$M$2-DASHBOARD!$M$1&gt;=11,"Day "&amp;12,"")</f>
        <v>Day 12</v>
      </c>
      <c r="AL3" s="218"/>
      <c r="AM3" s="218"/>
      <c r="AN3" s="194" t="str">
        <f>IF(DASHBOARD!$M$2-DASHBOARD!$M$1&gt;=12,"Day "&amp;13,"")</f>
        <v>Day 13</v>
      </c>
      <c r="AO3" s="218"/>
      <c r="AP3" s="218"/>
      <c r="AQ3" s="194" t="str">
        <f>IF(DASHBOARD!$M$2-DASHBOARD!$M$1&gt;=13,"Day "&amp;14,"")</f>
        <v>Day 14</v>
      </c>
      <c r="AR3" s="218"/>
      <c r="AS3" s="218"/>
      <c r="AT3" s="194" t="str">
        <f>IF(DASHBOARD!$M$2-DASHBOARD!$M$1&gt;=14,"Day "&amp;15,"")</f>
        <v>Day 15</v>
      </c>
      <c r="AU3" s="218"/>
      <c r="AV3" s="218"/>
      <c r="AW3" s="194" t="str">
        <f>IF(DASHBOARD!$M$2-DASHBOARD!$M$1&gt;=15,"Day "&amp;16,"")</f>
        <v>Day 16</v>
      </c>
      <c r="AX3" s="218"/>
      <c r="AY3" s="218"/>
      <c r="AZ3" s="194" t="str">
        <f>IF(DASHBOARD!$M$2-DASHBOARD!$M$1&gt;=16,"Day "&amp;17,"")</f>
        <v>Day 17</v>
      </c>
      <c r="BA3" s="218"/>
      <c r="BB3" s="218"/>
      <c r="BC3" s="194" t="str">
        <f>IF(DASHBOARD!$M$2-DASHBOARD!$M$1&gt;=17,"Day "&amp;18,"")</f>
        <v>Day 18</v>
      </c>
      <c r="BD3" s="218"/>
      <c r="BE3" s="218"/>
      <c r="BF3" s="194" t="str">
        <f>IF(DASHBOARD!$M$2-DASHBOARD!$M$1&gt;=18,"Day "&amp;19,"")</f>
        <v>Day 19</v>
      </c>
      <c r="BG3" s="218"/>
      <c r="BH3" s="218"/>
      <c r="BI3" s="194" t="str">
        <f>IF(DASHBOARD!$M$2-DASHBOARD!$M$1&gt;=19,"Day "&amp;20,"")</f>
        <v>Day 20</v>
      </c>
      <c r="BJ3" s="218"/>
      <c r="BK3" s="218"/>
      <c r="BL3" s="194" t="str">
        <f>IF(DASHBOARD!$M$2-DASHBOARD!$M$1&gt;=20,"Day "&amp;21,"")</f>
        <v>Day 21</v>
      </c>
      <c r="BM3" s="218"/>
      <c r="BN3" s="218"/>
      <c r="BO3" s="194" t="str">
        <f>IF(DASHBOARD!$M$2-DASHBOARD!$M$1&gt;=21,"Day "&amp;22,"")</f>
        <v>Day 22</v>
      </c>
      <c r="BP3" s="218"/>
      <c r="BQ3" s="218"/>
      <c r="BR3" s="194" t="str">
        <f>IF(DASHBOARD!$M$2-DASHBOARD!$M$1&gt;=22,"Day "&amp;23,"")</f>
        <v>Day 23</v>
      </c>
      <c r="BS3" s="218"/>
      <c r="BT3" s="218"/>
      <c r="BU3" s="194" t="str">
        <f>IF(DASHBOARD!$M$2-DASHBOARD!$M$1&gt;=23,"Day "&amp;24,"")</f>
        <v>Day 24</v>
      </c>
      <c r="BV3" s="218"/>
      <c r="BW3" s="218"/>
      <c r="BX3" s="194" t="str">
        <f>IF(DASHBOARD!$M$2-DASHBOARD!$M$1&gt;=24,"Day "&amp;25,"")</f>
        <v>Day 25</v>
      </c>
      <c r="BY3" s="218"/>
      <c r="BZ3" s="218"/>
      <c r="CA3" s="194" t="str">
        <f>IF(DASHBOARD!$M$2-DASHBOARD!$M$1&gt;=25,"Day "&amp;26,"")</f>
        <v>Day 26</v>
      </c>
      <c r="CB3" s="218"/>
      <c r="CC3" s="218"/>
      <c r="CD3" s="194" t="str">
        <f>IF(DASHBOARD!$M$2-DASHBOARD!$M$1&gt;=26,"Day "&amp;27,"")</f>
        <v>Day 27</v>
      </c>
      <c r="CE3" s="218"/>
      <c r="CF3" s="218"/>
      <c r="CG3" s="194" t="str">
        <f>IF(DASHBOARD!$M$2-DASHBOARD!$M$1&gt;=27,"Day "&amp;28,"")</f>
        <v>Day 28</v>
      </c>
      <c r="CH3" s="218"/>
      <c r="CI3" s="218"/>
      <c r="CJ3" s="194" t="str">
        <f>IF(DASHBOARD!$M$2-DASHBOARD!$M$1&gt;=28,"Day "&amp;29,"")</f>
        <v>Day 29</v>
      </c>
      <c r="CK3" s="218"/>
      <c r="CL3" s="218"/>
      <c r="CM3" s="194" t="str">
        <f>IF(DASHBOARD!$M$2-DASHBOARD!$M$1&gt;=29,"Day "&amp;30,"")</f>
        <v>Day 30</v>
      </c>
      <c r="CN3" s="218"/>
      <c r="CO3" s="218"/>
      <c r="CP3" s="194" t="str">
        <f>IF(DASHBOARD!$M$2-DASHBOARD!$M$1&gt;=30,"Day "&amp;31,"")</f>
        <v>Day 31</v>
      </c>
      <c r="CQ3" s="218"/>
      <c r="CR3" s="218"/>
      <c r="CS3" s="194" t="str">
        <f>IF(DASHBOARD!$M$2-DASHBOARD!$M$1&gt;=31,"Day "&amp;32,"")</f>
        <v>Day 32</v>
      </c>
      <c r="CT3" s="218"/>
      <c r="CU3" s="218"/>
      <c r="CV3" s="194" t="str">
        <f>IF(DASHBOARD!$M$2-DASHBOARD!$M$1&gt;=32,"Day "&amp;33,"")</f>
        <v>Day 33</v>
      </c>
      <c r="CW3" s="218"/>
      <c r="CX3" s="218"/>
      <c r="CY3" s="194" t="str">
        <f>IF(DASHBOARD!$M$2-DASHBOARD!$M$1&gt;=33,"Day "&amp;34,"")</f>
        <v>Day 34</v>
      </c>
      <c r="CZ3" s="218"/>
      <c r="DA3" s="218"/>
      <c r="DB3" s="194" t="str">
        <f>IF(DASHBOARD!$M$2-DASHBOARD!$M$1&gt;=34,"Day "&amp;35,"")</f>
        <v>Day 35</v>
      </c>
      <c r="DC3" s="218"/>
      <c r="DD3" s="218"/>
      <c r="DE3" s="194" t="str">
        <f>IF(DASHBOARD!$M$2-DASHBOARD!$M$1&gt;=35,"Day "&amp;36,"")</f>
        <v>Day 36</v>
      </c>
      <c r="DF3" s="218"/>
      <c r="DG3" s="218"/>
      <c r="DH3" s="194" t="str">
        <f>IF(DASHBOARD!$M$2-DASHBOARD!$M$1&gt;=36,"Day "&amp;37,"")</f>
        <v>Day 37</v>
      </c>
      <c r="DI3" s="218"/>
      <c r="DJ3" s="218"/>
      <c r="DK3" s="194" t="str">
        <f>IF(DASHBOARD!$M$2-DASHBOARD!$M$1&gt;=37,"Day "&amp;38,"")</f>
        <v>Day 38</v>
      </c>
      <c r="DL3" s="218"/>
      <c r="DM3" s="218"/>
      <c r="DN3" s="194" t="str">
        <f>IF(DASHBOARD!$M$2-DASHBOARD!$M$1&gt;=38,"Day "&amp;39,"")</f>
        <v/>
      </c>
      <c r="DO3" s="218"/>
      <c r="DP3" s="218"/>
      <c r="DQ3" s="194" t="str">
        <f>IF(DASHBOARD!$M$2-DASHBOARD!$M$1&gt;=39,"Day "&amp;40,"")</f>
        <v/>
      </c>
      <c r="DR3" s="218"/>
      <c r="DS3" s="218"/>
      <c r="DT3" s="194" t="str">
        <f>IF(DASHBOARD!$M$2-DASHBOARD!$M$1&gt;=40,"Day "&amp;41,"")</f>
        <v/>
      </c>
      <c r="DU3" s="218"/>
      <c r="DV3" s="218"/>
      <c r="DW3" s="194" t="str">
        <f>IF(DASHBOARD!$M$2-DASHBOARD!$M$1&gt;=41,"Day "&amp;42,"")</f>
        <v/>
      </c>
      <c r="DX3" s="218"/>
      <c r="DY3" s="218"/>
      <c r="DZ3" s="194" t="str">
        <f>IF(DASHBOARD!$M$2-DASHBOARD!$M$1&gt;=42,"Day "&amp;43,"")</f>
        <v/>
      </c>
      <c r="EA3" s="218"/>
      <c r="EB3" s="218"/>
      <c r="EC3" s="194" t="str">
        <f>IF(DASHBOARD!$M$2-DASHBOARD!$M$1&gt;=43,"Day "&amp;44,"")</f>
        <v/>
      </c>
      <c r="ED3" s="218"/>
      <c r="EE3" s="218"/>
      <c r="EF3" s="194" t="str">
        <f>IF(DASHBOARD!$M$2-DASHBOARD!$M$1&gt;=44,"Day "&amp;45,"")</f>
        <v/>
      </c>
      <c r="EG3" s="218"/>
      <c r="EH3" s="218"/>
      <c r="EI3" s="194" t="str">
        <f>IF(DASHBOARD!$M$2-DASHBOARD!$M$1&gt;=45,"Day "&amp;46,"")</f>
        <v/>
      </c>
      <c r="EJ3" s="218"/>
      <c r="EK3" s="218"/>
      <c r="EL3" s="194" t="str">
        <f>IF(DASHBOARD!$M$2-DASHBOARD!$M$1&gt;=46,"Day "&amp;47,"")</f>
        <v/>
      </c>
      <c r="EM3" s="218"/>
      <c r="EN3" s="218"/>
      <c r="EO3" s="194" t="str">
        <f>IF(DASHBOARD!$M$2-DASHBOARD!$M$1&gt;=47,"Day "&amp;48,"")</f>
        <v/>
      </c>
      <c r="EP3" s="218"/>
      <c r="EQ3" s="218"/>
      <c r="ER3" s="194" t="str">
        <f>IF(DASHBOARD!$M$2-DASHBOARD!$M$1&gt;=48,"Day "&amp;49,"")</f>
        <v/>
      </c>
      <c r="ES3" s="218"/>
      <c r="ET3" s="218"/>
      <c r="EU3" s="194" t="str">
        <f>IF(DASHBOARD!$M$2-DASHBOARD!$M$1&gt;=49,"Day "&amp;50,"")</f>
        <v/>
      </c>
      <c r="EV3" s="218"/>
      <c r="EW3" s="218"/>
    </row>
    <row r="4" spans="1:153" ht="15" customHeight="1">
      <c r="A4" s="218"/>
      <c r="B4" s="224"/>
      <c r="C4" s="224"/>
      <c r="D4" s="198">
        <f>IF(DASHBOARD!$M$2-DASHBOARD!$M$1&gt;=0,DASHBOARD!$M$1+0,"")</f>
        <v>46221</v>
      </c>
      <c r="E4" s="218"/>
      <c r="F4" s="218"/>
      <c r="G4" s="198">
        <f>IF(DASHBOARD!$M$2-DASHBOARD!$M$1&gt;=1,DASHBOARD!$M$1+1,"")</f>
        <v>46222</v>
      </c>
      <c r="H4" s="218"/>
      <c r="I4" s="218"/>
      <c r="J4" s="198">
        <f>IF(DASHBOARD!$M$2-DASHBOARD!$M$1&gt;=2,DASHBOARD!$M$1+2,"")</f>
        <v>46223</v>
      </c>
      <c r="K4" s="218"/>
      <c r="L4" s="218"/>
      <c r="M4" s="198">
        <f>IF(DASHBOARD!$M$2-DASHBOARD!$M$1&gt;=3,DASHBOARD!$M$1+3,"")</f>
        <v>46224</v>
      </c>
      <c r="N4" s="218"/>
      <c r="O4" s="218"/>
      <c r="P4" s="198">
        <f>IF(DASHBOARD!$M$2-DASHBOARD!$M$1&gt;=4,DASHBOARD!$M$1+4,"")</f>
        <v>46225</v>
      </c>
      <c r="Q4" s="218"/>
      <c r="R4" s="218"/>
      <c r="S4" s="198">
        <f>IF(DASHBOARD!$M$2-DASHBOARD!$M$1&gt;=5,DASHBOARD!$M$1+5,"")</f>
        <v>46226</v>
      </c>
      <c r="T4" s="218"/>
      <c r="U4" s="218"/>
      <c r="V4" s="198">
        <f>IF(DASHBOARD!$M$2-DASHBOARD!$M$1&gt;=6,DASHBOARD!$M$1+6,"")</f>
        <v>46227</v>
      </c>
      <c r="W4" s="218"/>
      <c r="X4" s="218"/>
      <c r="Y4" s="198">
        <f>IF(DASHBOARD!$M$2-DASHBOARD!$M$1&gt;=7,DASHBOARD!$M$1+7,"")</f>
        <v>46228</v>
      </c>
      <c r="Z4" s="218"/>
      <c r="AA4" s="218"/>
      <c r="AB4" s="198">
        <f>IF(DASHBOARD!$M$2-DASHBOARD!$M$1&gt;=8,DASHBOARD!$M$1+8,"")</f>
        <v>46229</v>
      </c>
      <c r="AC4" s="218"/>
      <c r="AD4" s="218"/>
      <c r="AE4" s="198">
        <f>IF(DASHBOARD!$M$2-DASHBOARD!$M$1&gt;=9,DASHBOARD!$M$1+9,"")</f>
        <v>46230</v>
      </c>
      <c r="AF4" s="218"/>
      <c r="AG4" s="218"/>
      <c r="AH4" s="198">
        <f>IF(DASHBOARD!$M$2-DASHBOARD!$M$1&gt;=10,DASHBOARD!$M$1+10,"")</f>
        <v>46231</v>
      </c>
      <c r="AI4" s="218"/>
      <c r="AJ4" s="218"/>
      <c r="AK4" s="198">
        <f>IF(DASHBOARD!$M$2-DASHBOARD!$M$1&gt;=11,DASHBOARD!$M$1+11,"")</f>
        <v>46232</v>
      </c>
      <c r="AL4" s="218"/>
      <c r="AM4" s="218"/>
      <c r="AN4" s="198">
        <f>IF(DASHBOARD!$M$2-DASHBOARD!$M$1&gt;=12,DASHBOARD!$M$1+12,"")</f>
        <v>46233</v>
      </c>
      <c r="AO4" s="218"/>
      <c r="AP4" s="218"/>
      <c r="AQ4" s="198">
        <f>IF(DASHBOARD!$M$2-DASHBOARD!$M$1&gt;=13,DASHBOARD!$M$1+13,"")</f>
        <v>46234</v>
      </c>
      <c r="AR4" s="218"/>
      <c r="AS4" s="218"/>
      <c r="AT4" s="198">
        <f>IF(DASHBOARD!$M$2-DASHBOARD!$M$1&gt;=14,DASHBOARD!$M$1+14,"")</f>
        <v>46235</v>
      </c>
      <c r="AU4" s="218"/>
      <c r="AV4" s="218"/>
      <c r="AW4" s="198">
        <f>IF(DASHBOARD!$M$2-DASHBOARD!$M$1&gt;=15,DASHBOARD!$M$1+15,"")</f>
        <v>46236</v>
      </c>
      <c r="AX4" s="218"/>
      <c r="AY4" s="218"/>
      <c r="AZ4" s="198">
        <f>IF(DASHBOARD!$M$2-DASHBOARD!$M$1&gt;=16,DASHBOARD!$M$1+16,"")</f>
        <v>46237</v>
      </c>
      <c r="BA4" s="218"/>
      <c r="BB4" s="218"/>
      <c r="BC4" s="198">
        <f>IF(DASHBOARD!$M$2-DASHBOARD!$M$1&gt;=17,DASHBOARD!$M$1+17,"")</f>
        <v>46238</v>
      </c>
      <c r="BD4" s="218"/>
      <c r="BE4" s="218"/>
      <c r="BF4" s="198">
        <f>IF(DASHBOARD!$M$2-DASHBOARD!$M$1&gt;=18,DASHBOARD!$M$1+18,"")</f>
        <v>46239</v>
      </c>
      <c r="BG4" s="218"/>
      <c r="BH4" s="218"/>
      <c r="BI4" s="198">
        <f>IF(DASHBOARD!$M$2-DASHBOARD!$M$1&gt;=19,DASHBOARD!$M$1+19,"")</f>
        <v>46240</v>
      </c>
      <c r="BJ4" s="218"/>
      <c r="BK4" s="218"/>
      <c r="BL4" s="198">
        <f>IF(DASHBOARD!$M$2-DASHBOARD!$M$1&gt;=20,DASHBOARD!$M$1+20,"")</f>
        <v>46241</v>
      </c>
      <c r="BM4" s="218"/>
      <c r="BN4" s="218"/>
      <c r="BO4" s="198">
        <f>IF(DASHBOARD!$M$2-DASHBOARD!$M$1&gt;=21,DASHBOARD!$M$1+21,"")</f>
        <v>46242</v>
      </c>
      <c r="BP4" s="218"/>
      <c r="BQ4" s="218"/>
      <c r="BR4" s="198">
        <f>IF(DASHBOARD!$M$2-DASHBOARD!$M$1&gt;=22,DASHBOARD!$M$1+22,"")</f>
        <v>46243</v>
      </c>
      <c r="BS4" s="218"/>
      <c r="BT4" s="218"/>
      <c r="BU4" s="198">
        <f>IF(DASHBOARD!$M$2-DASHBOARD!$M$1&gt;=23,DASHBOARD!$M$1+23,"")</f>
        <v>46244</v>
      </c>
      <c r="BV4" s="218"/>
      <c r="BW4" s="218"/>
      <c r="BX4" s="198">
        <f>IF(DASHBOARD!$M$2-DASHBOARD!$M$1&gt;=24,DASHBOARD!$M$1+24,"")</f>
        <v>46245</v>
      </c>
      <c r="BY4" s="218"/>
      <c r="BZ4" s="218"/>
      <c r="CA4" s="198">
        <f>IF(DASHBOARD!$M$2-DASHBOARD!$M$1&gt;=25,DASHBOARD!$M$1+25,"")</f>
        <v>46246</v>
      </c>
      <c r="CB4" s="218"/>
      <c r="CC4" s="218"/>
      <c r="CD4" s="198">
        <f>IF(DASHBOARD!$M$2-DASHBOARD!$M$1&gt;=26,DASHBOARD!$M$1+26,"")</f>
        <v>46247</v>
      </c>
      <c r="CE4" s="218"/>
      <c r="CF4" s="218"/>
      <c r="CG4" s="198">
        <f>IF(DASHBOARD!$M$2-DASHBOARD!$M$1&gt;=27,DASHBOARD!$M$1+27,"")</f>
        <v>46248</v>
      </c>
      <c r="CH4" s="218"/>
      <c r="CI4" s="218"/>
      <c r="CJ4" s="198">
        <f>IF(DASHBOARD!$M$2-DASHBOARD!$M$1&gt;=28,DASHBOARD!$M$1+28,"")</f>
        <v>46249</v>
      </c>
      <c r="CK4" s="218"/>
      <c r="CL4" s="218"/>
      <c r="CM4" s="198">
        <f>IF(DASHBOARD!$M$2-DASHBOARD!$M$1&gt;=29,DASHBOARD!$M$1+29,"")</f>
        <v>46250</v>
      </c>
      <c r="CN4" s="218"/>
      <c r="CO4" s="218"/>
      <c r="CP4" s="198">
        <f>IF(DASHBOARD!$M$2-DASHBOARD!$M$1&gt;=30,DASHBOARD!$M$1+30,"")</f>
        <v>46251</v>
      </c>
      <c r="CQ4" s="218"/>
      <c r="CR4" s="218"/>
      <c r="CS4" s="198">
        <f>IF(DASHBOARD!$M$2-DASHBOARD!$M$1&gt;=31,DASHBOARD!$M$1+31,"")</f>
        <v>46252</v>
      </c>
      <c r="CT4" s="218"/>
      <c r="CU4" s="218"/>
      <c r="CV4" s="198">
        <f>IF(DASHBOARD!$M$2-DASHBOARD!$M$1&gt;=32,DASHBOARD!$M$1+32,"")</f>
        <v>46253</v>
      </c>
      <c r="CW4" s="218"/>
      <c r="CX4" s="218"/>
      <c r="CY4" s="198">
        <f>IF(DASHBOARD!$M$2-DASHBOARD!$M$1&gt;=33,DASHBOARD!$M$1+33,"")</f>
        <v>46254</v>
      </c>
      <c r="CZ4" s="218"/>
      <c r="DA4" s="218"/>
      <c r="DB4" s="198">
        <f>IF(DASHBOARD!$M$2-DASHBOARD!$M$1&gt;=34,DASHBOARD!$M$1+34,"")</f>
        <v>46255</v>
      </c>
      <c r="DC4" s="218"/>
      <c r="DD4" s="218"/>
      <c r="DE4" s="198">
        <f>IF(DASHBOARD!$M$2-DASHBOARD!$M$1&gt;=35,DASHBOARD!$M$1+35,"")</f>
        <v>46256</v>
      </c>
      <c r="DF4" s="218"/>
      <c r="DG4" s="218"/>
      <c r="DH4" s="198">
        <f>IF(DASHBOARD!$M$2-DASHBOARD!$M$1&gt;=36,DASHBOARD!$M$1+36,"")</f>
        <v>46257</v>
      </c>
      <c r="DI4" s="218"/>
      <c r="DJ4" s="218"/>
      <c r="DK4" s="198">
        <f>IF(DASHBOARD!$M$2-DASHBOARD!$M$1&gt;=37,DASHBOARD!$M$1+37,"")</f>
        <v>46258</v>
      </c>
      <c r="DL4" s="218"/>
      <c r="DM4" s="218"/>
      <c r="DN4" s="198" t="str">
        <f>IF(DASHBOARD!$M$2-DASHBOARD!$M$1&gt;=38,DASHBOARD!$M$1+38,"")</f>
        <v/>
      </c>
      <c r="DO4" s="218"/>
      <c r="DP4" s="218"/>
      <c r="DQ4" s="198" t="str">
        <f>IF(DASHBOARD!$M$2-DASHBOARD!$M$1&gt;=39,DASHBOARD!$M$1+39,"")</f>
        <v/>
      </c>
      <c r="DR4" s="218"/>
      <c r="DS4" s="218"/>
      <c r="DT4" s="198" t="str">
        <f>IF(DASHBOARD!$M$2-DASHBOARD!$M$1&gt;=40,DASHBOARD!$M$1+40,"")</f>
        <v/>
      </c>
      <c r="DU4" s="218"/>
      <c r="DV4" s="218"/>
      <c r="DW4" s="198" t="str">
        <f>IF(DASHBOARD!$M$2-DASHBOARD!$M$1&gt;=41,DASHBOARD!$M$1+41,"")</f>
        <v/>
      </c>
      <c r="DX4" s="218"/>
      <c r="DY4" s="218"/>
      <c r="DZ4" s="198" t="str">
        <f>IF(DASHBOARD!$M$2-DASHBOARD!$M$1&gt;=42,DASHBOARD!$M$1+42,"")</f>
        <v/>
      </c>
      <c r="EA4" s="218"/>
      <c r="EB4" s="218"/>
      <c r="EC4" s="198" t="str">
        <f>IF(DASHBOARD!$M$2-DASHBOARD!$M$1&gt;=43,DASHBOARD!$M$1+43,"")</f>
        <v/>
      </c>
      <c r="ED4" s="218"/>
      <c r="EE4" s="218"/>
      <c r="EF4" s="198" t="str">
        <f>IF(DASHBOARD!$M$2-DASHBOARD!$M$1&gt;=44,DASHBOARD!$M$1+44,"")</f>
        <v/>
      </c>
      <c r="EG4" s="218"/>
      <c r="EH4" s="218"/>
      <c r="EI4" s="198" t="str">
        <f>IF(DASHBOARD!$M$2-DASHBOARD!$M$1&gt;=45,DASHBOARD!$M$1+45,"")</f>
        <v/>
      </c>
      <c r="EJ4" s="218"/>
      <c r="EK4" s="218"/>
      <c r="EL4" s="198" t="str">
        <f>IF(DASHBOARD!$M$2-DASHBOARD!$M$1&gt;=46,DASHBOARD!$M$1+46,"")</f>
        <v/>
      </c>
      <c r="EM4" s="218"/>
      <c r="EN4" s="218"/>
      <c r="EO4" s="198" t="str">
        <f>IF(DASHBOARD!$M$2-DASHBOARD!$M$1&gt;=47,DASHBOARD!$M$1+47,"")</f>
        <v/>
      </c>
      <c r="EP4" s="218"/>
      <c r="EQ4" s="218"/>
      <c r="ER4" s="198" t="str">
        <f>IF(DASHBOARD!$M$2-DASHBOARD!$M$1&gt;=48,DASHBOARD!$M$1+48,"")</f>
        <v/>
      </c>
      <c r="ES4" s="218"/>
      <c r="ET4" s="218"/>
      <c r="EU4" s="198" t="str">
        <f>IF(DASHBOARD!$M$2-DASHBOARD!$M$1&gt;=49,DASHBOARD!$M$1+49,"")</f>
        <v/>
      </c>
      <c r="EV4" s="218"/>
      <c r="EW4" s="218"/>
    </row>
    <row r="5" spans="1:153" ht="10.9" customHeight="1">
      <c r="A5" s="218"/>
      <c r="B5" s="224"/>
      <c r="C5" s="224"/>
      <c r="D5" s="55" t="str">
        <f>IF(DASHBOARD!$M$2-DASHBOARD!$M$1&gt;=0,"D","")</f>
        <v>D</v>
      </c>
      <c r="E5" s="52" t="str">
        <f>IF(DASHBOARD!$M$2-DASHBOARD!$M$1&gt;=0,"T","")</f>
        <v>T</v>
      </c>
      <c r="F5" s="53" t="str">
        <f>IF(DASHBOARD!$M$2-DASHBOARD!$M$1&gt;=0,"G","")</f>
        <v>G</v>
      </c>
      <c r="G5" s="51" t="str">
        <f>IF(DASHBOARD!$M$2-DASHBOARD!$M$1&gt;=1,"D","")</f>
        <v>D</v>
      </c>
      <c r="H5" s="52" t="str">
        <f>IF(DASHBOARD!$M$2-DASHBOARD!$M$1&gt;=1,"T","")</f>
        <v>T</v>
      </c>
      <c r="I5" s="53" t="str">
        <f>IF(DASHBOARD!$M$2-DASHBOARD!$M$1&gt;=1,"G","")</f>
        <v>G</v>
      </c>
      <c r="J5" s="51" t="str">
        <f>IF(DASHBOARD!$M$2-DASHBOARD!$M$1&gt;=2,"D","")</f>
        <v>D</v>
      </c>
      <c r="K5" s="52" t="str">
        <f>IF(DASHBOARD!$M$2-DASHBOARD!$M$1&gt;=2,"T","")</f>
        <v>T</v>
      </c>
      <c r="L5" s="53" t="str">
        <f>IF(DASHBOARD!$M$2-DASHBOARD!$M$1&gt;=2,"G","")</f>
        <v>G</v>
      </c>
      <c r="M5" s="51" t="str">
        <f>IF(DASHBOARD!$M$2-DASHBOARD!$M$1&gt;=3,"D","")</f>
        <v>D</v>
      </c>
      <c r="N5" s="52" t="str">
        <f>IF(DASHBOARD!$M$2-DASHBOARD!$M$1&gt;=3,"T","")</f>
        <v>T</v>
      </c>
      <c r="O5" s="53" t="str">
        <f>IF(DASHBOARD!$M$2-DASHBOARD!$M$1&gt;=3,"G","")</f>
        <v>G</v>
      </c>
      <c r="P5" s="51" t="str">
        <f>IF(DASHBOARD!$M$2-DASHBOARD!$M$1&gt;=4,"D","")</f>
        <v>D</v>
      </c>
      <c r="Q5" s="52" t="str">
        <f>IF(DASHBOARD!$M$2-DASHBOARD!$M$1&gt;=4,"T","")</f>
        <v>T</v>
      </c>
      <c r="R5" s="53" t="str">
        <f>IF(DASHBOARD!$M$2-DASHBOARD!$M$1&gt;=4,"G","")</f>
        <v>G</v>
      </c>
      <c r="S5" s="51" t="str">
        <f>IF(DASHBOARD!$M$2-DASHBOARD!$M$1&gt;=5,"D","")</f>
        <v>D</v>
      </c>
      <c r="T5" s="52" t="str">
        <f>IF(DASHBOARD!$M$2-DASHBOARD!$M$1&gt;=5,"T","")</f>
        <v>T</v>
      </c>
      <c r="U5" s="53" t="str">
        <f>IF(DASHBOARD!$M$2-DASHBOARD!$M$1&gt;=5,"G","")</f>
        <v>G</v>
      </c>
      <c r="V5" s="51" t="str">
        <f>IF(DASHBOARD!$M$2-DASHBOARD!$M$1&gt;=6,"D","")</f>
        <v>D</v>
      </c>
      <c r="W5" s="52" t="str">
        <f>IF(DASHBOARD!$M$2-DASHBOARD!$M$1&gt;=6,"T","")</f>
        <v>T</v>
      </c>
      <c r="X5" s="53" t="str">
        <f>IF(DASHBOARD!$M$2-DASHBOARD!$M$1&gt;=6,"G","")</f>
        <v>G</v>
      </c>
      <c r="Y5" s="51" t="str">
        <f>IF(DASHBOARD!$M$2-DASHBOARD!$M$1&gt;=7,"D","")</f>
        <v>D</v>
      </c>
      <c r="Z5" s="52" t="str">
        <f>IF(DASHBOARD!$M$2-DASHBOARD!$M$1&gt;=7,"T","")</f>
        <v>T</v>
      </c>
      <c r="AA5" s="53" t="str">
        <f>IF(DASHBOARD!$M$2-DASHBOARD!$M$1&gt;=7,"G","")</f>
        <v>G</v>
      </c>
      <c r="AB5" s="51" t="str">
        <f>IF(DASHBOARD!$M$2-DASHBOARD!$M$1&gt;=8,"D","")</f>
        <v>D</v>
      </c>
      <c r="AC5" s="52" t="str">
        <f>IF(DASHBOARD!$M$2-DASHBOARD!$M$1&gt;=8,"T","")</f>
        <v>T</v>
      </c>
      <c r="AD5" s="53" t="str">
        <f>IF(DASHBOARD!$M$2-DASHBOARD!$M$1&gt;=8,"G","")</f>
        <v>G</v>
      </c>
      <c r="AE5" s="51" t="str">
        <f>IF(DASHBOARD!$M$2-DASHBOARD!$M$1&gt;=9,"D","")</f>
        <v>D</v>
      </c>
      <c r="AF5" s="52" t="str">
        <f>IF(DASHBOARD!$M$2-DASHBOARD!$M$1&gt;=9,"T","")</f>
        <v>T</v>
      </c>
      <c r="AG5" s="53" t="str">
        <f>IF(DASHBOARD!$M$2-DASHBOARD!$M$1&gt;=9,"G","")</f>
        <v>G</v>
      </c>
      <c r="AH5" s="51" t="str">
        <f>IF(DASHBOARD!$M$2-DASHBOARD!$M$1&gt;=10,"D","")</f>
        <v>D</v>
      </c>
      <c r="AI5" s="52" t="str">
        <f>IF(DASHBOARD!$M$2-DASHBOARD!$M$1&gt;=10,"T","")</f>
        <v>T</v>
      </c>
      <c r="AJ5" s="53" t="str">
        <f>IF(DASHBOARD!$M$2-DASHBOARD!$M$1&gt;=10,"G","")</f>
        <v>G</v>
      </c>
      <c r="AK5" s="51" t="str">
        <f>IF(DASHBOARD!$M$2-DASHBOARD!$M$1&gt;=11,"D","")</f>
        <v>D</v>
      </c>
      <c r="AL5" s="52" t="str">
        <f>IF(DASHBOARD!$M$2-DASHBOARD!$M$1&gt;=11,"T","")</f>
        <v>T</v>
      </c>
      <c r="AM5" s="53" t="str">
        <f>IF(DASHBOARD!$M$2-DASHBOARD!$M$1&gt;=11,"G","")</f>
        <v>G</v>
      </c>
      <c r="AN5" s="51" t="str">
        <f>IF(DASHBOARD!$M$2-DASHBOARD!$M$1&gt;=12,"D","")</f>
        <v>D</v>
      </c>
      <c r="AO5" s="52" t="str">
        <f>IF(DASHBOARD!$M$2-DASHBOARD!$M$1&gt;=12,"T","")</f>
        <v>T</v>
      </c>
      <c r="AP5" s="53" t="str">
        <f>IF(DASHBOARD!$M$2-DASHBOARD!$M$1&gt;=12,"G","")</f>
        <v>G</v>
      </c>
      <c r="AQ5" s="51" t="str">
        <f>IF(DASHBOARD!$M$2-DASHBOARD!$M$1&gt;=13,"D","")</f>
        <v>D</v>
      </c>
      <c r="AR5" s="52" t="str">
        <f>IF(DASHBOARD!$M$2-DASHBOARD!$M$1&gt;=13,"T","")</f>
        <v>T</v>
      </c>
      <c r="AS5" s="53" t="str">
        <f>IF(DASHBOARD!$M$2-DASHBOARD!$M$1&gt;=13,"G","")</f>
        <v>G</v>
      </c>
      <c r="AT5" s="51" t="str">
        <f>IF(DASHBOARD!$M$2-DASHBOARD!$M$1&gt;=14,"D","")</f>
        <v>D</v>
      </c>
      <c r="AU5" s="52" t="str">
        <f>IF(DASHBOARD!$M$2-DASHBOARD!$M$1&gt;=14,"T","")</f>
        <v>T</v>
      </c>
      <c r="AV5" s="53" t="str">
        <f>IF(DASHBOARD!$M$2-DASHBOARD!$M$1&gt;=14,"G","")</f>
        <v>G</v>
      </c>
      <c r="AW5" s="51" t="str">
        <f>IF(DASHBOARD!$M$2-DASHBOARD!$M$1&gt;=15,"D","")</f>
        <v>D</v>
      </c>
      <c r="AX5" s="52" t="str">
        <f>IF(DASHBOARD!$M$2-DASHBOARD!$M$1&gt;=15,"T","")</f>
        <v>T</v>
      </c>
      <c r="AY5" s="53" t="str">
        <f>IF(DASHBOARD!$M$2-DASHBOARD!$M$1&gt;=15,"G","")</f>
        <v>G</v>
      </c>
      <c r="AZ5" s="51" t="str">
        <f>IF(DASHBOARD!$M$2-DASHBOARD!$M$1&gt;=16,"D","")</f>
        <v>D</v>
      </c>
      <c r="BA5" s="52" t="str">
        <f>IF(DASHBOARD!$M$2-DASHBOARD!$M$1&gt;=16,"T","")</f>
        <v>T</v>
      </c>
      <c r="BB5" s="53" t="str">
        <f>IF(DASHBOARD!$M$2-DASHBOARD!$M$1&gt;=16,"G","")</f>
        <v>G</v>
      </c>
      <c r="BC5" s="51" t="str">
        <f>IF(DASHBOARD!$M$2-DASHBOARD!$M$1&gt;=17,"D","")</f>
        <v>D</v>
      </c>
      <c r="BD5" s="52" t="str">
        <f>IF(DASHBOARD!$M$2-DASHBOARD!$M$1&gt;=17,"T","")</f>
        <v>T</v>
      </c>
      <c r="BE5" s="53" t="str">
        <f>IF(DASHBOARD!$M$2-DASHBOARD!$M$1&gt;=17,"G","")</f>
        <v>G</v>
      </c>
      <c r="BF5" s="51" t="str">
        <f>IF(DASHBOARD!$M$2-DASHBOARD!$M$1&gt;=18,"D","")</f>
        <v>D</v>
      </c>
      <c r="BG5" s="52" t="str">
        <f>IF(DASHBOARD!$M$2-DASHBOARD!$M$1&gt;=18,"T","")</f>
        <v>T</v>
      </c>
      <c r="BH5" s="53" t="str">
        <f>IF(DASHBOARD!$M$2-DASHBOARD!$M$1&gt;=18,"G","")</f>
        <v>G</v>
      </c>
      <c r="BI5" s="51" t="str">
        <f>IF(DASHBOARD!$M$2-DASHBOARD!$M$1&gt;=19,"D","")</f>
        <v>D</v>
      </c>
      <c r="BJ5" s="52" t="str">
        <f>IF(DASHBOARD!$M$2-DASHBOARD!$M$1&gt;=19,"T","")</f>
        <v>T</v>
      </c>
      <c r="BK5" s="53" t="str">
        <f>IF(DASHBOARD!$M$2-DASHBOARD!$M$1&gt;=19,"G","")</f>
        <v>G</v>
      </c>
      <c r="BL5" s="51" t="str">
        <f>IF(DASHBOARD!$M$2-DASHBOARD!$M$1&gt;=20,"D","")</f>
        <v>D</v>
      </c>
      <c r="BM5" s="52" t="str">
        <f>IF(DASHBOARD!$M$2-DASHBOARD!$M$1&gt;=20,"T","")</f>
        <v>T</v>
      </c>
      <c r="BN5" s="53" t="str">
        <f>IF(DASHBOARD!$M$2-DASHBOARD!$M$1&gt;=20,"G","")</f>
        <v>G</v>
      </c>
      <c r="BO5" s="51" t="str">
        <f>IF(DASHBOARD!$M$2-DASHBOARD!$M$1&gt;=21,"D","")</f>
        <v>D</v>
      </c>
      <c r="BP5" s="52" t="str">
        <f>IF(DASHBOARD!$M$2-DASHBOARD!$M$1&gt;=21,"T","")</f>
        <v>T</v>
      </c>
      <c r="BQ5" s="53" t="str">
        <f>IF(DASHBOARD!$M$2-DASHBOARD!$M$1&gt;=21,"G","")</f>
        <v>G</v>
      </c>
      <c r="BR5" s="51" t="str">
        <f>IF(DASHBOARD!$M$2-DASHBOARD!$M$1&gt;=22,"D","")</f>
        <v>D</v>
      </c>
      <c r="BS5" s="52" t="str">
        <f>IF(DASHBOARD!$M$2-DASHBOARD!$M$1&gt;=22,"T","")</f>
        <v>T</v>
      </c>
      <c r="BT5" s="53" t="str">
        <f>IF(DASHBOARD!$M$2-DASHBOARD!$M$1&gt;=22,"G","")</f>
        <v>G</v>
      </c>
      <c r="BU5" s="51" t="str">
        <f>IF(DASHBOARD!$M$2-DASHBOARD!$M$1&gt;=23,"D","")</f>
        <v>D</v>
      </c>
      <c r="BV5" s="52" t="str">
        <f>IF(DASHBOARD!$M$2-DASHBOARD!$M$1&gt;=23,"T","")</f>
        <v>T</v>
      </c>
      <c r="BW5" s="53" t="str">
        <f>IF(DASHBOARD!$M$2-DASHBOARD!$M$1&gt;=23,"G","")</f>
        <v>G</v>
      </c>
      <c r="BX5" s="51" t="str">
        <f>IF(DASHBOARD!$M$2-DASHBOARD!$M$1&gt;=24,"D","")</f>
        <v>D</v>
      </c>
      <c r="BY5" s="52" t="str">
        <f>IF(DASHBOARD!$M$2-DASHBOARD!$M$1&gt;=24,"T","")</f>
        <v>T</v>
      </c>
      <c r="BZ5" s="53" t="str">
        <f>IF(DASHBOARD!$M$2-DASHBOARD!$M$1&gt;=24,"G","")</f>
        <v>G</v>
      </c>
      <c r="CA5" s="51" t="str">
        <f>IF(DASHBOARD!$M$2-DASHBOARD!$M$1&gt;=25,"D","")</f>
        <v>D</v>
      </c>
      <c r="CB5" s="52" t="str">
        <f>IF(DASHBOARD!$M$2-DASHBOARD!$M$1&gt;=25,"T","")</f>
        <v>T</v>
      </c>
      <c r="CC5" s="53" t="str">
        <f>IF(DASHBOARD!$M$2-DASHBOARD!$M$1&gt;=25,"G","")</f>
        <v>G</v>
      </c>
      <c r="CD5" s="51" t="str">
        <f>IF(DASHBOARD!$M$2-DASHBOARD!$M$1&gt;=26,"D","")</f>
        <v>D</v>
      </c>
      <c r="CE5" s="52" t="str">
        <f>IF(DASHBOARD!$M$2-DASHBOARD!$M$1&gt;=26,"T","")</f>
        <v>T</v>
      </c>
      <c r="CF5" s="53" t="str">
        <f>IF(DASHBOARD!$M$2-DASHBOARD!$M$1&gt;=26,"G","")</f>
        <v>G</v>
      </c>
      <c r="CG5" s="51" t="str">
        <f>IF(DASHBOARD!$M$2-DASHBOARD!$M$1&gt;=27,"D","")</f>
        <v>D</v>
      </c>
      <c r="CH5" s="52" t="str">
        <f>IF(DASHBOARD!$M$2-DASHBOARD!$M$1&gt;=27,"T","")</f>
        <v>T</v>
      </c>
      <c r="CI5" s="53" t="str">
        <f>IF(DASHBOARD!$M$2-DASHBOARD!$M$1&gt;=27,"G","")</f>
        <v>G</v>
      </c>
      <c r="CJ5" s="51" t="str">
        <f>IF(DASHBOARD!$M$2-DASHBOARD!$M$1&gt;=28,"D","")</f>
        <v>D</v>
      </c>
      <c r="CK5" s="52" t="str">
        <f>IF(DASHBOARD!$M$2-DASHBOARD!$M$1&gt;=28,"T","")</f>
        <v>T</v>
      </c>
      <c r="CL5" s="53" t="str">
        <f>IF(DASHBOARD!$M$2-DASHBOARD!$M$1&gt;=28,"G","")</f>
        <v>G</v>
      </c>
      <c r="CM5" s="51" t="str">
        <f>IF(DASHBOARD!$M$2-DASHBOARD!$M$1&gt;=29,"D","")</f>
        <v>D</v>
      </c>
      <c r="CN5" s="52" t="str">
        <f>IF(DASHBOARD!$M$2-DASHBOARD!$M$1&gt;=29,"T","")</f>
        <v>T</v>
      </c>
      <c r="CO5" s="53" t="str">
        <f>IF(DASHBOARD!$M$2-DASHBOARD!$M$1&gt;=29,"G","")</f>
        <v>G</v>
      </c>
      <c r="CP5" s="51" t="str">
        <f>IF(DASHBOARD!$M$2-DASHBOARD!$M$1&gt;=30,"D","")</f>
        <v>D</v>
      </c>
      <c r="CQ5" s="52" t="str">
        <f>IF(DASHBOARD!$M$2-DASHBOARD!$M$1&gt;=30,"T","")</f>
        <v>T</v>
      </c>
      <c r="CR5" s="53" t="str">
        <f>IF(DASHBOARD!$M$2-DASHBOARD!$M$1&gt;=30,"G","")</f>
        <v>G</v>
      </c>
      <c r="CS5" s="51" t="str">
        <f>IF(DASHBOARD!$M$2-DASHBOARD!$M$1&gt;=31,"D","")</f>
        <v>D</v>
      </c>
      <c r="CT5" s="52" t="str">
        <f>IF(DASHBOARD!$M$2-DASHBOARD!$M$1&gt;=31,"T","")</f>
        <v>T</v>
      </c>
      <c r="CU5" s="53" t="str">
        <f>IF(DASHBOARD!$M$2-DASHBOARD!$M$1&gt;=31,"G","")</f>
        <v>G</v>
      </c>
      <c r="CV5" s="51" t="str">
        <f>IF(DASHBOARD!$M$2-DASHBOARD!$M$1&gt;=32,"D","")</f>
        <v>D</v>
      </c>
      <c r="CW5" s="52" t="str">
        <f>IF(DASHBOARD!$M$2-DASHBOARD!$M$1&gt;=32,"T","")</f>
        <v>T</v>
      </c>
      <c r="CX5" s="53" t="str">
        <f>IF(DASHBOARD!$M$2-DASHBOARD!$M$1&gt;=32,"G","")</f>
        <v>G</v>
      </c>
      <c r="CY5" s="51" t="str">
        <f>IF(DASHBOARD!$M$2-DASHBOARD!$M$1&gt;=33,"D","")</f>
        <v>D</v>
      </c>
      <c r="CZ5" s="52" t="str">
        <f>IF(DASHBOARD!$M$2-DASHBOARD!$M$1&gt;=33,"T","")</f>
        <v>T</v>
      </c>
      <c r="DA5" s="53" t="str">
        <f>IF(DASHBOARD!$M$2-DASHBOARD!$M$1&gt;=33,"G","")</f>
        <v>G</v>
      </c>
      <c r="DB5" s="51" t="str">
        <f>IF(DASHBOARD!$M$2-DASHBOARD!$M$1&gt;=34,"D","")</f>
        <v>D</v>
      </c>
      <c r="DC5" s="52" t="str">
        <f>IF(DASHBOARD!$M$2-DASHBOARD!$M$1&gt;=34,"T","")</f>
        <v>T</v>
      </c>
      <c r="DD5" s="53" t="str">
        <f>IF(DASHBOARD!$M$2-DASHBOARD!$M$1&gt;=34,"G","")</f>
        <v>G</v>
      </c>
      <c r="DE5" s="51" t="str">
        <f>IF(DASHBOARD!$M$2-DASHBOARD!$M$1&gt;=35,"D","")</f>
        <v>D</v>
      </c>
      <c r="DF5" s="52" t="str">
        <f>IF(DASHBOARD!$M$2-DASHBOARD!$M$1&gt;=35,"T","")</f>
        <v>T</v>
      </c>
      <c r="DG5" s="53" t="str">
        <f>IF(DASHBOARD!$M$2-DASHBOARD!$M$1&gt;=35,"G","")</f>
        <v>G</v>
      </c>
      <c r="DH5" s="51" t="str">
        <f>IF(DASHBOARD!$M$2-DASHBOARD!$M$1&gt;=36,"D","")</f>
        <v>D</v>
      </c>
      <c r="DI5" s="52" t="str">
        <f>IF(DASHBOARD!$M$2-DASHBOARD!$M$1&gt;=36,"T","")</f>
        <v>T</v>
      </c>
      <c r="DJ5" s="53" t="str">
        <f>IF(DASHBOARD!$M$2-DASHBOARD!$M$1&gt;=36,"G","")</f>
        <v>G</v>
      </c>
      <c r="DK5" s="51" t="str">
        <f>IF(DASHBOARD!$M$2-DASHBOARD!$M$1&gt;=37,"D","")</f>
        <v>D</v>
      </c>
      <c r="DL5" s="52" t="str">
        <f>IF(DASHBOARD!$M$2-DASHBOARD!$M$1&gt;=37,"T","")</f>
        <v>T</v>
      </c>
      <c r="DM5" s="53" t="str">
        <f>IF(DASHBOARD!$M$2-DASHBOARD!$M$1&gt;=37,"G","")</f>
        <v>G</v>
      </c>
      <c r="DN5" s="51" t="str">
        <f>IF(DASHBOARD!$M$2-DASHBOARD!$M$1&gt;=38,"D","")</f>
        <v/>
      </c>
      <c r="DO5" s="52" t="str">
        <f>IF(DASHBOARD!$M$2-DASHBOARD!$M$1&gt;=38,"T","")</f>
        <v/>
      </c>
      <c r="DP5" s="53" t="str">
        <f>IF(DASHBOARD!$M$2-DASHBOARD!$M$1&gt;=38,"G","")</f>
        <v/>
      </c>
      <c r="DQ5" s="51" t="str">
        <f>IF(DASHBOARD!$M$2-DASHBOARD!$M$1&gt;=39,"D","")</f>
        <v/>
      </c>
      <c r="DR5" s="52" t="str">
        <f>IF(DASHBOARD!$M$2-DASHBOARD!$M$1&gt;=39,"T","")</f>
        <v/>
      </c>
      <c r="DS5" s="53" t="str">
        <f>IF(DASHBOARD!$M$2-DASHBOARD!$M$1&gt;=39,"G","")</f>
        <v/>
      </c>
      <c r="DT5" s="51" t="str">
        <f>IF(DASHBOARD!$M$2-DASHBOARD!$M$1&gt;=40,"D","")</f>
        <v/>
      </c>
      <c r="DU5" s="52" t="str">
        <f>IF(DASHBOARD!$M$2-DASHBOARD!$M$1&gt;=40,"T","")</f>
        <v/>
      </c>
      <c r="DV5" s="53" t="str">
        <f>IF(DASHBOARD!$M$2-DASHBOARD!$M$1&gt;=40,"G","")</f>
        <v/>
      </c>
      <c r="DW5" s="51" t="str">
        <f>IF(DASHBOARD!$M$2-DASHBOARD!$M$1&gt;=41,"D","")</f>
        <v/>
      </c>
      <c r="DX5" s="52" t="str">
        <f>IF(DASHBOARD!$M$2-DASHBOARD!$M$1&gt;=41,"T","")</f>
        <v/>
      </c>
      <c r="DY5" s="53" t="str">
        <f>IF(DASHBOARD!$M$2-DASHBOARD!$M$1&gt;=41,"G","")</f>
        <v/>
      </c>
      <c r="DZ5" s="51" t="str">
        <f>IF(DASHBOARD!$M$2-DASHBOARD!$M$1&gt;=42,"D","")</f>
        <v/>
      </c>
      <c r="EA5" s="52" t="str">
        <f>IF(DASHBOARD!$M$2-DASHBOARD!$M$1&gt;=42,"T","")</f>
        <v/>
      </c>
      <c r="EB5" s="53" t="str">
        <f>IF(DASHBOARD!$M$2-DASHBOARD!$M$1&gt;=42,"G","")</f>
        <v/>
      </c>
      <c r="EC5" s="51" t="str">
        <f>IF(DASHBOARD!$M$2-DASHBOARD!$M$1&gt;=43,"D","")</f>
        <v/>
      </c>
      <c r="ED5" s="52" t="str">
        <f>IF(DASHBOARD!$M$2-DASHBOARD!$M$1&gt;=43,"T","")</f>
        <v/>
      </c>
      <c r="EE5" s="53" t="str">
        <f>IF(DASHBOARD!$M$2-DASHBOARD!$M$1&gt;=43,"G","")</f>
        <v/>
      </c>
      <c r="EF5" s="51" t="str">
        <f>IF(DASHBOARD!$M$2-DASHBOARD!$M$1&gt;=44,"D","")</f>
        <v/>
      </c>
      <c r="EG5" s="52" t="str">
        <f>IF(DASHBOARD!$M$2-DASHBOARD!$M$1&gt;=44,"T","")</f>
        <v/>
      </c>
      <c r="EH5" s="53" t="str">
        <f>IF(DASHBOARD!$M$2-DASHBOARD!$M$1&gt;=44,"G","")</f>
        <v/>
      </c>
      <c r="EI5" s="51" t="str">
        <f>IF(DASHBOARD!$M$2-DASHBOARD!$M$1&gt;=45,"D","")</f>
        <v/>
      </c>
      <c r="EJ5" s="52" t="str">
        <f>IF(DASHBOARD!$M$2-DASHBOARD!$M$1&gt;=45,"T","")</f>
        <v/>
      </c>
      <c r="EK5" s="53" t="str">
        <f>IF(DASHBOARD!$M$2-DASHBOARD!$M$1&gt;=45,"G","")</f>
        <v/>
      </c>
      <c r="EL5" s="51" t="str">
        <f>IF(DASHBOARD!$M$2-DASHBOARD!$M$1&gt;=46,"D","")</f>
        <v/>
      </c>
      <c r="EM5" s="52" t="str">
        <f>IF(DASHBOARD!$M$2-DASHBOARD!$M$1&gt;=46,"T","")</f>
        <v/>
      </c>
      <c r="EN5" s="53" t="str">
        <f>IF(DASHBOARD!$M$2-DASHBOARD!$M$1&gt;=46,"G","")</f>
        <v/>
      </c>
      <c r="EO5" s="51" t="str">
        <f>IF(DASHBOARD!$M$2-DASHBOARD!$M$1&gt;=47,"D","")</f>
        <v/>
      </c>
      <c r="EP5" s="52" t="str">
        <f>IF(DASHBOARD!$M$2-DASHBOARD!$M$1&gt;=47,"T","")</f>
        <v/>
      </c>
      <c r="EQ5" s="53" t="str">
        <f>IF(DASHBOARD!$M$2-DASHBOARD!$M$1&gt;=47,"G","")</f>
        <v/>
      </c>
      <c r="ER5" s="51" t="str">
        <f>IF(DASHBOARD!$M$2-DASHBOARD!$M$1&gt;=48,"D","")</f>
        <v/>
      </c>
      <c r="ES5" s="52" t="str">
        <f>IF(DASHBOARD!$M$2-DASHBOARD!$M$1&gt;=48,"T","")</f>
        <v/>
      </c>
      <c r="ET5" s="53" t="str">
        <f>IF(DASHBOARD!$M$2-DASHBOARD!$M$1&gt;=48,"G","")</f>
        <v/>
      </c>
      <c r="EU5" s="51" t="str">
        <f>IF(DASHBOARD!$M$2-DASHBOARD!$M$1&gt;=49,"D","")</f>
        <v/>
      </c>
      <c r="EV5" s="52" t="str">
        <f>IF(DASHBOARD!$M$2-DASHBOARD!$M$1&gt;=49,"T","")</f>
        <v/>
      </c>
      <c r="EW5" s="53" t="str">
        <f>IF(DASHBOARD!$M$2-DASHBOARD!$M$1&gt;=49,"G","")</f>
        <v/>
      </c>
    </row>
    <row r="6" spans="1:153" ht="15.4" customHeight="1">
      <c r="A6" s="195" t="s">
        <v>1166</v>
      </c>
      <c r="B6" s="225"/>
      <c r="C6" s="226"/>
      <c r="D6" s="109"/>
      <c r="E6" s="109"/>
      <c r="F6" s="110"/>
      <c r="G6" s="109"/>
      <c r="H6" s="109"/>
      <c r="I6" s="110"/>
      <c r="J6" s="109"/>
      <c r="K6" s="109"/>
      <c r="L6" s="110"/>
      <c r="M6" s="109"/>
      <c r="N6" s="109"/>
      <c r="O6" s="110"/>
      <c r="P6" s="109"/>
      <c r="Q6" s="109"/>
      <c r="R6" s="110"/>
      <c r="S6" s="109"/>
      <c r="T6" s="109"/>
      <c r="U6" s="110"/>
      <c r="V6" s="109"/>
      <c r="W6" s="109"/>
      <c r="X6" s="110"/>
      <c r="Y6" s="109"/>
      <c r="Z6" s="109"/>
      <c r="AA6" s="110"/>
      <c r="AB6" s="109"/>
      <c r="AC6" s="109"/>
      <c r="AD6" s="110"/>
      <c r="AE6" s="109"/>
      <c r="AF6" s="109"/>
      <c r="AG6" s="110"/>
      <c r="AH6" s="109"/>
      <c r="AI6" s="109"/>
      <c r="AJ6" s="110"/>
      <c r="AK6" s="109"/>
      <c r="AL6" s="109"/>
      <c r="AM6" s="110"/>
      <c r="AN6" s="109"/>
      <c r="AO6" s="109"/>
      <c r="AP6" s="110"/>
      <c r="AQ6" s="109"/>
      <c r="AR6" s="109"/>
      <c r="AS6" s="110"/>
      <c r="AT6" s="109"/>
      <c r="AU6" s="109"/>
      <c r="AV6" s="110"/>
      <c r="AW6" s="109"/>
      <c r="AX6" s="109"/>
      <c r="AY6" s="110"/>
      <c r="AZ6" s="109"/>
      <c r="BA6" s="109"/>
      <c r="BB6" s="110"/>
      <c r="BC6" s="109"/>
      <c r="BD6" s="109"/>
      <c r="BE6" s="110"/>
      <c r="BF6" s="109"/>
      <c r="BG6" s="109"/>
      <c r="BH6" s="110"/>
      <c r="BI6" s="109"/>
      <c r="BJ6" s="109"/>
      <c r="BK6" s="110"/>
      <c r="BL6" s="109"/>
      <c r="BM6" s="109"/>
      <c r="BN6" s="110"/>
      <c r="BO6" s="109"/>
      <c r="BP6" s="109"/>
      <c r="BQ6" s="110"/>
      <c r="BR6" s="109"/>
      <c r="BS6" s="109"/>
      <c r="BT6" s="110"/>
      <c r="BU6" s="109"/>
      <c r="BV6" s="109"/>
      <c r="BW6" s="110"/>
      <c r="BX6" s="109"/>
      <c r="BY6" s="109"/>
      <c r="BZ6" s="110"/>
      <c r="CA6" s="109"/>
      <c r="CB6" s="109"/>
      <c r="CC6" s="110"/>
      <c r="CD6" s="109"/>
      <c r="CE6" s="109"/>
      <c r="CF6" s="110"/>
      <c r="CG6" s="109"/>
      <c r="CH6" s="109"/>
      <c r="CI6" s="110"/>
      <c r="CJ6" s="109"/>
      <c r="CK6" s="109"/>
      <c r="CL6" s="110"/>
      <c r="CM6" s="109"/>
      <c r="CN6" s="109"/>
      <c r="CO6" s="110"/>
      <c r="CP6" s="109"/>
      <c r="CQ6" s="109"/>
      <c r="CR6" s="110"/>
      <c r="CS6" s="109"/>
      <c r="CT6" s="109"/>
      <c r="CU6" s="110"/>
      <c r="CV6" s="109"/>
      <c r="CW6" s="109"/>
      <c r="CX6" s="110"/>
      <c r="CY6" s="109"/>
      <c r="CZ6" s="109"/>
      <c r="DA6" s="110"/>
      <c r="DB6" s="109"/>
      <c r="DC6" s="109"/>
      <c r="DD6" s="110"/>
      <c r="DE6" s="109"/>
      <c r="DF6" s="109"/>
      <c r="DG6" s="110"/>
      <c r="DH6" s="109"/>
      <c r="DI6" s="109"/>
      <c r="DJ6" s="110"/>
      <c r="DK6" s="109"/>
      <c r="DL6" s="109"/>
      <c r="DM6" s="110"/>
      <c r="DN6" s="109"/>
      <c r="DO6" s="109"/>
      <c r="DP6" s="110"/>
      <c r="DQ6" s="109"/>
      <c r="DR6" s="109"/>
      <c r="DS6" s="110"/>
      <c r="DT6" s="109"/>
      <c r="DU6" s="109"/>
      <c r="DV6" s="110"/>
      <c r="DW6" s="109"/>
      <c r="DX6" s="109"/>
      <c r="DY6" s="110"/>
      <c r="DZ6" s="109"/>
      <c r="EA6" s="109"/>
      <c r="EB6" s="110"/>
      <c r="EC6" s="109"/>
      <c r="ED6" s="109"/>
      <c r="EE6" s="110"/>
      <c r="EF6" s="109"/>
      <c r="EG6" s="109"/>
      <c r="EH6" s="110"/>
      <c r="EI6" s="109"/>
      <c r="EJ6" s="109"/>
      <c r="EK6" s="110"/>
      <c r="EL6" s="109"/>
      <c r="EM6" s="109"/>
      <c r="EN6" s="110"/>
      <c r="EO6" s="109"/>
      <c r="EP6" s="109"/>
      <c r="EQ6" s="110"/>
      <c r="ER6" s="109"/>
      <c r="ES6" s="109"/>
      <c r="ET6" s="110"/>
      <c r="EU6" s="109"/>
      <c r="EV6" s="109"/>
      <c r="EW6" s="110"/>
    </row>
    <row r="7" spans="1:153" ht="15.4" customHeight="1">
      <c r="A7" s="10" t="s">
        <v>1167</v>
      </c>
      <c r="B7" s="196">
        <v>46221.958333333343</v>
      </c>
      <c r="C7" s="226"/>
      <c r="D7" s="109"/>
      <c r="E7" s="109"/>
      <c r="F7" s="110"/>
      <c r="G7" s="109"/>
      <c r="H7" s="109"/>
      <c r="I7" s="110"/>
      <c r="J7" s="109"/>
      <c r="K7" s="109"/>
      <c r="L7" s="110"/>
      <c r="M7" s="109"/>
      <c r="N7" s="109"/>
      <c r="O7" s="110"/>
      <c r="P7" s="109"/>
      <c r="Q7" s="109"/>
      <c r="R7" s="110"/>
      <c r="S7" s="109"/>
      <c r="T7" s="109"/>
      <c r="U7" s="110"/>
      <c r="V7" s="109"/>
      <c r="W7" s="109"/>
      <c r="X7" s="110"/>
      <c r="Y7" s="109"/>
      <c r="Z7" s="109"/>
      <c r="AA7" s="110"/>
      <c r="AB7" s="109"/>
      <c r="AC7" s="109"/>
      <c r="AD7" s="110"/>
      <c r="AE7" s="109"/>
      <c r="AF7" s="109"/>
      <c r="AG7" s="110"/>
      <c r="AH7" s="109"/>
      <c r="AI7" s="109"/>
      <c r="AJ7" s="110"/>
      <c r="AK7" s="109"/>
      <c r="AL7" s="109"/>
      <c r="AM7" s="110"/>
      <c r="AN7" s="109"/>
      <c r="AO7" s="109"/>
      <c r="AP7" s="110"/>
      <c r="AQ7" s="109"/>
      <c r="AR7" s="109"/>
      <c r="AS7" s="110"/>
      <c r="AT7" s="109"/>
      <c r="AU7" s="109"/>
      <c r="AV7" s="110"/>
      <c r="AW7" s="109"/>
      <c r="AX7" s="109"/>
      <c r="AY7" s="110"/>
      <c r="AZ7" s="109"/>
      <c r="BA7" s="109"/>
      <c r="BB7" s="110"/>
      <c r="BC7" s="109"/>
      <c r="BD7" s="109"/>
      <c r="BE7" s="110"/>
      <c r="BF7" s="109"/>
      <c r="BG7" s="109"/>
      <c r="BH7" s="110"/>
      <c r="BI7" s="109"/>
      <c r="BJ7" s="109"/>
      <c r="BK7" s="110"/>
      <c r="BL7" s="109"/>
      <c r="BM7" s="109"/>
      <c r="BN7" s="110"/>
      <c r="BO7" s="109"/>
      <c r="BP7" s="109"/>
      <c r="BQ7" s="110"/>
      <c r="BR7" s="109"/>
      <c r="BS7" s="109"/>
      <c r="BT7" s="110"/>
      <c r="BU7" s="109"/>
      <c r="BV7" s="109"/>
      <c r="BW7" s="110"/>
      <c r="BX7" s="109"/>
      <c r="BY7" s="109"/>
      <c r="BZ7" s="110"/>
      <c r="CA7" s="109"/>
      <c r="CB7" s="109"/>
      <c r="CC7" s="110"/>
      <c r="CD7" s="109"/>
      <c r="CE7" s="109"/>
      <c r="CF7" s="110"/>
      <c r="CG7" s="109"/>
      <c r="CH7" s="109"/>
      <c r="CI7" s="110"/>
      <c r="CJ7" s="109"/>
      <c r="CK7" s="109"/>
      <c r="CL7" s="110"/>
      <c r="CM7" s="109"/>
      <c r="CN7" s="109"/>
      <c r="CO7" s="110"/>
      <c r="CP7" s="109"/>
      <c r="CQ7" s="109"/>
      <c r="CR7" s="110"/>
      <c r="CS7" s="109"/>
      <c r="CT7" s="109"/>
      <c r="CU7" s="110"/>
      <c r="CV7" s="109"/>
      <c r="CW7" s="109"/>
      <c r="CX7" s="110"/>
      <c r="CY7" s="109"/>
      <c r="CZ7" s="109"/>
      <c r="DA7" s="110"/>
      <c r="DB7" s="109"/>
      <c r="DC7" s="109"/>
      <c r="DD7" s="110"/>
      <c r="DE7" s="109"/>
      <c r="DF7" s="109"/>
      <c r="DG7" s="110"/>
      <c r="DH7" s="109"/>
      <c r="DI7" s="109"/>
      <c r="DJ7" s="110"/>
      <c r="DK7" s="109"/>
      <c r="DL7" s="109"/>
      <c r="DM7" s="110"/>
      <c r="DN7" s="109"/>
      <c r="DO7" s="109"/>
      <c r="DP7" s="110"/>
      <c r="DQ7" s="109"/>
      <c r="DR7" s="109"/>
      <c r="DS7" s="110"/>
      <c r="DT7" s="109"/>
      <c r="DU7" s="109"/>
      <c r="DV7" s="110"/>
      <c r="DW7" s="109"/>
      <c r="DX7" s="109"/>
      <c r="DY7" s="110"/>
      <c r="DZ7" s="109"/>
      <c r="EA7" s="109"/>
      <c r="EB7" s="110"/>
      <c r="EC7" s="109"/>
      <c r="ED7" s="109"/>
      <c r="EE7" s="110"/>
      <c r="EF7" s="109"/>
      <c r="EG7" s="109"/>
      <c r="EH7" s="110"/>
      <c r="EI7" s="109"/>
      <c r="EJ7" s="109"/>
      <c r="EK7" s="110"/>
      <c r="EL7" s="109"/>
      <c r="EM7" s="109"/>
      <c r="EN7" s="110"/>
      <c r="EO7" s="109"/>
      <c r="EP7" s="109"/>
      <c r="EQ7" s="110"/>
      <c r="ER7" s="109"/>
      <c r="ES7" s="109"/>
      <c r="ET7" s="110"/>
      <c r="EU7" s="109"/>
      <c r="EV7" s="109"/>
      <c r="EW7" s="110"/>
    </row>
    <row r="8" spans="1:153" ht="15.4" customHeight="1">
      <c r="A8" s="10" t="s">
        <v>1168</v>
      </c>
      <c r="B8" s="196">
        <v>46222.25</v>
      </c>
      <c r="C8" s="226"/>
      <c r="D8" s="109"/>
      <c r="E8" s="109"/>
      <c r="F8" s="110"/>
      <c r="G8" s="109"/>
      <c r="H8" s="109"/>
      <c r="I8" s="110"/>
      <c r="J8" s="109"/>
      <c r="K8" s="109"/>
      <c r="L8" s="110"/>
      <c r="M8" s="109"/>
      <c r="N8" s="109"/>
      <c r="O8" s="110"/>
      <c r="P8" s="109"/>
      <c r="Q8" s="109"/>
      <c r="R8" s="110"/>
      <c r="S8" s="109"/>
      <c r="T8" s="109"/>
      <c r="U8" s="110"/>
      <c r="V8" s="109"/>
      <c r="W8" s="109"/>
      <c r="X8" s="110"/>
      <c r="Y8" s="109"/>
      <c r="Z8" s="109"/>
      <c r="AA8" s="110"/>
      <c r="AB8" s="109"/>
      <c r="AC8" s="109"/>
      <c r="AD8" s="110"/>
      <c r="AE8" s="109"/>
      <c r="AF8" s="109"/>
      <c r="AG8" s="110"/>
      <c r="AH8" s="109"/>
      <c r="AI8" s="109"/>
      <c r="AJ8" s="110"/>
      <c r="AK8" s="109"/>
      <c r="AL8" s="109"/>
      <c r="AM8" s="110"/>
      <c r="AN8" s="109"/>
      <c r="AO8" s="109"/>
      <c r="AP8" s="110"/>
      <c r="AQ8" s="109"/>
      <c r="AR8" s="109"/>
      <c r="AS8" s="110"/>
      <c r="AT8" s="109"/>
      <c r="AU8" s="109"/>
      <c r="AV8" s="110"/>
      <c r="AW8" s="109"/>
      <c r="AX8" s="109"/>
      <c r="AY8" s="110"/>
      <c r="AZ8" s="109"/>
      <c r="BA8" s="109"/>
      <c r="BB8" s="110"/>
      <c r="BC8" s="109"/>
      <c r="BD8" s="109"/>
      <c r="BE8" s="110"/>
      <c r="BF8" s="109"/>
      <c r="BG8" s="109"/>
      <c r="BH8" s="110"/>
      <c r="BI8" s="109"/>
      <c r="BJ8" s="109"/>
      <c r="BK8" s="110"/>
      <c r="BL8" s="109"/>
      <c r="BM8" s="109"/>
      <c r="BN8" s="110"/>
      <c r="BO8" s="109"/>
      <c r="BP8" s="109"/>
      <c r="BQ8" s="110"/>
      <c r="BR8" s="109"/>
      <c r="BS8" s="109"/>
      <c r="BT8" s="110"/>
      <c r="BU8" s="109"/>
      <c r="BV8" s="109"/>
      <c r="BW8" s="110"/>
      <c r="BX8" s="109"/>
      <c r="BY8" s="109"/>
      <c r="BZ8" s="110"/>
      <c r="CA8" s="109"/>
      <c r="CB8" s="109"/>
      <c r="CC8" s="110"/>
      <c r="CD8" s="109"/>
      <c r="CE8" s="109"/>
      <c r="CF8" s="110"/>
      <c r="CG8" s="109"/>
      <c r="CH8" s="109"/>
      <c r="CI8" s="110"/>
      <c r="CJ8" s="109"/>
      <c r="CK8" s="109"/>
      <c r="CL8" s="110"/>
      <c r="CM8" s="109"/>
      <c r="CN8" s="109"/>
      <c r="CO8" s="110"/>
      <c r="CP8" s="109"/>
      <c r="CQ8" s="109"/>
      <c r="CR8" s="110"/>
      <c r="CS8" s="109"/>
      <c r="CT8" s="109"/>
      <c r="CU8" s="110"/>
      <c r="CV8" s="109"/>
      <c r="CW8" s="109"/>
      <c r="CX8" s="110"/>
      <c r="CY8" s="109"/>
      <c r="CZ8" s="109"/>
      <c r="DA8" s="110"/>
      <c r="DB8" s="109"/>
      <c r="DC8" s="109"/>
      <c r="DD8" s="110"/>
      <c r="DE8" s="109"/>
      <c r="DF8" s="109"/>
      <c r="DG8" s="110"/>
      <c r="DH8" s="109"/>
      <c r="DI8" s="109"/>
      <c r="DJ8" s="110"/>
      <c r="DK8" s="109"/>
      <c r="DL8" s="109"/>
      <c r="DM8" s="110"/>
      <c r="DN8" s="109"/>
      <c r="DO8" s="109"/>
      <c r="DP8" s="110"/>
      <c r="DQ8" s="109"/>
      <c r="DR8" s="109"/>
      <c r="DS8" s="110"/>
      <c r="DT8" s="109"/>
      <c r="DU8" s="109"/>
      <c r="DV8" s="110"/>
      <c r="DW8" s="109"/>
      <c r="DX8" s="109"/>
      <c r="DY8" s="110"/>
      <c r="DZ8" s="109"/>
      <c r="EA8" s="109"/>
      <c r="EB8" s="110"/>
      <c r="EC8" s="109"/>
      <c r="ED8" s="109"/>
      <c r="EE8" s="110"/>
      <c r="EF8" s="109"/>
      <c r="EG8" s="109"/>
      <c r="EH8" s="110"/>
      <c r="EI8" s="109"/>
      <c r="EJ8" s="109"/>
      <c r="EK8" s="110"/>
      <c r="EL8" s="109"/>
      <c r="EM8" s="109"/>
      <c r="EN8" s="110"/>
      <c r="EO8" s="109"/>
      <c r="EP8" s="109"/>
      <c r="EQ8" s="110"/>
      <c r="ER8" s="109"/>
      <c r="ES8" s="109"/>
      <c r="ET8" s="110"/>
      <c r="EU8" s="109"/>
      <c r="EV8" s="109"/>
      <c r="EW8" s="110"/>
    </row>
    <row r="9" spans="1:153" ht="15.4" hidden="1" customHeight="1">
      <c r="A9" s="10" t="s">
        <v>1169</v>
      </c>
      <c r="B9" s="85">
        <v>46221.583333333343</v>
      </c>
      <c r="C9" s="85"/>
      <c r="D9" s="109"/>
      <c r="E9" s="109"/>
      <c r="F9" s="110"/>
      <c r="G9" s="109"/>
      <c r="H9" s="109"/>
      <c r="I9" s="110"/>
      <c r="J9" s="109"/>
      <c r="K9" s="109"/>
      <c r="L9" s="110"/>
      <c r="M9" s="109"/>
      <c r="N9" s="109"/>
      <c r="O9" s="110"/>
      <c r="P9" s="109"/>
      <c r="Q9" s="109"/>
      <c r="R9" s="110"/>
      <c r="S9" s="109"/>
      <c r="T9" s="109"/>
      <c r="U9" s="110"/>
      <c r="V9" s="109"/>
      <c r="W9" s="109"/>
      <c r="X9" s="110"/>
      <c r="Y9" s="109"/>
      <c r="Z9" s="109"/>
      <c r="AA9" s="110"/>
      <c r="AB9" s="109"/>
      <c r="AC9" s="109"/>
      <c r="AD9" s="110"/>
      <c r="AE9" s="109"/>
      <c r="AF9" s="109"/>
      <c r="AG9" s="110"/>
      <c r="AH9" s="109"/>
      <c r="AI9" s="109"/>
      <c r="AJ9" s="110"/>
      <c r="AK9" s="109"/>
      <c r="AL9" s="109"/>
      <c r="AM9" s="110"/>
      <c r="AN9" s="109"/>
      <c r="AO9" s="109"/>
      <c r="AP9" s="110"/>
      <c r="AQ9" s="109"/>
      <c r="AR9" s="109"/>
      <c r="AS9" s="110"/>
      <c r="AT9" s="109"/>
      <c r="AU9" s="109"/>
      <c r="AV9" s="110"/>
      <c r="AW9" s="109"/>
      <c r="AX9" s="109"/>
      <c r="AY9" s="110"/>
      <c r="AZ9" s="109"/>
      <c r="BA9" s="109"/>
      <c r="BB9" s="110"/>
      <c r="BC9" s="109"/>
      <c r="BD9" s="109"/>
      <c r="BE9" s="110"/>
      <c r="BF9" s="109"/>
      <c r="BG9" s="109"/>
      <c r="BH9" s="110"/>
      <c r="BI9" s="109"/>
      <c r="BJ9" s="109"/>
      <c r="BK9" s="110"/>
      <c r="BL9" s="109"/>
      <c r="BM9" s="109"/>
      <c r="BN9" s="110"/>
      <c r="BO9" s="109"/>
      <c r="BP9" s="109"/>
      <c r="BQ9" s="110"/>
      <c r="BR9" s="109"/>
      <c r="BS9" s="109"/>
      <c r="BT9" s="110"/>
      <c r="BU9" s="109"/>
      <c r="BV9" s="109"/>
      <c r="BW9" s="110"/>
      <c r="BX9" s="109"/>
      <c r="BY9" s="109"/>
      <c r="BZ9" s="110"/>
      <c r="CA9" s="109"/>
      <c r="CB9" s="109"/>
      <c r="CC9" s="110"/>
      <c r="CD9" s="109"/>
      <c r="CE9" s="109"/>
      <c r="CF9" s="110"/>
      <c r="CG9" s="109"/>
      <c r="CH9" s="109"/>
      <c r="CI9" s="110"/>
      <c r="CJ9" s="109"/>
      <c r="CK9" s="109"/>
      <c r="CL9" s="110"/>
      <c r="CM9" s="109"/>
      <c r="CN9" s="109"/>
      <c r="CO9" s="110"/>
      <c r="CP9" s="109"/>
      <c r="CQ9" s="109"/>
      <c r="CR9" s="110"/>
      <c r="CS9" s="109"/>
      <c r="CT9" s="109"/>
      <c r="CU9" s="110"/>
      <c r="CV9" s="109"/>
      <c r="CW9" s="109"/>
      <c r="CX9" s="110"/>
      <c r="CY9" s="109"/>
      <c r="CZ9" s="109"/>
      <c r="DA9" s="110"/>
      <c r="DB9" s="109"/>
      <c r="DC9" s="109"/>
      <c r="DD9" s="110"/>
      <c r="DE9" s="109"/>
      <c r="DF9" s="109"/>
      <c r="DG9" s="110"/>
      <c r="DH9" s="109"/>
      <c r="DI9" s="109"/>
      <c r="DJ9" s="110"/>
      <c r="DK9" s="109"/>
      <c r="DL9" s="109"/>
      <c r="DM9" s="110"/>
      <c r="DN9" s="109"/>
      <c r="DO9" s="109"/>
      <c r="DP9" s="110"/>
      <c r="DQ9" s="109"/>
      <c r="DR9" s="109"/>
      <c r="DS9" s="110"/>
      <c r="DT9" s="109"/>
      <c r="DU9" s="109"/>
      <c r="DV9" s="110"/>
      <c r="DW9" s="109"/>
      <c r="DX9" s="109"/>
      <c r="DY9" s="110"/>
      <c r="DZ9" s="109"/>
      <c r="EA9" s="109"/>
      <c r="EB9" s="110"/>
      <c r="EC9" s="109"/>
      <c r="ED9" s="109"/>
      <c r="EE9" s="110"/>
      <c r="EF9" s="109"/>
      <c r="EG9" s="109"/>
      <c r="EH9" s="110"/>
      <c r="EI9" s="109"/>
      <c r="EJ9" s="109"/>
      <c r="EK9" s="110"/>
      <c r="EL9" s="109"/>
      <c r="EM9" s="109"/>
      <c r="EN9" s="110"/>
      <c r="EO9" s="109"/>
      <c r="EP9" s="109"/>
      <c r="EQ9" s="110"/>
      <c r="ER9" s="109"/>
      <c r="ES9" s="109"/>
      <c r="ET9" s="110"/>
      <c r="EU9" s="109"/>
      <c r="EV9" s="109"/>
      <c r="EW9" s="110"/>
    </row>
    <row r="10" spans="1:153" ht="15.4" customHeight="1">
      <c r="A10" s="10" t="s">
        <v>1170</v>
      </c>
      <c r="B10" s="85">
        <v>46222.583333333343</v>
      </c>
      <c r="C10" s="85">
        <v>46224</v>
      </c>
      <c r="D10" s="109"/>
      <c r="E10" s="109"/>
      <c r="F10" s="110"/>
      <c r="G10" s="109"/>
      <c r="H10" s="109"/>
      <c r="I10" s="110"/>
      <c r="J10" s="109"/>
      <c r="K10" s="109"/>
      <c r="L10" s="110"/>
      <c r="M10" s="109" t="s">
        <v>1171</v>
      </c>
      <c r="N10" s="109"/>
      <c r="O10" s="110"/>
      <c r="P10" s="109"/>
      <c r="Q10" s="109"/>
      <c r="R10" s="110"/>
      <c r="S10" s="109"/>
      <c r="T10" s="109"/>
      <c r="U10" s="110"/>
      <c r="V10" s="109"/>
      <c r="W10" s="109"/>
      <c r="X10" s="110"/>
      <c r="Y10" s="109"/>
      <c r="Z10" s="109"/>
      <c r="AA10" s="110"/>
      <c r="AB10" s="109"/>
      <c r="AC10" s="109"/>
      <c r="AD10" s="110"/>
      <c r="AE10" s="109"/>
      <c r="AF10" s="109"/>
      <c r="AG10" s="110"/>
      <c r="AH10" s="109"/>
      <c r="AI10" s="109"/>
      <c r="AJ10" s="110"/>
      <c r="AK10" s="109"/>
      <c r="AL10" s="109"/>
      <c r="AM10" s="110"/>
      <c r="AN10" s="109"/>
      <c r="AO10" s="109"/>
      <c r="AP10" s="110"/>
      <c r="AQ10" s="109"/>
      <c r="AR10" s="109"/>
      <c r="AS10" s="110"/>
      <c r="AT10" s="109"/>
      <c r="AU10" s="109"/>
      <c r="AV10" s="110"/>
      <c r="AW10" s="109"/>
      <c r="AX10" s="109"/>
      <c r="AY10" s="110"/>
      <c r="AZ10" s="109"/>
      <c r="BA10" s="109"/>
      <c r="BB10" s="110"/>
      <c r="BC10" s="109"/>
      <c r="BD10" s="109"/>
      <c r="BE10" s="110"/>
      <c r="BF10" s="109"/>
      <c r="BG10" s="109"/>
      <c r="BH10" s="110"/>
      <c r="BI10" s="109"/>
      <c r="BJ10" s="109"/>
      <c r="BK10" s="110"/>
      <c r="BL10" s="109"/>
      <c r="BM10" s="109"/>
      <c r="BN10" s="110"/>
      <c r="BO10" s="109"/>
      <c r="BP10" s="109"/>
      <c r="BQ10" s="110"/>
      <c r="BR10" s="109"/>
      <c r="BS10" s="109"/>
      <c r="BT10" s="110"/>
      <c r="BU10" s="109"/>
      <c r="BV10" s="109"/>
      <c r="BW10" s="110"/>
      <c r="BX10" s="109"/>
      <c r="BY10" s="109"/>
      <c r="BZ10" s="110"/>
      <c r="CA10" s="109"/>
      <c r="CB10" s="109"/>
      <c r="CC10" s="110"/>
      <c r="CD10" s="109"/>
      <c r="CE10" s="109"/>
      <c r="CF10" s="110"/>
      <c r="CG10" s="109"/>
      <c r="CH10" s="109"/>
      <c r="CI10" s="110"/>
      <c r="CJ10" s="109"/>
      <c r="CK10" s="109"/>
      <c r="CL10" s="110"/>
      <c r="CM10" s="109"/>
      <c r="CN10" s="109"/>
      <c r="CO10" s="110"/>
      <c r="CP10" s="109"/>
      <c r="CQ10" s="109"/>
      <c r="CR10" s="110"/>
      <c r="CS10" s="109"/>
      <c r="CT10" s="109"/>
      <c r="CU10" s="110"/>
      <c r="CV10" s="109"/>
      <c r="CW10" s="109"/>
      <c r="CX10" s="110"/>
      <c r="CY10" s="109"/>
      <c r="CZ10" s="109"/>
      <c r="DA10" s="110"/>
      <c r="DB10" s="109"/>
      <c r="DC10" s="109"/>
      <c r="DD10" s="110"/>
      <c r="DE10" s="109"/>
      <c r="DF10" s="109"/>
      <c r="DG10" s="110"/>
      <c r="DH10" s="109"/>
      <c r="DI10" s="109"/>
      <c r="DJ10" s="110"/>
      <c r="DK10" s="109"/>
      <c r="DL10" s="109"/>
      <c r="DM10" s="110"/>
      <c r="DN10" s="109"/>
      <c r="DO10" s="109"/>
      <c r="DP10" s="110"/>
      <c r="DQ10" s="109"/>
      <c r="DR10" s="109"/>
      <c r="DS10" s="110"/>
      <c r="DT10" s="109"/>
      <c r="DU10" s="109"/>
      <c r="DV10" s="110"/>
      <c r="DW10" s="109"/>
      <c r="DX10" s="109"/>
      <c r="DY10" s="110"/>
      <c r="DZ10" s="109"/>
      <c r="EA10" s="109"/>
      <c r="EB10" s="110"/>
      <c r="EC10" s="109"/>
      <c r="ED10" s="109"/>
      <c r="EE10" s="110"/>
      <c r="EF10" s="109"/>
      <c r="EG10" s="109"/>
      <c r="EH10" s="110"/>
      <c r="EI10" s="109"/>
      <c r="EJ10" s="109"/>
      <c r="EK10" s="110"/>
      <c r="EL10" s="109"/>
      <c r="EM10" s="109"/>
      <c r="EN10" s="110"/>
      <c r="EO10" s="109"/>
      <c r="EP10" s="109"/>
      <c r="EQ10" s="110"/>
      <c r="ER10" s="109"/>
      <c r="ES10" s="109"/>
      <c r="ET10" s="110"/>
      <c r="EU10" s="109"/>
      <c r="EV10" s="109"/>
      <c r="EW10" s="110"/>
    </row>
    <row r="11" spans="1:153" ht="15.4" customHeight="1">
      <c r="A11" s="10" t="s">
        <v>1172</v>
      </c>
      <c r="B11" s="85">
        <v>46222.583333333343</v>
      </c>
      <c r="C11" s="85">
        <v>46224</v>
      </c>
      <c r="D11" s="109"/>
      <c r="E11" s="109"/>
      <c r="F11" s="110"/>
      <c r="G11" s="109"/>
      <c r="H11" s="109"/>
      <c r="I11" s="110"/>
      <c r="J11" s="109"/>
      <c r="K11" s="109"/>
      <c r="L11" s="110"/>
      <c r="M11" s="109" t="s">
        <v>1171</v>
      </c>
      <c r="N11" s="109"/>
      <c r="O11" s="110"/>
      <c r="P11" s="109"/>
      <c r="Q11" s="109"/>
      <c r="R11" s="110"/>
      <c r="S11" s="109"/>
      <c r="T11" s="109"/>
      <c r="U11" s="110"/>
      <c r="V11" s="109"/>
      <c r="W11" s="109"/>
      <c r="X11" s="110"/>
      <c r="Y11" s="109"/>
      <c r="Z11" s="109"/>
      <c r="AA11" s="110"/>
      <c r="AB11" s="109"/>
      <c r="AC11" s="109"/>
      <c r="AD11" s="110"/>
      <c r="AE11" s="109"/>
      <c r="AF11" s="109"/>
      <c r="AG11" s="110"/>
      <c r="AH11" s="109"/>
      <c r="AI11" s="109"/>
      <c r="AJ11" s="110"/>
      <c r="AK11" s="109"/>
      <c r="AL11" s="109"/>
      <c r="AM11" s="110"/>
      <c r="AN11" s="109"/>
      <c r="AO11" s="109"/>
      <c r="AP11" s="110"/>
      <c r="AQ11" s="109"/>
      <c r="AR11" s="109"/>
      <c r="AS11" s="110"/>
      <c r="AT11" s="109"/>
      <c r="AU11" s="109"/>
      <c r="AV11" s="110"/>
      <c r="AW11" s="109"/>
      <c r="AX11" s="109"/>
      <c r="AY11" s="110"/>
      <c r="AZ11" s="109"/>
      <c r="BA11" s="109"/>
      <c r="BB11" s="110"/>
      <c r="BC11" s="109"/>
      <c r="BD11" s="109"/>
      <c r="BE11" s="110"/>
      <c r="BF11" s="109"/>
      <c r="BG11" s="109"/>
      <c r="BH11" s="110"/>
      <c r="BI11" s="109"/>
      <c r="BJ11" s="109"/>
      <c r="BK11" s="110"/>
      <c r="BL11" s="109"/>
      <c r="BM11" s="109"/>
      <c r="BN11" s="110"/>
      <c r="BO11" s="109"/>
      <c r="BP11" s="109"/>
      <c r="BQ11" s="110"/>
      <c r="BR11" s="109"/>
      <c r="BS11" s="109"/>
      <c r="BT11" s="110"/>
      <c r="BU11" s="109"/>
      <c r="BV11" s="109"/>
      <c r="BW11" s="110"/>
      <c r="BX11" s="109"/>
      <c r="BY11" s="109"/>
      <c r="BZ11" s="110"/>
      <c r="CA11" s="109"/>
      <c r="CB11" s="109"/>
      <c r="CC11" s="110"/>
      <c r="CD11" s="109"/>
      <c r="CE11" s="109"/>
      <c r="CF11" s="110"/>
      <c r="CG11" s="109"/>
      <c r="CH11" s="109"/>
      <c r="CI11" s="110"/>
      <c r="CJ11" s="109"/>
      <c r="CK11" s="109"/>
      <c r="CL11" s="110"/>
      <c r="CM11" s="109"/>
      <c r="CN11" s="109"/>
      <c r="CO11" s="110"/>
      <c r="CP11" s="109"/>
      <c r="CQ11" s="109"/>
      <c r="CR11" s="110"/>
      <c r="CS11" s="109"/>
      <c r="CT11" s="109"/>
      <c r="CU11" s="110"/>
      <c r="CV11" s="109"/>
      <c r="CW11" s="109"/>
      <c r="CX11" s="110"/>
      <c r="CY11" s="109"/>
      <c r="CZ11" s="109"/>
      <c r="DA11" s="110"/>
      <c r="DB11" s="109"/>
      <c r="DC11" s="109"/>
      <c r="DD11" s="110"/>
      <c r="DE11" s="109"/>
      <c r="DF11" s="109"/>
      <c r="DG11" s="110"/>
      <c r="DH11" s="109"/>
      <c r="DI11" s="109"/>
      <c r="DJ11" s="110"/>
      <c r="DK11" s="109"/>
      <c r="DL11" s="109"/>
      <c r="DM11" s="110"/>
      <c r="DN11" s="109"/>
      <c r="DO11" s="109"/>
      <c r="DP11" s="110"/>
      <c r="DQ11" s="109"/>
      <c r="DR11" s="109"/>
      <c r="DS11" s="110"/>
      <c r="DT11" s="109"/>
      <c r="DU11" s="109"/>
      <c r="DV11" s="110"/>
      <c r="DW11" s="109"/>
      <c r="DX11" s="109"/>
      <c r="DY11" s="110"/>
      <c r="DZ11" s="109"/>
      <c r="EA11" s="109"/>
      <c r="EB11" s="110"/>
      <c r="EC11" s="109"/>
      <c r="ED11" s="109"/>
      <c r="EE11" s="110"/>
      <c r="EF11" s="109"/>
      <c r="EG11" s="109"/>
      <c r="EH11" s="110"/>
      <c r="EI11" s="109"/>
      <c r="EJ11" s="109"/>
      <c r="EK11" s="110"/>
      <c r="EL11" s="109"/>
      <c r="EM11" s="109"/>
      <c r="EN11" s="110"/>
      <c r="EO11" s="109"/>
      <c r="EP11" s="109"/>
      <c r="EQ11" s="110"/>
      <c r="ER11" s="109"/>
      <c r="ES11" s="109"/>
      <c r="ET11" s="110"/>
      <c r="EU11" s="109"/>
      <c r="EV11" s="109"/>
      <c r="EW11" s="110"/>
    </row>
    <row r="12" spans="1:153" ht="15.4" customHeight="1">
      <c r="A12" s="10" t="s">
        <v>1173</v>
      </c>
      <c r="B12" s="196">
        <v>46225</v>
      </c>
      <c r="C12" s="226"/>
      <c r="D12" s="109"/>
      <c r="E12" s="109"/>
      <c r="F12" s="110"/>
      <c r="G12" s="109"/>
      <c r="H12" s="109"/>
      <c r="I12" s="110"/>
      <c r="J12" s="109"/>
      <c r="K12" s="109"/>
      <c r="L12" s="110"/>
      <c r="M12" s="109"/>
      <c r="N12" s="109"/>
      <c r="O12" s="110"/>
      <c r="P12" s="109" t="s">
        <v>1174</v>
      </c>
      <c r="Q12" s="109"/>
      <c r="R12" s="110"/>
      <c r="S12" s="109"/>
      <c r="T12" s="109"/>
      <c r="U12" s="110"/>
      <c r="V12" s="109"/>
      <c r="W12" s="109"/>
      <c r="X12" s="110"/>
      <c r="Y12" s="109"/>
      <c r="Z12" s="109"/>
      <c r="AA12" s="110"/>
      <c r="AB12" s="109"/>
      <c r="AC12" s="109"/>
      <c r="AD12" s="110"/>
      <c r="AE12" s="109"/>
      <c r="AF12" s="109"/>
      <c r="AG12" s="110"/>
      <c r="AH12" s="109"/>
      <c r="AI12" s="109"/>
      <c r="AJ12" s="110"/>
      <c r="AK12" s="109"/>
      <c r="AL12" s="109"/>
      <c r="AM12" s="110"/>
      <c r="AN12" s="109"/>
      <c r="AO12" s="109"/>
      <c r="AP12" s="110"/>
      <c r="AQ12" s="109"/>
      <c r="AR12" s="109"/>
      <c r="AS12" s="110"/>
      <c r="AT12" s="109"/>
      <c r="AU12" s="109"/>
      <c r="AV12" s="110"/>
      <c r="AW12" s="109"/>
      <c r="AX12" s="109"/>
      <c r="AY12" s="110"/>
      <c r="AZ12" s="109"/>
      <c r="BA12" s="109"/>
      <c r="BB12" s="110"/>
      <c r="BC12" s="109"/>
      <c r="BD12" s="109"/>
      <c r="BE12" s="110"/>
      <c r="BF12" s="109"/>
      <c r="BG12" s="109"/>
      <c r="BH12" s="110"/>
      <c r="BI12" s="109"/>
      <c r="BJ12" s="109"/>
      <c r="BK12" s="110"/>
      <c r="BL12" s="109"/>
      <c r="BM12" s="109"/>
      <c r="BN12" s="110"/>
      <c r="BO12" s="109"/>
      <c r="BP12" s="109"/>
      <c r="BQ12" s="110"/>
      <c r="BR12" s="109"/>
      <c r="BS12" s="109"/>
      <c r="BT12" s="110"/>
      <c r="BU12" s="109"/>
      <c r="BV12" s="109"/>
      <c r="BW12" s="110"/>
      <c r="BX12" s="109"/>
      <c r="BY12" s="109"/>
      <c r="BZ12" s="110"/>
      <c r="CA12" s="109"/>
      <c r="CB12" s="109"/>
      <c r="CC12" s="110"/>
      <c r="CD12" s="109"/>
      <c r="CE12" s="109"/>
      <c r="CF12" s="110"/>
      <c r="CG12" s="109"/>
      <c r="CH12" s="109"/>
      <c r="CI12" s="110"/>
      <c r="CJ12" s="109"/>
      <c r="CK12" s="109"/>
      <c r="CL12" s="110"/>
      <c r="CM12" s="109"/>
      <c r="CN12" s="109"/>
      <c r="CO12" s="110"/>
      <c r="CP12" s="109"/>
      <c r="CQ12" s="109"/>
      <c r="CR12" s="110"/>
      <c r="CS12" s="109"/>
      <c r="CT12" s="109"/>
      <c r="CU12" s="110"/>
      <c r="CV12" s="109"/>
      <c r="CW12" s="109"/>
      <c r="CX12" s="110"/>
      <c r="CY12" s="109"/>
      <c r="CZ12" s="109"/>
      <c r="DA12" s="110"/>
      <c r="DB12" s="109"/>
      <c r="DC12" s="109"/>
      <c r="DD12" s="110"/>
      <c r="DE12" s="109"/>
      <c r="DF12" s="109"/>
      <c r="DG12" s="110"/>
      <c r="DH12" s="109"/>
      <c r="DI12" s="109"/>
      <c r="DJ12" s="110"/>
      <c r="DK12" s="109"/>
      <c r="DL12" s="109"/>
      <c r="DM12" s="110"/>
      <c r="DN12" s="109"/>
      <c r="DO12" s="109"/>
      <c r="DP12" s="110"/>
      <c r="DQ12" s="109"/>
      <c r="DR12" s="109"/>
      <c r="DS12" s="110"/>
      <c r="DT12" s="109"/>
      <c r="DU12" s="109"/>
      <c r="DV12" s="110"/>
      <c r="DW12" s="109"/>
      <c r="DX12" s="109"/>
      <c r="DY12" s="110"/>
      <c r="DZ12" s="109"/>
      <c r="EA12" s="109"/>
      <c r="EB12" s="110"/>
      <c r="EC12" s="109"/>
      <c r="ED12" s="109"/>
      <c r="EE12" s="110"/>
      <c r="EF12" s="109"/>
      <c r="EG12" s="109"/>
      <c r="EH12" s="110"/>
      <c r="EI12" s="109"/>
      <c r="EJ12" s="109"/>
      <c r="EK12" s="110"/>
      <c r="EL12" s="109"/>
      <c r="EM12" s="109"/>
      <c r="EN12" s="110"/>
      <c r="EO12" s="109"/>
      <c r="EP12" s="109"/>
      <c r="EQ12" s="110"/>
      <c r="ER12" s="109"/>
      <c r="ES12" s="109"/>
      <c r="ET12" s="110"/>
      <c r="EU12" s="109"/>
      <c r="EV12" s="109"/>
      <c r="EW12" s="110"/>
    </row>
    <row r="13" spans="1:153" ht="15.4" customHeight="1">
      <c r="A13" s="195" t="s">
        <v>1175</v>
      </c>
      <c r="B13" s="225"/>
      <c r="C13" s="226"/>
      <c r="D13" s="109"/>
      <c r="E13" s="109"/>
      <c r="F13" s="110"/>
      <c r="G13" s="109"/>
      <c r="H13" s="109"/>
      <c r="I13" s="110"/>
      <c r="J13" s="109"/>
      <c r="K13" s="109"/>
      <c r="L13" s="110"/>
      <c r="M13" s="109"/>
      <c r="N13" s="109"/>
      <c r="O13" s="110"/>
      <c r="P13" s="109"/>
      <c r="Q13" s="109"/>
      <c r="R13" s="110"/>
      <c r="S13" s="109"/>
      <c r="T13" s="109"/>
      <c r="U13" s="110"/>
      <c r="V13" s="109"/>
      <c r="W13" s="109"/>
      <c r="X13" s="110"/>
      <c r="Y13" s="109"/>
      <c r="Z13" s="109"/>
      <c r="AA13" s="110"/>
      <c r="AB13" s="109"/>
      <c r="AC13" s="109"/>
      <c r="AD13" s="110"/>
      <c r="AE13" s="109"/>
      <c r="AF13" s="109"/>
      <c r="AG13" s="110"/>
      <c r="AH13" s="109"/>
      <c r="AI13" s="109"/>
      <c r="AJ13" s="110"/>
      <c r="AK13" s="109"/>
      <c r="AL13" s="109"/>
      <c r="AM13" s="110"/>
      <c r="AN13" s="109"/>
      <c r="AO13" s="109"/>
      <c r="AP13" s="110"/>
      <c r="AQ13" s="109"/>
      <c r="AR13" s="109"/>
      <c r="AS13" s="110"/>
      <c r="AT13" s="109"/>
      <c r="AU13" s="109"/>
      <c r="AV13" s="110"/>
      <c r="AW13" s="109"/>
      <c r="AX13" s="109"/>
      <c r="AY13" s="110"/>
      <c r="AZ13" s="109"/>
      <c r="BA13" s="109"/>
      <c r="BB13" s="110"/>
      <c r="BC13" s="109"/>
      <c r="BD13" s="109"/>
      <c r="BE13" s="110"/>
      <c r="BF13" s="109"/>
      <c r="BG13" s="109"/>
      <c r="BH13" s="110"/>
      <c r="BI13" s="109"/>
      <c r="BJ13" s="109"/>
      <c r="BK13" s="110"/>
      <c r="BL13" s="109"/>
      <c r="BM13" s="109"/>
      <c r="BN13" s="110"/>
      <c r="BO13" s="109"/>
      <c r="BP13" s="109"/>
      <c r="BQ13" s="110"/>
      <c r="BR13" s="109"/>
      <c r="BS13" s="109"/>
      <c r="BT13" s="110"/>
      <c r="BU13" s="109"/>
      <c r="BV13" s="109"/>
      <c r="BW13" s="110"/>
      <c r="BX13" s="109"/>
      <c r="BY13" s="109"/>
      <c r="BZ13" s="110"/>
      <c r="CA13" s="109"/>
      <c r="CB13" s="109"/>
      <c r="CC13" s="110"/>
      <c r="CD13" s="109"/>
      <c r="CE13" s="109"/>
      <c r="CF13" s="110"/>
      <c r="CG13" s="109"/>
      <c r="CH13" s="109"/>
      <c r="CI13" s="110"/>
      <c r="CJ13" s="109"/>
      <c r="CK13" s="109"/>
      <c r="CL13" s="110"/>
      <c r="CM13" s="109"/>
      <c r="CN13" s="109"/>
      <c r="CO13" s="110"/>
      <c r="CP13" s="109"/>
      <c r="CQ13" s="109"/>
      <c r="CR13" s="110"/>
      <c r="CS13" s="109"/>
      <c r="CT13" s="109"/>
      <c r="CU13" s="110"/>
      <c r="CV13" s="109"/>
      <c r="CW13" s="109"/>
      <c r="CX13" s="110"/>
      <c r="CY13" s="109"/>
      <c r="CZ13" s="109"/>
      <c r="DA13" s="110"/>
      <c r="DB13" s="109"/>
      <c r="DC13" s="109"/>
      <c r="DD13" s="110"/>
      <c r="DE13" s="109"/>
      <c r="DF13" s="109"/>
      <c r="DG13" s="110"/>
      <c r="DH13" s="109"/>
      <c r="DI13" s="109"/>
      <c r="DJ13" s="110"/>
      <c r="DK13" s="109"/>
      <c r="DL13" s="109"/>
      <c r="DM13" s="110"/>
      <c r="DN13" s="109"/>
      <c r="DO13" s="109"/>
      <c r="DP13" s="110"/>
      <c r="DQ13" s="109"/>
      <c r="DR13" s="109"/>
      <c r="DS13" s="110"/>
      <c r="DT13" s="109"/>
      <c r="DU13" s="109"/>
      <c r="DV13" s="110"/>
      <c r="DW13" s="109"/>
      <c r="DX13" s="109"/>
      <c r="DY13" s="110"/>
      <c r="DZ13" s="109"/>
      <c r="EA13" s="109"/>
      <c r="EB13" s="110"/>
      <c r="EC13" s="109"/>
      <c r="ED13" s="109"/>
      <c r="EE13" s="110"/>
      <c r="EF13" s="109"/>
      <c r="EG13" s="109"/>
      <c r="EH13" s="110"/>
      <c r="EI13" s="109"/>
      <c r="EJ13" s="109"/>
      <c r="EK13" s="110"/>
      <c r="EL13" s="109"/>
      <c r="EM13" s="109"/>
      <c r="EN13" s="110"/>
      <c r="EO13" s="109"/>
      <c r="EP13" s="109"/>
      <c r="EQ13" s="110"/>
      <c r="ER13" s="109"/>
      <c r="ES13" s="109"/>
      <c r="ET13" s="110"/>
      <c r="EU13" s="109"/>
      <c r="EV13" s="109"/>
      <c r="EW13" s="110"/>
    </row>
    <row r="14" spans="1:153" ht="15.4" customHeight="1">
      <c r="A14" s="10" t="s">
        <v>1176</v>
      </c>
      <c r="B14" s="196">
        <v>46239</v>
      </c>
      <c r="C14" s="226"/>
      <c r="D14" s="109"/>
      <c r="E14" s="109"/>
      <c r="F14" s="110"/>
      <c r="G14" s="109"/>
      <c r="H14" s="109"/>
      <c r="I14" s="110"/>
      <c r="J14" s="109"/>
      <c r="K14" s="109"/>
      <c r="L14" s="110"/>
      <c r="M14" s="109"/>
      <c r="N14" s="109"/>
      <c r="O14" s="110"/>
      <c r="P14" s="109"/>
      <c r="Q14" s="109"/>
      <c r="R14" s="110"/>
      <c r="S14" s="109"/>
      <c r="T14" s="109"/>
      <c r="U14" s="110"/>
      <c r="V14" s="109"/>
      <c r="W14" s="109"/>
      <c r="X14" s="110"/>
      <c r="Y14" s="109"/>
      <c r="Z14" s="109"/>
      <c r="AA14" s="110"/>
      <c r="AB14" s="109"/>
      <c r="AC14" s="109"/>
      <c r="AD14" s="110"/>
      <c r="AE14" s="109"/>
      <c r="AF14" s="109"/>
      <c r="AG14" s="110"/>
      <c r="AH14" s="109"/>
      <c r="AI14" s="109"/>
      <c r="AJ14" s="110"/>
      <c r="AK14" s="109"/>
      <c r="AL14" s="109"/>
      <c r="AM14" s="110"/>
      <c r="AN14" s="109"/>
      <c r="AO14" s="109"/>
      <c r="AP14" s="110"/>
      <c r="AQ14" s="109"/>
      <c r="AR14" s="109"/>
      <c r="AS14" s="110"/>
      <c r="AT14" s="109"/>
      <c r="AU14" s="109"/>
      <c r="AV14" s="110"/>
      <c r="AW14" s="109"/>
      <c r="AX14" s="109"/>
      <c r="AY14" s="110"/>
      <c r="AZ14" s="109"/>
      <c r="BA14" s="109"/>
      <c r="BB14" s="110"/>
      <c r="BC14" s="109"/>
      <c r="BD14" s="109"/>
      <c r="BE14" s="110"/>
      <c r="BF14" s="200">
        <v>46239</v>
      </c>
      <c r="BG14" s="201"/>
      <c r="BH14" s="110"/>
      <c r="BI14" s="109"/>
      <c r="BJ14" s="109"/>
      <c r="BK14" s="110"/>
      <c r="BL14" s="109"/>
      <c r="BM14" s="109"/>
      <c r="BN14" s="110"/>
      <c r="BO14" s="109"/>
      <c r="BP14" s="109"/>
      <c r="BQ14" s="110"/>
      <c r="BR14" s="109"/>
      <c r="BS14" s="109"/>
      <c r="BT14" s="110"/>
      <c r="BU14" s="109"/>
      <c r="BV14" s="109"/>
      <c r="BW14" s="110"/>
      <c r="BX14" s="109"/>
      <c r="BY14" s="109"/>
      <c r="BZ14" s="110"/>
      <c r="CA14" s="109"/>
      <c r="CB14" s="109"/>
      <c r="CC14" s="110"/>
      <c r="CD14" s="109"/>
      <c r="CE14" s="109"/>
      <c r="CF14" s="110"/>
      <c r="CG14" s="109"/>
      <c r="CH14" s="109"/>
      <c r="CI14" s="110"/>
      <c r="CJ14" s="109"/>
      <c r="CK14" s="109"/>
      <c r="CL14" s="110"/>
      <c r="CM14" s="109"/>
      <c r="CN14" s="109"/>
      <c r="CO14" s="110"/>
      <c r="CP14" s="109"/>
      <c r="CQ14" s="109"/>
      <c r="CR14" s="110"/>
      <c r="CS14" s="109"/>
      <c r="CT14" s="109"/>
      <c r="CU14" s="110"/>
      <c r="CV14" s="109"/>
      <c r="CW14" s="109"/>
      <c r="CX14" s="110"/>
      <c r="CY14" s="109"/>
      <c r="CZ14" s="109"/>
      <c r="DA14" s="110"/>
      <c r="DB14" s="109"/>
      <c r="DC14" s="109"/>
      <c r="DD14" s="110"/>
      <c r="DE14" s="109"/>
      <c r="DF14" s="109"/>
      <c r="DG14" s="110"/>
      <c r="DH14" s="109"/>
      <c r="DI14" s="109"/>
      <c r="DJ14" s="110"/>
      <c r="DK14" s="109"/>
      <c r="DL14" s="109"/>
      <c r="DM14" s="110"/>
      <c r="DN14" s="109"/>
      <c r="DO14" s="109"/>
      <c r="DP14" s="110"/>
      <c r="DQ14" s="109"/>
      <c r="DR14" s="109"/>
      <c r="DS14" s="110"/>
      <c r="DT14" s="109"/>
      <c r="DU14" s="109"/>
      <c r="DV14" s="110"/>
      <c r="DW14" s="109"/>
      <c r="DX14" s="109"/>
      <c r="DY14" s="110"/>
      <c r="DZ14" s="109"/>
      <c r="EA14" s="109"/>
      <c r="EB14" s="110"/>
      <c r="EC14" s="109"/>
      <c r="ED14" s="109"/>
      <c r="EE14" s="110"/>
      <c r="EF14" s="109"/>
      <c r="EG14" s="109"/>
      <c r="EH14" s="110"/>
      <c r="EI14" s="109"/>
      <c r="EJ14" s="109"/>
      <c r="EK14" s="110"/>
      <c r="EL14" s="109"/>
      <c r="EM14" s="109"/>
      <c r="EN14" s="110"/>
      <c r="EO14" s="109"/>
      <c r="EP14" s="109"/>
      <c r="EQ14" s="110"/>
      <c r="ER14" s="109"/>
      <c r="ES14" s="109"/>
      <c r="ET14" s="110"/>
      <c r="EU14" s="109"/>
      <c r="EV14" s="109"/>
      <c r="EW14" s="110"/>
    </row>
    <row r="15" spans="1:153" ht="15.4" customHeight="1">
      <c r="A15" s="10" t="s">
        <v>1177</v>
      </c>
      <c r="B15" s="85">
        <v>46224</v>
      </c>
      <c r="C15" s="85">
        <v>46229</v>
      </c>
      <c r="D15" s="109"/>
      <c r="E15" s="109"/>
      <c r="F15" s="110"/>
      <c r="G15" s="109"/>
      <c r="H15" s="109"/>
      <c r="I15" s="110"/>
      <c r="J15" s="109"/>
      <c r="K15" s="109"/>
      <c r="L15" s="110"/>
      <c r="M15" s="109"/>
      <c r="N15" s="109"/>
      <c r="O15" s="110"/>
      <c r="P15" s="109"/>
      <c r="Q15" s="109"/>
      <c r="R15" s="110"/>
      <c r="S15" s="109"/>
      <c r="T15" s="109"/>
      <c r="U15" s="110"/>
      <c r="V15" s="109"/>
      <c r="W15" s="109"/>
      <c r="X15" s="110"/>
      <c r="Y15" s="109"/>
      <c r="Z15" s="109"/>
      <c r="AA15" s="110"/>
      <c r="AB15" s="109" t="s">
        <v>1178</v>
      </c>
      <c r="AC15" s="109"/>
      <c r="AD15" s="110"/>
      <c r="AE15" s="109"/>
      <c r="AF15" s="109"/>
      <c r="AG15" s="110"/>
      <c r="AH15" s="109"/>
      <c r="AI15" s="109"/>
      <c r="AJ15" s="110"/>
      <c r="AK15" s="109"/>
      <c r="AL15" s="109"/>
      <c r="AM15" s="110"/>
      <c r="AN15" s="109"/>
      <c r="AO15" s="109"/>
      <c r="AP15" s="110"/>
      <c r="AQ15" s="109"/>
      <c r="AR15" s="109"/>
      <c r="AS15" s="110"/>
      <c r="AT15" s="109"/>
      <c r="AU15" s="109"/>
      <c r="AV15" s="110"/>
      <c r="AW15" s="109"/>
      <c r="AX15" s="109"/>
      <c r="AY15" s="110"/>
      <c r="AZ15" s="109"/>
      <c r="BA15" s="109"/>
      <c r="BB15" s="110"/>
      <c r="BC15" s="109"/>
      <c r="BD15" s="109"/>
      <c r="BE15" s="110"/>
      <c r="BF15" s="109"/>
      <c r="BG15" s="109"/>
      <c r="BH15" s="110"/>
      <c r="BI15" s="109"/>
      <c r="BJ15" s="109"/>
      <c r="BK15" s="110"/>
      <c r="BL15" s="109"/>
      <c r="BM15" s="109"/>
      <c r="BN15" s="110"/>
      <c r="BO15" s="109"/>
      <c r="BP15" s="109"/>
      <c r="BQ15" s="110"/>
      <c r="BR15" s="109"/>
      <c r="BS15" s="109"/>
      <c r="BT15" s="110"/>
      <c r="BU15" s="109"/>
      <c r="BV15" s="109"/>
      <c r="BW15" s="110"/>
      <c r="BX15" s="109"/>
      <c r="BY15" s="109"/>
      <c r="BZ15" s="110"/>
      <c r="CA15" s="109"/>
      <c r="CB15" s="109"/>
      <c r="CC15" s="110"/>
      <c r="CD15" s="109"/>
      <c r="CE15" s="109"/>
      <c r="CF15" s="110"/>
      <c r="CG15" s="109"/>
      <c r="CH15" s="109"/>
      <c r="CI15" s="110"/>
      <c r="CJ15" s="109"/>
      <c r="CK15" s="109"/>
      <c r="CL15" s="110"/>
      <c r="CM15" s="109"/>
      <c r="CN15" s="109"/>
      <c r="CO15" s="110"/>
      <c r="CP15" s="109"/>
      <c r="CQ15" s="109"/>
      <c r="CR15" s="110"/>
      <c r="CS15" s="109"/>
      <c r="CT15" s="109"/>
      <c r="CU15" s="110"/>
      <c r="CV15" s="109"/>
      <c r="CW15" s="109"/>
      <c r="CX15" s="110"/>
      <c r="CY15" s="109"/>
      <c r="CZ15" s="109"/>
      <c r="DA15" s="110"/>
      <c r="DB15" s="109"/>
      <c r="DC15" s="109"/>
      <c r="DD15" s="110"/>
      <c r="DE15" s="109"/>
      <c r="DF15" s="109"/>
      <c r="DG15" s="110"/>
      <c r="DH15" s="109"/>
      <c r="DI15" s="109"/>
      <c r="DJ15" s="110"/>
      <c r="DK15" s="109"/>
      <c r="DL15" s="109"/>
      <c r="DM15" s="110"/>
      <c r="DN15" s="109"/>
      <c r="DO15" s="109"/>
      <c r="DP15" s="110"/>
      <c r="DQ15" s="109"/>
      <c r="DR15" s="109"/>
      <c r="DS15" s="110"/>
      <c r="DT15" s="109"/>
      <c r="DU15" s="109"/>
      <c r="DV15" s="110"/>
      <c r="DW15" s="109"/>
      <c r="DX15" s="109"/>
      <c r="DY15" s="110"/>
      <c r="DZ15" s="109"/>
      <c r="EA15" s="109"/>
      <c r="EB15" s="110"/>
      <c r="EC15" s="109"/>
      <c r="ED15" s="109"/>
      <c r="EE15" s="110"/>
      <c r="EF15" s="109"/>
      <c r="EG15" s="109"/>
      <c r="EH15" s="110"/>
      <c r="EI15" s="109"/>
      <c r="EJ15" s="109"/>
      <c r="EK15" s="110"/>
      <c r="EL15" s="109"/>
      <c r="EM15" s="109"/>
      <c r="EN15" s="110"/>
      <c r="EO15" s="109"/>
      <c r="EP15" s="109"/>
      <c r="EQ15" s="110"/>
      <c r="ER15" s="109"/>
      <c r="ES15" s="109"/>
      <c r="ET15" s="110"/>
      <c r="EU15" s="109"/>
      <c r="EV15" s="109"/>
      <c r="EW15" s="110"/>
    </row>
    <row r="16" spans="1:153" ht="15.4" customHeight="1">
      <c r="A16" s="10" t="s">
        <v>1179</v>
      </c>
      <c r="B16" s="85">
        <v>46224</v>
      </c>
      <c r="C16" s="85">
        <v>46237</v>
      </c>
      <c r="D16" s="109"/>
      <c r="E16" s="109"/>
      <c r="F16" s="110"/>
      <c r="G16" s="109"/>
      <c r="H16" s="109"/>
      <c r="I16" s="110"/>
      <c r="J16" s="109"/>
      <c r="K16" s="109"/>
      <c r="L16" s="110"/>
      <c r="M16" s="109"/>
      <c r="N16" s="109"/>
      <c r="O16" s="110"/>
      <c r="P16" s="109"/>
      <c r="Q16" s="109"/>
      <c r="R16" s="110"/>
      <c r="S16" s="109"/>
      <c r="T16" s="109"/>
      <c r="U16" s="110"/>
      <c r="V16" s="109"/>
      <c r="W16" s="109"/>
      <c r="X16" s="110"/>
      <c r="Y16" s="109"/>
      <c r="Z16" s="109"/>
      <c r="AA16" s="110"/>
      <c r="AB16" s="109"/>
      <c r="AC16" s="109"/>
      <c r="AD16" s="110"/>
      <c r="AE16" s="109"/>
      <c r="AF16" s="109"/>
      <c r="AG16" s="110"/>
      <c r="AH16" s="109"/>
      <c r="AI16" s="109"/>
      <c r="AJ16" s="110"/>
      <c r="AK16" s="109"/>
      <c r="AL16" s="109"/>
      <c r="AM16" s="110"/>
      <c r="AN16" s="109"/>
      <c r="AO16" s="109"/>
      <c r="AP16" s="110"/>
      <c r="AQ16" s="109"/>
      <c r="AR16" s="109"/>
      <c r="AS16" s="110"/>
      <c r="AT16" s="109"/>
      <c r="AU16" s="109"/>
      <c r="AV16" s="110"/>
      <c r="AW16" s="109"/>
      <c r="AX16" s="109"/>
      <c r="AY16" s="110"/>
      <c r="AZ16" s="109" t="s">
        <v>1180</v>
      </c>
      <c r="BA16" s="109"/>
      <c r="BB16" s="110"/>
      <c r="BC16" s="109"/>
      <c r="BD16" s="109"/>
      <c r="BE16" s="110"/>
      <c r="BF16" s="109"/>
      <c r="BG16" s="109"/>
      <c r="BH16" s="110"/>
      <c r="BI16" s="109"/>
      <c r="BJ16" s="109"/>
      <c r="BK16" s="110"/>
      <c r="BL16" s="109"/>
      <c r="BM16" s="109"/>
      <c r="BN16" s="110"/>
      <c r="BO16" s="109"/>
      <c r="BP16" s="109"/>
      <c r="BQ16" s="110"/>
      <c r="BR16" s="109"/>
      <c r="BS16" s="109"/>
      <c r="BT16" s="110"/>
      <c r="BU16" s="109"/>
      <c r="BV16" s="109"/>
      <c r="BW16" s="110"/>
      <c r="BX16" s="109"/>
      <c r="BY16" s="109"/>
      <c r="BZ16" s="110"/>
      <c r="CA16" s="109"/>
      <c r="CB16" s="109"/>
      <c r="CC16" s="110"/>
      <c r="CD16" s="109"/>
      <c r="CE16" s="109"/>
      <c r="CF16" s="110"/>
      <c r="CG16" s="109"/>
      <c r="CH16" s="109"/>
      <c r="CI16" s="110"/>
      <c r="CJ16" s="109"/>
      <c r="CK16" s="109"/>
      <c r="CL16" s="110"/>
      <c r="CM16" s="109"/>
      <c r="CN16" s="109"/>
      <c r="CO16" s="110"/>
      <c r="CP16" s="109"/>
      <c r="CQ16" s="109"/>
      <c r="CR16" s="110"/>
      <c r="CS16" s="109"/>
      <c r="CT16" s="109"/>
      <c r="CU16" s="110"/>
      <c r="CV16" s="109"/>
      <c r="CW16" s="109"/>
      <c r="CX16" s="110"/>
      <c r="CY16" s="109"/>
      <c r="CZ16" s="109"/>
      <c r="DA16" s="110"/>
      <c r="DB16" s="109"/>
      <c r="DC16" s="109"/>
      <c r="DD16" s="110"/>
      <c r="DE16" s="109"/>
      <c r="DF16" s="109"/>
      <c r="DG16" s="110"/>
      <c r="DH16" s="109"/>
      <c r="DI16" s="109"/>
      <c r="DJ16" s="110"/>
      <c r="DK16" s="109"/>
      <c r="DL16" s="109"/>
      <c r="DM16" s="110"/>
      <c r="DN16" s="109"/>
      <c r="DO16" s="109"/>
      <c r="DP16" s="110"/>
      <c r="DQ16" s="109"/>
      <c r="DR16" s="109"/>
      <c r="DS16" s="110"/>
      <c r="DT16" s="109"/>
      <c r="DU16" s="109"/>
      <c r="DV16" s="110"/>
      <c r="DW16" s="109"/>
      <c r="DX16" s="109"/>
      <c r="DY16" s="110"/>
      <c r="DZ16" s="109"/>
      <c r="EA16" s="109"/>
      <c r="EB16" s="110"/>
      <c r="EC16" s="109"/>
      <c r="ED16" s="109"/>
      <c r="EE16" s="110"/>
      <c r="EF16" s="109"/>
      <c r="EG16" s="109"/>
      <c r="EH16" s="110"/>
      <c r="EI16" s="109"/>
      <c r="EJ16" s="109"/>
      <c r="EK16" s="110"/>
      <c r="EL16" s="109"/>
      <c r="EM16" s="109"/>
      <c r="EN16" s="110"/>
      <c r="EO16" s="109"/>
      <c r="EP16" s="109"/>
      <c r="EQ16" s="110"/>
      <c r="ER16" s="109"/>
      <c r="ES16" s="109"/>
      <c r="ET16" s="110"/>
      <c r="EU16" s="109"/>
      <c r="EV16" s="109"/>
      <c r="EW16" s="110"/>
    </row>
    <row r="17" spans="1:153" ht="15.4" customHeight="1">
      <c r="A17" s="10" t="s">
        <v>1181</v>
      </c>
      <c r="B17" s="85">
        <v>46239</v>
      </c>
      <c r="C17" s="85">
        <v>46239</v>
      </c>
      <c r="D17" s="109"/>
      <c r="E17" s="109"/>
      <c r="F17" s="110"/>
      <c r="G17" s="109"/>
      <c r="H17" s="109"/>
      <c r="I17" s="110"/>
      <c r="J17" s="109"/>
      <c r="K17" s="109"/>
      <c r="L17" s="110"/>
      <c r="M17" s="109"/>
      <c r="N17" s="109"/>
      <c r="O17" s="110"/>
      <c r="P17" s="109"/>
      <c r="Q17" s="109"/>
      <c r="R17" s="110"/>
      <c r="S17" s="109"/>
      <c r="T17" s="109"/>
      <c r="U17" s="110"/>
      <c r="V17" s="109"/>
      <c r="W17" s="109"/>
      <c r="X17" s="110"/>
      <c r="Y17" s="109"/>
      <c r="Z17" s="109"/>
      <c r="AA17" s="110"/>
      <c r="AB17" s="109"/>
      <c r="AC17" s="109"/>
      <c r="AD17" s="110"/>
      <c r="AE17" s="109"/>
      <c r="AF17" s="109"/>
      <c r="AG17" s="110"/>
      <c r="AH17" s="109"/>
      <c r="AI17" s="109"/>
      <c r="AJ17" s="110"/>
      <c r="AK17" s="109"/>
      <c r="AL17" s="109"/>
      <c r="AM17" s="110"/>
      <c r="AN17" s="109"/>
      <c r="AO17" s="109"/>
      <c r="AP17" s="110"/>
      <c r="AQ17" s="109"/>
      <c r="AR17" s="109"/>
      <c r="AS17" s="110"/>
      <c r="AT17" s="109"/>
      <c r="AU17" s="109"/>
      <c r="AV17" s="110"/>
      <c r="AW17" s="109"/>
      <c r="AX17" s="109"/>
      <c r="AY17" s="110"/>
      <c r="AZ17" s="109"/>
      <c r="BA17" s="109"/>
      <c r="BB17" s="110"/>
      <c r="BC17" s="109"/>
      <c r="BD17" s="109"/>
      <c r="BE17" s="110"/>
      <c r="BF17" s="202" t="s">
        <v>1182</v>
      </c>
      <c r="BG17" s="203"/>
      <c r="BH17" s="110"/>
      <c r="BI17" s="109"/>
      <c r="BJ17" s="109"/>
      <c r="BK17" s="110"/>
      <c r="BL17" s="109"/>
      <c r="BM17" s="109"/>
      <c r="BN17" s="110"/>
      <c r="BO17" s="109"/>
      <c r="BP17" s="109"/>
      <c r="BQ17" s="110"/>
      <c r="BR17" s="109"/>
      <c r="BS17" s="109"/>
      <c r="BT17" s="110"/>
      <c r="BU17" s="109"/>
      <c r="BV17" s="109"/>
      <c r="BW17" s="110"/>
      <c r="BX17" s="109"/>
      <c r="BY17" s="109"/>
      <c r="BZ17" s="110"/>
      <c r="CA17" s="109"/>
      <c r="CB17" s="109"/>
      <c r="CC17" s="110"/>
      <c r="CD17" s="109"/>
      <c r="CE17" s="109"/>
      <c r="CF17" s="110"/>
      <c r="CG17" s="109"/>
      <c r="CH17" s="109"/>
      <c r="CI17" s="110"/>
      <c r="CJ17" s="109"/>
      <c r="CK17" s="109"/>
      <c r="CL17" s="110"/>
      <c r="CM17" s="109"/>
      <c r="CN17" s="109"/>
      <c r="CO17" s="110"/>
      <c r="CP17" s="109"/>
      <c r="CQ17" s="109"/>
      <c r="CR17" s="110"/>
      <c r="CS17" s="109"/>
      <c r="CT17" s="109"/>
      <c r="CU17" s="110"/>
      <c r="CV17" s="109"/>
      <c r="CW17" s="109"/>
      <c r="CX17" s="110"/>
      <c r="CY17" s="109"/>
      <c r="CZ17" s="109"/>
      <c r="DA17" s="110"/>
      <c r="DB17" s="109"/>
      <c r="DC17" s="109"/>
      <c r="DD17" s="110"/>
      <c r="DE17" s="109"/>
      <c r="DF17" s="109"/>
      <c r="DG17" s="110"/>
      <c r="DH17" s="109"/>
      <c r="DI17" s="109"/>
      <c r="DJ17" s="110"/>
      <c r="DK17" s="109"/>
      <c r="DL17" s="109"/>
      <c r="DM17" s="110"/>
      <c r="DN17" s="109"/>
      <c r="DO17" s="109"/>
      <c r="DP17" s="110"/>
      <c r="DQ17" s="109"/>
      <c r="DR17" s="109"/>
      <c r="DS17" s="110"/>
      <c r="DT17" s="109"/>
      <c r="DU17" s="109"/>
      <c r="DV17" s="110"/>
      <c r="DW17" s="109"/>
      <c r="DX17" s="109"/>
      <c r="DY17" s="110"/>
      <c r="DZ17" s="109"/>
      <c r="EA17" s="109"/>
      <c r="EB17" s="110"/>
      <c r="EC17" s="109"/>
      <c r="ED17" s="109"/>
      <c r="EE17" s="110"/>
      <c r="EF17" s="109"/>
      <c r="EG17" s="109"/>
      <c r="EH17" s="110"/>
      <c r="EI17" s="109"/>
      <c r="EJ17" s="109"/>
      <c r="EK17" s="110"/>
      <c r="EL17" s="109"/>
      <c r="EM17" s="109"/>
      <c r="EN17" s="110"/>
      <c r="EO17" s="109"/>
      <c r="EP17" s="109"/>
      <c r="EQ17" s="110"/>
      <c r="ER17" s="109"/>
      <c r="ES17" s="109"/>
      <c r="ET17" s="110"/>
      <c r="EU17" s="109"/>
      <c r="EV17" s="109"/>
      <c r="EW17" s="110"/>
    </row>
    <row r="18" spans="1:153" ht="15.4" customHeight="1">
      <c r="A18" s="10" t="s">
        <v>1183</v>
      </c>
      <c r="B18" s="85">
        <v>46229</v>
      </c>
      <c r="C18" s="85">
        <v>46236</v>
      </c>
      <c r="D18" s="109"/>
      <c r="E18" s="109"/>
      <c r="F18" s="110"/>
      <c r="G18" s="109"/>
      <c r="H18" s="109"/>
      <c r="I18" s="110"/>
      <c r="J18" s="109"/>
      <c r="K18" s="109"/>
      <c r="L18" s="110"/>
      <c r="M18" s="109"/>
      <c r="N18" s="109"/>
      <c r="O18" s="110"/>
      <c r="P18" s="109"/>
      <c r="Q18" s="109"/>
      <c r="R18" s="110"/>
      <c r="S18" s="109"/>
      <c r="T18" s="109"/>
      <c r="U18" s="110"/>
      <c r="V18" s="109"/>
      <c r="W18" s="109"/>
      <c r="X18" s="110"/>
      <c r="Y18" s="109"/>
      <c r="Z18" s="109"/>
      <c r="AA18" s="110"/>
      <c r="AB18" s="109"/>
      <c r="AC18" s="109"/>
      <c r="AD18" s="110"/>
      <c r="AE18" s="109"/>
      <c r="AF18" s="109"/>
      <c r="AG18" s="110"/>
      <c r="AH18" s="109"/>
      <c r="AI18" s="109"/>
      <c r="AJ18" s="110"/>
      <c r="AK18" s="109"/>
      <c r="AL18" s="109"/>
      <c r="AM18" s="110"/>
      <c r="AN18" s="109"/>
      <c r="AO18" s="109"/>
      <c r="AP18" s="110"/>
      <c r="AQ18" s="109"/>
      <c r="AR18" s="109"/>
      <c r="AS18" s="110"/>
      <c r="AT18" s="109"/>
      <c r="AU18" s="109"/>
      <c r="AV18" s="110"/>
      <c r="AW18" s="109" t="s">
        <v>1184</v>
      </c>
      <c r="AX18" s="109"/>
      <c r="AY18" s="110"/>
      <c r="AZ18" s="109"/>
      <c r="BA18" s="109"/>
      <c r="BB18" s="110"/>
      <c r="BC18" s="109"/>
      <c r="BD18" s="109"/>
      <c r="BE18" s="110"/>
      <c r="BF18" s="109"/>
      <c r="BG18" s="109"/>
      <c r="BH18" s="110"/>
      <c r="BI18" s="109"/>
      <c r="BJ18" s="109"/>
      <c r="BK18" s="110"/>
      <c r="BL18" s="109"/>
      <c r="BM18" s="109"/>
      <c r="BN18" s="110"/>
      <c r="BO18" s="109"/>
      <c r="BP18" s="109"/>
      <c r="BQ18" s="110"/>
      <c r="BR18" s="109"/>
      <c r="BS18" s="109"/>
      <c r="BT18" s="110"/>
      <c r="BU18" s="109"/>
      <c r="BV18" s="109"/>
      <c r="BW18" s="110"/>
      <c r="BX18" s="109"/>
      <c r="BY18" s="109"/>
      <c r="BZ18" s="110"/>
      <c r="CA18" s="109"/>
      <c r="CB18" s="109"/>
      <c r="CC18" s="110"/>
      <c r="CD18" s="109"/>
      <c r="CE18" s="109"/>
      <c r="CF18" s="110"/>
      <c r="CG18" s="109"/>
      <c r="CH18" s="109"/>
      <c r="CI18" s="110"/>
      <c r="CJ18" s="109"/>
      <c r="CK18" s="109"/>
      <c r="CL18" s="110"/>
      <c r="CM18" s="109"/>
      <c r="CN18" s="109"/>
      <c r="CO18" s="110"/>
      <c r="CP18" s="109"/>
      <c r="CQ18" s="109"/>
      <c r="CR18" s="110"/>
      <c r="CS18" s="109"/>
      <c r="CT18" s="109"/>
      <c r="CU18" s="110"/>
      <c r="CV18" s="109"/>
      <c r="CW18" s="109"/>
      <c r="CX18" s="110"/>
      <c r="CY18" s="109"/>
      <c r="CZ18" s="109"/>
      <c r="DA18" s="110"/>
      <c r="DB18" s="109"/>
      <c r="DC18" s="109"/>
      <c r="DD18" s="110"/>
      <c r="DE18" s="109"/>
      <c r="DF18" s="109"/>
      <c r="DG18" s="110"/>
      <c r="DH18" s="109"/>
      <c r="DI18" s="109"/>
      <c r="DJ18" s="110"/>
      <c r="DK18" s="109"/>
      <c r="DL18" s="109"/>
      <c r="DM18" s="110"/>
      <c r="DN18" s="109"/>
      <c r="DO18" s="109"/>
      <c r="DP18" s="110"/>
      <c r="DQ18" s="109"/>
      <c r="DR18" s="109"/>
      <c r="DS18" s="110"/>
      <c r="DT18" s="109"/>
      <c r="DU18" s="109"/>
      <c r="DV18" s="110"/>
      <c r="DW18" s="109"/>
      <c r="DX18" s="109"/>
      <c r="DY18" s="110"/>
      <c r="DZ18" s="109"/>
      <c r="EA18" s="109"/>
      <c r="EB18" s="110"/>
      <c r="EC18" s="109"/>
      <c r="ED18" s="109"/>
      <c r="EE18" s="110"/>
      <c r="EF18" s="109"/>
      <c r="EG18" s="109"/>
      <c r="EH18" s="110"/>
      <c r="EI18" s="109"/>
      <c r="EJ18" s="109"/>
      <c r="EK18" s="110"/>
      <c r="EL18" s="109"/>
      <c r="EM18" s="109"/>
      <c r="EN18" s="110"/>
      <c r="EO18" s="109"/>
      <c r="EP18" s="109"/>
      <c r="EQ18" s="110"/>
      <c r="ER18" s="109"/>
      <c r="ES18" s="109"/>
      <c r="ET18" s="110"/>
      <c r="EU18" s="109"/>
      <c r="EV18" s="109"/>
      <c r="EW18" s="110"/>
    </row>
    <row r="19" spans="1:153" ht="15.4" customHeight="1">
      <c r="A19" s="48" t="s">
        <v>1185</v>
      </c>
      <c r="B19" s="208">
        <v>46238</v>
      </c>
      <c r="C19" s="226"/>
      <c r="D19" s="111" t="str">
        <f>IF((DASHBOARD!$M$1+INT((COLUMN()-4)/3))=INT($B$19),"◆ "&amp;TEXT($B$19,"D-MMM"),"")</f>
        <v/>
      </c>
      <c r="E19" s="109"/>
      <c r="F19" s="110"/>
      <c r="G19" s="111" t="str">
        <f>IF((DASHBOARD!$M$1+INT((COLUMN()-4)/3))=INT($B$19),"◆ "&amp;TEXT($B$19,"D-MMM"),"")</f>
        <v/>
      </c>
      <c r="H19" s="109"/>
      <c r="I19" s="110"/>
      <c r="J19" s="111" t="str">
        <f>IF((DASHBOARD!$M$1+INT((COLUMN()-4)/3))=INT($B$19),"◆ "&amp;TEXT($B$19,"D-MMM"),"")</f>
        <v/>
      </c>
      <c r="K19" s="109"/>
      <c r="L19" s="110"/>
      <c r="M19" s="111" t="str">
        <f>IF((DASHBOARD!$M$1+INT((COLUMN()-4)/3))=INT($B$19),"◆ "&amp;TEXT($B$19,"D-MMM"),"")</f>
        <v/>
      </c>
      <c r="N19" s="109"/>
      <c r="O19" s="110"/>
      <c r="P19" s="111" t="str">
        <f>IF((DASHBOARD!$M$1+INT((COLUMN()-4)/3))=INT($B$19),"◆ "&amp;TEXT($B$19,"D-MMM"),"")</f>
        <v/>
      </c>
      <c r="Q19" s="109"/>
      <c r="R19" s="110"/>
      <c r="S19" s="111" t="str">
        <f>IF((DASHBOARD!$M$1+INT((COLUMN()-4)/3))=INT($B$19),"◆ "&amp;TEXT($B$19,"D-MMM"),"")</f>
        <v/>
      </c>
      <c r="T19" s="109"/>
      <c r="U19" s="110"/>
      <c r="V19" s="111" t="str">
        <f>IF((DASHBOARD!$M$1+INT((COLUMN()-4)/3))=INT($B$19),"◆ "&amp;TEXT($B$19,"D-MMM"),"")</f>
        <v/>
      </c>
      <c r="W19" s="109"/>
      <c r="X19" s="110"/>
      <c r="Y19" s="111" t="str">
        <f>IF((DASHBOARD!$M$1+INT((COLUMN()-4)/3))=INT($B$19),"◆ "&amp;TEXT($B$19,"D-MMM"),"")</f>
        <v/>
      </c>
      <c r="Z19" s="109"/>
      <c r="AA19" s="110"/>
      <c r="AB19" s="111" t="str">
        <f>IF((DASHBOARD!$M$1+INT((COLUMN()-4)/3))=INT($B$19),"◆ "&amp;TEXT($B$19,"D-MMM"),"")</f>
        <v/>
      </c>
      <c r="AC19" s="109"/>
      <c r="AD19" s="110"/>
      <c r="AE19" s="111" t="str">
        <f>IF((DASHBOARD!$M$1+INT((COLUMN()-4)/3))=INT($B$19),"◆ "&amp;TEXT($B$19,"D-MMM"),"")</f>
        <v/>
      </c>
      <c r="AF19" s="109"/>
      <c r="AG19" s="110"/>
      <c r="AH19" s="111" t="str">
        <f>IF((DASHBOARD!$M$1+INT((COLUMN()-4)/3))=INT($B$19),"◆ "&amp;TEXT($B$19,"D-MMM"),"")</f>
        <v/>
      </c>
      <c r="AI19" s="109"/>
      <c r="AJ19" s="110"/>
      <c r="AK19" s="111" t="str">
        <f>IF((DASHBOARD!$M$1+INT((COLUMN()-4)/3))=INT($B$19),"◆ "&amp;TEXT($B$19,"D-MMM"),"")</f>
        <v/>
      </c>
      <c r="AL19" s="109"/>
      <c r="AM19" s="110"/>
      <c r="AN19" s="111" t="str">
        <f>IF((DASHBOARD!$M$1+INT((COLUMN()-4)/3))=INT($B$19),"◆ "&amp;TEXT($B$19,"D-MMM"),"")</f>
        <v/>
      </c>
      <c r="AO19" s="109"/>
      <c r="AP19" s="110"/>
      <c r="AQ19" s="111" t="str">
        <f>IF((DASHBOARD!$M$1+INT((COLUMN()-4)/3))=INT($B$19),"◆ "&amp;TEXT($B$19,"D-MMM"),"")</f>
        <v/>
      </c>
      <c r="AR19" s="109"/>
      <c r="AS19" s="110"/>
      <c r="AT19" s="111" t="str">
        <f>IF((DASHBOARD!$M$1+INT((COLUMN()-4)/3))=INT($B$19),"◆ "&amp;TEXT($B$19,"D-MMM"),"")</f>
        <v/>
      </c>
      <c r="AU19" s="109"/>
      <c r="AV19" s="110"/>
      <c r="AW19" s="111" t="str">
        <f>IF((DASHBOARD!$M$1+INT((COLUMN()-4)/3))=INT($B$19),"◆ "&amp;TEXT($B$19,"D-MMM"),"")</f>
        <v/>
      </c>
      <c r="AX19" s="109"/>
      <c r="AY19" s="110"/>
      <c r="AZ19" s="111" t="str">
        <f>IF((DASHBOARD!$M$1+INT((COLUMN()-4)/3))=INT($B$19),"◆ "&amp;TEXT($B$19,"D-MMM"),"")</f>
        <v/>
      </c>
      <c r="BA19" s="109"/>
      <c r="BB19" s="110"/>
      <c r="BC19" s="111" t="str">
        <f>IF((DASHBOARD!$M$1+INT((COLUMN()-4)/3))=INT($B$19),"◆ "&amp;TEXT($B$19,"D-MMM"),"")</f>
        <v>◆ 4-Aug</v>
      </c>
      <c r="BD19" s="109"/>
      <c r="BE19" s="110"/>
      <c r="BF19" s="111" t="str">
        <f>IF((DASHBOARD!$M$1+INT((COLUMN()-4)/3))=INT($B$19),"◆ "&amp;TEXT($B$19,"D-MMM"),"")</f>
        <v/>
      </c>
      <c r="BG19" s="109"/>
      <c r="BH19" s="110"/>
      <c r="BI19" s="111" t="str">
        <f>IF((DASHBOARD!$M$1+INT((COLUMN()-4)/3))=INT($B$19),"◆ "&amp;TEXT($B$19,"D-MMM"),"")</f>
        <v/>
      </c>
      <c r="BJ19" s="109"/>
      <c r="BK19" s="110"/>
      <c r="BL19" s="111" t="str">
        <f>IF((DASHBOARD!$M$1+INT((COLUMN()-4)/3))=INT($B$19),"◆ "&amp;TEXT($B$19,"D-MMM"),"")</f>
        <v/>
      </c>
      <c r="BM19" s="109"/>
      <c r="BN19" s="110"/>
      <c r="BO19" s="111" t="str">
        <f>IF((DASHBOARD!$M$1+INT((COLUMN()-4)/3))=INT($B$19),"◆ "&amp;TEXT($B$19,"D-MMM"),"")</f>
        <v/>
      </c>
      <c r="BP19" s="109"/>
      <c r="BQ19" s="110"/>
      <c r="BR19" s="111" t="str">
        <f>IF((DASHBOARD!$M$1+INT((COLUMN()-4)/3))=INT($B$19),"◆ "&amp;TEXT($B$19,"D-MMM"),"")</f>
        <v/>
      </c>
      <c r="BS19" s="109"/>
      <c r="BT19" s="110"/>
      <c r="BU19" s="111" t="str">
        <f>IF((DASHBOARD!$M$1+INT((COLUMN()-4)/3))=INT($B$19),"◆ "&amp;TEXT($B$19,"D-MMM"),"")</f>
        <v/>
      </c>
      <c r="BV19" s="109"/>
      <c r="BW19" s="110"/>
      <c r="BX19" s="111" t="str">
        <f>IF((DASHBOARD!$M$1+INT((COLUMN()-4)/3))=INT($B$19),"◆ "&amp;TEXT($B$19,"D-MMM"),"")</f>
        <v/>
      </c>
      <c r="BY19" s="109"/>
      <c r="BZ19" s="110"/>
      <c r="CA19" s="111" t="str">
        <f>IF((DASHBOARD!$M$1+INT((COLUMN()-4)/3))=INT($B$19),"◆ "&amp;TEXT($B$19,"D-MMM"),"")</f>
        <v/>
      </c>
      <c r="CB19" s="109"/>
      <c r="CC19" s="110"/>
      <c r="CD19" s="111" t="str">
        <f>IF((DASHBOARD!$M$1+INT((COLUMN()-4)/3))=INT($B$19),"◆ "&amp;TEXT($B$19,"D-MMM"),"")</f>
        <v/>
      </c>
      <c r="CE19" s="109"/>
      <c r="CF19" s="110"/>
      <c r="CG19" s="111" t="str">
        <f>IF((DASHBOARD!$M$1+INT((COLUMN()-4)/3))=INT($B$19),"◆ "&amp;TEXT($B$19,"D-MMM"),"")</f>
        <v/>
      </c>
      <c r="CH19" s="109"/>
      <c r="CI19" s="110"/>
      <c r="CJ19" s="111" t="str">
        <f>IF((DASHBOARD!$M$1+INT((COLUMN()-4)/3))=INT($B$19),"◆ "&amp;TEXT($B$19,"D-MMM"),"")</f>
        <v/>
      </c>
      <c r="CK19" s="109"/>
      <c r="CL19" s="110"/>
      <c r="CM19" s="111" t="str">
        <f>IF((DASHBOARD!$M$1+INT((COLUMN()-4)/3))=INT($B$19),"◆ "&amp;TEXT($B$19,"D-MMM"),"")</f>
        <v/>
      </c>
      <c r="CN19" s="109"/>
      <c r="CO19" s="110"/>
      <c r="CP19" s="111" t="str">
        <f>IF((DASHBOARD!$M$1+INT((COLUMN()-4)/3))=INT($B$19),"◆ "&amp;TEXT($B$19,"D-MMM"),"")</f>
        <v/>
      </c>
      <c r="CQ19" s="109"/>
      <c r="CR19" s="110"/>
      <c r="CS19" s="111" t="str">
        <f>IF((DASHBOARD!$M$1+INT((COLUMN()-4)/3))=INT($B$19),"◆ "&amp;TEXT($B$19,"D-MMM"),"")</f>
        <v/>
      </c>
      <c r="CT19" s="109"/>
      <c r="CU19" s="110"/>
      <c r="CV19" s="111" t="str">
        <f>IF((DASHBOARD!$M$1+INT((COLUMN()-4)/3))=INT($B$19),"◆ "&amp;TEXT($B$19,"D-MMM"),"")</f>
        <v/>
      </c>
      <c r="CW19" s="109"/>
      <c r="CX19" s="110"/>
      <c r="CY19" s="111" t="str">
        <f>IF((DASHBOARD!$M$1+INT((COLUMN()-4)/3))=INT($B$19),"◆ "&amp;TEXT($B$19,"D-MMM"),"")</f>
        <v/>
      </c>
      <c r="CZ19" s="109"/>
      <c r="DA19" s="110"/>
      <c r="DB19" s="111" t="str">
        <f>IF((DASHBOARD!$M$1+INT((COLUMN()-4)/3))=INT($B$19),"◆ "&amp;TEXT($B$19,"D-MMM"),"")</f>
        <v/>
      </c>
      <c r="DC19" s="109"/>
      <c r="DD19" s="110"/>
      <c r="DE19" s="111" t="str">
        <f>IF((DASHBOARD!$M$1+INT((COLUMN()-4)/3))=INT($B$19),"◆ "&amp;TEXT($B$19,"D-MMM"),"")</f>
        <v/>
      </c>
      <c r="DF19" s="109"/>
      <c r="DG19" s="110"/>
      <c r="DH19" s="111" t="str">
        <f>IF((DASHBOARD!$M$1+INT((COLUMN()-4)/3))=INT($B$19),"◆ "&amp;TEXT($B$19,"D-MMM"),"")</f>
        <v/>
      </c>
      <c r="DI19" s="109"/>
      <c r="DJ19" s="110"/>
      <c r="DK19" s="111" t="str">
        <f>IF((DASHBOARD!$M$1+INT((COLUMN()-4)/3))=INT($B$19),"◆ "&amp;TEXT($B$19,"D-MMM"),"")</f>
        <v/>
      </c>
      <c r="DL19" s="109"/>
      <c r="DM19" s="110"/>
      <c r="DN19" s="111" t="str">
        <f>IF((DASHBOARD!$M$1+INT((COLUMN()-4)/3))=INT($B$19),"◆ "&amp;TEXT($B$19,"D-MMM"),"")</f>
        <v/>
      </c>
      <c r="DO19" s="109"/>
      <c r="DP19" s="110"/>
      <c r="DQ19" s="111" t="str">
        <f>IF((DASHBOARD!$M$1+INT((COLUMN()-4)/3))=INT($B$19),"◆ "&amp;TEXT($B$19,"D-MMM"),"")</f>
        <v/>
      </c>
      <c r="DR19" s="109"/>
      <c r="DS19" s="110"/>
      <c r="DT19" s="111" t="str">
        <f>IF((DASHBOARD!$M$1+INT((COLUMN()-4)/3))=INT($B$19),"◆ "&amp;TEXT($B$19,"D-MMM"),"")</f>
        <v/>
      </c>
      <c r="DU19" s="109"/>
      <c r="DV19" s="110"/>
      <c r="DW19" s="111" t="str">
        <f>IF((DASHBOARD!$M$1+INT((COLUMN()-4)/3))=INT($B$19),"◆ "&amp;TEXT($B$19,"D-MMM"),"")</f>
        <v/>
      </c>
      <c r="DX19" s="109"/>
      <c r="DY19" s="110"/>
      <c r="DZ19" s="111" t="str">
        <f>IF((DASHBOARD!$M$1+INT((COLUMN()-4)/3))=INT($B$19),"◆ "&amp;TEXT($B$19,"D-MMM"),"")</f>
        <v/>
      </c>
      <c r="EA19" s="109"/>
      <c r="EB19" s="110"/>
      <c r="EC19" s="111" t="str">
        <f>IF((DASHBOARD!$M$1+INT((COLUMN()-4)/3))=INT($B$19),"◆ "&amp;TEXT($B$19,"D-MMM"),"")</f>
        <v/>
      </c>
      <c r="ED19" s="109"/>
      <c r="EE19" s="110"/>
      <c r="EF19" s="111" t="str">
        <f>IF((DASHBOARD!$M$1+INT((COLUMN()-4)/3))=INT($B$19),"◆ "&amp;TEXT($B$19,"D-MMM"),"")</f>
        <v/>
      </c>
      <c r="EG19" s="109"/>
      <c r="EH19" s="110"/>
      <c r="EI19" s="111" t="str">
        <f>IF((DASHBOARD!$M$1+INT((COLUMN()-4)/3))=INT($B$19),"◆ "&amp;TEXT($B$19,"D-MMM"),"")</f>
        <v/>
      </c>
      <c r="EJ19" s="109"/>
      <c r="EK19" s="110"/>
      <c r="EL19" s="111" t="str">
        <f>IF((DASHBOARD!$M$1+INT((COLUMN()-4)/3))=INT($B$19),"◆ "&amp;TEXT($B$19,"D-MMM"),"")</f>
        <v/>
      </c>
      <c r="EM19" s="109"/>
      <c r="EN19" s="110"/>
      <c r="EO19" s="111" t="str">
        <f>IF((DASHBOARD!$M$1+INT((COLUMN()-4)/3))=INT($B$19),"◆ "&amp;TEXT($B$19,"D-MMM"),"")</f>
        <v/>
      </c>
      <c r="EP19" s="109"/>
      <c r="EQ19" s="110"/>
      <c r="ER19" s="111" t="str">
        <f>IF((DASHBOARD!$M$1+INT((COLUMN()-4)/3))=INT($B$19),"◆ "&amp;TEXT($B$19,"D-MMM"),"")</f>
        <v/>
      </c>
      <c r="ES19" s="109"/>
      <c r="ET19" s="110"/>
      <c r="EU19" s="111" t="str">
        <f>IF((DASHBOARD!$M$1+INT((COLUMN()-4)/3))=INT($B$19),"◆ "&amp;TEXT($B$19,"D-MMM"),"")</f>
        <v/>
      </c>
      <c r="EV19" s="109"/>
      <c r="EW19" s="110"/>
    </row>
    <row r="20" spans="1:153" ht="15.4" customHeight="1">
      <c r="A20" s="195" t="s">
        <v>1186</v>
      </c>
      <c r="B20" s="225"/>
      <c r="C20" s="226"/>
      <c r="D20" s="109"/>
      <c r="E20" s="109"/>
      <c r="F20" s="110"/>
      <c r="G20" s="109"/>
      <c r="H20" s="109"/>
      <c r="I20" s="110"/>
      <c r="J20" s="109"/>
      <c r="K20" s="109"/>
      <c r="L20" s="110"/>
      <c r="M20" s="109"/>
      <c r="N20" s="109"/>
      <c r="O20" s="110"/>
      <c r="P20" s="109"/>
      <c r="Q20" s="109"/>
      <c r="R20" s="110"/>
      <c r="S20" s="109"/>
      <c r="T20" s="109"/>
      <c r="U20" s="110"/>
      <c r="V20" s="109"/>
      <c r="W20" s="109"/>
      <c r="X20" s="110"/>
      <c r="Y20" s="109"/>
      <c r="Z20" s="109"/>
      <c r="AA20" s="110"/>
      <c r="AB20" s="109"/>
      <c r="AC20" s="109"/>
      <c r="AD20" s="110"/>
      <c r="AE20" s="109"/>
      <c r="AF20" s="109"/>
      <c r="AG20" s="110"/>
      <c r="AH20" s="109"/>
      <c r="AI20" s="109"/>
      <c r="AJ20" s="110"/>
      <c r="AK20" s="109"/>
      <c r="AL20" s="109"/>
      <c r="AM20" s="110"/>
      <c r="AN20" s="109"/>
      <c r="AO20" s="109"/>
      <c r="AP20" s="110"/>
      <c r="AQ20" s="109"/>
      <c r="AR20" s="109"/>
      <c r="AS20" s="110"/>
      <c r="AT20" s="109"/>
      <c r="AU20" s="109"/>
      <c r="AV20" s="110"/>
      <c r="AW20" s="109"/>
      <c r="AX20" s="109"/>
      <c r="AY20" s="110"/>
      <c r="AZ20" s="109"/>
      <c r="BA20" s="109"/>
      <c r="BB20" s="110"/>
      <c r="BC20" s="109"/>
      <c r="BD20" s="109"/>
      <c r="BE20" s="110"/>
      <c r="BF20" s="109"/>
      <c r="BG20" s="109"/>
      <c r="BH20" s="110"/>
      <c r="BI20" s="109"/>
      <c r="BJ20" s="109"/>
      <c r="BK20" s="110"/>
      <c r="BL20" s="109"/>
      <c r="BM20" s="109"/>
      <c r="BN20" s="110"/>
      <c r="BO20" s="109"/>
      <c r="BP20" s="109"/>
      <c r="BQ20" s="110"/>
      <c r="BR20" s="109"/>
      <c r="BS20" s="109"/>
      <c r="BT20" s="110"/>
      <c r="BU20" s="109"/>
      <c r="BV20" s="109"/>
      <c r="BW20" s="110"/>
      <c r="BX20" s="109"/>
      <c r="BY20" s="109"/>
      <c r="BZ20" s="110"/>
      <c r="CA20" s="109"/>
      <c r="CB20" s="109"/>
      <c r="CC20" s="110"/>
      <c r="CD20" s="109"/>
      <c r="CE20" s="109"/>
      <c r="CF20" s="110"/>
      <c r="CG20" s="109"/>
      <c r="CH20" s="109"/>
      <c r="CI20" s="110"/>
      <c r="CJ20" s="109"/>
      <c r="CK20" s="109"/>
      <c r="CL20" s="110"/>
      <c r="CM20" s="109"/>
      <c r="CN20" s="109"/>
      <c r="CO20" s="110"/>
      <c r="CP20" s="109"/>
      <c r="CQ20" s="109"/>
      <c r="CR20" s="110"/>
      <c r="CS20" s="109"/>
      <c r="CT20" s="109"/>
      <c r="CU20" s="110"/>
      <c r="CV20" s="109"/>
      <c r="CW20" s="109"/>
      <c r="CX20" s="110"/>
      <c r="CY20" s="109"/>
      <c r="CZ20" s="109"/>
      <c r="DA20" s="110"/>
      <c r="DB20" s="109"/>
      <c r="DC20" s="109"/>
      <c r="DD20" s="110"/>
      <c r="DE20" s="109"/>
      <c r="DF20" s="109"/>
      <c r="DG20" s="110"/>
      <c r="DH20" s="109"/>
      <c r="DI20" s="109"/>
      <c r="DJ20" s="110"/>
      <c r="DK20" s="109"/>
      <c r="DL20" s="109"/>
      <c r="DM20" s="110"/>
      <c r="DN20" s="109"/>
      <c r="DO20" s="109"/>
      <c r="DP20" s="110"/>
      <c r="DQ20" s="109"/>
      <c r="DR20" s="109"/>
      <c r="DS20" s="110"/>
      <c r="DT20" s="109"/>
      <c r="DU20" s="109"/>
      <c r="DV20" s="110"/>
      <c r="DW20" s="109"/>
      <c r="DX20" s="109"/>
      <c r="DY20" s="110"/>
      <c r="DZ20" s="109"/>
      <c r="EA20" s="109"/>
      <c r="EB20" s="110"/>
      <c r="EC20" s="109"/>
      <c r="ED20" s="109"/>
      <c r="EE20" s="110"/>
      <c r="EF20" s="109"/>
      <c r="EG20" s="109"/>
      <c r="EH20" s="110"/>
      <c r="EI20" s="109"/>
      <c r="EJ20" s="109"/>
      <c r="EK20" s="110"/>
      <c r="EL20" s="109"/>
      <c r="EM20" s="109"/>
      <c r="EN20" s="110"/>
      <c r="EO20" s="109"/>
      <c r="EP20" s="109"/>
      <c r="EQ20" s="110"/>
      <c r="ER20" s="109"/>
      <c r="ES20" s="109"/>
      <c r="ET20" s="110"/>
      <c r="EU20" s="109"/>
      <c r="EV20" s="109"/>
      <c r="EW20" s="110"/>
    </row>
    <row r="21" spans="1:153" ht="15.4" customHeight="1">
      <c r="A21" s="10" t="s">
        <v>1187</v>
      </c>
      <c r="B21" s="85">
        <v>46221.958333333343</v>
      </c>
      <c r="C21" s="85">
        <v>46253</v>
      </c>
      <c r="D21" s="109"/>
      <c r="E21" s="109"/>
      <c r="F21" s="110"/>
      <c r="G21" s="109"/>
      <c r="H21" s="109"/>
      <c r="I21" s="110"/>
      <c r="J21" s="109"/>
      <c r="K21" s="109"/>
      <c r="L21" s="110"/>
      <c r="M21" s="109"/>
      <c r="N21" s="109"/>
      <c r="O21" s="110"/>
      <c r="P21" s="109"/>
      <c r="Q21" s="109"/>
      <c r="R21" s="110"/>
      <c r="S21" s="109"/>
      <c r="T21" s="109"/>
      <c r="U21" s="110"/>
      <c r="V21" s="109"/>
      <c r="W21" s="109"/>
      <c r="X21" s="110"/>
      <c r="Y21" s="109"/>
      <c r="Z21" s="109"/>
      <c r="AA21" s="110"/>
      <c r="AB21" s="109"/>
      <c r="AC21" s="109"/>
      <c r="AD21" s="110"/>
      <c r="AE21" s="109"/>
      <c r="AF21" s="109"/>
      <c r="AG21" s="110"/>
      <c r="AH21" s="109"/>
      <c r="AI21" s="109"/>
      <c r="AJ21" s="110"/>
      <c r="AK21" s="109"/>
      <c r="AL21" s="109"/>
      <c r="AM21" s="110"/>
      <c r="AN21" s="109"/>
      <c r="AO21" s="109"/>
      <c r="AP21" s="110"/>
      <c r="AQ21" s="109"/>
      <c r="AR21" s="109"/>
      <c r="AS21" s="110"/>
      <c r="AT21" s="109"/>
      <c r="AU21" s="109"/>
      <c r="AV21" s="110"/>
      <c r="AW21" s="109"/>
      <c r="AX21" s="109"/>
      <c r="AY21" s="110"/>
      <c r="AZ21" s="109"/>
      <c r="BA21" s="109"/>
      <c r="BB21" s="110"/>
      <c r="BC21" s="109"/>
      <c r="BD21" s="109"/>
      <c r="BE21" s="110"/>
      <c r="BF21" s="109"/>
      <c r="BG21" s="109"/>
      <c r="BH21" s="110"/>
      <c r="BI21" s="109"/>
      <c r="BJ21" s="109"/>
      <c r="BK21" s="110"/>
      <c r="BL21" s="109"/>
      <c r="BM21" s="109"/>
      <c r="BN21" s="110"/>
      <c r="BO21" s="109"/>
      <c r="BP21" s="109"/>
      <c r="BQ21" s="110"/>
      <c r="BR21" s="109"/>
      <c r="BS21" s="109"/>
      <c r="BT21" s="110"/>
      <c r="BU21" s="109"/>
      <c r="BV21" s="109"/>
      <c r="BW21" s="110"/>
      <c r="BX21" s="109"/>
      <c r="BY21" s="109"/>
      <c r="BZ21" s="110"/>
      <c r="CA21" s="109"/>
      <c r="CB21" s="109"/>
      <c r="CC21" s="110"/>
      <c r="CD21" s="109"/>
      <c r="CE21" s="109"/>
      <c r="CF21" s="110"/>
      <c r="CG21" s="109"/>
      <c r="CH21" s="109"/>
      <c r="CI21" s="110"/>
      <c r="CJ21" s="109"/>
      <c r="CK21" s="109"/>
      <c r="CL21" s="110"/>
      <c r="CM21" s="109"/>
      <c r="CN21" s="109"/>
      <c r="CO21" s="110"/>
      <c r="CP21" s="109"/>
      <c r="CQ21" s="109"/>
      <c r="CR21" s="110"/>
      <c r="CS21" s="109"/>
      <c r="CT21" s="109"/>
      <c r="CU21" s="110"/>
      <c r="CV21" s="109" t="s">
        <v>1188</v>
      </c>
      <c r="CW21" s="109"/>
      <c r="CX21" s="110"/>
      <c r="CY21" s="109"/>
      <c r="CZ21" s="109"/>
      <c r="DA21" s="110"/>
      <c r="DB21" s="109"/>
      <c r="DC21" s="109"/>
      <c r="DD21" s="110"/>
      <c r="DE21" s="109"/>
      <c r="DF21" s="109"/>
      <c r="DG21" s="110"/>
      <c r="DH21" s="109"/>
      <c r="DI21" s="109"/>
      <c r="DJ21" s="110"/>
      <c r="DK21" s="109"/>
      <c r="DL21" s="109"/>
      <c r="DM21" s="110"/>
      <c r="DN21" s="109"/>
      <c r="DO21" s="109"/>
      <c r="DP21" s="110"/>
      <c r="DQ21" s="109"/>
      <c r="DR21" s="109"/>
      <c r="DS21" s="110"/>
      <c r="DT21" s="109"/>
      <c r="DU21" s="109"/>
      <c r="DV21" s="110"/>
      <c r="DW21" s="109"/>
      <c r="DX21" s="109"/>
      <c r="DY21" s="110"/>
      <c r="DZ21" s="109"/>
      <c r="EA21" s="109"/>
      <c r="EB21" s="110"/>
      <c r="EC21" s="109"/>
      <c r="ED21" s="109"/>
      <c r="EE21" s="110"/>
      <c r="EF21" s="109"/>
      <c r="EG21" s="109"/>
      <c r="EH21" s="110"/>
      <c r="EI21" s="109"/>
      <c r="EJ21" s="109"/>
      <c r="EK21" s="110"/>
      <c r="EL21" s="109"/>
      <c r="EM21" s="109"/>
      <c r="EN21" s="110"/>
      <c r="EO21" s="109"/>
      <c r="EP21" s="109"/>
      <c r="EQ21" s="110"/>
      <c r="ER21" s="109"/>
      <c r="ES21" s="109"/>
      <c r="ET21" s="110"/>
      <c r="EU21" s="109"/>
      <c r="EV21" s="109"/>
      <c r="EW21" s="110"/>
    </row>
    <row r="22" spans="1:153" ht="15.4" customHeight="1">
      <c r="A22" s="10" t="s">
        <v>1189</v>
      </c>
      <c r="B22" s="85">
        <v>46228</v>
      </c>
      <c r="C22" s="85">
        <v>46242</v>
      </c>
      <c r="D22" s="109"/>
      <c r="E22" s="109"/>
      <c r="F22" s="110"/>
      <c r="G22" s="109"/>
      <c r="H22" s="109"/>
      <c r="I22" s="110"/>
      <c r="J22" s="109"/>
      <c r="K22" s="109"/>
      <c r="L22" s="110"/>
      <c r="M22" s="109"/>
      <c r="N22" s="109"/>
      <c r="O22" s="110"/>
      <c r="P22" s="109"/>
      <c r="Q22" s="109"/>
      <c r="R22" s="110"/>
      <c r="S22" s="109"/>
      <c r="T22" s="109"/>
      <c r="U22" s="110"/>
      <c r="V22" s="109"/>
      <c r="W22" s="109"/>
      <c r="X22" s="110"/>
      <c r="Y22" s="109"/>
      <c r="Z22" s="109"/>
      <c r="AA22" s="110"/>
      <c r="AB22" s="109"/>
      <c r="AC22" s="109"/>
      <c r="AD22" s="110"/>
      <c r="AE22" s="109"/>
      <c r="AF22" s="109"/>
      <c r="AG22" s="110"/>
      <c r="AH22" s="109"/>
      <c r="AI22" s="109"/>
      <c r="AJ22" s="110"/>
      <c r="AK22" s="109"/>
      <c r="AL22" s="109"/>
      <c r="AM22" s="110"/>
      <c r="AN22" s="109"/>
      <c r="AO22" s="109"/>
      <c r="AP22" s="110"/>
      <c r="AQ22" s="109"/>
      <c r="AR22" s="109"/>
      <c r="AS22" s="110"/>
      <c r="AT22" s="109"/>
      <c r="AU22" s="109"/>
      <c r="AV22" s="110"/>
      <c r="AW22" s="109"/>
      <c r="AX22" s="109"/>
      <c r="AY22" s="110"/>
      <c r="AZ22" s="109"/>
      <c r="BA22" s="109"/>
      <c r="BB22" s="110"/>
      <c r="BC22" s="109"/>
      <c r="BD22" s="109"/>
      <c r="BE22" s="110"/>
      <c r="BF22" s="109"/>
      <c r="BG22" s="109"/>
      <c r="BH22" s="110"/>
      <c r="BI22" s="109"/>
      <c r="BJ22" s="109"/>
      <c r="BK22" s="110"/>
      <c r="BL22" s="109"/>
      <c r="BM22" s="109"/>
      <c r="BN22" s="110"/>
      <c r="BO22" s="109" t="s">
        <v>1190</v>
      </c>
      <c r="BP22" s="109"/>
      <c r="BQ22" s="110"/>
      <c r="BR22" s="109"/>
      <c r="BS22" s="109"/>
      <c r="BT22" s="110"/>
      <c r="BU22" s="109"/>
      <c r="BV22" s="109"/>
      <c r="BW22" s="110"/>
      <c r="BX22" s="109"/>
      <c r="BY22" s="109"/>
      <c r="BZ22" s="110"/>
      <c r="CA22" s="109"/>
      <c r="CB22" s="109"/>
      <c r="CC22" s="110"/>
      <c r="CD22" s="109"/>
      <c r="CE22" s="109"/>
      <c r="CF22" s="110"/>
      <c r="CG22" s="109"/>
      <c r="CH22" s="109"/>
      <c r="CI22" s="110"/>
      <c r="CJ22" s="109"/>
      <c r="CK22" s="109"/>
      <c r="CL22" s="110"/>
      <c r="CM22" s="109"/>
      <c r="CN22" s="109"/>
      <c r="CO22" s="110"/>
      <c r="CP22" s="109"/>
      <c r="CQ22" s="109"/>
      <c r="CR22" s="110"/>
      <c r="CS22" s="109"/>
      <c r="CT22" s="109"/>
      <c r="CU22" s="110"/>
      <c r="CV22" s="109"/>
      <c r="CW22" s="109"/>
      <c r="CX22" s="110"/>
      <c r="CY22" s="109"/>
      <c r="CZ22" s="109"/>
      <c r="DA22" s="110"/>
      <c r="DB22" s="109"/>
      <c r="DC22" s="109"/>
      <c r="DD22" s="110"/>
      <c r="DE22" s="109"/>
      <c r="DF22" s="109"/>
      <c r="DG22" s="110"/>
      <c r="DH22" s="109"/>
      <c r="DI22" s="109"/>
      <c r="DJ22" s="110"/>
      <c r="DK22" s="109"/>
      <c r="DL22" s="109"/>
      <c r="DM22" s="110"/>
      <c r="DN22" s="109"/>
      <c r="DO22" s="109"/>
      <c r="DP22" s="110"/>
      <c r="DQ22" s="109"/>
      <c r="DR22" s="109"/>
      <c r="DS22" s="110"/>
      <c r="DT22" s="109"/>
      <c r="DU22" s="109"/>
      <c r="DV22" s="110"/>
      <c r="DW22" s="109"/>
      <c r="DX22" s="109"/>
      <c r="DY22" s="110"/>
      <c r="DZ22" s="109"/>
      <c r="EA22" s="109"/>
      <c r="EB22" s="110"/>
      <c r="EC22" s="109"/>
      <c r="ED22" s="109"/>
      <c r="EE22" s="110"/>
      <c r="EF22" s="109"/>
      <c r="EG22" s="109"/>
      <c r="EH22" s="110"/>
      <c r="EI22" s="109"/>
      <c r="EJ22" s="109"/>
      <c r="EK22" s="110"/>
      <c r="EL22" s="109"/>
      <c r="EM22" s="109"/>
      <c r="EN22" s="110"/>
      <c r="EO22" s="109"/>
      <c r="EP22" s="109"/>
      <c r="EQ22" s="110"/>
      <c r="ER22" s="109"/>
      <c r="ES22" s="109"/>
      <c r="ET22" s="110"/>
      <c r="EU22" s="109"/>
      <c r="EV22" s="109"/>
      <c r="EW22" s="110"/>
    </row>
    <row r="23" spans="1:153" ht="15.4" customHeight="1">
      <c r="A23" s="10" t="s">
        <v>1191</v>
      </c>
      <c r="B23" s="85">
        <v>46229</v>
      </c>
      <c r="C23" s="85">
        <v>46239</v>
      </c>
      <c r="D23" s="109"/>
      <c r="E23" s="109"/>
      <c r="F23" s="110"/>
      <c r="G23" s="109"/>
      <c r="H23" s="109"/>
      <c r="I23" s="110"/>
      <c r="J23" s="109"/>
      <c r="K23" s="109"/>
      <c r="L23" s="110"/>
      <c r="M23" s="109"/>
      <c r="N23" s="109"/>
      <c r="O23" s="110"/>
      <c r="P23" s="109"/>
      <c r="Q23" s="109"/>
      <c r="R23" s="110"/>
      <c r="S23" s="109"/>
      <c r="T23" s="109"/>
      <c r="U23" s="110"/>
      <c r="V23" s="109"/>
      <c r="W23" s="109"/>
      <c r="X23" s="110"/>
      <c r="Y23" s="109"/>
      <c r="Z23" s="109"/>
      <c r="AA23" s="110"/>
      <c r="AB23" s="109"/>
      <c r="AC23" s="109"/>
      <c r="AD23" s="110"/>
      <c r="AE23" s="109"/>
      <c r="AF23" s="109"/>
      <c r="AG23" s="110"/>
      <c r="AH23" s="109"/>
      <c r="AI23" s="109"/>
      <c r="AJ23" s="110"/>
      <c r="AK23" s="109"/>
      <c r="AL23" s="109"/>
      <c r="AM23" s="110"/>
      <c r="AN23" s="109"/>
      <c r="AO23" s="109"/>
      <c r="AP23" s="110"/>
      <c r="AQ23" s="109"/>
      <c r="AR23" s="109"/>
      <c r="AS23" s="110"/>
      <c r="AT23" s="109"/>
      <c r="AU23" s="109"/>
      <c r="AV23" s="110"/>
      <c r="AW23" s="109"/>
      <c r="AX23" s="109"/>
      <c r="AY23" s="110"/>
      <c r="AZ23" s="109"/>
      <c r="BA23" s="109"/>
      <c r="BB23" s="110"/>
      <c r="BC23" s="109"/>
      <c r="BD23" s="109"/>
      <c r="BE23" s="110"/>
      <c r="BF23" s="109" t="s">
        <v>1192</v>
      </c>
      <c r="BG23" s="109"/>
      <c r="BH23" s="110"/>
      <c r="BI23" s="109"/>
      <c r="BJ23" s="109"/>
      <c r="BK23" s="110"/>
      <c r="BL23" s="109"/>
      <c r="BM23" s="109"/>
      <c r="BN23" s="110"/>
      <c r="BO23" s="109"/>
      <c r="BP23" s="109"/>
      <c r="BQ23" s="110"/>
      <c r="BR23" s="109"/>
      <c r="BS23" s="109"/>
      <c r="BT23" s="110"/>
      <c r="BU23" s="109"/>
      <c r="BV23" s="109"/>
      <c r="BW23" s="110"/>
      <c r="BX23" s="109"/>
      <c r="BY23" s="109"/>
      <c r="BZ23" s="110"/>
      <c r="CA23" s="109"/>
      <c r="CB23" s="109"/>
      <c r="CC23" s="110"/>
      <c r="CD23" s="109"/>
      <c r="CE23" s="109"/>
      <c r="CF23" s="110"/>
      <c r="CG23" s="109"/>
      <c r="CH23" s="109"/>
      <c r="CI23" s="110"/>
      <c r="CJ23" s="109"/>
      <c r="CK23" s="109"/>
      <c r="CL23" s="110"/>
      <c r="CM23" s="109"/>
      <c r="CN23" s="109"/>
      <c r="CO23" s="110"/>
      <c r="CP23" s="109"/>
      <c r="CQ23" s="109"/>
      <c r="CR23" s="110"/>
      <c r="CS23" s="109"/>
      <c r="CT23" s="109"/>
      <c r="CU23" s="110"/>
      <c r="CV23" s="109"/>
      <c r="CW23" s="109"/>
      <c r="CX23" s="110"/>
      <c r="CY23" s="109"/>
      <c r="CZ23" s="109"/>
      <c r="DA23" s="110"/>
      <c r="DB23" s="109"/>
      <c r="DC23" s="109"/>
      <c r="DD23" s="110"/>
      <c r="DE23" s="109"/>
      <c r="DF23" s="109"/>
      <c r="DG23" s="110"/>
      <c r="DH23" s="109"/>
      <c r="DI23" s="109"/>
      <c r="DJ23" s="110"/>
      <c r="DK23" s="109"/>
      <c r="DL23" s="109"/>
      <c r="DM23" s="110"/>
      <c r="DN23" s="109"/>
      <c r="DO23" s="109"/>
      <c r="DP23" s="110"/>
      <c r="DQ23" s="109"/>
      <c r="DR23" s="109"/>
      <c r="DS23" s="110"/>
      <c r="DT23" s="109"/>
      <c r="DU23" s="109"/>
      <c r="DV23" s="110"/>
      <c r="DW23" s="109"/>
      <c r="DX23" s="109"/>
      <c r="DY23" s="110"/>
      <c r="DZ23" s="109"/>
      <c r="EA23" s="109"/>
      <c r="EB23" s="110"/>
      <c r="EC23" s="109"/>
      <c r="ED23" s="109"/>
      <c r="EE23" s="110"/>
      <c r="EF23" s="109"/>
      <c r="EG23" s="109"/>
      <c r="EH23" s="110"/>
      <c r="EI23" s="109"/>
      <c r="EJ23" s="109"/>
      <c r="EK23" s="110"/>
      <c r="EL23" s="109"/>
      <c r="EM23" s="109"/>
      <c r="EN23" s="110"/>
      <c r="EO23" s="109"/>
      <c r="EP23" s="109"/>
      <c r="EQ23" s="110"/>
      <c r="ER23" s="109"/>
      <c r="ES23" s="109"/>
      <c r="ET23" s="110"/>
      <c r="EU23" s="109"/>
      <c r="EV23" s="109"/>
      <c r="EW23" s="110"/>
    </row>
    <row r="24" spans="1:153" ht="15.4" hidden="1" customHeight="1">
      <c r="A24" s="10"/>
      <c r="B24" s="85"/>
      <c r="C24" s="85"/>
      <c r="D24" s="109"/>
      <c r="E24" s="109"/>
      <c r="F24" s="110"/>
      <c r="G24" s="109"/>
      <c r="H24" s="109"/>
      <c r="I24" s="110"/>
      <c r="J24" s="109"/>
      <c r="K24" s="109"/>
      <c r="L24" s="110"/>
      <c r="M24" s="109"/>
      <c r="N24" s="109"/>
      <c r="O24" s="110"/>
      <c r="P24" s="109"/>
      <c r="Q24" s="109"/>
      <c r="R24" s="110"/>
      <c r="S24" s="109"/>
      <c r="T24" s="109"/>
      <c r="U24" s="110"/>
      <c r="V24" s="109"/>
      <c r="W24" s="109"/>
      <c r="X24" s="110"/>
      <c r="Y24" s="109"/>
      <c r="Z24" s="109"/>
      <c r="AA24" s="110"/>
      <c r="AB24" s="109"/>
      <c r="AC24" s="109"/>
      <c r="AD24" s="110"/>
      <c r="AE24" s="109"/>
      <c r="AF24" s="109"/>
      <c r="AG24" s="110"/>
      <c r="AH24" s="109"/>
      <c r="AI24" s="109"/>
      <c r="AJ24" s="110"/>
      <c r="AK24" s="109"/>
      <c r="AL24" s="109"/>
      <c r="AM24" s="110"/>
      <c r="AN24" s="109"/>
      <c r="AO24" s="109"/>
      <c r="AP24" s="110"/>
      <c r="AQ24" s="109"/>
      <c r="AR24" s="109"/>
      <c r="AS24" s="110"/>
      <c r="AT24" s="109"/>
      <c r="AU24" s="109"/>
      <c r="AV24" s="110"/>
      <c r="AW24" s="109"/>
      <c r="AX24" s="109"/>
      <c r="AY24" s="110"/>
      <c r="AZ24" s="109"/>
      <c r="BA24" s="109"/>
      <c r="BB24" s="110"/>
      <c r="BC24" s="109"/>
      <c r="BD24" s="109"/>
      <c r="BE24" s="110"/>
      <c r="BF24" s="109"/>
      <c r="BG24" s="109"/>
      <c r="BH24" s="110"/>
      <c r="BI24" s="109"/>
      <c r="BJ24" s="109"/>
      <c r="BK24" s="110"/>
      <c r="BL24" s="109"/>
      <c r="BM24" s="109"/>
      <c r="BN24" s="110"/>
      <c r="BO24" s="109"/>
      <c r="BP24" s="109"/>
      <c r="BQ24" s="110"/>
      <c r="BR24" s="109"/>
      <c r="BS24" s="109"/>
      <c r="BT24" s="110"/>
      <c r="BU24" s="109"/>
      <c r="BV24" s="109"/>
      <c r="BW24" s="110"/>
      <c r="BX24" s="109"/>
      <c r="BY24" s="109"/>
      <c r="BZ24" s="110"/>
      <c r="CA24" s="109"/>
      <c r="CB24" s="109"/>
      <c r="CC24" s="110"/>
      <c r="CD24" s="109"/>
      <c r="CE24" s="109"/>
      <c r="CF24" s="110"/>
      <c r="CG24" s="109"/>
      <c r="CH24" s="109"/>
      <c r="CI24" s="110"/>
      <c r="CJ24" s="109"/>
      <c r="CK24" s="109"/>
      <c r="CL24" s="110"/>
      <c r="CM24" s="109"/>
      <c r="CN24" s="109"/>
      <c r="CO24" s="110"/>
      <c r="CP24" s="109"/>
      <c r="CQ24" s="109"/>
      <c r="CR24" s="110"/>
      <c r="CS24" s="109"/>
      <c r="CT24" s="109"/>
      <c r="CU24" s="110"/>
      <c r="CV24" s="109"/>
      <c r="CW24" s="109"/>
      <c r="CX24" s="110"/>
      <c r="CY24" s="109"/>
      <c r="CZ24" s="109"/>
      <c r="DA24" s="110"/>
      <c r="DB24" s="109"/>
      <c r="DC24" s="109"/>
      <c r="DD24" s="110"/>
      <c r="DE24" s="109"/>
      <c r="DF24" s="109"/>
      <c r="DG24" s="110"/>
      <c r="DH24" s="109"/>
      <c r="DI24" s="109"/>
      <c r="DJ24" s="110"/>
      <c r="DK24" s="109"/>
      <c r="DL24" s="109"/>
      <c r="DM24" s="110"/>
      <c r="DN24" s="109"/>
      <c r="DO24" s="109"/>
      <c r="DP24" s="110"/>
      <c r="DQ24" s="109"/>
      <c r="DR24" s="109"/>
      <c r="DS24" s="110"/>
      <c r="DT24" s="109"/>
      <c r="DU24" s="109"/>
      <c r="DV24" s="110"/>
      <c r="DW24" s="109"/>
      <c r="DX24" s="109"/>
      <c r="DY24" s="110"/>
      <c r="DZ24" s="109"/>
      <c r="EA24" s="109"/>
      <c r="EB24" s="110"/>
      <c r="EC24" s="109"/>
      <c r="ED24" s="109"/>
      <c r="EE24" s="110"/>
      <c r="EF24" s="109"/>
      <c r="EG24" s="109"/>
      <c r="EH24" s="110"/>
      <c r="EI24" s="109"/>
      <c r="EJ24" s="109"/>
      <c r="EK24" s="110"/>
      <c r="EL24" s="109"/>
      <c r="EM24" s="109"/>
      <c r="EN24" s="110"/>
      <c r="EO24" s="109"/>
      <c r="EP24" s="109"/>
      <c r="EQ24" s="110"/>
      <c r="ER24" s="109"/>
      <c r="ES24" s="109"/>
      <c r="ET24" s="110"/>
      <c r="EU24" s="109"/>
      <c r="EV24" s="109"/>
      <c r="EW24" s="110"/>
    </row>
    <row r="25" spans="1:153" ht="15.4" customHeight="1">
      <c r="A25" s="48" t="s">
        <v>1193</v>
      </c>
      <c r="B25" s="208">
        <v>46244</v>
      </c>
      <c r="C25" s="226"/>
      <c r="D25" s="111" t="str">
        <f>IF((DASHBOARD!$M$1+INT((COLUMN()-4)/3))=INT($B$25),"◆ "&amp;TEXT($B$25,"D-MMM"),"")</f>
        <v/>
      </c>
      <c r="E25" s="109"/>
      <c r="F25" s="110"/>
      <c r="G25" s="111" t="str">
        <f>IF((DASHBOARD!$M$1+INT((COLUMN()-4)/3))=INT($B$25),"◆ "&amp;TEXT($B$25,"D-MMM"),"")</f>
        <v/>
      </c>
      <c r="H25" s="109"/>
      <c r="I25" s="110"/>
      <c r="J25" s="111" t="str">
        <f>IF((DASHBOARD!$M$1+INT((COLUMN()-4)/3))=INT($B$25),"◆ "&amp;TEXT($B$25,"D-MMM"),"")</f>
        <v/>
      </c>
      <c r="K25" s="109"/>
      <c r="L25" s="110"/>
      <c r="M25" s="111" t="str">
        <f>IF((DASHBOARD!$M$1+INT((COLUMN()-4)/3))=INT($B$25),"◆ "&amp;TEXT($B$25,"D-MMM"),"")</f>
        <v/>
      </c>
      <c r="N25" s="109"/>
      <c r="O25" s="110"/>
      <c r="P25" s="111" t="str">
        <f>IF((DASHBOARD!$M$1+INT((COLUMN()-4)/3))=INT($B$25),"◆ "&amp;TEXT($B$25,"D-MMM"),"")</f>
        <v/>
      </c>
      <c r="Q25" s="109"/>
      <c r="R25" s="110"/>
      <c r="S25" s="111" t="str">
        <f>IF((DASHBOARD!$M$1+INT((COLUMN()-4)/3))=INT($B$25),"◆ "&amp;TEXT($B$25,"D-MMM"),"")</f>
        <v/>
      </c>
      <c r="T25" s="109"/>
      <c r="U25" s="110"/>
      <c r="V25" s="111" t="str">
        <f>IF((DASHBOARD!$M$1+INT((COLUMN()-4)/3))=INT($B$25),"◆ "&amp;TEXT($B$25,"D-MMM"),"")</f>
        <v/>
      </c>
      <c r="W25" s="109"/>
      <c r="X25" s="110"/>
      <c r="Y25" s="111" t="str">
        <f>IF((DASHBOARD!$M$1+INT((COLUMN()-4)/3))=INT($B$25),"◆ "&amp;TEXT($B$25,"D-MMM"),"")</f>
        <v/>
      </c>
      <c r="Z25" s="109"/>
      <c r="AA25" s="110"/>
      <c r="AB25" s="111" t="str">
        <f>IF((DASHBOARD!$M$1+INT((COLUMN()-4)/3))=INT($B$25),"◆ "&amp;TEXT($B$25,"D-MMM"),"")</f>
        <v/>
      </c>
      <c r="AC25" s="109"/>
      <c r="AD25" s="110"/>
      <c r="AE25" s="111" t="str">
        <f>IF((DASHBOARD!$M$1+INT((COLUMN()-4)/3))=INT($B$25),"◆ "&amp;TEXT($B$25,"D-MMM"),"")</f>
        <v/>
      </c>
      <c r="AF25" s="109"/>
      <c r="AG25" s="110"/>
      <c r="AH25" s="111" t="str">
        <f>IF((DASHBOARD!$M$1+INT((COLUMN()-4)/3))=INT($B$25),"◆ "&amp;TEXT($B$25,"D-MMM"),"")</f>
        <v/>
      </c>
      <c r="AI25" s="109"/>
      <c r="AJ25" s="110"/>
      <c r="AK25" s="111" t="str">
        <f>IF((DASHBOARD!$M$1+INT((COLUMN()-4)/3))=INT($B$25),"◆ "&amp;TEXT($B$25,"D-MMM"),"")</f>
        <v/>
      </c>
      <c r="AL25" s="109"/>
      <c r="AM25" s="110"/>
      <c r="AN25" s="111" t="str">
        <f>IF((DASHBOARD!$M$1+INT((COLUMN()-4)/3))=INT($B$25),"◆ "&amp;TEXT($B$25,"D-MMM"),"")</f>
        <v/>
      </c>
      <c r="AO25" s="109"/>
      <c r="AP25" s="110"/>
      <c r="AQ25" s="111" t="str">
        <f>IF((DASHBOARD!$M$1+INT((COLUMN()-4)/3))=INT($B$25),"◆ "&amp;TEXT($B$25,"D-MMM"),"")</f>
        <v/>
      </c>
      <c r="AR25" s="109"/>
      <c r="AS25" s="110"/>
      <c r="AT25" s="111" t="str">
        <f>IF((DASHBOARD!$M$1+INT((COLUMN()-4)/3))=INT($B$25),"◆ "&amp;TEXT($B$25,"D-MMM"),"")</f>
        <v/>
      </c>
      <c r="AU25" s="109"/>
      <c r="AV25" s="110"/>
      <c r="AW25" s="111" t="str">
        <f>IF((DASHBOARD!$M$1+INT((COLUMN()-4)/3))=INT($B$25),"◆ "&amp;TEXT($B$25,"D-MMM"),"")</f>
        <v/>
      </c>
      <c r="AX25" s="109"/>
      <c r="AY25" s="110"/>
      <c r="AZ25" s="111" t="str">
        <f>IF((DASHBOARD!$M$1+INT((COLUMN()-4)/3))=INT($B$25),"◆ "&amp;TEXT($B$25,"D-MMM"),"")</f>
        <v/>
      </c>
      <c r="BA25" s="109"/>
      <c r="BB25" s="110"/>
      <c r="BC25" s="111" t="str">
        <f>IF((DASHBOARD!$M$1+INT((COLUMN()-4)/3))=INT($B$25),"◆ "&amp;TEXT($B$25,"D-MMM"),"")</f>
        <v/>
      </c>
      <c r="BD25" s="109"/>
      <c r="BE25" s="110"/>
      <c r="BF25" s="111" t="str">
        <f>IF((DASHBOARD!$M$1+INT((COLUMN()-4)/3))=INT($B$25),"◆ "&amp;TEXT($B$25,"D-MMM"),"")</f>
        <v/>
      </c>
      <c r="BG25" s="109"/>
      <c r="BH25" s="110"/>
      <c r="BI25" s="111" t="str">
        <f>IF((DASHBOARD!$M$1+INT((COLUMN()-4)/3))=INT($B$25),"◆ "&amp;TEXT($B$25,"D-MMM"),"")</f>
        <v/>
      </c>
      <c r="BJ25" s="109"/>
      <c r="BK25" s="110"/>
      <c r="BL25" s="111" t="str">
        <f>IF((DASHBOARD!$M$1+INT((COLUMN()-4)/3))=INT($B$25),"◆ "&amp;TEXT($B$25,"D-MMM"),"")</f>
        <v/>
      </c>
      <c r="BM25" s="109"/>
      <c r="BN25" s="110"/>
      <c r="BO25" s="111" t="str">
        <f>IF((DASHBOARD!$M$1+INT((COLUMN()-4)/3))=INT($B$25),"◆ "&amp;TEXT($B$25,"D-MMM"),"")</f>
        <v/>
      </c>
      <c r="BP25" s="109"/>
      <c r="BQ25" s="110"/>
      <c r="BR25" s="111" t="str">
        <f>IF((DASHBOARD!$M$1+INT((COLUMN()-4)/3))=INT($B$25),"◆ "&amp;TEXT($B$25,"D-MMM"),"")</f>
        <v/>
      </c>
      <c r="BS25" s="109"/>
      <c r="BT25" s="110"/>
      <c r="BU25" s="111" t="str">
        <f>IF((DASHBOARD!$M$1+INT((COLUMN()-4)/3))=INT($B$25),"◆ "&amp;TEXT($B$25,"D-MMM"),"")</f>
        <v>◆ 10-Aug</v>
      </c>
      <c r="BV25" s="109"/>
      <c r="BW25" s="110"/>
      <c r="BX25" s="111" t="str">
        <f>IF((DASHBOARD!$M$1+INT((COLUMN()-4)/3))=INT($B$25),"◆ "&amp;TEXT($B$25,"D-MMM"),"")</f>
        <v/>
      </c>
      <c r="BY25" s="109"/>
      <c r="BZ25" s="110"/>
      <c r="CA25" s="111" t="str">
        <f>IF((DASHBOARD!$M$1+INT((COLUMN()-4)/3))=INT($B$25),"◆ "&amp;TEXT($B$25,"D-MMM"),"")</f>
        <v/>
      </c>
      <c r="CB25" s="109"/>
      <c r="CC25" s="110"/>
      <c r="CD25" s="111" t="str">
        <f>IF((DASHBOARD!$M$1+INT((COLUMN()-4)/3))=INT($B$25),"◆ "&amp;TEXT($B$25,"D-MMM"),"")</f>
        <v/>
      </c>
      <c r="CE25" s="109"/>
      <c r="CF25" s="110"/>
      <c r="CG25" s="111" t="str">
        <f>IF((DASHBOARD!$M$1+INT((COLUMN()-4)/3))=INT($B$25),"◆ "&amp;TEXT($B$25,"D-MMM"),"")</f>
        <v/>
      </c>
      <c r="CH25" s="109"/>
      <c r="CI25" s="110"/>
      <c r="CJ25" s="111" t="str">
        <f>IF((DASHBOARD!$M$1+INT((COLUMN()-4)/3))=INT($B$25),"◆ "&amp;TEXT($B$25,"D-MMM"),"")</f>
        <v/>
      </c>
      <c r="CK25" s="109"/>
      <c r="CL25" s="110"/>
      <c r="CM25" s="111" t="str">
        <f>IF((DASHBOARD!$M$1+INT((COLUMN()-4)/3))=INT($B$25),"◆ "&amp;TEXT($B$25,"D-MMM"),"")</f>
        <v/>
      </c>
      <c r="CN25" s="109"/>
      <c r="CO25" s="110"/>
      <c r="CP25" s="111" t="str">
        <f>IF((DASHBOARD!$M$1+INT((COLUMN()-4)/3))=INT($B$25),"◆ "&amp;TEXT($B$25,"D-MMM"),"")</f>
        <v/>
      </c>
      <c r="CQ25" s="109"/>
      <c r="CR25" s="110"/>
      <c r="CS25" s="111" t="str">
        <f>IF((DASHBOARD!$M$1+INT((COLUMN()-4)/3))=INT($B$25),"◆ "&amp;TEXT($B$25,"D-MMM"),"")</f>
        <v/>
      </c>
      <c r="CT25" s="109"/>
      <c r="CU25" s="110"/>
      <c r="CV25" s="111" t="str">
        <f>IF((DASHBOARD!$M$1+INT((COLUMN()-4)/3))=INT($B$25),"◆ "&amp;TEXT($B$25,"D-MMM"),"")</f>
        <v/>
      </c>
      <c r="CW25" s="109"/>
      <c r="CX25" s="110"/>
      <c r="CY25" s="111" t="str">
        <f>IF((DASHBOARD!$M$1+INT((COLUMN()-4)/3))=INT($B$25),"◆ "&amp;TEXT($B$25,"D-MMM"),"")</f>
        <v/>
      </c>
      <c r="CZ25" s="109"/>
      <c r="DA25" s="110"/>
      <c r="DB25" s="111" t="str">
        <f>IF((DASHBOARD!$M$1+INT((COLUMN()-4)/3))=INT($B$25),"◆ "&amp;TEXT($B$25,"D-MMM"),"")</f>
        <v/>
      </c>
      <c r="DC25" s="109"/>
      <c r="DD25" s="110"/>
      <c r="DE25" s="111" t="str">
        <f>IF((DASHBOARD!$M$1+INT((COLUMN()-4)/3))=INT($B$25),"◆ "&amp;TEXT($B$25,"D-MMM"),"")</f>
        <v/>
      </c>
      <c r="DF25" s="109"/>
      <c r="DG25" s="110"/>
      <c r="DH25" s="111" t="str">
        <f>IF((DASHBOARD!$M$1+INT((COLUMN()-4)/3))=INT($B$25),"◆ "&amp;TEXT($B$25,"D-MMM"),"")</f>
        <v/>
      </c>
      <c r="DI25" s="109"/>
      <c r="DJ25" s="110"/>
      <c r="DK25" s="111" t="str">
        <f>IF((DASHBOARD!$M$1+INT((COLUMN()-4)/3))=INT($B$25),"◆ "&amp;TEXT($B$25,"D-MMM"),"")</f>
        <v/>
      </c>
      <c r="DL25" s="109"/>
      <c r="DM25" s="110"/>
      <c r="DN25" s="111" t="str">
        <f>IF((DASHBOARD!$M$1+INT((COLUMN()-4)/3))=INT($B$25),"◆ "&amp;TEXT($B$25,"D-MMM"),"")</f>
        <v/>
      </c>
      <c r="DO25" s="109"/>
      <c r="DP25" s="110"/>
      <c r="DQ25" s="111" t="str">
        <f>IF((DASHBOARD!$M$1+INT((COLUMN()-4)/3))=INT($B$25),"◆ "&amp;TEXT($B$25,"D-MMM"),"")</f>
        <v/>
      </c>
      <c r="DR25" s="109"/>
      <c r="DS25" s="110"/>
      <c r="DT25" s="111" t="str">
        <f>IF((DASHBOARD!$M$1+INT((COLUMN()-4)/3))=INT($B$25),"◆ "&amp;TEXT($B$25,"D-MMM"),"")</f>
        <v/>
      </c>
      <c r="DU25" s="109"/>
      <c r="DV25" s="110"/>
      <c r="DW25" s="111" t="str">
        <f>IF((DASHBOARD!$M$1+INT((COLUMN()-4)/3))=INT($B$25),"◆ "&amp;TEXT($B$25,"D-MMM"),"")</f>
        <v/>
      </c>
      <c r="DX25" s="109"/>
      <c r="DY25" s="110"/>
      <c r="DZ25" s="111" t="str">
        <f>IF((DASHBOARD!$M$1+INT((COLUMN()-4)/3))=INT($B$25),"◆ "&amp;TEXT($B$25,"D-MMM"),"")</f>
        <v/>
      </c>
      <c r="EA25" s="109"/>
      <c r="EB25" s="110"/>
      <c r="EC25" s="111" t="str">
        <f>IF((DASHBOARD!$M$1+INT((COLUMN()-4)/3))=INT($B$25),"◆ "&amp;TEXT($B$25,"D-MMM"),"")</f>
        <v/>
      </c>
      <c r="ED25" s="109"/>
      <c r="EE25" s="110"/>
      <c r="EF25" s="111" t="str">
        <f>IF((DASHBOARD!$M$1+INT((COLUMN()-4)/3))=INT($B$25),"◆ "&amp;TEXT($B$25,"D-MMM"),"")</f>
        <v/>
      </c>
      <c r="EG25" s="109"/>
      <c r="EH25" s="110"/>
      <c r="EI25" s="111" t="str">
        <f>IF((DASHBOARD!$M$1+INT((COLUMN()-4)/3))=INT($B$25),"◆ "&amp;TEXT($B$25,"D-MMM"),"")</f>
        <v/>
      </c>
      <c r="EJ25" s="109"/>
      <c r="EK25" s="110"/>
      <c r="EL25" s="111" t="str">
        <f>IF((DASHBOARD!$M$1+INT((COLUMN()-4)/3))=INT($B$25),"◆ "&amp;TEXT($B$25,"D-MMM"),"")</f>
        <v/>
      </c>
      <c r="EM25" s="109"/>
      <c r="EN25" s="110"/>
      <c r="EO25" s="111" t="str">
        <f>IF((DASHBOARD!$M$1+INT((COLUMN()-4)/3))=INT($B$25),"◆ "&amp;TEXT($B$25,"D-MMM"),"")</f>
        <v/>
      </c>
      <c r="EP25" s="109"/>
      <c r="EQ25" s="110"/>
      <c r="ER25" s="111" t="str">
        <f>IF((DASHBOARD!$M$1+INT((COLUMN()-4)/3))=INT($B$25),"◆ "&amp;TEXT($B$25,"D-MMM"),"")</f>
        <v/>
      </c>
      <c r="ES25" s="109"/>
      <c r="ET25" s="110"/>
      <c r="EU25" s="111" t="str">
        <f>IF((DASHBOARD!$M$1+INT((COLUMN()-4)/3))=INT($B$25),"◆ "&amp;TEXT($B$25,"D-MMM"),"")</f>
        <v/>
      </c>
      <c r="EV25" s="109"/>
      <c r="EW25" s="110"/>
    </row>
    <row r="26" spans="1:153" ht="15.4" customHeight="1">
      <c r="A26" s="195" t="s">
        <v>1194</v>
      </c>
      <c r="B26" s="225"/>
      <c r="C26" s="226"/>
      <c r="D26" s="109"/>
      <c r="E26" s="109"/>
      <c r="F26" s="110"/>
      <c r="G26" s="109"/>
      <c r="H26" s="109"/>
      <c r="I26" s="110"/>
      <c r="J26" s="109"/>
      <c r="K26" s="109"/>
      <c r="L26" s="110"/>
      <c r="M26" s="109"/>
      <c r="N26" s="109"/>
      <c r="O26" s="110"/>
      <c r="P26" s="109"/>
      <c r="Q26" s="109"/>
      <c r="R26" s="110"/>
      <c r="S26" s="109"/>
      <c r="T26" s="109"/>
      <c r="U26" s="110"/>
      <c r="V26" s="109"/>
      <c r="W26" s="109"/>
      <c r="X26" s="110"/>
      <c r="Y26" s="109"/>
      <c r="Z26" s="109"/>
      <c r="AA26" s="110"/>
      <c r="AB26" s="109"/>
      <c r="AC26" s="109"/>
      <c r="AD26" s="110"/>
      <c r="AE26" s="109"/>
      <c r="AF26" s="109"/>
      <c r="AG26" s="110"/>
      <c r="AH26" s="109"/>
      <c r="AI26" s="109"/>
      <c r="AJ26" s="110"/>
      <c r="AK26" s="109"/>
      <c r="AL26" s="109"/>
      <c r="AM26" s="110"/>
      <c r="AN26" s="109"/>
      <c r="AO26" s="109"/>
      <c r="AP26" s="110"/>
      <c r="AQ26" s="109"/>
      <c r="AR26" s="109"/>
      <c r="AS26" s="110"/>
      <c r="AT26" s="109"/>
      <c r="AU26" s="109"/>
      <c r="AV26" s="110"/>
      <c r="AW26" s="109"/>
      <c r="AX26" s="109"/>
      <c r="AY26" s="110"/>
      <c r="AZ26" s="109"/>
      <c r="BA26" s="109"/>
      <c r="BB26" s="110"/>
      <c r="BC26" s="109"/>
      <c r="BD26" s="109"/>
      <c r="BE26" s="110"/>
      <c r="BF26" s="109"/>
      <c r="BG26" s="109"/>
      <c r="BH26" s="110"/>
      <c r="BI26" s="109"/>
      <c r="BJ26" s="109"/>
      <c r="BK26" s="110"/>
      <c r="BL26" s="109"/>
      <c r="BM26" s="109"/>
      <c r="BN26" s="110"/>
      <c r="BO26" s="109"/>
      <c r="BP26" s="109"/>
      <c r="BQ26" s="110"/>
      <c r="BR26" s="109"/>
      <c r="BS26" s="109"/>
      <c r="BT26" s="110"/>
      <c r="BU26" s="109"/>
      <c r="BV26" s="109"/>
      <c r="BW26" s="110"/>
      <c r="BX26" s="109"/>
      <c r="BY26" s="109"/>
      <c r="BZ26" s="110"/>
      <c r="CA26" s="109"/>
      <c r="CB26" s="109"/>
      <c r="CC26" s="110"/>
      <c r="CD26" s="109"/>
      <c r="CE26" s="109"/>
      <c r="CF26" s="110"/>
      <c r="CG26" s="109"/>
      <c r="CH26" s="109"/>
      <c r="CI26" s="110"/>
      <c r="CJ26" s="109"/>
      <c r="CK26" s="109"/>
      <c r="CL26" s="110"/>
      <c r="CM26" s="109"/>
      <c r="CN26" s="109"/>
      <c r="CO26" s="110"/>
      <c r="CP26" s="109"/>
      <c r="CQ26" s="109"/>
      <c r="CR26" s="110"/>
      <c r="CS26" s="109"/>
      <c r="CT26" s="109"/>
      <c r="CU26" s="110"/>
      <c r="CV26" s="109"/>
      <c r="CW26" s="109"/>
      <c r="CX26" s="110"/>
      <c r="CY26" s="109"/>
      <c r="CZ26" s="109"/>
      <c r="DA26" s="110"/>
      <c r="DB26" s="109"/>
      <c r="DC26" s="109"/>
      <c r="DD26" s="110"/>
      <c r="DE26" s="109"/>
      <c r="DF26" s="109"/>
      <c r="DG26" s="110"/>
      <c r="DH26" s="109"/>
      <c r="DI26" s="109"/>
      <c r="DJ26" s="110"/>
      <c r="DK26" s="109"/>
      <c r="DL26" s="109"/>
      <c r="DM26" s="110"/>
      <c r="DN26" s="109"/>
      <c r="DO26" s="109"/>
      <c r="DP26" s="110"/>
      <c r="DQ26" s="109"/>
      <c r="DR26" s="109"/>
      <c r="DS26" s="110"/>
      <c r="DT26" s="109"/>
      <c r="DU26" s="109"/>
      <c r="DV26" s="110"/>
      <c r="DW26" s="109"/>
      <c r="DX26" s="109"/>
      <c r="DY26" s="110"/>
      <c r="DZ26" s="109"/>
      <c r="EA26" s="109"/>
      <c r="EB26" s="110"/>
      <c r="EC26" s="109"/>
      <c r="ED26" s="109"/>
      <c r="EE26" s="110"/>
      <c r="EF26" s="109"/>
      <c r="EG26" s="109"/>
      <c r="EH26" s="110"/>
      <c r="EI26" s="109"/>
      <c r="EJ26" s="109"/>
      <c r="EK26" s="110"/>
      <c r="EL26" s="109"/>
      <c r="EM26" s="109"/>
      <c r="EN26" s="110"/>
      <c r="EO26" s="109"/>
      <c r="EP26" s="109"/>
      <c r="EQ26" s="110"/>
      <c r="ER26" s="109"/>
      <c r="ES26" s="109"/>
      <c r="ET26" s="110"/>
      <c r="EU26" s="109"/>
      <c r="EV26" s="109"/>
      <c r="EW26" s="110"/>
    </row>
    <row r="27" spans="1:153" ht="15.4" hidden="1" customHeight="1">
      <c r="A27" s="10" t="s">
        <v>1195</v>
      </c>
      <c r="B27" s="85"/>
      <c r="C27" s="85"/>
      <c r="D27" s="109"/>
      <c r="E27" s="109"/>
      <c r="F27" s="110"/>
      <c r="G27" s="109"/>
      <c r="H27" s="109"/>
      <c r="I27" s="110"/>
      <c r="J27" s="109"/>
      <c r="K27" s="109"/>
      <c r="L27" s="110"/>
      <c r="M27" s="109"/>
      <c r="N27" s="109"/>
      <c r="O27" s="110"/>
      <c r="P27" s="109"/>
      <c r="Q27" s="109"/>
      <c r="R27" s="110"/>
      <c r="S27" s="109"/>
      <c r="T27" s="109"/>
      <c r="U27" s="110"/>
      <c r="V27" s="109"/>
      <c r="W27" s="109"/>
      <c r="X27" s="110"/>
      <c r="Y27" s="109"/>
      <c r="Z27" s="109"/>
      <c r="AA27" s="110"/>
      <c r="AB27" s="109"/>
      <c r="AC27" s="109"/>
      <c r="AD27" s="110"/>
      <c r="AE27" s="109"/>
      <c r="AF27" s="109"/>
      <c r="AG27" s="110"/>
      <c r="AH27" s="109"/>
      <c r="AI27" s="109"/>
      <c r="AJ27" s="110"/>
      <c r="AK27" s="109"/>
      <c r="AL27" s="109"/>
      <c r="AM27" s="110"/>
      <c r="AN27" s="109"/>
      <c r="AO27" s="109"/>
      <c r="AP27" s="110"/>
      <c r="AQ27" s="109"/>
      <c r="AR27" s="109"/>
      <c r="AS27" s="110"/>
      <c r="AT27" s="109"/>
      <c r="AU27" s="109"/>
      <c r="AV27" s="110"/>
      <c r="AW27" s="109"/>
      <c r="AX27" s="109"/>
      <c r="AY27" s="110"/>
      <c r="AZ27" s="109"/>
      <c r="BA27" s="109"/>
      <c r="BB27" s="110"/>
      <c r="BC27" s="109"/>
      <c r="BD27" s="109"/>
      <c r="BE27" s="110"/>
      <c r="BF27" s="109"/>
      <c r="BG27" s="109"/>
      <c r="BH27" s="110"/>
      <c r="BI27" s="109"/>
      <c r="BJ27" s="109"/>
      <c r="BK27" s="110"/>
      <c r="BL27" s="109"/>
      <c r="BM27" s="109"/>
      <c r="BN27" s="110"/>
      <c r="BO27" s="109"/>
      <c r="BP27" s="109"/>
      <c r="BQ27" s="110"/>
      <c r="BR27" s="109"/>
      <c r="BS27" s="109"/>
      <c r="BT27" s="110"/>
      <c r="BU27" s="109"/>
      <c r="BV27" s="109"/>
      <c r="BW27" s="110"/>
      <c r="BX27" s="109"/>
      <c r="BY27" s="109"/>
      <c r="BZ27" s="110"/>
      <c r="CA27" s="109"/>
      <c r="CB27" s="109"/>
      <c r="CC27" s="110"/>
      <c r="CD27" s="109"/>
      <c r="CE27" s="109"/>
      <c r="CF27" s="110"/>
      <c r="CG27" s="109"/>
      <c r="CH27" s="109"/>
      <c r="CI27" s="110"/>
      <c r="CJ27" s="109"/>
      <c r="CK27" s="109"/>
      <c r="CL27" s="110"/>
      <c r="CM27" s="109"/>
      <c r="CN27" s="109"/>
      <c r="CO27" s="110"/>
      <c r="CP27" s="109"/>
      <c r="CQ27" s="109"/>
      <c r="CR27" s="110"/>
      <c r="CS27" s="109"/>
      <c r="CT27" s="109"/>
      <c r="CU27" s="110"/>
      <c r="CV27" s="109"/>
      <c r="CW27" s="109"/>
      <c r="CX27" s="110"/>
      <c r="CY27" s="109"/>
      <c r="CZ27" s="109"/>
      <c r="DA27" s="110"/>
      <c r="DB27" s="109"/>
      <c r="DC27" s="109"/>
      <c r="DD27" s="110"/>
      <c r="DE27" s="109"/>
      <c r="DF27" s="109"/>
      <c r="DG27" s="110"/>
      <c r="DH27" s="109"/>
      <c r="DI27" s="109"/>
      <c r="DJ27" s="110"/>
      <c r="DK27" s="109"/>
      <c r="DL27" s="109"/>
      <c r="DM27" s="110"/>
      <c r="DN27" s="109"/>
      <c r="DO27" s="109"/>
      <c r="DP27" s="110"/>
      <c r="DQ27" s="109"/>
      <c r="DR27" s="109"/>
      <c r="DS27" s="110"/>
      <c r="DT27" s="109"/>
      <c r="DU27" s="109"/>
      <c r="DV27" s="110"/>
      <c r="DW27" s="109"/>
      <c r="DX27" s="109"/>
      <c r="DY27" s="110"/>
      <c r="DZ27" s="109"/>
      <c r="EA27" s="109"/>
      <c r="EB27" s="110"/>
      <c r="EC27" s="109"/>
      <c r="ED27" s="109"/>
      <c r="EE27" s="110"/>
      <c r="EF27" s="109"/>
      <c r="EG27" s="109"/>
      <c r="EH27" s="110"/>
      <c r="EI27" s="109"/>
      <c r="EJ27" s="109"/>
      <c r="EK27" s="110"/>
      <c r="EL27" s="109"/>
      <c r="EM27" s="109"/>
      <c r="EN27" s="110"/>
      <c r="EO27" s="109"/>
      <c r="EP27" s="109"/>
      <c r="EQ27" s="110"/>
      <c r="ER27" s="109"/>
      <c r="ES27" s="109"/>
      <c r="ET27" s="110"/>
      <c r="EU27" s="109"/>
      <c r="EV27" s="109"/>
      <c r="EW27" s="110"/>
    </row>
    <row r="28" spans="1:153" ht="15.4" customHeight="1">
      <c r="A28" s="10" t="s">
        <v>1196</v>
      </c>
      <c r="B28" s="85">
        <v>46248</v>
      </c>
      <c r="C28" s="85">
        <v>46253</v>
      </c>
      <c r="D28" s="109"/>
      <c r="E28" s="109"/>
      <c r="F28" s="110"/>
      <c r="G28" s="109"/>
      <c r="H28" s="109"/>
      <c r="I28" s="110"/>
      <c r="J28" s="109"/>
      <c r="K28" s="109"/>
      <c r="L28" s="110"/>
      <c r="M28" s="109"/>
      <c r="N28" s="109"/>
      <c r="O28" s="110"/>
      <c r="P28" s="109"/>
      <c r="Q28" s="109"/>
      <c r="R28" s="110"/>
      <c r="S28" s="109"/>
      <c r="T28" s="109"/>
      <c r="U28" s="110"/>
      <c r="V28" s="109"/>
      <c r="W28" s="109"/>
      <c r="X28" s="110"/>
      <c r="Y28" s="109"/>
      <c r="Z28" s="109"/>
      <c r="AA28" s="110"/>
      <c r="AB28" s="109"/>
      <c r="AC28" s="109"/>
      <c r="AD28" s="110"/>
      <c r="AE28" s="109"/>
      <c r="AF28" s="109"/>
      <c r="AG28" s="110"/>
      <c r="AH28" s="109"/>
      <c r="AI28" s="109"/>
      <c r="AJ28" s="110"/>
      <c r="AK28" s="109"/>
      <c r="AL28" s="109"/>
      <c r="AM28" s="110"/>
      <c r="AN28" s="109"/>
      <c r="AO28" s="109"/>
      <c r="AP28" s="110"/>
      <c r="AQ28" s="109"/>
      <c r="AR28" s="109"/>
      <c r="AS28" s="110"/>
      <c r="AT28" s="109"/>
      <c r="AU28" s="109"/>
      <c r="AV28" s="110"/>
      <c r="AW28" s="109"/>
      <c r="AX28" s="109"/>
      <c r="AY28" s="110"/>
      <c r="AZ28" s="109"/>
      <c r="BA28" s="109"/>
      <c r="BB28" s="110"/>
      <c r="BC28" s="109"/>
      <c r="BD28" s="109"/>
      <c r="BE28" s="110"/>
      <c r="BF28" s="109"/>
      <c r="BG28" s="109"/>
      <c r="BH28" s="110"/>
      <c r="BI28" s="109"/>
      <c r="BJ28" s="109"/>
      <c r="BK28" s="110"/>
      <c r="BL28" s="109"/>
      <c r="BM28" s="109"/>
      <c r="BN28" s="110"/>
      <c r="BO28" s="109"/>
      <c r="BP28" s="109"/>
      <c r="BQ28" s="110"/>
      <c r="BR28" s="109"/>
      <c r="BS28" s="109"/>
      <c r="BT28" s="110"/>
      <c r="BU28" s="109"/>
      <c r="BV28" s="109"/>
      <c r="BW28" s="110"/>
      <c r="BX28" s="109"/>
      <c r="BY28" s="109"/>
      <c r="BZ28" s="110"/>
      <c r="CA28" s="109"/>
      <c r="CB28" s="109"/>
      <c r="CC28" s="110"/>
      <c r="CD28" s="109"/>
      <c r="CE28" s="109"/>
      <c r="CF28" s="110"/>
      <c r="CG28" s="109"/>
      <c r="CH28" s="109"/>
      <c r="CI28" s="110"/>
      <c r="CJ28" s="109"/>
      <c r="CK28" s="109"/>
      <c r="CL28" s="110"/>
      <c r="CM28" s="109"/>
      <c r="CN28" s="109"/>
      <c r="CO28" s="110"/>
      <c r="CP28" s="109"/>
      <c r="CQ28" s="109"/>
      <c r="CR28" s="110"/>
      <c r="CS28" s="109"/>
      <c r="CT28" s="109"/>
      <c r="CU28" s="110"/>
      <c r="CV28" s="109" t="s">
        <v>1188</v>
      </c>
      <c r="CW28" s="109"/>
      <c r="CX28" s="110"/>
      <c r="CY28" s="109"/>
      <c r="CZ28" s="109"/>
      <c r="DA28" s="110"/>
      <c r="DB28" s="109"/>
      <c r="DC28" s="109"/>
      <c r="DD28" s="110"/>
      <c r="DE28" s="109"/>
      <c r="DF28" s="109"/>
      <c r="DG28" s="110"/>
      <c r="DH28" s="109"/>
      <c r="DI28" s="109"/>
      <c r="DJ28" s="110"/>
      <c r="DK28" s="109"/>
      <c r="DL28" s="109"/>
      <c r="DM28" s="110"/>
      <c r="DN28" s="109"/>
      <c r="DO28" s="109"/>
      <c r="DP28" s="110"/>
      <c r="DQ28" s="109"/>
      <c r="DR28" s="109"/>
      <c r="DS28" s="110"/>
      <c r="DT28" s="109"/>
      <c r="DU28" s="109"/>
      <c r="DV28" s="110"/>
      <c r="DW28" s="109"/>
      <c r="DX28" s="109"/>
      <c r="DY28" s="110"/>
      <c r="DZ28" s="109"/>
      <c r="EA28" s="109"/>
      <c r="EB28" s="110"/>
      <c r="EC28" s="109"/>
      <c r="ED28" s="109"/>
      <c r="EE28" s="110"/>
      <c r="EF28" s="109"/>
      <c r="EG28" s="109"/>
      <c r="EH28" s="110"/>
      <c r="EI28" s="109"/>
      <c r="EJ28" s="109"/>
      <c r="EK28" s="110"/>
      <c r="EL28" s="109"/>
      <c r="EM28" s="109"/>
      <c r="EN28" s="110"/>
      <c r="EO28" s="109"/>
      <c r="EP28" s="109"/>
      <c r="EQ28" s="110"/>
      <c r="ER28" s="109"/>
      <c r="ES28" s="109"/>
      <c r="ET28" s="110"/>
      <c r="EU28" s="109"/>
      <c r="EV28" s="109"/>
      <c r="EW28" s="110"/>
    </row>
    <row r="29" spans="1:153" ht="15.4" hidden="1" customHeight="1">
      <c r="A29" s="10" t="s">
        <v>1197</v>
      </c>
      <c r="B29" s="85"/>
      <c r="C29" s="85"/>
      <c r="D29" s="109"/>
      <c r="E29" s="109"/>
      <c r="F29" s="110"/>
      <c r="G29" s="109"/>
      <c r="H29" s="109"/>
      <c r="I29" s="110"/>
      <c r="J29" s="109"/>
      <c r="K29" s="109"/>
      <c r="L29" s="110"/>
      <c r="M29" s="109"/>
      <c r="N29" s="109"/>
      <c r="O29" s="110"/>
      <c r="P29" s="109"/>
      <c r="Q29" s="109"/>
      <c r="R29" s="110"/>
      <c r="S29" s="109"/>
      <c r="T29" s="109"/>
      <c r="U29" s="110"/>
      <c r="V29" s="109"/>
      <c r="W29" s="109"/>
      <c r="X29" s="110"/>
      <c r="Y29" s="109"/>
      <c r="Z29" s="109"/>
      <c r="AA29" s="110"/>
      <c r="AB29" s="109"/>
      <c r="AC29" s="109"/>
      <c r="AD29" s="110"/>
      <c r="AE29" s="109"/>
      <c r="AF29" s="109"/>
      <c r="AG29" s="110"/>
      <c r="AH29" s="109"/>
      <c r="AI29" s="109"/>
      <c r="AJ29" s="110"/>
      <c r="AK29" s="109"/>
      <c r="AL29" s="109"/>
      <c r="AM29" s="110"/>
      <c r="AN29" s="109"/>
      <c r="AO29" s="109"/>
      <c r="AP29" s="110"/>
      <c r="AQ29" s="109"/>
      <c r="AR29" s="109"/>
      <c r="AS29" s="110"/>
      <c r="AT29" s="109"/>
      <c r="AU29" s="109"/>
      <c r="AV29" s="110"/>
      <c r="AW29" s="109"/>
      <c r="AX29" s="109"/>
      <c r="AY29" s="110"/>
      <c r="AZ29" s="109"/>
      <c r="BA29" s="109"/>
      <c r="BB29" s="110"/>
      <c r="BC29" s="109"/>
      <c r="BD29" s="109"/>
      <c r="BE29" s="110"/>
      <c r="BF29" s="109"/>
      <c r="BG29" s="109"/>
      <c r="BH29" s="110"/>
      <c r="BI29" s="109"/>
      <c r="BJ29" s="109"/>
      <c r="BK29" s="110"/>
      <c r="BL29" s="109"/>
      <c r="BM29" s="109"/>
      <c r="BN29" s="110"/>
      <c r="BO29" s="109"/>
      <c r="BP29" s="109"/>
      <c r="BQ29" s="110"/>
      <c r="BR29" s="109"/>
      <c r="BS29" s="109"/>
      <c r="BT29" s="110"/>
      <c r="BU29" s="109"/>
      <c r="BV29" s="109"/>
      <c r="BW29" s="110"/>
      <c r="BX29" s="109"/>
      <c r="BY29" s="109"/>
      <c r="BZ29" s="110"/>
      <c r="CA29" s="109"/>
      <c r="CB29" s="109"/>
      <c r="CC29" s="110"/>
      <c r="CD29" s="109"/>
      <c r="CE29" s="109"/>
      <c r="CF29" s="110"/>
      <c r="CG29" s="109"/>
      <c r="CH29" s="109"/>
      <c r="CI29" s="110"/>
      <c r="CJ29" s="109"/>
      <c r="CK29" s="109"/>
      <c r="CL29" s="110"/>
      <c r="CM29" s="109"/>
      <c r="CN29" s="109"/>
      <c r="CO29" s="110"/>
      <c r="CP29" s="109"/>
      <c r="CQ29" s="109"/>
      <c r="CR29" s="110"/>
      <c r="CS29" s="109"/>
      <c r="CT29" s="109"/>
      <c r="CU29" s="110"/>
      <c r="CV29" s="109"/>
      <c r="CW29" s="109"/>
      <c r="CX29" s="110"/>
      <c r="CY29" s="109"/>
      <c r="CZ29" s="109"/>
      <c r="DA29" s="110"/>
      <c r="DB29" s="109"/>
      <c r="DC29" s="109"/>
      <c r="DD29" s="110"/>
      <c r="DE29" s="109"/>
      <c r="DF29" s="109"/>
      <c r="DG29" s="110"/>
      <c r="DH29" s="109"/>
      <c r="DI29" s="109"/>
      <c r="DJ29" s="110"/>
      <c r="DK29" s="109"/>
      <c r="DL29" s="109"/>
      <c r="DM29" s="110"/>
      <c r="DN29" s="109"/>
      <c r="DO29" s="109"/>
      <c r="DP29" s="110"/>
      <c r="DQ29" s="109"/>
      <c r="DR29" s="109"/>
      <c r="DS29" s="110"/>
      <c r="DT29" s="109"/>
      <c r="DU29" s="109"/>
      <c r="DV29" s="110"/>
      <c r="DW29" s="109"/>
      <c r="DX29" s="109"/>
      <c r="DY29" s="110"/>
      <c r="DZ29" s="109"/>
      <c r="EA29" s="109"/>
      <c r="EB29" s="110"/>
      <c r="EC29" s="109"/>
      <c r="ED29" s="109"/>
      <c r="EE29" s="110"/>
      <c r="EF29" s="109"/>
      <c r="EG29" s="109"/>
      <c r="EH29" s="110"/>
      <c r="EI29" s="109"/>
      <c r="EJ29" s="109"/>
      <c r="EK29" s="110"/>
      <c r="EL29" s="109"/>
      <c r="EM29" s="109"/>
      <c r="EN29" s="110"/>
      <c r="EO29" s="109"/>
      <c r="EP29" s="109"/>
      <c r="EQ29" s="110"/>
      <c r="ER29" s="109"/>
      <c r="ES29" s="109"/>
      <c r="ET29" s="110"/>
      <c r="EU29" s="109"/>
      <c r="EV29" s="109"/>
      <c r="EW29" s="110"/>
    </row>
    <row r="30" spans="1:153" ht="15.4" hidden="1" customHeight="1">
      <c r="A30" s="10" t="s">
        <v>1198</v>
      </c>
      <c r="B30" s="85"/>
      <c r="C30" s="85"/>
      <c r="D30" s="109"/>
      <c r="E30" s="109"/>
      <c r="F30" s="110"/>
      <c r="G30" s="109"/>
      <c r="H30" s="109"/>
      <c r="I30" s="110"/>
      <c r="J30" s="109"/>
      <c r="K30" s="109"/>
      <c r="L30" s="110"/>
      <c r="M30" s="109"/>
      <c r="N30" s="109"/>
      <c r="O30" s="110"/>
      <c r="P30" s="109"/>
      <c r="Q30" s="109"/>
      <c r="R30" s="110"/>
      <c r="S30" s="109"/>
      <c r="T30" s="109"/>
      <c r="U30" s="110"/>
      <c r="V30" s="109"/>
      <c r="W30" s="109"/>
      <c r="X30" s="110"/>
      <c r="Y30" s="109"/>
      <c r="Z30" s="109"/>
      <c r="AA30" s="110"/>
      <c r="AB30" s="109"/>
      <c r="AC30" s="109"/>
      <c r="AD30" s="110"/>
      <c r="AE30" s="109"/>
      <c r="AF30" s="109"/>
      <c r="AG30" s="110"/>
      <c r="AH30" s="109"/>
      <c r="AI30" s="109"/>
      <c r="AJ30" s="110"/>
      <c r="AK30" s="109"/>
      <c r="AL30" s="109"/>
      <c r="AM30" s="110"/>
      <c r="AN30" s="109"/>
      <c r="AO30" s="109"/>
      <c r="AP30" s="110"/>
      <c r="AQ30" s="109"/>
      <c r="AR30" s="109"/>
      <c r="AS30" s="110"/>
      <c r="AT30" s="109"/>
      <c r="AU30" s="109"/>
      <c r="AV30" s="110"/>
      <c r="AW30" s="109"/>
      <c r="AX30" s="109"/>
      <c r="AY30" s="110"/>
      <c r="AZ30" s="109"/>
      <c r="BA30" s="109"/>
      <c r="BB30" s="110"/>
      <c r="BC30" s="109"/>
      <c r="BD30" s="109"/>
      <c r="BE30" s="110"/>
      <c r="BF30" s="109"/>
      <c r="BG30" s="109"/>
      <c r="BH30" s="110"/>
      <c r="BI30" s="109"/>
      <c r="BJ30" s="109"/>
      <c r="BK30" s="110"/>
      <c r="BL30" s="109"/>
      <c r="BM30" s="109"/>
      <c r="BN30" s="110"/>
      <c r="BO30" s="109"/>
      <c r="BP30" s="109"/>
      <c r="BQ30" s="110"/>
      <c r="BR30" s="109"/>
      <c r="BS30" s="109"/>
      <c r="BT30" s="110"/>
      <c r="BU30" s="109"/>
      <c r="BV30" s="109"/>
      <c r="BW30" s="110"/>
      <c r="BX30" s="109"/>
      <c r="BY30" s="109"/>
      <c r="BZ30" s="110"/>
      <c r="CA30" s="109"/>
      <c r="CB30" s="109"/>
      <c r="CC30" s="110"/>
      <c r="CD30" s="109"/>
      <c r="CE30" s="109"/>
      <c r="CF30" s="110"/>
      <c r="CG30" s="109"/>
      <c r="CH30" s="109"/>
      <c r="CI30" s="110"/>
      <c r="CJ30" s="109"/>
      <c r="CK30" s="109"/>
      <c r="CL30" s="110"/>
      <c r="CM30" s="109"/>
      <c r="CN30" s="109"/>
      <c r="CO30" s="110"/>
      <c r="CP30" s="109"/>
      <c r="CQ30" s="109"/>
      <c r="CR30" s="110"/>
      <c r="CS30" s="109"/>
      <c r="CT30" s="109"/>
      <c r="CU30" s="110"/>
      <c r="CV30" s="109"/>
      <c r="CW30" s="109"/>
      <c r="CX30" s="110"/>
      <c r="CY30" s="109"/>
      <c r="CZ30" s="109"/>
      <c r="DA30" s="110"/>
      <c r="DB30" s="109"/>
      <c r="DC30" s="109"/>
      <c r="DD30" s="110"/>
      <c r="DE30" s="109"/>
      <c r="DF30" s="109"/>
      <c r="DG30" s="110"/>
      <c r="DH30" s="109"/>
      <c r="DI30" s="109"/>
      <c r="DJ30" s="110"/>
      <c r="DK30" s="109"/>
      <c r="DL30" s="109"/>
      <c r="DM30" s="110"/>
      <c r="DN30" s="109"/>
      <c r="DO30" s="109"/>
      <c r="DP30" s="110"/>
      <c r="DQ30" s="109"/>
      <c r="DR30" s="109"/>
      <c r="DS30" s="110"/>
      <c r="DT30" s="109"/>
      <c r="DU30" s="109"/>
      <c r="DV30" s="110"/>
      <c r="DW30" s="109"/>
      <c r="DX30" s="109"/>
      <c r="DY30" s="110"/>
      <c r="DZ30" s="109"/>
      <c r="EA30" s="109"/>
      <c r="EB30" s="110"/>
      <c r="EC30" s="109"/>
      <c r="ED30" s="109"/>
      <c r="EE30" s="110"/>
      <c r="EF30" s="109"/>
      <c r="EG30" s="109"/>
      <c r="EH30" s="110"/>
      <c r="EI30" s="109"/>
      <c r="EJ30" s="109"/>
      <c r="EK30" s="110"/>
      <c r="EL30" s="109"/>
      <c r="EM30" s="109"/>
      <c r="EN30" s="110"/>
      <c r="EO30" s="109"/>
      <c r="EP30" s="109"/>
      <c r="EQ30" s="110"/>
      <c r="ER30" s="109"/>
      <c r="ES30" s="109"/>
      <c r="ET30" s="110"/>
      <c r="EU30" s="109"/>
      <c r="EV30" s="109"/>
      <c r="EW30" s="110"/>
    </row>
    <row r="31" spans="1:153" ht="15.4" hidden="1" customHeight="1">
      <c r="A31" s="10" t="s">
        <v>1199</v>
      </c>
      <c r="B31" s="85"/>
      <c r="C31" s="85"/>
      <c r="D31" s="109"/>
      <c r="E31" s="109"/>
      <c r="F31" s="110"/>
      <c r="G31" s="109"/>
      <c r="H31" s="109"/>
      <c r="I31" s="110"/>
      <c r="J31" s="109"/>
      <c r="K31" s="109"/>
      <c r="L31" s="110"/>
      <c r="M31" s="109"/>
      <c r="N31" s="109"/>
      <c r="O31" s="110"/>
      <c r="P31" s="109"/>
      <c r="Q31" s="109"/>
      <c r="R31" s="110"/>
      <c r="S31" s="109"/>
      <c r="T31" s="109"/>
      <c r="U31" s="110"/>
      <c r="V31" s="109"/>
      <c r="W31" s="109"/>
      <c r="X31" s="110"/>
      <c r="Y31" s="109"/>
      <c r="Z31" s="109"/>
      <c r="AA31" s="110"/>
      <c r="AB31" s="109"/>
      <c r="AC31" s="109"/>
      <c r="AD31" s="110"/>
      <c r="AE31" s="109"/>
      <c r="AF31" s="109"/>
      <c r="AG31" s="110"/>
      <c r="AH31" s="109"/>
      <c r="AI31" s="109"/>
      <c r="AJ31" s="110"/>
      <c r="AK31" s="109"/>
      <c r="AL31" s="109"/>
      <c r="AM31" s="110"/>
      <c r="AN31" s="109"/>
      <c r="AO31" s="109"/>
      <c r="AP31" s="110"/>
      <c r="AQ31" s="109"/>
      <c r="AR31" s="109"/>
      <c r="AS31" s="110"/>
      <c r="AT31" s="109"/>
      <c r="AU31" s="109"/>
      <c r="AV31" s="110"/>
      <c r="AW31" s="109"/>
      <c r="AX31" s="109"/>
      <c r="AY31" s="110"/>
      <c r="AZ31" s="109"/>
      <c r="BA31" s="109"/>
      <c r="BB31" s="110"/>
      <c r="BC31" s="109"/>
      <c r="BD31" s="109"/>
      <c r="BE31" s="110"/>
      <c r="BF31" s="109"/>
      <c r="BG31" s="109"/>
      <c r="BH31" s="110"/>
      <c r="BI31" s="109"/>
      <c r="BJ31" s="109"/>
      <c r="BK31" s="110"/>
      <c r="BL31" s="109"/>
      <c r="BM31" s="109"/>
      <c r="BN31" s="110"/>
      <c r="BO31" s="109"/>
      <c r="BP31" s="109"/>
      <c r="BQ31" s="110"/>
      <c r="BR31" s="109"/>
      <c r="BS31" s="109"/>
      <c r="BT31" s="110"/>
      <c r="BU31" s="109"/>
      <c r="BV31" s="109"/>
      <c r="BW31" s="110"/>
      <c r="BX31" s="109"/>
      <c r="BY31" s="109"/>
      <c r="BZ31" s="110"/>
      <c r="CA31" s="109"/>
      <c r="CB31" s="109"/>
      <c r="CC31" s="110"/>
      <c r="CD31" s="109"/>
      <c r="CE31" s="109"/>
      <c r="CF31" s="110"/>
      <c r="CG31" s="109"/>
      <c r="CH31" s="109"/>
      <c r="CI31" s="110"/>
      <c r="CJ31" s="109"/>
      <c r="CK31" s="109"/>
      <c r="CL31" s="110"/>
      <c r="CM31" s="109"/>
      <c r="CN31" s="109"/>
      <c r="CO31" s="110"/>
      <c r="CP31" s="109"/>
      <c r="CQ31" s="109"/>
      <c r="CR31" s="110"/>
      <c r="CS31" s="109"/>
      <c r="CT31" s="109"/>
      <c r="CU31" s="110"/>
      <c r="CV31" s="109"/>
      <c r="CW31" s="109"/>
      <c r="CX31" s="110"/>
      <c r="CY31" s="109"/>
      <c r="CZ31" s="109"/>
      <c r="DA31" s="110"/>
      <c r="DB31" s="109"/>
      <c r="DC31" s="109"/>
      <c r="DD31" s="110"/>
      <c r="DE31" s="109"/>
      <c r="DF31" s="109"/>
      <c r="DG31" s="110"/>
      <c r="DH31" s="109"/>
      <c r="DI31" s="109"/>
      <c r="DJ31" s="110"/>
      <c r="DK31" s="109"/>
      <c r="DL31" s="109"/>
      <c r="DM31" s="110"/>
      <c r="DN31" s="109"/>
      <c r="DO31" s="109"/>
      <c r="DP31" s="110"/>
      <c r="DQ31" s="109"/>
      <c r="DR31" s="109"/>
      <c r="DS31" s="110"/>
      <c r="DT31" s="109"/>
      <c r="DU31" s="109"/>
      <c r="DV31" s="110"/>
      <c r="DW31" s="109"/>
      <c r="DX31" s="109"/>
      <c r="DY31" s="110"/>
      <c r="DZ31" s="109"/>
      <c r="EA31" s="109"/>
      <c r="EB31" s="110"/>
      <c r="EC31" s="109"/>
      <c r="ED31" s="109"/>
      <c r="EE31" s="110"/>
      <c r="EF31" s="109"/>
      <c r="EG31" s="109"/>
      <c r="EH31" s="110"/>
      <c r="EI31" s="109"/>
      <c r="EJ31" s="109"/>
      <c r="EK31" s="110"/>
      <c r="EL31" s="109"/>
      <c r="EM31" s="109"/>
      <c r="EN31" s="110"/>
      <c r="EO31" s="109"/>
      <c r="EP31" s="109"/>
      <c r="EQ31" s="110"/>
      <c r="ER31" s="109"/>
      <c r="ES31" s="109"/>
      <c r="ET31" s="110"/>
      <c r="EU31" s="109"/>
      <c r="EV31" s="109"/>
      <c r="EW31" s="110"/>
    </row>
    <row r="32" spans="1:153" ht="15.4" customHeight="1">
      <c r="A32" s="10" t="s">
        <v>1200</v>
      </c>
      <c r="B32" s="85">
        <v>46251</v>
      </c>
      <c r="C32" s="85">
        <v>46253</v>
      </c>
      <c r="D32" s="109"/>
      <c r="E32" s="109"/>
      <c r="F32" s="110"/>
      <c r="G32" s="109"/>
      <c r="H32" s="109"/>
      <c r="I32" s="110"/>
      <c r="J32" s="109"/>
      <c r="K32" s="109"/>
      <c r="L32" s="110"/>
      <c r="M32" s="109"/>
      <c r="N32" s="109"/>
      <c r="O32" s="110"/>
      <c r="P32" s="109"/>
      <c r="Q32" s="109"/>
      <c r="R32" s="110"/>
      <c r="S32" s="109"/>
      <c r="T32" s="109"/>
      <c r="U32" s="110"/>
      <c r="V32" s="109"/>
      <c r="W32" s="109"/>
      <c r="X32" s="110"/>
      <c r="Y32" s="109"/>
      <c r="Z32" s="109"/>
      <c r="AA32" s="110"/>
      <c r="AB32" s="109"/>
      <c r="AC32" s="109"/>
      <c r="AD32" s="110"/>
      <c r="AE32" s="109"/>
      <c r="AF32" s="109"/>
      <c r="AG32" s="110"/>
      <c r="AH32" s="109"/>
      <c r="AI32" s="109"/>
      <c r="AJ32" s="110"/>
      <c r="AK32" s="109"/>
      <c r="AL32" s="109"/>
      <c r="AM32" s="110"/>
      <c r="AN32" s="109"/>
      <c r="AO32" s="109"/>
      <c r="AP32" s="110"/>
      <c r="AQ32" s="109"/>
      <c r="AR32" s="109"/>
      <c r="AS32" s="110"/>
      <c r="AT32" s="109"/>
      <c r="AU32" s="109"/>
      <c r="AV32" s="110"/>
      <c r="AW32" s="109"/>
      <c r="AX32" s="109"/>
      <c r="AY32" s="110"/>
      <c r="AZ32" s="109"/>
      <c r="BA32" s="109"/>
      <c r="BB32" s="110"/>
      <c r="BC32" s="109"/>
      <c r="BD32" s="109"/>
      <c r="BE32" s="110"/>
      <c r="BF32" s="109"/>
      <c r="BG32" s="109"/>
      <c r="BH32" s="110"/>
      <c r="BI32" s="109"/>
      <c r="BJ32" s="109"/>
      <c r="BK32" s="110"/>
      <c r="BL32" s="109"/>
      <c r="BM32" s="109"/>
      <c r="BN32" s="110"/>
      <c r="BO32" s="109"/>
      <c r="BP32" s="109"/>
      <c r="BQ32" s="110"/>
      <c r="BR32" s="109"/>
      <c r="BS32" s="109"/>
      <c r="BT32" s="110"/>
      <c r="BU32" s="109"/>
      <c r="BV32" s="109"/>
      <c r="BW32" s="110"/>
      <c r="BX32" s="109"/>
      <c r="BY32" s="109"/>
      <c r="BZ32" s="110"/>
      <c r="CA32" s="109"/>
      <c r="CB32" s="109"/>
      <c r="CC32" s="110"/>
      <c r="CD32" s="109"/>
      <c r="CE32" s="109"/>
      <c r="CF32" s="110"/>
      <c r="CG32" s="109"/>
      <c r="CH32" s="109"/>
      <c r="CI32" s="110"/>
      <c r="CJ32" s="109"/>
      <c r="CK32" s="109"/>
      <c r="CL32" s="110"/>
      <c r="CM32" s="109"/>
      <c r="CN32" s="109"/>
      <c r="CO32" s="110"/>
      <c r="CP32" s="109"/>
      <c r="CQ32" s="109"/>
      <c r="CR32" s="110"/>
      <c r="CS32" s="109"/>
      <c r="CT32" s="109"/>
      <c r="CU32" s="110"/>
      <c r="CV32" s="109" t="s">
        <v>1188</v>
      </c>
      <c r="CW32" s="109"/>
      <c r="CX32" s="110"/>
      <c r="CY32" s="109"/>
      <c r="CZ32" s="109"/>
      <c r="DA32" s="110"/>
      <c r="DB32" s="109"/>
      <c r="DC32" s="109"/>
      <c r="DD32" s="110"/>
      <c r="DE32" s="109"/>
      <c r="DF32" s="109"/>
      <c r="DG32" s="110"/>
      <c r="DH32" s="109"/>
      <c r="DI32" s="109"/>
      <c r="DJ32" s="110"/>
      <c r="DK32" s="109"/>
      <c r="DL32" s="109"/>
      <c r="DM32" s="110"/>
      <c r="DN32" s="109"/>
      <c r="DO32" s="109"/>
      <c r="DP32" s="110"/>
      <c r="DQ32" s="109"/>
      <c r="DR32" s="109"/>
      <c r="DS32" s="110"/>
      <c r="DT32" s="109"/>
      <c r="DU32" s="109"/>
      <c r="DV32" s="110"/>
      <c r="DW32" s="109"/>
      <c r="DX32" s="109"/>
      <c r="DY32" s="110"/>
      <c r="DZ32" s="109"/>
      <c r="EA32" s="109"/>
      <c r="EB32" s="110"/>
      <c r="EC32" s="109"/>
      <c r="ED32" s="109"/>
      <c r="EE32" s="110"/>
      <c r="EF32" s="109"/>
      <c r="EG32" s="109"/>
      <c r="EH32" s="110"/>
      <c r="EI32" s="109"/>
      <c r="EJ32" s="109"/>
      <c r="EK32" s="110"/>
      <c r="EL32" s="109"/>
      <c r="EM32" s="109"/>
      <c r="EN32" s="110"/>
      <c r="EO32" s="109"/>
      <c r="EP32" s="109"/>
      <c r="EQ32" s="110"/>
      <c r="ER32" s="109"/>
      <c r="ES32" s="109"/>
      <c r="ET32" s="110"/>
      <c r="EU32" s="109"/>
      <c r="EV32" s="109"/>
      <c r="EW32" s="110"/>
    </row>
    <row r="33" spans="1:153" ht="15.4" customHeight="1">
      <c r="A33" s="10" t="s">
        <v>1201</v>
      </c>
      <c r="B33" s="196">
        <v>46254</v>
      </c>
      <c r="C33" s="226"/>
      <c r="D33" s="109"/>
      <c r="E33" s="109"/>
      <c r="F33" s="110"/>
      <c r="G33" s="109"/>
      <c r="H33" s="109"/>
      <c r="I33" s="110"/>
      <c r="J33" s="109"/>
      <c r="K33" s="109"/>
      <c r="L33" s="110"/>
      <c r="M33" s="109"/>
      <c r="N33" s="109"/>
      <c r="O33" s="110"/>
      <c r="P33" s="109"/>
      <c r="Q33" s="109"/>
      <c r="R33" s="110"/>
      <c r="S33" s="109"/>
      <c r="T33" s="109"/>
      <c r="U33" s="110"/>
      <c r="V33" s="109"/>
      <c r="W33" s="109"/>
      <c r="X33" s="110"/>
      <c r="Y33" s="109"/>
      <c r="Z33" s="109"/>
      <c r="AA33" s="110"/>
      <c r="AB33" s="109"/>
      <c r="AC33" s="109"/>
      <c r="AD33" s="110"/>
      <c r="AE33" s="109"/>
      <c r="AF33" s="109"/>
      <c r="AG33" s="110"/>
      <c r="AH33" s="109"/>
      <c r="AI33" s="109"/>
      <c r="AJ33" s="110"/>
      <c r="AK33" s="109"/>
      <c r="AL33" s="109"/>
      <c r="AM33" s="110"/>
      <c r="AN33" s="109"/>
      <c r="AO33" s="109"/>
      <c r="AP33" s="110"/>
      <c r="AQ33" s="109"/>
      <c r="AR33" s="109"/>
      <c r="AS33" s="110"/>
      <c r="AT33" s="109"/>
      <c r="AU33" s="109"/>
      <c r="AV33" s="110"/>
      <c r="AW33" s="109"/>
      <c r="AX33" s="109"/>
      <c r="AY33" s="110"/>
      <c r="AZ33" s="109"/>
      <c r="BA33" s="109"/>
      <c r="BB33" s="110"/>
      <c r="BC33" s="109"/>
      <c r="BD33" s="109"/>
      <c r="BE33" s="110"/>
      <c r="BF33" s="109"/>
      <c r="BG33" s="109"/>
      <c r="BH33" s="110"/>
      <c r="BI33" s="109"/>
      <c r="BJ33" s="109"/>
      <c r="BK33" s="110"/>
      <c r="BL33" s="109"/>
      <c r="BM33" s="109"/>
      <c r="BN33" s="110"/>
      <c r="BO33" s="109"/>
      <c r="BP33" s="109"/>
      <c r="BQ33" s="110"/>
      <c r="BR33" s="109"/>
      <c r="BS33" s="109"/>
      <c r="BT33" s="110"/>
      <c r="BU33" s="109"/>
      <c r="BV33" s="109"/>
      <c r="BW33" s="110"/>
      <c r="BX33" s="109"/>
      <c r="BY33" s="109"/>
      <c r="BZ33" s="110"/>
      <c r="CA33" s="109"/>
      <c r="CB33" s="109"/>
      <c r="CC33" s="110"/>
      <c r="CD33" s="109"/>
      <c r="CE33" s="109"/>
      <c r="CF33" s="110"/>
      <c r="CG33" s="109"/>
      <c r="CH33" s="109"/>
      <c r="CI33" s="110"/>
      <c r="CJ33" s="109"/>
      <c r="CK33" s="109"/>
      <c r="CL33" s="110"/>
      <c r="CM33" s="109"/>
      <c r="CN33" s="109"/>
      <c r="CO33" s="110"/>
      <c r="CP33" s="109"/>
      <c r="CQ33" s="109"/>
      <c r="CR33" s="110"/>
      <c r="CS33" s="109"/>
      <c r="CT33" s="109"/>
      <c r="CU33" s="110"/>
      <c r="CV33" s="109"/>
      <c r="CW33" s="109"/>
      <c r="CX33" s="110"/>
      <c r="CY33" s="109" t="s">
        <v>1202</v>
      </c>
      <c r="CZ33" s="109"/>
      <c r="DA33" s="110"/>
      <c r="DB33" s="109"/>
      <c r="DC33" s="109"/>
      <c r="DD33" s="110"/>
      <c r="DE33" s="109"/>
      <c r="DF33" s="109"/>
      <c r="DG33" s="110"/>
      <c r="DH33" s="109"/>
      <c r="DI33" s="109"/>
      <c r="DJ33" s="110"/>
      <c r="DK33" s="109"/>
      <c r="DL33" s="109"/>
      <c r="DM33" s="110"/>
      <c r="DN33" s="109"/>
      <c r="DO33" s="109"/>
      <c r="DP33" s="110"/>
      <c r="DQ33" s="109"/>
      <c r="DR33" s="109"/>
      <c r="DS33" s="110"/>
      <c r="DT33" s="109"/>
      <c r="DU33" s="109"/>
      <c r="DV33" s="110"/>
      <c r="DW33" s="109"/>
      <c r="DX33" s="109"/>
      <c r="DY33" s="110"/>
      <c r="DZ33" s="109"/>
      <c r="EA33" s="109"/>
      <c r="EB33" s="110"/>
      <c r="EC33" s="109"/>
      <c r="ED33" s="109"/>
      <c r="EE33" s="110"/>
      <c r="EF33" s="109"/>
      <c r="EG33" s="109"/>
      <c r="EH33" s="110"/>
      <c r="EI33" s="109"/>
      <c r="EJ33" s="109"/>
      <c r="EK33" s="110"/>
      <c r="EL33" s="109"/>
      <c r="EM33" s="109"/>
      <c r="EN33" s="110"/>
      <c r="EO33" s="109"/>
      <c r="EP33" s="109"/>
      <c r="EQ33" s="110"/>
      <c r="ER33" s="109"/>
      <c r="ES33" s="109"/>
      <c r="ET33" s="110"/>
      <c r="EU33" s="109"/>
      <c r="EV33" s="109"/>
      <c r="EW33" s="110"/>
    </row>
    <row r="34" spans="1:153" ht="15.4" customHeight="1">
      <c r="A34" s="10" t="s">
        <v>1203</v>
      </c>
      <c r="B34" s="196">
        <v>46255</v>
      </c>
      <c r="C34" s="226"/>
      <c r="D34" s="109"/>
      <c r="E34" s="109"/>
      <c r="F34" s="110"/>
      <c r="G34" s="109"/>
      <c r="H34" s="109"/>
      <c r="I34" s="110"/>
      <c r="J34" s="109"/>
      <c r="K34" s="109"/>
      <c r="L34" s="110"/>
      <c r="M34" s="109"/>
      <c r="N34" s="109"/>
      <c r="O34" s="110"/>
      <c r="P34" s="109"/>
      <c r="Q34" s="109"/>
      <c r="R34" s="110"/>
      <c r="S34" s="109"/>
      <c r="T34" s="109"/>
      <c r="U34" s="110"/>
      <c r="V34" s="109"/>
      <c r="W34" s="109"/>
      <c r="X34" s="110"/>
      <c r="Y34" s="109"/>
      <c r="Z34" s="109"/>
      <c r="AA34" s="110"/>
      <c r="AB34" s="109"/>
      <c r="AC34" s="109"/>
      <c r="AD34" s="110"/>
      <c r="AE34" s="109"/>
      <c r="AF34" s="109"/>
      <c r="AG34" s="110"/>
      <c r="AH34" s="109"/>
      <c r="AI34" s="109"/>
      <c r="AJ34" s="110"/>
      <c r="AK34" s="109"/>
      <c r="AL34" s="109"/>
      <c r="AM34" s="110"/>
      <c r="AN34" s="109"/>
      <c r="AO34" s="109"/>
      <c r="AP34" s="110"/>
      <c r="AQ34" s="109"/>
      <c r="AR34" s="109"/>
      <c r="AS34" s="110"/>
      <c r="AT34" s="109"/>
      <c r="AU34" s="109"/>
      <c r="AV34" s="110"/>
      <c r="AW34" s="109"/>
      <c r="AX34" s="109"/>
      <c r="AY34" s="110"/>
      <c r="AZ34" s="109"/>
      <c r="BA34" s="109"/>
      <c r="BB34" s="110"/>
      <c r="BC34" s="109"/>
      <c r="BD34" s="109"/>
      <c r="BE34" s="110"/>
      <c r="BF34" s="109"/>
      <c r="BG34" s="109"/>
      <c r="BH34" s="110"/>
      <c r="BI34" s="109"/>
      <c r="BJ34" s="109"/>
      <c r="BK34" s="110"/>
      <c r="BL34" s="109"/>
      <c r="BM34" s="109"/>
      <c r="BN34" s="110"/>
      <c r="BO34" s="109"/>
      <c r="BP34" s="109"/>
      <c r="BQ34" s="110"/>
      <c r="BR34" s="109"/>
      <c r="BS34" s="109"/>
      <c r="BT34" s="110"/>
      <c r="BU34" s="109"/>
      <c r="BV34" s="109"/>
      <c r="BW34" s="110"/>
      <c r="BX34" s="109"/>
      <c r="BY34" s="109"/>
      <c r="BZ34" s="110"/>
      <c r="CA34" s="109"/>
      <c r="CB34" s="109"/>
      <c r="CC34" s="110"/>
      <c r="CD34" s="109"/>
      <c r="CE34" s="109"/>
      <c r="CF34" s="110"/>
      <c r="CG34" s="109"/>
      <c r="CH34" s="109"/>
      <c r="CI34" s="110"/>
      <c r="CJ34" s="109"/>
      <c r="CK34" s="109"/>
      <c r="CL34" s="110"/>
      <c r="CM34" s="109"/>
      <c r="CN34" s="109"/>
      <c r="CO34" s="110"/>
      <c r="CP34" s="109"/>
      <c r="CQ34" s="109"/>
      <c r="CR34" s="110"/>
      <c r="CS34" s="109"/>
      <c r="CT34" s="109"/>
      <c r="CU34" s="110"/>
      <c r="CV34" s="109"/>
      <c r="CW34" s="109"/>
      <c r="CX34" s="110"/>
      <c r="CY34" s="109"/>
      <c r="CZ34" s="109"/>
      <c r="DA34" s="110"/>
      <c r="DB34" s="109" t="s">
        <v>1204</v>
      </c>
      <c r="DC34" s="109"/>
      <c r="DD34" s="110"/>
      <c r="DE34" s="109"/>
      <c r="DF34" s="109"/>
      <c r="DG34" s="110"/>
      <c r="DH34" s="109"/>
      <c r="DI34" s="109"/>
      <c r="DJ34" s="110"/>
      <c r="DK34" s="109"/>
      <c r="DL34" s="109"/>
      <c r="DM34" s="110"/>
      <c r="DN34" s="109"/>
      <c r="DO34" s="109"/>
      <c r="DP34" s="110"/>
      <c r="DQ34" s="109"/>
      <c r="DR34" s="109"/>
      <c r="DS34" s="110"/>
      <c r="DT34" s="109"/>
      <c r="DU34" s="109"/>
      <c r="DV34" s="110"/>
      <c r="DW34" s="109"/>
      <c r="DX34" s="109"/>
      <c r="DY34" s="110"/>
      <c r="DZ34" s="109"/>
      <c r="EA34" s="109"/>
      <c r="EB34" s="110"/>
      <c r="EC34" s="109"/>
      <c r="ED34" s="109"/>
      <c r="EE34" s="110"/>
      <c r="EF34" s="109"/>
      <c r="EG34" s="109"/>
      <c r="EH34" s="110"/>
      <c r="EI34" s="109"/>
      <c r="EJ34" s="109"/>
      <c r="EK34" s="110"/>
      <c r="EL34" s="109"/>
      <c r="EM34" s="109"/>
      <c r="EN34" s="110"/>
      <c r="EO34" s="109"/>
      <c r="EP34" s="109"/>
      <c r="EQ34" s="110"/>
      <c r="ER34" s="109"/>
      <c r="ES34" s="109"/>
      <c r="ET34" s="110"/>
      <c r="EU34" s="109"/>
      <c r="EV34" s="109"/>
      <c r="EW34" s="110"/>
    </row>
    <row r="35" spans="1:153" ht="15.4" customHeight="1">
      <c r="A35" s="10" t="s">
        <v>1205</v>
      </c>
      <c r="B35" s="196">
        <v>46256</v>
      </c>
      <c r="C35" s="226"/>
      <c r="D35" s="109"/>
      <c r="E35" s="109"/>
      <c r="F35" s="110"/>
      <c r="G35" s="109"/>
      <c r="H35" s="109"/>
      <c r="I35" s="110"/>
      <c r="J35" s="109"/>
      <c r="K35" s="109"/>
      <c r="L35" s="110"/>
      <c r="M35" s="109"/>
      <c r="N35" s="109"/>
      <c r="O35" s="110"/>
      <c r="P35" s="109"/>
      <c r="Q35" s="109"/>
      <c r="R35" s="110"/>
      <c r="S35" s="109"/>
      <c r="T35" s="109"/>
      <c r="U35" s="110"/>
      <c r="V35" s="109"/>
      <c r="W35" s="109"/>
      <c r="X35" s="110"/>
      <c r="Y35" s="109"/>
      <c r="Z35" s="109"/>
      <c r="AA35" s="110"/>
      <c r="AB35" s="109"/>
      <c r="AC35" s="109"/>
      <c r="AD35" s="110"/>
      <c r="AE35" s="109"/>
      <c r="AF35" s="109"/>
      <c r="AG35" s="110"/>
      <c r="AH35" s="109"/>
      <c r="AI35" s="109"/>
      <c r="AJ35" s="110"/>
      <c r="AK35" s="109"/>
      <c r="AL35" s="109"/>
      <c r="AM35" s="110"/>
      <c r="AN35" s="109"/>
      <c r="AO35" s="109"/>
      <c r="AP35" s="110"/>
      <c r="AQ35" s="109"/>
      <c r="AR35" s="109"/>
      <c r="AS35" s="110"/>
      <c r="AT35" s="109"/>
      <c r="AU35" s="109"/>
      <c r="AV35" s="110"/>
      <c r="AW35" s="109"/>
      <c r="AX35" s="109"/>
      <c r="AY35" s="110"/>
      <c r="AZ35" s="109"/>
      <c r="BA35" s="109"/>
      <c r="BB35" s="110"/>
      <c r="BC35" s="109"/>
      <c r="BD35" s="109"/>
      <c r="BE35" s="110"/>
      <c r="BF35" s="109"/>
      <c r="BG35" s="109"/>
      <c r="BH35" s="110"/>
      <c r="BI35" s="109"/>
      <c r="BJ35" s="109"/>
      <c r="BK35" s="110"/>
      <c r="BL35" s="109"/>
      <c r="BM35" s="109"/>
      <c r="BN35" s="110"/>
      <c r="BO35" s="109"/>
      <c r="BP35" s="109"/>
      <c r="BQ35" s="110"/>
      <c r="BR35" s="109"/>
      <c r="BS35" s="109"/>
      <c r="BT35" s="110"/>
      <c r="BU35" s="109"/>
      <c r="BV35" s="109"/>
      <c r="BW35" s="110"/>
      <c r="BX35" s="109"/>
      <c r="BY35" s="109"/>
      <c r="BZ35" s="110"/>
      <c r="CA35" s="109"/>
      <c r="CB35" s="109"/>
      <c r="CC35" s="110"/>
      <c r="CD35" s="109"/>
      <c r="CE35" s="109"/>
      <c r="CF35" s="110"/>
      <c r="CG35" s="109"/>
      <c r="CH35" s="109"/>
      <c r="CI35" s="110"/>
      <c r="CJ35" s="109"/>
      <c r="CK35" s="109"/>
      <c r="CL35" s="110"/>
      <c r="CM35" s="109"/>
      <c r="CN35" s="109"/>
      <c r="CO35" s="110"/>
      <c r="CP35" s="109"/>
      <c r="CQ35" s="109"/>
      <c r="CR35" s="110"/>
      <c r="CS35" s="109"/>
      <c r="CT35" s="109"/>
      <c r="CU35" s="110"/>
      <c r="CV35" s="109"/>
      <c r="CW35" s="109"/>
      <c r="CX35" s="110"/>
      <c r="CY35" s="109"/>
      <c r="CZ35" s="109"/>
      <c r="DA35" s="110"/>
      <c r="DB35" s="109"/>
      <c r="DC35" s="109"/>
      <c r="DD35" s="110"/>
      <c r="DE35" s="109" t="s">
        <v>1206</v>
      </c>
      <c r="DF35" s="109"/>
      <c r="DG35" s="110"/>
      <c r="DH35" s="109"/>
      <c r="DI35" s="109"/>
      <c r="DJ35" s="110"/>
      <c r="DK35" s="109"/>
      <c r="DL35" s="109"/>
      <c r="DM35" s="110"/>
      <c r="DN35" s="109"/>
      <c r="DO35" s="109"/>
      <c r="DP35" s="110"/>
      <c r="DQ35" s="109"/>
      <c r="DR35" s="109"/>
      <c r="DS35" s="110"/>
      <c r="DT35" s="109"/>
      <c r="DU35" s="109"/>
      <c r="DV35" s="110"/>
      <c r="DW35" s="109"/>
      <c r="DX35" s="109"/>
      <c r="DY35" s="110"/>
      <c r="DZ35" s="109"/>
      <c r="EA35" s="109"/>
      <c r="EB35" s="110"/>
      <c r="EC35" s="109"/>
      <c r="ED35" s="109"/>
      <c r="EE35" s="110"/>
      <c r="EF35" s="109"/>
      <c r="EG35" s="109"/>
      <c r="EH35" s="110"/>
      <c r="EI35" s="109"/>
      <c r="EJ35" s="109"/>
      <c r="EK35" s="110"/>
      <c r="EL35" s="109"/>
      <c r="EM35" s="109"/>
      <c r="EN35" s="110"/>
      <c r="EO35" s="109"/>
      <c r="EP35" s="109"/>
      <c r="EQ35" s="110"/>
      <c r="ER35" s="109"/>
      <c r="ES35" s="109"/>
      <c r="ET35" s="110"/>
      <c r="EU35" s="109"/>
      <c r="EV35" s="109"/>
      <c r="EW35" s="110"/>
    </row>
    <row r="36" spans="1:153" ht="15.4" customHeight="1">
      <c r="A36" s="195" t="s">
        <v>1207</v>
      </c>
      <c r="B36" s="225"/>
      <c r="C36" s="226"/>
      <c r="D36" s="109"/>
      <c r="E36" s="109"/>
      <c r="F36" s="110"/>
      <c r="G36" s="109"/>
      <c r="H36" s="109"/>
      <c r="I36" s="110"/>
      <c r="J36" s="109"/>
      <c r="K36" s="109"/>
      <c r="L36" s="110"/>
      <c r="M36" s="109"/>
      <c r="N36" s="109"/>
      <c r="O36" s="110"/>
      <c r="P36" s="109"/>
      <c r="Q36" s="109"/>
      <c r="R36" s="110"/>
      <c r="S36" s="109"/>
      <c r="T36" s="109"/>
      <c r="U36" s="110"/>
      <c r="V36" s="109"/>
      <c r="W36" s="109"/>
      <c r="X36" s="110"/>
      <c r="Y36" s="109"/>
      <c r="Z36" s="109"/>
      <c r="AA36" s="110"/>
      <c r="AB36" s="109"/>
      <c r="AC36" s="109"/>
      <c r="AD36" s="110"/>
      <c r="AE36" s="109"/>
      <c r="AF36" s="109"/>
      <c r="AG36" s="110"/>
      <c r="AH36" s="109"/>
      <c r="AI36" s="109"/>
      <c r="AJ36" s="110"/>
      <c r="AK36" s="109"/>
      <c r="AL36" s="109"/>
      <c r="AM36" s="110"/>
      <c r="AN36" s="109"/>
      <c r="AO36" s="109"/>
      <c r="AP36" s="110"/>
      <c r="AQ36" s="109"/>
      <c r="AR36" s="109"/>
      <c r="AS36" s="110"/>
      <c r="AT36" s="109"/>
      <c r="AU36" s="109"/>
      <c r="AV36" s="110"/>
      <c r="AW36" s="109"/>
      <c r="AX36" s="109"/>
      <c r="AY36" s="110"/>
      <c r="AZ36" s="109"/>
      <c r="BA36" s="109"/>
      <c r="BB36" s="110"/>
      <c r="BC36" s="109"/>
      <c r="BD36" s="109"/>
      <c r="BE36" s="110"/>
      <c r="BF36" s="109"/>
      <c r="BG36" s="109"/>
      <c r="BH36" s="110"/>
      <c r="BI36" s="109"/>
      <c r="BJ36" s="109"/>
      <c r="BK36" s="110"/>
      <c r="BL36" s="109"/>
      <c r="BM36" s="109"/>
      <c r="BN36" s="110"/>
      <c r="BO36" s="109"/>
      <c r="BP36" s="109"/>
      <c r="BQ36" s="110"/>
      <c r="BR36" s="109"/>
      <c r="BS36" s="109"/>
      <c r="BT36" s="110"/>
      <c r="BU36" s="109"/>
      <c r="BV36" s="109"/>
      <c r="BW36" s="110"/>
      <c r="BX36" s="109"/>
      <c r="BY36" s="109"/>
      <c r="BZ36" s="110"/>
      <c r="CA36" s="109"/>
      <c r="CB36" s="109"/>
      <c r="CC36" s="110"/>
      <c r="CD36" s="109"/>
      <c r="CE36" s="109"/>
      <c r="CF36" s="110"/>
      <c r="CG36" s="109"/>
      <c r="CH36" s="109"/>
      <c r="CI36" s="110"/>
      <c r="CJ36" s="109"/>
      <c r="CK36" s="109"/>
      <c r="CL36" s="110"/>
      <c r="CM36" s="109"/>
      <c r="CN36" s="109"/>
      <c r="CO36" s="110"/>
      <c r="CP36" s="109"/>
      <c r="CQ36" s="109"/>
      <c r="CR36" s="110"/>
      <c r="CS36" s="109"/>
      <c r="CT36" s="109"/>
      <c r="CU36" s="110"/>
      <c r="CV36" s="109"/>
      <c r="CW36" s="109"/>
      <c r="CX36" s="110"/>
      <c r="CY36" s="109"/>
      <c r="CZ36" s="109"/>
      <c r="DA36" s="110"/>
      <c r="DB36" s="109"/>
      <c r="DC36" s="109"/>
      <c r="DD36" s="110"/>
      <c r="DE36" s="109"/>
      <c r="DF36" s="109"/>
      <c r="DG36" s="110"/>
      <c r="DH36" s="109"/>
      <c r="DI36" s="109"/>
      <c r="DJ36" s="110"/>
      <c r="DK36" s="109"/>
      <c r="DL36" s="109"/>
      <c r="DM36" s="110"/>
      <c r="DN36" s="109"/>
      <c r="DO36" s="109"/>
      <c r="DP36" s="110"/>
      <c r="DQ36" s="109"/>
      <c r="DR36" s="109"/>
      <c r="DS36" s="110"/>
      <c r="DT36" s="109"/>
      <c r="DU36" s="109"/>
      <c r="DV36" s="110"/>
      <c r="DW36" s="109"/>
      <c r="DX36" s="109"/>
      <c r="DY36" s="110"/>
      <c r="DZ36" s="109"/>
      <c r="EA36" s="109"/>
      <c r="EB36" s="110"/>
      <c r="EC36" s="109"/>
      <c r="ED36" s="109"/>
      <c r="EE36" s="110"/>
      <c r="EF36" s="109"/>
      <c r="EG36" s="109"/>
      <c r="EH36" s="110"/>
      <c r="EI36" s="109"/>
      <c r="EJ36" s="109"/>
      <c r="EK36" s="110"/>
      <c r="EL36" s="109"/>
      <c r="EM36" s="109"/>
      <c r="EN36" s="110"/>
      <c r="EO36" s="109"/>
      <c r="EP36" s="109"/>
      <c r="EQ36" s="110"/>
      <c r="ER36" s="109"/>
      <c r="ES36" s="109"/>
      <c r="ET36" s="110"/>
      <c r="EU36" s="109"/>
      <c r="EV36" s="109"/>
      <c r="EW36" s="110"/>
    </row>
    <row r="37" spans="1:153" ht="15.4" customHeight="1">
      <c r="A37" s="10" t="s">
        <v>1208</v>
      </c>
      <c r="B37" s="85">
        <v>46257</v>
      </c>
      <c r="C37" s="85">
        <v>46258</v>
      </c>
      <c r="D37" s="109"/>
      <c r="E37" s="109"/>
      <c r="F37" s="110"/>
      <c r="G37" s="109"/>
      <c r="H37" s="109"/>
      <c r="I37" s="110"/>
      <c r="J37" s="109"/>
      <c r="K37" s="109"/>
      <c r="L37" s="110"/>
      <c r="M37" s="109"/>
      <c r="N37" s="109"/>
      <c r="O37" s="110"/>
      <c r="P37" s="109"/>
      <c r="Q37" s="109"/>
      <c r="R37" s="110"/>
      <c r="S37" s="109"/>
      <c r="T37" s="109"/>
      <c r="U37" s="110"/>
      <c r="V37" s="109"/>
      <c r="W37" s="109"/>
      <c r="X37" s="110"/>
      <c r="Y37" s="109"/>
      <c r="Z37" s="109"/>
      <c r="AA37" s="110"/>
      <c r="AB37" s="109"/>
      <c r="AC37" s="109"/>
      <c r="AD37" s="110"/>
      <c r="AE37" s="109"/>
      <c r="AF37" s="109"/>
      <c r="AG37" s="110"/>
      <c r="AH37" s="109"/>
      <c r="AI37" s="109"/>
      <c r="AJ37" s="110"/>
      <c r="AK37" s="109"/>
      <c r="AL37" s="109"/>
      <c r="AM37" s="110"/>
      <c r="AN37" s="109"/>
      <c r="AO37" s="109"/>
      <c r="AP37" s="110"/>
      <c r="AQ37" s="109"/>
      <c r="AR37" s="109"/>
      <c r="AS37" s="110"/>
      <c r="AT37" s="109"/>
      <c r="AU37" s="109"/>
      <c r="AV37" s="110"/>
      <c r="AW37" s="109"/>
      <c r="AX37" s="109"/>
      <c r="AY37" s="110"/>
      <c r="AZ37" s="109"/>
      <c r="BA37" s="109"/>
      <c r="BB37" s="110"/>
      <c r="BC37" s="109"/>
      <c r="BD37" s="109"/>
      <c r="BE37" s="110"/>
      <c r="BF37" s="109"/>
      <c r="BG37" s="109"/>
      <c r="BH37" s="110"/>
      <c r="BI37" s="109"/>
      <c r="BJ37" s="109"/>
      <c r="BK37" s="110"/>
      <c r="BL37" s="109"/>
      <c r="BM37" s="109"/>
      <c r="BN37" s="110"/>
      <c r="BO37" s="109"/>
      <c r="BP37" s="109"/>
      <c r="BQ37" s="110"/>
      <c r="BR37" s="109"/>
      <c r="BS37" s="109"/>
      <c r="BT37" s="110"/>
      <c r="BU37" s="109"/>
      <c r="BV37" s="109"/>
      <c r="BW37" s="110"/>
      <c r="BX37" s="109"/>
      <c r="BY37" s="109"/>
      <c r="BZ37" s="110"/>
      <c r="CA37" s="109"/>
      <c r="CB37" s="109"/>
      <c r="CC37" s="110"/>
      <c r="CD37" s="109"/>
      <c r="CE37" s="109"/>
      <c r="CF37" s="110"/>
      <c r="CG37" s="109"/>
      <c r="CH37" s="109"/>
      <c r="CI37" s="110"/>
      <c r="CJ37" s="109"/>
      <c r="CK37" s="109"/>
      <c r="CL37" s="110"/>
      <c r="CM37" s="109"/>
      <c r="CN37" s="109"/>
      <c r="CO37" s="110"/>
      <c r="CP37" s="109"/>
      <c r="CQ37" s="109"/>
      <c r="CR37" s="110"/>
      <c r="CS37" s="109"/>
      <c r="CT37" s="109"/>
      <c r="CU37" s="110"/>
      <c r="CV37" s="109"/>
      <c r="CW37" s="109"/>
      <c r="CX37" s="110"/>
      <c r="CY37" s="109"/>
      <c r="CZ37" s="109"/>
      <c r="DA37" s="110"/>
      <c r="DB37" s="109"/>
      <c r="DC37" s="109"/>
      <c r="DD37" s="110"/>
      <c r="DE37" s="109"/>
      <c r="DF37" s="109"/>
      <c r="DG37" s="110"/>
      <c r="DH37" s="109"/>
      <c r="DI37" s="109"/>
      <c r="DJ37" s="110"/>
      <c r="DK37" s="109" t="s">
        <v>1209</v>
      </c>
      <c r="DL37" s="109"/>
      <c r="DM37" s="110"/>
      <c r="DN37" s="109"/>
      <c r="DO37" s="109"/>
      <c r="DP37" s="110"/>
      <c r="DQ37" s="109"/>
      <c r="DR37" s="109"/>
      <c r="DS37" s="110"/>
      <c r="DT37" s="109"/>
      <c r="DU37" s="109"/>
      <c r="DV37" s="110"/>
      <c r="DW37" s="109"/>
      <c r="DX37" s="109"/>
      <c r="DY37" s="110"/>
      <c r="DZ37" s="109"/>
      <c r="EA37" s="109"/>
      <c r="EB37" s="110"/>
      <c r="EC37" s="109"/>
      <c r="ED37" s="109"/>
      <c r="EE37" s="110"/>
      <c r="EF37" s="109"/>
      <c r="EG37" s="109"/>
      <c r="EH37" s="110"/>
      <c r="EI37" s="109"/>
      <c r="EJ37" s="109"/>
      <c r="EK37" s="110"/>
      <c r="EL37" s="109"/>
      <c r="EM37" s="109"/>
      <c r="EN37" s="110"/>
      <c r="EO37" s="109"/>
      <c r="EP37" s="109"/>
      <c r="EQ37" s="110"/>
      <c r="ER37" s="109"/>
      <c r="ES37" s="109"/>
      <c r="ET37" s="110"/>
      <c r="EU37" s="109"/>
      <c r="EV37" s="109"/>
      <c r="EW37" s="110"/>
    </row>
    <row r="38" spans="1:153" ht="15.4" customHeight="1">
      <c r="A38" s="112" t="s">
        <v>1210</v>
      </c>
      <c r="B38" s="210">
        <v>46258</v>
      </c>
      <c r="C38" s="227"/>
      <c r="D38" s="113"/>
      <c r="E38" s="113"/>
      <c r="F38" s="114"/>
      <c r="G38" s="113"/>
      <c r="H38" s="113"/>
      <c r="I38" s="114"/>
      <c r="J38" s="113"/>
      <c r="K38" s="113"/>
      <c r="L38" s="114"/>
      <c r="M38" s="113"/>
      <c r="N38" s="113"/>
      <c r="O38" s="114"/>
      <c r="P38" s="113"/>
      <c r="Q38" s="113"/>
      <c r="R38" s="114"/>
      <c r="S38" s="113"/>
      <c r="T38" s="113"/>
      <c r="U38" s="114"/>
      <c r="V38" s="113"/>
      <c r="W38" s="113"/>
      <c r="X38" s="114"/>
      <c r="Y38" s="113"/>
      <c r="Z38" s="113"/>
      <c r="AA38" s="114"/>
      <c r="AB38" s="113"/>
      <c r="AC38" s="113"/>
      <c r="AD38" s="114"/>
      <c r="AE38" s="113"/>
      <c r="AF38" s="113"/>
      <c r="AG38" s="114"/>
      <c r="AH38" s="113"/>
      <c r="AI38" s="113"/>
      <c r="AJ38" s="114"/>
      <c r="AK38" s="113"/>
      <c r="AL38" s="113"/>
      <c r="AM38" s="114"/>
      <c r="AN38" s="113"/>
      <c r="AO38" s="113"/>
      <c r="AP38" s="114"/>
      <c r="AQ38" s="113"/>
      <c r="AR38" s="113"/>
      <c r="AS38" s="114"/>
      <c r="AT38" s="113"/>
      <c r="AU38" s="113"/>
      <c r="AV38" s="114"/>
      <c r="AW38" s="113"/>
      <c r="AX38" s="113"/>
      <c r="AY38" s="114"/>
      <c r="AZ38" s="113"/>
      <c r="BA38" s="113"/>
      <c r="BB38" s="114"/>
      <c r="BC38" s="113"/>
      <c r="BD38" s="113"/>
      <c r="BE38" s="114"/>
      <c r="BF38" s="113"/>
      <c r="BG38" s="113"/>
      <c r="BH38" s="114"/>
      <c r="BI38" s="113"/>
      <c r="BJ38" s="113"/>
      <c r="BK38" s="114"/>
      <c r="BL38" s="113"/>
      <c r="BM38" s="113"/>
      <c r="BN38" s="114"/>
      <c r="BO38" s="113"/>
      <c r="BP38" s="113"/>
      <c r="BQ38" s="114"/>
      <c r="BR38" s="113"/>
      <c r="BS38" s="113"/>
      <c r="BT38" s="114"/>
      <c r="BU38" s="113"/>
      <c r="BV38" s="113"/>
      <c r="BW38" s="114"/>
      <c r="BX38" s="113"/>
      <c r="BY38" s="113"/>
      <c r="BZ38" s="114"/>
      <c r="CA38" s="113"/>
      <c r="CB38" s="113"/>
      <c r="CC38" s="114"/>
      <c r="CD38" s="113"/>
      <c r="CE38" s="113"/>
      <c r="CF38" s="114"/>
      <c r="CG38" s="113"/>
      <c r="CH38" s="113"/>
      <c r="CI38" s="114"/>
      <c r="CJ38" s="113"/>
      <c r="CK38" s="113"/>
      <c r="CL38" s="114"/>
      <c r="CM38" s="113"/>
      <c r="CN38" s="113"/>
      <c r="CO38" s="114"/>
      <c r="CP38" s="113"/>
      <c r="CQ38" s="113"/>
      <c r="CR38" s="114"/>
      <c r="CS38" s="113"/>
      <c r="CT38" s="113"/>
      <c r="CU38" s="114"/>
      <c r="CV38" s="113"/>
      <c r="CW38" s="113"/>
      <c r="CX38" s="114"/>
      <c r="CY38" s="113"/>
      <c r="CZ38" s="113"/>
      <c r="DA38" s="114"/>
      <c r="DB38" s="113"/>
      <c r="DC38" s="113"/>
      <c r="DD38" s="114"/>
      <c r="DE38" s="113"/>
      <c r="DF38" s="113"/>
      <c r="DG38" s="114"/>
      <c r="DH38" s="113"/>
      <c r="DI38" s="113"/>
      <c r="DJ38" s="114"/>
      <c r="DK38" s="113" t="s">
        <v>1209</v>
      </c>
      <c r="DL38" s="113"/>
      <c r="DM38" s="114"/>
      <c r="DN38" s="113"/>
      <c r="DO38" s="113"/>
      <c r="DP38" s="114"/>
      <c r="DQ38" s="113"/>
      <c r="DR38" s="113"/>
      <c r="DS38" s="114"/>
      <c r="DT38" s="113"/>
      <c r="DU38" s="113"/>
      <c r="DV38" s="114"/>
      <c r="DW38" s="113"/>
      <c r="DX38" s="113"/>
      <c r="DY38" s="114"/>
      <c r="DZ38" s="113"/>
      <c r="EA38" s="113"/>
      <c r="EB38" s="114"/>
      <c r="EC38" s="113"/>
      <c r="ED38" s="113"/>
      <c r="EE38" s="114"/>
      <c r="EF38" s="113"/>
      <c r="EG38" s="113"/>
      <c r="EH38" s="114"/>
      <c r="EI38" s="113"/>
      <c r="EJ38" s="113"/>
      <c r="EK38" s="114"/>
      <c r="EL38" s="113"/>
      <c r="EM38" s="113"/>
      <c r="EN38" s="114"/>
      <c r="EO38" s="113"/>
      <c r="EP38" s="113"/>
      <c r="EQ38" s="114"/>
      <c r="ER38" s="113"/>
      <c r="ES38" s="113"/>
      <c r="ET38" s="114"/>
      <c r="EU38" s="113"/>
      <c r="EV38" s="113"/>
      <c r="EW38" s="114"/>
    </row>
    <row r="40" spans="1:153" ht="15.95" customHeight="1">
      <c r="A40" s="165" t="s">
        <v>1211</v>
      </c>
      <c r="B40" s="218"/>
      <c r="C40" s="218"/>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5"/>
      <c r="BT40" s="115"/>
      <c r="BU40" s="115"/>
      <c r="BV40" s="115"/>
      <c r="BW40" s="115"/>
      <c r="BX40" s="115"/>
      <c r="BY40" s="115"/>
      <c r="BZ40" s="115"/>
      <c r="CA40" s="115"/>
      <c r="CB40" s="115"/>
      <c r="CC40" s="115"/>
      <c r="CD40" s="115"/>
      <c r="CE40" s="115"/>
      <c r="CF40" s="115"/>
      <c r="CG40" s="115"/>
      <c r="CH40" s="115"/>
      <c r="CI40" s="115"/>
      <c r="CJ40" s="115"/>
      <c r="CK40" s="115"/>
      <c r="CL40" s="115"/>
      <c r="CM40" s="115"/>
      <c r="CN40" s="115"/>
      <c r="CO40" s="115"/>
      <c r="CP40" s="115"/>
      <c r="CQ40" s="115"/>
      <c r="CR40" s="115"/>
      <c r="CS40" s="115"/>
      <c r="CT40" s="115"/>
      <c r="CU40" s="115"/>
      <c r="CV40" s="115"/>
      <c r="CW40" s="115"/>
      <c r="CX40" s="115"/>
      <c r="CY40" s="115"/>
      <c r="CZ40" s="115"/>
      <c r="DA40" s="115"/>
      <c r="DB40" s="115"/>
      <c r="DC40" s="115"/>
      <c r="DD40" s="115"/>
      <c r="DE40" s="115"/>
      <c r="DF40" s="115"/>
      <c r="DG40" s="115"/>
      <c r="DH40" s="115"/>
      <c r="DI40" s="115"/>
      <c r="DJ40" s="115"/>
      <c r="DK40" s="115"/>
      <c r="DL40" s="115"/>
      <c r="DM40" s="115"/>
      <c r="DN40" s="115"/>
      <c r="DO40" s="115"/>
      <c r="DP40" s="115"/>
      <c r="DQ40" s="115"/>
      <c r="DR40" s="115"/>
      <c r="DS40" s="115"/>
      <c r="DT40" s="115"/>
      <c r="DU40" s="115"/>
      <c r="DV40" s="115"/>
      <c r="DW40" s="115"/>
      <c r="DX40" s="115"/>
      <c r="DY40" s="115"/>
      <c r="DZ40" s="115"/>
      <c r="EA40" s="115"/>
      <c r="EB40" s="115"/>
      <c r="EC40" s="115"/>
      <c r="ED40" s="115"/>
      <c r="EE40" s="115"/>
      <c r="EF40" s="115"/>
      <c r="EG40" s="115"/>
      <c r="EH40" s="115"/>
      <c r="EI40" s="115"/>
      <c r="EJ40" s="115"/>
      <c r="EK40" s="115"/>
      <c r="EL40" s="115"/>
      <c r="EM40" s="115"/>
      <c r="EN40" s="115"/>
      <c r="EO40" s="115"/>
      <c r="EP40" s="115"/>
      <c r="EQ40" s="115"/>
      <c r="ER40" s="115"/>
      <c r="ES40" s="115"/>
      <c r="ET40" s="115"/>
      <c r="EU40" s="115"/>
      <c r="EV40" s="115"/>
      <c r="EW40" s="115"/>
    </row>
    <row r="41" spans="1:153" ht="14.45" customHeight="1">
      <c r="A41" s="8" t="s">
        <v>1212</v>
      </c>
      <c r="B41" s="205">
        <f>IF($B$19="","",$B$19)</f>
        <v>46238</v>
      </c>
      <c r="C41" s="221"/>
      <c r="D41" s="150">
        <f t="shared" ref="D41:D48" ca="1" si="0">IF(AND(ISNUMBER($B41),$B41&gt;=TODAY()),$B41,9^9)</f>
        <v>387420489</v>
      </c>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5"/>
      <c r="CF41" s="115"/>
      <c r="CG41" s="115"/>
      <c r="CH41" s="115"/>
      <c r="CI41" s="115"/>
      <c r="CJ41" s="115"/>
      <c r="CK41" s="115"/>
      <c r="CL41" s="115"/>
      <c r="CM41" s="115"/>
      <c r="CN41" s="115"/>
      <c r="CO41" s="115"/>
      <c r="CP41" s="115"/>
      <c r="CQ41" s="115"/>
      <c r="CR41" s="115"/>
      <c r="CS41" s="115"/>
      <c r="CT41" s="115"/>
      <c r="CU41" s="115"/>
      <c r="CV41" s="115"/>
      <c r="CW41" s="115"/>
      <c r="CX41" s="115"/>
      <c r="CY41" s="115"/>
      <c r="CZ41" s="115"/>
      <c r="DA41" s="115"/>
      <c r="DB41" s="115"/>
      <c r="DC41" s="115"/>
      <c r="DD41" s="115"/>
      <c r="DE41" s="115"/>
      <c r="DF41" s="115"/>
      <c r="DG41" s="115"/>
      <c r="DH41" s="115"/>
      <c r="DI41" s="115"/>
      <c r="DJ41" s="115"/>
      <c r="DK41" s="115"/>
      <c r="DL41" s="115"/>
      <c r="DM41" s="115"/>
      <c r="DN41" s="115"/>
      <c r="DO41" s="115"/>
      <c r="DP41" s="115"/>
      <c r="DQ41" s="115"/>
      <c r="DR41" s="115"/>
      <c r="DS41" s="115"/>
      <c r="DT41" s="115"/>
      <c r="DU41" s="115"/>
      <c r="DV41" s="115"/>
      <c r="DW41" s="115"/>
      <c r="DX41" s="115"/>
      <c r="DY41" s="115"/>
      <c r="DZ41" s="115"/>
      <c r="EA41" s="115"/>
      <c r="EB41" s="115"/>
      <c r="EC41" s="115"/>
      <c r="ED41" s="115"/>
      <c r="EE41" s="115"/>
      <c r="EF41" s="115"/>
      <c r="EG41" s="115"/>
      <c r="EH41" s="115"/>
      <c r="EI41" s="115"/>
      <c r="EJ41" s="115"/>
      <c r="EK41" s="115"/>
      <c r="EL41" s="115"/>
      <c r="EM41" s="115"/>
      <c r="EN41" s="115"/>
      <c r="EO41" s="115"/>
      <c r="EP41" s="115"/>
      <c r="EQ41" s="115"/>
      <c r="ER41" s="115"/>
      <c r="ES41" s="115"/>
      <c r="ET41" s="115"/>
      <c r="EU41" s="115"/>
      <c r="EV41" s="115"/>
      <c r="EW41" s="115"/>
    </row>
    <row r="42" spans="1:153" ht="14.45" customHeight="1">
      <c r="A42" s="9" t="s">
        <v>1213</v>
      </c>
      <c r="B42" s="207">
        <f>IF($B$23="","",$B$23)</f>
        <v>46229</v>
      </c>
      <c r="C42" s="221"/>
      <c r="D42" s="150">
        <f t="shared" ca="1" si="0"/>
        <v>387420489</v>
      </c>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5"/>
      <c r="CF42" s="115"/>
      <c r="CG42" s="115"/>
      <c r="CH42" s="115"/>
      <c r="CI42" s="115"/>
      <c r="CJ42" s="115"/>
      <c r="CK42" s="115"/>
      <c r="CL42" s="115"/>
      <c r="CM42" s="115"/>
      <c r="CN42" s="115"/>
      <c r="CO42" s="115"/>
      <c r="CP42" s="115"/>
      <c r="CQ42" s="115"/>
      <c r="CR42" s="115"/>
      <c r="CS42" s="115"/>
      <c r="CT42" s="115"/>
      <c r="CU42" s="115"/>
      <c r="CV42" s="115"/>
      <c r="CW42" s="115"/>
      <c r="CX42" s="115"/>
      <c r="CY42" s="115"/>
      <c r="CZ42" s="115"/>
      <c r="DA42" s="115"/>
      <c r="DB42" s="115"/>
      <c r="DC42" s="115"/>
      <c r="DD42" s="115"/>
      <c r="DE42" s="115"/>
      <c r="DF42" s="115"/>
      <c r="DG42" s="115"/>
      <c r="DH42" s="115"/>
      <c r="DI42" s="115"/>
      <c r="DJ42" s="115"/>
      <c r="DK42" s="115"/>
      <c r="DL42" s="115"/>
      <c r="DM42" s="115"/>
      <c r="DN42" s="115"/>
      <c r="DO42" s="115"/>
      <c r="DP42" s="115"/>
      <c r="DQ42" s="115"/>
      <c r="DR42" s="115"/>
      <c r="DS42" s="115"/>
      <c r="DT42" s="115"/>
      <c r="DU42" s="115"/>
      <c r="DV42" s="115"/>
      <c r="DW42" s="115"/>
      <c r="DX42" s="115"/>
      <c r="DY42" s="115"/>
      <c r="DZ42" s="115"/>
      <c r="EA42" s="115"/>
      <c r="EB42" s="115"/>
      <c r="EC42" s="115"/>
      <c r="ED42" s="115"/>
      <c r="EE42" s="115"/>
      <c r="EF42" s="115"/>
      <c r="EG42" s="115"/>
      <c r="EH42" s="115"/>
      <c r="EI42" s="115"/>
      <c r="EJ42" s="115"/>
      <c r="EK42" s="115"/>
      <c r="EL42" s="115"/>
      <c r="EM42" s="115"/>
      <c r="EN42" s="115"/>
      <c r="EO42" s="115"/>
      <c r="EP42" s="115"/>
      <c r="EQ42" s="115"/>
      <c r="ER42" s="115"/>
      <c r="ES42" s="115"/>
      <c r="ET42" s="115"/>
      <c r="EU42" s="115"/>
      <c r="EV42" s="115"/>
      <c r="EW42" s="115"/>
    </row>
    <row r="43" spans="1:153" ht="14.45" customHeight="1">
      <c r="A43" s="8" t="s">
        <v>1214</v>
      </c>
      <c r="B43" s="205">
        <f>IF($C$23="","",$C$23)</f>
        <v>46239</v>
      </c>
      <c r="C43" s="221"/>
      <c r="D43" s="150">
        <f t="shared" ca="1" si="0"/>
        <v>387420489</v>
      </c>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c r="BZ43" s="115"/>
      <c r="CA43" s="115"/>
      <c r="CB43" s="115"/>
      <c r="CC43" s="115"/>
      <c r="CD43" s="115"/>
      <c r="CE43" s="115"/>
      <c r="CF43" s="115"/>
      <c r="CG43" s="115"/>
      <c r="CH43" s="115"/>
      <c r="CI43" s="115"/>
      <c r="CJ43" s="115"/>
      <c r="CK43" s="115"/>
      <c r="CL43" s="115"/>
      <c r="CM43" s="115"/>
      <c r="CN43" s="115"/>
      <c r="CO43" s="115"/>
      <c r="CP43" s="115"/>
      <c r="CQ43" s="115"/>
      <c r="CR43" s="115"/>
      <c r="CS43" s="115"/>
      <c r="CT43" s="115"/>
      <c r="CU43" s="115"/>
      <c r="CV43" s="115"/>
      <c r="CW43" s="115"/>
      <c r="CX43" s="115"/>
      <c r="CY43" s="115"/>
      <c r="CZ43" s="115"/>
      <c r="DA43" s="115"/>
      <c r="DB43" s="115"/>
      <c r="DC43" s="115"/>
      <c r="DD43" s="115"/>
      <c r="DE43" s="115"/>
      <c r="DF43" s="115"/>
      <c r="DG43" s="115"/>
      <c r="DH43" s="115"/>
      <c r="DI43" s="115"/>
      <c r="DJ43" s="115"/>
      <c r="DK43" s="115"/>
      <c r="DL43" s="115"/>
      <c r="DM43" s="115"/>
      <c r="DN43" s="115"/>
      <c r="DO43" s="115"/>
      <c r="DP43" s="115"/>
      <c r="DQ43" s="115"/>
      <c r="DR43" s="115"/>
      <c r="DS43" s="115"/>
      <c r="DT43" s="115"/>
      <c r="DU43" s="115"/>
      <c r="DV43" s="115"/>
      <c r="DW43" s="115"/>
      <c r="DX43" s="115"/>
      <c r="DY43" s="115"/>
      <c r="DZ43" s="115"/>
      <c r="EA43" s="115"/>
      <c r="EB43" s="115"/>
      <c r="EC43" s="115"/>
      <c r="ED43" s="115"/>
      <c r="EE43" s="115"/>
      <c r="EF43" s="115"/>
      <c r="EG43" s="115"/>
      <c r="EH43" s="115"/>
      <c r="EI43" s="115"/>
      <c r="EJ43" s="115"/>
      <c r="EK43" s="115"/>
      <c r="EL43" s="115"/>
      <c r="EM43" s="115"/>
      <c r="EN43" s="115"/>
      <c r="EO43" s="115"/>
      <c r="EP43" s="115"/>
      <c r="EQ43" s="115"/>
      <c r="ER43" s="115"/>
      <c r="ES43" s="115"/>
      <c r="ET43" s="115"/>
      <c r="EU43" s="115"/>
      <c r="EV43" s="115"/>
      <c r="EW43" s="115"/>
    </row>
    <row r="44" spans="1:153" ht="14.45" customHeight="1">
      <c r="A44" s="9" t="s">
        <v>1215</v>
      </c>
      <c r="B44" s="207">
        <f>IF($B$18="","",$B$18)</f>
        <v>46229</v>
      </c>
      <c r="C44" s="221"/>
      <c r="D44" s="150">
        <f t="shared" ca="1" si="0"/>
        <v>387420489</v>
      </c>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5"/>
      <c r="CB44" s="115"/>
      <c r="CC44" s="115"/>
      <c r="CD44" s="115"/>
      <c r="CE44" s="115"/>
      <c r="CF44" s="115"/>
      <c r="CG44" s="115"/>
      <c r="CH44" s="115"/>
      <c r="CI44" s="115"/>
      <c r="CJ44" s="115"/>
      <c r="CK44" s="115"/>
      <c r="CL44" s="115"/>
      <c r="CM44" s="115"/>
      <c r="CN44" s="115"/>
      <c r="CO44" s="115"/>
      <c r="CP44" s="115"/>
      <c r="CQ44" s="115"/>
      <c r="CR44" s="115"/>
      <c r="CS44" s="115"/>
      <c r="CT44" s="115"/>
      <c r="CU44" s="115"/>
      <c r="CV44" s="115"/>
      <c r="CW44" s="115"/>
      <c r="CX44" s="115"/>
      <c r="CY44" s="115"/>
      <c r="CZ44" s="115"/>
      <c r="DA44" s="115"/>
      <c r="DB44" s="115"/>
      <c r="DC44" s="115"/>
      <c r="DD44" s="115"/>
      <c r="DE44" s="115"/>
      <c r="DF44" s="115"/>
      <c r="DG44" s="115"/>
      <c r="DH44" s="115"/>
      <c r="DI44" s="115"/>
      <c r="DJ44" s="115"/>
      <c r="DK44" s="115"/>
      <c r="DL44" s="115"/>
      <c r="DM44" s="115"/>
      <c r="DN44" s="115"/>
      <c r="DO44" s="115"/>
      <c r="DP44" s="115"/>
      <c r="DQ44" s="115"/>
      <c r="DR44" s="115"/>
      <c r="DS44" s="115"/>
      <c r="DT44" s="115"/>
      <c r="DU44" s="115"/>
      <c r="DV44" s="115"/>
      <c r="DW44" s="115"/>
      <c r="DX44" s="115"/>
      <c r="DY44" s="115"/>
      <c r="DZ44" s="115"/>
      <c r="EA44" s="115"/>
      <c r="EB44" s="115"/>
      <c r="EC44" s="115"/>
      <c r="ED44" s="115"/>
      <c r="EE44" s="115"/>
      <c r="EF44" s="115"/>
      <c r="EG44" s="115"/>
      <c r="EH44" s="115"/>
      <c r="EI44" s="115"/>
      <c r="EJ44" s="115"/>
      <c r="EK44" s="115"/>
      <c r="EL44" s="115"/>
      <c r="EM44" s="115"/>
      <c r="EN44" s="115"/>
      <c r="EO44" s="115"/>
      <c r="EP44" s="115"/>
      <c r="EQ44" s="115"/>
      <c r="ER44" s="115"/>
      <c r="ES44" s="115"/>
      <c r="ET44" s="115"/>
      <c r="EU44" s="115"/>
      <c r="EV44" s="115"/>
      <c r="EW44" s="115"/>
    </row>
    <row r="45" spans="1:153" ht="14.45" customHeight="1">
      <c r="A45" s="8" t="s">
        <v>1216</v>
      </c>
      <c r="B45" s="205">
        <f>IF($C$18="","",$C$18)</f>
        <v>46236</v>
      </c>
      <c r="C45" s="221"/>
      <c r="D45" s="150">
        <f t="shared" ca="1" si="0"/>
        <v>387420489</v>
      </c>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5"/>
      <c r="CB45" s="115"/>
      <c r="CC45" s="115"/>
      <c r="CD45" s="115"/>
      <c r="CE45" s="115"/>
      <c r="CF45" s="115"/>
      <c r="CG45" s="115"/>
      <c r="CH45" s="115"/>
      <c r="CI45" s="115"/>
      <c r="CJ45" s="115"/>
      <c r="CK45" s="115"/>
      <c r="CL45" s="115"/>
      <c r="CM45" s="115"/>
      <c r="CN45" s="115"/>
      <c r="CO45" s="115"/>
      <c r="CP45" s="115"/>
      <c r="CQ45" s="115"/>
      <c r="CR45" s="115"/>
      <c r="CS45" s="115"/>
      <c r="CT45" s="115"/>
      <c r="CU45" s="115"/>
      <c r="CV45" s="115"/>
      <c r="CW45" s="115"/>
      <c r="CX45" s="115"/>
      <c r="CY45" s="115"/>
      <c r="CZ45" s="115"/>
      <c r="DA45" s="115"/>
      <c r="DB45" s="115"/>
      <c r="DC45" s="115"/>
      <c r="DD45" s="115"/>
      <c r="DE45" s="115"/>
      <c r="DF45" s="115"/>
      <c r="DG45" s="115"/>
      <c r="DH45" s="115"/>
      <c r="DI45" s="115"/>
      <c r="DJ45" s="115"/>
      <c r="DK45" s="115"/>
      <c r="DL45" s="115"/>
      <c r="DM45" s="115"/>
      <c r="DN45" s="115"/>
      <c r="DO45" s="115"/>
      <c r="DP45" s="115"/>
      <c r="DQ45" s="115"/>
      <c r="DR45" s="115"/>
      <c r="DS45" s="115"/>
      <c r="DT45" s="115"/>
      <c r="DU45" s="115"/>
      <c r="DV45" s="115"/>
      <c r="DW45" s="115"/>
      <c r="DX45" s="115"/>
      <c r="DY45" s="115"/>
      <c r="DZ45" s="115"/>
      <c r="EA45" s="115"/>
      <c r="EB45" s="115"/>
      <c r="EC45" s="115"/>
      <c r="ED45" s="115"/>
      <c r="EE45" s="115"/>
      <c r="EF45" s="115"/>
      <c r="EG45" s="115"/>
      <c r="EH45" s="115"/>
      <c r="EI45" s="115"/>
      <c r="EJ45" s="115"/>
      <c r="EK45" s="115"/>
      <c r="EL45" s="115"/>
      <c r="EM45" s="115"/>
      <c r="EN45" s="115"/>
      <c r="EO45" s="115"/>
      <c r="EP45" s="115"/>
      <c r="EQ45" s="115"/>
      <c r="ER45" s="115"/>
      <c r="ES45" s="115"/>
      <c r="ET45" s="115"/>
      <c r="EU45" s="115"/>
      <c r="EV45" s="115"/>
      <c r="EW45" s="115"/>
    </row>
    <row r="46" spans="1:153" ht="14.45" customHeight="1">
      <c r="A46" s="9" t="s">
        <v>1217</v>
      </c>
      <c r="B46" s="207">
        <f>IF($C$28="","",$C$28)</f>
        <v>46253</v>
      </c>
      <c r="C46" s="221"/>
      <c r="D46" s="150">
        <f t="shared" ca="1" si="0"/>
        <v>46253</v>
      </c>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5"/>
      <c r="CB46" s="115"/>
      <c r="CC46" s="115"/>
      <c r="CD46" s="115"/>
      <c r="CE46" s="115"/>
      <c r="CF46" s="115"/>
      <c r="CG46" s="115"/>
      <c r="CH46" s="115"/>
      <c r="CI46" s="115"/>
      <c r="CJ46" s="115"/>
      <c r="CK46" s="115"/>
      <c r="CL46" s="115"/>
      <c r="CM46" s="115"/>
      <c r="CN46" s="115"/>
      <c r="CO46" s="115"/>
      <c r="CP46" s="115"/>
      <c r="CQ46" s="115"/>
      <c r="CR46" s="115"/>
      <c r="CS46" s="115"/>
      <c r="CT46" s="115"/>
      <c r="CU46" s="115"/>
      <c r="CV46" s="115"/>
      <c r="CW46" s="115"/>
      <c r="CX46" s="115"/>
      <c r="CY46" s="115"/>
      <c r="CZ46" s="115"/>
      <c r="DA46" s="115"/>
      <c r="DB46" s="115"/>
      <c r="DC46" s="115"/>
      <c r="DD46" s="115"/>
      <c r="DE46" s="115"/>
      <c r="DF46" s="115"/>
      <c r="DG46" s="115"/>
      <c r="DH46" s="115"/>
      <c r="DI46" s="115"/>
      <c r="DJ46" s="115"/>
      <c r="DK46" s="115"/>
      <c r="DL46" s="115"/>
      <c r="DM46" s="115"/>
      <c r="DN46" s="115"/>
      <c r="DO46" s="115"/>
      <c r="DP46" s="115"/>
      <c r="DQ46" s="115"/>
      <c r="DR46" s="115"/>
      <c r="DS46" s="115"/>
      <c r="DT46" s="115"/>
      <c r="DU46" s="115"/>
      <c r="DV46" s="115"/>
      <c r="DW46" s="115"/>
      <c r="DX46" s="115"/>
      <c r="DY46" s="115"/>
      <c r="DZ46" s="115"/>
      <c r="EA46" s="115"/>
      <c r="EB46" s="115"/>
      <c r="EC46" s="115"/>
      <c r="ED46" s="115"/>
      <c r="EE46" s="115"/>
      <c r="EF46" s="115"/>
      <c r="EG46" s="115"/>
      <c r="EH46" s="115"/>
      <c r="EI46" s="115"/>
      <c r="EJ46" s="115"/>
      <c r="EK46" s="115"/>
      <c r="EL46" s="115"/>
      <c r="EM46" s="115"/>
      <c r="EN46" s="115"/>
      <c r="EO46" s="115"/>
      <c r="EP46" s="115"/>
      <c r="EQ46" s="115"/>
      <c r="ER46" s="115"/>
      <c r="ES46" s="115"/>
      <c r="ET46" s="115"/>
      <c r="EU46" s="115"/>
      <c r="EV46" s="115"/>
      <c r="EW46" s="115"/>
    </row>
    <row r="47" spans="1:153" ht="14.45" customHeight="1">
      <c r="A47" s="8" t="s">
        <v>1218</v>
      </c>
      <c r="B47" s="205">
        <f>IF($B$37="","",$B$37)</f>
        <v>46257</v>
      </c>
      <c r="C47" s="221"/>
      <c r="D47" s="150">
        <f t="shared" ca="1" si="0"/>
        <v>46257</v>
      </c>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15"/>
      <c r="CF47" s="115"/>
      <c r="CG47" s="115"/>
      <c r="CH47" s="115"/>
      <c r="CI47" s="115"/>
      <c r="CJ47" s="115"/>
      <c r="CK47" s="115"/>
      <c r="CL47" s="115"/>
      <c r="CM47" s="115"/>
      <c r="CN47" s="115"/>
      <c r="CO47" s="115"/>
      <c r="CP47" s="115"/>
      <c r="CQ47" s="115"/>
      <c r="CR47" s="115"/>
      <c r="CS47" s="115"/>
      <c r="CT47" s="115"/>
      <c r="CU47" s="115"/>
      <c r="CV47" s="115"/>
      <c r="CW47" s="115"/>
      <c r="CX47" s="115"/>
      <c r="CY47" s="115"/>
      <c r="CZ47" s="115"/>
      <c r="DA47" s="115"/>
      <c r="DB47" s="115"/>
      <c r="DC47" s="115"/>
      <c r="DD47" s="115"/>
      <c r="DE47" s="115"/>
      <c r="DF47" s="115"/>
      <c r="DG47" s="115"/>
      <c r="DH47" s="115"/>
      <c r="DI47" s="115"/>
      <c r="DJ47" s="115"/>
      <c r="DK47" s="115"/>
      <c r="DL47" s="115"/>
      <c r="DM47" s="115"/>
      <c r="DN47" s="115"/>
      <c r="DO47" s="115"/>
      <c r="DP47" s="115"/>
      <c r="DQ47" s="115"/>
      <c r="DR47" s="115"/>
      <c r="DS47" s="115"/>
      <c r="DT47" s="115"/>
      <c r="DU47" s="115"/>
      <c r="DV47" s="115"/>
      <c r="DW47" s="115"/>
      <c r="DX47" s="115"/>
      <c r="DY47" s="115"/>
      <c r="DZ47" s="115"/>
      <c r="EA47" s="115"/>
      <c r="EB47" s="115"/>
      <c r="EC47" s="115"/>
      <c r="ED47" s="115"/>
      <c r="EE47" s="115"/>
      <c r="EF47" s="115"/>
      <c r="EG47" s="115"/>
      <c r="EH47" s="115"/>
      <c r="EI47" s="115"/>
      <c r="EJ47" s="115"/>
      <c r="EK47" s="115"/>
      <c r="EL47" s="115"/>
      <c r="EM47" s="115"/>
      <c r="EN47" s="115"/>
      <c r="EO47" s="115"/>
      <c r="EP47" s="115"/>
      <c r="EQ47" s="115"/>
      <c r="ER47" s="115"/>
      <c r="ES47" s="115"/>
      <c r="ET47" s="115"/>
      <c r="EU47" s="115"/>
      <c r="EV47" s="115"/>
      <c r="EW47" s="115"/>
    </row>
    <row r="48" spans="1:153" ht="14.45" customHeight="1">
      <c r="A48" s="9" t="s">
        <v>1219</v>
      </c>
      <c r="B48" s="207">
        <f>IF($B$38="","",$B$38)</f>
        <v>46258</v>
      </c>
      <c r="C48" s="221"/>
      <c r="D48" s="150">
        <f t="shared" ca="1" si="0"/>
        <v>46258</v>
      </c>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c r="DU48" s="115"/>
      <c r="DV48" s="115"/>
      <c r="DW48" s="115"/>
      <c r="DX48" s="115"/>
      <c r="DY48" s="115"/>
      <c r="DZ48" s="115"/>
      <c r="EA48" s="115"/>
      <c r="EB48" s="115"/>
      <c r="EC48" s="115"/>
      <c r="ED48" s="115"/>
      <c r="EE48" s="115"/>
      <c r="EF48" s="115"/>
      <c r="EG48" s="115"/>
      <c r="EH48" s="115"/>
      <c r="EI48" s="115"/>
      <c r="EJ48" s="115"/>
      <c r="EK48" s="115"/>
      <c r="EL48" s="115"/>
      <c r="EM48" s="115"/>
      <c r="EN48" s="115"/>
      <c r="EO48" s="115"/>
      <c r="EP48" s="115"/>
      <c r="EQ48" s="115"/>
      <c r="ER48" s="115"/>
      <c r="ES48" s="115"/>
      <c r="ET48" s="115"/>
      <c r="EU48" s="115"/>
      <c r="EV48" s="115"/>
      <c r="EW48" s="115"/>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D15:EW16 D14:BF14 BH14:EW14 D18:EW38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c r="A1" s="212" t="s">
        <v>1220</v>
      </c>
      <c r="B1" s="218"/>
      <c r="C1" s="218"/>
      <c r="D1" s="218"/>
      <c r="E1" s="218"/>
      <c r="F1" s="218"/>
      <c r="G1" s="218"/>
      <c r="H1" s="218"/>
      <c r="I1" s="218"/>
      <c r="J1" s="218"/>
      <c r="K1" s="218"/>
    </row>
    <row r="2" spans="1:11" ht="16.149999999999999" customHeight="1" thickBot="1">
      <c r="A2" s="211" t="s">
        <v>1221</v>
      </c>
      <c r="B2" s="218"/>
      <c r="C2" s="218"/>
      <c r="D2" s="218"/>
      <c r="E2" s="218"/>
      <c r="F2" s="218"/>
      <c r="G2" s="218"/>
      <c r="H2" s="218"/>
      <c r="I2" s="218"/>
      <c r="J2" s="218"/>
      <c r="K2" s="218"/>
    </row>
    <row r="3" spans="1:11" ht="27.75" customHeight="1" thickBot="1">
      <c r="A3" s="2" t="s">
        <v>1080</v>
      </c>
      <c r="B3" s="2" t="s">
        <v>1222</v>
      </c>
      <c r="C3" s="2" t="s">
        <v>4</v>
      </c>
      <c r="D3" s="2" t="s">
        <v>1223</v>
      </c>
      <c r="E3" s="2" t="s">
        <v>1224</v>
      </c>
      <c r="F3" s="2" t="s">
        <v>9</v>
      </c>
      <c r="G3" s="2" t="s">
        <v>1225</v>
      </c>
      <c r="H3" s="2" t="s">
        <v>1226</v>
      </c>
      <c r="I3" s="2" t="s">
        <v>1227</v>
      </c>
      <c r="J3" s="2" t="s">
        <v>1228</v>
      </c>
      <c r="K3" s="2" t="s">
        <v>1086</v>
      </c>
    </row>
    <row r="4" spans="1:11" ht="48" customHeight="1">
      <c r="A4" s="60">
        <f t="shared" ref="A4:A67" si="0">IF(COUNTA(B4:G4)&gt;0,ROW()-3,"")</f>
        <v>1</v>
      </c>
      <c r="B4" s="61">
        <v>30001575</v>
      </c>
      <c r="C4" s="62" t="s">
        <v>49</v>
      </c>
      <c r="D4" s="63" t="s">
        <v>1229</v>
      </c>
      <c r="E4" s="64" t="s">
        <v>1230</v>
      </c>
      <c r="F4" s="62" t="s">
        <v>1231</v>
      </c>
      <c r="G4" s="151" t="s">
        <v>1232</v>
      </c>
      <c r="H4" s="65" t="s">
        <v>1233</v>
      </c>
      <c r="I4" s="43"/>
      <c r="J4" s="43"/>
      <c r="K4" s="43"/>
    </row>
    <row r="5" spans="1:11" ht="60" customHeight="1">
      <c r="A5" s="60">
        <f t="shared" si="0"/>
        <v>2</v>
      </c>
      <c r="B5" s="66">
        <v>30001575</v>
      </c>
      <c r="C5" s="67" t="s">
        <v>49</v>
      </c>
      <c r="D5" s="68" t="s">
        <v>1234</v>
      </c>
      <c r="E5" s="69" t="s">
        <v>1235</v>
      </c>
      <c r="F5" s="67" t="s">
        <v>1231</v>
      </c>
      <c r="G5" s="151" t="s">
        <v>1236</v>
      </c>
      <c r="H5" s="65" t="s">
        <v>1233</v>
      </c>
      <c r="I5" s="43"/>
      <c r="J5" s="43"/>
      <c r="K5" s="43"/>
    </row>
    <row r="6" spans="1:11" ht="30" customHeight="1">
      <c r="A6" s="60">
        <f t="shared" si="0"/>
        <v>3</v>
      </c>
      <c r="B6" s="66">
        <v>30001575</v>
      </c>
      <c r="C6" s="67" t="s">
        <v>49</v>
      </c>
      <c r="D6" s="68" t="s">
        <v>1237</v>
      </c>
      <c r="E6" s="69" t="s">
        <v>1238</v>
      </c>
      <c r="F6" s="67" t="s">
        <v>1231</v>
      </c>
      <c r="G6" s="151" t="s">
        <v>1239</v>
      </c>
      <c r="H6" s="65" t="s">
        <v>1233</v>
      </c>
      <c r="I6" s="43"/>
      <c r="J6" s="43"/>
      <c r="K6" s="43"/>
    </row>
    <row r="7" spans="1:11" ht="30" customHeight="1">
      <c r="A7" s="60">
        <f t="shared" si="0"/>
        <v>4</v>
      </c>
      <c r="B7" s="66">
        <v>30001575</v>
      </c>
      <c r="C7" s="67" t="s">
        <v>49</v>
      </c>
      <c r="D7" s="68" t="s">
        <v>1240</v>
      </c>
      <c r="E7" s="69" t="s">
        <v>1241</v>
      </c>
      <c r="F7" s="67" t="s">
        <v>1231</v>
      </c>
      <c r="G7" s="151" t="s">
        <v>1242</v>
      </c>
      <c r="H7" s="65" t="s">
        <v>1233</v>
      </c>
      <c r="I7" s="43"/>
      <c r="J7" s="43"/>
      <c r="K7" s="43"/>
    </row>
    <row r="8" spans="1:11" ht="36" customHeight="1">
      <c r="A8" s="60">
        <f t="shared" si="0"/>
        <v>5</v>
      </c>
      <c r="B8" s="66">
        <v>30001575</v>
      </c>
      <c r="C8" s="67" t="s">
        <v>49</v>
      </c>
      <c r="D8" s="68" t="s">
        <v>1243</v>
      </c>
      <c r="E8" s="69" t="s">
        <v>1244</v>
      </c>
      <c r="F8" s="67" t="s">
        <v>1231</v>
      </c>
      <c r="G8" s="151" t="s">
        <v>1245</v>
      </c>
      <c r="H8" s="65" t="s">
        <v>1233</v>
      </c>
      <c r="I8" s="43"/>
      <c r="J8" s="43"/>
      <c r="K8" s="43"/>
    </row>
    <row r="9" spans="1:11" ht="36" customHeight="1">
      <c r="A9" s="60">
        <f t="shared" si="0"/>
        <v>6</v>
      </c>
      <c r="B9" s="66">
        <v>30001575</v>
      </c>
      <c r="C9" s="67" t="s">
        <v>49</v>
      </c>
      <c r="D9" s="68" t="s">
        <v>1246</v>
      </c>
      <c r="E9" s="69" t="s">
        <v>1247</v>
      </c>
      <c r="F9" s="67" t="s">
        <v>1231</v>
      </c>
      <c r="G9" s="151" t="s">
        <v>1248</v>
      </c>
      <c r="H9" s="65" t="s">
        <v>1233</v>
      </c>
      <c r="I9" s="43"/>
      <c r="J9" s="43"/>
      <c r="K9" s="43"/>
    </row>
    <row r="10" spans="1:11" ht="30" customHeight="1">
      <c r="A10" s="60">
        <f t="shared" si="0"/>
        <v>7</v>
      </c>
      <c r="B10" s="66">
        <v>30001575</v>
      </c>
      <c r="C10" s="67" t="s">
        <v>49</v>
      </c>
      <c r="D10" s="68" t="s">
        <v>1249</v>
      </c>
      <c r="E10" s="69" t="s">
        <v>1250</v>
      </c>
      <c r="F10" s="67" t="s">
        <v>1231</v>
      </c>
      <c r="G10" s="151" t="s">
        <v>1251</v>
      </c>
      <c r="H10" s="65" t="s">
        <v>1233</v>
      </c>
      <c r="I10" s="43"/>
      <c r="J10" s="43"/>
      <c r="K10" s="43"/>
    </row>
    <row r="11" spans="1:11" ht="60" customHeight="1">
      <c r="A11" s="60">
        <f t="shared" si="0"/>
        <v>8</v>
      </c>
      <c r="B11" s="66">
        <v>30001575</v>
      </c>
      <c r="C11" s="67" t="s">
        <v>49</v>
      </c>
      <c r="D11" s="68" t="s">
        <v>1252</v>
      </c>
      <c r="E11" s="69" t="s">
        <v>1253</v>
      </c>
      <c r="F11" s="67" t="s">
        <v>1231</v>
      </c>
      <c r="G11" s="151" t="s">
        <v>1254</v>
      </c>
      <c r="H11" s="65" t="s">
        <v>1233</v>
      </c>
      <c r="I11" s="43"/>
      <c r="J11" s="43"/>
      <c r="K11" s="43"/>
    </row>
    <row r="12" spans="1:11" ht="90" customHeight="1">
      <c r="A12" s="60">
        <f t="shared" si="0"/>
        <v>9</v>
      </c>
      <c r="B12" s="66">
        <v>30001575</v>
      </c>
      <c r="C12" s="67" t="s">
        <v>49</v>
      </c>
      <c r="D12" s="68" t="s">
        <v>1255</v>
      </c>
      <c r="E12" s="69" t="s">
        <v>1256</v>
      </c>
      <c r="F12" s="67" t="s">
        <v>1231</v>
      </c>
      <c r="G12" s="151" t="s">
        <v>1257</v>
      </c>
      <c r="H12" s="65" t="s">
        <v>1233</v>
      </c>
      <c r="I12" s="43"/>
      <c r="J12" s="43"/>
      <c r="K12" s="43"/>
    </row>
    <row r="13" spans="1:11" ht="90" customHeight="1">
      <c r="A13" s="60">
        <f t="shared" si="0"/>
        <v>10</v>
      </c>
      <c r="B13" s="66">
        <v>30001575</v>
      </c>
      <c r="C13" s="67" t="s">
        <v>49</v>
      </c>
      <c r="D13" s="68" t="s">
        <v>1255</v>
      </c>
      <c r="E13" s="69" t="s">
        <v>1256</v>
      </c>
      <c r="F13" s="67" t="s">
        <v>1231</v>
      </c>
      <c r="G13" s="151" t="s">
        <v>1258</v>
      </c>
      <c r="H13" s="65" t="s">
        <v>1233</v>
      </c>
      <c r="I13" s="43"/>
      <c r="J13" s="43"/>
      <c r="K13" s="43"/>
    </row>
    <row r="14" spans="1:11" ht="30" customHeight="1">
      <c r="A14" s="60">
        <f t="shared" si="0"/>
        <v>11</v>
      </c>
      <c r="B14" s="66">
        <v>30001575</v>
      </c>
      <c r="C14" s="67" t="s">
        <v>49</v>
      </c>
      <c r="D14" s="68" t="s">
        <v>1259</v>
      </c>
      <c r="E14" s="69" t="s">
        <v>1260</v>
      </c>
      <c r="F14" s="67" t="s">
        <v>1231</v>
      </c>
      <c r="G14" s="151" t="s">
        <v>1261</v>
      </c>
      <c r="H14" s="65" t="s">
        <v>1233</v>
      </c>
      <c r="I14" s="43"/>
      <c r="J14" s="43"/>
      <c r="K14" s="43"/>
    </row>
    <row r="15" spans="1:11" ht="48" customHeight="1">
      <c r="A15" s="60">
        <f t="shared" si="0"/>
        <v>12</v>
      </c>
      <c r="B15" s="66">
        <v>30001575</v>
      </c>
      <c r="C15" s="67" t="s">
        <v>49</v>
      </c>
      <c r="D15" s="68" t="s">
        <v>1252</v>
      </c>
      <c r="E15" s="69" t="s">
        <v>1262</v>
      </c>
      <c r="F15" s="67" t="s">
        <v>1231</v>
      </c>
      <c r="G15" s="151" t="s">
        <v>1263</v>
      </c>
      <c r="H15" s="65" t="s">
        <v>1233</v>
      </c>
      <c r="I15" s="43"/>
      <c r="J15" s="43"/>
      <c r="K15" s="43"/>
    </row>
    <row r="16" spans="1:11" ht="30" customHeight="1">
      <c r="A16" s="60">
        <f t="shared" si="0"/>
        <v>13</v>
      </c>
      <c r="B16" s="66">
        <v>30001575</v>
      </c>
      <c r="C16" s="67" t="s">
        <v>49</v>
      </c>
      <c r="D16" s="68" t="s">
        <v>1259</v>
      </c>
      <c r="E16" s="69" t="s">
        <v>1264</v>
      </c>
      <c r="F16" s="67" t="s">
        <v>1231</v>
      </c>
      <c r="G16" s="151" t="s">
        <v>1265</v>
      </c>
      <c r="H16" s="65" t="s">
        <v>1233</v>
      </c>
      <c r="I16" s="43"/>
      <c r="J16" s="43"/>
      <c r="K16" s="43"/>
    </row>
    <row r="17" spans="1:11" ht="30" customHeight="1">
      <c r="A17" s="60">
        <f t="shared" si="0"/>
        <v>14</v>
      </c>
      <c r="B17" s="66">
        <v>30001575</v>
      </c>
      <c r="C17" s="67" t="s">
        <v>49</v>
      </c>
      <c r="D17" s="68" t="s">
        <v>1266</v>
      </c>
      <c r="E17" s="69" t="s">
        <v>1267</v>
      </c>
      <c r="F17" s="67" t="s">
        <v>1231</v>
      </c>
      <c r="G17" s="151" t="s">
        <v>1268</v>
      </c>
      <c r="H17" s="65" t="s">
        <v>1233</v>
      </c>
      <c r="I17" s="43"/>
      <c r="J17" s="43"/>
      <c r="K17" s="43"/>
    </row>
    <row r="18" spans="1:11" ht="60" customHeight="1">
      <c r="A18" s="60">
        <f t="shared" si="0"/>
        <v>15</v>
      </c>
      <c r="B18" s="66">
        <v>30001575</v>
      </c>
      <c r="C18" s="67" t="s">
        <v>49</v>
      </c>
      <c r="D18" s="68" t="s">
        <v>1266</v>
      </c>
      <c r="E18" s="69" t="s">
        <v>1269</v>
      </c>
      <c r="F18" s="67" t="s">
        <v>1231</v>
      </c>
      <c r="G18" s="151" t="s">
        <v>1270</v>
      </c>
      <c r="H18" s="65" t="s">
        <v>1233</v>
      </c>
      <c r="I18" s="43"/>
      <c r="J18" s="43"/>
      <c r="K18" s="43"/>
    </row>
    <row r="19" spans="1:11" ht="15" customHeight="1">
      <c r="A19" s="60">
        <f t="shared" si="0"/>
        <v>16</v>
      </c>
      <c r="B19" s="66">
        <v>30001575</v>
      </c>
      <c r="C19" s="67" t="s">
        <v>49</v>
      </c>
      <c r="D19" s="68" t="s">
        <v>1252</v>
      </c>
      <c r="E19" s="69" t="s">
        <v>1271</v>
      </c>
      <c r="F19" s="67" t="s">
        <v>1231</v>
      </c>
      <c r="G19" s="151" t="s">
        <v>1272</v>
      </c>
      <c r="H19" s="65" t="s">
        <v>1233</v>
      </c>
      <c r="I19" s="43"/>
      <c r="J19" s="43"/>
      <c r="K19" s="43"/>
    </row>
    <row r="20" spans="1:11" ht="15" customHeight="1">
      <c r="A20" s="60">
        <f t="shared" si="0"/>
        <v>17</v>
      </c>
      <c r="B20" s="66">
        <v>30001575</v>
      </c>
      <c r="C20" s="67" t="s">
        <v>49</v>
      </c>
      <c r="D20" s="68" t="s">
        <v>1252</v>
      </c>
      <c r="E20" s="69" t="s">
        <v>1273</v>
      </c>
      <c r="F20" s="67" t="s">
        <v>1231</v>
      </c>
      <c r="G20" s="151" t="s">
        <v>1274</v>
      </c>
      <c r="H20" s="65" t="s">
        <v>1233</v>
      </c>
      <c r="I20" s="43"/>
      <c r="J20" s="43"/>
      <c r="K20" s="43"/>
    </row>
    <row r="21" spans="1:11" ht="15" customHeight="1">
      <c r="A21" s="60">
        <f t="shared" si="0"/>
        <v>18</v>
      </c>
      <c r="B21" s="66">
        <v>30001575</v>
      </c>
      <c r="C21" s="67" t="s">
        <v>49</v>
      </c>
      <c r="D21" s="68" t="s">
        <v>1259</v>
      </c>
      <c r="E21" s="69" t="s">
        <v>1275</v>
      </c>
      <c r="F21" s="67" t="s">
        <v>1231</v>
      </c>
      <c r="G21" s="151" t="s">
        <v>1276</v>
      </c>
      <c r="H21" s="65" t="s">
        <v>1233</v>
      </c>
      <c r="I21" s="43"/>
      <c r="J21" s="43"/>
      <c r="K21" s="43"/>
    </row>
    <row r="22" spans="1:11" ht="15" customHeight="1">
      <c r="A22" s="60">
        <f t="shared" si="0"/>
        <v>19</v>
      </c>
      <c r="B22" s="66">
        <v>30001575</v>
      </c>
      <c r="C22" s="67" t="s">
        <v>49</v>
      </c>
      <c r="D22" s="68" t="s">
        <v>1252</v>
      </c>
      <c r="E22" s="69" t="s">
        <v>1277</v>
      </c>
      <c r="F22" s="67" t="s">
        <v>1231</v>
      </c>
      <c r="G22" s="151" t="s">
        <v>1278</v>
      </c>
      <c r="H22" s="65" t="s">
        <v>1233</v>
      </c>
      <c r="I22" s="43"/>
      <c r="J22" s="43"/>
      <c r="K22" s="43"/>
    </row>
    <row r="23" spans="1:11" ht="30" customHeight="1">
      <c r="A23" s="60">
        <f t="shared" si="0"/>
        <v>20</v>
      </c>
      <c r="B23" s="66">
        <v>30001575</v>
      </c>
      <c r="C23" s="67" t="s">
        <v>49</v>
      </c>
      <c r="D23" s="68" t="s">
        <v>1259</v>
      </c>
      <c r="E23" s="69" t="s">
        <v>1279</v>
      </c>
      <c r="F23" s="67" t="s">
        <v>1231</v>
      </c>
      <c r="G23" s="151" t="s">
        <v>1280</v>
      </c>
      <c r="H23" s="65" t="s">
        <v>1233</v>
      </c>
      <c r="I23" s="43"/>
      <c r="J23" s="43"/>
      <c r="K23" s="43"/>
    </row>
    <row r="24" spans="1:11" ht="15" customHeight="1">
      <c r="A24" s="60">
        <f t="shared" si="0"/>
        <v>21</v>
      </c>
      <c r="B24" s="66">
        <v>30001575</v>
      </c>
      <c r="C24" s="67" t="s">
        <v>49</v>
      </c>
      <c r="D24" s="68" t="s">
        <v>1259</v>
      </c>
      <c r="E24" s="69" t="s">
        <v>1281</v>
      </c>
      <c r="F24" s="67" t="s">
        <v>1231</v>
      </c>
      <c r="G24" s="151" t="s">
        <v>1282</v>
      </c>
      <c r="H24" s="65" t="s">
        <v>1233</v>
      </c>
      <c r="I24" s="43"/>
      <c r="J24" s="43"/>
      <c r="K24" s="43"/>
    </row>
    <row r="25" spans="1:11" ht="30" customHeight="1">
      <c r="A25" s="60">
        <f t="shared" si="0"/>
        <v>22</v>
      </c>
      <c r="B25" s="66">
        <v>30001575</v>
      </c>
      <c r="C25" s="67" t="s">
        <v>49</v>
      </c>
      <c r="D25" s="68" t="s">
        <v>1259</v>
      </c>
      <c r="E25" s="69" t="s">
        <v>1283</v>
      </c>
      <c r="F25" s="67" t="s">
        <v>1231</v>
      </c>
      <c r="G25" s="151" t="s">
        <v>1284</v>
      </c>
      <c r="H25" s="65" t="s">
        <v>1233</v>
      </c>
      <c r="I25" s="43"/>
      <c r="J25" s="43"/>
      <c r="K25" s="43"/>
    </row>
    <row r="26" spans="1:11" ht="30" customHeight="1">
      <c r="A26" s="60">
        <f t="shared" si="0"/>
        <v>23</v>
      </c>
      <c r="B26" s="66">
        <v>30001575</v>
      </c>
      <c r="C26" s="67" t="s">
        <v>49</v>
      </c>
      <c r="D26" s="68" t="s">
        <v>1285</v>
      </c>
      <c r="E26" s="69" t="s">
        <v>1286</v>
      </c>
      <c r="F26" s="67" t="s">
        <v>1231</v>
      </c>
      <c r="G26" s="151" t="s">
        <v>1287</v>
      </c>
      <c r="H26" s="65" t="s">
        <v>1233</v>
      </c>
      <c r="I26" s="43"/>
      <c r="J26" s="43"/>
      <c r="K26" s="43"/>
    </row>
    <row r="27" spans="1:11" ht="30" customHeight="1">
      <c r="A27" s="60">
        <f t="shared" si="0"/>
        <v>24</v>
      </c>
      <c r="B27" s="66">
        <v>30001575</v>
      </c>
      <c r="C27" s="67" t="s">
        <v>49</v>
      </c>
      <c r="D27" s="68" t="s">
        <v>1285</v>
      </c>
      <c r="E27" s="69" t="s">
        <v>1288</v>
      </c>
      <c r="F27" s="67" t="s">
        <v>1231</v>
      </c>
      <c r="G27" s="151" t="s">
        <v>1289</v>
      </c>
      <c r="H27" s="65" t="s">
        <v>1233</v>
      </c>
      <c r="I27" s="43"/>
      <c r="J27" s="43"/>
      <c r="K27" s="43"/>
    </row>
    <row r="28" spans="1:11" ht="24" customHeight="1">
      <c r="A28" s="60">
        <f t="shared" si="0"/>
        <v>25</v>
      </c>
      <c r="B28" s="66">
        <v>30001575</v>
      </c>
      <c r="C28" s="67" t="s">
        <v>49</v>
      </c>
      <c r="D28" s="68" t="s">
        <v>1290</v>
      </c>
      <c r="E28" s="69" t="s">
        <v>1291</v>
      </c>
      <c r="F28" s="67" t="s">
        <v>1231</v>
      </c>
      <c r="G28" s="151" t="s">
        <v>1292</v>
      </c>
      <c r="H28" s="65" t="s">
        <v>1233</v>
      </c>
      <c r="I28" s="43"/>
      <c r="J28" s="43"/>
      <c r="K28" s="43"/>
    </row>
    <row r="29" spans="1:11" ht="48" customHeight="1">
      <c r="A29" s="60">
        <f t="shared" si="0"/>
        <v>26</v>
      </c>
      <c r="B29" s="66">
        <v>30001575</v>
      </c>
      <c r="C29" s="67" t="s">
        <v>49</v>
      </c>
      <c r="D29" s="68" t="s">
        <v>1285</v>
      </c>
      <c r="E29" s="69" t="s">
        <v>1293</v>
      </c>
      <c r="F29" s="67" t="s">
        <v>1231</v>
      </c>
      <c r="G29" s="151" t="s">
        <v>1294</v>
      </c>
      <c r="H29" s="65" t="s">
        <v>1233</v>
      </c>
      <c r="I29" s="43"/>
      <c r="J29" s="43"/>
      <c r="K29" s="43"/>
    </row>
    <row r="30" spans="1:11" ht="48" customHeight="1">
      <c r="A30" s="60">
        <f t="shared" si="0"/>
        <v>27</v>
      </c>
      <c r="B30" s="66">
        <v>30001575</v>
      </c>
      <c r="C30" s="67" t="s">
        <v>49</v>
      </c>
      <c r="D30" s="68" t="s">
        <v>1285</v>
      </c>
      <c r="E30" s="69" t="s">
        <v>1295</v>
      </c>
      <c r="F30" s="67" t="s">
        <v>1231</v>
      </c>
      <c r="G30" s="151" t="s">
        <v>1296</v>
      </c>
      <c r="H30" s="65" t="s">
        <v>1233</v>
      </c>
      <c r="I30" s="43"/>
      <c r="J30" s="43"/>
      <c r="K30" s="43"/>
    </row>
    <row r="31" spans="1:11" ht="36" customHeight="1">
      <c r="A31" s="60">
        <f t="shared" si="0"/>
        <v>28</v>
      </c>
      <c r="B31" s="66">
        <v>30001575</v>
      </c>
      <c r="C31" s="67" t="s">
        <v>49</v>
      </c>
      <c r="D31" s="68" t="s">
        <v>1290</v>
      </c>
      <c r="E31" s="69" t="s">
        <v>1297</v>
      </c>
      <c r="F31" s="67" t="s">
        <v>1231</v>
      </c>
      <c r="G31" s="151" t="s">
        <v>1298</v>
      </c>
      <c r="H31" s="65" t="s">
        <v>1233</v>
      </c>
      <c r="I31" s="43"/>
      <c r="J31" s="43"/>
      <c r="K31" s="43"/>
    </row>
    <row r="32" spans="1:11" ht="30" customHeight="1">
      <c r="A32" s="60">
        <f t="shared" si="0"/>
        <v>29</v>
      </c>
      <c r="B32" s="66">
        <v>30001575</v>
      </c>
      <c r="C32" s="67" t="s">
        <v>49</v>
      </c>
      <c r="D32" s="68" t="s">
        <v>1290</v>
      </c>
      <c r="E32" s="69" t="s">
        <v>1299</v>
      </c>
      <c r="F32" s="67" t="s">
        <v>1231</v>
      </c>
      <c r="G32" s="151" t="s">
        <v>1300</v>
      </c>
      <c r="H32" s="65" t="s">
        <v>1233</v>
      </c>
      <c r="I32" s="43"/>
      <c r="J32" s="43"/>
      <c r="K32" s="43"/>
    </row>
    <row r="33" spans="1:11" ht="30" customHeight="1">
      <c r="A33" s="60">
        <f t="shared" si="0"/>
        <v>30</v>
      </c>
      <c r="B33" s="66">
        <v>30001575</v>
      </c>
      <c r="C33" s="67" t="s">
        <v>49</v>
      </c>
      <c r="D33" s="68" t="s">
        <v>1290</v>
      </c>
      <c r="E33" s="69" t="s">
        <v>1301</v>
      </c>
      <c r="F33" s="67" t="s">
        <v>1231</v>
      </c>
      <c r="G33" s="151" t="s">
        <v>1302</v>
      </c>
      <c r="H33" s="65" t="s">
        <v>1233</v>
      </c>
      <c r="I33" s="43"/>
      <c r="J33" s="43"/>
      <c r="K33" s="43"/>
    </row>
    <row r="34" spans="1:11" ht="30" customHeight="1">
      <c r="A34" s="60">
        <f t="shared" si="0"/>
        <v>31</v>
      </c>
      <c r="B34" s="66">
        <v>30001575</v>
      </c>
      <c r="C34" s="67" t="s">
        <v>49</v>
      </c>
      <c r="D34" s="68" t="s">
        <v>1290</v>
      </c>
      <c r="E34" s="69" t="s">
        <v>1303</v>
      </c>
      <c r="F34" s="67" t="s">
        <v>1231</v>
      </c>
      <c r="G34" s="151" t="s">
        <v>1304</v>
      </c>
      <c r="H34" s="65" t="s">
        <v>1233</v>
      </c>
      <c r="I34" s="43"/>
      <c r="J34" s="43"/>
      <c r="K34" s="43"/>
    </row>
    <row r="35" spans="1:11" ht="30" customHeight="1">
      <c r="A35" s="60">
        <f t="shared" si="0"/>
        <v>32</v>
      </c>
      <c r="B35" s="66">
        <v>30001575</v>
      </c>
      <c r="C35" s="67" t="s">
        <v>49</v>
      </c>
      <c r="D35" s="68" t="s">
        <v>1290</v>
      </c>
      <c r="E35" s="69" t="s">
        <v>1305</v>
      </c>
      <c r="F35" s="67" t="s">
        <v>1231</v>
      </c>
      <c r="G35" s="151" t="s">
        <v>1306</v>
      </c>
      <c r="H35" s="65" t="s">
        <v>1233</v>
      </c>
      <c r="I35" s="43"/>
      <c r="J35" s="43"/>
      <c r="K35" s="43"/>
    </row>
    <row r="36" spans="1:11" ht="15" customHeight="1">
      <c r="A36" s="60">
        <f t="shared" si="0"/>
        <v>33</v>
      </c>
      <c r="B36" s="66">
        <v>30001575</v>
      </c>
      <c r="C36" s="67" t="s">
        <v>49</v>
      </c>
      <c r="D36" s="68" t="s">
        <v>1252</v>
      </c>
      <c r="E36" s="69" t="s">
        <v>1307</v>
      </c>
      <c r="F36" s="67" t="s">
        <v>1231</v>
      </c>
      <c r="G36" s="151" t="s">
        <v>1308</v>
      </c>
      <c r="H36" s="65" t="s">
        <v>1233</v>
      </c>
      <c r="I36" s="43"/>
      <c r="J36" s="43"/>
      <c r="K36" s="43"/>
    </row>
    <row r="37" spans="1:11" ht="15" customHeight="1">
      <c r="A37" s="60">
        <f t="shared" si="0"/>
        <v>34</v>
      </c>
      <c r="B37" s="66">
        <v>30001575</v>
      </c>
      <c r="C37" s="67" t="s">
        <v>49</v>
      </c>
      <c r="D37" s="68" t="s">
        <v>1309</v>
      </c>
      <c r="E37" s="69" t="s">
        <v>1310</v>
      </c>
      <c r="F37" s="67" t="s">
        <v>1231</v>
      </c>
      <c r="G37" s="151" t="s">
        <v>1311</v>
      </c>
      <c r="H37" s="65" t="s">
        <v>1233</v>
      </c>
      <c r="I37" s="43"/>
      <c r="J37" s="43"/>
      <c r="K37" s="43"/>
    </row>
    <row r="38" spans="1:11" ht="15" customHeight="1">
      <c r="A38" s="60">
        <f t="shared" si="0"/>
        <v>35</v>
      </c>
      <c r="B38" s="66">
        <v>30001575</v>
      </c>
      <c r="C38" s="67" t="s">
        <v>49</v>
      </c>
      <c r="D38" s="68" t="s">
        <v>1252</v>
      </c>
      <c r="E38" s="69" t="s">
        <v>1312</v>
      </c>
      <c r="F38" s="67" t="s">
        <v>1231</v>
      </c>
      <c r="G38" s="151" t="s">
        <v>1313</v>
      </c>
      <c r="H38" s="65" t="s">
        <v>1233</v>
      </c>
      <c r="I38" s="43"/>
      <c r="J38" s="43"/>
      <c r="K38" s="43"/>
    </row>
    <row r="39" spans="1:11" ht="15" customHeight="1">
      <c r="A39" s="60">
        <f t="shared" si="0"/>
        <v>36</v>
      </c>
      <c r="B39" s="66">
        <v>30001575</v>
      </c>
      <c r="C39" s="67" t="s">
        <v>49</v>
      </c>
      <c r="D39" s="68" t="s">
        <v>1252</v>
      </c>
      <c r="E39" s="69" t="s">
        <v>1314</v>
      </c>
      <c r="F39" s="67" t="s">
        <v>1231</v>
      </c>
      <c r="G39" s="151" t="s">
        <v>1315</v>
      </c>
      <c r="H39" s="65" t="s">
        <v>1233</v>
      </c>
      <c r="I39" s="43"/>
      <c r="J39" s="43"/>
      <c r="K39" s="43"/>
    </row>
    <row r="40" spans="1:11" ht="15" customHeight="1">
      <c r="A40" s="60">
        <f t="shared" si="0"/>
        <v>37</v>
      </c>
      <c r="B40" s="66">
        <v>30001575</v>
      </c>
      <c r="C40" s="67" t="s">
        <v>49</v>
      </c>
      <c r="D40" s="68" t="s">
        <v>1252</v>
      </c>
      <c r="E40" s="69" t="s">
        <v>1316</v>
      </c>
      <c r="F40" s="67" t="s">
        <v>1231</v>
      </c>
      <c r="G40" s="151" t="s">
        <v>1317</v>
      </c>
      <c r="H40" s="65" t="s">
        <v>1233</v>
      </c>
      <c r="I40" s="43"/>
      <c r="J40" s="43"/>
      <c r="K40" s="43"/>
    </row>
    <row r="41" spans="1:11" ht="15" customHeight="1">
      <c r="A41" s="60">
        <f t="shared" si="0"/>
        <v>38</v>
      </c>
      <c r="B41" s="66">
        <v>30001575</v>
      </c>
      <c r="C41" s="67" t="s">
        <v>49</v>
      </c>
      <c r="D41" s="68" t="s">
        <v>1252</v>
      </c>
      <c r="E41" s="69" t="s">
        <v>1318</v>
      </c>
      <c r="F41" s="67" t="s">
        <v>1231</v>
      </c>
      <c r="G41" s="151" t="s">
        <v>1319</v>
      </c>
      <c r="H41" s="65" t="s">
        <v>1233</v>
      </c>
      <c r="I41" s="43"/>
      <c r="J41" s="43"/>
      <c r="K41" s="43"/>
    </row>
    <row r="42" spans="1:11" ht="30" customHeight="1">
      <c r="A42" s="60">
        <f t="shared" si="0"/>
        <v>39</v>
      </c>
      <c r="B42" s="66">
        <v>30001575</v>
      </c>
      <c r="C42" s="67" t="s">
        <v>49</v>
      </c>
      <c r="D42" s="68" t="s">
        <v>1320</v>
      </c>
      <c r="E42" s="69" t="s">
        <v>1321</v>
      </c>
      <c r="F42" s="67" t="s">
        <v>1231</v>
      </c>
      <c r="G42" s="151" t="s">
        <v>1322</v>
      </c>
      <c r="H42" s="65" t="s">
        <v>1233</v>
      </c>
      <c r="I42" s="43"/>
      <c r="J42" s="43"/>
      <c r="K42" s="43"/>
    </row>
    <row r="43" spans="1:11" ht="15" customHeight="1">
      <c r="A43" s="60">
        <f t="shared" si="0"/>
        <v>40</v>
      </c>
      <c r="B43" s="66">
        <v>30001575</v>
      </c>
      <c r="C43" s="67" t="s">
        <v>49</v>
      </c>
      <c r="D43" s="68" t="s">
        <v>1252</v>
      </c>
      <c r="E43" s="69" t="s">
        <v>1323</v>
      </c>
      <c r="F43" s="67" t="s">
        <v>1231</v>
      </c>
      <c r="G43" s="151" t="s">
        <v>1324</v>
      </c>
      <c r="H43" s="65" t="s">
        <v>1233</v>
      </c>
      <c r="I43" s="43"/>
      <c r="J43" s="43"/>
      <c r="K43" s="43"/>
    </row>
    <row r="44" spans="1:11" ht="15" customHeight="1">
      <c r="A44" s="60">
        <f t="shared" si="0"/>
        <v>41</v>
      </c>
      <c r="B44" s="66">
        <v>30001575</v>
      </c>
      <c r="C44" s="67" t="s">
        <v>49</v>
      </c>
      <c r="D44" s="68" t="s">
        <v>1259</v>
      </c>
      <c r="E44" s="69" t="s">
        <v>1325</v>
      </c>
      <c r="F44" s="67" t="s">
        <v>1231</v>
      </c>
      <c r="G44" s="151" t="s">
        <v>1326</v>
      </c>
      <c r="H44" s="65" t="s">
        <v>1233</v>
      </c>
      <c r="I44" s="43"/>
      <c r="J44" s="43"/>
      <c r="K44" s="43"/>
    </row>
    <row r="45" spans="1:11" ht="15" customHeight="1">
      <c r="A45" s="60">
        <f t="shared" si="0"/>
        <v>42</v>
      </c>
      <c r="B45" s="66">
        <v>30001575</v>
      </c>
      <c r="C45" s="67" t="s">
        <v>49</v>
      </c>
      <c r="D45" s="68" t="s">
        <v>1259</v>
      </c>
      <c r="E45" s="69" t="s">
        <v>1327</v>
      </c>
      <c r="F45" s="67" t="s">
        <v>1231</v>
      </c>
      <c r="G45" s="151" t="s">
        <v>1328</v>
      </c>
      <c r="H45" s="65" t="s">
        <v>1233</v>
      </c>
      <c r="I45" s="43"/>
      <c r="J45" s="43"/>
      <c r="K45" s="43"/>
    </row>
    <row r="46" spans="1:11" ht="15" customHeight="1">
      <c r="A46" s="60">
        <f t="shared" si="0"/>
        <v>43</v>
      </c>
      <c r="B46" s="66">
        <v>30001575</v>
      </c>
      <c r="C46" s="67" t="s">
        <v>49</v>
      </c>
      <c r="D46" s="68" t="s">
        <v>1259</v>
      </c>
      <c r="E46" s="69" t="s">
        <v>1329</v>
      </c>
      <c r="F46" s="67" t="s">
        <v>1231</v>
      </c>
      <c r="G46" s="151" t="s">
        <v>1330</v>
      </c>
      <c r="H46" s="65" t="s">
        <v>1233</v>
      </c>
      <c r="I46" s="43"/>
      <c r="J46" s="43"/>
      <c r="K46" s="43"/>
    </row>
    <row r="47" spans="1:11" ht="15" customHeight="1">
      <c r="A47" s="60">
        <f t="shared" si="0"/>
        <v>44</v>
      </c>
      <c r="B47" s="66">
        <v>30001575</v>
      </c>
      <c r="C47" s="67" t="s">
        <v>49</v>
      </c>
      <c r="D47" s="68" t="s">
        <v>1259</v>
      </c>
      <c r="E47" s="69" t="s">
        <v>1331</v>
      </c>
      <c r="F47" s="67" t="s">
        <v>1231</v>
      </c>
      <c r="G47" s="151" t="s">
        <v>1332</v>
      </c>
      <c r="H47" s="65" t="s">
        <v>1233</v>
      </c>
      <c r="I47" s="43"/>
      <c r="J47" s="43"/>
      <c r="K47" s="43"/>
    </row>
    <row r="48" spans="1:11" ht="15" customHeight="1">
      <c r="A48" s="60">
        <f t="shared" si="0"/>
        <v>45</v>
      </c>
      <c r="B48" s="66">
        <v>30001575</v>
      </c>
      <c r="C48" s="67" t="s">
        <v>49</v>
      </c>
      <c r="D48" s="68" t="s">
        <v>1259</v>
      </c>
      <c r="E48" s="69" t="s">
        <v>1333</v>
      </c>
      <c r="F48" s="67" t="s">
        <v>1231</v>
      </c>
      <c r="G48" s="151" t="s">
        <v>1334</v>
      </c>
      <c r="H48" s="65" t="s">
        <v>1233</v>
      </c>
      <c r="I48" s="43"/>
      <c r="J48" s="43"/>
      <c r="K48" s="43"/>
    </row>
    <row r="49" spans="1:11" ht="24" customHeight="1">
      <c r="A49" s="60">
        <f t="shared" si="0"/>
        <v>46</v>
      </c>
      <c r="B49" s="66">
        <v>30001575</v>
      </c>
      <c r="C49" s="67" t="s">
        <v>49</v>
      </c>
      <c r="D49" s="68" t="s">
        <v>1259</v>
      </c>
      <c r="E49" s="69" t="s">
        <v>1335</v>
      </c>
      <c r="F49" s="67" t="s">
        <v>1231</v>
      </c>
      <c r="G49" s="151" t="s">
        <v>1336</v>
      </c>
      <c r="H49" s="65" t="s">
        <v>1233</v>
      </c>
      <c r="I49" s="43"/>
      <c r="J49" s="43"/>
      <c r="K49" s="43"/>
    </row>
    <row r="50" spans="1:11" ht="15" customHeight="1">
      <c r="A50" s="60">
        <f t="shared" si="0"/>
        <v>47</v>
      </c>
      <c r="B50" s="66">
        <v>30004221</v>
      </c>
      <c r="C50" s="67" t="s">
        <v>168</v>
      </c>
      <c r="D50" s="68" t="s">
        <v>1337</v>
      </c>
      <c r="E50" s="69" t="s">
        <v>1338</v>
      </c>
      <c r="F50" s="67" t="s">
        <v>1231</v>
      </c>
      <c r="G50" s="151" t="s">
        <v>1339</v>
      </c>
      <c r="H50" s="65" t="s">
        <v>1233</v>
      </c>
      <c r="I50" s="43"/>
      <c r="J50" s="43"/>
      <c r="K50" s="43"/>
    </row>
    <row r="51" spans="1:11" ht="15" customHeight="1">
      <c r="A51" s="60">
        <f t="shared" si="0"/>
        <v>48</v>
      </c>
      <c r="B51" s="66">
        <v>3004221</v>
      </c>
      <c r="C51" s="67" t="s">
        <v>168</v>
      </c>
      <c r="D51" s="68" t="s">
        <v>1340</v>
      </c>
      <c r="E51" s="69" t="s">
        <v>1338</v>
      </c>
      <c r="F51" s="67" t="s">
        <v>1231</v>
      </c>
      <c r="G51" s="151" t="s">
        <v>1341</v>
      </c>
      <c r="H51" s="65" t="s">
        <v>1233</v>
      </c>
      <c r="I51" s="43"/>
      <c r="J51" s="43"/>
      <c r="K51" s="43"/>
    </row>
    <row r="52" spans="1:11" ht="24" customHeight="1">
      <c r="A52" s="60">
        <f t="shared" si="0"/>
        <v>49</v>
      </c>
      <c r="B52" s="66">
        <v>30004221</v>
      </c>
      <c r="C52" s="67" t="s">
        <v>168</v>
      </c>
      <c r="D52" s="68" t="s">
        <v>1342</v>
      </c>
      <c r="E52" s="69" t="s">
        <v>168</v>
      </c>
      <c r="F52" s="67" t="s">
        <v>1231</v>
      </c>
      <c r="G52" s="151" t="s">
        <v>1343</v>
      </c>
      <c r="H52" s="65" t="s">
        <v>1233</v>
      </c>
      <c r="I52" s="43"/>
      <c r="J52" s="43"/>
      <c r="K52" s="43"/>
    </row>
    <row r="53" spans="1:11" ht="25.5" customHeight="1">
      <c r="A53" s="60">
        <f t="shared" si="0"/>
        <v>50</v>
      </c>
      <c r="B53" s="66">
        <v>30004221</v>
      </c>
      <c r="C53" s="67" t="s">
        <v>33</v>
      </c>
      <c r="D53" s="68" t="s">
        <v>1344</v>
      </c>
      <c r="E53" s="69" t="s">
        <v>1345</v>
      </c>
      <c r="F53" s="67" t="s">
        <v>1231</v>
      </c>
      <c r="G53" s="151" t="s">
        <v>1346</v>
      </c>
      <c r="H53" s="65" t="s">
        <v>1233</v>
      </c>
      <c r="I53" s="43"/>
      <c r="J53" s="43"/>
      <c r="K53" s="43"/>
    </row>
    <row r="54" spans="1:11" ht="36" customHeight="1">
      <c r="A54" s="60">
        <f t="shared" si="0"/>
        <v>51</v>
      </c>
      <c r="B54" s="66">
        <v>30004221</v>
      </c>
      <c r="C54" s="67" t="s">
        <v>168</v>
      </c>
      <c r="D54" s="68" t="s">
        <v>1347</v>
      </c>
      <c r="E54" s="69" t="s">
        <v>168</v>
      </c>
      <c r="F54" s="67" t="s">
        <v>1231</v>
      </c>
      <c r="G54" s="151" t="s">
        <v>1348</v>
      </c>
      <c r="H54" s="65" t="s">
        <v>1233</v>
      </c>
      <c r="I54" s="43"/>
      <c r="J54" s="43"/>
      <c r="K54" s="43"/>
    </row>
    <row r="55" spans="1:11" ht="24" customHeight="1">
      <c r="A55" s="60">
        <f t="shared" si="0"/>
        <v>52</v>
      </c>
      <c r="B55" s="66">
        <v>30004221</v>
      </c>
      <c r="C55" s="67" t="s">
        <v>168</v>
      </c>
      <c r="D55" s="68" t="s">
        <v>1349</v>
      </c>
      <c r="E55" s="69" t="s">
        <v>1350</v>
      </c>
      <c r="F55" s="67" t="s">
        <v>1231</v>
      </c>
      <c r="G55" s="151" t="s">
        <v>1351</v>
      </c>
      <c r="H55" s="65" t="s">
        <v>1233</v>
      </c>
      <c r="I55" s="43"/>
      <c r="J55" s="43"/>
      <c r="K55" s="43"/>
    </row>
    <row r="56" spans="1:11" ht="25.5" customHeight="1">
      <c r="A56" s="60">
        <f t="shared" si="0"/>
        <v>53</v>
      </c>
      <c r="B56" s="66">
        <v>30004221</v>
      </c>
      <c r="C56" s="67" t="s">
        <v>33</v>
      </c>
      <c r="D56" s="68" t="s">
        <v>1352</v>
      </c>
      <c r="E56" s="69" t="s">
        <v>1353</v>
      </c>
      <c r="F56" s="67" t="s">
        <v>1231</v>
      </c>
      <c r="G56" s="151" t="s">
        <v>1354</v>
      </c>
      <c r="H56" s="65" t="s">
        <v>1233</v>
      </c>
      <c r="I56" s="43"/>
      <c r="J56" s="43"/>
      <c r="K56" s="43"/>
    </row>
    <row r="57" spans="1:11" ht="48" customHeight="1">
      <c r="A57" s="60">
        <f t="shared" si="0"/>
        <v>54</v>
      </c>
      <c r="B57" s="66">
        <v>30004221</v>
      </c>
      <c r="C57" s="67" t="s">
        <v>33</v>
      </c>
      <c r="D57" s="68" t="s">
        <v>1355</v>
      </c>
      <c r="E57" s="69" t="s">
        <v>1353</v>
      </c>
      <c r="F57" s="67" t="s">
        <v>1231</v>
      </c>
      <c r="G57" s="151" t="s">
        <v>1356</v>
      </c>
      <c r="H57" s="65" t="s">
        <v>1233</v>
      </c>
      <c r="I57" s="43"/>
      <c r="J57" s="43"/>
      <c r="K57" s="43"/>
    </row>
    <row r="58" spans="1:11" ht="25.5" customHeight="1">
      <c r="A58" s="60">
        <f t="shared" si="0"/>
        <v>55</v>
      </c>
      <c r="B58" s="66">
        <v>30004221</v>
      </c>
      <c r="C58" s="67" t="s">
        <v>33</v>
      </c>
      <c r="D58" s="68" t="s">
        <v>1357</v>
      </c>
      <c r="E58" s="69" t="s">
        <v>1358</v>
      </c>
      <c r="F58" s="67" t="s">
        <v>1231</v>
      </c>
      <c r="G58" s="151" t="s">
        <v>1359</v>
      </c>
      <c r="H58" s="65" t="s">
        <v>1233</v>
      </c>
      <c r="I58" s="43"/>
      <c r="J58" s="43"/>
      <c r="K58" s="43"/>
    </row>
    <row r="59" spans="1:11" ht="25.5" customHeight="1">
      <c r="A59" s="60">
        <f t="shared" si="0"/>
        <v>56</v>
      </c>
      <c r="B59" s="66">
        <v>30004221</v>
      </c>
      <c r="C59" s="67" t="s">
        <v>33</v>
      </c>
      <c r="D59" s="68" t="s">
        <v>1360</v>
      </c>
      <c r="E59" s="69" t="s">
        <v>1358</v>
      </c>
      <c r="F59" s="67" t="s">
        <v>1231</v>
      </c>
      <c r="G59" s="151" t="s">
        <v>1361</v>
      </c>
      <c r="H59" s="65" t="s">
        <v>1233</v>
      </c>
      <c r="I59" s="43"/>
      <c r="J59" s="43"/>
      <c r="K59" s="43"/>
    </row>
    <row r="60" spans="1:11" ht="48" customHeight="1">
      <c r="A60" s="60">
        <f t="shared" si="0"/>
        <v>57</v>
      </c>
      <c r="B60" s="66">
        <v>30004221</v>
      </c>
      <c r="C60" s="67" t="s">
        <v>33</v>
      </c>
      <c r="D60" s="68" t="s">
        <v>1362</v>
      </c>
      <c r="E60" s="69" t="s">
        <v>1363</v>
      </c>
      <c r="F60" s="67" t="s">
        <v>1231</v>
      </c>
      <c r="G60" s="151" t="s">
        <v>1364</v>
      </c>
      <c r="H60" s="65" t="s">
        <v>1233</v>
      </c>
      <c r="I60" s="43"/>
      <c r="J60" s="43"/>
      <c r="K60" s="43"/>
    </row>
    <row r="61" spans="1:11" ht="25.5" customHeight="1">
      <c r="A61" s="60">
        <f t="shared" si="0"/>
        <v>58</v>
      </c>
      <c r="B61" s="66">
        <v>30004221</v>
      </c>
      <c r="C61" s="67" t="s">
        <v>33</v>
      </c>
      <c r="D61" s="68" t="s">
        <v>1365</v>
      </c>
      <c r="E61" s="69" t="s">
        <v>1358</v>
      </c>
      <c r="F61" s="67" t="s">
        <v>1231</v>
      </c>
      <c r="G61" s="151" t="s">
        <v>1366</v>
      </c>
      <c r="H61" s="65" t="s">
        <v>1233</v>
      </c>
      <c r="I61" s="43"/>
      <c r="J61" s="43"/>
      <c r="K61" s="43"/>
    </row>
    <row r="62" spans="1:11" ht="25.5" customHeight="1">
      <c r="A62" s="60">
        <f t="shared" si="0"/>
        <v>59</v>
      </c>
      <c r="B62" s="66">
        <v>30004221</v>
      </c>
      <c r="C62" s="67" t="s">
        <v>33</v>
      </c>
      <c r="D62" s="68" t="s">
        <v>1367</v>
      </c>
      <c r="E62" s="69" t="s">
        <v>1368</v>
      </c>
      <c r="F62" s="67" t="s">
        <v>1231</v>
      </c>
      <c r="G62" s="151" t="s">
        <v>1369</v>
      </c>
      <c r="H62" s="65" t="s">
        <v>1233</v>
      </c>
      <c r="I62" s="43"/>
      <c r="J62" s="43"/>
      <c r="K62" s="43"/>
    </row>
    <row r="63" spans="1:11" ht="24" customHeight="1">
      <c r="A63" s="60">
        <f t="shared" si="0"/>
        <v>60</v>
      </c>
      <c r="B63" s="66">
        <v>30004221</v>
      </c>
      <c r="C63" s="67" t="s">
        <v>168</v>
      </c>
      <c r="D63" s="68" t="s">
        <v>1370</v>
      </c>
      <c r="E63" s="69" t="s">
        <v>1371</v>
      </c>
      <c r="F63" s="67" t="s">
        <v>1231</v>
      </c>
      <c r="G63" s="151" t="s">
        <v>1372</v>
      </c>
      <c r="H63" s="65" t="s">
        <v>1233</v>
      </c>
      <c r="I63" s="43"/>
      <c r="J63" s="43"/>
      <c r="K63" s="43"/>
    </row>
    <row r="64" spans="1:11" ht="36" customHeight="1">
      <c r="A64" s="60">
        <f t="shared" si="0"/>
        <v>61</v>
      </c>
      <c r="B64" s="66">
        <v>30004221</v>
      </c>
      <c r="C64" s="67" t="s">
        <v>33</v>
      </c>
      <c r="D64" s="68" t="s">
        <v>1373</v>
      </c>
      <c r="E64" s="69" t="s">
        <v>1374</v>
      </c>
      <c r="F64" s="67" t="s">
        <v>1231</v>
      </c>
      <c r="G64" s="151" t="s">
        <v>1375</v>
      </c>
      <c r="H64" s="65" t="s">
        <v>1233</v>
      </c>
      <c r="I64" s="43"/>
      <c r="J64" s="43"/>
      <c r="K64" s="43"/>
    </row>
    <row r="65" spans="1:11" ht="24" customHeight="1">
      <c r="A65" s="60">
        <f t="shared" si="0"/>
        <v>62</v>
      </c>
      <c r="B65" s="66">
        <v>30004221</v>
      </c>
      <c r="C65" s="67" t="s">
        <v>168</v>
      </c>
      <c r="D65" s="68" t="s">
        <v>1376</v>
      </c>
      <c r="E65" s="69" t="s">
        <v>1377</v>
      </c>
      <c r="F65" s="67" t="s">
        <v>1231</v>
      </c>
      <c r="G65" s="151" t="s">
        <v>1378</v>
      </c>
      <c r="H65" s="65" t="s">
        <v>1233</v>
      </c>
      <c r="I65" s="43"/>
      <c r="J65" s="43"/>
      <c r="K65" s="43"/>
    </row>
    <row r="66" spans="1:11" ht="25.5" customHeight="1">
      <c r="A66" s="60">
        <f t="shared" si="0"/>
        <v>63</v>
      </c>
      <c r="B66" s="66">
        <v>30004221</v>
      </c>
      <c r="C66" s="67" t="s">
        <v>33</v>
      </c>
      <c r="D66" s="68" t="s">
        <v>1379</v>
      </c>
      <c r="E66" s="69" t="s">
        <v>1358</v>
      </c>
      <c r="F66" s="67" t="s">
        <v>1231</v>
      </c>
      <c r="G66" s="151" t="s">
        <v>1380</v>
      </c>
      <c r="H66" s="65" t="s">
        <v>1233</v>
      </c>
      <c r="I66" s="43"/>
      <c r="J66" s="43"/>
      <c r="K66" s="43"/>
    </row>
    <row r="67" spans="1:11" ht="25.5" customHeight="1">
      <c r="A67" s="60">
        <f t="shared" si="0"/>
        <v>64</v>
      </c>
      <c r="B67" s="66">
        <v>30004221</v>
      </c>
      <c r="C67" s="67" t="s">
        <v>168</v>
      </c>
      <c r="D67" s="68" t="s">
        <v>1381</v>
      </c>
      <c r="E67" s="69" t="s">
        <v>168</v>
      </c>
      <c r="F67" s="67" t="s">
        <v>1231</v>
      </c>
      <c r="G67" s="151" t="s">
        <v>1382</v>
      </c>
      <c r="H67" s="65" t="s">
        <v>1233</v>
      </c>
      <c r="I67" s="43"/>
      <c r="J67" s="43"/>
      <c r="K67" s="43"/>
    </row>
    <row r="68" spans="1:11" ht="25.5" customHeight="1">
      <c r="A68" s="60">
        <f t="shared" ref="A68:A131" si="1">IF(COUNTA(B68:G68)&gt;0,ROW()-3,"")</f>
        <v>65</v>
      </c>
      <c r="B68" s="66">
        <v>30004221</v>
      </c>
      <c r="C68" s="67" t="s">
        <v>33</v>
      </c>
      <c r="D68" s="68" t="s">
        <v>1383</v>
      </c>
      <c r="E68" s="69" t="s">
        <v>1358</v>
      </c>
      <c r="F68" s="67" t="s">
        <v>1231</v>
      </c>
      <c r="G68" s="151" t="s">
        <v>1384</v>
      </c>
      <c r="H68" s="65" t="s">
        <v>1233</v>
      </c>
      <c r="I68" s="43"/>
      <c r="J68" s="43"/>
      <c r="K68" s="43"/>
    </row>
    <row r="69" spans="1:11" ht="25.5" customHeight="1">
      <c r="A69" s="60">
        <f t="shared" si="1"/>
        <v>66</v>
      </c>
      <c r="B69" s="66">
        <v>30004221</v>
      </c>
      <c r="C69" s="67" t="s">
        <v>33</v>
      </c>
      <c r="D69" s="68" t="s">
        <v>1385</v>
      </c>
      <c r="E69" s="69" t="s">
        <v>1358</v>
      </c>
      <c r="F69" s="67" t="s">
        <v>1231</v>
      </c>
      <c r="G69" s="151" t="s">
        <v>1386</v>
      </c>
      <c r="H69" s="65" t="s">
        <v>1233</v>
      </c>
      <c r="I69" s="43"/>
      <c r="J69" s="43"/>
      <c r="K69" s="43"/>
    </row>
    <row r="70" spans="1:11" ht="15" customHeight="1">
      <c r="A70" s="60">
        <f t="shared" si="1"/>
        <v>67</v>
      </c>
      <c r="B70" s="66">
        <v>30004221</v>
      </c>
      <c r="C70" s="67" t="s">
        <v>168</v>
      </c>
      <c r="D70" s="68" t="s">
        <v>1385</v>
      </c>
      <c r="E70" s="69" t="s">
        <v>168</v>
      </c>
      <c r="F70" s="67" t="s">
        <v>1231</v>
      </c>
      <c r="G70" s="151" t="s">
        <v>1387</v>
      </c>
      <c r="H70" s="65" t="s">
        <v>1233</v>
      </c>
      <c r="I70" s="43"/>
      <c r="J70" s="43"/>
      <c r="K70" s="43"/>
    </row>
    <row r="71" spans="1:11" ht="25.5" customHeight="1">
      <c r="A71" s="60">
        <f t="shared" si="1"/>
        <v>68</v>
      </c>
      <c r="B71" s="66">
        <v>30004221</v>
      </c>
      <c r="C71" s="67" t="s">
        <v>33</v>
      </c>
      <c r="D71" s="68" t="s">
        <v>1388</v>
      </c>
      <c r="E71" s="69" t="s">
        <v>1358</v>
      </c>
      <c r="F71" s="67" t="s">
        <v>1231</v>
      </c>
      <c r="G71" s="151" t="s">
        <v>1389</v>
      </c>
      <c r="H71" s="65" t="s">
        <v>1233</v>
      </c>
      <c r="I71" s="43"/>
      <c r="J71" s="43"/>
      <c r="K71" s="43"/>
    </row>
    <row r="72" spans="1:11" ht="24" customHeight="1">
      <c r="A72" s="60">
        <f t="shared" si="1"/>
        <v>69</v>
      </c>
      <c r="B72" s="66">
        <v>30004221</v>
      </c>
      <c r="C72" s="67" t="s">
        <v>168</v>
      </c>
      <c r="D72" s="68" t="s">
        <v>1388</v>
      </c>
      <c r="E72" s="69" t="s">
        <v>1390</v>
      </c>
      <c r="F72" s="67" t="s">
        <v>1231</v>
      </c>
      <c r="G72" s="151" t="s">
        <v>1391</v>
      </c>
      <c r="H72" s="65" t="s">
        <v>1233</v>
      </c>
      <c r="I72" s="43"/>
      <c r="J72" s="43"/>
      <c r="K72" s="43"/>
    </row>
    <row r="73" spans="1:11" ht="15" customHeight="1">
      <c r="A73" s="60">
        <f t="shared" si="1"/>
        <v>70</v>
      </c>
      <c r="B73" s="66">
        <v>30004221</v>
      </c>
      <c r="C73" s="67" t="s">
        <v>168</v>
      </c>
      <c r="D73" s="68" t="s">
        <v>1392</v>
      </c>
      <c r="E73" s="69" t="s">
        <v>168</v>
      </c>
      <c r="F73" s="67" t="s">
        <v>1231</v>
      </c>
      <c r="G73" s="151" t="s">
        <v>1393</v>
      </c>
      <c r="H73" s="65" t="s">
        <v>1233</v>
      </c>
      <c r="I73" s="43"/>
      <c r="J73" s="43"/>
      <c r="K73" s="43"/>
    </row>
    <row r="74" spans="1:11" ht="36" customHeight="1">
      <c r="A74" s="60">
        <f t="shared" si="1"/>
        <v>71</v>
      </c>
      <c r="B74" s="66">
        <v>30004221</v>
      </c>
      <c r="C74" s="67" t="s">
        <v>33</v>
      </c>
      <c r="D74" s="68" t="s">
        <v>1394</v>
      </c>
      <c r="E74" s="69" t="s">
        <v>1363</v>
      </c>
      <c r="F74" s="67" t="s">
        <v>1231</v>
      </c>
      <c r="G74" s="151" t="s">
        <v>1395</v>
      </c>
      <c r="H74" s="65" t="s">
        <v>1233</v>
      </c>
      <c r="I74" s="43"/>
      <c r="J74" s="43"/>
      <c r="K74" s="43"/>
    </row>
    <row r="75" spans="1:11" ht="25.5" customHeight="1">
      <c r="A75" s="60">
        <f t="shared" si="1"/>
        <v>72</v>
      </c>
      <c r="B75" s="66">
        <v>30004221</v>
      </c>
      <c r="C75" s="67" t="s">
        <v>33</v>
      </c>
      <c r="D75" s="68" t="s">
        <v>1396</v>
      </c>
      <c r="E75" s="69" t="s">
        <v>1358</v>
      </c>
      <c r="F75" s="67" t="s">
        <v>1231</v>
      </c>
      <c r="G75" s="151" t="s">
        <v>1397</v>
      </c>
      <c r="H75" s="65" t="s">
        <v>1233</v>
      </c>
      <c r="I75" s="43"/>
      <c r="J75" s="43"/>
      <c r="K75" s="43"/>
    </row>
    <row r="76" spans="1:11" ht="24" customHeight="1">
      <c r="A76" s="60">
        <f t="shared" si="1"/>
        <v>73</v>
      </c>
      <c r="B76" s="66">
        <v>30004221</v>
      </c>
      <c r="C76" s="67" t="s">
        <v>168</v>
      </c>
      <c r="D76" s="68" t="s">
        <v>1398</v>
      </c>
      <c r="E76" s="69" t="s">
        <v>1377</v>
      </c>
      <c r="F76" s="67" t="s">
        <v>1231</v>
      </c>
      <c r="G76" s="151" t="s">
        <v>1399</v>
      </c>
      <c r="H76" s="65" t="s">
        <v>1233</v>
      </c>
      <c r="I76" s="43"/>
      <c r="J76" s="43"/>
      <c r="K76" s="43"/>
    </row>
    <row r="77" spans="1:11" ht="25.5" customHeight="1">
      <c r="A77" s="60">
        <f t="shared" si="1"/>
        <v>74</v>
      </c>
      <c r="B77" s="66">
        <v>30004221</v>
      </c>
      <c r="C77" s="67" t="s">
        <v>33</v>
      </c>
      <c r="D77" s="68" t="s">
        <v>1400</v>
      </c>
      <c r="E77" s="69" t="s">
        <v>1358</v>
      </c>
      <c r="F77" s="67" t="s">
        <v>1231</v>
      </c>
      <c r="G77" s="151" t="s">
        <v>1401</v>
      </c>
      <c r="H77" s="65" t="s">
        <v>1233</v>
      </c>
      <c r="I77" s="43"/>
      <c r="J77" s="43"/>
      <c r="K77" s="43"/>
    </row>
    <row r="78" spans="1:11" ht="36" customHeight="1">
      <c r="A78" s="60">
        <f t="shared" si="1"/>
        <v>75</v>
      </c>
      <c r="B78" s="66">
        <v>30004221</v>
      </c>
      <c r="C78" s="67" t="s">
        <v>33</v>
      </c>
      <c r="D78" s="68" t="s">
        <v>1402</v>
      </c>
      <c r="E78" s="69" t="s">
        <v>1403</v>
      </c>
      <c r="F78" s="67" t="s">
        <v>1231</v>
      </c>
      <c r="G78" s="151" t="s">
        <v>1404</v>
      </c>
      <c r="H78" s="65" t="s">
        <v>1233</v>
      </c>
      <c r="I78" s="43"/>
      <c r="J78" s="43"/>
      <c r="K78" s="43"/>
    </row>
    <row r="79" spans="1:11" ht="36" customHeight="1">
      <c r="A79" s="60">
        <f t="shared" si="1"/>
        <v>76</v>
      </c>
      <c r="B79" s="66">
        <v>30004221</v>
      </c>
      <c r="C79" s="67" t="s">
        <v>168</v>
      </c>
      <c r="D79" s="68" t="s">
        <v>1405</v>
      </c>
      <c r="E79" s="69" t="s">
        <v>1377</v>
      </c>
      <c r="F79" s="67" t="s">
        <v>1231</v>
      </c>
      <c r="G79" s="151" t="s">
        <v>1406</v>
      </c>
      <c r="H79" s="65" t="s">
        <v>1233</v>
      </c>
      <c r="I79" s="43"/>
      <c r="J79" s="43"/>
      <c r="K79" s="43"/>
    </row>
    <row r="80" spans="1:11" ht="25.5" customHeight="1">
      <c r="A80" s="60">
        <f t="shared" si="1"/>
        <v>77</v>
      </c>
      <c r="B80" s="66">
        <v>30004221</v>
      </c>
      <c r="C80" s="67" t="s">
        <v>33</v>
      </c>
      <c r="D80" s="68" t="s">
        <v>1407</v>
      </c>
      <c r="E80" s="69" t="s">
        <v>1408</v>
      </c>
      <c r="F80" s="67" t="s">
        <v>1231</v>
      </c>
      <c r="G80" s="151" t="s">
        <v>1409</v>
      </c>
      <c r="H80" s="65" t="s">
        <v>1233</v>
      </c>
      <c r="I80" s="43"/>
      <c r="J80" s="43"/>
      <c r="K80" s="43"/>
    </row>
    <row r="81" spans="1:11" ht="25.5" customHeight="1">
      <c r="A81" s="60">
        <f t="shared" si="1"/>
        <v>78</v>
      </c>
      <c r="B81" s="66">
        <v>30004221</v>
      </c>
      <c r="C81" s="67" t="s">
        <v>33</v>
      </c>
      <c r="D81" s="68" t="s">
        <v>1410</v>
      </c>
      <c r="E81" s="69" t="s">
        <v>1411</v>
      </c>
      <c r="F81" s="67" t="s">
        <v>1231</v>
      </c>
      <c r="G81" s="151" t="s">
        <v>1412</v>
      </c>
      <c r="H81" s="65" t="s">
        <v>1233</v>
      </c>
      <c r="I81" s="43"/>
      <c r="J81" s="43"/>
      <c r="K81" s="43"/>
    </row>
    <row r="82" spans="1:11" ht="25.5" customHeight="1">
      <c r="A82" s="60">
        <f t="shared" si="1"/>
        <v>79</v>
      </c>
      <c r="B82" s="66">
        <v>30004221</v>
      </c>
      <c r="C82" s="67" t="s">
        <v>168</v>
      </c>
      <c r="D82" s="68" t="s">
        <v>1413</v>
      </c>
      <c r="E82" s="69" t="s">
        <v>168</v>
      </c>
      <c r="F82" s="67" t="s">
        <v>1231</v>
      </c>
      <c r="G82" s="151" t="s">
        <v>1414</v>
      </c>
      <c r="H82" s="65" t="s">
        <v>1233</v>
      </c>
      <c r="I82" s="43"/>
      <c r="J82" s="43"/>
      <c r="K82" s="43"/>
    </row>
    <row r="83" spans="1:11" ht="36" customHeight="1">
      <c r="A83" s="60">
        <f t="shared" si="1"/>
        <v>80</v>
      </c>
      <c r="B83" s="66">
        <v>30004221</v>
      </c>
      <c r="C83" s="67" t="s">
        <v>168</v>
      </c>
      <c r="D83" s="68" t="s">
        <v>1415</v>
      </c>
      <c r="E83" s="69" t="s">
        <v>1416</v>
      </c>
      <c r="F83" s="67" t="s">
        <v>1231</v>
      </c>
      <c r="G83" s="151" t="s">
        <v>1417</v>
      </c>
      <c r="H83" s="65" t="s">
        <v>1233</v>
      </c>
      <c r="I83" s="43"/>
      <c r="J83" s="43"/>
      <c r="K83" s="43"/>
    </row>
    <row r="84" spans="1:11" ht="25.5" customHeight="1">
      <c r="A84" s="60">
        <f t="shared" si="1"/>
        <v>81</v>
      </c>
      <c r="B84" s="66">
        <v>30004221</v>
      </c>
      <c r="C84" s="67" t="s">
        <v>33</v>
      </c>
      <c r="D84" s="68" t="s">
        <v>1418</v>
      </c>
      <c r="E84" s="69" t="s">
        <v>1353</v>
      </c>
      <c r="F84" s="67" t="s">
        <v>1231</v>
      </c>
      <c r="G84" s="151" t="s">
        <v>1419</v>
      </c>
      <c r="H84" s="65" t="s">
        <v>1233</v>
      </c>
      <c r="I84" s="43"/>
      <c r="J84" s="43"/>
      <c r="K84" s="43"/>
    </row>
    <row r="85" spans="1:11" ht="25.5" customHeight="1">
      <c r="A85" s="60">
        <f t="shared" si="1"/>
        <v>82</v>
      </c>
      <c r="B85" s="66">
        <v>30004221</v>
      </c>
      <c r="C85" s="67" t="s">
        <v>33</v>
      </c>
      <c r="D85" s="68" t="s">
        <v>1418</v>
      </c>
      <c r="E85" s="69" t="s">
        <v>1420</v>
      </c>
      <c r="F85" s="67" t="s">
        <v>1231</v>
      </c>
      <c r="G85" s="151" t="s">
        <v>1421</v>
      </c>
      <c r="H85" s="65" t="s">
        <v>1233</v>
      </c>
      <c r="I85" s="43"/>
      <c r="J85" s="43"/>
      <c r="K85" s="43"/>
    </row>
    <row r="86" spans="1:11" ht="25.5" customHeight="1">
      <c r="A86" s="60">
        <f t="shared" si="1"/>
        <v>83</v>
      </c>
      <c r="B86" s="66">
        <v>30004221</v>
      </c>
      <c r="C86" s="67" t="s">
        <v>33</v>
      </c>
      <c r="D86" s="68" t="s">
        <v>1422</v>
      </c>
      <c r="E86" s="69" t="s">
        <v>1423</v>
      </c>
      <c r="F86" s="67" t="s">
        <v>1231</v>
      </c>
      <c r="G86" s="151" t="s">
        <v>1424</v>
      </c>
      <c r="H86" s="65" t="s">
        <v>1233</v>
      </c>
      <c r="I86" s="43"/>
      <c r="J86" s="43"/>
      <c r="K86" s="43"/>
    </row>
    <row r="87" spans="1:11" ht="15" customHeight="1">
      <c r="A87" s="60">
        <f t="shared" si="1"/>
        <v>84</v>
      </c>
      <c r="B87" s="66">
        <v>30001351</v>
      </c>
      <c r="C87" s="67" t="s">
        <v>68</v>
      </c>
      <c r="D87" s="68" t="s">
        <v>1425</v>
      </c>
      <c r="E87" s="69" t="s">
        <v>1426</v>
      </c>
      <c r="F87" s="67" t="s">
        <v>1231</v>
      </c>
      <c r="G87" s="151" t="s">
        <v>1427</v>
      </c>
      <c r="H87" s="65" t="s">
        <v>1233</v>
      </c>
      <c r="I87" s="43"/>
      <c r="J87" s="43"/>
      <c r="K87" s="43"/>
    </row>
    <row r="88" spans="1:11" ht="25.5" customHeight="1">
      <c r="A88" s="60">
        <f t="shared" si="1"/>
        <v>85</v>
      </c>
      <c r="B88" s="66" t="s">
        <v>1428</v>
      </c>
      <c r="C88" s="67" t="s">
        <v>33</v>
      </c>
      <c r="D88" s="68" t="s">
        <v>37</v>
      </c>
      <c r="E88" s="69" t="s">
        <v>1429</v>
      </c>
      <c r="F88" s="67" t="s">
        <v>1231</v>
      </c>
      <c r="G88" s="151" t="s">
        <v>1430</v>
      </c>
      <c r="H88" s="65" t="s">
        <v>1233</v>
      </c>
      <c r="I88" s="43"/>
      <c r="J88" s="43"/>
      <c r="K88" s="43"/>
    </row>
    <row r="89" spans="1:11" ht="25.5" customHeight="1">
      <c r="A89" s="60">
        <f t="shared" si="1"/>
        <v>86</v>
      </c>
      <c r="B89" s="66" t="s">
        <v>1428</v>
      </c>
      <c r="C89" s="67" t="s">
        <v>33</v>
      </c>
      <c r="D89" s="68" t="s">
        <v>37</v>
      </c>
      <c r="E89" s="69" t="s">
        <v>1431</v>
      </c>
      <c r="F89" s="67" t="s">
        <v>1231</v>
      </c>
      <c r="G89" s="151" t="s">
        <v>1432</v>
      </c>
      <c r="H89" s="65" t="s">
        <v>1233</v>
      </c>
      <c r="I89" s="43"/>
      <c r="J89" s="43"/>
      <c r="K89" s="43"/>
    </row>
    <row r="90" spans="1:11" ht="25.5" customHeight="1">
      <c r="A90" s="60">
        <f t="shared" si="1"/>
        <v>87</v>
      </c>
      <c r="B90" s="66" t="s">
        <v>1428</v>
      </c>
      <c r="C90" s="67" t="s">
        <v>33</v>
      </c>
      <c r="D90" s="68" t="s">
        <v>37</v>
      </c>
      <c r="E90" s="69" t="s">
        <v>1433</v>
      </c>
      <c r="F90" s="67" t="s">
        <v>1231</v>
      </c>
      <c r="G90" s="151" t="s">
        <v>1434</v>
      </c>
      <c r="H90" s="65" t="s">
        <v>1233</v>
      </c>
      <c r="I90" s="43"/>
      <c r="J90" s="43"/>
      <c r="K90" s="43"/>
    </row>
    <row r="91" spans="1:11" ht="25.5" customHeight="1">
      <c r="A91" s="60">
        <f t="shared" si="1"/>
        <v>88</v>
      </c>
      <c r="B91" s="66" t="s">
        <v>1428</v>
      </c>
      <c r="C91" s="67" t="s">
        <v>33</v>
      </c>
      <c r="D91" s="68" t="s">
        <v>37</v>
      </c>
      <c r="E91" s="69" t="s">
        <v>1435</v>
      </c>
      <c r="F91" s="67" t="s">
        <v>1231</v>
      </c>
      <c r="G91" s="152" t="s">
        <v>1231</v>
      </c>
      <c r="H91" s="65" t="s">
        <v>1233</v>
      </c>
      <c r="I91" s="43"/>
      <c r="J91" s="43"/>
      <c r="K91" s="43"/>
    </row>
    <row r="92" spans="1:11" ht="25.5" customHeight="1">
      <c r="A92" s="60">
        <f t="shared" si="1"/>
        <v>89</v>
      </c>
      <c r="B92" s="66" t="s">
        <v>1428</v>
      </c>
      <c r="C92" s="67" t="s">
        <v>33</v>
      </c>
      <c r="D92" s="68" t="s">
        <v>37</v>
      </c>
      <c r="E92" s="69" t="s">
        <v>1436</v>
      </c>
      <c r="F92" s="67" t="s">
        <v>1231</v>
      </c>
      <c r="G92" s="151" t="s">
        <v>1437</v>
      </c>
      <c r="H92" s="65" t="s">
        <v>1233</v>
      </c>
      <c r="I92" s="43"/>
      <c r="J92" s="43"/>
      <c r="K92" s="43"/>
    </row>
    <row r="93" spans="1:11" ht="25.5" customHeight="1">
      <c r="A93" s="60">
        <f t="shared" si="1"/>
        <v>90</v>
      </c>
      <c r="B93" s="66" t="s">
        <v>1428</v>
      </c>
      <c r="C93" s="67" t="s">
        <v>33</v>
      </c>
      <c r="D93" s="68" t="s">
        <v>37</v>
      </c>
      <c r="E93" s="69" t="s">
        <v>1438</v>
      </c>
      <c r="F93" s="67" t="s">
        <v>1231</v>
      </c>
      <c r="G93" s="151" t="s">
        <v>1439</v>
      </c>
      <c r="H93" s="65" t="s">
        <v>1233</v>
      </c>
      <c r="I93" s="43"/>
      <c r="J93" s="43"/>
      <c r="K93" s="43"/>
    </row>
    <row r="94" spans="1:11" ht="25.5" customHeight="1">
      <c r="A94" s="60">
        <f t="shared" si="1"/>
        <v>91</v>
      </c>
      <c r="B94" s="66" t="s">
        <v>1428</v>
      </c>
      <c r="C94" s="67" t="s">
        <v>33</v>
      </c>
      <c r="D94" s="68" t="s">
        <v>37</v>
      </c>
      <c r="E94" s="69" t="s">
        <v>1440</v>
      </c>
      <c r="F94" s="67" t="s">
        <v>1231</v>
      </c>
      <c r="G94" s="151" t="s">
        <v>1441</v>
      </c>
      <c r="H94" s="65" t="s">
        <v>1233</v>
      </c>
      <c r="I94" s="43"/>
      <c r="J94" s="43"/>
      <c r="K94" s="43"/>
    </row>
    <row r="95" spans="1:11" ht="25.5" customHeight="1">
      <c r="A95" s="60">
        <f t="shared" si="1"/>
        <v>92</v>
      </c>
      <c r="B95" s="66" t="s">
        <v>1428</v>
      </c>
      <c r="C95" s="67" t="s">
        <v>33</v>
      </c>
      <c r="D95" s="68" t="s">
        <v>37</v>
      </c>
      <c r="E95" s="69" t="s">
        <v>1442</v>
      </c>
      <c r="F95" s="67" t="s">
        <v>1231</v>
      </c>
      <c r="G95" s="151" t="s">
        <v>1443</v>
      </c>
      <c r="H95" s="65" t="s">
        <v>1233</v>
      </c>
      <c r="I95" s="43"/>
      <c r="J95" s="43"/>
      <c r="K95" s="43"/>
    </row>
    <row r="96" spans="1:11" ht="25.5" customHeight="1">
      <c r="A96" s="60">
        <f t="shared" si="1"/>
        <v>93</v>
      </c>
      <c r="B96" s="66" t="s">
        <v>1428</v>
      </c>
      <c r="C96" s="67" t="s">
        <v>33</v>
      </c>
      <c r="D96" s="68" t="s">
        <v>37</v>
      </c>
      <c r="E96" s="69" t="s">
        <v>1444</v>
      </c>
      <c r="F96" s="67" t="s">
        <v>1231</v>
      </c>
      <c r="G96" s="151" t="s">
        <v>1445</v>
      </c>
      <c r="H96" s="65" t="s">
        <v>1233</v>
      </c>
      <c r="I96" s="43"/>
      <c r="J96" s="43"/>
      <c r="K96" s="43"/>
    </row>
    <row r="97" spans="1:11" ht="25.5" customHeight="1">
      <c r="A97" s="60">
        <f t="shared" si="1"/>
        <v>94</v>
      </c>
      <c r="B97" s="66" t="s">
        <v>1428</v>
      </c>
      <c r="C97" s="67" t="s">
        <v>33</v>
      </c>
      <c r="D97" s="68" t="s">
        <v>37</v>
      </c>
      <c r="E97" s="69" t="s">
        <v>1446</v>
      </c>
      <c r="F97" s="67" t="s">
        <v>1231</v>
      </c>
      <c r="G97" s="151" t="s">
        <v>1447</v>
      </c>
      <c r="H97" s="65" t="s">
        <v>1233</v>
      </c>
      <c r="I97" s="43"/>
      <c r="J97" s="43"/>
      <c r="K97" s="43"/>
    </row>
    <row r="98" spans="1:11" ht="25.5" customHeight="1">
      <c r="A98" s="60">
        <f t="shared" si="1"/>
        <v>95</v>
      </c>
      <c r="B98" s="66" t="s">
        <v>1428</v>
      </c>
      <c r="C98" s="67" t="s">
        <v>33</v>
      </c>
      <c r="D98" s="68" t="s">
        <v>37</v>
      </c>
      <c r="E98" s="69" t="s">
        <v>1448</v>
      </c>
      <c r="F98" s="67" t="s">
        <v>1231</v>
      </c>
      <c r="G98" s="151" t="s">
        <v>1449</v>
      </c>
      <c r="H98" s="65" t="s">
        <v>1233</v>
      </c>
      <c r="I98" s="43"/>
      <c r="J98" s="43"/>
      <c r="K98" s="43"/>
    </row>
    <row r="99" spans="1:11" ht="25.5" customHeight="1">
      <c r="A99" s="60">
        <f t="shared" si="1"/>
        <v>96</v>
      </c>
      <c r="B99" s="66" t="s">
        <v>1428</v>
      </c>
      <c r="C99" s="67" t="s">
        <v>33</v>
      </c>
      <c r="D99" s="68" t="s">
        <v>37</v>
      </c>
      <c r="E99" s="69" t="s">
        <v>1450</v>
      </c>
      <c r="F99" s="67" t="s">
        <v>1231</v>
      </c>
      <c r="G99" s="151" t="s">
        <v>1451</v>
      </c>
      <c r="H99" s="65" t="s">
        <v>1233</v>
      </c>
      <c r="I99" s="43"/>
      <c r="J99" s="43"/>
      <c r="K99" s="43"/>
    </row>
    <row r="100" spans="1:11" ht="25.5" customHeight="1">
      <c r="A100" s="60">
        <f t="shared" si="1"/>
        <v>97</v>
      </c>
      <c r="B100" s="66" t="s">
        <v>1428</v>
      </c>
      <c r="C100" s="67" t="s">
        <v>68</v>
      </c>
      <c r="D100" s="68" t="s">
        <v>1452</v>
      </c>
      <c r="E100" s="69" t="s">
        <v>1453</v>
      </c>
      <c r="F100" s="67" t="s">
        <v>1454</v>
      </c>
      <c r="G100" s="151" t="s">
        <v>1455</v>
      </c>
      <c r="H100" s="65" t="s">
        <v>1233</v>
      </c>
      <c r="I100" s="43"/>
      <c r="J100" s="43"/>
      <c r="K100" s="43"/>
    </row>
    <row r="101" spans="1:11" ht="25.5" customHeight="1">
      <c r="A101" s="60">
        <f t="shared" si="1"/>
        <v>98</v>
      </c>
      <c r="B101" s="66">
        <v>30001461</v>
      </c>
      <c r="C101" s="67" t="s">
        <v>33</v>
      </c>
      <c r="D101" s="68" t="s">
        <v>37</v>
      </c>
      <c r="E101" s="69" t="s">
        <v>1456</v>
      </c>
      <c r="F101" s="67" t="s">
        <v>1231</v>
      </c>
      <c r="G101" s="152" t="s">
        <v>1231</v>
      </c>
      <c r="H101" s="65" t="s">
        <v>1233</v>
      </c>
      <c r="I101" s="43"/>
      <c r="J101" s="43"/>
      <c r="K101" s="43"/>
    </row>
    <row r="102" spans="1:11" ht="36" customHeight="1">
      <c r="A102" s="60">
        <f t="shared" si="1"/>
        <v>99</v>
      </c>
      <c r="B102" s="66">
        <v>30001461</v>
      </c>
      <c r="C102" s="67" t="s">
        <v>33</v>
      </c>
      <c r="D102" s="68" t="s">
        <v>37</v>
      </c>
      <c r="E102" s="69" t="s">
        <v>1457</v>
      </c>
      <c r="F102" s="67" t="s">
        <v>1231</v>
      </c>
      <c r="G102" s="151" t="s">
        <v>1458</v>
      </c>
      <c r="H102" s="65" t="s">
        <v>1233</v>
      </c>
      <c r="I102" s="43"/>
      <c r="J102" s="43"/>
      <c r="K102" s="43"/>
    </row>
    <row r="103" spans="1:11" ht="25.5" customHeight="1">
      <c r="A103" s="60">
        <f t="shared" si="1"/>
        <v>100</v>
      </c>
      <c r="B103" s="66">
        <v>30001461</v>
      </c>
      <c r="C103" s="67" t="s">
        <v>33</v>
      </c>
      <c r="D103" s="68" t="s">
        <v>37</v>
      </c>
      <c r="E103" s="69" t="s">
        <v>1459</v>
      </c>
      <c r="F103" s="67" t="s">
        <v>1231</v>
      </c>
      <c r="G103" s="151" t="s">
        <v>1460</v>
      </c>
      <c r="H103" s="65" t="s">
        <v>1233</v>
      </c>
      <c r="I103" s="43"/>
      <c r="J103" s="43"/>
      <c r="K103" s="43"/>
    </row>
    <row r="104" spans="1:11" ht="25.5" customHeight="1">
      <c r="A104" s="60">
        <f t="shared" si="1"/>
        <v>101</v>
      </c>
      <c r="B104" s="66">
        <v>30001461</v>
      </c>
      <c r="C104" s="67" t="s">
        <v>33</v>
      </c>
      <c r="D104" s="68" t="s">
        <v>37</v>
      </c>
      <c r="E104" s="69" t="s">
        <v>1461</v>
      </c>
      <c r="F104" s="67" t="s">
        <v>1231</v>
      </c>
      <c r="G104" s="151" t="s">
        <v>1462</v>
      </c>
      <c r="H104" s="65" t="s">
        <v>1233</v>
      </c>
      <c r="I104" s="43"/>
      <c r="J104" s="43"/>
      <c r="K104" s="43"/>
    </row>
    <row r="105" spans="1:11" ht="25.5" customHeight="1">
      <c r="A105" s="60">
        <f t="shared" si="1"/>
        <v>102</v>
      </c>
      <c r="B105" s="66">
        <v>30001461</v>
      </c>
      <c r="C105" s="67" t="s">
        <v>33</v>
      </c>
      <c r="D105" s="68" t="s">
        <v>37</v>
      </c>
      <c r="E105" s="69" t="s">
        <v>1463</v>
      </c>
      <c r="F105" s="67" t="s">
        <v>1231</v>
      </c>
      <c r="G105" s="151" t="s">
        <v>1464</v>
      </c>
      <c r="H105" s="65" t="s">
        <v>1233</v>
      </c>
      <c r="I105" s="43"/>
      <c r="J105" s="43"/>
      <c r="K105" s="43"/>
    </row>
    <row r="106" spans="1:11" ht="25.5" customHeight="1">
      <c r="A106" s="60">
        <f t="shared" si="1"/>
        <v>103</v>
      </c>
      <c r="B106" s="66">
        <v>30001461</v>
      </c>
      <c r="C106" s="67" t="s">
        <v>33</v>
      </c>
      <c r="D106" s="68" t="s">
        <v>37</v>
      </c>
      <c r="E106" s="69" t="s">
        <v>1465</v>
      </c>
      <c r="F106" s="67" t="s">
        <v>1231</v>
      </c>
      <c r="G106" s="151" t="s">
        <v>1466</v>
      </c>
      <c r="H106" s="65" t="s">
        <v>1233</v>
      </c>
      <c r="I106" s="43"/>
      <c r="J106" s="43"/>
      <c r="K106" s="43"/>
    </row>
    <row r="107" spans="1:11" ht="25.5" customHeight="1">
      <c r="A107" s="60">
        <f t="shared" si="1"/>
        <v>104</v>
      </c>
      <c r="B107" s="66">
        <v>30001461</v>
      </c>
      <c r="C107" s="67" t="s">
        <v>33</v>
      </c>
      <c r="D107" s="68" t="s">
        <v>37</v>
      </c>
      <c r="E107" s="69" t="s">
        <v>1467</v>
      </c>
      <c r="F107" s="67" t="s">
        <v>1231</v>
      </c>
      <c r="G107" s="151" t="s">
        <v>1468</v>
      </c>
      <c r="H107" s="65" t="s">
        <v>1233</v>
      </c>
      <c r="I107" s="43"/>
      <c r="J107" s="43"/>
      <c r="K107" s="43"/>
    </row>
    <row r="108" spans="1:11" ht="30" customHeight="1">
      <c r="A108" s="60">
        <f t="shared" si="1"/>
        <v>105</v>
      </c>
      <c r="B108" s="66">
        <v>30001461</v>
      </c>
      <c r="C108" s="67" t="s">
        <v>33</v>
      </c>
      <c r="D108" s="68" t="s">
        <v>37</v>
      </c>
      <c r="E108" s="69" t="s">
        <v>1469</v>
      </c>
      <c r="F108" s="67" t="s">
        <v>1231</v>
      </c>
      <c r="G108" s="151" t="s">
        <v>1470</v>
      </c>
      <c r="H108" s="65" t="s">
        <v>1233</v>
      </c>
      <c r="I108" s="43"/>
      <c r="J108" s="43"/>
      <c r="K108" s="43"/>
    </row>
    <row r="109" spans="1:11" ht="25.5" customHeight="1">
      <c r="A109" s="60">
        <f t="shared" si="1"/>
        <v>106</v>
      </c>
      <c r="B109" s="66">
        <v>30001461</v>
      </c>
      <c r="C109" s="67" t="s">
        <v>33</v>
      </c>
      <c r="D109" s="68" t="s">
        <v>37</v>
      </c>
      <c r="E109" s="69" t="s">
        <v>1471</v>
      </c>
      <c r="F109" s="67" t="s">
        <v>1231</v>
      </c>
      <c r="G109" s="151" t="s">
        <v>1472</v>
      </c>
      <c r="H109" s="65" t="s">
        <v>1233</v>
      </c>
      <c r="I109" s="43"/>
      <c r="J109" s="43"/>
      <c r="K109" s="43"/>
    </row>
    <row r="110" spans="1:11" ht="25.5" customHeight="1">
      <c r="A110" s="60">
        <f t="shared" si="1"/>
        <v>107</v>
      </c>
      <c r="B110" s="66">
        <v>30001461</v>
      </c>
      <c r="C110" s="67" t="s">
        <v>33</v>
      </c>
      <c r="D110" s="68" t="s">
        <v>37</v>
      </c>
      <c r="E110" s="69" t="s">
        <v>1473</v>
      </c>
      <c r="F110" s="67" t="s">
        <v>1231</v>
      </c>
      <c r="G110" s="151" t="s">
        <v>1474</v>
      </c>
      <c r="H110" s="65" t="s">
        <v>1233</v>
      </c>
      <c r="I110" s="43"/>
      <c r="J110" s="43"/>
      <c r="K110" s="43"/>
    </row>
    <row r="111" spans="1:11" ht="25.5" customHeight="1">
      <c r="A111" s="60">
        <f t="shared" si="1"/>
        <v>108</v>
      </c>
      <c r="B111" s="66">
        <v>30001461</v>
      </c>
      <c r="C111" s="67" t="s">
        <v>33</v>
      </c>
      <c r="D111" s="68" t="s">
        <v>37</v>
      </c>
      <c r="E111" s="69" t="s">
        <v>1475</v>
      </c>
      <c r="F111" s="67" t="s">
        <v>1231</v>
      </c>
      <c r="G111" s="151" t="s">
        <v>1476</v>
      </c>
      <c r="H111" s="65" t="s">
        <v>1233</v>
      </c>
      <c r="I111" s="43"/>
      <c r="J111" s="43"/>
      <c r="K111" s="43"/>
    </row>
    <row r="112" spans="1:11" ht="25.5" customHeight="1">
      <c r="A112" s="60">
        <f t="shared" si="1"/>
        <v>109</v>
      </c>
      <c r="B112" s="66">
        <v>30001461</v>
      </c>
      <c r="C112" s="67" t="s">
        <v>33</v>
      </c>
      <c r="D112" s="68" t="s">
        <v>37</v>
      </c>
      <c r="E112" s="69" t="s">
        <v>1477</v>
      </c>
      <c r="F112" s="67" t="s">
        <v>1231</v>
      </c>
      <c r="G112" s="151" t="s">
        <v>1478</v>
      </c>
      <c r="H112" s="65" t="s">
        <v>1233</v>
      </c>
      <c r="I112" s="43"/>
      <c r="J112" s="43"/>
      <c r="K112" s="43"/>
    </row>
    <row r="113" spans="1:11" ht="25.5" customHeight="1">
      <c r="A113" s="60">
        <f t="shared" si="1"/>
        <v>110</v>
      </c>
      <c r="B113" s="66">
        <v>30001461</v>
      </c>
      <c r="C113" s="67" t="s">
        <v>33</v>
      </c>
      <c r="D113" s="68" t="s">
        <v>37</v>
      </c>
      <c r="E113" s="69" t="s">
        <v>1479</v>
      </c>
      <c r="F113" s="67" t="s">
        <v>1231</v>
      </c>
      <c r="G113" s="152" t="s">
        <v>1231</v>
      </c>
      <c r="H113" s="65" t="s">
        <v>1233</v>
      </c>
      <c r="I113" s="43"/>
      <c r="J113" s="43"/>
      <c r="K113" s="43"/>
    </row>
    <row r="114" spans="1:11" ht="25.5" customHeight="1">
      <c r="A114" s="60">
        <f t="shared" si="1"/>
        <v>111</v>
      </c>
      <c r="B114" s="66">
        <v>30001461</v>
      </c>
      <c r="C114" s="67" t="s">
        <v>33</v>
      </c>
      <c r="D114" s="68" t="s">
        <v>37</v>
      </c>
      <c r="E114" s="69" t="s">
        <v>1480</v>
      </c>
      <c r="F114" s="67" t="s">
        <v>1231</v>
      </c>
      <c r="G114" s="151" t="s">
        <v>1481</v>
      </c>
      <c r="H114" s="65" t="s">
        <v>1233</v>
      </c>
      <c r="I114" s="43"/>
      <c r="J114" s="43"/>
      <c r="K114" s="43"/>
    </row>
    <row r="115" spans="1:11" ht="25.5" customHeight="1">
      <c r="A115" s="60">
        <f t="shared" si="1"/>
        <v>112</v>
      </c>
      <c r="B115" s="66">
        <v>30001461</v>
      </c>
      <c r="C115" s="67" t="s">
        <v>33</v>
      </c>
      <c r="D115" s="68" t="s">
        <v>37</v>
      </c>
      <c r="E115" s="69" t="s">
        <v>1482</v>
      </c>
      <c r="F115" s="67" t="s">
        <v>1231</v>
      </c>
      <c r="G115" s="151" t="s">
        <v>1483</v>
      </c>
      <c r="H115" s="65" t="s">
        <v>1233</v>
      </c>
      <c r="I115" s="43"/>
      <c r="J115" s="43"/>
      <c r="K115" s="43"/>
    </row>
    <row r="116" spans="1:11" ht="25.5" customHeight="1">
      <c r="A116" s="60">
        <f t="shared" si="1"/>
        <v>113</v>
      </c>
      <c r="B116" s="66">
        <v>30001461</v>
      </c>
      <c r="C116" s="67" t="s">
        <v>33</v>
      </c>
      <c r="D116" s="68" t="s">
        <v>37</v>
      </c>
      <c r="E116" s="69" t="s">
        <v>1484</v>
      </c>
      <c r="F116" s="67" t="s">
        <v>1231</v>
      </c>
      <c r="G116" s="151" t="s">
        <v>1485</v>
      </c>
      <c r="H116" s="65" t="s">
        <v>1233</v>
      </c>
      <c r="I116" s="43"/>
      <c r="J116" s="43"/>
      <c r="K116" s="43"/>
    </row>
    <row r="117" spans="1:11" ht="25.5" customHeight="1">
      <c r="A117" s="60">
        <f t="shared" si="1"/>
        <v>114</v>
      </c>
      <c r="B117" s="66">
        <v>30001461</v>
      </c>
      <c r="C117" s="67" t="s">
        <v>33</v>
      </c>
      <c r="D117" s="68" t="s">
        <v>37</v>
      </c>
      <c r="E117" s="69" t="s">
        <v>1486</v>
      </c>
      <c r="F117" s="67" t="s">
        <v>1231</v>
      </c>
      <c r="G117" s="151" t="s">
        <v>1487</v>
      </c>
      <c r="H117" s="65" t="s">
        <v>1233</v>
      </c>
      <c r="I117" s="43"/>
      <c r="J117" s="43"/>
      <c r="K117" s="43"/>
    </row>
    <row r="118" spans="1:11" ht="25.5" customHeight="1">
      <c r="A118" s="60">
        <f t="shared" si="1"/>
        <v>115</v>
      </c>
      <c r="B118" s="66">
        <v>30001461</v>
      </c>
      <c r="C118" s="67" t="s">
        <v>33</v>
      </c>
      <c r="D118" s="68" t="s">
        <v>37</v>
      </c>
      <c r="E118" s="69" t="s">
        <v>1488</v>
      </c>
      <c r="F118" s="67" t="s">
        <v>1231</v>
      </c>
      <c r="G118" s="151" t="s">
        <v>1489</v>
      </c>
      <c r="H118" s="65" t="s">
        <v>1233</v>
      </c>
      <c r="I118" s="43"/>
      <c r="J118" s="43"/>
      <c r="K118" s="43"/>
    </row>
    <row r="119" spans="1:11" ht="25.5" customHeight="1">
      <c r="A119" s="60">
        <f t="shared" si="1"/>
        <v>116</v>
      </c>
      <c r="B119" s="66">
        <v>30001461</v>
      </c>
      <c r="C119" s="67" t="s">
        <v>33</v>
      </c>
      <c r="D119" s="68" t="s">
        <v>37</v>
      </c>
      <c r="E119" s="69" t="s">
        <v>1456</v>
      </c>
      <c r="F119" s="67" t="s">
        <v>1231</v>
      </c>
      <c r="G119" s="151" t="s">
        <v>1490</v>
      </c>
      <c r="H119" s="65" t="s">
        <v>1233</v>
      </c>
      <c r="I119" s="43"/>
      <c r="J119" s="43"/>
      <c r="K119" s="43"/>
    </row>
    <row r="120" spans="1:11" ht="36" customHeight="1">
      <c r="A120" s="60">
        <f t="shared" si="1"/>
        <v>117</v>
      </c>
      <c r="B120" s="66">
        <v>30001461</v>
      </c>
      <c r="C120" s="67" t="s">
        <v>33</v>
      </c>
      <c r="D120" s="68" t="s">
        <v>37</v>
      </c>
      <c r="E120" s="69" t="s">
        <v>1457</v>
      </c>
      <c r="F120" s="67" t="s">
        <v>1231</v>
      </c>
      <c r="G120" s="151" t="s">
        <v>1458</v>
      </c>
      <c r="H120" s="65" t="s">
        <v>1233</v>
      </c>
      <c r="I120" s="43"/>
      <c r="J120" s="43"/>
      <c r="K120" s="43"/>
    </row>
    <row r="121" spans="1:11" ht="25.5" customHeight="1">
      <c r="A121" s="60">
        <f t="shared" si="1"/>
        <v>118</v>
      </c>
      <c r="B121" s="66">
        <v>30001461</v>
      </c>
      <c r="C121" s="67" t="s">
        <v>33</v>
      </c>
      <c r="D121" s="68" t="s">
        <v>37</v>
      </c>
      <c r="E121" s="69" t="s">
        <v>1459</v>
      </c>
      <c r="F121" s="67" t="s">
        <v>1231</v>
      </c>
      <c r="G121" s="151" t="s">
        <v>1460</v>
      </c>
      <c r="H121" s="65" t="s">
        <v>1233</v>
      </c>
      <c r="I121" s="43"/>
      <c r="J121" s="43"/>
      <c r="K121" s="43"/>
    </row>
    <row r="122" spans="1:11" ht="25.5" customHeight="1">
      <c r="A122" s="60">
        <f t="shared" si="1"/>
        <v>119</v>
      </c>
      <c r="B122" s="66">
        <v>30001461</v>
      </c>
      <c r="C122" s="67" t="s">
        <v>33</v>
      </c>
      <c r="D122" s="68" t="s">
        <v>37</v>
      </c>
      <c r="E122" s="69" t="s">
        <v>1461</v>
      </c>
      <c r="F122" s="67" t="s">
        <v>1231</v>
      </c>
      <c r="G122" s="151" t="s">
        <v>1462</v>
      </c>
      <c r="H122" s="65" t="s">
        <v>1233</v>
      </c>
      <c r="I122" s="43"/>
      <c r="J122" s="43"/>
      <c r="K122" s="43"/>
    </row>
    <row r="123" spans="1:11" ht="25.5" customHeight="1">
      <c r="A123" s="60">
        <f t="shared" si="1"/>
        <v>120</v>
      </c>
      <c r="B123" s="66">
        <v>30001461</v>
      </c>
      <c r="C123" s="67" t="s">
        <v>33</v>
      </c>
      <c r="D123" s="68" t="s">
        <v>37</v>
      </c>
      <c r="E123" s="69" t="s">
        <v>1463</v>
      </c>
      <c r="F123" s="67" t="s">
        <v>1231</v>
      </c>
      <c r="G123" s="151" t="s">
        <v>1464</v>
      </c>
      <c r="H123" s="65" t="s">
        <v>1233</v>
      </c>
      <c r="I123" s="43"/>
      <c r="J123" s="43"/>
      <c r="K123" s="43"/>
    </row>
    <row r="124" spans="1:11" ht="25.5" customHeight="1">
      <c r="A124" s="60">
        <f t="shared" si="1"/>
        <v>121</v>
      </c>
      <c r="B124" s="66">
        <v>30001461</v>
      </c>
      <c r="C124" s="67" t="s">
        <v>33</v>
      </c>
      <c r="D124" s="68" t="s">
        <v>37</v>
      </c>
      <c r="E124" s="69" t="s">
        <v>1465</v>
      </c>
      <c r="F124" s="67" t="s">
        <v>1231</v>
      </c>
      <c r="G124" s="151" t="s">
        <v>1466</v>
      </c>
      <c r="H124" s="65" t="s">
        <v>1233</v>
      </c>
      <c r="I124" s="43"/>
      <c r="J124" s="43"/>
      <c r="K124" s="43"/>
    </row>
    <row r="125" spans="1:11" ht="25.5" customHeight="1">
      <c r="A125" s="60">
        <f t="shared" si="1"/>
        <v>122</v>
      </c>
      <c r="B125" s="66">
        <v>30001461</v>
      </c>
      <c r="C125" s="67" t="s">
        <v>33</v>
      </c>
      <c r="D125" s="68" t="s">
        <v>37</v>
      </c>
      <c r="E125" s="69" t="s">
        <v>1467</v>
      </c>
      <c r="F125" s="67" t="s">
        <v>1231</v>
      </c>
      <c r="G125" s="151" t="s">
        <v>1468</v>
      </c>
      <c r="H125" s="65" t="s">
        <v>1233</v>
      </c>
      <c r="I125" s="43"/>
      <c r="J125" s="43"/>
      <c r="K125" s="43"/>
    </row>
    <row r="126" spans="1:11" ht="30" customHeight="1">
      <c r="A126" s="60">
        <f t="shared" si="1"/>
        <v>123</v>
      </c>
      <c r="B126" s="66">
        <v>30001461</v>
      </c>
      <c r="C126" s="67" t="s">
        <v>33</v>
      </c>
      <c r="D126" s="68" t="s">
        <v>37</v>
      </c>
      <c r="E126" s="69" t="s">
        <v>1469</v>
      </c>
      <c r="F126" s="67" t="s">
        <v>1231</v>
      </c>
      <c r="G126" s="151" t="s">
        <v>1470</v>
      </c>
      <c r="H126" s="65" t="s">
        <v>1233</v>
      </c>
      <c r="I126" s="43"/>
      <c r="J126" s="43"/>
      <c r="K126" s="43"/>
    </row>
    <row r="127" spans="1:11" ht="60" customHeight="1">
      <c r="A127" s="60">
        <f t="shared" si="1"/>
        <v>124</v>
      </c>
      <c r="B127" s="66">
        <v>30001351</v>
      </c>
      <c r="C127" s="67" t="s">
        <v>68</v>
      </c>
      <c r="D127" s="68" t="s">
        <v>1491</v>
      </c>
      <c r="E127" s="69" t="s">
        <v>1492</v>
      </c>
      <c r="F127" s="67" t="s">
        <v>1231</v>
      </c>
      <c r="G127" s="151" t="s">
        <v>1493</v>
      </c>
      <c r="H127" s="65" t="s">
        <v>1233</v>
      </c>
      <c r="I127" s="43"/>
      <c r="J127" s="43"/>
      <c r="K127" s="43"/>
    </row>
    <row r="128" spans="1:11" ht="60" customHeight="1">
      <c r="A128" s="60">
        <f t="shared" si="1"/>
        <v>125</v>
      </c>
      <c r="B128" s="66">
        <v>30001351</v>
      </c>
      <c r="C128" s="67" t="s">
        <v>68</v>
      </c>
      <c r="D128" s="68" t="s">
        <v>1491</v>
      </c>
      <c r="E128" s="69" t="s">
        <v>1494</v>
      </c>
      <c r="F128" s="67" t="s">
        <v>1231</v>
      </c>
      <c r="G128" s="151" t="s">
        <v>1495</v>
      </c>
      <c r="H128" s="65" t="s">
        <v>1233</v>
      </c>
      <c r="I128" s="43"/>
      <c r="J128" s="43"/>
      <c r="K128" s="43"/>
    </row>
    <row r="129" spans="1:11" ht="15.75" customHeight="1">
      <c r="A129" s="60">
        <f t="shared" si="1"/>
        <v>126</v>
      </c>
      <c r="B129" s="66">
        <v>30001351</v>
      </c>
      <c r="C129" s="67" t="s">
        <v>68</v>
      </c>
      <c r="D129" s="68" t="s">
        <v>1491</v>
      </c>
      <c r="E129" s="69" t="s">
        <v>1496</v>
      </c>
      <c r="F129" s="67" t="s">
        <v>1231</v>
      </c>
      <c r="G129" s="152" t="s">
        <v>1231</v>
      </c>
      <c r="H129" s="65" t="s">
        <v>1233</v>
      </c>
      <c r="I129" s="43"/>
      <c r="J129" s="43"/>
      <c r="K129" s="43"/>
    </row>
    <row r="130" spans="1:11" ht="15" customHeight="1">
      <c r="A130" s="60">
        <f t="shared" si="1"/>
        <v>127</v>
      </c>
      <c r="B130" s="66">
        <v>30001351</v>
      </c>
      <c r="C130" s="67" t="s">
        <v>68</v>
      </c>
      <c r="D130" s="68" t="s">
        <v>1425</v>
      </c>
      <c r="E130" s="69" t="s">
        <v>1497</v>
      </c>
      <c r="F130" s="67" t="s">
        <v>1231</v>
      </c>
      <c r="G130" s="151" t="s">
        <v>1498</v>
      </c>
      <c r="H130" s="65" t="s">
        <v>1233</v>
      </c>
      <c r="I130" s="43"/>
      <c r="J130" s="43"/>
      <c r="K130" s="43"/>
    </row>
    <row r="131" spans="1:11" ht="15" customHeight="1">
      <c r="A131" s="60">
        <f t="shared" si="1"/>
        <v>128</v>
      </c>
      <c r="B131" s="66">
        <v>30001351</v>
      </c>
      <c r="C131" s="67" t="s">
        <v>68</v>
      </c>
      <c r="D131" s="68" t="s">
        <v>1491</v>
      </c>
      <c r="E131" s="69" t="s">
        <v>1499</v>
      </c>
      <c r="F131" s="67" t="s">
        <v>1231</v>
      </c>
      <c r="G131" s="151" t="s">
        <v>1500</v>
      </c>
      <c r="H131" s="65" t="s">
        <v>1233</v>
      </c>
      <c r="I131" s="43"/>
      <c r="J131" s="43"/>
      <c r="K131" s="43"/>
    </row>
    <row r="132" spans="1:11" ht="60" customHeight="1">
      <c r="A132" s="60">
        <f t="shared" ref="A132:A195" si="2">IF(COUNTA(B132:G132)&gt;0,ROW()-3,"")</f>
        <v>129</v>
      </c>
      <c r="B132" s="66">
        <v>30001351</v>
      </c>
      <c r="C132" s="67" t="s">
        <v>68</v>
      </c>
      <c r="D132" s="68" t="s">
        <v>1501</v>
      </c>
      <c r="E132" s="69" t="s">
        <v>1502</v>
      </c>
      <c r="F132" s="67" t="s">
        <v>1231</v>
      </c>
      <c r="G132" s="151" t="s">
        <v>1503</v>
      </c>
      <c r="H132" s="65" t="s">
        <v>1233</v>
      </c>
      <c r="I132" s="43"/>
      <c r="J132" s="43"/>
      <c r="K132" s="43"/>
    </row>
    <row r="133" spans="1:11" ht="24" customHeight="1">
      <c r="A133" s="60">
        <f t="shared" si="2"/>
        <v>130</v>
      </c>
      <c r="B133" s="66">
        <v>30001351</v>
      </c>
      <c r="C133" s="67" t="s">
        <v>68</v>
      </c>
      <c r="D133" s="68" t="s">
        <v>1491</v>
      </c>
      <c r="E133" s="69" t="s">
        <v>1504</v>
      </c>
      <c r="F133" s="67" t="s">
        <v>1231</v>
      </c>
      <c r="G133" s="151" t="s">
        <v>1505</v>
      </c>
      <c r="H133" s="65" t="s">
        <v>1233</v>
      </c>
      <c r="I133" s="43"/>
      <c r="J133" s="43"/>
      <c r="K133" s="43"/>
    </row>
    <row r="134" spans="1:11" ht="60" customHeight="1">
      <c r="A134" s="60">
        <f t="shared" si="2"/>
        <v>131</v>
      </c>
      <c r="B134" s="66">
        <v>30001351</v>
      </c>
      <c r="C134" s="67" t="s">
        <v>68</v>
      </c>
      <c r="D134" s="68" t="s">
        <v>1491</v>
      </c>
      <c r="E134" s="69" t="s">
        <v>1506</v>
      </c>
      <c r="F134" s="67" t="s">
        <v>1231</v>
      </c>
      <c r="G134" s="151" t="s">
        <v>1507</v>
      </c>
      <c r="H134" s="65" t="s">
        <v>1233</v>
      </c>
      <c r="I134" s="43"/>
      <c r="J134" s="43"/>
      <c r="K134" s="43"/>
    </row>
    <row r="135" spans="1:11" ht="48" customHeight="1">
      <c r="A135" s="60">
        <f t="shared" si="2"/>
        <v>132</v>
      </c>
      <c r="B135" s="66">
        <v>30001351</v>
      </c>
      <c r="C135" s="67" t="s">
        <v>68</v>
      </c>
      <c r="D135" s="68" t="s">
        <v>1425</v>
      </c>
      <c r="E135" s="69" t="s">
        <v>1508</v>
      </c>
      <c r="F135" s="67" t="s">
        <v>1231</v>
      </c>
      <c r="G135" s="151" t="s">
        <v>1509</v>
      </c>
      <c r="H135" s="65" t="s">
        <v>1233</v>
      </c>
      <c r="I135" s="43"/>
      <c r="J135" s="43"/>
      <c r="K135" s="43"/>
    </row>
    <row r="136" spans="1:11" ht="24" customHeight="1">
      <c r="A136" s="60">
        <f t="shared" si="2"/>
        <v>133</v>
      </c>
      <c r="B136" s="66">
        <v>30001351</v>
      </c>
      <c r="C136" s="67" t="s">
        <v>68</v>
      </c>
      <c r="D136" s="68" t="s">
        <v>1425</v>
      </c>
      <c r="E136" s="69" t="s">
        <v>1510</v>
      </c>
      <c r="F136" s="67" t="s">
        <v>1231</v>
      </c>
      <c r="G136" s="151" t="s">
        <v>1511</v>
      </c>
      <c r="H136" s="65" t="s">
        <v>1233</v>
      </c>
      <c r="I136" s="43"/>
      <c r="J136" s="43"/>
      <c r="K136" s="43"/>
    </row>
    <row r="137" spans="1:11" ht="25.5" customHeight="1">
      <c r="A137" s="60">
        <f t="shared" si="2"/>
        <v>134</v>
      </c>
      <c r="B137" s="66">
        <v>30001351</v>
      </c>
      <c r="C137" s="67" t="s">
        <v>671</v>
      </c>
      <c r="D137" s="68" t="s">
        <v>1512</v>
      </c>
      <c r="E137" s="69" t="s">
        <v>1513</v>
      </c>
      <c r="F137" s="67" t="s">
        <v>1231</v>
      </c>
      <c r="G137" s="151" t="s">
        <v>1514</v>
      </c>
      <c r="H137" s="65" t="s">
        <v>1233</v>
      </c>
      <c r="I137" s="43"/>
      <c r="J137" s="43"/>
      <c r="K137" s="43"/>
    </row>
    <row r="138" spans="1:11" ht="30" customHeight="1">
      <c r="A138" s="60">
        <f t="shared" si="2"/>
        <v>135</v>
      </c>
      <c r="B138" s="66">
        <v>30001351</v>
      </c>
      <c r="C138" s="67" t="s">
        <v>68</v>
      </c>
      <c r="D138" s="68" t="s">
        <v>1501</v>
      </c>
      <c r="E138" s="69" t="s">
        <v>1515</v>
      </c>
      <c r="F138" s="67" t="s">
        <v>1231</v>
      </c>
      <c r="G138" s="152" t="s">
        <v>1231</v>
      </c>
      <c r="H138" s="65" t="s">
        <v>1233</v>
      </c>
      <c r="I138" s="43"/>
      <c r="J138" s="43"/>
      <c r="K138" s="43"/>
    </row>
    <row r="139" spans="1:11" ht="30" customHeight="1">
      <c r="A139" s="60">
        <f t="shared" si="2"/>
        <v>136</v>
      </c>
      <c r="B139" s="66">
        <v>30001351</v>
      </c>
      <c r="C139" s="67" t="s">
        <v>68</v>
      </c>
      <c r="D139" s="68" t="s">
        <v>1491</v>
      </c>
      <c r="E139" s="69" t="s">
        <v>1516</v>
      </c>
      <c r="F139" s="67" t="s">
        <v>1231</v>
      </c>
      <c r="G139" s="151" t="s">
        <v>1517</v>
      </c>
      <c r="H139" s="65" t="s">
        <v>1233</v>
      </c>
      <c r="I139" s="43"/>
      <c r="J139" s="43"/>
      <c r="K139" s="43"/>
    </row>
    <row r="140" spans="1:11" ht="15" customHeight="1">
      <c r="A140" s="60">
        <f t="shared" si="2"/>
        <v>137</v>
      </c>
      <c r="B140" s="66">
        <v>30001351</v>
      </c>
      <c r="C140" s="67" t="s">
        <v>68</v>
      </c>
      <c r="D140" s="68" t="s">
        <v>1425</v>
      </c>
      <c r="E140" s="69" t="s">
        <v>1518</v>
      </c>
      <c r="F140" s="67" t="s">
        <v>1231</v>
      </c>
      <c r="G140" s="151" t="s">
        <v>1519</v>
      </c>
      <c r="H140" s="65" t="s">
        <v>1233</v>
      </c>
      <c r="I140" s="43"/>
      <c r="J140" s="43"/>
      <c r="K140" s="43"/>
    </row>
    <row r="141" spans="1:11" ht="15" customHeight="1">
      <c r="A141" s="60">
        <f t="shared" si="2"/>
        <v>138</v>
      </c>
      <c r="B141" s="66">
        <v>30001351</v>
      </c>
      <c r="C141" s="67" t="s">
        <v>68</v>
      </c>
      <c r="D141" s="68" t="s">
        <v>1491</v>
      </c>
      <c r="E141" s="69" t="s">
        <v>1520</v>
      </c>
      <c r="F141" s="67" t="s">
        <v>1231</v>
      </c>
      <c r="G141" s="151" t="s">
        <v>1521</v>
      </c>
      <c r="H141" s="65" t="s">
        <v>1233</v>
      </c>
      <c r="I141" s="43"/>
      <c r="J141" s="43"/>
      <c r="K141" s="43"/>
    </row>
    <row r="142" spans="1:11" ht="36" customHeight="1">
      <c r="A142" s="60">
        <f t="shared" si="2"/>
        <v>139</v>
      </c>
      <c r="B142" s="66">
        <v>30001351</v>
      </c>
      <c r="C142" s="67" t="s">
        <v>68</v>
      </c>
      <c r="D142" s="68" t="s">
        <v>1425</v>
      </c>
      <c r="E142" s="69" t="s">
        <v>1522</v>
      </c>
      <c r="F142" s="67" t="s">
        <v>1231</v>
      </c>
      <c r="G142" s="151" t="s">
        <v>1523</v>
      </c>
      <c r="H142" s="65" t="s">
        <v>1233</v>
      </c>
      <c r="I142" s="43"/>
      <c r="J142" s="43"/>
      <c r="K142" s="43"/>
    </row>
    <row r="143" spans="1:11" ht="15" customHeight="1">
      <c r="A143" s="60">
        <f t="shared" si="2"/>
        <v>140</v>
      </c>
      <c r="B143" s="66">
        <v>30001351</v>
      </c>
      <c r="C143" s="67" t="s">
        <v>68</v>
      </c>
      <c r="D143" s="68" t="s">
        <v>1491</v>
      </c>
      <c r="E143" s="69" t="s">
        <v>1524</v>
      </c>
      <c r="F143" s="67" t="s">
        <v>1231</v>
      </c>
      <c r="G143" s="151" t="s">
        <v>1525</v>
      </c>
      <c r="H143" s="65" t="s">
        <v>1233</v>
      </c>
      <c r="I143" s="43"/>
      <c r="J143" s="43"/>
      <c r="K143" s="43"/>
    </row>
    <row r="144" spans="1:11" ht="15" customHeight="1">
      <c r="A144" s="60">
        <f t="shared" si="2"/>
        <v>141</v>
      </c>
      <c r="B144" s="66">
        <v>30001351</v>
      </c>
      <c r="C144" s="67" t="s">
        <v>68</v>
      </c>
      <c r="D144" s="68" t="s">
        <v>1491</v>
      </c>
      <c r="E144" s="69" t="s">
        <v>1526</v>
      </c>
      <c r="F144" s="67" t="s">
        <v>1231</v>
      </c>
      <c r="G144" s="151" t="s">
        <v>1527</v>
      </c>
      <c r="H144" s="65" t="s">
        <v>1233</v>
      </c>
      <c r="I144" s="43"/>
      <c r="J144" s="43"/>
      <c r="K144" s="43"/>
    </row>
    <row r="145" spans="1:11" ht="24" customHeight="1">
      <c r="A145" s="60">
        <f t="shared" si="2"/>
        <v>142</v>
      </c>
      <c r="B145" s="66">
        <v>30001351</v>
      </c>
      <c r="C145" s="67" t="s">
        <v>68</v>
      </c>
      <c r="D145" s="68" t="s">
        <v>1491</v>
      </c>
      <c r="E145" s="69" t="s">
        <v>1528</v>
      </c>
      <c r="F145" s="67" t="s">
        <v>1231</v>
      </c>
      <c r="G145" s="151" t="s">
        <v>1529</v>
      </c>
      <c r="H145" s="65" t="s">
        <v>1233</v>
      </c>
      <c r="I145" s="43"/>
      <c r="J145" s="43"/>
      <c r="K145" s="43"/>
    </row>
    <row r="146" spans="1:11" ht="48" customHeight="1">
      <c r="A146" s="60">
        <f t="shared" si="2"/>
        <v>143</v>
      </c>
      <c r="B146" s="66">
        <v>3000135</v>
      </c>
      <c r="C146" s="67" t="s">
        <v>68</v>
      </c>
      <c r="D146" s="68" t="s">
        <v>1491</v>
      </c>
      <c r="E146" s="69" t="s">
        <v>1530</v>
      </c>
      <c r="F146" s="67" t="s">
        <v>1231</v>
      </c>
      <c r="G146" s="151" t="s">
        <v>1531</v>
      </c>
      <c r="H146" s="65" t="s">
        <v>1233</v>
      </c>
      <c r="I146" s="43"/>
      <c r="J146" s="43"/>
      <c r="K146" s="43"/>
    </row>
    <row r="147" spans="1:11" ht="36" customHeight="1">
      <c r="A147" s="60">
        <f t="shared" si="2"/>
        <v>144</v>
      </c>
      <c r="B147" s="66">
        <v>3000135</v>
      </c>
      <c r="C147" s="67" t="s">
        <v>68</v>
      </c>
      <c r="D147" s="68" t="s">
        <v>1425</v>
      </c>
      <c r="E147" s="69" t="s">
        <v>1530</v>
      </c>
      <c r="F147" s="67" t="s">
        <v>1231</v>
      </c>
      <c r="G147" s="151" t="s">
        <v>1532</v>
      </c>
      <c r="H147" s="65" t="s">
        <v>1233</v>
      </c>
      <c r="I147" s="43"/>
      <c r="J147" s="43"/>
      <c r="K147" s="43"/>
    </row>
    <row r="148" spans="1:11" ht="48" customHeight="1">
      <c r="A148" s="60">
        <f t="shared" si="2"/>
        <v>145</v>
      </c>
      <c r="B148" s="66">
        <v>30001351</v>
      </c>
      <c r="C148" s="67" t="s">
        <v>68</v>
      </c>
      <c r="D148" s="68" t="s">
        <v>37</v>
      </c>
      <c r="E148" s="69" t="s">
        <v>1533</v>
      </c>
      <c r="F148" s="67" t="s">
        <v>1231</v>
      </c>
      <c r="G148" s="151" t="s">
        <v>1534</v>
      </c>
      <c r="H148" s="65" t="s">
        <v>1233</v>
      </c>
      <c r="I148" s="43"/>
      <c r="J148" s="43"/>
      <c r="K148" s="43"/>
    </row>
    <row r="149" spans="1:11" ht="45" customHeight="1">
      <c r="A149" s="60">
        <f t="shared" si="2"/>
        <v>146</v>
      </c>
      <c r="B149" s="66">
        <v>30001351</v>
      </c>
      <c r="C149" s="67" t="s">
        <v>68</v>
      </c>
      <c r="D149" s="68" t="s">
        <v>1425</v>
      </c>
      <c r="E149" s="69" t="s">
        <v>1535</v>
      </c>
      <c r="F149" s="67" t="s">
        <v>1231</v>
      </c>
      <c r="G149" s="151" t="s">
        <v>1536</v>
      </c>
      <c r="H149" s="65" t="s">
        <v>1233</v>
      </c>
      <c r="I149" s="43"/>
      <c r="J149" s="43"/>
      <c r="K149" s="43"/>
    </row>
    <row r="150" spans="1:11" ht="48" customHeight="1">
      <c r="A150" s="60">
        <f t="shared" si="2"/>
        <v>147</v>
      </c>
      <c r="B150" s="66">
        <v>30001351</v>
      </c>
      <c r="C150" s="67" t="s">
        <v>68</v>
      </c>
      <c r="D150" s="68" t="s">
        <v>1425</v>
      </c>
      <c r="E150" s="69" t="s">
        <v>1537</v>
      </c>
      <c r="F150" s="67" t="s">
        <v>1231</v>
      </c>
      <c r="G150" s="151" t="s">
        <v>1538</v>
      </c>
      <c r="H150" s="65" t="s">
        <v>1233</v>
      </c>
      <c r="I150" s="43"/>
      <c r="J150" s="43"/>
      <c r="K150" s="43"/>
    </row>
    <row r="151" spans="1:11" ht="48" customHeight="1">
      <c r="A151" s="60">
        <f t="shared" si="2"/>
        <v>148</v>
      </c>
      <c r="B151" s="66">
        <v>30001351</v>
      </c>
      <c r="C151" s="67" t="s">
        <v>68</v>
      </c>
      <c r="D151" s="68" t="s">
        <v>1425</v>
      </c>
      <c r="E151" s="69" t="s">
        <v>1539</v>
      </c>
      <c r="F151" s="67" t="s">
        <v>1231</v>
      </c>
      <c r="G151" s="151" t="s">
        <v>1540</v>
      </c>
      <c r="H151" s="65" t="s">
        <v>1233</v>
      </c>
      <c r="I151" s="43"/>
      <c r="J151" s="43"/>
      <c r="K151" s="43"/>
    </row>
    <row r="152" spans="1:11" ht="15" customHeight="1">
      <c r="A152" s="60">
        <f t="shared" si="2"/>
        <v>149</v>
      </c>
      <c r="B152" s="66">
        <v>30001351</v>
      </c>
      <c r="C152" s="67" t="s">
        <v>68</v>
      </c>
      <c r="D152" s="68" t="s">
        <v>1491</v>
      </c>
      <c r="E152" s="69" t="s">
        <v>1541</v>
      </c>
      <c r="F152" s="67" t="s">
        <v>1231</v>
      </c>
      <c r="G152" s="151" t="s">
        <v>1542</v>
      </c>
      <c r="H152" s="65" t="s">
        <v>1233</v>
      </c>
      <c r="I152" s="43"/>
      <c r="J152" s="43"/>
      <c r="K152" s="43"/>
    </row>
    <row r="153" spans="1:11" ht="24" customHeight="1">
      <c r="A153" s="60">
        <f t="shared" si="2"/>
        <v>150</v>
      </c>
      <c r="B153" s="66">
        <v>30001351</v>
      </c>
      <c r="C153" s="67" t="s">
        <v>68</v>
      </c>
      <c r="D153" s="68" t="s">
        <v>1425</v>
      </c>
      <c r="E153" s="69" t="s">
        <v>1543</v>
      </c>
      <c r="F153" s="67" t="s">
        <v>1231</v>
      </c>
      <c r="G153" s="151" t="s">
        <v>1544</v>
      </c>
      <c r="H153" s="65" t="s">
        <v>1233</v>
      </c>
      <c r="I153" s="43"/>
      <c r="J153" s="43"/>
      <c r="K153" s="43"/>
    </row>
    <row r="154" spans="1:11" ht="15" customHeight="1">
      <c r="A154" s="60">
        <f t="shared" si="2"/>
        <v>151</v>
      </c>
      <c r="B154" s="66">
        <v>30001351</v>
      </c>
      <c r="C154" s="67" t="s">
        <v>68</v>
      </c>
      <c r="D154" s="68" t="s">
        <v>1425</v>
      </c>
      <c r="E154" s="69" t="s">
        <v>1545</v>
      </c>
      <c r="F154" s="67" t="s">
        <v>1231</v>
      </c>
      <c r="G154" s="151" t="s">
        <v>1546</v>
      </c>
      <c r="H154" s="65" t="s">
        <v>1233</v>
      </c>
      <c r="I154" s="43"/>
      <c r="J154" s="43"/>
      <c r="K154" s="43"/>
    </row>
    <row r="155" spans="1:11" ht="60" customHeight="1">
      <c r="A155" s="60">
        <f t="shared" si="2"/>
        <v>152</v>
      </c>
      <c r="B155" s="66">
        <v>30001351</v>
      </c>
      <c r="C155" s="67" t="s">
        <v>68</v>
      </c>
      <c r="D155" s="68" t="s">
        <v>1425</v>
      </c>
      <c r="E155" s="69" t="s">
        <v>1547</v>
      </c>
      <c r="F155" s="67" t="s">
        <v>1231</v>
      </c>
      <c r="G155" s="151" t="s">
        <v>1548</v>
      </c>
      <c r="H155" s="65" t="s">
        <v>1233</v>
      </c>
      <c r="I155" s="43"/>
      <c r="J155" s="43"/>
      <c r="K155" s="43"/>
    </row>
    <row r="156" spans="1:11" ht="48" customHeight="1">
      <c r="A156" s="60">
        <f t="shared" si="2"/>
        <v>153</v>
      </c>
      <c r="B156" s="66">
        <v>30001351</v>
      </c>
      <c r="C156" s="67" t="s">
        <v>68</v>
      </c>
      <c r="D156" s="68" t="s">
        <v>1491</v>
      </c>
      <c r="E156" s="69" t="s">
        <v>1549</v>
      </c>
      <c r="F156" s="67" t="s">
        <v>1231</v>
      </c>
      <c r="G156" s="151" t="s">
        <v>1550</v>
      </c>
      <c r="H156" s="65" t="s">
        <v>1233</v>
      </c>
      <c r="I156" s="43"/>
      <c r="J156" s="43"/>
      <c r="K156" s="43"/>
    </row>
    <row r="157" spans="1:11" ht="36" customHeight="1">
      <c r="A157" s="60">
        <f t="shared" si="2"/>
        <v>154</v>
      </c>
      <c r="B157" s="66">
        <v>30001351</v>
      </c>
      <c r="C157" s="67" t="s">
        <v>68</v>
      </c>
      <c r="D157" s="68" t="s">
        <v>1425</v>
      </c>
      <c r="E157" s="69" t="s">
        <v>1551</v>
      </c>
      <c r="F157" s="67" t="s">
        <v>1231</v>
      </c>
      <c r="G157" s="151" t="s">
        <v>1552</v>
      </c>
      <c r="H157" s="65" t="s">
        <v>1233</v>
      </c>
      <c r="I157" s="43"/>
      <c r="J157" s="43"/>
      <c r="K157" s="43"/>
    </row>
    <row r="158" spans="1:11" ht="48" customHeight="1">
      <c r="A158" s="60">
        <f t="shared" si="2"/>
        <v>155</v>
      </c>
      <c r="B158" s="66">
        <v>30001351</v>
      </c>
      <c r="C158" s="67" t="s">
        <v>68</v>
      </c>
      <c r="D158" s="68" t="s">
        <v>1425</v>
      </c>
      <c r="E158" s="69" t="s">
        <v>1553</v>
      </c>
      <c r="F158" s="67" t="s">
        <v>1231</v>
      </c>
      <c r="G158" s="151" t="s">
        <v>1554</v>
      </c>
      <c r="H158" s="65" t="s">
        <v>1233</v>
      </c>
      <c r="I158" s="43"/>
      <c r="J158" s="43"/>
      <c r="K158" s="43"/>
    </row>
    <row r="159" spans="1:11" ht="15" customHeight="1">
      <c r="A159" s="60">
        <f t="shared" si="2"/>
        <v>156</v>
      </c>
      <c r="B159" s="66" t="s">
        <v>1428</v>
      </c>
      <c r="C159" s="67" t="s">
        <v>73</v>
      </c>
      <c r="D159" s="68" t="s">
        <v>1555</v>
      </c>
      <c r="E159" s="69" t="s">
        <v>1556</v>
      </c>
      <c r="F159" s="67" t="s">
        <v>1231</v>
      </c>
      <c r="G159" s="151" t="s">
        <v>1557</v>
      </c>
      <c r="H159" s="65" t="s">
        <v>1233</v>
      </c>
      <c r="I159" s="43"/>
      <c r="J159" s="43"/>
      <c r="K159" s="43"/>
    </row>
    <row r="160" spans="1:11" ht="25.5" customHeight="1">
      <c r="A160" s="60">
        <f t="shared" si="2"/>
        <v>157</v>
      </c>
      <c r="B160" s="66">
        <v>30001575</v>
      </c>
      <c r="C160" s="67" t="s">
        <v>671</v>
      </c>
      <c r="D160" s="68" t="s">
        <v>1558</v>
      </c>
      <c r="E160" s="69" t="s">
        <v>1559</v>
      </c>
      <c r="F160" s="67" t="s">
        <v>1231</v>
      </c>
      <c r="G160" s="151" t="s">
        <v>1560</v>
      </c>
      <c r="H160" s="65" t="s">
        <v>1233</v>
      </c>
      <c r="I160" s="43"/>
      <c r="J160" s="43"/>
      <c r="K160" s="43"/>
    </row>
    <row r="161" spans="1:11" ht="15" customHeight="1">
      <c r="A161" s="60">
        <f t="shared" si="2"/>
        <v>158</v>
      </c>
      <c r="B161" s="66">
        <v>30001575</v>
      </c>
      <c r="C161" s="67" t="s">
        <v>73</v>
      </c>
      <c r="D161" s="68" t="s">
        <v>1558</v>
      </c>
      <c r="E161" s="69" t="s">
        <v>1561</v>
      </c>
      <c r="F161" s="67" t="s">
        <v>1231</v>
      </c>
      <c r="G161" s="151" t="s">
        <v>1562</v>
      </c>
      <c r="H161" s="65" t="s">
        <v>1233</v>
      </c>
      <c r="I161" s="43"/>
      <c r="J161" s="43"/>
      <c r="K161" s="43"/>
    </row>
    <row r="162" spans="1:11" ht="25.5" customHeight="1">
      <c r="A162" s="60">
        <f t="shared" si="2"/>
        <v>159</v>
      </c>
      <c r="B162" s="66">
        <v>30001575</v>
      </c>
      <c r="C162" s="67" t="s">
        <v>671</v>
      </c>
      <c r="D162" s="68" t="s">
        <v>1558</v>
      </c>
      <c r="E162" s="69" t="s">
        <v>1559</v>
      </c>
      <c r="F162" s="67" t="s">
        <v>1231</v>
      </c>
      <c r="G162" s="151" t="s">
        <v>1563</v>
      </c>
      <c r="H162" s="65" t="s">
        <v>1233</v>
      </c>
      <c r="I162" s="43"/>
      <c r="J162" s="43"/>
      <c r="K162" s="43"/>
    </row>
    <row r="163" spans="1:11" ht="25.5" customHeight="1">
      <c r="A163" s="60">
        <f t="shared" si="2"/>
        <v>160</v>
      </c>
      <c r="B163" s="66">
        <v>30001575</v>
      </c>
      <c r="C163" s="67" t="s">
        <v>671</v>
      </c>
      <c r="D163" s="68" t="s">
        <v>1558</v>
      </c>
      <c r="E163" s="69" t="s">
        <v>1559</v>
      </c>
      <c r="F163" s="67" t="s">
        <v>1231</v>
      </c>
      <c r="G163" s="151" t="s">
        <v>1564</v>
      </c>
      <c r="H163" s="65" t="s">
        <v>1233</v>
      </c>
      <c r="I163" s="43"/>
      <c r="J163" s="43"/>
      <c r="K163" s="43"/>
    </row>
    <row r="164" spans="1:11" ht="15" customHeight="1">
      <c r="A164" s="60">
        <f t="shared" si="2"/>
        <v>161</v>
      </c>
      <c r="B164" s="66">
        <v>30001575</v>
      </c>
      <c r="C164" s="67" t="s">
        <v>73</v>
      </c>
      <c r="D164" s="68" t="s">
        <v>1558</v>
      </c>
      <c r="E164" s="69" t="s">
        <v>1565</v>
      </c>
      <c r="F164" s="67" t="s">
        <v>1231</v>
      </c>
      <c r="G164" s="151" t="s">
        <v>1566</v>
      </c>
      <c r="H164" s="65" t="s">
        <v>1233</v>
      </c>
      <c r="I164" s="43"/>
      <c r="J164" s="43"/>
      <c r="K164" s="43"/>
    </row>
    <row r="165" spans="1:11" ht="15" customHeight="1">
      <c r="A165" s="60">
        <f t="shared" si="2"/>
        <v>162</v>
      </c>
      <c r="B165" s="66">
        <v>30001575</v>
      </c>
      <c r="C165" s="67" t="s">
        <v>73</v>
      </c>
      <c r="D165" s="68" t="s">
        <v>1558</v>
      </c>
      <c r="E165" s="69" t="s">
        <v>1567</v>
      </c>
      <c r="F165" s="67" t="s">
        <v>1231</v>
      </c>
      <c r="G165" s="151" t="s">
        <v>1568</v>
      </c>
      <c r="H165" s="65" t="s">
        <v>1233</v>
      </c>
      <c r="I165" s="43"/>
      <c r="J165" s="43"/>
      <c r="K165" s="43"/>
    </row>
    <row r="166" spans="1:11" ht="15" customHeight="1">
      <c r="A166" s="60">
        <f t="shared" si="2"/>
        <v>163</v>
      </c>
      <c r="B166" s="66">
        <v>30001575</v>
      </c>
      <c r="C166" s="67" t="s">
        <v>73</v>
      </c>
      <c r="D166" s="68" t="s">
        <v>1558</v>
      </c>
      <c r="E166" s="69" t="s">
        <v>1569</v>
      </c>
      <c r="F166" s="67" t="s">
        <v>1231</v>
      </c>
      <c r="G166" s="151" t="s">
        <v>1570</v>
      </c>
      <c r="H166" s="65" t="s">
        <v>1233</v>
      </c>
      <c r="I166" s="43"/>
      <c r="J166" s="43"/>
      <c r="K166" s="43"/>
    </row>
    <row r="167" spans="1:11" ht="25.5" customHeight="1">
      <c r="A167" s="60">
        <f t="shared" si="2"/>
        <v>164</v>
      </c>
      <c r="B167" s="66" t="s">
        <v>1571</v>
      </c>
      <c r="C167" s="67" t="s">
        <v>73</v>
      </c>
      <c r="D167" s="68" t="s">
        <v>1572</v>
      </c>
      <c r="E167" s="69" t="s">
        <v>1573</v>
      </c>
      <c r="F167" s="67" t="s">
        <v>1231</v>
      </c>
      <c r="G167" s="151" t="s">
        <v>1574</v>
      </c>
      <c r="H167" s="65" t="s">
        <v>1233</v>
      </c>
      <c r="I167" s="43"/>
      <c r="J167" s="43"/>
      <c r="K167" s="43"/>
    </row>
    <row r="168" spans="1:11" ht="15" customHeight="1">
      <c r="A168" s="60">
        <f t="shared" si="2"/>
        <v>165</v>
      </c>
      <c r="B168" s="66">
        <v>30001575</v>
      </c>
      <c r="C168" s="67" t="s">
        <v>73</v>
      </c>
      <c r="D168" s="68" t="s">
        <v>1558</v>
      </c>
      <c r="E168" s="69" t="s">
        <v>1575</v>
      </c>
      <c r="F168" s="67" t="s">
        <v>1231</v>
      </c>
      <c r="G168" s="151" t="s">
        <v>1576</v>
      </c>
      <c r="H168" s="65" t="s">
        <v>1233</v>
      </c>
      <c r="I168" s="43"/>
      <c r="J168" s="43"/>
      <c r="K168" s="43"/>
    </row>
    <row r="169" spans="1:11" ht="25.5" customHeight="1">
      <c r="A169" s="60">
        <f t="shared" si="2"/>
        <v>166</v>
      </c>
      <c r="B169" s="66" t="s">
        <v>1571</v>
      </c>
      <c r="C169" s="67" t="s">
        <v>73</v>
      </c>
      <c r="D169" s="68" t="s">
        <v>1572</v>
      </c>
      <c r="E169" s="69" t="s">
        <v>1577</v>
      </c>
      <c r="F169" s="67" t="s">
        <v>1231</v>
      </c>
      <c r="G169" s="151" t="s">
        <v>1578</v>
      </c>
      <c r="H169" s="65" t="s">
        <v>1233</v>
      </c>
      <c r="I169" s="43"/>
      <c r="J169" s="43"/>
      <c r="K169" s="43"/>
    </row>
    <row r="170" spans="1:11" ht="15" customHeight="1">
      <c r="A170" s="60">
        <f t="shared" si="2"/>
        <v>167</v>
      </c>
      <c r="B170" s="66">
        <v>30001575</v>
      </c>
      <c r="C170" s="67" t="s">
        <v>73</v>
      </c>
      <c r="D170" s="68" t="s">
        <v>1558</v>
      </c>
      <c r="E170" s="69" t="s">
        <v>1579</v>
      </c>
      <c r="F170" s="67" t="s">
        <v>1231</v>
      </c>
      <c r="G170" s="151" t="s">
        <v>1580</v>
      </c>
      <c r="H170" s="65" t="s">
        <v>1233</v>
      </c>
      <c r="I170" s="43"/>
      <c r="J170" s="43"/>
      <c r="K170" s="43"/>
    </row>
    <row r="171" spans="1:11" ht="25.5" customHeight="1">
      <c r="A171" s="60">
        <f t="shared" si="2"/>
        <v>168</v>
      </c>
      <c r="B171" s="66" t="s">
        <v>1571</v>
      </c>
      <c r="C171" s="67" t="s">
        <v>73</v>
      </c>
      <c r="D171" s="68" t="s">
        <v>1572</v>
      </c>
      <c r="E171" s="69" t="s">
        <v>1581</v>
      </c>
      <c r="F171" s="67" t="s">
        <v>1231</v>
      </c>
      <c r="G171" s="151" t="s">
        <v>1582</v>
      </c>
      <c r="H171" s="65" t="s">
        <v>1233</v>
      </c>
      <c r="I171" s="43"/>
      <c r="J171" s="43"/>
      <c r="K171" s="43"/>
    </row>
    <row r="172" spans="1:11" ht="15" customHeight="1">
      <c r="A172" s="60">
        <f t="shared" si="2"/>
        <v>169</v>
      </c>
      <c r="B172" s="66">
        <v>30001575</v>
      </c>
      <c r="C172" s="67" t="s">
        <v>73</v>
      </c>
      <c r="D172" s="68" t="s">
        <v>1558</v>
      </c>
      <c r="E172" s="69" t="s">
        <v>1583</v>
      </c>
      <c r="F172" s="67" t="s">
        <v>1231</v>
      </c>
      <c r="G172" s="151" t="s">
        <v>1584</v>
      </c>
      <c r="H172" s="65" t="s">
        <v>1233</v>
      </c>
      <c r="I172" s="43"/>
      <c r="J172" s="43"/>
      <c r="K172" s="43"/>
    </row>
    <row r="173" spans="1:11" ht="25.5" customHeight="1">
      <c r="A173" s="60">
        <f t="shared" si="2"/>
        <v>170</v>
      </c>
      <c r="B173" s="66" t="s">
        <v>1571</v>
      </c>
      <c r="C173" s="67" t="s">
        <v>73</v>
      </c>
      <c r="D173" s="68" t="s">
        <v>1572</v>
      </c>
      <c r="E173" s="69" t="s">
        <v>1585</v>
      </c>
      <c r="F173" s="67" t="s">
        <v>1231</v>
      </c>
      <c r="G173" s="151" t="s">
        <v>1586</v>
      </c>
      <c r="H173" s="65" t="s">
        <v>1233</v>
      </c>
      <c r="I173" s="43"/>
      <c r="J173" s="43"/>
      <c r="K173" s="43"/>
    </row>
    <row r="174" spans="1:11" ht="15" customHeight="1">
      <c r="A174" s="60">
        <f t="shared" si="2"/>
        <v>171</v>
      </c>
      <c r="B174" s="66">
        <v>30001575</v>
      </c>
      <c r="C174" s="67" t="s">
        <v>73</v>
      </c>
      <c r="D174" s="68" t="s">
        <v>1558</v>
      </c>
      <c r="E174" s="69" t="s">
        <v>1587</v>
      </c>
      <c r="F174" s="67" t="s">
        <v>1231</v>
      </c>
      <c r="G174" s="151" t="s">
        <v>1588</v>
      </c>
      <c r="H174" s="65" t="s">
        <v>1233</v>
      </c>
      <c r="I174" s="43"/>
      <c r="J174" s="43"/>
      <c r="K174" s="43"/>
    </row>
    <row r="175" spans="1:11" ht="25.5" customHeight="1">
      <c r="A175" s="60">
        <f t="shared" si="2"/>
        <v>172</v>
      </c>
      <c r="B175" s="66" t="s">
        <v>1571</v>
      </c>
      <c r="C175" s="67" t="s">
        <v>73</v>
      </c>
      <c r="D175" s="68" t="s">
        <v>1572</v>
      </c>
      <c r="E175" s="69" t="s">
        <v>1589</v>
      </c>
      <c r="F175" s="67" t="s">
        <v>1231</v>
      </c>
      <c r="G175" s="151" t="s">
        <v>1590</v>
      </c>
      <c r="H175" s="65" t="s">
        <v>1233</v>
      </c>
      <c r="I175" s="43"/>
      <c r="J175" s="43"/>
      <c r="K175" s="43"/>
    </row>
    <row r="176" spans="1:11" ht="15" customHeight="1">
      <c r="A176" s="60">
        <f t="shared" si="2"/>
        <v>173</v>
      </c>
      <c r="B176" s="66">
        <v>30001575</v>
      </c>
      <c r="C176" s="67" t="s">
        <v>73</v>
      </c>
      <c r="D176" s="68" t="s">
        <v>1558</v>
      </c>
      <c r="E176" s="69" t="s">
        <v>1591</v>
      </c>
      <c r="F176" s="67" t="s">
        <v>1231</v>
      </c>
      <c r="G176" s="151" t="s">
        <v>1592</v>
      </c>
      <c r="H176" s="65" t="s">
        <v>1233</v>
      </c>
      <c r="I176" s="43"/>
      <c r="J176" s="43"/>
      <c r="K176" s="43"/>
    </row>
    <row r="177" spans="1:11" ht="25.5" customHeight="1">
      <c r="A177" s="60">
        <f t="shared" si="2"/>
        <v>174</v>
      </c>
      <c r="B177" s="66" t="s">
        <v>1571</v>
      </c>
      <c r="C177" s="67" t="s">
        <v>73</v>
      </c>
      <c r="D177" s="68" t="s">
        <v>1572</v>
      </c>
      <c r="E177" s="69" t="s">
        <v>1593</v>
      </c>
      <c r="F177" s="67" t="s">
        <v>1231</v>
      </c>
      <c r="G177" s="151" t="s">
        <v>1594</v>
      </c>
      <c r="H177" s="65" t="s">
        <v>1233</v>
      </c>
      <c r="I177" s="43"/>
      <c r="J177" s="43"/>
      <c r="K177" s="43"/>
    </row>
    <row r="178" spans="1:11" ht="25.5" customHeight="1">
      <c r="A178" s="60">
        <f t="shared" si="2"/>
        <v>175</v>
      </c>
      <c r="B178" s="66" t="s">
        <v>1428</v>
      </c>
      <c r="C178" s="67" t="s">
        <v>33</v>
      </c>
      <c r="D178" s="68" t="s">
        <v>37</v>
      </c>
      <c r="E178" s="69" t="s">
        <v>1595</v>
      </c>
      <c r="F178" s="67" t="s">
        <v>1231</v>
      </c>
      <c r="G178" s="151" t="s">
        <v>1596</v>
      </c>
      <c r="H178" s="65" t="s">
        <v>1233</v>
      </c>
      <c r="I178" s="43"/>
      <c r="J178" s="43"/>
      <c r="K178" s="43"/>
    </row>
    <row r="179" spans="1:11" ht="30" customHeight="1">
      <c r="A179" s="60">
        <f t="shared" si="2"/>
        <v>176</v>
      </c>
      <c r="B179" s="66" t="s">
        <v>1571</v>
      </c>
      <c r="C179" s="67" t="s">
        <v>73</v>
      </c>
      <c r="D179" s="68" t="s">
        <v>1572</v>
      </c>
      <c r="E179" s="69" t="s">
        <v>1597</v>
      </c>
      <c r="F179" s="67" t="s">
        <v>1231</v>
      </c>
      <c r="G179" s="151" t="s">
        <v>1598</v>
      </c>
      <c r="H179" s="65" t="s">
        <v>1233</v>
      </c>
      <c r="I179" s="43"/>
      <c r="J179" s="43"/>
      <c r="K179" s="43"/>
    </row>
    <row r="180" spans="1:11" ht="15" customHeight="1">
      <c r="A180" s="60">
        <f t="shared" si="2"/>
        <v>177</v>
      </c>
      <c r="B180" s="66">
        <v>30001575</v>
      </c>
      <c r="C180" s="67" t="s">
        <v>73</v>
      </c>
      <c r="D180" s="68" t="s">
        <v>1558</v>
      </c>
      <c r="E180" s="69" t="s">
        <v>1599</v>
      </c>
      <c r="F180" s="67" t="s">
        <v>1231</v>
      </c>
      <c r="G180" s="151" t="s">
        <v>1600</v>
      </c>
      <c r="H180" s="65" t="s">
        <v>1233</v>
      </c>
      <c r="I180" s="43"/>
      <c r="J180" s="43"/>
      <c r="K180" s="43"/>
    </row>
    <row r="181" spans="1:11" ht="15" customHeight="1">
      <c r="A181" s="60">
        <f t="shared" si="2"/>
        <v>178</v>
      </c>
      <c r="B181" s="66">
        <v>30001575</v>
      </c>
      <c r="C181" s="67" t="s">
        <v>73</v>
      </c>
      <c r="D181" s="68" t="s">
        <v>1558</v>
      </c>
      <c r="E181" s="69" t="s">
        <v>1601</v>
      </c>
      <c r="F181" s="67" t="s">
        <v>1231</v>
      </c>
      <c r="G181" s="151" t="s">
        <v>1602</v>
      </c>
      <c r="H181" s="65" t="s">
        <v>1233</v>
      </c>
      <c r="I181" s="43"/>
      <c r="J181" s="43"/>
      <c r="K181" s="43"/>
    </row>
    <row r="182" spans="1:11" ht="15" customHeight="1">
      <c r="A182" s="60">
        <f t="shared" si="2"/>
        <v>179</v>
      </c>
      <c r="B182" s="66">
        <v>30004221</v>
      </c>
      <c r="C182" s="67" t="s">
        <v>68</v>
      </c>
      <c r="D182" s="68" t="s">
        <v>1603</v>
      </c>
      <c r="E182" s="69" t="s">
        <v>1604</v>
      </c>
      <c r="F182" s="67" t="s">
        <v>1231</v>
      </c>
      <c r="G182" s="151" t="s">
        <v>1605</v>
      </c>
      <c r="H182" s="65" t="s">
        <v>1233</v>
      </c>
      <c r="I182" s="43"/>
      <c r="J182" s="43"/>
      <c r="K182" s="43"/>
    </row>
    <row r="183" spans="1:11" ht="25.5" customHeight="1">
      <c r="A183" s="60">
        <f t="shared" si="2"/>
        <v>180</v>
      </c>
      <c r="B183" s="66" t="s">
        <v>1571</v>
      </c>
      <c r="C183" s="67" t="s">
        <v>73</v>
      </c>
      <c r="D183" s="68" t="s">
        <v>1572</v>
      </c>
      <c r="E183" s="69" t="s">
        <v>1606</v>
      </c>
      <c r="F183" s="67" t="s">
        <v>1231</v>
      </c>
      <c r="G183" s="151" t="s">
        <v>1607</v>
      </c>
      <c r="H183" s="65" t="s">
        <v>1233</v>
      </c>
      <c r="I183" s="43"/>
      <c r="J183" s="43"/>
      <c r="K183" s="43"/>
    </row>
    <row r="184" spans="1:11" ht="15" customHeight="1">
      <c r="A184" s="60">
        <f t="shared" si="2"/>
        <v>181</v>
      </c>
      <c r="B184" s="66">
        <v>30004221</v>
      </c>
      <c r="C184" s="67" t="s">
        <v>68</v>
      </c>
      <c r="D184" s="68" t="s">
        <v>1603</v>
      </c>
      <c r="E184" s="69" t="s">
        <v>1608</v>
      </c>
      <c r="F184" s="67" t="s">
        <v>1231</v>
      </c>
      <c r="G184" s="151" t="s">
        <v>1609</v>
      </c>
      <c r="H184" s="65" t="s">
        <v>1233</v>
      </c>
      <c r="I184" s="43"/>
      <c r="J184" s="43"/>
      <c r="K184" s="43"/>
    </row>
    <row r="185" spans="1:11" ht="45" customHeight="1">
      <c r="A185" s="60">
        <f t="shared" si="2"/>
        <v>182</v>
      </c>
      <c r="B185" s="66">
        <v>30001575</v>
      </c>
      <c r="C185" s="67" t="s">
        <v>73</v>
      </c>
      <c r="D185" s="68" t="s">
        <v>1558</v>
      </c>
      <c r="E185" s="69" t="s">
        <v>1610</v>
      </c>
      <c r="F185" s="67" t="s">
        <v>1231</v>
      </c>
      <c r="G185" s="151" t="s">
        <v>1611</v>
      </c>
      <c r="H185" s="65" t="s">
        <v>1233</v>
      </c>
      <c r="I185" s="43"/>
      <c r="J185" s="43"/>
      <c r="K185" s="43"/>
    </row>
    <row r="186" spans="1:11" ht="15" customHeight="1">
      <c r="A186" s="60">
        <f t="shared" si="2"/>
        <v>183</v>
      </c>
      <c r="B186" s="66">
        <v>30004221</v>
      </c>
      <c r="C186" s="67" t="s">
        <v>68</v>
      </c>
      <c r="D186" s="68" t="s">
        <v>1603</v>
      </c>
      <c r="E186" s="69" t="s">
        <v>1612</v>
      </c>
      <c r="F186" s="67" t="s">
        <v>1231</v>
      </c>
      <c r="G186" s="151" t="s">
        <v>1613</v>
      </c>
      <c r="H186" s="65" t="s">
        <v>1233</v>
      </c>
      <c r="I186" s="43"/>
      <c r="J186" s="43"/>
      <c r="K186" s="43"/>
    </row>
    <row r="187" spans="1:11" ht="15" customHeight="1">
      <c r="A187" s="60">
        <f t="shared" si="2"/>
        <v>184</v>
      </c>
      <c r="B187" s="66">
        <v>30004221</v>
      </c>
      <c r="C187" s="67" t="s">
        <v>68</v>
      </c>
      <c r="D187" s="68" t="s">
        <v>1603</v>
      </c>
      <c r="E187" s="69" t="s">
        <v>1612</v>
      </c>
      <c r="F187" s="67" t="s">
        <v>1231</v>
      </c>
      <c r="G187" s="151" t="s">
        <v>1614</v>
      </c>
      <c r="H187" s="65" t="s">
        <v>1233</v>
      </c>
      <c r="I187" s="43"/>
      <c r="J187" s="43"/>
      <c r="K187" s="43"/>
    </row>
    <row r="188" spans="1:11" ht="25.5" customHeight="1">
      <c r="A188" s="60">
        <f t="shared" si="2"/>
        <v>185</v>
      </c>
      <c r="B188" s="66" t="s">
        <v>1428</v>
      </c>
      <c r="C188" s="67" t="s">
        <v>33</v>
      </c>
      <c r="D188" s="68" t="s">
        <v>37</v>
      </c>
      <c r="E188" s="69" t="s">
        <v>1615</v>
      </c>
      <c r="F188" s="67" t="s">
        <v>1231</v>
      </c>
      <c r="G188" s="151" t="s">
        <v>1616</v>
      </c>
      <c r="H188" s="65" t="s">
        <v>1233</v>
      </c>
      <c r="I188" s="43"/>
      <c r="J188" s="43"/>
      <c r="K188" s="43"/>
    </row>
    <row r="189" spans="1:11" ht="15" customHeight="1">
      <c r="A189" s="60">
        <f t="shared" si="2"/>
        <v>186</v>
      </c>
      <c r="B189" s="66">
        <v>30001575</v>
      </c>
      <c r="C189" s="67" t="s">
        <v>73</v>
      </c>
      <c r="D189" s="68" t="s">
        <v>1558</v>
      </c>
      <c r="E189" s="69" t="s">
        <v>1617</v>
      </c>
      <c r="F189" s="67" t="s">
        <v>1231</v>
      </c>
      <c r="G189" s="151" t="s">
        <v>1618</v>
      </c>
      <c r="H189" s="65" t="s">
        <v>1233</v>
      </c>
      <c r="I189" s="43"/>
      <c r="J189" s="43"/>
      <c r="K189" s="43"/>
    </row>
    <row r="190" spans="1:11" ht="15" customHeight="1">
      <c r="A190" s="60">
        <f t="shared" si="2"/>
        <v>187</v>
      </c>
      <c r="B190" s="66">
        <v>30004221</v>
      </c>
      <c r="C190" s="67" t="s">
        <v>68</v>
      </c>
      <c r="D190" s="68" t="s">
        <v>1603</v>
      </c>
      <c r="E190" s="69" t="s">
        <v>1619</v>
      </c>
      <c r="F190" s="67" t="s">
        <v>1231</v>
      </c>
      <c r="G190" s="151" t="s">
        <v>1620</v>
      </c>
      <c r="H190" s="65" t="s">
        <v>1233</v>
      </c>
      <c r="I190" s="43"/>
      <c r="J190" s="43"/>
      <c r="K190" s="43"/>
    </row>
    <row r="191" spans="1:11" ht="15" customHeight="1">
      <c r="A191" s="60">
        <f t="shared" si="2"/>
        <v>188</v>
      </c>
      <c r="B191" s="66">
        <v>30004221</v>
      </c>
      <c r="C191" s="67" t="s">
        <v>68</v>
      </c>
      <c r="D191" s="68" t="s">
        <v>1603</v>
      </c>
      <c r="E191" s="69" t="s">
        <v>1621</v>
      </c>
      <c r="F191" s="67" t="s">
        <v>1231</v>
      </c>
      <c r="G191" s="151" t="s">
        <v>1622</v>
      </c>
      <c r="H191" s="65" t="s">
        <v>1233</v>
      </c>
      <c r="I191" s="43"/>
      <c r="J191" s="43"/>
      <c r="K191" s="43"/>
    </row>
    <row r="192" spans="1:11" ht="15" customHeight="1">
      <c r="A192" s="60">
        <f t="shared" si="2"/>
        <v>189</v>
      </c>
      <c r="B192" s="66">
        <v>30001575</v>
      </c>
      <c r="C192" s="67" t="s">
        <v>73</v>
      </c>
      <c r="D192" s="68" t="s">
        <v>1558</v>
      </c>
      <c r="E192" s="69" t="s">
        <v>1623</v>
      </c>
      <c r="F192" s="67" t="s">
        <v>1231</v>
      </c>
      <c r="G192" s="151" t="s">
        <v>1624</v>
      </c>
      <c r="H192" s="65" t="s">
        <v>1233</v>
      </c>
      <c r="I192" s="43"/>
      <c r="J192" s="43"/>
      <c r="K192" s="43"/>
    </row>
    <row r="193" spans="1:11" ht="30" customHeight="1">
      <c r="A193" s="60">
        <f t="shared" si="2"/>
        <v>190</v>
      </c>
      <c r="B193" s="66" t="s">
        <v>1571</v>
      </c>
      <c r="C193" s="67" t="s">
        <v>73</v>
      </c>
      <c r="D193" s="68" t="s">
        <v>1572</v>
      </c>
      <c r="E193" s="69" t="s">
        <v>1625</v>
      </c>
      <c r="F193" s="67" t="s">
        <v>1231</v>
      </c>
      <c r="G193" s="151" t="s">
        <v>1626</v>
      </c>
      <c r="H193" s="65" t="s">
        <v>1233</v>
      </c>
      <c r="I193" s="43"/>
      <c r="J193" s="43"/>
      <c r="K193" s="43"/>
    </row>
    <row r="194" spans="1:11" ht="15" customHeight="1">
      <c r="A194" s="60">
        <f t="shared" si="2"/>
        <v>191</v>
      </c>
      <c r="B194" s="66">
        <v>30004221</v>
      </c>
      <c r="C194" s="67" t="s">
        <v>68</v>
      </c>
      <c r="D194" s="68" t="s">
        <v>1603</v>
      </c>
      <c r="E194" s="69" t="s">
        <v>1627</v>
      </c>
      <c r="F194" s="67" t="s">
        <v>1231</v>
      </c>
      <c r="G194" s="151" t="s">
        <v>1628</v>
      </c>
      <c r="H194" s="65" t="s">
        <v>1233</v>
      </c>
      <c r="I194" s="43"/>
      <c r="J194" s="43"/>
      <c r="K194" s="43"/>
    </row>
    <row r="195" spans="1:11" ht="25.5" customHeight="1">
      <c r="A195" s="60">
        <f t="shared" si="2"/>
        <v>192</v>
      </c>
      <c r="B195" s="66" t="s">
        <v>1428</v>
      </c>
      <c r="C195" s="67" t="s">
        <v>33</v>
      </c>
      <c r="D195" s="68" t="s">
        <v>37</v>
      </c>
      <c r="E195" s="69" t="s">
        <v>1629</v>
      </c>
      <c r="F195" s="67" t="s">
        <v>1231</v>
      </c>
      <c r="G195" s="151" t="s">
        <v>1630</v>
      </c>
      <c r="H195" s="65" t="s">
        <v>1233</v>
      </c>
      <c r="I195" s="43"/>
      <c r="J195" s="43"/>
      <c r="K195" s="43"/>
    </row>
    <row r="196" spans="1:11" ht="15" customHeight="1">
      <c r="A196" s="60">
        <f t="shared" ref="A196:A259" si="3">IF(COUNTA(B196:G196)&gt;0,ROW()-3,"")</f>
        <v>193</v>
      </c>
      <c r="B196" s="66">
        <v>30004221</v>
      </c>
      <c r="C196" s="67" t="s">
        <v>68</v>
      </c>
      <c r="D196" s="68" t="s">
        <v>1603</v>
      </c>
      <c r="E196" s="69" t="s">
        <v>1631</v>
      </c>
      <c r="F196" s="67" t="s">
        <v>1231</v>
      </c>
      <c r="G196" s="151" t="s">
        <v>1632</v>
      </c>
      <c r="H196" s="65" t="s">
        <v>1233</v>
      </c>
      <c r="I196" s="43"/>
      <c r="J196" s="43"/>
      <c r="K196" s="43"/>
    </row>
    <row r="197" spans="1:11" ht="15" customHeight="1">
      <c r="A197" s="60">
        <f t="shared" si="3"/>
        <v>194</v>
      </c>
      <c r="B197" s="66" t="s">
        <v>1633</v>
      </c>
      <c r="C197" s="67" t="s">
        <v>73</v>
      </c>
      <c r="D197" s="68" t="s">
        <v>1558</v>
      </c>
      <c r="E197" s="69" t="s">
        <v>1623</v>
      </c>
      <c r="F197" s="67" t="s">
        <v>1231</v>
      </c>
      <c r="G197" s="151" t="s">
        <v>1634</v>
      </c>
      <c r="H197" s="65" t="s">
        <v>1233</v>
      </c>
      <c r="I197" s="43"/>
      <c r="J197" s="43"/>
      <c r="K197" s="43"/>
    </row>
    <row r="198" spans="1:11" ht="15" customHeight="1">
      <c r="A198" s="60">
        <f t="shared" si="3"/>
        <v>195</v>
      </c>
      <c r="B198" s="66">
        <v>30004221</v>
      </c>
      <c r="C198" s="67" t="s">
        <v>68</v>
      </c>
      <c r="D198" s="68" t="s">
        <v>1603</v>
      </c>
      <c r="E198" s="69" t="s">
        <v>1631</v>
      </c>
      <c r="F198" s="67" t="s">
        <v>1231</v>
      </c>
      <c r="G198" s="151" t="s">
        <v>1635</v>
      </c>
      <c r="H198" s="65" t="s">
        <v>1233</v>
      </c>
      <c r="I198" s="43"/>
      <c r="J198" s="43"/>
      <c r="K198" s="43"/>
    </row>
    <row r="199" spans="1:11" ht="25.5" customHeight="1">
      <c r="A199" s="60">
        <f t="shared" si="3"/>
        <v>196</v>
      </c>
      <c r="B199" s="66" t="s">
        <v>1571</v>
      </c>
      <c r="C199" s="67" t="s">
        <v>73</v>
      </c>
      <c r="D199" s="68" t="s">
        <v>1572</v>
      </c>
      <c r="E199" s="69" t="s">
        <v>1636</v>
      </c>
      <c r="F199" s="67" t="s">
        <v>1231</v>
      </c>
      <c r="G199" s="151" t="s">
        <v>1637</v>
      </c>
      <c r="H199" s="65" t="s">
        <v>1233</v>
      </c>
      <c r="I199" s="43"/>
      <c r="J199" s="43"/>
      <c r="K199" s="43"/>
    </row>
    <row r="200" spans="1:11" ht="15" customHeight="1">
      <c r="A200" s="60">
        <f t="shared" si="3"/>
        <v>197</v>
      </c>
      <c r="B200" s="66">
        <v>30004221</v>
      </c>
      <c r="C200" s="67" t="s">
        <v>68</v>
      </c>
      <c r="D200" s="68" t="s">
        <v>1603</v>
      </c>
      <c r="E200" s="69" t="s">
        <v>1638</v>
      </c>
      <c r="F200" s="67" t="s">
        <v>1231</v>
      </c>
      <c r="G200" s="151" t="s">
        <v>1639</v>
      </c>
      <c r="H200" s="65" t="s">
        <v>1233</v>
      </c>
      <c r="I200" s="43"/>
      <c r="J200" s="43"/>
      <c r="K200" s="43"/>
    </row>
    <row r="201" spans="1:11" ht="15" customHeight="1">
      <c r="A201" s="60">
        <f t="shared" si="3"/>
        <v>198</v>
      </c>
      <c r="B201" s="66">
        <v>30004221</v>
      </c>
      <c r="C201" s="67" t="s">
        <v>68</v>
      </c>
      <c r="D201" s="68" t="s">
        <v>1603</v>
      </c>
      <c r="E201" s="69" t="s">
        <v>1640</v>
      </c>
      <c r="F201" s="67" t="s">
        <v>1231</v>
      </c>
      <c r="G201" s="151" t="s">
        <v>1641</v>
      </c>
      <c r="H201" s="65" t="s">
        <v>1233</v>
      </c>
      <c r="I201" s="43"/>
      <c r="J201" s="43"/>
      <c r="K201" s="43"/>
    </row>
    <row r="202" spans="1:11" ht="25.5" customHeight="1">
      <c r="A202" s="60">
        <f t="shared" si="3"/>
        <v>199</v>
      </c>
      <c r="B202" s="66" t="s">
        <v>1571</v>
      </c>
      <c r="C202" s="67" t="s">
        <v>73</v>
      </c>
      <c r="D202" s="68" t="s">
        <v>1572</v>
      </c>
      <c r="E202" s="69" t="s">
        <v>1642</v>
      </c>
      <c r="F202" s="67" t="s">
        <v>1231</v>
      </c>
      <c r="G202" s="151" t="s">
        <v>1643</v>
      </c>
      <c r="H202" s="65" t="s">
        <v>1233</v>
      </c>
      <c r="I202" s="43"/>
      <c r="J202" s="43"/>
      <c r="K202" s="43"/>
    </row>
    <row r="203" spans="1:11" ht="15" customHeight="1">
      <c r="A203" s="60">
        <f t="shared" si="3"/>
        <v>200</v>
      </c>
      <c r="B203" s="66">
        <v>30004221</v>
      </c>
      <c r="C203" s="67" t="s">
        <v>68</v>
      </c>
      <c r="D203" s="68" t="s">
        <v>1603</v>
      </c>
      <c r="E203" s="69" t="s">
        <v>1640</v>
      </c>
      <c r="F203" s="67" t="s">
        <v>1231</v>
      </c>
      <c r="G203" s="151" t="s">
        <v>1644</v>
      </c>
      <c r="H203" s="65" t="s">
        <v>1233</v>
      </c>
      <c r="I203" s="43"/>
      <c r="J203" s="43"/>
      <c r="K203" s="43"/>
    </row>
    <row r="204" spans="1:11" ht="38.25" customHeight="1">
      <c r="A204" s="60">
        <f t="shared" si="3"/>
        <v>201</v>
      </c>
      <c r="B204" s="66" t="s">
        <v>1428</v>
      </c>
      <c r="C204" s="67" t="s">
        <v>73</v>
      </c>
      <c r="D204" s="68" t="s">
        <v>1555</v>
      </c>
      <c r="E204" s="69" t="s">
        <v>1645</v>
      </c>
      <c r="F204" s="67" t="s">
        <v>1646</v>
      </c>
      <c r="G204" s="151" t="s">
        <v>1647</v>
      </c>
      <c r="H204" s="65" t="s">
        <v>1233</v>
      </c>
      <c r="I204" s="43"/>
      <c r="J204" s="43"/>
      <c r="K204" s="43"/>
    </row>
    <row r="205" spans="1:11" ht="15" customHeight="1">
      <c r="A205" s="60">
        <f t="shared" si="3"/>
        <v>202</v>
      </c>
      <c r="B205" s="66" t="s">
        <v>1428</v>
      </c>
      <c r="C205" s="67" t="s">
        <v>73</v>
      </c>
      <c r="D205" s="68" t="s">
        <v>1555</v>
      </c>
      <c r="E205" s="69" t="s">
        <v>1645</v>
      </c>
      <c r="F205" s="67" t="s">
        <v>1231</v>
      </c>
      <c r="G205" s="151" t="s">
        <v>1648</v>
      </c>
      <c r="H205" s="65" t="s">
        <v>1233</v>
      </c>
      <c r="I205" s="43"/>
      <c r="J205" s="43"/>
      <c r="K205" s="43"/>
    </row>
    <row r="206" spans="1:11" ht="15" customHeight="1">
      <c r="A206" s="60">
        <f t="shared" si="3"/>
        <v>203</v>
      </c>
      <c r="B206" s="66" t="s">
        <v>1428</v>
      </c>
      <c r="C206" s="67" t="s">
        <v>73</v>
      </c>
      <c r="D206" s="68" t="s">
        <v>1555</v>
      </c>
      <c r="E206" s="69" t="s">
        <v>1645</v>
      </c>
      <c r="F206" s="67" t="s">
        <v>1231</v>
      </c>
      <c r="G206" s="151" t="s">
        <v>1649</v>
      </c>
      <c r="H206" s="65" t="s">
        <v>1233</v>
      </c>
      <c r="I206" s="43"/>
      <c r="J206" s="43"/>
      <c r="K206" s="43"/>
    </row>
    <row r="207" spans="1:11" ht="15" customHeight="1">
      <c r="A207" s="60">
        <f t="shared" si="3"/>
        <v>204</v>
      </c>
      <c r="B207" s="66">
        <v>30004221</v>
      </c>
      <c r="C207" s="67" t="s">
        <v>68</v>
      </c>
      <c r="D207" s="68" t="s">
        <v>1603</v>
      </c>
      <c r="E207" s="69" t="s">
        <v>1650</v>
      </c>
      <c r="F207" s="67" t="s">
        <v>1231</v>
      </c>
      <c r="G207" s="151" t="s">
        <v>1651</v>
      </c>
      <c r="H207" s="65" t="s">
        <v>1233</v>
      </c>
      <c r="I207" s="43"/>
      <c r="J207" s="43"/>
      <c r="K207" s="43"/>
    </row>
    <row r="208" spans="1:11" ht="15" customHeight="1">
      <c r="A208" s="60" t="str">
        <f t="shared" si="3"/>
        <v/>
      </c>
      <c r="B208" s="49"/>
      <c r="C208" s="33"/>
      <c r="D208" s="45"/>
      <c r="E208" s="50"/>
      <c r="F208" s="33"/>
      <c r="G208" s="45"/>
      <c r="H208" s="65" t="s">
        <v>1233</v>
      </c>
      <c r="I208" s="43"/>
      <c r="J208" s="43"/>
      <c r="K208" s="43"/>
    </row>
    <row r="209" spans="1:11" ht="15" customHeight="1">
      <c r="A209" s="60" t="str">
        <f t="shared" si="3"/>
        <v/>
      </c>
      <c r="B209" s="49"/>
      <c r="C209" s="33"/>
      <c r="D209" s="45"/>
      <c r="E209" s="50"/>
      <c r="F209" s="33"/>
      <c r="G209" s="45"/>
      <c r="H209" s="65" t="s">
        <v>1233</v>
      </c>
      <c r="I209" s="43"/>
      <c r="J209" s="43"/>
      <c r="K209" s="43"/>
    </row>
    <row r="210" spans="1:11" ht="15" customHeight="1">
      <c r="A210" s="60" t="str">
        <f t="shared" si="3"/>
        <v/>
      </c>
      <c r="B210" s="49"/>
      <c r="C210" s="33"/>
      <c r="D210" s="45"/>
      <c r="E210" s="50"/>
      <c r="F210" s="33"/>
      <c r="G210" s="45"/>
      <c r="H210" s="65" t="s">
        <v>1233</v>
      </c>
      <c r="I210" s="43"/>
      <c r="J210" s="43"/>
      <c r="K210" s="43"/>
    </row>
    <row r="211" spans="1:11" ht="15" customHeight="1">
      <c r="A211" s="60" t="str">
        <f t="shared" si="3"/>
        <v/>
      </c>
      <c r="B211" s="49"/>
      <c r="C211" s="33"/>
      <c r="D211" s="45"/>
      <c r="E211" s="50"/>
      <c r="F211" s="33"/>
      <c r="G211" s="45"/>
      <c r="H211" s="65" t="s">
        <v>1233</v>
      </c>
      <c r="I211" s="43"/>
      <c r="J211" s="43"/>
      <c r="K211" s="43"/>
    </row>
    <row r="212" spans="1:11" ht="15" customHeight="1">
      <c r="A212" s="60" t="str">
        <f t="shared" si="3"/>
        <v/>
      </c>
      <c r="B212" s="49"/>
      <c r="C212" s="33"/>
      <c r="D212" s="45"/>
      <c r="E212" s="50"/>
      <c r="F212" s="33"/>
      <c r="G212" s="45"/>
      <c r="H212" s="65" t="s">
        <v>1233</v>
      </c>
      <c r="I212" s="43"/>
      <c r="J212" s="43"/>
      <c r="K212" s="43"/>
    </row>
    <row r="213" spans="1:11" ht="15" customHeight="1">
      <c r="A213" s="60" t="str">
        <f t="shared" si="3"/>
        <v/>
      </c>
      <c r="B213" s="49"/>
      <c r="C213" s="33"/>
      <c r="D213" s="45"/>
      <c r="E213" s="50"/>
      <c r="F213" s="33"/>
      <c r="G213" s="45"/>
      <c r="H213" s="65" t="s">
        <v>1233</v>
      </c>
      <c r="I213" s="43"/>
      <c r="J213" s="43"/>
      <c r="K213" s="43"/>
    </row>
    <row r="214" spans="1:11" ht="15" customHeight="1">
      <c r="A214" s="60" t="str">
        <f t="shared" si="3"/>
        <v/>
      </c>
      <c r="B214" s="49"/>
      <c r="C214" s="33"/>
      <c r="D214" s="45"/>
      <c r="E214" s="50"/>
      <c r="F214" s="33"/>
      <c r="G214" s="45"/>
      <c r="H214" s="65" t="s">
        <v>1233</v>
      </c>
      <c r="I214" s="43"/>
      <c r="J214" s="43"/>
      <c r="K214" s="43"/>
    </row>
    <row r="215" spans="1:11" ht="15" customHeight="1">
      <c r="A215" s="60" t="str">
        <f t="shared" si="3"/>
        <v/>
      </c>
      <c r="B215" s="49"/>
      <c r="C215" s="33"/>
      <c r="D215" s="45"/>
      <c r="E215" s="50"/>
      <c r="F215" s="33"/>
      <c r="G215" s="45"/>
      <c r="H215" s="65" t="s">
        <v>1233</v>
      </c>
      <c r="I215" s="43"/>
      <c r="J215" s="43"/>
      <c r="K215" s="43"/>
    </row>
    <row r="216" spans="1:11" ht="15" customHeight="1">
      <c r="A216" s="60" t="str">
        <f t="shared" si="3"/>
        <v/>
      </c>
      <c r="B216" s="49"/>
      <c r="C216" s="33"/>
      <c r="D216" s="45"/>
      <c r="E216" s="50"/>
      <c r="F216" s="33"/>
      <c r="G216" s="45"/>
      <c r="H216" s="65" t="s">
        <v>1233</v>
      </c>
      <c r="I216" s="43"/>
      <c r="J216" s="43"/>
      <c r="K216" s="43"/>
    </row>
    <row r="217" spans="1:11" ht="15" customHeight="1">
      <c r="A217" s="60" t="str">
        <f t="shared" si="3"/>
        <v/>
      </c>
      <c r="B217" s="49"/>
      <c r="C217" s="33"/>
      <c r="D217" s="45"/>
      <c r="E217" s="50"/>
      <c r="F217" s="33"/>
      <c r="G217" s="45"/>
      <c r="H217" s="65" t="s">
        <v>1233</v>
      </c>
      <c r="I217" s="43"/>
      <c r="J217" s="43"/>
      <c r="K217" s="43"/>
    </row>
    <row r="218" spans="1:11" ht="15" customHeight="1">
      <c r="A218" s="60" t="str">
        <f t="shared" si="3"/>
        <v/>
      </c>
      <c r="B218" s="49"/>
      <c r="C218" s="33"/>
      <c r="D218" s="45"/>
      <c r="E218" s="50"/>
      <c r="F218" s="33"/>
      <c r="G218" s="45"/>
      <c r="H218" s="65" t="s">
        <v>1233</v>
      </c>
      <c r="I218" s="43"/>
      <c r="J218" s="43"/>
      <c r="K218" s="43"/>
    </row>
    <row r="219" spans="1:11" ht="15" customHeight="1">
      <c r="A219" s="60" t="str">
        <f t="shared" si="3"/>
        <v/>
      </c>
      <c r="B219" s="49"/>
      <c r="C219" s="33"/>
      <c r="D219" s="45"/>
      <c r="E219" s="50"/>
      <c r="F219" s="33"/>
      <c r="G219" s="45"/>
      <c r="H219" s="65" t="s">
        <v>1233</v>
      </c>
      <c r="I219" s="43"/>
      <c r="J219" s="43"/>
      <c r="K219" s="43"/>
    </row>
    <row r="220" spans="1:11" ht="15" customHeight="1">
      <c r="A220" s="60" t="str">
        <f t="shared" si="3"/>
        <v/>
      </c>
      <c r="B220" s="49"/>
      <c r="C220" s="33"/>
      <c r="D220" s="45"/>
      <c r="E220" s="50"/>
      <c r="F220" s="33"/>
      <c r="G220" s="45"/>
      <c r="H220" s="65" t="s">
        <v>1233</v>
      </c>
      <c r="I220" s="43"/>
      <c r="J220" s="43"/>
      <c r="K220" s="43"/>
    </row>
    <row r="221" spans="1:11" ht="15" customHeight="1">
      <c r="A221" s="60" t="str">
        <f t="shared" si="3"/>
        <v/>
      </c>
      <c r="B221" s="49"/>
      <c r="C221" s="33"/>
      <c r="D221" s="45"/>
      <c r="E221" s="50"/>
      <c r="F221" s="33"/>
      <c r="G221" s="45"/>
      <c r="H221" s="65" t="s">
        <v>1233</v>
      </c>
      <c r="I221" s="43"/>
      <c r="J221" s="43"/>
      <c r="K221" s="43"/>
    </row>
    <row r="222" spans="1:11" ht="15" customHeight="1">
      <c r="A222" s="60" t="str">
        <f t="shared" si="3"/>
        <v/>
      </c>
      <c r="B222" s="49"/>
      <c r="C222" s="33"/>
      <c r="D222" s="45"/>
      <c r="E222" s="50"/>
      <c r="F222" s="33"/>
      <c r="G222" s="45"/>
      <c r="H222" s="65" t="s">
        <v>1233</v>
      </c>
      <c r="I222" s="43"/>
      <c r="J222" s="43"/>
      <c r="K222" s="43"/>
    </row>
    <row r="223" spans="1:11" ht="15" customHeight="1">
      <c r="A223" s="60" t="str">
        <f t="shared" si="3"/>
        <v/>
      </c>
      <c r="B223" s="49"/>
      <c r="C223" s="33"/>
      <c r="D223" s="45"/>
      <c r="E223" s="50"/>
      <c r="F223" s="33"/>
      <c r="G223" s="45"/>
      <c r="H223" s="65" t="s">
        <v>1233</v>
      </c>
      <c r="I223" s="43"/>
      <c r="J223" s="43"/>
      <c r="K223" s="43"/>
    </row>
    <row r="224" spans="1:11" ht="15" customHeight="1">
      <c r="A224" s="60" t="str">
        <f t="shared" si="3"/>
        <v/>
      </c>
      <c r="B224" s="49"/>
      <c r="C224" s="33"/>
      <c r="D224" s="45"/>
      <c r="E224" s="50"/>
      <c r="F224" s="33"/>
      <c r="G224" s="45"/>
      <c r="H224" s="65" t="s">
        <v>1233</v>
      </c>
      <c r="I224" s="43"/>
      <c r="J224" s="43"/>
      <c r="K224" s="43"/>
    </row>
    <row r="225" spans="1:11" ht="15" customHeight="1">
      <c r="A225" s="60" t="str">
        <f t="shared" si="3"/>
        <v/>
      </c>
      <c r="B225" s="49"/>
      <c r="C225" s="33"/>
      <c r="D225" s="45"/>
      <c r="E225" s="50"/>
      <c r="F225" s="33"/>
      <c r="G225" s="45"/>
      <c r="H225" s="65" t="s">
        <v>1233</v>
      </c>
      <c r="I225" s="43"/>
      <c r="J225" s="43"/>
      <c r="K225" s="43"/>
    </row>
    <row r="226" spans="1:11" ht="15" customHeight="1">
      <c r="A226" s="60" t="str">
        <f t="shared" si="3"/>
        <v/>
      </c>
      <c r="B226" s="49"/>
      <c r="C226" s="33"/>
      <c r="D226" s="45"/>
      <c r="E226" s="50"/>
      <c r="F226" s="33"/>
      <c r="G226" s="45"/>
      <c r="H226" s="65" t="s">
        <v>1233</v>
      </c>
      <c r="I226" s="43"/>
      <c r="J226" s="43"/>
      <c r="K226" s="43"/>
    </row>
    <row r="227" spans="1:11" ht="15" customHeight="1">
      <c r="A227" s="60" t="str">
        <f t="shared" si="3"/>
        <v/>
      </c>
      <c r="B227" s="49"/>
      <c r="C227" s="33"/>
      <c r="D227" s="45"/>
      <c r="E227" s="50"/>
      <c r="F227" s="33"/>
      <c r="G227" s="45"/>
      <c r="H227" s="65" t="s">
        <v>1233</v>
      </c>
      <c r="I227" s="43"/>
      <c r="J227" s="43"/>
      <c r="K227" s="43"/>
    </row>
    <row r="228" spans="1:11" ht="15" customHeight="1">
      <c r="A228" s="60" t="str">
        <f t="shared" si="3"/>
        <v/>
      </c>
      <c r="B228" s="49"/>
      <c r="C228" s="33"/>
      <c r="D228" s="45"/>
      <c r="E228" s="50"/>
      <c r="F228" s="33"/>
      <c r="G228" s="45"/>
      <c r="H228" s="65" t="s">
        <v>1233</v>
      </c>
      <c r="I228" s="43"/>
      <c r="J228" s="43"/>
      <c r="K228" s="43"/>
    </row>
    <row r="229" spans="1:11" ht="15" customHeight="1">
      <c r="A229" s="60" t="str">
        <f t="shared" si="3"/>
        <v/>
      </c>
      <c r="B229" s="49"/>
      <c r="C229" s="33"/>
      <c r="D229" s="45"/>
      <c r="E229" s="50"/>
      <c r="F229" s="33"/>
      <c r="G229" s="45"/>
      <c r="H229" s="65" t="s">
        <v>1233</v>
      </c>
      <c r="I229" s="43"/>
      <c r="J229" s="43"/>
      <c r="K229" s="43"/>
    </row>
    <row r="230" spans="1:11" ht="15" customHeight="1">
      <c r="A230" s="60" t="str">
        <f t="shared" si="3"/>
        <v/>
      </c>
      <c r="B230" s="49"/>
      <c r="C230" s="33"/>
      <c r="D230" s="45"/>
      <c r="E230" s="50"/>
      <c r="F230" s="33"/>
      <c r="G230" s="45"/>
      <c r="H230" s="65" t="s">
        <v>1233</v>
      </c>
      <c r="I230" s="43"/>
      <c r="J230" s="43"/>
      <c r="K230" s="43"/>
    </row>
    <row r="231" spans="1:11" ht="15" customHeight="1">
      <c r="A231" s="60" t="str">
        <f t="shared" si="3"/>
        <v/>
      </c>
      <c r="B231" s="49"/>
      <c r="C231" s="33"/>
      <c r="D231" s="45"/>
      <c r="E231" s="50"/>
      <c r="F231" s="33"/>
      <c r="G231" s="45"/>
      <c r="H231" s="65" t="s">
        <v>1233</v>
      </c>
      <c r="I231" s="43"/>
      <c r="J231" s="43"/>
      <c r="K231" s="43"/>
    </row>
    <row r="232" spans="1:11" ht="15" customHeight="1">
      <c r="A232" s="60" t="str">
        <f t="shared" si="3"/>
        <v/>
      </c>
      <c r="B232" s="49"/>
      <c r="C232" s="33"/>
      <c r="D232" s="45"/>
      <c r="E232" s="50"/>
      <c r="F232" s="33"/>
      <c r="G232" s="45"/>
      <c r="H232" s="65" t="s">
        <v>1233</v>
      </c>
      <c r="I232" s="43"/>
      <c r="J232" s="43"/>
      <c r="K232" s="43"/>
    </row>
    <row r="233" spans="1:11" ht="15" customHeight="1">
      <c r="A233" s="60" t="str">
        <f t="shared" si="3"/>
        <v/>
      </c>
      <c r="B233" s="49"/>
      <c r="C233" s="33"/>
      <c r="D233" s="45"/>
      <c r="E233" s="50"/>
      <c r="F233" s="33"/>
      <c r="G233" s="45"/>
      <c r="H233" s="65" t="s">
        <v>1233</v>
      </c>
      <c r="I233" s="43"/>
      <c r="J233" s="43"/>
      <c r="K233" s="43"/>
    </row>
    <row r="234" spans="1:11" ht="15" customHeight="1">
      <c r="A234" s="60" t="str">
        <f t="shared" si="3"/>
        <v/>
      </c>
      <c r="B234" s="49"/>
      <c r="C234" s="33"/>
      <c r="D234" s="45"/>
      <c r="E234" s="50"/>
      <c r="F234" s="33"/>
      <c r="G234" s="45"/>
      <c r="H234" s="65" t="s">
        <v>1233</v>
      </c>
      <c r="I234" s="43"/>
      <c r="J234" s="43"/>
      <c r="K234" s="43"/>
    </row>
    <row r="235" spans="1:11" ht="15" customHeight="1">
      <c r="A235" s="60" t="str">
        <f t="shared" si="3"/>
        <v/>
      </c>
      <c r="B235" s="49"/>
      <c r="C235" s="33"/>
      <c r="D235" s="45"/>
      <c r="E235" s="50"/>
      <c r="F235" s="33"/>
      <c r="G235" s="45"/>
      <c r="H235" s="65" t="s">
        <v>1233</v>
      </c>
      <c r="I235" s="43"/>
      <c r="J235" s="43"/>
      <c r="K235" s="43"/>
    </row>
    <row r="236" spans="1:11" ht="15" customHeight="1">
      <c r="A236" s="60" t="str">
        <f t="shared" si="3"/>
        <v/>
      </c>
      <c r="B236" s="49"/>
      <c r="C236" s="33"/>
      <c r="D236" s="45"/>
      <c r="E236" s="50"/>
      <c r="F236" s="33"/>
      <c r="G236" s="45"/>
      <c r="H236" s="65" t="s">
        <v>1233</v>
      </c>
      <c r="I236" s="43"/>
      <c r="J236" s="43"/>
      <c r="K236" s="43"/>
    </row>
    <row r="237" spans="1:11" ht="15" customHeight="1">
      <c r="A237" s="60" t="str">
        <f t="shared" si="3"/>
        <v/>
      </c>
      <c r="B237" s="49"/>
      <c r="C237" s="33"/>
      <c r="D237" s="45"/>
      <c r="E237" s="50"/>
      <c r="F237" s="33"/>
      <c r="G237" s="45"/>
      <c r="H237" s="65" t="s">
        <v>1233</v>
      </c>
      <c r="I237" s="43"/>
      <c r="J237" s="43"/>
      <c r="K237" s="43"/>
    </row>
    <row r="238" spans="1:11" ht="15" customHeight="1">
      <c r="A238" s="60" t="str">
        <f t="shared" si="3"/>
        <v/>
      </c>
      <c r="B238" s="49"/>
      <c r="C238" s="33"/>
      <c r="D238" s="45"/>
      <c r="E238" s="50"/>
      <c r="F238" s="33"/>
      <c r="G238" s="45"/>
      <c r="H238" s="65" t="s">
        <v>1233</v>
      </c>
      <c r="I238" s="43"/>
      <c r="J238" s="43"/>
      <c r="K238" s="43"/>
    </row>
    <row r="239" spans="1:11" ht="15" customHeight="1">
      <c r="A239" s="60" t="str">
        <f t="shared" si="3"/>
        <v/>
      </c>
      <c r="B239" s="49"/>
      <c r="C239" s="33"/>
      <c r="D239" s="45"/>
      <c r="E239" s="50"/>
      <c r="F239" s="33"/>
      <c r="G239" s="45"/>
      <c r="H239" s="65" t="s">
        <v>1233</v>
      </c>
      <c r="I239" s="43"/>
      <c r="J239" s="43"/>
      <c r="K239" s="43"/>
    </row>
    <row r="240" spans="1:11" ht="15" customHeight="1">
      <c r="A240" s="60" t="str">
        <f t="shared" si="3"/>
        <v/>
      </c>
      <c r="B240" s="49"/>
      <c r="C240" s="33"/>
      <c r="D240" s="45"/>
      <c r="E240" s="50"/>
      <c r="F240" s="33"/>
      <c r="G240" s="45"/>
      <c r="H240" s="65" t="s">
        <v>1233</v>
      </c>
      <c r="I240" s="43"/>
      <c r="J240" s="43"/>
      <c r="K240" s="43"/>
    </row>
    <row r="241" spans="1:11" ht="15" customHeight="1">
      <c r="A241" s="60" t="str">
        <f t="shared" si="3"/>
        <v/>
      </c>
      <c r="B241" s="49"/>
      <c r="C241" s="33"/>
      <c r="D241" s="45"/>
      <c r="E241" s="50"/>
      <c r="F241" s="33"/>
      <c r="G241" s="45"/>
      <c r="H241" s="65" t="s">
        <v>1233</v>
      </c>
      <c r="I241" s="43"/>
      <c r="J241" s="43"/>
      <c r="K241" s="43"/>
    </row>
    <row r="242" spans="1:11" ht="15" customHeight="1">
      <c r="A242" s="60" t="str">
        <f t="shared" si="3"/>
        <v/>
      </c>
      <c r="B242" s="49"/>
      <c r="C242" s="33"/>
      <c r="D242" s="45"/>
      <c r="E242" s="50"/>
      <c r="F242" s="33"/>
      <c r="G242" s="45"/>
      <c r="H242" s="65" t="s">
        <v>1233</v>
      </c>
      <c r="I242" s="43"/>
      <c r="J242" s="43"/>
      <c r="K242" s="43"/>
    </row>
    <row r="243" spans="1:11" ht="15" customHeight="1">
      <c r="A243" s="60" t="str">
        <f t="shared" si="3"/>
        <v/>
      </c>
      <c r="B243" s="49"/>
      <c r="C243" s="33"/>
      <c r="D243" s="45"/>
      <c r="E243" s="50"/>
      <c r="F243" s="33"/>
      <c r="G243" s="45"/>
      <c r="H243" s="65" t="s">
        <v>1233</v>
      </c>
      <c r="I243" s="43"/>
      <c r="J243" s="43"/>
      <c r="K243" s="43"/>
    </row>
    <row r="244" spans="1:11" ht="15" customHeight="1">
      <c r="A244" s="60" t="str">
        <f t="shared" si="3"/>
        <v/>
      </c>
      <c r="B244" s="49"/>
      <c r="C244" s="33"/>
      <c r="D244" s="45"/>
      <c r="E244" s="50"/>
      <c r="F244" s="33"/>
      <c r="G244" s="45"/>
      <c r="H244" s="65" t="s">
        <v>1233</v>
      </c>
      <c r="I244" s="43"/>
      <c r="J244" s="43"/>
      <c r="K244" s="43"/>
    </row>
    <row r="245" spans="1:11" ht="15" customHeight="1">
      <c r="A245" s="60" t="str">
        <f t="shared" si="3"/>
        <v/>
      </c>
      <c r="B245" s="49"/>
      <c r="C245" s="33"/>
      <c r="D245" s="45"/>
      <c r="E245" s="50"/>
      <c r="F245" s="33"/>
      <c r="G245" s="45"/>
      <c r="H245" s="65" t="s">
        <v>1233</v>
      </c>
      <c r="I245" s="43"/>
      <c r="J245" s="43"/>
      <c r="K245" s="43"/>
    </row>
    <row r="246" spans="1:11" ht="15" customHeight="1">
      <c r="A246" s="60" t="str">
        <f t="shared" si="3"/>
        <v/>
      </c>
      <c r="B246" s="49"/>
      <c r="C246" s="33"/>
      <c r="D246" s="45"/>
      <c r="E246" s="50"/>
      <c r="F246" s="33"/>
      <c r="G246" s="45"/>
      <c r="H246" s="65" t="s">
        <v>1233</v>
      </c>
      <c r="I246" s="43"/>
      <c r="J246" s="43"/>
      <c r="K246" s="43"/>
    </row>
    <row r="247" spans="1:11" ht="15" customHeight="1">
      <c r="A247" s="60" t="str">
        <f t="shared" si="3"/>
        <v/>
      </c>
      <c r="B247" s="49"/>
      <c r="C247" s="33"/>
      <c r="D247" s="45"/>
      <c r="E247" s="50"/>
      <c r="F247" s="33"/>
      <c r="G247" s="45"/>
      <c r="H247" s="65" t="s">
        <v>1233</v>
      </c>
      <c r="I247" s="43"/>
      <c r="J247" s="43"/>
      <c r="K247" s="43"/>
    </row>
    <row r="248" spans="1:11" ht="15" customHeight="1">
      <c r="A248" s="60" t="str">
        <f t="shared" si="3"/>
        <v/>
      </c>
      <c r="B248" s="49"/>
      <c r="C248" s="33"/>
      <c r="D248" s="45"/>
      <c r="E248" s="50"/>
      <c r="F248" s="33"/>
      <c r="G248" s="45"/>
      <c r="H248" s="65" t="s">
        <v>1233</v>
      </c>
      <c r="I248" s="43"/>
      <c r="J248" s="43"/>
      <c r="K248" s="43"/>
    </row>
    <row r="249" spans="1:11" ht="15" customHeight="1">
      <c r="A249" s="60" t="str">
        <f t="shared" si="3"/>
        <v/>
      </c>
      <c r="B249" s="49"/>
      <c r="C249" s="33"/>
      <c r="D249" s="45"/>
      <c r="E249" s="50"/>
      <c r="F249" s="33"/>
      <c r="G249" s="45"/>
      <c r="H249" s="65" t="s">
        <v>1233</v>
      </c>
      <c r="I249" s="43"/>
      <c r="J249" s="43"/>
      <c r="K249" s="43"/>
    </row>
    <row r="250" spans="1:11" ht="15" customHeight="1">
      <c r="A250" s="60" t="str">
        <f t="shared" si="3"/>
        <v/>
      </c>
      <c r="B250" s="49"/>
      <c r="C250" s="33"/>
      <c r="D250" s="45"/>
      <c r="E250" s="50"/>
      <c r="F250" s="33"/>
      <c r="G250" s="45"/>
      <c r="H250" s="65" t="s">
        <v>1233</v>
      </c>
      <c r="I250" s="43"/>
      <c r="J250" s="43"/>
      <c r="K250" s="43"/>
    </row>
    <row r="251" spans="1:11" ht="15" customHeight="1">
      <c r="A251" s="60" t="str">
        <f t="shared" si="3"/>
        <v/>
      </c>
      <c r="B251" s="49"/>
      <c r="C251" s="33"/>
      <c r="D251" s="45"/>
      <c r="E251" s="50"/>
      <c r="F251" s="33"/>
      <c r="G251" s="45"/>
      <c r="H251" s="65" t="s">
        <v>1233</v>
      </c>
      <c r="I251" s="43"/>
      <c r="J251" s="43"/>
      <c r="K251" s="43"/>
    </row>
    <row r="252" spans="1:11" ht="15" customHeight="1">
      <c r="A252" s="60" t="str">
        <f t="shared" si="3"/>
        <v/>
      </c>
      <c r="B252" s="49"/>
      <c r="C252" s="33"/>
      <c r="D252" s="45"/>
      <c r="E252" s="50"/>
      <c r="F252" s="33"/>
      <c r="G252" s="45"/>
      <c r="H252" s="65" t="s">
        <v>1233</v>
      </c>
      <c r="I252" s="43"/>
      <c r="J252" s="43"/>
      <c r="K252" s="43"/>
    </row>
    <row r="253" spans="1:11" ht="15" customHeight="1">
      <c r="A253" s="60" t="str">
        <f t="shared" si="3"/>
        <v/>
      </c>
      <c r="B253" s="49"/>
      <c r="C253" s="33"/>
      <c r="D253" s="45"/>
      <c r="E253" s="50"/>
      <c r="F253" s="33"/>
      <c r="G253" s="45"/>
      <c r="H253" s="65" t="s">
        <v>1233</v>
      </c>
      <c r="I253" s="43"/>
      <c r="J253" s="43"/>
      <c r="K253" s="43"/>
    </row>
    <row r="254" spans="1:11" ht="15" customHeight="1">
      <c r="A254" s="60" t="str">
        <f t="shared" si="3"/>
        <v/>
      </c>
      <c r="B254" s="49"/>
      <c r="C254" s="33"/>
      <c r="D254" s="45"/>
      <c r="E254" s="50"/>
      <c r="F254" s="33"/>
      <c r="G254" s="45"/>
      <c r="H254" s="65" t="s">
        <v>1233</v>
      </c>
      <c r="I254" s="43"/>
      <c r="J254" s="43"/>
      <c r="K254" s="43"/>
    </row>
    <row r="255" spans="1:11" ht="15" customHeight="1">
      <c r="A255" s="60" t="str">
        <f t="shared" si="3"/>
        <v/>
      </c>
      <c r="B255" s="49"/>
      <c r="C255" s="33"/>
      <c r="D255" s="45"/>
      <c r="E255" s="50"/>
      <c r="F255" s="33"/>
      <c r="G255" s="45"/>
      <c r="H255" s="65" t="s">
        <v>1233</v>
      </c>
      <c r="I255" s="43"/>
      <c r="J255" s="43"/>
      <c r="K255" s="43"/>
    </row>
    <row r="256" spans="1:11" ht="15" customHeight="1">
      <c r="A256" s="60" t="str">
        <f t="shared" si="3"/>
        <v/>
      </c>
      <c r="B256" s="49"/>
      <c r="C256" s="33"/>
      <c r="D256" s="45"/>
      <c r="E256" s="50"/>
      <c r="F256" s="33"/>
      <c r="G256" s="45"/>
      <c r="H256" s="65" t="s">
        <v>1233</v>
      </c>
      <c r="I256" s="43"/>
      <c r="J256" s="43"/>
      <c r="K256" s="43"/>
    </row>
    <row r="257" spans="1:11" ht="15" customHeight="1">
      <c r="A257" s="60" t="str">
        <f t="shared" si="3"/>
        <v/>
      </c>
      <c r="B257" s="49"/>
      <c r="C257" s="33"/>
      <c r="D257" s="45"/>
      <c r="E257" s="50"/>
      <c r="F257" s="33"/>
      <c r="G257" s="45"/>
      <c r="H257" s="65" t="s">
        <v>1233</v>
      </c>
      <c r="I257" s="43"/>
      <c r="J257" s="43"/>
      <c r="K257" s="43"/>
    </row>
    <row r="258" spans="1:11" ht="15" customHeight="1">
      <c r="A258" s="60" t="str">
        <f t="shared" si="3"/>
        <v/>
      </c>
      <c r="B258" s="49"/>
      <c r="C258" s="33"/>
      <c r="D258" s="45"/>
      <c r="E258" s="50"/>
      <c r="F258" s="33"/>
      <c r="G258" s="45"/>
      <c r="H258" s="65" t="s">
        <v>1233</v>
      </c>
      <c r="I258" s="43"/>
      <c r="J258" s="43"/>
      <c r="K258" s="43"/>
    </row>
    <row r="259" spans="1:11" ht="15" customHeight="1">
      <c r="A259" s="60" t="str">
        <f t="shared" si="3"/>
        <v/>
      </c>
      <c r="B259" s="49"/>
      <c r="C259" s="33"/>
      <c r="D259" s="45"/>
      <c r="E259" s="50"/>
      <c r="F259" s="33"/>
      <c r="G259" s="45"/>
      <c r="H259" s="65" t="s">
        <v>1233</v>
      </c>
      <c r="I259" s="43"/>
      <c r="J259" s="43"/>
      <c r="K259" s="43"/>
    </row>
    <row r="260" spans="1:11" ht="15" customHeight="1">
      <c r="A260" s="60" t="str">
        <f t="shared" ref="A260:A323" si="4">IF(COUNTA(B260:G260)&gt;0,ROW()-3,"")</f>
        <v/>
      </c>
      <c r="B260" s="49"/>
      <c r="C260" s="33"/>
      <c r="D260" s="45"/>
      <c r="E260" s="50"/>
      <c r="F260" s="33"/>
      <c r="G260" s="45"/>
      <c r="H260" s="65" t="s">
        <v>1233</v>
      </c>
      <c r="I260" s="43"/>
      <c r="J260" s="43"/>
      <c r="K260" s="43"/>
    </row>
    <row r="261" spans="1:11" ht="15" customHeight="1">
      <c r="A261" s="60" t="str">
        <f t="shared" si="4"/>
        <v/>
      </c>
      <c r="B261" s="49"/>
      <c r="C261" s="33"/>
      <c r="D261" s="45"/>
      <c r="E261" s="50"/>
      <c r="F261" s="33"/>
      <c r="G261" s="45"/>
      <c r="H261" s="65" t="s">
        <v>1233</v>
      </c>
      <c r="I261" s="43"/>
      <c r="J261" s="43"/>
      <c r="K261" s="43"/>
    </row>
    <row r="262" spans="1:11" ht="15" customHeight="1">
      <c r="A262" s="60" t="str">
        <f t="shared" si="4"/>
        <v/>
      </c>
      <c r="B262" s="49"/>
      <c r="C262" s="33"/>
      <c r="D262" s="45"/>
      <c r="E262" s="50"/>
      <c r="F262" s="33"/>
      <c r="G262" s="45"/>
      <c r="H262" s="65" t="s">
        <v>1233</v>
      </c>
      <c r="I262" s="43"/>
      <c r="J262" s="43"/>
      <c r="K262" s="43"/>
    </row>
    <row r="263" spans="1:11" ht="15" customHeight="1">
      <c r="A263" s="60" t="str">
        <f t="shared" si="4"/>
        <v/>
      </c>
      <c r="B263" s="49"/>
      <c r="C263" s="33"/>
      <c r="D263" s="45"/>
      <c r="E263" s="50"/>
      <c r="F263" s="33"/>
      <c r="G263" s="45"/>
      <c r="H263" s="65" t="s">
        <v>1233</v>
      </c>
      <c r="I263" s="43"/>
      <c r="J263" s="43"/>
      <c r="K263" s="43"/>
    </row>
    <row r="264" spans="1:11" ht="15" customHeight="1">
      <c r="A264" s="60" t="str">
        <f t="shared" si="4"/>
        <v/>
      </c>
      <c r="B264" s="49"/>
      <c r="C264" s="33"/>
      <c r="D264" s="45"/>
      <c r="E264" s="50"/>
      <c r="F264" s="33"/>
      <c r="G264" s="45"/>
      <c r="H264" s="65" t="s">
        <v>1233</v>
      </c>
      <c r="I264" s="43"/>
      <c r="J264" s="43"/>
      <c r="K264" s="43"/>
    </row>
    <row r="265" spans="1:11" ht="15" customHeight="1">
      <c r="A265" s="60" t="str">
        <f t="shared" si="4"/>
        <v/>
      </c>
      <c r="B265" s="49"/>
      <c r="C265" s="33"/>
      <c r="D265" s="45"/>
      <c r="E265" s="50"/>
      <c r="F265" s="33"/>
      <c r="G265" s="45"/>
      <c r="H265" s="65" t="s">
        <v>1233</v>
      </c>
      <c r="I265" s="43"/>
      <c r="J265" s="43"/>
      <c r="K265" s="43"/>
    </row>
    <row r="266" spans="1:11" ht="15" customHeight="1">
      <c r="A266" s="60" t="str">
        <f t="shared" si="4"/>
        <v/>
      </c>
      <c r="B266" s="49"/>
      <c r="C266" s="33"/>
      <c r="D266" s="45"/>
      <c r="E266" s="50"/>
      <c r="F266" s="33"/>
      <c r="G266" s="45"/>
      <c r="H266" s="65" t="s">
        <v>1233</v>
      </c>
      <c r="I266" s="43"/>
      <c r="J266" s="43"/>
      <c r="K266" s="43"/>
    </row>
    <row r="267" spans="1:11" ht="15" customHeight="1">
      <c r="A267" s="60" t="str">
        <f t="shared" si="4"/>
        <v/>
      </c>
      <c r="B267" s="49"/>
      <c r="C267" s="33"/>
      <c r="D267" s="45"/>
      <c r="E267" s="50"/>
      <c r="F267" s="33"/>
      <c r="G267" s="45"/>
      <c r="H267" s="65" t="s">
        <v>1233</v>
      </c>
      <c r="I267" s="43"/>
      <c r="J267" s="43"/>
      <c r="K267" s="43"/>
    </row>
    <row r="268" spans="1:11" ht="15" customHeight="1">
      <c r="A268" s="60" t="str">
        <f t="shared" si="4"/>
        <v/>
      </c>
      <c r="B268" s="49"/>
      <c r="C268" s="33"/>
      <c r="D268" s="45"/>
      <c r="E268" s="50"/>
      <c r="F268" s="33"/>
      <c r="G268" s="45"/>
      <c r="H268" s="65" t="s">
        <v>1233</v>
      </c>
      <c r="I268" s="43"/>
      <c r="J268" s="43"/>
      <c r="K268" s="43"/>
    </row>
    <row r="269" spans="1:11" ht="15" customHeight="1">
      <c r="A269" s="60" t="str">
        <f t="shared" si="4"/>
        <v/>
      </c>
      <c r="B269" s="49"/>
      <c r="C269" s="33"/>
      <c r="D269" s="45"/>
      <c r="E269" s="50"/>
      <c r="F269" s="33"/>
      <c r="G269" s="45"/>
      <c r="H269" s="65" t="s">
        <v>1233</v>
      </c>
      <c r="I269" s="43"/>
      <c r="J269" s="43"/>
      <c r="K269" s="43"/>
    </row>
    <row r="270" spans="1:11" ht="15" customHeight="1">
      <c r="A270" s="60" t="str">
        <f t="shared" si="4"/>
        <v/>
      </c>
      <c r="B270" s="49"/>
      <c r="C270" s="33"/>
      <c r="D270" s="45"/>
      <c r="E270" s="50"/>
      <c r="F270" s="33"/>
      <c r="G270" s="45"/>
      <c r="H270" s="65" t="s">
        <v>1233</v>
      </c>
      <c r="I270" s="43"/>
      <c r="J270" s="43"/>
      <c r="K270" s="43"/>
    </row>
    <row r="271" spans="1:11" ht="15" customHeight="1">
      <c r="A271" s="60" t="str">
        <f t="shared" si="4"/>
        <v/>
      </c>
      <c r="B271" s="49"/>
      <c r="C271" s="33"/>
      <c r="D271" s="45"/>
      <c r="E271" s="50"/>
      <c r="F271" s="33"/>
      <c r="G271" s="45"/>
      <c r="H271" s="65" t="s">
        <v>1233</v>
      </c>
      <c r="I271" s="43"/>
      <c r="J271" s="43"/>
      <c r="K271" s="43"/>
    </row>
    <row r="272" spans="1:11" ht="15" customHeight="1">
      <c r="A272" s="60" t="str">
        <f t="shared" si="4"/>
        <v/>
      </c>
      <c r="B272" s="49"/>
      <c r="C272" s="33"/>
      <c r="D272" s="45"/>
      <c r="E272" s="50"/>
      <c r="F272" s="33"/>
      <c r="G272" s="45"/>
      <c r="H272" s="65" t="s">
        <v>1233</v>
      </c>
      <c r="I272" s="43"/>
      <c r="J272" s="43"/>
      <c r="K272" s="43"/>
    </row>
    <row r="273" spans="1:11" ht="15" customHeight="1">
      <c r="A273" s="60" t="str">
        <f t="shared" si="4"/>
        <v/>
      </c>
      <c r="B273" s="49"/>
      <c r="C273" s="33"/>
      <c r="D273" s="45"/>
      <c r="E273" s="50"/>
      <c r="F273" s="33"/>
      <c r="G273" s="45"/>
      <c r="H273" s="65" t="s">
        <v>1233</v>
      </c>
      <c r="I273" s="43"/>
      <c r="J273" s="43"/>
      <c r="K273" s="43"/>
    </row>
    <row r="274" spans="1:11" ht="15" customHeight="1">
      <c r="A274" s="60" t="str">
        <f t="shared" si="4"/>
        <v/>
      </c>
      <c r="B274" s="49"/>
      <c r="C274" s="33"/>
      <c r="D274" s="45"/>
      <c r="E274" s="50"/>
      <c r="F274" s="33"/>
      <c r="G274" s="45"/>
      <c r="H274" s="65" t="s">
        <v>1233</v>
      </c>
      <c r="I274" s="43"/>
      <c r="J274" s="43"/>
      <c r="K274" s="43"/>
    </row>
    <row r="275" spans="1:11" ht="15" customHeight="1">
      <c r="A275" s="60" t="str">
        <f t="shared" si="4"/>
        <v/>
      </c>
      <c r="B275" s="49"/>
      <c r="C275" s="33"/>
      <c r="D275" s="45"/>
      <c r="E275" s="50"/>
      <c r="F275" s="33"/>
      <c r="G275" s="45"/>
      <c r="H275" s="65" t="s">
        <v>1233</v>
      </c>
      <c r="I275" s="43"/>
      <c r="J275" s="43"/>
      <c r="K275" s="43"/>
    </row>
    <row r="276" spans="1:11" ht="15" customHeight="1">
      <c r="A276" s="60" t="str">
        <f t="shared" si="4"/>
        <v/>
      </c>
      <c r="B276" s="49"/>
      <c r="C276" s="33"/>
      <c r="D276" s="45"/>
      <c r="E276" s="50"/>
      <c r="F276" s="33"/>
      <c r="G276" s="45"/>
      <c r="H276" s="65" t="s">
        <v>1233</v>
      </c>
      <c r="I276" s="43"/>
      <c r="J276" s="43"/>
      <c r="K276" s="43"/>
    </row>
    <row r="277" spans="1:11" ht="15" customHeight="1">
      <c r="A277" s="60" t="str">
        <f t="shared" si="4"/>
        <v/>
      </c>
      <c r="B277" s="49"/>
      <c r="C277" s="33"/>
      <c r="D277" s="45"/>
      <c r="E277" s="50"/>
      <c r="F277" s="33"/>
      <c r="G277" s="45"/>
      <c r="H277" s="65" t="s">
        <v>1233</v>
      </c>
      <c r="I277" s="43"/>
      <c r="J277" s="43"/>
      <c r="K277" s="43"/>
    </row>
    <row r="278" spans="1:11" ht="15" customHeight="1">
      <c r="A278" s="60" t="str">
        <f t="shared" si="4"/>
        <v/>
      </c>
      <c r="B278" s="49"/>
      <c r="C278" s="33"/>
      <c r="D278" s="45"/>
      <c r="E278" s="50"/>
      <c r="F278" s="33"/>
      <c r="G278" s="45"/>
      <c r="H278" s="65" t="s">
        <v>1233</v>
      </c>
      <c r="I278" s="43"/>
      <c r="J278" s="43"/>
      <c r="K278" s="43"/>
    </row>
    <row r="279" spans="1:11" ht="15" customHeight="1">
      <c r="A279" s="60" t="str">
        <f t="shared" si="4"/>
        <v/>
      </c>
      <c r="B279" s="49"/>
      <c r="C279" s="33"/>
      <c r="D279" s="45"/>
      <c r="E279" s="50"/>
      <c r="F279" s="33"/>
      <c r="G279" s="45"/>
      <c r="H279" s="65" t="s">
        <v>1233</v>
      </c>
      <c r="I279" s="43"/>
      <c r="J279" s="43"/>
      <c r="K279" s="43"/>
    </row>
    <row r="280" spans="1:11" ht="15" customHeight="1">
      <c r="A280" s="60" t="str">
        <f t="shared" si="4"/>
        <v/>
      </c>
      <c r="B280" s="49"/>
      <c r="C280" s="33"/>
      <c r="D280" s="45"/>
      <c r="E280" s="50"/>
      <c r="F280" s="33"/>
      <c r="G280" s="45"/>
      <c r="H280" s="65" t="s">
        <v>1233</v>
      </c>
      <c r="I280" s="43"/>
      <c r="J280" s="43"/>
      <c r="K280" s="43"/>
    </row>
    <row r="281" spans="1:11" ht="15" customHeight="1">
      <c r="A281" s="60" t="str">
        <f t="shared" si="4"/>
        <v/>
      </c>
      <c r="B281" s="49"/>
      <c r="C281" s="33"/>
      <c r="D281" s="45"/>
      <c r="E281" s="50"/>
      <c r="F281" s="33"/>
      <c r="G281" s="45"/>
      <c r="H281" s="65" t="s">
        <v>1233</v>
      </c>
      <c r="I281" s="43"/>
      <c r="J281" s="43"/>
      <c r="K281" s="43"/>
    </row>
    <row r="282" spans="1:11" ht="15" customHeight="1">
      <c r="A282" s="60" t="str">
        <f t="shared" si="4"/>
        <v/>
      </c>
      <c r="B282" s="49"/>
      <c r="C282" s="33"/>
      <c r="D282" s="45"/>
      <c r="E282" s="50"/>
      <c r="F282" s="33"/>
      <c r="G282" s="45"/>
      <c r="H282" s="65" t="s">
        <v>1233</v>
      </c>
      <c r="I282" s="43"/>
      <c r="J282" s="43"/>
      <c r="K282" s="43"/>
    </row>
    <row r="283" spans="1:11" ht="15" customHeight="1">
      <c r="A283" s="60" t="str">
        <f t="shared" si="4"/>
        <v/>
      </c>
      <c r="B283" s="49"/>
      <c r="C283" s="33"/>
      <c r="D283" s="45"/>
      <c r="E283" s="50"/>
      <c r="F283" s="33"/>
      <c r="G283" s="45"/>
      <c r="H283" s="65" t="s">
        <v>1233</v>
      </c>
      <c r="I283" s="43"/>
      <c r="J283" s="43"/>
      <c r="K283" s="43"/>
    </row>
    <row r="284" spans="1:11" ht="15" customHeight="1">
      <c r="A284" s="60" t="str">
        <f t="shared" si="4"/>
        <v/>
      </c>
      <c r="B284" s="49"/>
      <c r="C284" s="33"/>
      <c r="D284" s="45"/>
      <c r="E284" s="50"/>
      <c r="F284" s="33"/>
      <c r="G284" s="45"/>
      <c r="H284" s="65" t="s">
        <v>1233</v>
      </c>
      <c r="I284" s="43"/>
      <c r="J284" s="43"/>
      <c r="K284" s="43"/>
    </row>
    <row r="285" spans="1:11" ht="15" customHeight="1">
      <c r="A285" s="60" t="str">
        <f t="shared" si="4"/>
        <v/>
      </c>
      <c r="B285" s="49"/>
      <c r="C285" s="33"/>
      <c r="D285" s="45"/>
      <c r="E285" s="50"/>
      <c r="F285" s="33"/>
      <c r="G285" s="45"/>
      <c r="H285" s="65" t="s">
        <v>1233</v>
      </c>
      <c r="I285" s="43"/>
      <c r="J285" s="43"/>
      <c r="K285" s="43"/>
    </row>
    <row r="286" spans="1:11" ht="15" customHeight="1">
      <c r="A286" s="60" t="str">
        <f t="shared" si="4"/>
        <v/>
      </c>
      <c r="B286" s="49"/>
      <c r="C286" s="33"/>
      <c r="D286" s="45"/>
      <c r="E286" s="50"/>
      <c r="F286" s="33"/>
      <c r="G286" s="45"/>
      <c r="H286" s="65" t="s">
        <v>1233</v>
      </c>
      <c r="I286" s="43"/>
      <c r="J286" s="43"/>
      <c r="K286" s="43"/>
    </row>
    <row r="287" spans="1:11" ht="15" customHeight="1">
      <c r="A287" s="60" t="str">
        <f t="shared" si="4"/>
        <v/>
      </c>
      <c r="B287" s="49"/>
      <c r="C287" s="33"/>
      <c r="D287" s="45"/>
      <c r="E287" s="50"/>
      <c r="F287" s="33"/>
      <c r="G287" s="45"/>
      <c r="H287" s="65" t="s">
        <v>1233</v>
      </c>
      <c r="I287" s="43"/>
      <c r="J287" s="43"/>
      <c r="K287" s="43"/>
    </row>
    <row r="288" spans="1:11" ht="15" customHeight="1">
      <c r="A288" s="60" t="str">
        <f t="shared" si="4"/>
        <v/>
      </c>
      <c r="B288" s="49"/>
      <c r="C288" s="33"/>
      <c r="D288" s="45"/>
      <c r="E288" s="50"/>
      <c r="F288" s="33"/>
      <c r="G288" s="45"/>
      <c r="H288" s="65" t="s">
        <v>1233</v>
      </c>
      <c r="I288" s="43"/>
      <c r="J288" s="43"/>
      <c r="K288" s="43"/>
    </row>
    <row r="289" spans="1:11" ht="15" customHeight="1">
      <c r="A289" s="60" t="str">
        <f t="shared" si="4"/>
        <v/>
      </c>
      <c r="B289" s="49"/>
      <c r="C289" s="33"/>
      <c r="D289" s="45"/>
      <c r="E289" s="50"/>
      <c r="F289" s="33"/>
      <c r="G289" s="45"/>
      <c r="H289" s="65" t="s">
        <v>1233</v>
      </c>
      <c r="I289" s="43"/>
      <c r="J289" s="43"/>
      <c r="K289" s="43"/>
    </row>
    <row r="290" spans="1:11" ht="15" customHeight="1">
      <c r="A290" s="60" t="str">
        <f t="shared" si="4"/>
        <v/>
      </c>
      <c r="B290" s="49"/>
      <c r="C290" s="33"/>
      <c r="D290" s="45"/>
      <c r="E290" s="50"/>
      <c r="F290" s="33"/>
      <c r="G290" s="45"/>
      <c r="H290" s="65" t="s">
        <v>1233</v>
      </c>
      <c r="I290" s="43"/>
      <c r="J290" s="43"/>
      <c r="K290" s="43"/>
    </row>
    <row r="291" spans="1:11" ht="15" customHeight="1">
      <c r="A291" s="60" t="str">
        <f t="shared" si="4"/>
        <v/>
      </c>
      <c r="B291" s="49"/>
      <c r="C291" s="33"/>
      <c r="D291" s="45"/>
      <c r="E291" s="50"/>
      <c r="F291" s="33"/>
      <c r="G291" s="45"/>
      <c r="H291" s="65" t="s">
        <v>1233</v>
      </c>
      <c r="I291" s="43"/>
      <c r="J291" s="43"/>
      <c r="K291" s="43"/>
    </row>
    <row r="292" spans="1:11" ht="15" customHeight="1">
      <c r="A292" s="60" t="str">
        <f t="shared" si="4"/>
        <v/>
      </c>
      <c r="B292" s="49"/>
      <c r="C292" s="33"/>
      <c r="D292" s="45"/>
      <c r="E292" s="50"/>
      <c r="F292" s="33"/>
      <c r="G292" s="45"/>
      <c r="H292" s="65" t="s">
        <v>1233</v>
      </c>
      <c r="I292" s="43"/>
      <c r="J292" s="43"/>
      <c r="K292" s="43"/>
    </row>
    <row r="293" spans="1:11" ht="15" customHeight="1">
      <c r="A293" s="60" t="str">
        <f t="shared" si="4"/>
        <v/>
      </c>
      <c r="B293" s="49"/>
      <c r="C293" s="33"/>
      <c r="D293" s="45"/>
      <c r="E293" s="50"/>
      <c r="F293" s="33"/>
      <c r="G293" s="45"/>
      <c r="H293" s="65" t="s">
        <v>1233</v>
      </c>
      <c r="I293" s="43"/>
      <c r="J293" s="43"/>
      <c r="K293" s="43"/>
    </row>
    <row r="294" spans="1:11" ht="15" customHeight="1">
      <c r="A294" s="60" t="str">
        <f t="shared" si="4"/>
        <v/>
      </c>
      <c r="B294" s="49"/>
      <c r="C294" s="33"/>
      <c r="D294" s="45"/>
      <c r="E294" s="50"/>
      <c r="F294" s="33"/>
      <c r="G294" s="45"/>
      <c r="H294" s="65" t="s">
        <v>1233</v>
      </c>
      <c r="I294" s="43"/>
      <c r="J294" s="43"/>
      <c r="K294" s="43"/>
    </row>
    <row r="295" spans="1:11" ht="15" customHeight="1">
      <c r="A295" s="60" t="str">
        <f t="shared" si="4"/>
        <v/>
      </c>
      <c r="B295" s="49"/>
      <c r="C295" s="33"/>
      <c r="D295" s="45"/>
      <c r="E295" s="50"/>
      <c r="F295" s="33"/>
      <c r="G295" s="45"/>
      <c r="H295" s="65" t="s">
        <v>1233</v>
      </c>
      <c r="I295" s="43"/>
      <c r="J295" s="43"/>
      <c r="K295" s="43"/>
    </row>
    <row r="296" spans="1:11" ht="15" customHeight="1">
      <c r="A296" s="60" t="str">
        <f t="shared" si="4"/>
        <v/>
      </c>
      <c r="B296" s="49"/>
      <c r="C296" s="33"/>
      <c r="D296" s="45"/>
      <c r="E296" s="50"/>
      <c r="F296" s="33"/>
      <c r="G296" s="45"/>
      <c r="H296" s="65" t="s">
        <v>1233</v>
      </c>
      <c r="I296" s="43"/>
      <c r="J296" s="43"/>
      <c r="K296" s="43"/>
    </row>
    <row r="297" spans="1:11" ht="15" customHeight="1">
      <c r="A297" s="60" t="str">
        <f t="shared" si="4"/>
        <v/>
      </c>
      <c r="B297" s="49"/>
      <c r="C297" s="33"/>
      <c r="D297" s="45"/>
      <c r="E297" s="50"/>
      <c r="F297" s="33"/>
      <c r="G297" s="45"/>
      <c r="H297" s="65" t="s">
        <v>1233</v>
      </c>
      <c r="I297" s="43"/>
      <c r="J297" s="43"/>
      <c r="K297" s="43"/>
    </row>
    <row r="298" spans="1:11" ht="15" customHeight="1">
      <c r="A298" s="60" t="str">
        <f t="shared" si="4"/>
        <v/>
      </c>
      <c r="B298" s="49"/>
      <c r="C298" s="33"/>
      <c r="D298" s="45"/>
      <c r="E298" s="50"/>
      <c r="F298" s="33"/>
      <c r="G298" s="45"/>
      <c r="H298" s="65" t="s">
        <v>1233</v>
      </c>
      <c r="I298" s="43"/>
      <c r="J298" s="43"/>
      <c r="K298" s="43"/>
    </row>
    <row r="299" spans="1:11" ht="15" customHeight="1">
      <c r="A299" s="60" t="str">
        <f t="shared" si="4"/>
        <v/>
      </c>
      <c r="B299" s="49"/>
      <c r="C299" s="33"/>
      <c r="D299" s="45"/>
      <c r="E299" s="50"/>
      <c r="F299" s="33"/>
      <c r="G299" s="45"/>
      <c r="H299" s="65" t="s">
        <v>1233</v>
      </c>
      <c r="I299" s="43"/>
      <c r="J299" s="43"/>
      <c r="K299" s="43"/>
    </row>
    <row r="300" spans="1:11" ht="15" customHeight="1">
      <c r="A300" s="60" t="str">
        <f t="shared" si="4"/>
        <v/>
      </c>
      <c r="B300" s="49"/>
      <c r="C300" s="33"/>
      <c r="D300" s="45"/>
      <c r="E300" s="50"/>
      <c r="F300" s="33"/>
      <c r="G300" s="45"/>
      <c r="H300" s="65" t="s">
        <v>1233</v>
      </c>
      <c r="I300" s="43"/>
      <c r="J300" s="43"/>
      <c r="K300" s="43"/>
    </row>
    <row r="301" spans="1:11" ht="15" customHeight="1">
      <c r="A301" s="60" t="str">
        <f t="shared" si="4"/>
        <v/>
      </c>
      <c r="B301" s="49"/>
      <c r="C301" s="33"/>
      <c r="D301" s="45"/>
      <c r="E301" s="50"/>
      <c r="F301" s="33"/>
      <c r="G301" s="45"/>
      <c r="H301" s="65" t="s">
        <v>1233</v>
      </c>
      <c r="I301" s="43"/>
      <c r="J301" s="43"/>
      <c r="K301" s="43"/>
    </row>
    <row r="302" spans="1:11" ht="15" customHeight="1">
      <c r="A302" s="60" t="str">
        <f t="shared" si="4"/>
        <v/>
      </c>
      <c r="B302" s="49"/>
      <c r="C302" s="33"/>
      <c r="D302" s="45"/>
      <c r="E302" s="50"/>
      <c r="F302" s="33"/>
      <c r="G302" s="45"/>
      <c r="H302" s="65" t="s">
        <v>1233</v>
      </c>
      <c r="I302" s="43"/>
      <c r="J302" s="43"/>
      <c r="K302" s="43"/>
    </row>
    <row r="303" spans="1:11" ht="15" customHeight="1">
      <c r="A303" s="60" t="str">
        <f t="shared" si="4"/>
        <v/>
      </c>
      <c r="B303" s="49"/>
      <c r="C303" s="33"/>
      <c r="D303" s="45"/>
      <c r="E303" s="50"/>
      <c r="F303" s="33"/>
      <c r="G303" s="45"/>
      <c r="H303" s="65" t="s">
        <v>1233</v>
      </c>
      <c r="I303" s="43"/>
      <c r="J303" s="43"/>
      <c r="K303" s="43"/>
    </row>
    <row r="304" spans="1:11" ht="15" customHeight="1">
      <c r="A304" s="60" t="str">
        <f t="shared" si="4"/>
        <v/>
      </c>
      <c r="B304" s="49"/>
      <c r="C304" s="33"/>
      <c r="D304" s="45"/>
      <c r="E304" s="50"/>
      <c r="F304" s="33"/>
      <c r="G304" s="45"/>
      <c r="H304" s="65" t="s">
        <v>1233</v>
      </c>
      <c r="I304" s="43"/>
      <c r="J304" s="43"/>
      <c r="K304" s="43"/>
    </row>
    <row r="305" spans="1:11" ht="15" customHeight="1">
      <c r="A305" s="60" t="str">
        <f t="shared" si="4"/>
        <v/>
      </c>
      <c r="B305" s="49"/>
      <c r="C305" s="33"/>
      <c r="D305" s="45"/>
      <c r="E305" s="50"/>
      <c r="F305" s="33"/>
      <c r="G305" s="45"/>
      <c r="H305" s="65" t="s">
        <v>1233</v>
      </c>
      <c r="I305" s="43"/>
      <c r="J305" s="43"/>
      <c r="K305" s="43"/>
    </row>
    <row r="306" spans="1:11" ht="15" customHeight="1">
      <c r="A306" s="60" t="str">
        <f t="shared" si="4"/>
        <v/>
      </c>
      <c r="B306" s="49"/>
      <c r="C306" s="33"/>
      <c r="D306" s="45"/>
      <c r="E306" s="50"/>
      <c r="F306" s="33"/>
      <c r="G306" s="45"/>
      <c r="H306" s="65" t="s">
        <v>1233</v>
      </c>
      <c r="I306" s="43"/>
      <c r="J306" s="43"/>
      <c r="K306" s="43"/>
    </row>
    <row r="307" spans="1:11" ht="15" customHeight="1">
      <c r="A307" s="60" t="str">
        <f t="shared" si="4"/>
        <v/>
      </c>
      <c r="B307" s="49"/>
      <c r="C307" s="33"/>
      <c r="D307" s="45"/>
      <c r="E307" s="50"/>
      <c r="F307" s="33"/>
      <c r="G307" s="45"/>
      <c r="H307" s="65" t="s">
        <v>1233</v>
      </c>
      <c r="I307" s="43"/>
      <c r="J307" s="43"/>
      <c r="K307" s="43"/>
    </row>
    <row r="308" spans="1:11" ht="15" customHeight="1">
      <c r="A308" s="60" t="str">
        <f t="shared" si="4"/>
        <v/>
      </c>
      <c r="B308" s="49"/>
      <c r="C308" s="33"/>
      <c r="D308" s="45"/>
      <c r="E308" s="50"/>
      <c r="F308" s="33"/>
      <c r="G308" s="45"/>
      <c r="H308" s="65" t="s">
        <v>1233</v>
      </c>
      <c r="I308" s="43"/>
      <c r="J308" s="43"/>
      <c r="K308" s="43"/>
    </row>
    <row r="309" spans="1:11" ht="15" customHeight="1">
      <c r="A309" s="60" t="str">
        <f t="shared" si="4"/>
        <v/>
      </c>
      <c r="B309" s="49"/>
      <c r="C309" s="33"/>
      <c r="D309" s="45"/>
      <c r="E309" s="50"/>
      <c r="F309" s="33"/>
      <c r="G309" s="45"/>
      <c r="H309" s="65" t="s">
        <v>1233</v>
      </c>
      <c r="I309" s="43"/>
      <c r="J309" s="43"/>
      <c r="K309" s="43"/>
    </row>
    <row r="310" spans="1:11" ht="15" customHeight="1">
      <c r="A310" s="60" t="str">
        <f t="shared" si="4"/>
        <v/>
      </c>
      <c r="B310" s="49"/>
      <c r="C310" s="33"/>
      <c r="D310" s="45"/>
      <c r="E310" s="50"/>
      <c r="F310" s="33"/>
      <c r="G310" s="45"/>
      <c r="H310" s="65" t="s">
        <v>1233</v>
      </c>
      <c r="I310" s="43"/>
      <c r="J310" s="43"/>
      <c r="K310" s="43"/>
    </row>
    <row r="311" spans="1:11" ht="15" customHeight="1">
      <c r="A311" s="60" t="str">
        <f t="shared" si="4"/>
        <v/>
      </c>
      <c r="B311" s="49"/>
      <c r="C311" s="33"/>
      <c r="D311" s="45"/>
      <c r="E311" s="50"/>
      <c r="F311" s="33"/>
      <c r="G311" s="45"/>
      <c r="H311" s="65" t="s">
        <v>1233</v>
      </c>
      <c r="I311" s="43"/>
      <c r="J311" s="43"/>
      <c r="K311" s="43"/>
    </row>
    <row r="312" spans="1:11" ht="15" customHeight="1">
      <c r="A312" s="60" t="str">
        <f t="shared" si="4"/>
        <v/>
      </c>
      <c r="B312" s="49"/>
      <c r="C312" s="33"/>
      <c r="D312" s="45"/>
      <c r="E312" s="50"/>
      <c r="F312" s="33"/>
      <c r="G312" s="45"/>
      <c r="H312" s="65" t="s">
        <v>1233</v>
      </c>
      <c r="I312" s="43"/>
      <c r="J312" s="43"/>
      <c r="K312" s="43"/>
    </row>
    <row r="313" spans="1:11" ht="15" customHeight="1">
      <c r="A313" s="60" t="str">
        <f t="shared" si="4"/>
        <v/>
      </c>
      <c r="B313" s="49"/>
      <c r="C313" s="33"/>
      <c r="D313" s="45"/>
      <c r="E313" s="50"/>
      <c r="F313" s="33"/>
      <c r="G313" s="45"/>
      <c r="H313" s="65" t="s">
        <v>1233</v>
      </c>
      <c r="I313" s="43"/>
      <c r="J313" s="43"/>
      <c r="K313" s="43"/>
    </row>
    <row r="314" spans="1:11" ht="15" customHeight="1">
      <c r="A314" s="60" t="str">
        <f t="shared" si="4"/>
        <v/>
      </c>
      <c r="B314" s="49"/>
      <c r="C314" s="33"/>
      <c r="D314" s="45"/>
      <c r="E314" s="50"/>
      <c r="F314" s="33"/>
      <c r="G314" s="45"/>
      <c r="H314" s="65" t="s">
        <v>1233</v>
      </c>
      <c r="I314" s="43"/>
      <c r="J314" s="43"/>
      <c r="K314" s="43"/>
    </row>
    <row r="315" spans="1:11" ht="15" customHeight="1">
      <c r="A315" s="60" t="str">
        <f t="shared" si="4"/>
        <v/>
      </c>
      <c r="B315" s="49"/>
      <c r="C315" s="33"/>
      <c r="D315" s="45"/>
      <c r="E315" s="50"/>
      <c r="F315" s="33"/>
      <c r="G315" s="45"/>
      <c r="H315" s="65" t="s">
        <v>1233</v>
      </c>
      <c r="I315" s="43"/>
      <c r="J315" s="43"/>
      <c r="K315" s="43"/>
    </row>
    <row r="316" spans="1:11" ht="15" customHeight="1">
      <c r="A316" s="60" t="str">
        <f t="shared" si="4"/>
        <v/>
      </c>
      <c r="B316" s="49"/>
      <c r="C316" s="33"/>
      <c r="D316" s="45"/>
      <c r="E316" s="50"/>
      <c r="F316" s="33"/>
      <c r="G316" s="45"/>
      <c r="H316" s="65" t="s">
        <v>1233</v>
      </c>
      <c r="I316" s="43"/>
      <c r="J316" s="43"/>
      <c r="K316" s="43"/>
    </row>
    <row r="317" spans="1:11" ht="15" customHeight="1">
      <c r="A317" s="60" t="str">
        <f t="shared" si="4"/>
        <v/>
      </c>
      <c r="B317" s="49"/>
      <c r="C317" s="33"/>
      <c r="D317" s="45"/>
      <c r="E317" s="50"/>
      <c r="F317" s="33"/>
      <c r="G317" s="45"/>
      <c r="H317" s="65" t="s">
        <v>1233</v>
      </c>
      <c r="I317" s="43"/>
      <c r="J317" s="43"/>
      <c r="K317" s="43"/>
    </row>
    <row r="318" spans="1:11" ht="15" customHeight="1">
      <c r="A318" s="60" t="str">
        <f t="shared" si="4"/>
        <v/>
      </c>
      <c r="B318" s="49"/>
      <c r="C318" s="33"/>
      <c r="D318" s="45"/>
      <c r="E318" s="50"/>
      <c r="F318" s="33"/>
      <c r="G318" s="45"/>
      <c r="H318" s="65" t="s">
        <v>1233</v>
      </c>
      <c r="I318" s="43"/>
      <c r="J318" s="43"/>
      <c r="K318" s="43"/>
    </row>
    <row r="319" spans="1:11" ht="15" customHeight="1">
      <c r="A319" s="60" t="str">
        <f t="shared" si="4"/>
        <v/>
      </c>
      <c r="B319" s="49"/>
      <c r="C319" s="33"/>
      <c r="D319" s="45"/>
      <c r="E319" s="50"/>
      <c r="F319" s="33"/>
      <c r="G319" s="45"/>
      <c r="H319" s="65" t="s">
        <v>1233</v>
      </c>
      <c r="I319" s="43"/>
      <c r="J319" s="43"/>
      <c r="K319" s="43"/>
    </row>
    <row r="320" spans="1:11" ht="15" customHeight="1">
      <c r="A320" s="60" t="str">
        <f t="shared" si="4"/>
        <v/>
      </c>
      <c r="B320" s="49"/>
      <c r="C320" s="33"/>
      <c r="D320" s="45"/>
      <c r="E320" s="50"/>
      <c r="F320" s="33"/>
      <c r="G320" s="45"/>
      <c r="H320" s="65" t="s">
        <v>1233</v>
      </c>
      <c r="I320" s="43"/>
      <c r="J320" s="43"/>
      <c r="K320" s="43"/>
    </row>
    <row r="321" spans="1:11" ht="15" customHeight="1">
      <c r="A321" s="60" t="str">
        <f t="shared" si="4"/>
        <v/>
      </c>
      <c r="B321" s="49"/>
      <c r="C321" s="33"/>
      <c r="D321" s="45"/>
      <c r="E321" s="50"/>
      <c r="F321" s="33"/>
      <c r="G321" s="45"/>
      <c r="H321" s="65" t="s">
        <v>1233</v>
      </c>
      <c r="I321" s="43"/>
      <c r="J321" s="43"/>
      <c r="K321" s="43"/>
    </row>
    <row r="322" spans="1:11" ht="15" customHeight="1">
      <c r="A322" s="60" t="str">
        <f t="shared" si="4"/>
        <v/>
      </c>
      <c r="B322" s="49"/>
      <c r="C322" s="33"/>
      <c r="D322" s="45"/>
      <c r="E322" s="50"/>
      <c r="F322" s="33"/>
      <c r="G322" s="45"/>
      <c r="H322" s="65" t="s">
        <v>1233</v>
      </c>
      <c r="I322" s="43"/>
      <c r="J322" s="43"/>
      <c r="K322" s="43"/>
    </row>
    <row r="323" spans="1:11" ht="15" customHeight="1">
      <c r="A323" s="60" t="str">
        <f t="shared" si="4"/>
        <v/>
      </c>
      <c r="B323" s="49"/>
      <c r="C323" s="33"/>
      <c r="D323" s="45"/>
      <c r="E323" s="50"/>
      <c r="F323" s="33"/>
      <c r="G323" s="45"/>
      <c r="H323" s="65" t="s">
        <v>1233</v>
      </c>
      <c r="I323" s="43"/>
      <c r="J323" s="43"/>
      <c r="K323" s="43"/>
    </row>
    <row r="324" spans="1:11" ht="15" customHeight="1">
      <c r="A324" s="60" t="str">
        <f t="shared" ref="A324:A387" si="5">IF(COUNTA(B324:G324)&gt;0,ROW()-3,"")</f>
        <v/>
      </c>
      <c r="B324" s="49"/>
      <c r="C324" s="33"/>
      <c r="D324" s="45"/>
      <c r="E324" s="50"/>
      <c r="F324" s="33"/>
      <c r="G324" s="45"/>
      <c r="H324" s="65" t="s">
        <v>1233</v>
      </c>
      <c r="I324" s="43"/>
      <c r="J324" s="43"/>
      <c r="K324" s="43"/>
    </row>
    <row r="325" spans="1:11" ht="15" customHeight="1">
      <c r="A325" s="60" t="str">
        <f t="shared" si="5"/>
        <v/>
      </c>
      <c r="B325" s="49"/>
      <c r="C325" s="33"/>
      <c r="D325" s="45"/>
      <c r="E325" s="50"/>
      <c r="F325" s="33"/>
      <c r="G325" s="45"/>
      <c r="H325" s="65" t="s">
        <v>1233</v>
      </c>
      <c r="I325" s="43"/>
      <c r="J325" s="43"/>
      <c r="K325" s="43"/>
    </row>
    <row r="326" spans="1:11" ht="15" customHeight="1">
      <c r="A326" s="60" t="str">
        <f t="shared" si="5"/>
        <v/>
      </c>
      <c r="B326" s="49"/>
      <c r="C326" s="33"/>
      <c r="D326" s="45"/>
      <c r="E326" s="50"/>
      <c r="F326" s="33"/>
      <c r="G326" s="45"/>
      <c r="H326" s="65" t="s">
        <v>1233</v>
      </c>
      <c r="I326" s="43"/>
      <c r="J326" s="43"/>
      <c r="K326" s="43"/>
    </row>
    <row r="327" spans="1:11" ht="15" customHeight="1">
      <c r="A327" s="60" t="str">
        <f t="shared" si="5"/>
        <v/>
      </c>
      <c r="B327" s="49"/>
      <c r="C327" s="33"/>
      <c r="D327" s="45"/>
      <c r="E327" s="50"/>
      <c r="F327" s="33"/>
      <c r="G327" s="45"/>
      <c r="H327" s="65" t="s">
        <v>1233</v>
      </c>
      <c r="I327" s="43"/>
      <c r="J327" s="43"/>
      <c r="K327" s="43"/>
    </row>
    <row r="328" spans="1:11" ht="15" customHeight="1">
      <c r="A328" s="60" t="str">
        <f t="shared" si="5"/>
        <v/>
      </c>
      <c r="B328" s="49"/>
      <c r="C328" s="33"/>
      <c r="D328" s="45"/>
      <c r="E328" s="50"/>
      <c r="F328" s="33"/>
      <c r="G328" s="45"/>
      <c r="H328" s="65" t="s">
        <v>1233</v>
      </c>
      <c r="I328" s="43"/>
      <c r="J328" s="43"/>
      <c r="K328" s="43"/>
    </row>
    <row r="329" spans="1:11" ht="15" customHeight="1">
      <c r="A329" s="60" t="str">
        <f t="shared" si="5"/>
        <v/>
      </c>
      <c r="B329" s="49"/>
      <c r="C329" s="33"/>
      <c r="D329" s="45"/>
      <c r="E329" s="50"/>
      <c r="F329" s="33"/>
      <c r="G329" s="45"/>
      <c r="H329" s="65" t="s">
        <v>1233</v>
      </c>
      <c r="I329" s="43"/>
      <c r="J329" s="43"/>
      <c r="K329" s="43"/>
    </row>
    <row r="330" spans="1:11" ht="15" customHeight="1">
      <c r="A330" s="60" t="str">
        <f t="shared" si="5"/>
        <v/>
      </c>
      <c r="B330" s="49"/>
      <c r="C330" s="33"/>
      <c r="D330" s="45"/>
      <c r="E330" s="50"/>
      <c r="F330" s="33"/>
      <c r="G330" s="45"/>
      <c r="H330" s="65" t="s">
        <v>1233</v>
      </c>
      <c r="I330" s="43"/>
      <c r="J330" s="43"/>
      <c r="K330" s="43"/>
    </row>
    <row r="331" spans="1:11" ht="15" customHeight="1">
      <c r="A331" s="60" t="str">
        <f t="shared" si="5"/>
        <v/>
      </c>
      <c r="B331" s="49"/>
      <c r="C331" s="33"/>
      <c r="D331" s="45"/>
      <c r="E331" s="50"/>
      <c r="F331" s="33"/>
      <c r="G331" s="45"/>
      <c r="H331" s="65" t="s">
        <v>1233</v>
      </c>
      <c r="I331" s="43"/>
      <c r="J331" s="43"/>
      <c r="K331" s="43"/>
    </row>
    <row r="332" spans="1:11" ht="15" customHeight="1">
      <c r="A332" s="60" t="str">
        <f t="shared" si="5"/>
        <v/>
      </c>
      <c r="B332" s="49"/>
      <c r="C332" s="33"/>
      <c r="D332" s="45"/>
      <c r="E332" s="50"/>
      <c r="F332" s="33"/>
      <c r="G332" s="45"/>
      <c r="H332" s="65" t="s">
        <v>1233</v>
      </c>
      <c r="I332" s="43"/>
      <c r="J332" s="43"/>
      <c r="K332" s="43"/>
    </row>
    <row r="333" spans="1:11" ht="15" customHeight="1">
      <c r="A333" s="60" t="str">
        <f t="shared" si="5"/>
        <v/>
      </c>
      <c r="B333" s="49"/>
      <c r="C333" s="33"/>
      <c r="D333" s="45"/>
      <c r="E333" s="50"/>
      <c r="F333" s="33"/>
      <c r="G333" s="45"/>
      <c r="H333" s="65" t="s">
        <v>1233</v>
      </c>
      <c r="I333" s="43"/>
      <c r="J333" s="43"/>
      <c r="K333" s="43"/>
    </row>
    <row r="334" spans="1:11" ht="15" customHeight="1">
      <c r="A334" s="60" t="str">
        <f t="shared" si="5"/>
        <v/>
      </c>
      <c r="B334" s="49"/>
      <c r="C334" s="33"/>
      <c r="D334" s="45"/>
      <c r="E334" s="50"/>
      <c r="F334" s="33"/>
      <c r="G334" s="45"/>
      <c r="H334" s="65" t="s">
        <v>1233</v>
      </c>
      <c r="I334" s="43"/>
      <c r="J334" s="43"/>
      <c r="K334" s="43"/>
    </row>
    <row r="335" spans="1:11" ht="15" customHeight="1">
      <c r="A335" s="60" t="str">
        <f t="shared" si="5"/>
        <v/>
      </c>
      <c r="B335" s="49"/>
      <c r="C335" s="33"/>
      <c r="D335" s="45"/>
      <c r="E335" s="50"/>
      <c r="F335" s="33"/>
      <c r="G335" s="45"/>
      <c r="H335" s="65" t="s">
        <v>1233</v>
      </c>
      <c r="I335" s="43"/>
      <c r="J335" s="43"/>
      <c r="K335" s="43"/>
    </row>
    <row r="336" spans="1:11" ht="15" customHeight="1">
      <c r="A336" s="60" t="str">
        <f t="shared" si="5"/>
        <v/>
      </c>
      <c r="B336" s="49"/>
      <c r="C336" s="33"/>
      <c r="D336" s="45"/>
      <c r="E336" s="50"/>
      <c r="F336" s="33"/>
      <c r="G336" s="45"/>
      <c r="H336" s="65" t="s">
        <v>1233</v>
      </c>
      <c r="I336" s="43"/>
      <c r="J336" s="43"/>
      <c r="K336" s="43"/>
    </row>
    <row r="337" spans="1:11" ht="15" customHeight="1">
      <c r="A337" s="60" t="str">
        <f t="shared" si="5"/>
        <v/>
      </c>
      <c r="B337" s="49"/>
      <c r="C337" s="33"/>
      <c r="D337" s="45"/>
      <c r="E337" s="50"/>
      <c r="F337" s="33"/>
      <c r="G337" s="45"/>
      <c r="H337" s="65" t="s">
        <v>1233</v>
      </c>
      <c r="I337" s="43"/>
      <c r="J337" s="43"/>
      <c r="K337" s="43"/>
    </row>
    <row r="338" spans="1:11" ht="15" customHeight="1">
      <c r="A338" s="60" t="str">
        <f t="shared" si="5"/>
        <v/>
      </c>
      <c r="B338" s="49"/>
      <c r="C338" s="33"/>
      <c r="D338" s="45"/>
      <c r="E338" s="50"/>
      <c r="F338" s="33"/>
      <c r="G338" s="45"/>
      <c r="H338" s="65" t="s">
        <v>1233</v>
      </c>
      <c r="I338" s="43"/>
      <c r="J338" s="43"/>
      <c r="K338" s="43"/>
    </row>
    <row r="339" spans="1:11" ht="15" customHeight="1">
      <c r="A339" s="60" t="str">
        <f t="shared" si="5"/>
        <v/>
      </c>
      <c r="B339" s="49"/>
      <c r="C339" s="33"/>
      <c r="D339" s="45"/>
      <c r="E339" s="50"/>
      <c r="F339" s="33"/>
      <c r="G339" s="45"/>
      <c r="H339" s="65" t="s">
        <v>1233</v>
      </c>
      <c r="I339" s="43"/>
      <c r="J339" s="43"/>
      <c r="K339" s="43"/>
    </row>
    <row r="340" spans="1:11" ht="15" customHeight="1">
      <c r="A340" s="60" t="str">
        <f t="shared" si="5"/>
        <v/>
      </c>
      <c r="B340" s="49"/>
      <c r="C340" s="33"/>
      <c r="D340" s="45"/>
      <c r="E340" s="50"/>
      <c r="F340" s="33"/>
      <c r="G340" s="45"/>
      <c r="H340" s="65" t="s">
        <v>1233</v>
      </c>
      <c r="I340" s="43"/>
      <c r="J340" s="43"/>
      <c r="K340" s="43"/>
    </row>
    <row r="341" spans="1:11" ht="15" customHeight="1">
      <c r="A341" s="60" t="str">
        <f t="shared" si="5"/>
        <v/>
      </c>
      <c r="B341" s="49"/>
      <c r="C341" s="33"/>
      <c r="D341" s="45"/>
      <c r="E341" s="50"/>
      <c r="F341" s="33"/>
      <c r="G341" s="45"/>
      <c r="H341" s="65" t="s">
        <v>1233</v>
      </c>
      <c r="I341" s="43"/>
      <c r="J341" s="43"/>
      <c r="K341" s="43"/>
    </row>
    <row r="342" spans="1:11" ht="15" customHeight="1">
      <c r="A342" s="60" t="str">
        <f t="shared" si="5"/>
        <v/>
      </c>
      <c r="B342" s="49"/>
      <c r="C342" s="33"/>
      <c r="D342" s="45"/>
      <c r="E342" s="50"/>
      <c r="F342" s="33"/>
      <c r="G342" s="45"/>
      <c r="H342" s="65" t="s">
        <v>1233</v>
      </c>
      <c r="I342" s="43"/>
      <c r="J342" s="43"/>
      <c r="K342" s="43"/>
    </row>
    <row r="343" spans="1:11" ht="15" customHeight="1">
      <c r="A343" s="60" t="str">
        <f t="shared" si="5"/>
        <v/>
      </c>
      <c r="B343" s="49"/>
      <c r="C343" s="33"/>
      <c r="D343" s="45"/>
      <c r="E343" s="50"/>
      <c r="F343" s="33"/>
      <c r="G343" s="45"/>
      <c r="H343" s="65" t="s">
        <v>1233</v>
      </c>
      <c r="I343" s="43"/>
      <c r="J343" s="43"/>
      <c r="K343" s="43"/>
    </row>
    <row r="344" spans="1:11" ht="15" customHeight="1">
      <c r="A344" s="60" t="str">
        <f t="shared" si="5"/>
        <v/>
      </c>
      <c r="B344" s="49"/>
      <c r="C344" s="33"/>
      <c r="D344" s="45"/>
      <c r="E344" s="50"/>
      <c r="F344" s="33"/>
      <c r="G344" s="45"/>
      <c r="H344" s="65" t="s">
        <v>1233</v>
      </c>
      <c r="I344" s="43"/>
      <c r="J344" s="43"/>
      <c r="K344" s="43"/>
    </row>
    <row r="345" spans="1:11" ht="15" customHeight="1">
      <c r="A345" s="60" t="str">
        <f t="shared" si="5"/>
        <v/>
      </c>
      <c r="B345" s="49"/>
      <c r="C345" s="33"/>
      <c r="D345" s="45"/>
      <c r="E345" s="50"/>
      <c r="F345" s="33"/>
      <c r="G345" s="45"/>
      <c r="H345" s="65" t="s">
        <v>1233</v>
      </c>
      <c r="I345" s="43"/>
      <c r="J345" s="43"/>
      <c r="K345" s="43"/>
    </row>
    <row r="346" spans="1:11" ht="15" customHeight="1">
      <c r="A346" s="60" t="str">
        <f t="shared" si="5"/>
        <v/>
      </c>
      <c r="B346" s="49"/>
      <c r="C346" s="33"/>
      <c r="D346" s="45"/>
      <c r="E346" s="50"/>
      <c r="F346" s="33"/>
      <c r="G346" s="45"/>
      <c r="H346" s="65" t="s">
        <v>1233</v>
      </c>
      <c r="I346" s="43"/>
      <c r="J346" s="43"/>
      <c r="K346" s="43"/>
    </row>
    <row r="347" spans="1:11" ht="15" customHeight="1">
      <c r="A347" s="60" t="str">
        <f t="shared" si="5"/>
        <v/>
      </c>
      <c r="B347" s="49"/>
      <c r="C347" s="33"/>
      <c r="D347" s="45"/>
      <c r="E347" s="50"/>
      <c r="F347" s="33"/>
      <c r="G347" s="45"/>
      <c r="H347" s="65" t="s">
        <v>1233</v>
      </c>
      <c r="I347" s="43"/>
      <c r="J347" s="43"/>
      <c r="K347" s="43"/>
    </row>
    <row r="348" spans="1:11" ht="15" customHeight="1">
      <c r="A348" s="60" t="str">
        <f t="shared" si="5"/>
        <v/>
      </c>
      <c r="B348" s="49"/>
      <c r="C348" s="33"/>
      <c r="D348" s="45"/>
      <c r="E348" s="50"/>
      <c r="F348" s="33"/>
      <c r="G348" s="45"/>
      <c r="H348" s="65" t="s">
        <v>1233</v>
      </c>
      <c r="I348" s="43"/>
      <c r="J348" s="43"/>
      <c r="K348" s="43"/>
    </row>
    <row r="349" spans="1:11" ht="15" customHeight="1">
      <c r="A349" s="60" t="str">
        <f t="shared" si="5"/>
        <v/>
      </c>
      <c r="B349" s="49"/>
      <c r="C349" s="33"/>
      <c r="D349" s="45"/>
      <c r="E349" s="50"/>
      <c r="F349" s="33"/>
      <c r="G349" s="45"/>
      <c r="H349" s="65" t="s">
        <v>1233</v>
      </c>
      <c r="I349" s="43"/>
      <c r="J349" s="43"/>
      <c r="K349" s="43"/>
    </row>
    <row r="350" spans="1:11" ht="15" customHeight="1">
      <c r="A350" s="60" t="str">
        <f t="shared" si="5"/>
        <v/>
      </c>
      <c r="B350" s="49"/>
      <c r="C350" s="33"/>
      <c r="D350" s="45"/>
      <c r="E350" s="50"/>
      <c r="F350" s="33"/>
      <c r="G350" s="45"/>
      <c r="H350" s="65" t="s">
        <v>1233</v>
      </c>
      <c r="I350" s="43"/>
      <c r="J350" s="43"/>
      <c r="K350" s="43"/>
    </row>
    <row r="351" spans="1:11" ht="15" customHeight="1">
      <c r="A351" s="60" t="str">
        <f t="shared" si="5"/>
        <v/>
      </c>
      <c r="B351" s="49"/>
      <c r="C351" s="33"/>
      <c r="D351" s="45"/>
      <c r="E351" s="50"/>
      <c r="F351" s="33"/>
      <c r="G351" s="45"/>
      <c r="H351" s="65" t="s">
        <v>1233</v>
      </c>
      <c r="I351" s="43"/>
      <c r="J351" s="43"/>
      <c r="K351" s="43"/>
    </row>
    <row r="352" spans="1:11" ht="15" customHeight="1">
      <c r="A352" s="60" t="str">
        <f t="shared" si="5"/>
        <v/>
      </c>
      <c r="B352" s="49"/>
      <c r="C352" s="33"/>
      <c r="D352" s="45"/>
      <c r="E352" s="50"/>
      <c r="F352" s="33"/>
      <c r="G352" s="45"/>
      <c r="H352" s="65" t="s">
        <v>1233</v>
      </c>
      <c r="I352" s="43"/>
      <c r="J352" s="43"/>
      <c r="K352" s="43"/>
    </row>
    <row r="353" spans="1:11" ht="15" customHeight="1">
      <c r="A353" s="60" t="str">
        <f t="shared" si="5"/>
        <v/>
      </c>
      <c r="B353" s="49"/>
      <c r="C353" s="33"/>
      <c r="D353" s="45"/>
      <c r="E353" s="50"/>
      <c r="F353" s="33"/>
      <c r="G353" s="45"/>
      <c r="H353" s="65" t="s">
        <v>1233</v>
      </c>
      <c r="I353" s="43"/>
      <c r="J353" s="43"/>
      <c r="K353" s="43"/>
    </row>
    <row r="354" spans="1:11" ht="15" customHeight="1">
      <c r="A354" s="60" t="str">
        <f t="shared" si="5"/>
        <v/>
      </c>
      <c r="B354" s="49"/>
      <c r="C354" s="33"/>
      <c r="D354" s="45"/>
      <c r="E354" s="50"/>
      <c r="F354" s="33"/>
      <c r="G354" s="45"/>
      <c r="H354" s="65" t="s">
        <v>1233</v>
      </c>
      <c r="I354" s="43"/>
      <c r="J354" s="43"/>
      <c r="K354" s="43"/>
    </row>
    <row r="355" spans="1:11" ht="15" customHeight="1">
      <c r="A355" s="60" t="str">
        <f t="shared" si="5"/>
        <v/>
      </c>
      <c r="B355" s="49"/>
      <c r="C355" s="33"/>
      <c r="D355" s="45"/>
      <c r="E355" s="50"/>
      <c r="F355" s="33"/>
      <c r="G355" s="45"/>
      <c r="H355" s="65" t="s">
        <v>1233</v>
      </c>
      <c r="I355" s="43"/>
      <c r="J355" s="43"/>
      <c r="K355" s="43"/>
    </row>
    <row r="356" spans="1:11" ht="15" customHeight="1">
      <c r="A356" s="60" t="str">
        <f t="shared" si="5"/>
        <v/>
      </c>
      <c r="B356" s="49"/>
      <c r="C356" s="33"/>
      <c r="D356" s="45"/>
      <c r="E356" s="50"/>
      <c r="F356" s="33"/>
      <c r="G356" s="45"/>
      <c r="H356" s="65" t="s">
        <v>1233</v>
      </c>
      <c r="I356" s="43"/>
      <c r="J356" s="43"/>
      <c r="K356" s="43"/>
    </row>
    <row r="357" spans="1:11" ht="15" customHeight="1">
      <c r="A357" s="60" t="str">
        <f t="shared" si="5"/>
        <v/>
      </c>
      <c r="B357" s="49"/>
      <c r="C357" s="33"/>
      <c r="D357" s="45"/>
      <c r="E357" s="50"/>
      <c r="F357" s="33"/>
      <c r="G357" s="45"/>
      <c r="H357" s="65" t="s">
        <v>1233</v>
      </c>
      <c r="I357" s="43"/>
      <c r="J357" s="43"/>
      <c r="K357" s="43"/>
    </row>
    <row r="358" spans="1:11" ht="15" customHeight="1">
      <c r="A358" s="60" t="str">
        <f t="shared" si="5"/>
        <v/>
      </c>
      <c r="B358" s="49"/>
      <c r="C358" s="33"/>
      <c r="D358" s="45"/>
      <c r="E358" s="50"/>
      <c r="F358" s="33"/>
      <c r="G358" s="45"/>
      <c r="H358" s="65" t="s">
        <v>1233</v>
      </c>
      <c r="I358" s="43"/>
      <c r="J358" s="43"/>
      <c r="K358" s="43"/>
    </row>
    <row r="359" spans="1:11" ht="15" customHeight="1">
      <c r="A359" s="60" t="str">
        <f t="shared" si="5"/>
        <v/>
      </c>
      <c r="B359" s="49"/>
      <c r="C359" s="33"/>
      <c r="D359" s="45"/>
      <c r="E359" s="50"/>
      <c r="F359" s="33"/>
      <c r="G359" s="45"/>
      <c r="H359" s="65" t="s">
        <v>1233</v>
      </c>
      <c r="I359" s="43"/>
      <c r="J359" s="43"/>
      <c r="K359" s="43"/>
    </row>
    <row r="360" spans="1:11" ht="15" customHeight="1">
      <c r="A360" s="60" t="str">
        <f t="shared" si="5"/>
        <v/>
      </c>
      <c r="B360" s="49"/>
      <c r="C360" s="33"/>
      <c r="D360" s="45"/>
      <c r="E360" s="50"/>
      <c r="F360" s="33"/>
      <c r="G360" s="45"/>
      <c r="H360" s="65" t="s">
        <v>1233</v>
      </c>
      <c r="I360" s="43"/>
      <c r="J360" s="43"/>
      <c r="K360" s="43"/>
    </row>
    <row r="361" spans="1:11" ht="15" customHeight="1">
      <c r="A361" s="60" t="str">
        <f t="shared" si="5"/>
        <v/>
      </c>
      <c r="B361" s="49"/>
      <c r="C361" s="33"/>
      <c r="D361" s="45"/>
      <c r="E361" s="50"/>
      <c r="F361" s="33"/>
      <c r="G361" s="45"/>
      <c r="H361" s="65" t="s">
        <v>1233</v>
      </c>
      <c r="I361" s="43"/>
      <c r="J361" s="43"/>
      <c r="K361" s="43"/>
    </row>
    <row r="362" spans="1:11" ht="15" customHeight="1">
      <c r="A362" s="60" t="str">
        <f t="shared" si="5"/>
        <v/>
      </c>
      <c r="B362" s="49"/>
      <c r="C362" s="33"/>
      <c r="D362" s="45"/>
      <c r="E362" s="50"/>
      <c r="F362" s="33"/>
      <c r="G362" s="45"/>
      <c r="H362" s="65" t="s">
        <v>1233</v>
      </c>
      <c r="I362" s="43"/>
      <c r="J362" s="43"/>
      <c r="K362" s="43"/>
    </row>
    <row r="363" spans="1:11" ht="15" customHeight="1">
      <c r="A363" s="60" t="str">
        <f t="shared" si="5"/>
        <v/>
      </c>
      <c r="B363" s="49"/>
      <c r="C363" s="33"/>
      <c r="D363" s="45"/>
      <c r="E363" s="50"/>
      <c r="F363" s="33"/>
      <c r="G363" s="45"/>
      <c r="H363" s="65" t="s">
        <v>1233</v>
      </c>
      <c r="I363" s="43"/>
      <c r="J363" s="43"/>
      <c r="K363" s="43"/>
    </row>
    <row r="364" spans="1:11" ht="15" customHeight="1">
      <c r="A364" s="60" t="str">
        <f t="shared" si="5"/>
        <v/>
      </c>
      <c r="B364" s="49"/>
      <c r="C364" s="33"/>
      <c r="D364" s="45"/>
      <c r="E364" s="50"/>
      <c r="F364" s="33"/>
      <c r="G364" s="45"/>
      <c r="H364" s="65" t="s">
        <v>1233</v>
      </c>
      <c r="I364" s="43"/>
      <c r="J364" s="43"/>
      <c r="K364" s="43"/>
    </row>
    <row r="365" spans="1:11" ht="15" customHeight="1">
      <c r="A365" s="60" t="str">
        <f t="shared" si="5"/>
        <v/>
      </c>
      <c r="B365" s="49"/>
      <c r="C365" s="33"/>
      <c r="D365" s="45"/>
      <c r="E365" s="50"/>
      <c r="F365" s="33"/>
      <c r="G365" s="45"/>
      <c r="H365" s="65" t="s">
        <v>1233</v>
      </c>
      <c r="I365" s="43"/>
      <c r="J365" s="43"/>
      <c r="K365" s="43"/>
    </row>
    <row r="366" spans="1:11" ht="15" customHeight="1">
      <c r="A366" s="60" t="str">
        <f t="shared" si="5"/>
        <v/>
      </c>
      <c r="B366" s="49"/>
      <c r="C366" s="33"/>
      <c r="D366" s="45"/>
      <c r="E366" s="50"/>
      <c r="F366" s="33"/>
      <c r="G366" s="45"/>
      <c r="H366" s="65" t="s">
        <v>1233</v>
      </c>
      <c r="I366" s="43"/>
      <c r="J366" s="43"/>
      <c r="K366" s="43"/>
    </row>
    <row r="367" spans="1:11" ht="15" customHeight="1">
      <c r="A367" s="60" t="str">
        <f t="shared" si="5"/>
        <v/>
      </c>
      <c r="B367" s="49"/>
      <c r="C367" s="33"/>
      <c r="D367" s="45"/>
      <c r="E367" s="50"/>
      <c r="F367" s="33"/>
      <c r="G367" s="45"/>
      <c r="H367" s="65" t="s">
        <v>1233</v>
      </c>
      <c r="I367" s="43"/>
      <c r="J367" s="43"/>
      <c r="K367" s="43"/>
    </row>
    <row r="368" spans="1:11" ht="15" customHeight="1">
      <c r="A368" s="60" t="str">
        <f t="shared" si="5"/>
        <v/>
      </c>
      <c r="B368" s="49"/>
      <c r="C368" s="33"/>
      <c r="D368" s="45"/>
      <c r="E368" s="50"/>
      <c r="F368" s="33"/>
      <c r="G368" s="45"/>
      <c r="H368" s="65" t="s">
        <v>1233</v>
      </c>
      <c r="I368" s="43"/>
      <c r="J368" s="43"/>
      <c r="K368" s="43"/>
    </row>
    <row r="369" spans="1:11" ht="15" customHeight="1">
      <c r="A369" s="60" t="str">
        <f t="shared" si="5"/>
        <v/>
      </c>
      <c r="B369" s="49"/>
      <c r="C369" s="33"/>
      <c r="D369" s="45"/>
      <c r="E369" s="50"/>
      <c r="F369" s="33"/>
      <c r="G369" s="45"/>
      <c r="H369" s="65" t="s">
        <v>1233</v>
      </c>
      <c r="I369" s="43"/>
      <c r="J369" s="43"/>
      <c r="K369" s="43"/>
    </row>
    <row r="370" spans="1:11" ht="15" customHeight="1">
      <c r="A370" s="60" t="str">
        <f t="shared" si="5"/>
        <v/>
      </c>
      <c r="B370" s="49"/>
      <c r="C370" s="33"/>
      <c r="D370" s="45"/>
      <c r="E370" s="50"/>
      <c r="F370" s="33"/>
      <c r="G370" s="45"/>
      <c r="H370" s="65" t="s">
        <v>1233</v>
      </c>
      <c r="I370" s="43"/>
      <c r="J370" s="43"/>
      <c r="K370" s="43"/>
    </row>
    <row r="371" spans="1:11" ht="15" customHeight="1">
      <c r="A371" s="60" t="str">
        <f t="shared" si="5"/>
        <v/>
      </c>
      <c r="B371" s="49"/>
      <c r="C371" s="33"/>
      <c r="D371" s="45"/>
      <c r="E371" s="50"/>
      <c r="F371" s="33"/>
      <c r="G371" s="45"/>
      <c r="H371" s="65" t="s">
        <v>1233</v>
      </c>
      <c r="I371" s="43"/>
      <c r="J371" s="43"/>
      <c r="K371" s="43"/>
    </row>
    <row r="372" spans="1:11" ht="15" customHeight="1">
      <c r="A372" s="60" t="str">
        <f t="shared" si="5"/>
        <v/>
      </c>
      <c r="B372" s="49"/>
      <c r="C372" s="33"/>
      <c r="D372" s="45"/>
      <c r="E372" s="50"/>
      <c r="F372" s="33"/>
      <c r="G372" s="45"/>
      <c r="H372" s="65" t="s">
        <v>1233</v>
      </c>
      <c r="I372" s="43"/>
      <c r="J372" s="43"/>
      <c r="K372" s="43"/>
    </row>
    <row r="373" spans="1:11" ht="15" customHeight="1">
      <c r="A373" s="60" t="str">
        <f t="shared" si="5"/>
        <v/>
      </c>
      <c r="B373" s="49"/>
      <c r="C373" s="33"/>
      <c r="D373" s="45"/>
      <c r="E373" s="50"/>
      <c r="F373" s="33"/>
      <c r="G373" s="45"/>
      <c r="H373" s="65" t="s">
        <v>1233</v>
      </c>
      <c r="I373" s="43"/>
      <c r="J373" s="43"/>
      <c r="K373" s="43"/>
    </row>
    <row r="374" spans="1:11" ht="15" customHeight="1">
      <c r="A374" s="60" t="str">
        <f t="shared" si="5"/>
        <v/>
      </c>
      <c r="B374" s="49"/>
      <c r="C374" s="33"/>
      <c r="D374" s="45"/>
      <c r="E374" s="50"/>
      <c r="F374" s="33"/>
      <c r="G374" s="45"/>
      <c r="H374" s="65" t="s">
        <v>1233</v>
      </c>
      <c r="I374" s="43"/>
      <c r="J374" s="43"/>
      <c r="K374" s="43"/>
    </row>
    <row r="375" spans="1:11" ht="15" customHeight="1">
      <c r="A375" s="60" t="str">
        <f t="shared" si="5"/>
        <v/>
      </c>
      <c r="B375" s="49"/>
      <c r="C375" s="33"/>
      <c r="D375" s="45"/>
      <c r="E375" s="50"/>
      <c r="F375" s="33"/>
      <c r="G375" s="45"/>
      <c r="H375" s="65" t="s">
        <v>1233</v>
      </c>
      <c r="I375" s="43"/>
      <c r="J375" s="43"/>
      <c r="K375" s="43"/>
    </row>
    <row r="376" spans="1:11" ht="15" customHeight="1">
      <c r="A376" s="60" t="str">
        <f t="shared" si="5"/>
        <v/>
      </c>
      <c r="B376" s="49"/>
      <c r="C376" s="33"/>
      <c r="D376" s="45"/>
      <c r="E376" s="50"/>
      <c r="F376" s="33"/>
      <c r="G376" s="45"/>
      <c r="H376" s="65" t="s">
        <v>1233</v>
      </c>
      <c r="I376" s="43"/>
      <c r="J376" s="43"/>
      <c r="K376" s="43"/>
    </row>
    <row r="377" spans="1:11" ht="15" customHeight="1">
      <c r="A377" s="60" t="str">
        <f t="shared" si="5"/>
        <v/>
      </c>
      <c r="B377" s="49"/>
      <c r="C377" s="33"/>
      <c r="D377" s="45"/>
      <c r="E377" s="50"/>
      <c r="F377" s="33"/>
      <c r="G377" s="45"/>
      <c r="H377" s="65" t="s">
        <v>1233</v>
      </c>
      <c r="I377" s="43"/>
      <c r="J377" s="43"/>
      <c r="K377" s="43"/>
    </row>
    <row r="378" spans="1:11" ht="15" customHeight="1">
      <c r="A378" s="60" t="str">
        <f t="shared" si="5"/>
        <v/>
      </c>
      <c r="B378" s="49"/>
      <c r="C378" s="33"/>
      <c r="D378" s="45"/>
      <c r="E378" s="50"/>
      <c r="F378" s="33"/>
      <c r="G378" s="45"/>
      <c r="H378" s="65" t="s">
        <v>1233</v>
      </c>
      <c r="I378" s="43"/>
      <c r="J378" s="43"/>
      <c r="K378" s="43"/>
    </row>
    <row r="379" spans="1:11" ht="15" customHeight="1">
      <c r="A379" s="60" t="str">
        <f t="shared" si="5"/>
        <v/>
      </c>
      <c r="B379" s="49"/>
      <c r="C379" s="33"/>
      <c r="D379" s="45"/>
      <c r="E379" s="50"/>
      <c r="F379" s="33"/>
      <c r="G379" s="45"/>
      <c r="H379" s="65" t="s">
        <v>1233</v>
      </c>
      <c r="I379" s="43"/>
      <c r="J379" s="43"/>
      <c r="K379" s="43"/>
    </row>
    <row r="380" spans="1:11" ht="15" customHeight="1">
      <c r="A380" s="60" t="str">
        <f t="shared" si="5"/>
        <v/>
      </c>
      <c r="B380" s="49"/>
      <c r="C380" s="33"/>
      <c r="D380" s="45"/>
      <c r="E380" s="50"/>
      <c r="F380" s="33"/>
      <c r="G380" s="45"/>
      <c r="H380" s="65" t="s">
        <v>1233</v>
      </c>
      <c r="I380" s="43"/>
      <c r="J380" s="43"/>
      <c r="K380" s="43"/>
    </row>
    <row r="381" spans="1:11" ht="15" customHeight="1">
      <c r="A381" s="60" t="str">
        <f t="shared" si="5"/>
        <v/>
      </c>
      <c r="B381" s="49"/>
      <c r="C381" s="33"/>
      <c r="D381" s="45"/>
      <c r="E381" s="50"/>
      <c r="F381" s="33"/>
      <c r="G381" s="45"/>
      <c r="H381" s="65" t="s">
        <v>1233</v>
      </c>
      <c r="I381" s="43"/>
      <c r="J381" s="43"/>
      <c r="K381" s="43"/>
    </row>
    <row r="382" spans="1:11" ht="15" customHeight="1">
      <c r="A382" s="60" t="str">
        <f t="shared" si="5"/>
        <v/>
      </c>
      <c r="B382" s="49"/>
      <c r="C382" s="33"/>
      <c r="D382" s="45"/>
      <c r="E382" s="50"/>
      <c r="F382" s="33"/>
      <c r="G382" s="45"/>
      <c r="H382" s="65" t="s">
        <v>1233</v>
      </c>
      <c r="I382" s="43"/>
      <c r="J382" s="43"/>
      <c r="K382" s="43"/>
    </row>
    <row r="383" spans="1:11" ht="15" customHeight="1">
      <c r="A383" s="60" t="str">
        <f t="shared" si="5"/>
        <v/>
      </c>
      <c r="B383" s="49"/>
      <c r="C383" s="33"/>
      <c r="D383" s="45"/>
      <c r="E383" s="50"/>
      <c r="F383" s="33"/>
      <c r="G383" s="45"/>
      <c r="H383" s="65" t="s">
        <v>1233</v>
      </c>
      <c r="I383" s="43"/>
      <c r="J383" s="43"/>
      <c r="K383" s="43"/>
    </row>
    <row r="384" spans="1:11" ht="15" customHeight="1">
      <c r="A384" s="60" t="str">
        <f t="shared" si="5"/>
        <v/>
      </c>
      <c r="B384" s="49"/>
      <c r="C384" s="33"/>
      <c r="D384" s="45"/>
      <c r="E384" s="50"/>
      <c r="F384" s="33"/>
      <c r="G384" s="45"/>
      <c r="H384" s="65" t="s">
        <v>1233</v>
      </c>
      <c r="I384" s="43"/>
      <c r="J384" s="43"/>
      <c r="K384" s="43"/>
    </row>
    <row r="385" spans="1:11" ht="15" customHeight="1">
      <c r="A385" s="60" t="str">
        <f t="shared" si="5"/>
        <v/>
      </c>
      <c r="B385" s="49"/>
      <c r="C385" s="33"/>
      <c r="D385" s="45"/>
      <c r="E385" s="50"/>
      <c r="F385" s="33"/>
      <c r="G385" s="45"/>
      <c r="H385" s="65" t="s">
        <v>1233</v>
      </c>
      <c r="I385" s="43"/>
      <c r="J385" s="43"/>
      <c r="K385" s="43"/>
    </row>
    <row r="386" spans="1:11" ht="15" customHeight="1">
      <c r="A386" s="60" t="str">
        <f t="shared" si="5"/>
        <v/>
      </c>
      <c r="B386" s="49"/>
      <c r="C386" s="33"/>
      <c r="D386" s="45"/>
      <c r="E386" s="50"/>
      <c r="F386" s="33"/>
      <c r="G386" s="45"/>
      <c r="H386" s="65" t="s">
        <v>1233</v>
      </c>
      <c r="I386" s="43"/>
      <c r="J386" s="43"/>
      <c r="K386" s="43"/>
    </row>
    <row r="387" spans="1:11" ht="15" customHeight="1">
      <c r="A387" s="60" t="str">
        <f t="shared" si="5"/>
        <v/>
      </c>
      <c r="B387" s="49"/>
      <c r="C387" s="33"/>
      <c r="D387" s="45"/>
      <c r="E387" s="50"/>
      <c r="F387" s="33"/>
      <c r="G387" s="45"/>
      <c r="H387" s="65" t="s">
        <v>1233</v>
      </c>
      <c r="I387" s="43"/>
      <c r="J387" s="43"/>
      <c r="K387" s="43"/>
    </row>
    <row r="388" spans="1:11" ht="15" customHeight="1">
      <c r="A388" s="60" t="str">
        <f t="shared" ref="A388:A451" si="6">IF(COUNTA(B388:G388)&gt;0,ROW()-3,"")</f>
        <v/>
      </c>
      <c r="B388" s="49"/>
      <c r="C388" s="33"/>
      <c r="D388" s="45"/>
      <c r="E388" s="50"/>
      <c r="F388" s="33"/>
      <c r="G388" s="45"/>
      <c r="H388" s="65" t="s">
        <v>1233</v>
      </c>
      <c r="I388" s="43"/>
      <c r="J388" s="43"/>
      <c r="K388" s="43"/>
    </row>
    <row r="389" spans="1:11" ht="15" customHeight="1">
      <c r="A389" s="60" t="str">
        <f t="shared" si="6"/>
        <v/>
      </c>
      <c r="B389" s="49"/>
      <c r="C389" s="33"/>
      <c r="D389" s="45"/>
      <c r="E389" s="50"/>
      <c r="F389" s="33"/>
      <c r="G389" s="45"/>
      <c r="H389" s="65" t="s">
        <v>1233</v>
      </c>
      <c r="I389" s="43"/>
      <c r="J389" s="43"/>
      <c r="K389" s="43"/>
    </row>
    <row r="390" spans="1:11" ht="15" customHeight="1">
      <c r="A390" s="60" t="str">
        <f t="shared" si="6"/>
        <v/>
      </c>
      <c r="B390" s="49"/>
      <c r="C390" s="33"/>
      <c r="D390" s="45"/>
      <c r="E390" s="50"/>
      <c r="F390" s="33"/>
      <c r="G390" s="45"/>
      <c r="H390" s="65" t="s">
        <v>1233</v>
      </c>
      <c r="I390" s="43"/>
      <c r="J390" s="43"/>
      <c r="K390" s="43"/>
    </row>
    <row r="391" spans="1:11" ht="15" customHeight="1">
      <c r="A391" s="60" t="str">
        <f t="shared" si="6"/>
        <v/>
      </c>
      <c r="B391" s="49"/>
      <c r="C391" s="33"/>
      <c r="D391" s="45"/>
      <c r="E391" s="50"/>
      <c r="F391" s="33"/>
      <c r="G391" s="45"/>
      <c r="H391" s="65" t="s">
        <v>1233</v>
      </c>
      <c r="I391" s="43"/>
      <c r="J391" s="43"/>
      <c r="K391" s="43"/>
    </row>
    <row r="392" spans="1:11" ht="15" customHeight="1">
      <c r="A392" s="60" t="str">
        <f t="shared" si="6"/>
        <v/>
      </c>
      <c r="B392" s="49"/>
      <c r="C392" s="33"/>
      <c r="D392" s="45"/>
      <c r="E392" s="50"/>
      <c r="F392" s="33"/>
      <c r="G392" s="45"/>
      <c r="H392" s="65" t="s">
        <v>1233</v>
      </c>
      <c r="I392" s="43"/>
      <c r="J392" s="43"/>
      <c r="K392" s="43"/>
    </row>
    <row r="393" spans="1:11" ht="15" customHeight="1">
      <c r="A393" s="60" t="str">
        <f t="shared" si="6"/>
        <v/>
      </c>
      <c r="B393" s="49"/>
      <c r="C393" s="33"/>
      <c r="D393" s="45"/>
      <c r="E393" s="50"/>
      <c r="F393" s="33"/>
      <c r="G393" s="45"/>
      <c r="H393" s="65" t="s">
        <v>1233</v>
      </c>
      <c r="I393" s="43"/>
      <c r="J393" s="43"/>
      <c r="K393" s="43"/>
    </row>
    <row r="394" spans="1:11" ht="15" customHeight="1">
      <c r="A394" s="60" t="str">
        <f t="shared" si="6"/>
        <v/>
      </c>
      <c r="B394" s="49"/>
      <c r="C394" s="33"/>
      <c r="D394" s="45"/>
      <c r="E394" s="50"/>
      <c r="F394" s="33"/>
      <c r="G394" s="45"/>
      <c r="H394" s="65" t="s">
        <v>1233</v>
      </c>
      <c r="I394" s="43"/>
      <c r="J394" s="43"/>
      <c r="K394" s="43"/>
    </row>
    <row r="395" spans="1:11" ht="15" customHeight="1">
      <c r="A395" s="60" t="str">
        <f t="shared" si="6"/>
        <v/>
      </c>
      <c r="B395" s="49"/>
      <c r="C395" s="33"/>
      <c r="D395" s="45"/>
      <c r="E395" s="50"/>
      <c r="F395" s="33"/>
      <c r="G395" s="45"/>
      <c r="H395" s="65" t="s">
        <v>1233</v>
      </c>
      <c r="I395" s="43"/>
      <c r="J395" s="43"/>
      <c r="K395" s="43"/>
    </row>
    <row r="396" spans="1:11" ht="15" customHeight="1">
      <c r="A396" s="60" t="str">
        <f t="shared" si="6"/>
        <v/>
      </c>
      <c r="B396" s="49"/>
      <c r="C396" s="33"/>
      <c r="D396" s="45"/>
      <c r="E396" s="50"/>
      <c r="F396" s="33"/>
      <c r="G396" s="45"/>
      <c r="H396" s="65" t="s">
        <v>1233</v>
      </c>
      <c r="I396" s="43"/>
      <c r="J396" s="43"/>
      <c r="K396" s="43"/>
    </row>
    <row r="397" spans="1:11" ht="15" customHeight="1">
      <c r="A397" s="60" t="str">
        <f t="shared" si="6"/>
        <v/>
      </c>
      <c r="B397" s="49"/>
      <c r="C397" s="33"/>
      <c r="D397" s="45"/>
      <c r="E397" s="50"/>
      <c r="F397" s="33"/>
      <c r="G397" s="45"/>
      <c r="H397" s="65" t="s">
        <v>1233</v>
      </c>
      <c r="I397" s="43"/>
      <c r="J397" s="43"/>
      <c r="K397" s="43"/>
    </row>
    <row r="398" spans="1:11" ht="15" customHeight="1">
      <c r="A398" s="60" t="str">
        <f t="shared" si="6"/>
        <v/>
      </c>
      <c r="B398" s="49"/>
      <c r="C398" s="33"/>
      <c r="D398" s="45"/>
      <c r="E398" s="50"/>
      <c r="F398" s="33"/>
      <c r="G398" s="45"/>
      <c r="H398" s="65" t="s">
        <v>1233</v>
      </c>
      <c r="I398" s="43"/>
      <c r="J398" s="43"/>
      <c r="K398" s="43"/>
    </row>
    <row r="399" spans="1:11" ht="15" customHeight="1">
      <c r="A399" s="60" t="str">
        <f t="shared" si="6"/>
        <v/>
      </c>
      <c r="B399" s="49"/>
      <c r="C399" s="33"/>
      <c r="D399" s="45"/>
      <c r="E399" s="50"/>
      <c r="F399" s="33"/>
      <c r="G399" s="45"/>
      <c r="H399" s="65" t="s">
        <v>1233</v>
      </c>
      <c r="I399" s="43"/>
      <c r="J399" s="43"/>
      <c r="K399" s="43"/>
    </row>
    <row r="400" spans="1:11" ht="15" customHeight="1">
      <c r="A400" s="60" t="str">
        <f t="shared" si="6"/>
        <v/>
      </c>
      <c r="B400" s="49"/>
      <c r="C400" s="33"/>
      <c r="D400" s="45"/>
      <c r="E400" s="50"/>
      <c r="F400" s="33"/>
      <c r="G400" s="45"/>
      <c r="H400" s="65" t="s">
        <v>1233</v>
      </c>
      <c r="I400" s="43"/>
      <c r="J400" s="43"/>
      <c r="K400" s="43"/>
    </row>
    <row r="401" spans="1:11" ht="15" customHeight="1">
      <c r="A401" s="60" t="str">
        <f t="shared" si="6"/>
        <v/>
      </c>
      <c r="B401" s="49"/>
      <c r="C401" s="33"/>
      <c r="D401" s="45"/>
      <c r="E401" s="50"/>
      <c r="F401" s="33"/>
      <c r="G401" s="45"/>
      <c r="H401" s="65" t="s">
        <v>1233</v>
      </c>
      <c r="I401" s="43"/>
      <c r="J401" s="43"/>
      <c r="K401" s="43"/>
    </row>
    <row r="402" spans="1:11" ht="15" customHeight="1">
      <c r="A402" s="60" t="str">
        <f t="shared" si="6"/>
        <v/>
      </c>
      <c r="B402" s="49"/>
      <c r="C402" s="33"/>
      <c r="D402" s="45"/>
      <c r="E402" s="50"/>
      <c r="F402" s="33"/>
      <c r="G402" s="45"/>
      <c r="H402" s="65" t="s">
        <v>1233</v>
      </c>
      <c r="I402" s="43"/>
      <c r="J402" s="43"/>
      <c r="K402" s="43"/>
    </row>
    <row r="403" spans="1:11" ht="15" customHeight="1">
      <c r="A403" s="60" t="str">
        <f t="shared" si="6"/>
        <v/>
      </c>
      <c r="B403" s="49"/>
      <c r="C403" s="33"/>
      <c r="D403" s="45"/>
      <c r="E403" s="50"/>
      <c r="F403" s="33"/>
      <c r="G403" s="45"/>
      <c r="H403" s="65" t="s">
        <v>1233</v>
      </c>
      <c r="I403" s="43"/>
      <c r="J403" s="43"/>
      <c r="K403" s="43"/>
    </row>
    <row r="404" spans="1:11" ht="15" customHeight="1">
      <c r="A404" s="60" t="str">
        <f t="shared" si="6"/>
        <v/>
      </c>
      <c r="B404" s="49"/>
      <c r="C404" s="33"/>
      <c r="D404" s="45"/>
      <c r="E404" s="50"/>
      <c r="F404" s="33"/>
      <c r="G404" s="45"/>
      <c r="H404" s="65" t="s">
        <v>1233</v>
      </c>
      <c r="I404" s="43"/>
      <c r="J404" s="43"/>
      <c r="K404" s="43"/>
    </row>
    <row r="405" spans="1:11" ht="15" customHeight="1">
      <c r="A405" s="60" t="str">
        <f t="shared" si="6"/>
        <v/>
      </c>
      <c r="B405" s="49"/>
      <c r="C405" s="33"/>
      <c r="D405" s="45"/>
      <c r="E405" s="50"/>
      <c r="F405" s="33"/>
      <c r="G405" s="45"/>
      <c r="H405" s="65" t="s">
        <v>1233</v>
      </c>
      <c r="I405" s="43"/>
      <c r="J405" s="43"/>
      <c r="K405" s="43"/>
    </row>
    <row r="406" spans="1:11" ht="15" customHeight="1">
      <c r="A406" s="60" t="str">
        <f t="shared" si="6"/>
        <v/>
      </c>
      <c r="B406" s="49"/>
      <c r="C406" s="33"/>
      <c r="D406" s="45"/>
      <c r="E406" s="50"/>
      <c r="F406" s="33"/>
      <c r="G406" s="45"/>
      <c r="H406" s="65" t="s">
        <v>1233</v>
      </c>
      <c r="I406" s="43"/>
      <c r="J406" s="43"/>
      <c r="K406" s="43"/>
    </row>
    <row r="407" spans="1:11" ht="15" customHeight="1">
      <c r="A407" s="60" t="str">
        <f t="shared" si="6"/>
        <v/>
      </c>
      <c r="B407" s="49"/>
      <c r="C407" s="33"/>
      <c r="D407" s="45"/>
      <c r="E407" s="50"/>
      <c r="F407" s="33"/>
      <c r="G407" s="45"/>
      <c r="H407" s="65" t="s">
        <v>1233</v>
      </c>
      <c r="I407" s="43"/>
      <c r="J407" s="43"/>
      <c r="K407" s="43"/>
    </row>
    <row r="408" spans="1:11" ht="15" customHeight="1">
      <c r="A408" s="60" t="str">
        <f t="shared" si="6"/>
        <v/>
      </c>
      <c r="B408" s="49"/>
      <c r="C408" s="33"/>
      <c r="D408" s="45"/>
      <c r="E408" s="50"/>
      <c r="F408" s="33"/>
      <c r="G408" s="45"/>
      <c r="H408" s="65" t="s">
        <v>1233</v>
      </c>
      <c r="I408" s="43"/>
      <c r="J408" s="43"/>
      <c r="K408" s="43"/>
    </row>
    <row r="409" spans="1:11" ht="15" customHeight="1">
      <c r="A409" s="60" t="str">
        <f t="shared" si="6"/>
        <v/>
      </c>
      <c r="B409" s="49"/>
      <c r="C409" s="33"/>
      <c r="D409" s="45"/>
      <c r="E409" s="50"/>
      <c r="F409" s="33"/>
      <c r="G409" s="45"/>
      <c r="H409" s="65" t="s">
        <v>1233</v>
      </c>
      <c r="I409" s="43"/>
      <c r="J409" s="43"/>
      <c r="K409" s="43"/>
    </row>
    <row r="410" spans="1:11" ht="15" customHeight="1">
      <c r="A410" s="60" t="str">
        <f t="shared" si="6"/>
        <v/>
      </c>
      <c r="B410" s="49"/>
      <c r="C410" s="33"/>
      <c r="D410" s="45"/>
      <c r="E410" s="50"/>
      <c r="F410" s="33"/>
      <c r="G410" s="45"/>
      <c r="H410" s="65" t="s">
        <v>1233</v>
      </c>
      <c r="I410" s="43"/>
      <c r="J410" s="43"/>
      <c r="K410" s="43"/>
    </row>
    <row r="411" spans="1:11" ht="15" customHeight="1">
      <c r="A411" s="60" t="str">
        <f t="shared" si="6"/>
        <v/>
      </c>
      <c r="B411" s="49"/>
      <c r="C411" s="33"/>
      <c r="D411" s="45"/>
      <c r="E411" s="50"/>
      <c r="F411" s="33"/>
      <c r="G411" s="45"/>
      <c r="H411" s="65" t="s">
        <v>1233</v>
      </c>
      <c r="I411" s="43"/>
      <c r="J411" s="43"/>
      <c r="K411" s="43"/>
    </row>
    <row r="412" spans="1:11" ht="15" customHeight="1">
      <c r="A412" s="60" t="str">
        <f t="shared" si="6"/>
        <v/>
      </c>
      <c r="B412" s="49"/>
      <c r="C412" s="33"/>
      <c r="D412" s="45"/>
      <c r="E412" s="50"/>
      <c r="F412" s="33"/>
      <c r="G412" s="45"/>
      <c r="H412" s="65" t="s">
        <v>1233</v>
      </c>
      <c r="I412" s="43"/>
      <c r="J412" s="43"/>
      <c r="K412" s="43"/>
    </row>
    <row r="413" spans="1:11" ht="15" customHeight="1">
      <c r="A413" s="60" t="str">
        <f t="shared" si="6"/>
        <v/>
      </c>
      <c r="B413" s="49"/>
      <c r="C413" s="33"/>
      <c r="D413" s="45"/>
      <c r="E413" s="50"/>
      <c r="F413" s="33"/>
      <c r="G413" s="45"/>
      <c r="H413" s="65" t="s">
        <v>1233</v>
      </c>
      <c r="I413" s="43"/>
      <c r="J413" s="43"/>
      <c r="K413" s="43"/>
    </row>
    <row r="414" spans="1:11" ht="15" customHeight="1">
      <c r="A414" s="60" t="str">
        <f t="shared" si="6"/>
        <v/>
      </c>
      <c r="B414" s="49"/>
      <c r="C414" s="33"/>
      <c r="D414" s="45"/>
      <c r="E414" s="50"/>
      <c r="F414" s="33"/>
      <c r="G414" s="45"/>
      <c r="H414" s="65" t="s">
        <v>1233</v>
      </c>
      <c r="I414" s="43"/>
      <c r="J414" s="43"/>
      <c r="K414" s="43"/>
    </row>
    <row r="415" spans="1:11" ht="15" customHeight="1">
      <c r="A415" s="60" t="str">
        <f t="shared" si="6"/>
        <v/>
      </c>
      <c r="B415" s="49"/>
      <c r="C415" s="33"/>
      <c r="D415" s="45"/>
      <c r="E415" s="50"/>
      <c r="F415" s="33"/>
      <c r="G415" s="45"/>
      <c r="H415" s="65" t="s">
        <v>1233</v>
      </c>
      <c r="I415" s="43"/>
      <c r="J415" s="43"/>
      <c r="K415" s="43"/>
    </row>
    <row r="416" spans="1:11" ht="15" customHeight="1">
      <c r="A416" s="60" t="str">
        <f t="shared" si="6"/>
        <v/>
      </c>
      <c r="B416" s="49"/>
      <c r="C416" s="33"/>
      <c r="D416" s="45"/>
      <c r="E416" s="50"/>
      <c r="F416" s="33"/>
      <c r="G416" s="45"/>
      <c r="H416" s="65" t="s">
        <v>1233</v>
      </c>
      <c r="I416" s="43"/>
      <c r="J416" s="43"/>
      <c r="K416" s="43"/>
    </row>
    <row r="417" spans="1:11" ht="15" customHeight="1">
      <c r="A417" s="60" t="str">
        <f t="shared" si="6"/>
        <v/>
      </c>
      <c r="B417" s="49"/>
      <c r="C417" s="33"/>
      <c r="D417" s="45"/>
      <c r="E417" s="50"/>
      <c r="F417" s="33"/>
      <c r="G417" s="45"/>
      <c r="H417" s="65" t="s">
        <v>1233</v>
      </c>
      <c r="I417" s="43"/>
      <c r="J417" s="43"/>
      <c r="K417" s="43"/>
    </row>
    <row r="418" spans="1:11" ht="15" customHeight="1">
      <c r="A418" s="60" t="str">
        <f t="shared" si="6"/>
        <v/>
      </c>
      <c r="B418" s="49"/>
      <c r="C418" s="33"/>
      <c r="D418" s="45"/>
      <c r="E418" s="50"/>
      <c r="F418" s="33"/>
      <c r="G418" s="45"/>
      <c r="H418" s="65" t="s">
        <v>1233</v>
      </c>
      <c r="I418" s="43"/>
      <c r="J418" s="43"/>
      <c r="K418" s="43"/>
    </row>
    <row r="419" spans="1:11" ht="15" customHeight="1">
      <c r="A419" s="60" t="str">
        <f t="shared" si="6"/>
        <v/>
      </c>
      <c r="B419" s="49"/>
      <c r="C419" s="33"/>
      <c r="D419" s="45"/>
      <c r="E419" s="50"/>
      <c r="F419" s="33"/>
      <c r="G419" s="45"/>
      <c r="H419" s="65" t="s">
        <v>1233</v>
      </c>
      <c r="I419" s="43"/>
      <c r="J419" s="43"/>
      <c r="K419" s="43"/>
    </row>
    <row r="420" spans="1:11" ht="15" customHeight="1">
      <c r="A420" s="60" t="str">
        <f t="shared" si="6"/>
        <v/>
      </c>
      <c r="B420" s="49"/>
      <c r="C420" s="33"/>
      <c r="D420" s="45"/>
      <c r="E420" s="50"/>
      <c r="F420" s="33"/>
      <c r="G420" s="45"/>
      <c r="H420" s="65" t="s">
        <v>1233</v>
      </c>
      <c r="I420" s="43"/>
      <c r="J420" s="43"/>
      <c r="K420" s="43"/>
    </row>
    <row r="421" spans="1:11" ht="15" customHeight="1">
      <c r="A421" s="60" t="str">
        <f t="shared" si="6"/>
        <v/>
      </c>
      <c r="B421" s="49"/>
      <c r="C421" s="33"/>
      <c r="D421" s="45"/>
      <c r="E421" s="50"/>
      <c r="F421" s="33"/>
      <c r="G421" s="45"/>
      <c r="H421" s="65" t="s">
        <v>1233</v>
      </c>
      <c r="I421" s="43"/>
      <c r="J421" s="43"/>
      <c r="K421" s="43"/>
    </row>
    <row r="422" spans="1:11" ht="15" customHeight="1">
      <c r="A422" s="60" t="str">
        <f t="shared" si="6"/>
        <v/>
      </c>
      <c r="B422" s="49"/>
      <c r="C422" s="33"/>
      <c r="D422" s="45"/>
      <c r="E422" s="50"/>
      <c r="F422" s="33"/>
      <c r="G422" s="45"/>
      <c r="H422" s="65" t="s">
        <v>1233</v>
      </c>
      <c r="I422" s="43"/>
      <c r="J422" s="43"/>
      <c r="K422" s="43"/>
    </row>
    <row r="423" spans="1:11" ht="15" customHeight="1">
      <c r="A423" s="60" t="str">
        <f t="shared" si="6"/>
        <v/>
      </c>
      <c r="B423" s="49"/>
      <c r="C423" s="33"/>
      <c r="D423" s="45"/>
      <c r="E423" s="50"/>
      <c r="F423" s="33"/>
      <c r="G423" s="45"/>
      <c r="H423" s="65" t="s">
        <v>1233</v>
      </c>
      <c r="I423" s="43"/>
      <c r="J423" s="43"/>
      <c r="K423" s="43"/>
    </row>
    <row r="424" spans="1:11" ht="15" customHeight="1">
      <c r="A424" s="60" t="str">
        <f t="shared" si="6"/>
        <v/>
      </c>
      <c r="B424" s="49"/>
      <c r="C424" s="33"/>
      <c r="D424" s="45"/>
      <c r="E424" s="50"/>
      <c r="F424" s="33"/>
      <c r="G424" s="45"/>
      <c r="H424" s="65" t="s">
        <v>1233</v>
      </c>
      <c r="I424" s="43"/>
      <c r="J424" s="43"/>
      <c r="K424" s="43"/>
    </row>
    <row r="425" spans="1:11" ht="15" customHeight="1">
      <c r="A425" s="60" t="str">
        <f t="shared" si="6"/>
        <v/>
      </c>
      <c r="B425" s="49"/>
      <c r="C425" s="33"/>
      <c r="D425" s="45"/>
      <c r="E425" s="50"/>
      <c r="F425" s="33"/>
      <c r="G425" s="45"/>
      <c r="H425" s="65" t="s">
        <v>1233</v>
      </c>
      <c r="I425" s="43"/>
      <c r="J425" s="43"/>
      <c r="K425" s="43"/>
    </row>
    <row r="426" spans="1:11" ht="15" customHeight="1">
      <c r="A426" s="60" t="str">
        <f t="shared" si="6"/>
        <v/>
      </c>
      <c r="B426" s="49"/>
      <c r="C426" s="33"/>
      <c r="D426" s="45"/>
      <c r="E426" s="50"/>
      <c r="F426" s="33"/>
      <c r="G426" s="45"/>
      <c r="H426" s="65" t="s">
        <v>1233</v>
      </c>
      <c r="I426" s="43"/>
      <c r="J426" s="43"/>
      <c r="K426" s="43"/>
    </row>
    <row r="427" spans="1:11" ht="15" customHeight="1">
      <c r="A427" s="60" t="str">
        <f t="shared" si="6"/>
        <v/>
      </c>
      <c r="B427" s="49"/>
      <c r="C427" s="33"/>
      <c r="D427" s="45"/>
      <c r="E427" s="50"/>
      <c r="F427" s="33"/>
      <c r="G427" s="45"/>
      <c r="H427" s="65" t="s">
        <v>1233</v>
      </c>
      <c r="I427" s="43"/>
      <c r="J427" s="43"/>
      <c r="K427" s="43"/>
    </row>
    <row r="428" spans="1:11" ht="15" customHeight="1">
      <c r="A428" s="60" t="str">
        <f t="shared" si="6"/>
        <v/>
      </c>
      <c r="B428" s="49"/>
      <c r="C428" s="33"/>
      <c r="D428" s="45"/>
      <c r="E428" s="50"/>
      <c r="F428" s="33"/>
      <c r="G428" s="45"/>
      <c r="H428" s="65" t="s">
        <v>1233</v>
      </c>
      <c r="I428" s="43"/>
      <c r="J428" s="43"/>
      <c r="K428" s="43"/>
    </row>
    <row r="429" spans="1:11" ht="15" customHeight="1">
      <c r="A429" s="60" t="str">
        <f t="shared" si="6"/>
        <v/>
      </c>
      <c r="B429" s="49"/>
      <c r="C429" s="33"/>
      <c r="D429" s="45"/>
      <c r="E429" s="50"/>
      <c r="F429" s="33"/>
      <c r="G429" s="45"/>
      <c r="H429" s="65" t="s">
        <v>1233</v>
      </c>
      <c r="I429" s="43"/>
      <c r="J429" s="43"/>
      <c r="K429" s="43"/>
    </row>
    <row r="430" spans="1:11" ht="15" customHeight="1">
      <c r="A430" s="60" t="str">
        <f t="shared" si="6"/>
        <v/>
      </c>
      <c r="B430" s="49"/>
      <c r="C430" s="33"/>
      <c r="D430" s="45"/>
      <c r="E430" s="50"/>
      <c r="F430" s="33"/>
      <c r="G430" s="45"/>
      <c r="H430" s="65" t="s">
        <v>1233</v>
      </c>
      <c r="I430" s="43"/>
      <c r="J430" s="43"/>
      <c r="K430" s="43"/>
    </row>
    <row r="431" spans="1:11" ht="15" customHeight="1">
      <c r="A431" s="60" t="str">
        <f t="shared" si="6"/>
        <v/>
      </c>
      <c r="B431" s="49"/>
      <c r="C431" s="33"/>
      <c r="D431" s="45"/>
      <c r="E431" s="50"/>
      <c r="F431" s="33"/>
      <c r="G431" s="45"/>
      <c r="H431" s="65" t="s">
        <v>1233</v>
      </c>
      <c r="I431" s="43"/>
      <c r="J431" s="43"/>
      <c r="K431" s="43"/>
    </row>
    <row r="432" spans="1:11" ht="15" customHeight="1">
      <c r="A432" s="60" t="str">
        <f t="shared" si="6"/>
        <v/>
      </c>
      <c r="B432" s="49"/>
      <c r="C432" s="33"/>
      <c r="D432" s="45"/>
      <c r="E432" s="50"/>
      <c r="F432" s="33"/>
      <c r="G432" s="45"/>
      <c r="H432" s="65" t="s">
        <v>1233</v>
      </c>
      <c r="I432" s="43"/>
      <c r="J432" s="43"/>
      <c r="K432" s="43"/>
    </row>
    <row r="433" spans="1:11" ht="15" customHeight="1">
      <c r="A433" s="60" t="str">
        <f t="shared" si="6"/>
        <v/>
      </c>
      <c r="B433" s="49"/>
      <c r="C433" s="33"/>
      <c r="D433" s="45"/>
      <c r="E433" s="50"/>
      <c r="F433" s="33"/>
      <c r="G433" s="45"/>
      <c r="H433" s="65" t="s">
        <v>1233</v>
      </c>
      <c r="I433" s="43"/>
      <c r="J433" s="43"/>
      <c r="K433" s="43"/>
    </row>
    <row r="434" spans="1:11" ht="15" customHeight="1">
      <c r="A434" s="60" t="str">
        <f t="shared" si="6"/>
        <v/>
      </c>
      <c r="B434" s="49"/>
      <c r="C434" s="33"/>
      <c r="D434" s="45"/>
      <c r="E434" s="50"/>
      <c r="F434" s="33"/>
      <c r="G434" s="45"/>
      <c r="H434" s="65" t="s">
        <v>1233</v>
      </c>
      <c r="I434" s="43"/>
      <c r="J434" s="43"/>
      <c r="K434" s="43"/>
    </row>
    <row r="435" spans="1:11" ht="15" customHeight="1">
      <c r="A435" s="60" t="str">
        <f t="shared" si="6"/>
        <v/>
      </c>
      <c r="B435" s="49"/>
      <c r="C435" s="33"/>
      <c r="D435" s="45"/>
      <c r="E435" s="50"/>
      <c r="F435" s="33"/>
      <c r="G435" s="45"/>
      <c r="H435" s="65" t="s">
        <v>1233</v>
      </c>
      <c r="I435" s="43"/>
      <c r="J435" s="43"/>
      <c r="K435" s="43"/>
    </row>
    <row r="436" spans="1:11" ht="15" customHeight="1">
      <c r="A436" s="60" t="str">
        <f t="shared" si="6"/>
        <v/>
      </c>
      <c r="B436" s="49"/>
      <c r="C436" s="33"/>
      <c r="D436" s="45"/>
      <c r="E436" s="50"/>
      <c r="F436" s="33"/>
      <c r="G436" s="45"/>
      <c r="H436" s="65" t="s">
        <v>1233</v>
      </c>
      <c r="I436" s="43"/>
      <c r="J436" s="43"/>
      <c r="K436" s="43"/>
    </row>
    <row r="437" spans="1:11" ht="15" customHeight="1">
      <c r="A437" s="60" t="str">
        <f t="shared" si="6"/>
        <v/>
      </c>
      <c r="B437" s="49"/>
      <c r="C437" s="33"/>
      <c r="D437" s="45"/>
      <c r="E437" s="50"/>
      <c r="F437" s="33"/>
      <c r="G437" s="45"/>
      <c r="H437" s="65" t="s">
        <v>1233</v>
      </c>
      <c r="I437" s="43"/>
      <c r="J437" s="43"/>
      <c r="K437" s="43"/>
    </row>
    <row r="438" spans="1:11" ht="15" customHeight="1">
      <c r="A438" s="60" t="str">
        <f t="shared" si="6"/>
        <v/>
      </c>
      <c r="B438" s="49"/>
      <c r="C438" s="33"/>
      <c r="D438" s="45"/>
      <c r="E438" s="50"/>
      <c r="F438" s="33"/>
      <c r="G438" s="45"/>
      <c r="H438" s="65" t="s">
        <v>1233</v>
      </c>
      <c r="I438" s="43"/>
      <c r="J438" s="43"/>
      <c r="K438" s="43"/>
    </row>
    <row r="439" spans="1:11" ht="15" customHeight="1">
      <c r="A439" s="60" t="str">
        <f t="shared" si="6"/>
        <v/>
      </c>
      <c r="B439" s="49"/>
      <c r="C439" s="33"/>
      <c r="D439" s="45"/>
      <c r="E439" s="50"/>
      <c r="F439" s="33"/>
      <c r="G439" s="45"/>
      <c r="H439" s="65" t="s">
        <v>1233</v>
      </c>
      <c r="I439" s="43"/>
      <c r="J439" s="43"/>
      <c r="K439" s="43"/>
    </row>
    <row r="440" spans="1:11" ht="15" customHeight="1">
      <c r="A440" s="60" t="str">
        <f t="shared" si="6"/>
        <v/>
      </c>
      <c r="B440" s="49"/>
      <c r="C440" s="33"/>
      <c r="D440" s="45"/>
      <c r="E440" s="50"/>
      <c r="F440" s="33"/>
      <c r="G440" s="45"/>
      <c r="H440" s="65" t="s">
        <v>1233</v>
      </c>
      <c r="I440" s="43"/>
      <c r="J440" s="43"/>
      <c r="K440" s="43"/>
    </row>
    <row r="441" spans="1:11" ht="15" customHeight="1">
      <c r="A441" s="60" t="str">
        <f t="shared" si="6"/>
        <v/>
      </c>
      <c r="B441" s="49"/>
      <c r="C441" s="33"/>
      <c r="D441" s="45"/>
      <c r="E441" s="50"/>
      <c r="F441" s="33"/>
      <c r="G441" s="45"/>
      <c r="H441" s="65" t="s">
        <v>1233</v>
      </c>
      <c r="I441" s="43"/>
      <c r="J441" s="43"/>
      <c r="K441" s="43"/>
    </row>
    <row r="442" spans="1:11" ht="15" customHeight="1">
      <c r="A442" s="60" t="str">
        <f t="shared" si="6"/>
        <v/>
      </c>
      <c r="B442" s="49"/>
      <c r="C442" s="33"/>
      <c r="D442" s="45"/>
      <c r="E442" s="50"/>
      <c r="F442" s="33"/>
      <c r="G442" s="45"/>
      <c r="H442" s="65" t="s">
        <v>1233</v>
      </c>
      <c r="I442" s="43"/>
      <c r="J442" s="43"/>
      <c r="K442" s="43"/>
    </row>
    <row r="443" spans="1:11" ht="15" customHeight="1">
      <c r="A443" s="60" t="str">
        <f t="shared" si="6"/>
        <v/>
      </c>
      <c r="B443" s="49"/>
      <c r="C443" s="33"/>
      <c r="D443" s="45"/>
      <c r="E443" s="50"/>
      <c r="F443" s="33"/>
      <c r="G443" s="45"/>
      <c r="H443" s="65" t="s">
        <v>1233</v>
      </c>
      <c r="I443" s="43"/>
      <c r="J443" s="43"/>
      <c r="K443" s="43"/>
    </row>
    <row r="444" spans="1:11" ht="15" customHeight="1">
      <c r="A444" s="60" t="str">
        <f t="shared" si="6"/>
        <v/>
      </c>
      <c r="B444" s="49"/>
      <c r="C444" s="33"/>
      <c r="D444" s="45"/>
      <c r="E444" s="50"/>
      <c r="F444" s="33"/>
      <c r="G444" s="45"/>
      <c r="H444" s="65" t="s">
        <v>1233</v>
      </c>
      <c r="I444" s="43"/>
      <c r="J444" s="43"/>
      <c r="K444" s="43"/>
    </row>
    <row r="445" spans="1:11" ht="15" customHeight="1">
      <c r="A445" s="60" t="str">
        <f t="shared" si="6"/>
        <v/>
      </c>
      <c r="B445" s="49"/>
      <c r="C445" s="33"/>
      <c r="D445" s="45"/>
      <c r="E445" s="50"/>
      <c r="F445" s="33"/>
      <c r="G445" s="45"/>
      <c r="H445" s="65" t="s">
        <v>1233</v>
      </c>
      <c r="I445" s="43"/>
      <c r="J445" s="43"/>
      <c r="K445" s="43"/>
    </row>
    <row r="446" spans="1:11" ht="15" customHeight="1">
      <c r="A446" s="60" t="str">
        <f t="shared" si="6"/>
        <v/>
      </c>
      <c r="B446" s="49"/>
      <c r="C446" s="33"/>
      <c r="D446" s="45"/>
      <c r="E446" s="50"/>
      <c r="F446" s="33"/>
      <c r="G446" s="45"/>
      <c r="H446" s="65" t="s">
        <v>1233</v>
      </c>
      <c r="I446" s="43"/>
      <c r="J446" s="43"/>
      <c r="K446" s="43"/>
    </row>
    <row r="447" spans="1:11" ht="15" customHeight="1">
      <c r="A447" s="60" t="str">
        <f t="shared" si="6"/>
        <v/>
      </c>
      <c r="B447" s="49"/>
      <c r="C447" s="33"/>
      <c r="D447" s="45"/>
      <c r="E447" s="50"/>
      <c r="F447" s="33"/>
      <c r="G447" s="45"/>
      <c r="H447" s="65" t="s">
        <v>1233</v>
      </c>
      <c r="I447" s="43"/>
      <c r="J447" s="43"/>
      <c r="K447" s="43"/>
    </row>
    <row r="448" spans="1:11" ht="15" customHeight="1">
      <c r="A448" s="60" t="str">
        <f t="shared" si="6"/>
        <v/>
      </c>
      <c r="B448" s="49"/>
      <c r="C448" s="33"/>
      <c r="D448" s="45"/>
      <c r="E448" s="50"/>
      <c r="F448" s="33"/>
      <c r="G448" s="45"/>
      <c r="H448" s="65" t="s">
        <v>1233</v>
      </c>
      <c r="I448" s="43"/>
      <c r="J448" s="43"/>
      <c r="K448" s="43"/>
    </row>
    <row r="449" spans="1:11" ht="15" customHeight="1">
      <c r="A449" s="60" t="str">
        <f t="shared" si="6"/>
        <v/>
      </c>
      <c r="B449" s="49"/>
      <c r="C449" s="33"/>
      <c r="D449" s="45"/>
      <c r="E449" s="50"/>
      <c r="F449" s="33"/>
      <c r="G449" s="45"/>
      <c r="H449" s="65" t="s">
        <v>1233</v>
      </c>
      <c r="I449" s="43"/>
      <c r="J449" s="43"/>
      <c r="K449" s="43"/>
    </row>
    <row r="450" spans="1:11" ht="15" customHeight="1">
      <c r="A450" s="60" t="str">
        <f t="shared" si="6"/>
        <v/>
      </c>
      <c r="B450" s="49"/>
      <c r="C450" s="33"/>
      <c r="D450" s="45"/>
      <c r="E450" s="50"/>
      <c r="F450" s="33"/>
      <c r="G450" s="45"/>
      <c r="H450" s="65" t="s">
        <v>1233</v>
      </c>
      <c r="I450" s="43"/>
      <c r="J450" s="43"/>
      <c r="K450" s="43"/>
    </row>
    <row r="451" spans="1:11" ht="15" customHeight="1">
      <c r="A451" s="60" t="str">
        <f t="shared" si="6"/>
        <v/>
      </c>
      <c r="B451" s="49"/>
      <c r="C451" s="33"/>
      <c r="D451" s="45"/>
      <c r="E451" s="50"/>
      <c r="F451" s="33"/>
      <c r="G451" s="45"/>
      <c r="H451" s="65" t="s">
        <v>1233</v>
      </c>
      <c r="I451" s="43"/>
      <c r="J451" s="43"/>
      <c r="K451" s="43"/>
    </row>
    <row r="452" spans="1:11" ht="15" customHeight="1">
      <c r="A452" s="60" t="str">
        <f t="shared" ref="A452:A515" si="7">IF(COUNTA(B452:G452)&gt;0,ROW()-3,"")</f>
        <v/>
      </c>
      <c r="B452" s="49"/>
      <c r="C452" s="33"/>
      <c r="D452" s="45"/>
      <c r="E452" s="50"/>
      <c r="F452" s="33"/>
      <c r="G452" s="45"/>
      <c r="H452" s="65" t="s">
        <v>1233</v>
      </c>
      <c r="I452" s="43"/>
      <c r="J452" s="43"/>
      <c r="K452" s="43"/>
    </row>
    <row r="453" spans="1:11" ht="15" customHeight="1">
      <c r="A453" s="60" t="str">
        <f t="shared" si="7"/>
        <v/>
      </c>
      <c r="B453" s="49"/>
      <c r="C453" s="33"/>
      <c r="D453" s="45"/>
      <c r="E453" s="50"/>
      <c r="F453" s="33"/>
      <c r="G453" s="45"/>
      <c r="H453" s="65" t="s">
        <v>1233</v>
      </c>
      <c r="I453" s="43"/>
      <c r="J453" s="43"/>
      <c r="K453" s="43"/>
    </row>
    <row r="454" spans="1:11" ht="15" customHeight="1">
      <c r="A454" s="60" t="str">
        <f t="shared" si="7"/>
        <v/>
      </c>
      <c r="B454" s="49"/>
      <c r="C454" s="33"/>
      <c r="D454" s="45"/>
      <c r="E454" s="50"/>
      <c r="F454" s="33"/>
      <c r="G454" s="45"/>
      <c r="H454" s="65" t="s">
        <v>1233</v>
      </c>
      <c r="I454" s="43"/>
      <c r="J454" s="43"/>
      <c r="K454" s="43"/>
    </row>
    <row r="455" spans="1:11" ht="15" customHeight="1">
      <c r="A455" s="60" t="str">
        <f t="shared" si="7"/>
        <v/>
      </c>
      <c r="B455" s="49"/>
      <c r="C455" s="33"/>
      <c r="D455" s="45"/>
      <c r="E455" s="50"/>
      <c r="F455" s="33"/>
      <c r="G455" s="45"/>
      <c r="H455" s="65" t="s">
        <v>1233</v>
      </c>
      <c r="I455" s="43"/>
      <c r="J455" s="43"/>
      <c r="K455" s="43"/>
    </row>
    <row r="456" spans="1:11" ht="15" customHeight="1">
      <c r="A456" s="60" t="str">
        <f t="shared" si="7"/>
        <v/>
      </c>
      <c r="B456" s="49"/>
      <c r="C456" s="33"/>
      <c r="D456" s="45"/>
      <c r="E456" s="50"/>
      <c r="F456" s="33"/>
      <c r="G456" s="45"/>
      <c r="H456" s="65" t="s">
        <v>1233</v>
      </c>
      <c r="I456" s="43"/>
      <c r="J456" s="43"/>
      <c r="K456" s="43"/>
    </row>
    <row r="457" spans="1:11" ht="15" customHeight="1">
      <c r="A457" s="60" t="str">
        <f t="shared" si="7"/>
        <v/>
      </c>
      <c r="B457" s="49"/>
      <c r="C457" s="33"/>
      <c r="D457" s="45"/>
      <c r="E457" s="50"/>
      <c r="F457" s="33"/>
      <c r="G457" s="45"/>
      <c r="H457" s="65" t="s">
        <v>1233</v>
      </c>
      <c r="I457" s="43"/>
      <c r="J457" s="43"/>
      <c r="K457" s="43"/>
    </row>
    <row r="458" spans="1:11" ht="15" customHeight="1">
      <c r="A458" s="60" t="str">
        <f t="shared" si="7"/>
        <v/>
      </c>
      <c r="B458" s="49"/>
      <c r="C458" s="33"/>
      <c r="D458" s="45"/>
      <c r="E458" s="50"/>
      <c r="F458" s="33"/>
      <c r="G458" s="45"/>
      <c r="H458" s="65" t="s">
        <v>1233</v>
      </c>
      <c r="I458" s="43"/>
      <c r="J458" s="43"/>
      <c r="K458" s="43"/>
    </row>
    <row r="459" spans="1:11" ht="15" customHeight="1">
      <c r="A459" s="60" t="str">
        <f t="shared" si="7"/>
        <v/>
      </c>
      <c r="B459" s="49"/>
      <c r="C459" s="33"/>
      <c r="D459" s="45"/>
      <c r="E459" s="50"/>
      <c r="F459" s="33"/>
      <c r="G459" s="45"/>
      <c r="H459" s="65" t="s">
        <v>1233</v>
      </c>
      <c r="I459" s="43"/>
      <c r="J459" s="43"/>
      <c r="K459" s="43"/>
    </row>
    <row r="460" spans="1:11" ht="15" customHeight="1">
      <c r="A460" s="60" t="str">
        <f t="shared" si="7"/>
        <v/>
      </c>
      <c r="B460" s="49"/>
      <c r="C460" s="33"/>
      <c r="D460" s="45"/>
      <c r="E460" s="50"/>
      <c r="F460" s="33"/>
      <c r="G460" s="45"/>
      <c r="H460" s="65" t="s">
        <v>1233</v>
      </c>
      <c r="I460" s="43"/>
      <c r="J460" s="43"/>
      <c r="K460" s="43"/>
    </row>
    <row r="461" spans="1:11" ht="15" customHeight="1">
      <c r="A461" s="60" t="str">
        <f t="shared" si="7"/>
        <v/>
      </c>
      <c r="B461" s="49"/>
      <c r="C461" s="33"/>
      <c r="D461" s="45"/>
      <c r="E461" s="50"/>
      <c r="F461" s="33"/>
      <c r="G461" s="45"/>
      <c r="H461" s="65" t="s">
        <v>1233</v>
      </c>
      <c r="I461" s="43"/>
      <c r="J461" s="43"/>
      <c r="K461" s="43"/>
    </row>
    <row r="462" spans="1:11" ht="15" customHeight="1">
      <c r="A462" s="60" t="str">
        <f t="shared" si="7"/>
        <v/>
      </c>
      <c r="B462" s="49"/>
      <c r="C462" s="33"/>
      <c r="D462" s="45"/>
      <c r="E462" s="50"/>
      <c r="F462" s="33"/>
      <c r="G462" s="45"/>
      <c r="H462" s="65" t="s">
        <v>1233</v>
      </c>
      <c r="I462" s="43"/>
      <c r="J462" s="43"/>
      <c r="K462" s="43"/>
    </row>
    <row r="463" spans="1:11" ht="15" customHeight="1">
      <c r="A463" s="60" t="str">
        <f t="shared" si="7"/>
        <v/>
      </c>
      <c r="B463" s="49"/>
      <c r="C463" s="33"/>
      <c r="D463" s="45"/>
      <c r="E463" s="50"/>
      <c r="F463" s="33"/>
      <c r="G463" s="45"/>
      <c r="H463" s="65" t="s">
        <v>1233</v>
      </c>
      <c r="I463" s="43"/>
      <c r="J463" s="43"/>
      <c r="K463" s="43"/>
    </row>
    <row r="464" spans="1:11" ht="15" customHeight="1">
      <c r="A464" s="60" t="str">
        <f t="shared" si="7"/>
        <v/>
      </c>
      <c r="B464" s="49"/>
      <c r="C464" s="33"/>
      <c r="D464" s="45"/>
      <c r="E464" s="50"/>
      <c r="F464" s="33"/>
      <c r="G464" s="45"/>
      <c r="H464" s="65" t="s">
        <v>1233</v>
      </c>
      <c r="I464" s="43"/>
      <c r="J464" s="43"/>
      <c r="K464" s="43"/>
    </row>
    <row r="465" spans="1:11" ht="15" customHeight="1">
      <c r="A465" s="60" t="str">
        <f t="shared" si="7"/>
        <v/>
      </c>
      <c r="B465" s="49"/>
      <c r="C465" s="33"/>
      <c r="D465" s="45"/>
      <c r="E465" s="50"/>
      <c r="F465" s="33"/>
      <c r="G465" s="45"/>
      <c r="H465" s="65" t="s">
        <v>1233</v>
      </c>
      <c r="I465" s="43"/>
      <c r="J465" s="43"/>
      <c r="K465" s="43"/>
    </row>
    <row r="466" spans="1:11" ht="15" customHeight="1">
      <c r="A466" s="60" t="str">
        <f t="shared" si="7"/>
        <v/>
      </c>
      <c r="B466" s="49"/>
      <c r="C466" s="33"/>
      <c r="D466" s="45"/>
      <c r="E466" s="50"/>
      <c r="F466" s="33"/>
      <c r="G466" s="45"/>
      <c r="H466" s="65" t="s">
        <v>1233</v>
      </c>
      <c r="I466" s="43"/>
      <c r="J466" s="43"/>
      <c r="K466" s="43"/>
    </row>
    <row r="467" spans="1:11" ht="15" customHeight="1">
      <c r="A467" s="60" t="str">
        <f t="shared" si="7"/>
        <v/>
      </c>
      <c r="B467" s="49"/>
      <c r="C467" s="33"/>
      <c r="D467" s="45"/>
      <c r="E467" s="50"/>
      <c r="F467" s="33"/>
      <c r="G467" s="45"/>
      <c r="H467" s="65" t="s">
        <v>1233</v>
      </c>
      <c r="I467" s="43"/>
      <c r="J467" s="43"/>
      <c r="K467" s="43"/>
    </row>
    <row r="468" spans="1:11" ht="15" customHeight="1">
      <c r="A468" s="60" t="str">
        <f t="shared" si="7"/>
        <v/>
      </c>
      <c r="B468" s="49"/>
      <c r="C468" s="33"/>
      <c r="D468" s="45"/>
      <c r="E468" s="50"/>
      <c r="F468" s="33"/>
      <c r="G468" s="45"/>
      <c r="H468" s="65" t="s">
        <v>1233</v>
      </c>
      <c r="I468" s="43"/>
      <c r="J468" s="43"/>
      <c r="K468" s="43"/>
    </row>
    <row r="469" spans="1:11" ht="15" customHeight="1">
      <c r="A469" s="60" t="str">
        <f t="shared" si="7"/>
        <v/>
      </c>
      <c r="B469" s="49"/>
      <c r="C469" s="33"/>
      <c r="D469" s="45"/>
      <c r="E469" s="50"/>
      <c r="F469" s="33"/>
      <c r="G469" s="45"/>
      <c r="H469" s="65" t="s">
        <v>1233</v>
      </c>
      <c r="I469" s="43"/>
      <c r="J469" s="43"/>
      <c r="K469" s="43"/>
    </row>
    <row r="470" spans="1:11" ht="15" customHeight="1">
      <c r="A470" s="60" t="str">
        <f t="shared" si="7"/>
        <v/>
      </c>
      <c r="B470" s="49"/>
      <c r="C470" s="33"/>
      <c r="D470" s="45"/>
      <c r="E470" s="50"/>
      <c r="F470" s="33"/>
      <c r="G470" s="45"/>
      <c r="H470" s="65" t="s">
        <v>1233</v>
      </c>
      <c r="I470" s="43"/>
      <c r="J470" s="43"/>
      <c r="K470" s="43"/>
    </row>
    <row r="471" spans="1:11" ht="15" customHeight="1">
      <c r="A471" s="60" t="str">
        <f t="shared" si="7"/>
        <v/>
      </c>
      <c r="B471" s="49"/>
      <c r="C471" s="33"/>
      <c r="D471" s="45"/>
      <c r="E471" s="50"/>
      <c r="F471" s="33"/>
      <c r="G471" s="45"/>
      <c r="H471" s="65" t="s">
        <v>1233</v>
      </c>
      <c r="I471" s="43"/>
      <c r="J471" s="43"/>
      <c r="K471" s="43"/>
    </row>
    <row r="472" spans="1:11" ht="15" customHeight="1">
      <c r="A472" s="60" t="str">
        <f t="shared" si="7"/>
        <v/>
      </c>
      <c r="B472" s="49"/>
      <c r="C472" s="33"/>
      <c r="D472" s="45"/>
      <c r="E472" s="50"/>
      <c r="F472" s="33"/>
      <c r="G472" s="45"/>
      <c r="H472" s="65" t="s">
        <v>1233</v>
      </c>
      <c r="I472" s="43"/>
      <c r="J472" s="43"/>
      <c r="K472" s="43"/>
    </row>
    <row r="473" spans="1:11" ht="15" customHeight="1">
      <c r="A473" s="60" t="str">
        <f t="shared" si="7"/>
        <v/>
      </c>
      <c r="B473" s="49"/>
      <c r="C473" s="33"/>
      <c r="D473" s="45"/>
      <c r="E473" s="50"/>
      <c r="F473" s="33"/>
      <c r="G473" s="45"/>
      <c r="H473" s="65" t="s">
        <v>1233</v>
      </c>
      <c r="I473" s="43"/>
      <c r="J473" s="43"/>
      <c r="K473" s="43"/>
    </row>
    <row r="474" spans="1:11" ht="15" customHeight="1">
      <c r="A474" s="60" t="str">
        <f t="shared" si="7"/>
        <v/>
      </c>
      <c r="B474" s="49"/>
      <c r="C474" s="33"/>
      <c r="D474" s="45"/>
      <c r="E474" s="50"/>
      <c r="F474" s="33"/>
      <c r="G474" s="45"/>
      <c r="H474" s="65" t="s">
        <v>1233</v>
      </c>
      <c r="I474" s="43"/>
      <c r="J474" s="43"/>
      <c r="K474" s="43"/>
    </row>
    <row r="475" spans="1:11" ht="15" customHeight="1">
      <c r="A475" s="60" t="str">
        <f t="shared" si="7"/>
        <v/>
      </c>
      <c r="B475" s="49"/>
      <c r="C475" s="33"/>
      <c r="D475" s="45"/>
      <c r="E475" s="50"/>
      <c r="F475" s="33"/>
      <c r="G475" s="45"/>
      <c r="H475" s="65" t="s">
        <v>1233</v>
      </c>
      <c r="I475" s="43"/>
      <c r="J475" s="43"/>
      <c r="K475" s="43"/>
    </row>
    <row r="476" spans="1:11" ht="15" customHeight="1">
      <c r="A476" s="60" t="str">
        <f t="shared" si="7"/>
        <v/>
      </c>
      <c r="B476" s="49"/>
      <c r="C476" s="33"/>
      <c r="D476" s="45"/>
      <c r="E476" s="50"/>
      <c r="F476" s="33"/>
      <c r="G476" s="45"/>
      <c r="H476" s="65" t="s">
        <v>1233</v>
      </c>
      <c r="I476" s="43"/>
      <c r="J476" s="43"/>
      <c r="K476" s="43"/>
    </row>
    <row r="477" spans="1:11" ht="15" customHeight="1">
      <c r="A477" s="60" t="str">
        <f t="shared" si="7"/>
        <v/>
      </c>
      <c r="B477" s="49"/>
      <c r="C477" s="33"/>
      <c r="D477" s="45"/>
      <c r="E477" s="50"/>
      <c r="F477" s="33"/>
      <c r="G477" s="45"/>
      <c r="H477" s="65" t="s">
        <v>1233</v>
      </c>
      <c r="I477" s="43"/>
      <c r="J477" s="43"/>
      <c r="K477" s="43"/>
    </row>
    <row r="478" spans="1:11" ht="15" customHeight="1">
      <c r="A478" s="60" t="str">
        <f t="shared" si="7"/>
        <v/>
      </c>
      <c r="B478" s="49"/>
      <c r="C478" s="33"/>
      <c r="D478" s="45"/>
      <c r="E478" s="50"/>
      <c r="F478" s="33"/>
      <c r="G478" s="45"/>
      <c r="H478" s="65" t="s">
        <v>1233</v>
      </c>
      <c r="I478" s="43"/>
      <c r="J478" s="43"/>
      <c r="K478" s="43"/>
    </row>
    <row r="479" spans="1:11" ht="15" customHeight="1">
      <c r="A479" s="60" t="str">
        <f t="shared" si="7"/>
        <v/>
      </c>
      <c r="B479" s="49"/>
      <c r="C479" s="33"/>
      <c r="D479" s="45"/>
      <c r="E479" s="50"/>
      <c r="F479" s="33"/>
      <c r="G479" s="45"/>
      <c r="H479" s="65" t="s">
        <v>1233</v>
      </c>
      <c r="I479" s="43"/>
      <c r="J479" s="43"/>
      <c r="K479" s="43"/>
    </row>
    <row r="480" spans="1:11" ht="15" customHeight="1">
      <c r="A480" s="60" t="str">
        <f t="shared" si="7"/>
        <v/>
      </c>
      <c r="B480" s="49"/>
      <c r="C480" s="33"/>
      <c r="D480" s="45"/>
      <c r="E480" s="50"/>
      <c r="F480" s="33"/>
      <c r="G480" s="45"/>
      <c r="H480" s="65" t="s">
        <v>1233</v>
      </c>
      <c r="I480" s="43"/>
      <c r="J480" s="43"/>
      <c r="K480" s="43"/>
    </row>
    <row r="481" spans="1:11" ht="15" customHeight="1">
      <c r="A481" s="60" t="str">
        <f t="shared" si="7"/>
        <v/>
      </c>
      <c r="B481" s="49"/>
      <c r="C481" s="33"/>
      <c r="D481" s="45"/>
      <c r="E481" s="50"/>
      <c r="F481" s="33"/>
      <c r="G481" s="45"/>
      <c r="H481" s="65" t="s">
        <v>1233</v>
      </c>
      <c r="I481" s="43"/>
      <c r="J481" s="43"/>
      <c r="K481" s="43"/>
    </row>
    <row r="482" spans="1:11" ht="15" customHeight="1">
      <c r="A482" s="60" t="str">
        <f t="shared" si="7"/>
        <v/>
      </c>
      <c r="B482" s="49"/>
      <c r="C482" s="33"/>
      <c r="D482" s="45"/>
      <c r="E482" s="50"/>
      <c r="F482" s="33"/>
      <c r="G482" s="45"/>
      <c r="H482" s="65" t="s">
        <v>1233</v>
      </c>
      <c r="I482" s="43"/>
      <c r="J482" s="43"/>
      <c r="K482" s="43"/>
    </row>
    <row r="483" spans="1:11" ht="15" customHeight="1">
      <c r="A483" s="60" t="str">
        <f t="shared" si="7"/>
        <v/>
      </c>
      <c r="B483" s="49"/>
      <c r="C483" s="33"/>
      <c r="D483" s="45"/>
      <c r="E483" s="50"/>
      <c r="F483" s="33"/>
      <c r="G483" s="45"/>
      <c r="H483" s="65" t="s">
        <v>1233</v>
      </c>
      <c r="I483" s="43"/>
      <c r="J483" s="43"/>
      <c r="K483" s="43"/>
    </row>
    <row r="484" spans="1:11" ht="15" customHeight="1">
      <c r="A484" s="60" t="str">
        <f t="shared" si="7"/>
        <v/>
      </c>
      <c r="B484" s="49"/>
      <c r="C484" s="33"/>
      <c r="D484" s="45"/>
      <c r="E484" s="50"/>
      <c r="F484" s="33"/>
      <c r="G484" s="45"/>
      <c r="H484" s="65" t="s">
        <v>1233</v>
      </c>
      <c r="I484" s="43"/>
      <c r="J484" s="43"/>
      <c r="K484" s="43"/>
    </row>
    <row r="485" spans="1:11" ht="15" customHeight="1">
      <c r="A485" s="60" t="str">
        <f t="shared" si="7"/>
        <v/>
      </c>
      <c r="B485" s="49"/>
      <c r="C485" s="33"/>
      <c r="D485" s="45"/>
      <c r="E485" s="50"/>
      <c r="F485" s="33"/>
      <c r="G485" s="45"/>
      <c r="H485" s="65" t="s">
        <v>1233</v>
      </c>
      <c r="I485" s="43"/>
      <c r="J485" s="43"/>
      <c r="K485" s="43"/>
    </row>
    <row r="486" spans="1:11" ht="15" customHeight="1">
      <c r="A486" s="60" t="str">
        <f t="shared" si="7"/>
        <v/>
      </c>
      <c r="B486" s="49"/>
      <c r="C486" s="33"/>
      <c r="D486" s="45"/>
      <c r="E486" s="50"/>
      <c r="F486" s="33"/>
      <c r="G486" s="45"/>
      <c r="H486" s="65" t="s">
        <v>1233</v>
      </c>
      <c r="I486" s="43"/>
      <c r="J486" s="43"/>
      <c r="K486" s="43"/>
    </row>
    <row r="487" spans="1:11" ht="15" customHeight="1">
      <c r="A487" s="60" t="str">
        <f t="shared" si="7"/>
        <v/>
      </c>
      <c r="B487" s="49"/>
      <c r="C487" s="33"/>
      <c r="D487" s="45"/>
      <c r="E487" s="50"/>
      <c r="F487" s="33"/>
      <c r="G487" s="45"/>
      <c r="H487" s="65" t="s">
        <v>1233</v>
      </c>
      <c r="I487" s="43"/>
      <c r="J487" s="43"/>
      <c r="K487" s="43"/>
    </row>
    <row r="488" spans="1:11" ht="15" customHeight="1">
      <c r="A488" s="60" t="str">
        <f t="shared" si="7"/>
        <v/>
      </c>
      <c r="B488" s="49"/>
      <c r="C488" s="33"/>
      <c r="D488" s="45"/>
      <c r="E488" s="50"/>
      <c r="F488" s="33"/>
      <c r="G488" s="45"/>
      <c r="H488" s="65" t="s">
        <v>1233</v>
      </c>
      <c r="I488" s="43"/>
      <c r="J488" s="43"/>
      <c r="K488" s="43"/>
    </row>
    <row r="489" spans="1:11" ht="15" customHeight="1">
      <c r="A489" s="60" t="str">
        <f t="shared" si="7"/>
        <v/>
      </c>
      <c r="B489" s="49"/>
      <c r="C489" s="33"/>
      <c r="D489" s="45"/>
      <c r="E489" s="50"/>
      <c r="F489" s="33"/>
      <c r="G489" s="45"/>
      <c r="H489" s="65" t="s">
        <v>1233</v>
      </c>
      <c r="I489" s="43"/>
      <c r="J489" s="43"/>
      <c r="K489" s="43"/>
    </row>
    <row r="490" spans="1:11" ht="15" customHeight="1">
      <c r="A490" s="60" t="str">
        <f t="shared" si="7"/>
        <v/>
      </c>
      <c r="B490" s="49"/>
      <c r="C490" s="33"/>
      <c r="D490" s="45"/>
      <c r="E490" s="50"/>
      <c r="F490" s="33"/>
      <c r="G490" s="45"/>
      <c r="H490" s="65" t="s">
        <v>1233</v>
      </c>
      <c r="I490" s="43"/>
      <c r="J490" s="43"/>
      <c r="K490" s="43"/>
    </row>
    <row r="491" spans="1:11" ht="15" customHeight="1">
      <c r="A491" s="60" t="str">
        <f t="shared" si="7"/>
        <v/>
      </c>
      <c r="B491" s="49"/>
      <c r="C491" s="33"/>
      <c r="D491" s="45"/>
      <c r="E491" s="50"/>
      <c r="F491" s="33"/>
      <c r="G491" s="45"/>
      <c r="H491" s="65" t="s">
        <v>1233</v>
      </c>
      <c r="I491" s="43"/>
      <c r="J491" s="43"/>
      <c r="K491" s="43"/>
    </row>
    <row r="492" spans="1:11" ht="15" customHeight="1">
      <c r="A492" s="60" t="str">
        <f t="shared" si="7"/>
        <v/>
      </c>
      <c r="B492" s="49"/>
      <c r="C492" s="33"/>
      <c r="D492" s="45"/>
      <c r="E492" s="50"/>
      <c r="F492" s="33"/>
      <c r="G492" s="45"/>
      <c r="H492" s="65" t="s">
        <v>1233</v>
      </c>
      <c r="I492" s="43"/>
      <c r="J492" s="43"/>
      <c r="K492" s="43"/>
    </row>
    <row r="493" spans="1:11" ht="15" customHeight="1">
      <c r="A493" s="60" t="str">
        <f t="shared" si="7"/>
        <v/>
      </c>
      <c r="B493" s="49"/>
      <c r="C493" s="33"/>
      <c r="D493" s="45"/>
      <c r="E493" s="50"/>
      <c r="F493" s="33"/>
      <c r="G493" s="45"/>
      <c r="H493" s="65" t="s">
        <v>1233</v>
      </c>
      <c r="I493" s="43"/>
      <c r="J493" s="43"/>
      <c r="K493" s="43"/>
    </row>
    <row r="494" spans="1:11" ht="15" customHeight="1">
      <c r="A494" s="60" t="str">
        <f t="shared" si="7"/>
        <v/>
      </c>
      <c r="B494" s="49"/>
      <c r="C494" s="33"/>
      <c r="D494" s="45"/>
      <c r="E494" s="50"/>
      <c r="F494" s="33"/>
      <c r="G494" s="45"/>
      <c r="H494" s="65" t="s">
        <v>1233</v>
      </c>
      <c r="I494" s="43"/>
      <c r="J494" s="43"/>
      <c r="K494" s="43"/>
    </row>
    <row r="495" spans="1:11" ht="15" customHeight="1">
      <c r="A495" s="60" t="str">
        <f t="shared" si="7"/>
        <v/>
      </c>
      <c r="B495" s="49"/>
      <c r="C495" s="33"/>
      <c r="D495" s="45"/>
      <c r="E495" s="50"/>
      <c r="F495" s="33"/>
      <c r="G495" s="45"/>
      <c r="H495" s="65" t="s">
        <v>1233</v>
      </c>
      <c r="I495" s="43"/>
      <c r="J495" s="43"/>
      <c r="K495" s="43"/>
    </row>
    <row r="496" spans="1:11" ht="15" customHeight="1">
      <c r="A496" s="60" t="str">
        <f t="shared" si="7"/>
        <v/>
      </c>
      <c r="B496" s="49"/>
      <c r="C496" s="33"/>
      <c r="D496" s="45"/>
      <c r="E496" s="50"/>
      <c r="F496" s="33"/>
      <c r="G496" s="45"/>
      <c r="H496" s="65" t="s">
        <v>1233</v>
      </c>
      <c r="I496" s="43"/>
      <c r="J496" s="43"/>
      <c r="K496" s="43"/>
    </row>
    <row r="497" spans="1:11" ht="15" customHeight="1">
      <c r="A497" s="60" t="str">
        <f t="shared" si="7"/>
        <v/>
      </c>
      <c r="B497" s="49"/>
      <c r="C497" s="33"/>
      <c r="D497" s="45"/>
      <c r="E497" s="50"/>
      <c r="F497" s="33"/>
      <c r="G497" s="45"/>
      <c r="H497" s="65" t="s">
        <v>1233</v>
      </c>
      <c r="I497" s="43"/>
      <c r="J497" s="43"/>
      <c r="K497" s="43"/>
    </row>
    <row r="498" spans="1:11" ht="15" customHeight="1">
      <c r="A498" s="60" t="str">
        <f t="shared" si="7"/>
        <v/>
      </c>
      <c r="B498" s="49"/>
      <c r="C498" s="33"/>
      <c r="D498" s="45"/>
      <c r="E498" s="50"/>
      <c r="F498" s="33"/>
      <c r="G498" s="45"/>
      <c r="H498" s="65" t="s">
        <v>1233</v>
      </c>
      <c r="I498" s="43"/>
      <c r="J498" s="43"/>
      <c r="K498" s="43"/>
    </row>
    <row r="499" spans="1:11" ht="15" customHeight="1">
      <c r="A499" s="60" t="str">
        <f t="shared" si="7"/>
        <v/>
      </c>
      <c r="B499" s="49"/>
      <c r="C499" s="33"/>
      <c r="D499" s="45"/>
      <c r="E499" s="50"/>
      <c r="F499" s="33"/>
      <c r="G499" s="45"/>
      <c r="H499" s="65" t="s">
        <v>1233</v>
      </c>
      <c r="I499" s="43"/>
      <c r="J499" s="43"/>
      <c r="K499" s="43"/>
    </row>
    <row r="500" spans="1:11" ht="15" customHeight="1">
      <c r="A500" s="60" t="str">
        <f t="shared" si="7"/>
        <v/>
      </c>
      <c r="B500" s="49"/>
      <c r="C500" s="33"/>
      <c r="D500" s="45"/>
      <c r="E500" s="50"/>
      <c r="F500" s="33"/>
      <c r="G500" s="45"/>
      <c r="H500" s="65" t="s">
        <v>1233</v>
      </c>
      <c r="I500" s="43"/>
      <c r="J500" s="43"/>
      <c r="K500" s="43"/>
    </row>
    <row r="501" spans="1:11" ht="15" customHeight="1">
      <c r="A501" s="60" t="str">
        <f t="shared" si="7"/>
        <v/>
      </c>
      <c r="B501" s="49"/>
      <c r="C501" s="33"/>
      <c r="D501" s="45"/>
      <c r="E501" s="50"/>
      <c r="F501" s="33"/>
      <c r="G501" s="45"/>
      <c r="H501" s="65" t="s">
        <v>1233</v>
      </c>
      <c r="I501" s="43"/>
      <c r="J501" s="43"/>
      <c r="K501" s="43"/>
    </row>
    <row r="502" spans="1:11" ht="15" customHeight="1">
      <c r="A502" s="60" t="str">
        <f t="shared" si="7"/>
        <v/>
      </c>
      <c r="B502" s="49"/>
      <c r="C502" s="33"/>
      <c r="D502" s="45"/>
      <c r="E502" s="50"/>
      <c r="F502" s="33"/>
      <c r="G502" s="45"/>
      <c r="H502" s="65" t="s">
        <v>1233</v>
      </c>
      <c r="I502" s="43"/>
      <c r="J502" s="43"/>
      <c r="K502" s="43"/>
    </row>
    <row r="503" spans="1:11" ht="15" customHeight="1">
      <c r="A503" s="60" t="str">
        <f t="shared" si="7"/>
        <v/>
      </c>
      <c r="B503" s="49"/>
      <c r="C503" s="33"/>
      <c r="D503" s="45"/>
      <c r="E503" s="50"/>
      <c r="F503" s="33"/>
      <c r="G503" s="45"/>
      <c r="H503" s="65" t="s">
        <v>1233</v>
      </c>
      <c r="I503" s="43"/>
      <c r="J503" s="43"/>
      <c r="K503" s="43"/>
    </row>
  </sheetData>
  <mergeCells count="2">
    <mergeCell ref="A2:K2"/>
    <mergeCell ref="A1:K1"/>
  </mergeCells>
  <conditionalFormatting sqref="H4:H503">
    <cfRule type="cellIs" dxfId="22" priority="1" operator="equal">
      <formula>"Raised"</formula>
    </cfRule>
    <cfRule type="cellIs" dxfId="21"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14" t="s">
        <v>1652</v>
      </c>
      <c r="B1" s="218"/>
      <c r="C1" s="218"/>
      <c r="D1" s="218"/>
      <c r="E1" s="218"/>
      <c r="F1" s="213" t="str">
        <f>"🔧 "&amp;COUNTIFS(B4:B504,"&lt;&gt;",F4:F504,"Re-Installed")&amp;" / "&amp;COUNTIF(B4:B504,"&lt;&gt;")&amp;" Re-Installed ("&amp;TEXT(IFERROR(COUNTIFS(B4:B504,"&lt;&gt;",F4:F504,"Re-Installed")/COUNTIF(B4:B504,"&lt;&gt;"),0),"0%")&amp;")"</f>
        <v>🔧 0 / 0 Re-Installed (0%)</v>
      </c>
      <c r="G1" s="218"/>
      <c r="H1" s="218"/>
      <c r="I1" s="218"/>
      <c r="J1" s="218"/>
    </row>
    <row r="2" spans="1:10" ht="19.899999999999999" customHeight="1">
      <c r="A2" s="215" t="s">
        <v>1653</v>
      </c>
      <c r="B2" s="218"/>
      <c r="C2" s="218"/>
      <c r="D2" s="218"/>
      <c r="E2" s="218"/>
      <c r="F2" s="216" t="str">
        <f>"⚠️ Still Open: "&amp;COUNTIFS(B4:B504,"&lt;&gt;",F4:F504,"Open")</f>
        <v>⚠️ Still Open: 0</v>
      </c>
      <c r="G2" s="218"/>
      <c r="H2" s="218"/>
      <c r="I2" s="218"/>
      <c r="J2" s="218"/>
    </row>
    <row r="3" spans="1:10" ht="31.5" customHeight="1">
      <c r="A3" s="54" t="s">
        <v>3</v>
      </c>
      <c r="B3" s="54" t="s">
        <v>1654</v>
      </c>
      <c r="C3" s="54" t="s">
        <v>11</v>
      </c>
      <c r="D3" s="54" t="s">
        <v>1655</v>
      </c>
      <c r="E3" s="54" t="s">
        <v>1656</v>
      </c>
      <c r="F3" s="54" t="s">
        <v>5</v>
      </c>
      <c r="G3" s="54" t="s">
        <v>1657</v>
      </c>
      <c r="H3" s="54" t="s">
        <v>1658</v>
      </c>
      <c r="I3" s="54" t="s">
        <v>1659</v>
      </c>
      <c r="J3" s="54"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99"/>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53" t="s">
        <v>1082</v>
      </c>
      <c r="B1" s="153" t="s">
        <v>1062</v>
      </c>
      <c r="C1" s="153" t="s">
        <v>1660</v>
      </c>
      <c r="D1" s="153" t="s">
        <v>6</v>
      </c>
      <c r="E1" s="153" t="s">
        <v>1661</v>
      </c>
      <c r="F1" s="153" t="s">
        <v>1662</v>
      </c>
      <c r="G1" s="153" t="s">
        <v>1663</v>
      </c>
      <c r="H1" s="153" t="s">
        <v>1664</v>
      </c>
      <c r="I1" s="153" t="s">
        <v>15</v>
      </c>
      <c r="J1" s="153" t="s">
        <v>1665</v>
      </c>
      <c r="K1" s="115"/>
      <c r="L1" s="154" t="s">
        <v>1666</v>
      </c>
      <c r="M1" s="154" t="s">
        <v>1667</v>
      </c>
    </row>
    <row r="2" spans="1:13">
      <c r="A2" s="155" t="s">
        <v>1668</v>
      </c>
      <c r="B2" s="155" t="s">
        <v>1669</v>
      </c>
      <c r="C2" s="155" t="s">
        <v>1670</v>
      </c>
      <c r="D2" s="155" t="s">
        <v>1671</v>
      </c>
      <c r="E2" s="155"/>
      <c r="F2" s="155"/>
      <c r="G2" s="155"/>
      <c r="H2" s="155" t="s">
        <v>1672</v>
      </c>
      <c r="I2" s="155" t="s">
        <v>164</v>
      </c>
      <c r="J2" s="155"/>
      <c r="K2" s="115"/>
      <c r="L2" s="115">
        <v>1</v>
      </c>
      <c r="M2" s="115">
        <v>3.9600000000000003E-2</v>
      </c>
    </row>
    <row r="3" spans="1:13">
      <c r="A3" s="155" t="s">
        <v>20</v>
      </c>
      <c r="B3" s="155" t="s">
        <v>18</v>
      </c>
      <c r="C3" s="155" t="s">
        <v>19</v>
      </c>
      <c r="D3" s="155" t="s">
        <v>1668</v>
      </c>
      <c r="E3" s="155">
        <v>3</v>
      </c>
      <c r="F3" s="155">
        <v>22.5</v>
      </c>
      <c r="G3" s="155">
        <v>47.1</v>
      </c>
      <c r="H3" s="155" t="s">
        <v>1673</v>
      </c>
      <c r="I3" s="155" t="s">
        <v>38</v>
      </c>
      <c r="J3" s="155" t="s">
        <v>1674</v>
      </c>
      <c r="K3" s="115"/>
      <c r="L3" s="115">
        <v>2</v>
      </c>
      <c r="M3" s="115">
        <v>7.9200000000000007E-2</v>
      </c>
    </row>
    <row r="4" spans="1:13">
      <c r="A4" s="155" t="s">
        <v>1675</v>
      </c>
      <c r="B4" s="155" t="s">
        <v>1676</v>
      </c>
      <c r="C4" s="155" t="s">
        <v>1677</v>
      </c>
      <c r="D4" s="155" t="s">
        <v>1668</v>
      </c>
      <c r="E4" s="155">
        <v>3.3</v>
      </c>
      <c r="F4" s="155">
        <v>35.5</v>
      </c>
      <c r="G4" s="155">
        <v>324.89999999999998</v>
      </c>
      <c r="H4" s="155" t="s">
        <v>1673</v>
      </c>
      <c r="I4" s="155" t="s">
        <v>38</v>
      </c>
      <c r="J4" s="155" t="s">
        <v>1678</v>
      </c>
      <c r="K4" s="115"/>
      <c r="L4" s="115">
        <v>3</v>
      </c>
      <c r="M4" s="115">
        <v>0.1188</v>
      </c>
    </row>
    <row r="5" spans="1:13">
      <c r="A5" s="155" t="s">
        <v>1679</v>
      </c>
      <c r="B5" s="155" t="s">
        <v>1680</v>
      </c>
      <c r="C5" s="155" t="s">
        <v>1681</v>
      </c>
      <c r="D5" s="155" t="s">
        <v>1668</v>
      </c>
      <c r="E5" s="155">
        <v>8.3000000000000007</v>
      </c>
      <c r="F5" s="155">
        <v>10</v>
      </c>
      <c r="G5" s="155">
        <v>322.89999999999998</v>
      </c>
      <c r="H5" s="155" t="s">
        <v>1673</v>
      </c>
      <c r="I5" s="155" t="s">
        <v>38</v>
      </c>
      <c r="J5" s="155" t="s">
        <v>1682</v>
      </c>
      <c r="K5" s="115"/>
      <c r="L5" s="115">
        <v>4</v>
      </c>
      <c r="M5" s="115">
        <v>0.15840000000000001</v>
      </c>
    </row>
    <row r="6" spans="1:13">
      <c r="A6" s="155" t="s">
        <v>1683</v>
      </c>
      <c r="B6" s="155" t="s">
        <v>26</v>
      </c>
      <c r="C6" s="155" t="s">
        <v>27</v>
      </c>
      <c r="D6" s="155" t="s">
        <v>1668</v>
      </c>
      <c r="E6" s="155">
        <v>4.9000000000000004</v>
      </c>
      <c r="F6" s="155">
        <v>14</v>
      </c>
      <c r="G6" s="155">
        <v>39.4</v>
      </c>
      <c r="H6" s="155" t="s">
        <v>1673</v>
      </c>
      <c r="I6" s="155" t="s">
        <v>38</v>
      </c>
      <c r="J6" s="155" t="s">
        <v>1682</v>
      </c>
      <c r="K6" s="115"/>
      <c r="L6" s="115">
        <v>5</v>
      </c>
      <c r="M6" s="115">
        <v>0.15840000000000001</v>
      </c>
    </row>
    <row r="7" spans="1:13">
      <c r="A7" s="155" t="s">
        <v>1684</v>
      </c>
      <c r="B7" s="155" t="s">
        <v>1685</v>
      </c>
      <c r="C7" s="155" t="s">
        <v>1686</v>
      </c>
      <c r="D7" s="155" t="s">
        <v>1668</v>
      </c>
      <c r="E7" s="155">
        <v>41.5</v>
      </c>
      <c r="F7" s="155">
        <v>2</v>
      </c>
      <c r="G7" s="155">
        <v>46.2</v>
      </c>
      <c r="H7" s="155" t="s">
        <v>1673</v>
      </c>
      <c r="I7" s="155" t="s">
        <v>38</v>
      </c>
      <c r="J7" s="155" t="s">
        <v>1687</v>
      </c>
      <c r="K7" s="115"/>
      <c r="L7" s="115">
        <v>6</v>
      </c>
      <c r="M7" s="115">
        <v>0.19800000000000001</v>
      </c>
    </row>
    <row r="8" spans="1:13">
      <c r="A8" s="155" t="s">
        <v>679</v>
      </c>
      <c r="B8" s="155" t="s">
        <v>1688</v>
      </c>
      <c r="C8" s="155" t="s">
        <v>1689</v>
      </c>
      <c r="D8" s="155" t="s">
        <v>1668</v>
      </c>
      <c r="E8" s="155">
        <v>11.8</v>
      </c>
      <c r="F8" s="155">
        <v>25</v>
      </c>
      <c r="G8" s="155">
        <v>49.9</v>
      </c>
      <c r="H8" s="155" t="s">
        <v>1673</v>
      </c>
      <c r="I8" s="155" t="s">
        <v>38</v>
      </c>
      <c r="J8" s="155" t="s">
        <v>1690</v>
      </c>
      <c r="K8" s="115"/>
      <c r="L8" s="115">
        <v>7</v>
      </c>
      <c r="M8" s="115">
        <v>0.23760000000000001</v>
      </c>
    </row>
    <row r="9" spans="1:13">
      <c r="A9" s="155" t="s">
        <v>41</v>
      </c>
      <c r="B9" s="155" t="s">
        <v>39</v>
      </c>
      <c r="C9" s="155" t="s">
        <v>40</v>
      </c>
      <c r="D9" s="155" t="s">
        <v>1668</v>
      </c>
      <c r="E9" s="155">
        <v>3</v>
      </c>
      <c r="F9" s="155">
        <v>11</v>
      </c>
      <c r="G9" s="155">
        <v>327.3</v>
      </c>
      <c r="H9" s="155" t="s">
        <v>1673</v>
      </c>
      <c r="I9" s="155" t="s">
        <v>38</v>
      </c>
      <c r="J9" s="155" t="s">
        <v>1691</v>
      </c>
      <c r="K9" s="115"/>
      <c r="L9" s="115">
        <v>8</v>
      </c>
      <c r="M9" s="115">
        <v>0.27729999999999999</v>
      </c>
    </row>
    <row r="10" spans="1:13">
      <c r="A10" s="155" t="s">
        <v>45</v>
      </c>
      <c r="B10" s="155" t="s">
        <v>43</v>
      </c>
      <c r="C10" s="155" t="s">
        <v>44</v>
      </c>
      <c r="D10" s="155" t="s">
        <v>1668</v>
      </c>
      <c r="E10" s="155">
        <v>2.1</v>
      </c>
      <c r="F10" s="155">
        <v>9.5</v>
      </c>
      <c r="G10" s="155">
        <v>326.7</v>
      </c>
      <c r="H10" s="155" t="s">
        <v>1673</v>
      </c>
      <c r="I10" s="155" t="s">
        <v>38</v>
      </c>
      <c r="J10" s="155" t="s">
        <v>1691</v>
      </c>
      <c r="K10" s="115"/>
      <c r="L10" s="115">
        <v>9</v>
      </c>
      <c r="M10" s="115">
        <v>0.30459999999999998</v>
      </c>
    </row>
    <row r="11" spans="1:13">
      <c r="A11" s="155" t="s">
        <v>48</v>
      </c>
      <c r="B11" s="155" t="s">
        <v>46</v>
      </c>
      <c r="C11" s="155" t="s">
        <v>47</v>
      </c>
      <c r="D11" s="155" t="s">
        <v>1668</v>
      </c>
      <c r="E11" s="155"/>
      <c r="F11" s="155">
        <v>6.5</v>
      </c>
      <c r="G11" s="155">
        <v>134.5</v>
      </c>
      <c r="H11" s="155" t="s">
        <v>1673</v>
      </c>
      <c r="I11" s="155" t="s">
        <v>53</v>
      </c>
      <c r="J11" s="155" t="s">
        <v>1692</v>
      </c>
      <c r="K11" s="115"/>
      <c r="L11" s="115">
        <v>10</v>
      </c>
      <c r="M11" s="115">
        <v>0.33200000000000002</v>
      </c>
    </row>
    <row r="12" spans="1:13">
      <c r="A12" s="155" t="s">
        <v>56</v>
      </c>
      <c r="B12" s="155" t="s">
        <v>54</v>
      </c>
      <c r="C12" s="155" t="s">
        <v>55</v>
      </c>
      <c r="D12" s="155" t="s">
        <v>1668</v>
      </c>
      <c r="E12" s="155">
        <v>2</v>
      </c>
      <c r="F12" s="155"/>
      <c r="G12" s="155"/>
      <c r="H12" s="155" t="s">
        <v>1672</v>
      </c>
      <c r="I12" s="155" t="s">
        <v>53</v>
      </c>
      <c r="J12" s="155" t="s">
        <v>1692</v>
      </c>
      <c r="K12" s="115"/>
      <c r="L12" s="115">
        <v>11</v>
      </c>
      <c r="M12" s="115">
        <v>0.3594</v>
      </c>
    </row>
    <row r="13" spans="1:13">
      <c r="A13" s="155" t="s">
        <v>60</v>
      </c>
      <c r="B13" s="155" t="s">
        <v>58</v>
      </c>
      <c r="C13" s="155" t="s">
        <v>59</v>
      </c>
      <c r="D13" s="155" t="s">
        <v>1668</v>
      </c>
      <c r="E13" s="155">
        <v>4</v>
      </c>
      <c r="F13" s="155"/>
      <c r="G13" s="155"/>
      <c r="H13" s="155" t="s">
        <v>1672</v>
      </c>
      <c r="I13" s="155" t="s">
        <v>64</v>
      </c>
      <c r="J13" s="155" t="s">
        <v>1692</v>
      </c>
      <c r="K13" s="115"/>
      <c r="L13" s="115">
        <v>12</v>
      </c>
      <c r="M13" s="115">
        <v>0.38679999999999998</v>
      </c>
    </row>
    <row r="14" spans="1:13">
      <c r="A14" s="155" t="s">
        <v>67</v>
      </c>
      <c r="B14" s="155" t="s">
        <v>65</v>
      </c>
      <c r="C14" s="155" t="s">
        <v>66</v>
      </c>
      <c r="D14" s="155" t="s">
        <v>1668</v>
      </c>
      <c r="E14" s="155">
        <v>0.5</v>
      </c>
      <c r="F14" s="155">
        <v>44</v>
      </c>
      <c r="G14" s="155">
        <v>382.9</v>
      </c>
      <c r="H14" s="155" t="s">
        <v>1673</v>
      </c>
      <c r="I14" s="155" t="s">
        <v>69</v>
      </c>
      <c r="J14" s="155" t="s">
        <v>1693</v>
      </c>
      <c r="K14" s="115"/>
      <c r="L14" s="115">
        <v>13</v>
      </c>
      <c r="M14" s="115">
        <v>0.41420000000000001</v>
      </c>
    </row>
    <row r="15" spans="1:13">
      <c r="A15" s="155" t="s">
        <v>72</v>
      </c>
      <c r="B15" s="155" t="s">
        <v>70</v>
      </c>
      <c r="C15" s="155" t="s">
        <v>71</v>
      </c>
      <c r="D15" s="155" t="s">
        <v>1668</v>
      </c>
      <c r="E15" s="155">
        <v>0.2</v>
      </c>
      <c r="F15" s="155">
        <v>15</v>
      </c>
      <c r="G15" s="155">
        <v>370.4</v>
      </c>
      <c r="H15" s="155" t="s">
        <v>1673</v>
      </c>
      <c r="I15" s="155" t="s">
        <v>75</v>
      </c>
      <c r="J15" s="155" t="s">
        <v>1691</v>
      </c>
      <c r="K15" s="115"/>
      <c r="L15" s="115">
        <v>14</v>
      </c>
      <c r="M15" s="115">
        <v>0.44159999999999999</v>
      </c>
    </row>
    <row r="16" spans="1:13">
      <c r="A16" s="155" t="s">
        <v>1694</v>
      </c>
      <c r="B16" s="155" t="s">
        <v>1695</v>
      </c>
      <c r="C16" s="155" t="s">
        <v>1696</v>
      </c>
      <c r="D16" s="155" t="s">
        <v>1668</v>
      </c>
      <c r="E16" s="155">
        <v>1.1000000000000001</v>
      </c>
      <c r="F16" s="155">
        <v>21</v>
      </c>
      <c r="G16" s="155">
        <v>216.4</v>
      </c>
      <c r="H16" s="155" t="s">
        <v>1673</v>
      </c>
      <c r="I16" s="155" t="s">
        <v>1697</v>
      </c>
      <c r="J16" s="155" t="s">
        <v>1698</v>
      </c>
      <c r="K16" s="115"/>
      <c r="L16" s="115">
        <v>15</v>
      </c>
      <c r="M16" s="115">
        <v>0.44159999999999999</v>
      </c>
    </row>
    <row r="17" spans="1:13">
      <c r="A17" s="155" t="s">
        <v>1699</v>
      </c>
      <c r="B17" s="155" t="s">
        <v>1700</v>
      </c>
      <c r="C17" s="155" t="s">
        <v>1701</v>
      </c>
      <c r="D17" s="155" t="s">
        <v>1668</v>
      </c>
      <c r="E17" s="155">
        <v>1.5</v>
      </c>
      <c r="F17" s="155"/>
      <c r="G17" s="155"/>
      <c r="H17" s="155" t="s">
        <v>1672</v>
      </c>
      <c r="I17" s="155" t="s">
        <v>1697</v>
      </c>
      <c r="J17" s="155" t="s">
        <v>1702</v>
      </c>
      <c r="K17" s="115"/>
      <c r="L17" s="115">
        <v>16</v>
      </c>
      <c r="M17" s="115">
        <v>0.46899999999999997</v>
      </c>
    </row>
    <row r="18" spans="1:13">
      <c r="A18" s="155" t="s">
        <v>88</v>
      </c>
      <c r="B18" s="155" t="s">
        <v>86</v>
      </c>
      <c r="C18" s="155" t="s">
        <v>87</v>
      </c>
      <c r="D18" s="155" t="s">
        <v>1668</v>
      </c>
      <c r="E18" s="155">
        <v>3.7</v>
      </c>
      <c r="F18" s="155"/>
      <c r="G18" s="155"/>
      <c r="H18" s="155" t="s">
        <v>1672</v>
      </c>
      <c r="I18" s="155" t="s">
        <v>90</v>
      </c>
      <c r="J18" s="155" t="s">
        <v>1703</v>
      </c>
      <c r="K18" s="115"/>
      <c r="L18" s="115">
        <v>17</v>
      </c>
      <c r="M18" s="115">
        <v>0.48630000000000001</v>
      </c>
    </row>
    <row r="19" spans="1:13">
      <c r="A19" s="155" t="s">
        <v>93</v>
      </c>
      <c r="B19" s="155" t="s">
        <v>91</v>
      </c>
      <c r="C19" s="155" t="s">
        <v>92</v>
      </c>
      <c r="D19" s="155" t="s">
        <v>1668</v>
      </c>
      <c r="E19" s="155">
        <v>0.5</v>
      </c>
      <c r="F19" s="155">
        <v>2</v>
      </c>
      <c r="G19" s="155">
        <v>309.3</v>
      </c>
      <c r="H19" s="155" t="s">
        <v>1673</v>
      </c>
      <c r="I19" s="155" t="s">
        <v>90</v>
      </c>
      <c r="J19" s="155" t="s">
        <v>1704</v>
      </c>
      <c r="K19" s="115"/>
      <c r="L19" s="115">
        <v>18</v>
      </c>
      <c r="M19" s="115">
        <v>0.50360000000000005</v>
      </c>
    </row>
    <row r="20" spans="1:13">
      <c r="A20" s="155" t="s">
        <v>628</v>
      </c>
      <c r="B20" s="155" t="s">
        <v>1705</v>
      </c>
      <c r="C20" s="155" t="s">
        <v>1706</v>
      </c>
      <c r="D20" s="155" t="s">
        <v>1668</v>
      </c>
      <c r="E20" s="155">
        <v>0.8</v>
      </c>
      <c r="F20" s="155"/>
      <c r="G20" s="155"/>
      <c r="H20" s="155" t="s">
        <v>1672</v>
      </c>
      <c r="I20" s="155" t="s">
        <v>1707</v>
      </c>
      <c r="J20" s="155" t="s">
        <v>1698</v>
      </c>
      <c r="K20" s="115"/>
      <c r="L20" s="115">
        <v>19</v>
      </c>
      <c r="M20" s="115">
        <v>0.52090000000000003</v>
      </c>
    </row>
    <row r="21" spans="1:13">
      <c r="A21" s="155" t="s">
        <v>101</v>
      </c>
      <c r="B21" s="155" t="s">
        <v>99</v>
      </c>
      <c r="C21" s="155" t="s">
        <v>100</v>
      </c>
      <c r="D21" s="155" t="s">
        <v>1668</v>
      </c>
      <c r="E21" s="155">
        <v>1.5</v>
      </c>
      <c r="F21" s="155">
        <v>3.2</v>
      </c>
      <c r="G21" s="155">
        <v>235.4</v>
      </c>
      <c r="H21" s="155" t="s">
        <v>1673</v>
      </c>
      <c r="I21" s="155" t="s">
        <v>98</v>
      </c>
      <c r="J21" s="155" t="s">
        <v>1708</v>
      </c>
      <c r="K21" s="115"/>
      <c r="L21" s="115">
        <v>20</v>
      </c>
      <c r="M21" s="115">
        <v>0.5383</v>
      </c>
    </row>
    <row r="22" spans="1:13">
      <c r="A22" s="155" t="s">
        <v>105</v>
      </c>
      <c r="B22" s="155" t="s">
        <v>103</v>
      </c>
      <c r="C22" s="155" t="s">
        <v>104</v>
      </c>
      <c r="D22" s="155" t="s">
        <v>1668</v>
      </c>
      <c r="E22" s="155">
        <v>1.3</v>
      </c>
      <c r="F22" s="155">
        <v>23.5</v>
      </c>
      <c r="G22" s="155">
        <v>47.1</v>
      </c>
      <c r="H22" s="155" t="s">
        <v>1673</v>
      </c>
      <c r="I22" s="155" t="s">
        <v>98</v>
      </c>
      <c r="J22" s="155" t="s">
        <v>1709</v>
      </c>
      <c r="K22" s="115"/>
      <c r="L22" s="115">
        <v>21</v>
      </c>
      <c r="M22" s="115">
        <v>0.55559999999999998</v>
      </c>
    </row>
    <row r="23" spans="1:13">
      <c r="A23" s="155" t="s">
        <v>1710</v>
      </c>
      <c r="B23" s="155" t="s">
        <v>1711</v>
      </c>
      <c r="C23" s="155" t="s">
        <v>1712</v>
      </c>
      <c r="D23" s="155" t="s">
        <v>1668</v>
      </c>
      <c r="E23" s="155">
        <v>0.6</v>
      </c>
      <c r="F23" s="155">
        <v>0</v>
      </c>
      <c r="G23" s="155">
        <v>255.2</v>
      </c>
      <c r="H23" s="155" t="s">
        <v>1673</v>
      </c>
      <c r="I23" s="155" t="s">
        <v>98</v>
      </c>
      <c r="J23" s="155" t="s">
        <v>1713</v>
      </c>
      <c r="K23" s="115"/>
      <c r="L23" s="115">
        <v>22</v>
      </c>
      <c r="M23" s="115">
        <v>0.57289999999999996</v>
      </c>
    </row>
    <row r="24" spans="1:13">
      <c r="A24" s="155" t="s">
        <v>109</v>
      </c>
      <c r="B24" s="155" t="s">
        <v>107</v>
      </c>
      <c r="C24" s="155" t="s">
        <v>108</v>
      </c>
      <c r="D24" s="155" t="s">
        <v>1668</v>
      </c>
      <c r="E24" s="155">
        <v>2.8</v>
      </c>
      <c r="F24" s="155">
        <v>22</v>
      </c>
      <c r="G24" s="155">
        <v>47.2</v>
      </c>
      <c r="H24" s="155" t="s">
        <v>1673</v>
      </c>
      <c r="I24" s="155" t="s">
        <v>98</v>
      </c>
      <c r="J24" s="155" t="s">
        <v>1714</v>
      </c>
      <c r="K24" s="115"/>
      <c r="L24" s="115">
        <v>23</v>
      </c>
      <c r="M24" s="115">
        <v>0.59019999999999995</v>
      </c>
    </row>
    <row r="25" spans="1:13">
      <c r="A25" s="155" t="s">
        <v>113</v>
      </c>
      <c r="B25" s="155" t="s">
        <v>111</v>
      </c>
      <c r="C25" s="155" t="s">
        <v>112</v>
      </c>
      <c r="D25" s="155" t="s">
        <v>1668</v>
      </c>
      <c r="E25" s="155">
        <v>9.6999999999999993</v>
      </c>
      <c r="F25" s="155">
        <v>127.5</v>
      </c>
      <c r="G25" s="155">
        <v>190.3</v>
      </c>
      <c r="H25" s="155" t="s">
        <v>1673</v>
      </c>
      <c r="I25" s="155" t="s">
        <v>98</v>
      </c>
      <c r="J25" s="155" t="s">
        <v>1715</v>
      </c>
      <c r="K25" s="115"/>
      <c r="L25" s="115">
        <v>24</v>
      </c>
      <c r="M25" s="115">
        <v>0.59019999999999995</v>
      </c>
    </row>
    <row r="26" spans="1:13">
      <c r="A26" s="155" t="s">
        <v>117</v>
      </c>
      <c r="B26" s="155" t="s">
        <v>115</v>
      </c>
      <c r="C26" s="155" t="s">
        <v>116</v>
      </c>
      <c r="D26" s="155" t="s">
        <v>1668</v>
      </c>
      <c r="E26" s="155">
        <v>39.799999999999997</v>
      </c>
      <c r="F26" s="155">
        <v>49.5</v>
      </c>
      <c r="G26" s="155">
        <v>284.39999999999998</v>
      </c>
      <c r="H26" s="155" t="s">
        <v>1673</v>
      </c>
      <c r="I26" s="155" t="s">
        <v>98</v>
      </c>
      <c r="J26" s="155" t="s">
        <v>1716</v>
      </c>
      <c r="K26" s="115"/>
      <c r="L26" s="115">
        <v>25</v>
      </c>
      <c r="M26" s="115">
        <v>0.60940000000000005</v>
      </c>
    </row>
    <row r="27" spans="1:13">
      <c r="A27" s="155" t="s">
        <v>1717</v>
      </c>
      <c r="B27" s="155" t="s">
        <v>1718</v>
      </c>
      <c r="C27" s="155" t="s">
        <v>1719</v>
      </c>
      <c r="D27" s="155" t="s">
        <v>1668</v>
      </c>
      <c r="E27" s="155">
        <v>0.2</v>
      </c>
      <c r="F27" s="155">
        <v>13.5</v>
      </c>
      <c r="G27" s="155">
        <v>370.8</v>
      </c>
      <c r="H27" s="155" t="s">
        <v>1673</v>
      </c>
      <c r="I27" s="155" t="s">
        <v>1720</v>
      </c>
      <c r="J27" s="155" t="s">
        <v>1709</v>
      </c>
      <c r="K27" s="115"/>
      <c r="L27" s="115">
        <v>26</v>
      </c>
      <c r="M27" s="115">
        <v>0.62860000000000005</v>
      </c>
    </row>
    <row r="28" spans="1:13">
      <c r="A28" s="155" t="s">
        <v>125</v>
      </c>
      <c r="B28" s="155" t="s">
        <v>123</v>
      </c>
      <c r="C28" s="155" t="s">
        <v>124</v>
      </c>
      <c r="D28" s="155" t="s">
        <v>1668</v>
      </c>
      <c r="E28" s="155">
        <v>3</v>
      </c>
      <c r="F28" s="155">
        <v>24</v>
      </c>
      <c r="G28" s="155">
        <v>166.4</v>
      </c>
      <c r="H28" s="155" t="s">
        <v>1673</v>
      </c>
      <c r="I28" s="155" t="s">
        <v>122</v>
      </c>
      <c r="J28" s="155" t="s">
        <v>1721</v>
      </c>
      <c r="K28" s="115"/>
      <c r="L28" s="115">
        <v>27</v>
      </c>
      <c r="M28" s="115">
        <v>0.64780000000000004</v>
      </c>
    </row>
    <row r="29" spans="1:13">
      <c r="A29" s="155" t="s">
        <v>128</v>
      </c>
      <c r="B29" s="155" t="s">
        <v>126</v>
      </c>
      <c r="C29" s="155" t="s">
        <v>127</v>
      </c>
      <c r="D29" s="155" t="s">
        <v>1668</v>
      </c>
      <c r="E29" s="155">
        <v>50</v>
      </c>
      <c r="F29" s="155">
        <v>128</v>
      </c>
      <c r="G29" s="155">
        <v>310.39999999999998</v>
      </c>
      <c r="H29" s="155" t="s">
        <v>1673</v>
      </c>
      <c r="I29" s="155" t="s">
        <v>122</v>
      </c>
      <c r="J29" s="155" t="s">
        <v>1714</v>
      </c>
      <c r="K29" s="115"/>
      <c r="L29" s="115">
        <v>28</v>
      </c>
      <c r="M29" s="115">
        <v>0.66700000000000004</v>
      </c>
    </row>
    <row r="30" spans="1:13">
      <c r="A30" s="155" t="s">
        <v>1722</v>
      </c>
      <c r="B30" s="155" t="s">
        <v>1723</v>
      </c>
      <c r="C30" s="155" t="s">
        <v>1724</v>
      </c>
      <c r="D30" s="155" t="s">
        <v>1668</v>
      </c>
      <c r="E30" s="155">
        <v>6</v>
      </c>
      <c r="F30" s="155">
        <v>5.3</v>
      </c>
      <c r="G30" s="155">
        <v>224.4</v>
      </c>
      <c r="H30" s="155" t="s">
        <v>1673</v>
      </c>
      <c r="I30" s="155" t="s">
        <v>122</v>
      </c>
      <c r="J30" s="155" t="s">
        <v>1709</v>
      </c>
      <c r="K30" s="115"/>
      <c r="L30" s="115">
        <v>29</v>
      </c>
      <c r="M30" s="115">
        <v>0.68620000000000003</v>
      </c>
    </row>
    <row r="31" spans="1:13">
      <c r="A31" s="155" t="s">
        <v>132</v>
      </c>
      <c r="B31" s="155" t="s">
        <v>130</v>
      </c>
      <c r="C31" s="155" t="s">
        <v>131</v>
      </c>
      <c r="D31" s="155" t="s">
        <v>1668</v>
      </c>
      <c r="E31" s="155">
        <v>4</v>
      </c>
      <c r="F31" s="155">
        <v>22</v>
      </c>
      <c r="G31" s="155">
        <v>182.1</v>
      </c>
      <c r="H31" s="155" t="s">
        <v>1673</v>
      </c>
      <c r="I31" s="155" t="s">
        <v>122</v>
      </c>
      <c r="J31" s="155" t="s">
        <v>1725</v>
      </c>
      <c r="K31" s="115"/>
      <c r="L31" s="115">
        <v>30</v>
      </c>
      <c r="M31" s="115">
        <v>0.70540000000000003</v>
      </c>
    </row>
    <row r="32" spans="1:13">
      <c r="A32" s="155" t="s">
        <v>1726</v>
      </c>
      <c r="B32" s="155" t="s">
        <v>1727</v>
      </c>
      <c r="C32" s="155" t="s">
        <v>1728</v>
      </c>
      <c r="D32" s="155" t="s">
        <v>1668</v>
      </c>
      <c r="E32" s="155">
        <v>3.1</v>
      </c>
      <c r="F32" s="155">
        <v>4.5</v>
      </c>
      <c r="G32" s="155">
        <v>261.2</v>
      </c>
      <c r="H32" s="155" t="s">
        <v>1673</v>
      </c>
      <c r="I32" s="155" t="s">
        <v>598</v>
      </c>
      <c r="J32" s="155" t="s">
        <v>1729</v>
      </c>
      <c r="K32" s="115"/>
      <c r="L32" s="115">
        <v>31</v>
      </c>
      <c r="M32" s="115">
        <v>0.72460000000000002</v>
      </c>
    </row>
    <row r="33" spans="1:13">
      <c r="A33" s="155" t="s">
        <v>1730</v>
      </c>
      <c r="B33" s="155" t="s">
        <v>1731</v>
      </c>
      <c r="C33" s="155" t="s">
        <v>1732</v>
      </c>
      <c r="D33" s="155" t="s">
        <v>1668</v>
      </c>
      <c r="E33" s="155">
        <v>1.6</v>
      </c>
      <c r="F33" s="155">
        <v>4.7</v>
      </c>
      <c r="G33" s="155">
        <v>261.39999999999998</v>
      </c>
      <c r="H33" s="155" t="s">
        <v>1673</v>
      </c>
      <c r="I33" s="155" t="s">
        <v>1733</v>
      </c>
      <c r="J33" s="155" t="s">
        <v>1709</v>
      </c>
      <c r="K33" s="115"/>
      <c r="L33" s="115">
        <v>32</v>
      </c>
      <c r="M33" s="115">
        <v>0.77049999999999996</v>
      </c>
    </row>
    <row r="34" spans="1:13">
      <c r="A34" s="155" t="s">
        <v>1734</v>
      </c>
      <c r="B34" s="155" t="s">
        <v>1735</v>
      </c>
      <c r="C34" s="155" t="s">
        <v>1736</v>
      </c>
      <c r="D34" s="155" t="s">
        <v>1668</v>
      </c>
      <c r="E34" s="155">
        <v>1.6</v>
      </c>
      <c r="F34" s="155">
        <v>2.7</v>
      </c>
      <c r="G34" s="155">
        <v>260.39999999999998</v>
      </c>
      <c r="H34" s="155" t="s">
        <v>1673</v>
      </c>
      <c r="I34" s="155" t="s">
        <v>1737</v>
      </c>
      <c r="J34" s="155" t="s">
        <v>1709</v>
      </c>
      <c r="K34" s="115"/>
      <c r="L34" s="115">
        <v>33</v>
      </c>
      <c r="M34" s="115">
        <v>0.81640000000000001</v>
      </c>
    </row>
    <row r="35" spans="1:13">
      <c r="A35" s="155" t="s">
        <v>1738</v>
      </c>
      <c r="B35" s="155" t="s">
        <v>1739</v>
      </c>
      <c r="C35" s="155" t="s">
        <v>1740</v>
      </c>
      <c r="D35" s="155" t="s">
        <v>1668</v>
      </c>
      <c r="E35" s="155">
        <v>0.3</v>
      </c>
      <c r="F35" s="155">
        <v>25</v>
      </c>
      <c r="G35" s="155">
        <v>232.3</v>
      </c>
      <c r="H35" s="155" t="s">
        <v>1673</v>
      </c>
      <c r="I35" s="155" t="s">
        <v>1741</v>
      </c>
      <c r="J35" s="155" t="s">
        <v>1691</v>
      </c>
      <c r="K35" s="115"/>
      <c r="L35" s="115">
        <v>34</v>
      </c>
      <c r="M35" s="115">
        <v>0.81640000000000001</v>
      </c>
    </row>
    <row r="36" spans="1:13">
      <c r="A36" s="155" t="s">
        <v>1742</v>
      </c>
      <c r="B36" s="155" t="s">
        <v>1743</v>
      </c>
      <c r="C36" s="155" t="s">
        <v>1744</v>
      </c>
      <c r="D36" s="155" t="s">
        <v>1668</v>
      </c>
      <c r="E36" s="155">
        <v>0.2</v>
      </c>
      <c r="F36" s="155">
        <v>2.5</v>
      </c>
      <c r="G36" s="155">
        <v>278.89999999999998</v>
      </c>
      <c r="H36" s="155" t="s">
        <v>1673</v>
      </c>
      <c r="I36" s="155" t="s">
        <v>1745</v>
      </c>
      <c r="J36" s="155" t="s">
        <v>1746</v>
      </c>
      <c r="K36" s="115"/>
      <c r="L36" s="115">
        <v>35</v>
      </c>
      <c r="M36" s="115">
        <v>0.86229999999999996</v>
      </c>
    </row>
    <row r="37" spans="1:13">
      <c r="A37" s="155" t="s">
        <v>1747</v>
      </c>
      <c r="B37" s="155" t="s">
        <v>1748</v>
      </c>
      <c r="C37" s="155" t="s">
        <v>1749</v>
      </c>
      <c r="D37" s="155" t="s">
        <v>1668</v>
      </c>
      <c r="E37" s="155">
        <v>0.2</v>
      </c>
      <c r="F37" s="155">
        <v>2</v>
      </c>
      <c r="G37" s="155">
        <v>277.89999999999998</v>
      </c>
      <c r="H37" s="155" t="s">
        <v>1673</v>
      </c>
      <c r="I37" s="155" t="s">
        <v>1745</v>
      </c>
      <c r="J37" s="155" t="s">
        <v>1746</v>
      </c>
      <c r="K37" s="115"/>
      <c r="L37" s="115">
        <v>36</v>
      </c>
      <c r="M37" s="115">
        <v>0.90820000000000001</v>
      </c>
    </row>
    <row r="38" spans="1:13">
      <c r="A38" s="155" t="s">
        <v>1750</v>
      </c>
      <c r="B38" s="155" t="s">
        <v>1751</v>
      </c>
      <c r="C38" s="155" t="s">
        <v>1752</v>
      </c>
      <c r="D38" s="155" t="s">
        <v>1668</v>
      </c>
      <c r="E38" s="155"/>
      <c r="F38" s="155">
        <v>11.5</v>
      </c>
      <c r="G38" s="155">
        <v>752</v>
      </c>
      <c r="H38" s="155" t="s">
        <v>1673</v>
      </c>
      <c r="I38" s="155" t="s">
        <v>1753</v>
      </c>
      <c r="J38" s="155" t="s">
        <v>1754</v>
      </c>
      <c r="K38" s="115"/>
      <c r="L38" s="115">
        <v>37</v>
      </c>
      <c r="M38" s="115">
        <v>0.95409999999999995</v>
      </c>
    </row>
    <row r="39" spans="1:13">
      <c r="A39" s="155" t="s">
        <v>1755</v>
      </c>
      <c r="B39" s="155" t="s">
        <v>1756</v>
      </c>
      <c r="C39" s="155" t="s">
        <v>1757</v>
      </c>
      <c r="D39" s="155" t="s">
        <v>1668</v>
      </c>
      <c r="E39" s="155">
        <v>0.2</v>
      </c>
      <c r="F39" s="155">
        <v>2</v>
      </c>
      <c r="G39" s="155">
        <v>278.89999999999998</v>
      </c>
      <c r="H39" s="155" t="s">
        <v>1673</v>
      </c>
      <c r="I39" s="155" t="s">
        <v>1753</v>
      </c>
      <c r="J39" s="155" t="s">
        <v>1746</v>
      </c>
      <c r="K39" s="115"/>
      <c r="L39" s="115">
        <v>38</v>
      </c>
      <c r="M39" s="115">
        <v>1</v>
      </c>
    </row>
    <row r="40" spans="1:13">
      <c r="A40" s="155" t="s">
        <v>1758</v>
      </c>
      <c r="B40" s="155" t="s">
        <v>1759</v>
      </c>
      <c r="C40" s="155" t="s">
        <v>1760</v>
      </c>
      <c r="D40" s="155" t="s">
        <v>1668</v>
      </c>
      <c r="E40" s="155">
        <v>0.2</v>
      </c>
      <c r="F40" s="155">
        <v>3.5</v>
      </c>
      <c r="G40" s="155">
        <v>277.89999999999998</v>
      </c>
      <c r="H40" s="155" t="s">
        <v>1673</v>
      </c>
      <c r="I40" s="155" t="s">
        <v>1753</v>
      </c>
      <c r="J40" s="155" t="s">
        <v>1746</v>
      </c>
      <c r="K40" s="115"/>
      <c r="L40" s="115"/>
      <c r="M40" s="115"/>
    </row>
    <row r="41" spans="1:13">
      <c r="A41" s="155" t="s">
        <v>1761</v>
      </c>
      <c r="B41" s="155" t="s">
        <v>1762</v>
      </c>
      <c r="C41" s="155" t="s">
        <v>1763</v>
      </c>
      <c r="D41" s="155" t="s">
        <v>1668</v>
      </c>
      <c r="E41" s="155">
        <v>0.5</v>
      </c>
      <c r="F41" s="155">
        <v>31.5</v>
      </c>
      <c r="G41" s="155">
        <v>320.10000000000002</v>
      </c>
      <c r="H41" s="155" t="s">
        <v>1673</v>
      </c>
      <c r="I41" s="155" t="s">
        <v>1753</v>
      </c>
      <c r="J41" s="155" t="s">
        <v>1764</v>
      </c>
      <c r="K41" s="115"/>
      <c r="L41" s="115"/>
      <c r="M41" s="115"/>
    </row>
    <row r="42" spans="1:13">
      <c r="A42" s="155" t="s">
        <v>1765</v>
      </c>
      <c r="B42" s="155" t="s">
        <v>1766</v>
      </c>
      <c r="C42" s="155" t="s">
        <v>1767</v>
      </c>
      <c r="D42" s="155" t="s">
        <v>1668</v>
      </c>
      <c r="E42" s="155"/>
      <c r="F42" s="155">
        <v>34.5</v>
      </c>
      <c r="G42" s="155">
        <v>320.10000000000002</v>
      </c>
      <c r="H42" s="155" t="s">
        <v>1673</v>
      </c>
      <c r="I42" s="155" t="s">
        <v>1753</v>
      </c>
      <c r="J42" s="155" t="s">
        <v>1764</v>
      </c>
      <c r="K42" s="115"/>
      <c r="L42" s="115"/>
      <c r="M42" s="115"/>
    </row>
    <row r="43" spans="1:13">
      <c r="A43" s="155" t="s">
        <v>136</v>
      </c>
      <c r="B43" s="155" t="s">
        <v>134</v>
      </c>
      <c r="C43" s="155" t="s">
        <v>135</v>
      </c>
      <c r="D43" s="155" t="s">
        <v>1668</v>
      </c>
      <c r="E43" s="155">
        <v>3.2</v>
      </c>
      <c r="F43" s="155">
        <v>82</v>
      </c>
      <c r="G43" s="155">
        <v>214.9</v>
      </c>
      <c r="H43" s="155" t="s">
        <v>1673</v>
      </c>
      <c r="I43" s="155" t="s">
        <v>138</v>
      </c>
      <c r="J43" s="155" t="s">
        <v>1768</v>
      </c>
      <c r="K43" s="115"/>
      <c r="L43" s="115"/>
      <c r="M43" s="115"/>
    </row>
    <row r="44" spans="1:13">
      <c r="A44" s="155" t="s">
        <v>1769</v>
      </c>
      <c r="B44" s="155" t="s">
        <v>1770</v>
      </c>
      <c r="C44" s="155" t="s">
        <v>1771</v>
      </c>
      <c r="D44" s="155" t="s">
        <v>1668</v>
      </c>
      <c r="E44" s="155">
        <v>2.1</v>
      </c>
      <c r="F44" s="155">
        <v>9</v>
      </c>
      <c r="G44" s="155">
        <v>191</v>
      </c>
      <c r="H44" s="155" t="s">
        <v>1673</v>
      </c>
      <c r="I44" s="155" t="s">
        <v>1772</v>
      </c>
      <c r="J44" s="155" t="s">
        <v>1773</v>
      </c>
      <c r="K44" s="115"/>
      <c r="L44" s="115"/>
      <c r="M44" s="115"/>
    </row>
    <row r="45" spans="1:13">
      <c r="A45" s="155" t="s">
        <v>141</v>
      </c>
      <c r="B45" s="155" t="s">
        <v>139</v>
      </c>
      <c r="C45" s="155" t="s">
        <v>140</v>
      </c>
      <c r="D45" s="155" t="s">
        <v>1668</v>
      </c>
      <c r="E45" s="155">
        <v>2</v>
      </c>
      <c r="F45" s="155">
        <v>9</v>
      </c>
      <c r="G45" s="155">
        <v>13.6</v>
      </c>
      <c r="H45" s="155" t="s">
        <v>1673</v>
      </c>
      <c r="I45" s="155" t="s">
        <v>1772</v>
      </c>
      <c r="J45" s="155" t="s">
        <v>1774</v>
      </c>
      <c r="K45" s="115"/>
      <c r="L45" s="115"/>
      <c r="M45" s="115"/>
    </row>
    <row r="46" spans="1:13">
      <c r="A46" s="155" t="s">
        <v>1775</v>
      </c>
      <c r="B46" s="155" t="s">
        <v>1776</v>
      </c>
      <c r="C46" s="155" t="s">
        <v>1777</v>
      </c>
      <c r="D46" s="155" t="s">
        <v>1668</v>
      </c>
      <c r="E46" s="155">
        <v>1</v>
      </c>
      <c r="F46" s="155">
        <v>0.8</v>
      </c>
      <c r="G46" s="155">
        <v>252.8</v>
      </c>
      <c r="H46" s="155" t="s">
        <v>1673</v>
      </c>
      <c r="I46" s="155" t="s">
        <v>1778</v>
      </c>
      <c r="J46" s="155" t="s">
        <v>1746</v>
      </c>
      <c r="K46" s="115"/>
      <c r="L46" s="115"/>
      <c r="M46" s="115"/>
    </row>
    <row r="47" spans="1:13">
      <c r="A47" s="155" t="s">
        <v>1779</v>
      </c>
      <c r="B47" s="155" t="s">
        <v>1780</v>
      </c>
      <c r="C47" s="155" t="s">
        <v>1781</v>
      </c>
      <c r="D47" s="155" t="s">
        <v>1668</v>
      </c>
      <c r="E47" s="155">
        <v>1</v>
      </c>
      <c r="F47" s="155">
        <v>0.8</v>
      </c>
      <c r="G47" s="155">
        <v>272.60000000000002</v>
      </c>
      <c r="H47" s="155" t="s">
        <v>1673</v>
      </c>
      <c r="I47" s="155" t="s">
        <v>1778</v>
      </c>
      <c r="J47" s="155" t="s">
        <v>1746</v>
      </c>
      <c r="K47" s="115"/>
      <c r="L47" s="115"/>
      <c r="M47" s="115"/>
    </row>
    <row r="48" spans="1:13">
      <c r="A48" s="155" t="s">
        <v>1782</v>
      </c>
      <c r="B48" s="155" t="s">
        <v>1783</v>
      </c>
      <c r="C48" s="155" t="s">
        <v>1784</v>
      </c>
      <c r="D48" s="155" t="s">
        <v>1668</v>
      </c>
      <c r="E48" s="155">
        <v>0.2</v>
      </c>
      <c r="F48" s="155">
        <v>10</v>
      </c>
      <c r="G48" s="155">
        <v>165.2</v>
      </c>
      <c r="H48" s="155" t="s">
        <v>1673</v>
      </c>
      <c r="I48" s="155" t="s">
        <v>586</v>
      </c>
      <c r="J48" s="155" t="s">
        <v>1708</v>
      </c>
      <c r="K48" s="115"/>
      <c r="L48" s="115"/>
      <c r="M48" s="115"/>
    </row>
    <row r="49" spans="1:10">
      <c r="A49" s="155" t="s">
        <v>1785</v>
      </c>
      <c r="B49" s="155" t="s">
        <v>1786</v>
      </c>
      <c r="C49" s="155" t="s">
        <v>1787</v>
      </c>
      <c r="D49" s="155" t="s">
        <v>1668</v>
      </c>
      <c r="E49" s="155">
        <v>0.2</v>
      </c>
      <c r="F49" s="155">
        <v>11.5</v>
      </c>
      <c r="G49" s="155">
        <v>165.2</v>
      </c>
      <c r="H49" s="155" t="s">
        <v>1673</v>
      </c>
      <c r="I49" s="155" t="s">
        <v>586</v>
      </c>
      <c r="J49" s="155" t="s">
        <v>1708</v>
      </c>
    </row>
    <row r="50" spans="1:10">
      <c r="A50" s="155" t="s">
        <v>1788</v>
      </c>
      <c r="B50" s="155" t="s">
        <v>1789</v>
      </c>
      <c r="C50" s="155" t="s">
        <v>1790</v>
      </c>
      <c r="D50" s="155" t="s">
        <v>1668</v>
      </c>
      <c r="E50" s="155">
        <v>0.5</v>
      </c>
      <c r="F50" s="155">
        <v>1</v>
      </c>
      <c r="G50" s="155">
        <v>253.7</v>
      </c>
      <c r="H50" s="155" t="s">
        <v>1673</v>
      </c>
      <c r="I50" s="155" t="s">
        <v>1791</v>
      </c>
      <c r="J50" s="155" t="s">
        <v>1792</v>
      </c>
    </row>
    <row r="51" spans="1:10">
      <c r="A51" s="155" t="s">
        <v>1793</v>
      </c>
      <c r="B51" s="155" t="s">
        <v>1794</v>
      </c>
      <c r="C51" s="155" t="s">
        <v>1795</v>
      </c>
      <c r="D51" s="155" t="s">
        <v>1668</v>
      </c>
      <c r="E51" s="155">
        <v>0.2</v>
      </c>
      <c r="F51" s="155">
        <v>2.5</v>
      </c>
      <c r="G51" s="155">
        <v>252.3</v>
      </c>
      <c r="H51" s="155" t="s">
        <v>1673</v>
      </c>
      <c r="I51" s="155" t="s">
        <v>1791</v>
      </c>
      <c r="J51" s="155" t="s">
        <v>1721</v>
      </c>
    </row>
    <row r="52" spans="1:10">
      <c r="A52" s="155" t="s">
        <v>1796</v>
      </c>
      <c r="B52" s="155" t="s">
        <v>1797</v>
      </c>
      <c r="C52" s="155" t="s">
        <v>1798</v>
      </c>
      <c r="D52" s="155" t="s">
        <v>1668</v>
      </c>
      <c r="E52" s="155">
        <v>0.2</v>
      </c>
      <c r="F52" s="155">
        <v>5.8</v>
      </c>
      <c r="G52" s="155">
        <v>275.7</v>
      </c>
      <c r="H52" s="155" t="s">
        <v>1673</v>
      </c>
      <c r="I52" s="155" t="s">
        <v>1791</v>
      </c>
      <c r="J52" s="155" t="s">
        <v>1721</v>
      </c>
    </row>
    <row r="53" spans="1:10">
      <c r="A53" s="155" t="s">
        <v>1799</v>
      </c>
      <c r="B53" s="155" t="s">
        <v>1800</v>
      </c>
      <c r="C53" s="155" t="s">
        <v>1801</v>
      </c>
      <c r="D53" s="155" t="s">
        <v>1668</v>
      </c>
      <c r="E53" s="155">
        <v>0.8</v>
      </c>
      <c r="F53" s="155">
        <v>6.5</v>
      </c>
      <c r="G53" s="155">
        <v>235.4</v>
      </c>
      <c r="H53" s="155" t="s">
        <v>1673</v>
      </c>
      <c r="I53" s="155" t="s">
        <v>147</v>
      </c>
      <c r="J53" s="155" t="s">
        <v>1725</v>
      </c>
    </row>
    <row r="54" spans="1:10">
      <c r="A54" s="155" t="s">
        <v>1802</v>
      </c>
      <c r="B54" s="155" t="s">
        <v>1803</v>
      </c>
      <c r="C54" s="155" t="s">
        <v>1804</v>
      </c>
      <c r="D54" s="155" t="s">
        <v>1668</v>
      </c>
      <c r="E54" s="155">
        <v>3.3</v>
      </c>
      <c r="F54" s="155">
        <v>1</v>
      </c>
      <c r="G54" s="155">
        <v>252.6</v>
      </c>
      <c r="H54" s="155" t="s">
        <v>1673</v>
      </c>
      <c r="I54" s="155" t="s">
        <v>147</v>
      </c>
      <c r="J54" s="155" t="s">
        <v>1725</v>
      </c>
    </row>
    <row r="55" spans="1:10">
      <c r="A55" s="155" t="s">
        <v>145</v>
      </c>
      <c r="B55" s="155" t="s">
        <v>143</v>
      </c>
      <c r="C55" s="155" t="s">
        <v>144</v>
      </c>
      <c r="D55" s="155" t="s">
        <v>1668</v>
      </c>
      <c r="E55" s="155">
        <v>7</v>
      </c>
      <c r="F55" s="155">
        <v>107.5</v>
      </c>
      <c r="G55" s="155">
        <v>190.4</v>
      </c>
      <c r="H55" s="155" t="s">
        <v>1673</v>
      </c>
      <c r="I55" s="155" t="s">
        <v>147</v>
      </c>
      <c r="J55" s="155" t="s">
        <v>1805</v>
      </c>
    </row>
    <row r="56" spans="1:10">
      <c r="A56" s="155" t="s">
        <v>1806</v>
      </c>
      <c r="B56" s="155" t="s">
        <v>1807</v>
      </c>
      <c r="C56" s="155" t="s">
        <v>1808</v>
      </c>
      <c r="D56" s="155" t="s">
        <v>1668</v>
      </c>
      <c r="E56" s="155">
        <v>20</v>
      </c>
      <c r="F56" s="155">
        <v>12</v>
      </c>
      <c r="G56" s="155">
        <v>190.6</v>
      </c>
      <c r="H56" s="155" t="s">
        <v>1673</v>
      </c>
      <c r="I56" s="155" t="s">
        <v>1809</v>
      </c>
      <c r="J56" s="155" t="s">
        <v>1810</v>
      </c>
    </row>
    <row r="57" spans="1:10">
      <c r="A57" s="155" t="s">
        <v>1811</v>
      </c>
      <c r="B57" s="155" t="s">
        <v>1812</v>
      </c>
      <c r="C57" s="155" t="s">
        <v>1813</v>
      </c>
      <c r="D57" s="155" t="s">
        <v>1668</v>
      </c>
      <c r="E57" s="155">
        <v>6.8</v>
      </c>
      <c r="F57" s="155">
        <v>17</v>
      </c>
      <c r="G57" s="155">
        <v>345.6</v>
      </c>
      <c r="H57" s="155" t="s">
        <v>1673</v>
      </c>
      <c r="I57" s="155" t="s">
        <v>147</v>
      </c>
      <c r="J57" s="155" t="s">
        <v>1814</v>
      </c>
    </row>
    <row r="58" spans="1:10">
      <c r="A58" s="155" t="s">
        <v>1815</v>
      </c>
      <c r="B58" s="155" t="s">
        <v>1816</v>
      </c>
      <c r="C58" s="155" t="s">
        <v>1817</v>
      </c>
      <c r="D58" s="155" t="s">
        <v>1668</v>
      </c>
      <c r="E58" s="155">
        <v>2.9</v>
      </c>
      <c r="F58" s="155">
        <v>0.6</v>
      </c>
      <c r="G58" s="155">
        <v>252.9</v>
      </c>
      <c r="H58" s="155" t="s">
        <v>1673</v>
      </c>
      <c r="I58" s="155" t="s">
        <v>147</v>
      </c>
      <c r="J58" s="155" t="s">
        <v>1725</v>
      </c>
    </row>
    <row r="59" spans="1:10">
      <c r="A59" s="155" t="s">
        <v>1818</v>
      </c>
      <c r="B59" s="155" t="s">
        <v>1819</v>
      </c>
      <c r="C59" s="155" t="s">
        <v>1820</v>
      </c>
      <c r="D59" s="155" t="s">
        <v>1668</v>
      </c>
      <c r="E59" s="155">
        <v>0.8</v>
      </c>
      <c r="F59" s="155">
        <v>19</v>
      </c>
      <c r="G59" s="155">
        <v>239.1</v>
      </c>
      <c r="H59" s="155" t="s">
        <v>1673</v>
      </c>
      <c r="I59" s="155" t="s">
        <v>147</v>
      </c>
      <c r="J59" s="155" t="s">
        <v>1725</v>
      </c>
    </row>
    <row r="60" spans="1:10">
      <c r="A60" s="155" t="s">
        <v>157</v>
      </c>
      <c r="B60" s="155" t="s">
        <v>155</v>
      </c>
      <c r="C60" s="155" t="s">
        <v>156</v>
      </c>
      <c r="D60" s="155" t="s">
        <v>1668</v>
      </c>
      <c r="E60" s="155"/>
      <c r="F60" s="155">
        <v>6.8</v>
      </c>
      <c r="G60" s="155">
        <v>331.4</v>
      </c>
      <c r="H60" s="155" t="s">
        <v>1673</v>
      </c>
      <c r="I60" s="155" t="s">
        <v>159</v>
      </c>
      <c r="J60" s="155" t="s">
        <v>1821</v>
      </c>
    </row>
    <row r="61" spans="1:10">
      <c r="A61" s="155" t="s">
        <v>1822</v>
      </c>
      <c r="B61" s="155" t="s">
        <v>1823</v>
      </c>
      <c r="C61" s="155" t="s">
        <v>1824</v>
      </c>
      <c r="D61" s="155" t="s">
        <v>1671</v>
      </c>
      <c r="E61" s="155"/>
      <c r="F61" s="155"/>
      <c r="G61" s="155"/>
      <c r="H61" s="155" t="s">
        <v>1672</v>
      </c>
      <c r="I61" s="155" t="s">
        <v>236</v>
      </c>
      <c r="J61" s="155"/>
    </row>
    <row r="62" spans="1:10">
      <c r="A62" s="155" t="s">
        <v>162</v>
      </c>
      <c r="B62" s="155" t="s">
        <v>160</v>
      </c>
      <c r="C62" s="155" t="s">
        <v>161</v>
      </c>
      <c r="D62" s="155" t="s">
        <v>1668</v>
      </c>
      <c r="E62" s="155">
        <v>2.2000000000000002</v>
      </c>
      <c r="F62" s="155">
        <v>8</v>
      </c>
      <c r="G62" s="155">
        <v>350.4</v>
      </c>
      <c r="H62" s="155" t="s">
        <v>1673</v>
      </c>
      <c r="I62" s="155" t="s">
        <v>164</v>
      </c>
      <c r="J62" s="155"/>
    </row>
    <row r="63" spans="1:10">
      <c r="A63" s="155" t="s">
        <v>167</v>
      </c>
      <c r="B63" s="155" t="s">
        <v>165</v>
      </c>
      <c r="C63" s="155" t="s">
        <v>166</v>
      </c>
      <c r="D63" s="155" t="s">
        <v>1668</v>
      </c>
      <c r="E63" s="155">
        <v>1</v>
      </c>
      <c r="F63" s="155"/>
      <c r="G63" s="155"/>
      <c r="H63" s="155" t="s">
        <v>1672</v>
      </c>
      <c r="I63" s="155" t="s">
        <v>169</v>
      </c>
      <c r="J63" s="155" t="s">
        <v>1825</v>
      </c>
    </row>
    <row r="64" spans="1:10">
      <c r="A64" s="155" t="s">
        <v>1826</v>
      </c>
      <c r="B64" s="155" t="s">
        <v>1827</v>
      </c>
      <c r="C64" s="155" t="s">
        <v>1828</v>
      </c>
      <c r="D64" s="155" t="s">
        <v>1668</v>
      </c>
      <c r="E64" s="155"/>
      <c r="F64" s="155">
        <v>3</v>
      </c>
      <c r="G64" s="155">
        <v>81.900000000000006</v>
      </c>
      <c r="H64" s="155" t="s">
        <v>1673</v>
      </c>
      <c r="I64" s="155" t="s">
        <v>1829</v>
      </c>
      <c r="J64" s="155" t="s">
        <v>1830</v>
      </c>
    </row>
    <row r="65" spans="1:10">
      <c r="A65" s="155" t="s">
        <v>1831</v>
      </c>
      <c r="B65" s="155" t="s">
        <v>1832</v>
      </c>
      <c r="C65" s="155" t="s">
        <v>1833</v>
      </c>
      <c r="D65" s="155" t="s">
        <v>1668</v>
      </c>
      <c r="E65" s="155">
        <v>1</v>
      </c>
      <c r="F65" s="155"/>
      <c r="G65" s="155"/>
      <c r="H65" s="155" t="s">
        <v>1672</v>
      </c>
      <c r="I65" s="155" t="s">
        <v>1720</v>
      </c>
      <c r="J65" s="155" t="s">
        <v>1698</v>
      </c>
    </row>
    <row r="66" spans="1:10">
      <c r="A66" s="155" t="s">
        <v>176</v>
      </c>
      <c r="B66" s="155" t="s">
        <v>174</v>
      </c>
      <c r="C66" s="155" t="s">
        <v>175</v>
      </c>
      <c r="D66" s="155" t="s">
        <v>1668</v>
      </c>
      <c r="E66" s="155">
        <v>4.3</v>
      </c>
      <c r="F66" s="155">
        <v>38</v>
      </c>
      <c r="G66" s="155">
        <v>335.4</v>
      </c>
      <c r="H66" s="155" t="s">
        <v>1673</v>
      </c>
      <c r="I66" s="155" t="s">
        <v>178</v>
      </c>
      <c r="J66" s="155"/>
    </row>
    <row r="67" spans="1:10">
      <c r="A67" s="155" t="s">
        <v>181</v>
      </c>
      <c r="B67" s="155" t="s">
        <v>179</v>
      </c>
      <c r="C67" s="155" t="s">
        <v>180</v>
      </c>
      <c r="D67" s="155" t="s">
        <v>1668</v>
      </c>
      <c r="E67" s="155">
        <v>5.8</v>
      </c>
      <c r="F67" s="155">
        <v>26.5</v>
      </c>
      <c r="G67" s="155">
        <v>354.7</v>
      </c>
      <c r="H67" s="155" t="s">
        <v>1673</v>
      </c>
      <c r="I67" s="155" t="s">
        <v>178</v>
      </c>
      <c r="J67" s="155"/>
    </row>
    <row r="68" spans="1:10">
      <c r="A68" s="155" t="s">
        <v>185</v>
      </c>
      <c r="B68" s="155" t="s">
        <v>183</v>
      </c>
      <c r="C68" s="155" t="s">
        <v>184</v>
      </c>
      <c r="D68" s="155" t="s">
        <v>1668</v>
      </c>
      <c r="E68" s="155">
        <v>2.2999999999999998</v>
      </c>
      <c r="F68" s="155">
        <v>7.5</v>
      </c>
      <c r="G68" s="155">
        <v>331.5</v>
      </c>
      <c r="H68" s="155" t="s">
        <v>1673</v>
      </c>
      <c r="I68" s="155" t="s">
        <v>178</v>
      </c>
      <c r="J68" s="155"/>
    </row>
    <row r="69" spans="1:10">
      <c r="A69" s="155" t="s">
        <v>191</v>
      </c>
      <c r="B69" s="155" t="s">
        <v>189</v>
      </c>
      <c r="C69" s="155" t="s">
        <v>190</v>
      </c>
      <c r="D69" s="155" t="s">
        <v>1668</v>
      </c>
      <c r="E69" s="155">
        <v>1.5</v>
      </c>
      <c r="F69" s="155">
        <v>6</v>
      </c>
      <c r="G69" s="155">
        <v>331.7</v>
      </c>
      <c r="H69" s="155" t="s">
        <v>1673</v>
      </c>
      <c r="I69" s="155" t="s">
        <v>178</v>
      </c>
      <c r="J69" s="155"/>
    </row>
    <row r="70" spans="1:10">
      <c r="A70" s="155" t="s">
        <v>195</v>
      </c>
      <c r="B70" s="155" t="s">
        <v>193</v>
      </c>
      <c r="C70" s="155" t="s">
        <v>194</v>
      </c>
      <c r="D70" s="155" t="s">
        <v>1668</v>
      </c>
      <c r="E70" s="155"/>
      <c r="F70" s="155">
        <v>18</v>
      </c>
      <c r="G70" s="155">
        <v>347.6</v>
      </c>
      <c r="H70" s="155" t="s">
        <v>1673</v>
      </c>
      <c r="I70" s="155" t="s">
        <v>178</v>
      </c>
      <c r="J70" s="155"/>
    </row>
    <row r="71" spans="1:10">
      <c r="A71" s="155" t="s">
        <v>198</v>
      </c>
      <c r="B71" s="155" t="s">
        <v>196</v>
      </c>
      <c r="C71" s="155" t="s">
        <v>197</v>
      </c>
      <c r="D71" s="155" t="s">
        <v>1668</v>
      </c>
      <c r="E71" s="155">
        <v>4</v>
      </c>
      <c r="F71" s="155"/>
      <c r="G71" s="155"/>
      <c r="H71" s="155" t="s">
        <v>1672</v>
      </c>
      <c r="I71" s="155" t="s">
        <v>200</v>
      </c>
      <c r="J71" s="155" t="s">
        <v>1692</v>
      </c>
    </row>
    <row r="72" spans="1:10">
      <c r="A72" s="155" t="s">
        <v>203</v>
      </c>
      <c r="B72" s="155" t="s">
        <v>201</v>
      </c>
      <c r="C72" s="155" t="s">
        <v>202</v>
      </c>
      <c r="D72" s="155" t="s">
        <v>1668</v>
      </c>
      <c r="E72" s="155">
        <v>4</v>
      </c>
      <c r="F72" s="155"/>
      <c r="G72" s="155"/>
      <c r="H72" s="155" t="s">
        <v>1672</v>
      </c>
      <c r="I72" s="155" t="s">
        <v>205</v>
      </c>
      <c r="J72" s="155" t="s">
        <v>1825</v>
      </c>
    </row>
    <row r="73" spans="1:10">
      <c r="A73" s="155" t="s">
        <v>208</v>
      </c>
      <c r="B73" s="155" t="s">
        <v>206</v>
      </c>
      <c r="C73" s="155" t="s">
        <v>207</v>
      </c>
      <c r="D73" s="155" t="s">
        <v>1668</v>
      </c>
      <c r="E73" s="155">
        <v>2</v>
      </c>
      <c r="F73" s="155"/>
      <c r="G73" s="155"/>
      <c r="H73" s="155" t="s">
        <v>1672</v>
      </c>
      <c r="I73" s="155" t="s">
        <v>69</v>
      </c>
      <c r="J73" s="155" t="s">
        <v>1834</v>
      </c>
    </row>
    <row r="74" spans="1:10">
      <c r="A74" s="155" t="s">
        <v>212</v>
      </c>
      <c r="B74" s="155" t="s">
        <v>210</v>
      </c>
      <c r="C74" s="155" t="s">
        <v>211</v>
      </c>
      <c r="D74" s="155" t="s">
        <v>1668</v>
      </c>
      <c r="E74" s="155">
        <v>0.5</v>
      </c>
      <c r="F74" s="155"/>
      <c r="G74" s="155"/>
      <c r="H74" s="155" t="s">
        <v>1672</v>
      </c>
      <c r="I74" s="155" t="s">
        <v>69</v>
      </c>
      <c r="J74" s="155" t="s">
        <v>1825</v>
      </c>
    </row>
    <row r="75" spans="1:10">
      <c r="A75" s="155" t="s">
        <v>216</v>
      </c>
      <c r="B75" s="155" t="s">
        <v>214</v>
      </c>
      <c r="C75" s="155" t="s">
        <v>215</v>
      </c>
      <c r="D75" s="155" t="s">
        <v>1668</v>
      </c>
      <c r="E75" s="155">
        <v>6.9</v>
      </c>
      <c r="F75" s="155">
        <v>28.5</v>
      </c>
      <c r="G75" s="155">
        <v>383.4</v>
      </c>
      <c r="H75" s="155" t="s">
        <v>1673</v>
      </c>
      <c r="I75" s="155" t="s">
        <v>178</v>
      </c>
      <c r="J75" s="155"/>
    </row>
    <row r="76" spans="1:10">
      <c r="A76" s="155" t="s">
        <v>219</v>
      </c>
      <c r="B76" s="155" t="s">
        <v>217</v>
      </c>
      <c r="C76" s="155" t="s">
        <v>218</v>
      </c>
      <c r="D76" s="155" t="s">
        <v>1668</v>
      </c>
      <c r="E76" s="155">
        <v>7.4</v>
      </c>
      <c r="F76" s="155">
        <v>3.5</v>
      </c>
      <c r="G76" s="155">
        <v>324.2</v>
      </c>
      <c r="H76" s="155" t="s">
        <v>1673</v>
      </c>
      <c r="I76" s="155" t="s">
        <v>178</v>
      </c>
      <c r="J76" s="155"/>
    </row>
    <row r="77" spans="1:10">
      <c r="A77" s="155" t="s">
        <v>233</v>
      </c>
      <c r="B77" s="155" t="s">
        <v>231</v>
      </c>
      <c r="C77" s="155" t="s">
        <v>232</v>
      </c>
      <c r="D77" s="155" t="s">
        <v>1668</v>
      </c>
      <c r="E77" s="155">
        <v>0.3</v>
      </c>
      <c r="F77" s="155"/>
      <c r="G77" s="155"/>
      <c r="H77" s="155" t="s">
        <v>1672</v>
      </c>
      <c r="I77" s="155" t="s">
        <v>236</v>
      </c>
      <c r="J77" s="155"/>
    </row>
    <row r="78" spans="1:10">
      <c r="A78" s="155" t="s">
        <v>239</v>
      </c>
      <c r="B78" s="155" t="s">
        <v>237</v>
      </c>
      <c r="C78" s="155" t="s">
        <v>238</v>
      </c>
      <c r="D78" s="155" t="s">
        <v>1668</v>
      </c>
      <c r="E78" s="155">
        <v>0.4</v>
      </c>
      <c r="F78" s="155"/>
      <c r="G78" s="155"/>
      <c r="H78" s="155" t="s">
        <v>1672</v>
      </c>
      <c r="I78" s="155" t="s">
        <v>240</v>
      </c>
      <c r="J78" s="155" t="s">
        <v>1835</v>
      </c>
    </row>
    <row r="79" spans="1:10">
      <c r="A79" s="155" t="s">
        <v>1836</v>
      </c>
      <c r="B79" s="155" t="s">
        <v>1837</v>
      </c>
      <c r="C79" s="155" t="s">
        <v>1838</v>
      </c>
      <c r="D79" s="155" t="s">
        <v>1668</v>
      </c>
      <c r="E79" s="155">
        <v>0.2</v>
      </c>
      <c r="F79" s="155"/>
      <c r="G79" s="155"/>
      <c r="H79" s="155" t="s">
        <v>1672</v>
      </c>
      <c r="I79" s="155" t="s">
        <v>1839</v>
      </c>
      <c r="J79" s="155" t="s">
        <v>1840</v>
      </c>
    </row>
    <row r="80" spans="1:10">
      <c r="A80" s="155" t="s">
        <v>1841</v>
      </c>
      <c r="B80" s="155" t="s">
        <v>1842</v>
      </c>
      <c r="C80" s="155" t="s">
        <v>1843</v>
      </c>
      <c r="D80" s="155" t="s">
        <v>1668</v>
      </c>
      <c r="E80" s="155">
        <v>0.2</v>
      </c>
      <c r="F80" s="155"/>
      <c r="G80" s="155"/>
      <c r="H80" s="155" t="s">
        <v>1672</v>
      </c>
      <c r="I80" s="155" t="s">
        <v>1844</v>
      </c>
      <c r="J80" s="155" t="s">
        <v>1840</v>
      </c>
    </row>
    <row r="81" spans="1:10">
      <c r="A81" s="155" t="s">
        <v>1845</v>
      </c>
      <c r="B81" s="155" t="s">
        <v>1846</v>
      </c>
      <c r="C81" s="155" t="s">
        <v>1847</v>
      </c>
      <c r="D81" s="155" t="s">
        <v>1668</v>
      </c>
      <c r="E81" s="155">
        <v>10.7</v>
      </c>
      <c r="F81" s="155"/>
      <c r="G81" s="155"/>
      <c r="H81" s="155" t="s">
        <v>1672</v>
      </c>
      <c r="I81" s="155" t="s">
        <v>1844</v>
      </c>
      <c r="J81" s="155" t="s">
        <v>1848</v>
      </c>
    </row>
    <row r="82" spans="1:10">
      <c r="A82" s="155" t="s">
        <v>1849</v>
      </c>
      <c r="B82" s="155" t="s">
        <v>1850</v>
      </c>
      <c r="C82" s="155" t="s">
        <v>1851</v>
      </c>
      <c r="D82" s="155" t="s">
        <v>1668</v>
      </c>
      <c r="E82" s="155">
        <v>14</v>
      </c>
      <c r="F82" s="155"/>
      <c r="G82" s="155"/>
      <c r="H82" s="155" t="s">
        <v>1672</v>
      </c>
      <c r="I82" s="155" t="s">
        <v>1844</v>
      </c>
      <c r="J82" s="155" t="s">
        <v>1852</v>
      </c>
    </row>
    <row r="83" spans="1:10">
      <c r="A83" s="155" t="s">
        <v>1853</v>
      </c>
      <c r="B83" s="155" t="s">
        <v>1854</v>
      </c>
      <c r="C83" s="155" t="s">
        <v>1855</v>
      </c>
      <c r="D83" s="155" t="s">
        <v>1668</v>
      </c>
      <c r="E83" s="155">
        <v>0.7</v>
      </c>
      <c r="F83" s="155"/>
      <c r="G83" s="155"/>
      <c r="H83" s="155" t="s">
        <v>1672</v>
      </c>
      <c r="I83" s="155" t="s">
        <v>1809</v>
      </c>
      <c r="J83" s="155" t="s">
        <v>1691</v>
      </c>
    </row>
    <row r="84" spans="1:10">
      <c r="A84" s="155" t="s">
        <v>1856</v>
      </c>
      <c r="B84" s="155" t="s">
        <v>1857</v>
      </c>
      <c r="C84" s="155" t="s">
        <v>1858</v>
      </c>
      <c r="D84" s="155" t="s">
        <v>1668</v>
      </c>
      <c r="E84" s="155">
        <v>0.7</v>
      </c>
      <c r="F84" s="155"/>
      <c r="G84" s="155"/>
      <c r="H84" s="155" t="s">
        <v>1672</v>
      </c>
      <c r="I84" s="155" t="s">
        <v>98</v>
      </c>
      <c r="J84" s="155" t="s">
        <v>1859</v>
      </c>
    </row>
    <row r="85" spans="1:10">
      <c r="A85" s="155" t="s">
        <v>1860</v>
      </c>
      <c r="B85" s="155" t="s">
        <v>1861</v>
      </c>
      <c r="C85" s="155" t="s">
        <v>1862</v>
      </c>
      <c r="D85" s="155" t="s">
        <v>1668</v>
      </c>
      <c r="E85" s="155">
        <v>1.1000000000000001</v>
      </c>
      <c r="F85" s="155"/>
      <c r="G85" s="155"/>
      <c r="H85" s="155" t="s">
        <v>1672</v>
      </c>
      <c r="I85" s="155" t="s">
        <v>1697</v>
      </c>
      <c r="J85" s="155" t="s">
        <v>1863</v>
      </c>
    </row>
    <row r="86" spans="1:10">
      <c r="A86" s="155" t="s">
        <v>1864</v>
      </c>
      <c r="B86" s="155" t="s">
        <v>1865</v>
      </c>
      <c r="C86" s="155" t="s">
        <v>1866</v>
      </c>
      <c r="D86" s="155" t="s">
        <v>1668</v>
      </c>
      <c r="E86" s="155">
        <v>0.4</v>
      </c>
      <c r="F86" s="155"/>
      <c r="G86" s="155"/>
      <c r="H86" s="155" t="s">
        <v>1672</v>
      </c>
      <c r="I86" s="155" t="s">
        <v>1867</v>
      </c>
      <c r="J86" s="155" t="s">
        <v>1868</v>
      </c>
    </row>
    <row r="87" spans="1:10">
      <c r="A87" s="155" t="s">
        <v>1869</v>
      </c>
      <c r="B87" s="155" t="s">
        <v>1870</v>
      </c>
      <c r="C87" s="155" t="s">
        <v>1871</v>
      </c>
      <c r="D87" s="155" t="s">
        <v>1668</v>
      </c>
      <c r="E87" s="155">
        <v>0.7</v>
      </c>
      <c r="F87" s="155"/>
      <c r="G87" s="155"/>
      <c r="H87" s="155" t="s">
        <v>1672</v>
      </c>
      <c r="I87" s="155" t="s">
        <v>1872</v>
      </c>
      <c r="J87" s="155" t="s">
        <v>1692</v>
      </c>
    </row>
    <row r="88" spans="1:10">
      <c r="A88" s="155" t="s">
        <v>250</v>
      </c>
      <c r="B88" s="155" t="s">
        <v>248</v>
      </c>
      <c r="C88" s="155" t="s">
        <v>249</v>
      </c>
      <c r="D88" s="155" t="s">
        <v>1668</v>
      </c>
      <c r="E88" s="155"/>
      <c r="F88" s="155">
        <v>21</v>
      </c>
      <c r="G88" s="155">
        <v>24.9</v>
      </c>
      <c r="H88" s="155" t="s">
        <v>1673</v>
      </c>
      <c r="I88" s="155" t="s">
        <v>251</v>
      </c>
      <c r="J88" s="155" t="s">
        <v>1873</v>
      </c>
    </row>
    <row r="89" spans="1:10">
      <c r="A89" s="155" t="s">
        <v>1874</v>
      </c>
      <c r="B89" s="155" t="s">
        <v>1875</v>
      </c>
      <c r="C89" s="155" t="s">
        <v>1876</v>
      </c>
      <c r="D89" s="155" t="s">
        <v>1668</v>
      </c>
      <c r="E89" s="155">
        <v>2.5</v>
      </c>
      <c r="F89" s="155"/>
      <c r="G89" s="155"/>
      <c r="H89" s="155" t="s">
        <v>1672</v>
      </c>
      <c r="I89" s="155" t="s">
        <v>1877</v>
      </c>
      <c r="J89" s="155" t="s">
        <v>1878</v>
      </c>
    </row>
    <row r="90" spans="1:10">
      <c r="A90" s="155" t="s">
        <v>262</v>
      </c>
      <c r="B90" s="155" t="s">
        <v>260</v>
      </c>
      <c r="C90" s="155" t="s">
        <v>261</v>
      </c>
      <c r="D90" s="155" t="s">
        <v>1668</v>
      </c>
      <c r="E90" s="155">
        <v>0.2</v>
      </c>
      <c r="F90" s="155"/>
      <c r="G90" s="155"/>
      <c r="H90" s="155" t="s">
        <v>1672</v>
      </c>
      <c r="I90" s="155" t="s">
        <v>263</v>
      </c>
      <c r="J90" s="155" t="s">
        <v>1879</v>
      </c>
    </row>
    <row r="91" spans="1:10">
      <c r="A91" s="155" t="s">
        <v>1880</v>
      </c>
      <c r="B91" s="155" t="s">
        <v>1881</v>
      </c>
      <c r="C91" s="155" t="s">
        <v>1882</v>
      </c>
      <c r="D91" s="155" t="s">
        <v>1668</v>
      </c>
      <c r="E91" s="155">
        <v>1.7</v>
      </c>
      <c r="F91" s="155"/>
      <c r="G91" s="155"/>
      <c r="H91" s="155" t="s">
        <v>1672</v>
      </c>
      <c r="I91" s="155" t="s">
        <v>1883</v>
      </c>
      <c r="J91" s="155" t="s">
        <v>1884</v>
      </c>
    </row>
    <row r="92" spans="1:10">
      <c r="A92" s="155" t="s">
        <v>1885</v>
      </c>
      <c r="B92" s="155" t="s">
        <v>1886</v>
      </c>
      <c r="C92" s="155" t="s">
        <v>1887</v>
      </c>
      <c r="D92" s="155" t="s">
        <v>1668</v>
      </c>
      <c r="E92" s="155">
        <v>1.3</v>
      </c>
      <c r="F92" s="155"/>
      <c r="G92" s="155"/>
      <c r="H92" s="155" t="s">
        <v>1672</v>
      </c>
      <c r="I92" s="155" t="s">
        <v>1883</v>
      </c>
      <c r="J92" s="155" t="s">
        <v>1888</v>
      </c>
    </row>
    <row r="93" spans="1:10">
      <c r="A93" s="155" t="s">
        <v>266</v>
      </c>
      <c r="B93" s="155" t="s">
        <v>264</v>
      </c>
      <c r="C93" s="155" t="s">
        <v>265</v>
      </c>
      <c r="D93" s="155" t="s">
        <v>1668</v>
      </c>
      <c r="E93" s="155"/>
      <c r="F93" s="155">
        <v>7.8</v>
      </c>
      <c r="G93" s="155">
        <v>355.4</v>
      </c>
      <c r="H93" s="155" t="s">
        <v>1673</v>
      </c>
      <c r="I93" s="155" t="s">
        <v>267</v>
      </c>
      <c r="J93" s="155" t="s">
        <v>1698</v>
      </c>
    </row>
    <row r="94" spans="1:10">
      <c r="A94" s="155" t="s">
        <v>270</v>
      </c>
      <c r="B94" s="155" t="s">
        <v>268</v>
      </c>
      <c r="C94" s="155" t="s">
        <v>269</v>
      </c>
      <c r="D94" s="155" t="s">
        <v>1668</v>
      </c>
      <c r="E94" s="155">
        <v>0.3</v>
      </c>
      <c r="F94" s="155">
        <v>2</v>
      </c>
      <c r="G94" s="155">
        <v>143.9</v>
      </c>
      <c r="H94" s="155" t="s">
        <v>1673</v>
      </c>
      <c r="I94" s="155" t="s">
        <v>271</v>
      </c>
      <c r="J94" s="155" t="s">
        <v>1889</v>
      </c>
    </row>
    <row r="95" spans="1:10">
      <c r="A95" s="155" t="s">
        <v>1890</v>
      </c>
      <c r="B95" s="155" t="s">
        <v>1891</v>
      </c>
      <c r="C95" s="155" t="s">
        <v>1892</v>
      </c>
      <c r="D95" s="155" t="s">
        <v>1668</v>
      </c>
      <c r="E95" s="155">
        <v>17.5</v>
      </c>
      <c r="F95" s="155">
        <v>4</v>
      </c>
      <c r="G95" s="155">
        <v>368.8</v>
      </c>
      <c r="H95" s="155" t="s">
        <v>1673</v>
      </c>
      <c r="I95" s="155" t="s">
        <v>1720</v>
      </c>
      <c r="J95" s="155" t="s">
        <v>1893</v>
      </c>
    </row>
    <row r="96" spans="1:10">
      <c r="A96" s="155" t="s">
        <v>1894</v>
      </c>
      <c r="B96" s="155" t="s">
        <v>1895</v>
      </c>
      <c r="C96" s="155" t="s">
        <v>1896</v>
      </c>
      <c r="D96" s="155" t="s">
        <v>1897</v>
      </c>
      <c r="E96" s="155">
        <v>30.3</v>
      </c>
      <c r="F96" s="155"/>
      <c r="G96" s="155"/>
      <c r="H96" s="155" t="s">
        <v>1672</v>
      </c>
      <c r="I96" s="155" t="s">
        <v>105</v>
      </c>
      <c r="J96" s="155"/>
    </row>
    <row r="97" spans="1:10">
      <c r="A97" s="155" t="s">
        <v>1898</v>
      </c>
      <c r="B97" s="155" t="s">
        <v>1899</v>
      </c>
      <c r="C97" s="155" t="s">
        <v>1900</v>
      </c>
      <c r="D97" s="155" t="s">
        <v>1668</v>
      </c>
      <c r="E97" s="155">
        <v>13</v>
      </c>
      <c r="F97" s="155"/>
      <c r="G97" s="155"/>
      <c r="H97" s="155" t="s">
        <v>1672</v>
      </c>
      <c r="I97" s="155" t="s">
        <v>1901</v>
      </c>
      <c r="J97" s="155" t="s">
        <v>1902</v>
      </c>
    </row>
    <row r="98" spans="1:10">
      <c r="A98" s="155" t="s">
        <v>1903</v>
      </c>
      <c r="B98" s="155" t="s">
        <v>1904</v>
      </c>
      <c r="C98" s="155" t="s">
        <v>1905</v>
      </c>
      <c r="D98" s="155" t="s">
        <v>1668</v>
      </c>
      <c r="E98" s="155">
        <v>13</v>
      </c>
      <c r="F98" s="155"/>
      <c r="G98" s="155"/>
      <c r="H98" s="155" t="s">
        <v>1672</v>
      </c>
      <c r="I98" s="155" t="s">
        <v>1901</v>
      </c>
      <c r="J98" s="155" t="s">
        <v>1902</v>
      </c>
    </row>
    <row r="99" spans="1:10">
      <c r="A99" s="155" t="s">
        <v>1906</v>
      </c>
      <c r="B99" s="155" t="s">
        <v>1907</v>
      </c>
      <c r="C99" s="155" t="s">
        <v>1908</v>
      </c>
      <c r="D99" s="155" t="s">
        <v>1668</v>
      </c>
      <c r="E99" s="155">
        <v>0.7</v>
      </c>
      <c r="F99" s="155"/>
      <c r="G99" s="155"/>
      <c r="H99" s="155" t="s">
        <v>1672</v>
      </c>
      <c r="I99" s="155" t="s">
        <v>1909</v>
      </c>
      <c r="J99" s="155" t="s">
        <v>1878</v>
      </c>
    </row>
    <row r="100" spans="1:10">
      <c r="A100" s="155" t="s">
        <v>1910</v>
      </c>
      <c r="B100" s="155" t="s">
        <v>1911</v>
      </c>
      <c r="C100" s="155" t="s">
        <v>1912</v>
      </c>
      <c r="D100" s="155" t="s">
        <v>1668</v>
      </c>
      <c r="E100" s="155">
        <v>0.7</v>
      </c>
      <c r="F100" s="155"/>
      <c r="G100" s="155"/>
      <c r="H100" s="155" t="s">
        <v>1672</v>
      </c>
      <c r="I100" s="155" t="s">
        <v>1909</v>
      </c>
      <c r="J100" s="155" t="s">
        <v>1878</v>
      </c>
    </row>
    <row r="101" spans="1:10">
      <c r="A101" s="155" t="s">
        <v>1913</v>
      </c>
      <c r="B101" s="155" t="s">
        <v>1914</v>
      </c>
      <c r="C101" s="155" t="s">
        <v>1915</v>
      </c>
      <c r="D101" s="155" t="s">
        <v>1671</v>
      </c>
      <c r="E101" s="155"/>
      <c r="F101" s="155"/>
      <c r="G101" s="155"/>
      <c r="H101" s="155" t="s">
        <v>1672</v>
      </c>
      <c r="I101" s="155" t="s">
        <v>236</v>
      </c>
      <c r="J101" s="155"/>
    </row>
    <row r="102" spans="1:10">
      <c r="A102" s="155" t="s">
        <v>279</v>
      </c>
      <c r="B102" s="155" t="s">
        <v>277</v>
      </c>
      <c r="C102" s="155" t="s">
        <v>278</v>
      </c>
      <c r="D102" s="155" t="s">
        <v>1668</v>
      </c>
      <c r="E102" s="155">
        <v>1</v>
      </c>
      <c r="F102" s="155"/>
      <c r="G102" s="155"/>
      <c r="H102" s="155" t="s">
        <v>1672</v>
      </c>
      <c r="I102" s="155" t="s">
        <v>281</v>
      </c>
      <c r="J102" s="155" t="s">
        <v>1916</v>
      </c>
    </row>
    <row r="103" spans="1:10">
      <c r="A103" s="155" t="s">
        <v>284</v>
      </c>
      <c r="B103" s="155" t="s">
        <v>282</v>
      </c>
      <c r="C103" s="155" t="s">
        <v>283</v>
      </c>
      <c r="D103" s="155" t="s">
        <v>1668</v>
      </c>
      <c r="E103" s="155">
        <v>65</v>
      </c>
      <c r="F103" s="155"/>
      <c r="G103" s="155"/>
      <c r="H103" s="155" t="s">
        <v>1672</v>
      </c>
      <c r="I103" s="155" t="s">
        <v>285</v>
      </c>
      <c r="J103" s="155" t="s">
        <v>1917</v>
      </c>
    </row>
    <row r="104" spans="1:10">
      <c r="A104" s="155" t="s">
        <v>1918</v>
      </c>
      <c r="B104" s="155" t="s">
        <v>1919</v>
      </c>
      <c r="C104" s="155" t="s">
        <v>1920</v>
      </c>
      <c r="D104" s="155" t="s">
        <v>1668</v>
      </c>
      <c r="E104" s="155">
        <v>0.2</v>
      </c>
      <c r="F104" s="155"/>
      <c r="G104" s="155"/>
      <c r="H104" s="155" t="s">
        <v>1672</v>
      </c>
      <c r="I104" s="155" t="s">
        <v>1921</v>
      </c>
      <c r="J104" s="155" t="s">
        <v>1840</v>
      </c>
    </row>
    <row r="105" spans="1:10">
      <c r="A105" s="155" t="s">
        <v>1922</v>
      </c>
      <c r="B105" s="155" t="s">
        <v>1923</v>
      </c>
      <c r="C105" s="155" t="s">
        <v>1924</v>
      </c>
      <c r="D105" s="155" t="s">
        <v>1668</v>
      </c>
      <c r="E105" s="155">
        <v>0.2</v>
      </c>
      <c r="F105" s="155"/>
      <c r="G105" s="155"/>
      <c r="H105" s="155" t="s">
        <v>1672</v>
      </c>
      <c r="I105" s="155" t="s">
        <v>1921</v>
      </c>
      <c r="J105" s="155" t="s">
        <v>1840</v>
      </c>
    </row>
    <row r="106" spans="1:10">
      <c r="A106" s="155" t="s">
        <v>1925</v>
      </c>
      <c r="B106" s="155" t="s">
        <v>1926</v>
      </c>
      <c r="C106" s="155" t="s">
        <v>1927</v>
      </c>
      <c r="D106" s="155" t="s">
        <v>1668</v>
      </c>
      <c r="E106" s="155">
        <v>0.1</v>
      </c>
      <c r="F106" s="155"/>
      <c r="G106" s="155"/>
      <c r="H106" s="155" t="s">
        <v>1672</v>
      </c>
      <c r="I106" s="155" t="s">
        <v>1921</v>
      </c>
      <c r="J106" s="155" t="s">
        <v>1698</v>
      </c>
    </row>
    <row r="107" spans="1:10">
      <c r="A107" s="155" t="s">
        <v>1928</v>
      </c>
      <c r="B107" s="155" t="s">
        <v>1929</v>
      </c>
      <c r="C107" s="155" t="s">
        <v>1930</v>
      </c>
      <c r="D107" s="155" t="s">
        <v>1668</v>
      </c>
      <c r="E107" s="155">
        <v>1.8</v>
      </c>
      <c r="F107" s="155">
        <v>20.5</v>
      </c>
      <c r="G107" s="155">
        <v>142.1</v>
      </c>
      <c r="H107" s="155" t="s">
        <v>1673</v>
      </c>
      <c r="I107" s="155" t="s">
        <v>1931</v>
      </c>
      <c r="J107" s="155" t="s">
        <v>1721</v>
      </c>
    </row>
    <row r="108" spans="1:10">
      <c r="A108" s="155" t="s">
        <v>1932</v>
      </c>
      <c r="B108" s="155" t="s">
        <v>1933</v>
      </c>
      <c r="C108" s="155" t="s">
        <v>1934</v>
      </c>
      <c r="D108" s="155" t="s">
        <v>1668</v>
      </c>
      <c r="E108" s="155">
        <v>0.2</v>
      </c>
      <c r="F108" s="155"/>
      <c r="G108" s="155"/>
      <c r="H108" s="155" t="s">
        <v>1672</v>
      </c>
      <c r="I108" s="155" t="s">
        <v>1935</v>
      </c>
      <c r="J108" s="155" t="s">
        <v>1698</v>
      </c>
    </row>
    <row r="109" spans="1:10">
      <c r="A109" s="155" t="s">
        <v>1936</v>
      </c>
      <c r="B109" s="155" t="s">
        <v>1937</v>
      </c>
      <c r="C109" s="155" t="s">
        <v>1938</v>
      </c>
      <c r="D109" s="155" t="s">
        <v>1668</v>
      </c>
      <c r="E109" s="155">
        <v>0.2</v>
      </c>
      <c r="F109" s="155"/>
      <c r="G109" s="155"/>
      <c r="H109" s="155" t="s">
        <v>1672</v>
      </c>
      <c r="I109" s="155" t="s">
        <v>1935</v>
      </c>
      <c r="J109" s="155" t="s">
        <v>1840</v>
      </c>
    </row>
    <row r="110" spans="1:10">
      <c r="A110" s="155" t="s">
        <v>1939</v>
      </c>
      <c r="B110" s="155" t="s">
        <v>1940</v>
      </c>
      <c r="C110" s="155" t="s">
        <v>1941</v>
      </c>
      <c r="D110" s="155" t="s">
        <v>1668</v>
      </c>
      <c r="E110" s="155">
        <v>0.5</v>
      </c>
      <c r="F110" s="155">
        <v>11</v>
      </c>
      <c r="G110" s="155">
        <v>82.1</v>
      </c>
      <c r="H110" s="155" t="s">
        <v>1673</v>
      </c>
      <c r="I110" s="155" t="s">
        <v>1942</v>
      </c>
      <c r="J110" s="155" t="s">
        <v>1943</v>
      </c>
    </row>
    <row r="111" spans="1:10">
      <c r="A111" s="155" t="s">
        <v>304</v>
      </c>
      <c r="B111" s="155" t="s">
        <v>302</v>
      </c>
      <c r="C111" s="155" t="s">
        <v>303</v>
      </c>
      <c r="D111" s="155" t="s">
        <v>1668</v>
      </c>
      <c r="E111" s="155">
        <v>0.5</v>
      </c>
      <c r="F111" s="155"/>
      <c r="G111" s="155"/>
      <c r="H111" s="155" t="s">
        <v>1672</v>
      </c>
      <c r="I111" s="155" t="s">
        <v>53</v>
      </c>
      <c r="J111" s="155"/>
    </row>
    <row r="112" spans="1:10">
      <c r="A112" s="155" t="s">
        <v>308</v>
      </c>
      <c r="B112" s="155" t="s">
        <v>306</v>
      </c>
      <c r="C112" s="155" t="s">
        <v>307</v>
      </c>
      <c r="D112" s="155" t="s">
        <v>1668</v>
      </c>
      <c r="E112" s="155">
        <v>1</v>
      </c>
      <c r="F112" s="155"/>
      <c r="G112" s="155"/>
      <c r="H112" s="155" t="s">
        <v>1672</v>
      </c>
      <c r="I112" s="155" t="s">
        <v>53</v>
      </c>
      <c r="J112" s="155" t="s">
        <v>1944</v>
      </c>
    </row>
    <row r="113" spans="1:10">
      <c r="A113" s="155" t="s">
        <v>312</v>
      </c>
      <c r="B113" s="155" t="s">
        <v>310</v>
      </c>
      <c r="C113" s="155" t="s">
        <v>311</v>
      </c>
      <c r="D113" s="155" t="s">
        <v>1668</v>
      </c>
      <c r="E113" s="155">
        <v>4</v>
      </c>
      <c r="F113" s="155"/>
      <c r="G113" s="155"/>
      <c r="H113" s="155" t="s">
        <v>1672</v>
      </c>
      <c r="I113" s="155" t="s">
        <v>53</v>
      </c>
      <c r="J113" s="155" t="s">
        <v>1868</v>
      </c>
    </row>
    <row r="114" spans="1:10">
      <c r="A114" s="155" t="s">
        <v>316</v>
      </c>
      <c r="B114" s="155" t="s">
        <v>314</v>
      </c>
      <c r="C114" s="155" t="s">
        <v>315</v>
      </c>
      <c r="D114" s="155" t="s">
        <v>1668</v>
      </c>
      <c r="E114" s="155">
        <v>0.5</v>
      </c>
      <c r="F114" s="155"/>
      <c r="G114" s="155"/>
      <c r="H114" s="155" t="s">
        <v>1672</v>
      </c>
      <c r="I114" s="155" t="s">
        <v>53</v>
      </c>
      <c r="J114" s="155" t="s">
        <v>1945</v>
      </c>
    </row>
    <row r="115" spans="1:10">
      <c r="A115" s="155" t="s">
        <v>319</v>
      </c>
      <c r="B115" s="155" t="s">
        <v>317</v>
      </c>
      <c r="C115" s="155" t="s">
        <v>318</v>
      </c>
      <c r="D115" s="155" t="s">
        <v>1668</v>
      </c>
      <c r="E115" s="155">
        <v>48</v>
      </c>
      <c r="F115" s="155"/>
      <c r="G115" s="155"/>
      <c r="H115" s="155" t="s">
        <v>1672</v>
      </c>
      <c r="I115" s="155" t="s">
        <v>205</v>
      </c>
      <c r="J115" s="155" t="s">
        <v>1946</v>
      </c>
    </row>
    <row r="116" spans="1:10">
      <c r="A116" s="155" t="s">
        <v>323</v>
      </c>
      <c r="B116" s="155" t="s">
        <v>321</v>
      </c>
      <c r="C116" s="155" t="s">
        <v>322</v>
      </c>
      <c r="D116" s="155" t="s">
        <v>1668</v>
      </c>
      <c r="E116" s="155">
        <v>6</v>
      </c>
      <c r="F116" s="155"/>
      <c r="G116" s="155"/>
      <c r="H116" s="155" t="s">
        <v>1672</v>
      </c>
      <c r="I116" s="155" t="s">
        <v>205</v>
      </c>
      <c r="J116" s="155" t="s">
        <v>1692</v>
      </c>
    </row>
    <row r="117" spans="1:10">
      <c r="A117" s="155" t="s">
        <v>327</v>
      </c>
      <c r="B117" s="155" t="s">
        <v>325</v>
      </c>
      <c r="C117" s="155" t="s">
        <v>326</v>
      </c>
      <c r="D117" s="155" t="s">
        <v>1668</v>
      </c>
      <c r="E117" s="155">
        <v>3.3</v>
      </c>
      <c r="F117" s="155">
        <v>2</v>
      </c>
      <c r="G117" s="155">
        <v>354.6</v>
      </c>
      <c r="H117" s="155" t="s">
        <v>1673</v>
      </c>
      <c r="I117" s="155" t="s">
        <v>41</v>
      </c>
      <c r="J117" s="155"/>
    </row>
    <row r="118" spans="1:10">
      <c r="A118" s="155" t="s">
        <v>331</v>
      </c>
      <c r="B118" s="155" t="s">
        <v>329</v>
      </c>
      <c r="C118" s="155" t="s">
        <v>330</v>
      </c>
      <c r="D118" s="155" t="s">
        <v>1668</v>
      </c>
      <c r="E118" s="155">
        <v>11.7</v>
      </c>
      <c r="F118" s="155">
        <v>3</v>
      </c>
      <c r="G118" s="155">
        <v>355.1</v>
      </c>
      <c r="H118" s="155" t="s">
        <v>1673</v>
      </c>
      <c r="I118" s="155" t="s">
        <v>41</v>
      </c>
      <c r="J118" s="155"/>
    </row>
    <row r="119" spans="1:10">
      <c r="A119" s="155" t="s">
        <v>334</v>
      </c>
      <c r="B119" s="155" t="s">
        <v>332</v>
      </c>
      <c r="C119" s="155" t="s">
        <v>333</v>
      </c>
      <c r="D119" s="155" t="s">
        <v>1668</v>
      </c>
      <c r="E119" s="155">
        <v>5.2</v>
      </c>
      <c r="F119" s="155">
        <v>7</v>
      </c>
      <c r="G119" s="155">
        <v>324.10000000000002</v>
      </c>
      <c r="H119" s="155" t="s">
        <v>1673</v>
      </c>
      <c r="I119" s="155" t="s">
        <v>41</v>
      </c>
      <c r="J119" s="155"/>
    </row>
    <row r="120" spans="1:10">
      <c r="A120" s="155" t="s">
        <v>337</v>
      </c>
      <c r="B120" s="155" t="s">
        <v>335</v>
      </c>
      <c r="C120" s="155" t="s">
        <v>336</v>
      </c>
      <c r="D120" s="155" t="s">
        <v>1668</v>
      </c>
      <c r="E120" s="155">
        <v>3</v>
      </c>
      <c r="F120" s="155">
        <v>9</v>
      </c>
      <c r="G120" s="155">
        <v>300</v>
      </c>
      <c r="H120" s="155" t="s">
        <v>1673</v>
      </c>
      <c r="I120" s="155" t="s">
        <v>41</v>
      </c>
      <c r="J120" s="155"/>
    </row>
    <row r="121" spans="1:10">
      <c r="A121" s="155" t="s">
        <v>340</v>
      </c>
      <c r="B121" s="155" t="s">
        <v>338</v>
      </c>
      <c r="C121" s="155" t="s">
        <v>339</v>
      </c>
      <c r="D121" s="155" t="s">
        <v>1668</v>
      </c>
      <c r="E121" s="155">
        <v>1.8</v>
      </c>
      <c r="F121" s="155">
        <v>14.5</v>
      </c>
      <c r="G121" s="155">
        <v>338.1</v>
      </c>
      <c r="H121" s="155" t="s">
        <v>1673</v>
      </c>
      <c r="I121" s="155" t="s">
        <v>41</v>
      </c>
      <c r="J121" s="155"/>
    </row>
    <row r="122" spans="1:10">
      <c r="A122" s="155" t="s">
        <v>344</v>
      </c>
      <c r="B122" s="155" t="s">
        <v>342</v>
      </c>
      <c r="C122" s="155" t="s">
        <v>343</v>
      </c>
      <c r="D122" s="155" t="s">
        <v>1668</v>
      </c>
      <c r="E122" s="155">
        <v>2</v>
      </c>
      <c r="F122" s="155">
        <v>11.5</v>
      </c>
      <c r="G122" s="155">
        <v>327.10000000000002</v>
      </c>
      <c r="H122" s="155" t="s">
        <v>1673</v>
      </c>
      <c r="I122" s="155" t="s">
        <v>41</v>
      </c>
      <c r="J122" s="155"/>
    </row>
    <row r="123" spans="1:10">
      <c r="A123" s="155" t="s">
        <v>347</v>
      </c>
      <c r="B123" s="155" t="s">
        <v>345</v>
      </c>
      <c r="C123" s="155" t="s">
        <v>346</v>
      </c>
      <c r="D123" s="155" t="s">
        <v>1668</v>
      </c>
      <c r="E123" s="155">
        <v>2</v>
      </c>
      <c r="F123" s="155">
        <v>4.5</v>
      </c>
      <c r="G123" s="155">
        <v>324.2</v>
      </c>
      <c r="H123" s="155" t="s">
        <v>1673</v>
      </c>
      <c r="I123" s="155" t="s">
        <v>41</v>
      </c>
      <c r="J123" s="155"/>
    </row>
    <row r="124" spans="1:10">
      <c r="A124" s="155" t="s">
        <v>350</v>
      </c>
      <c r="B124" s="155" t="s">
        <v>348</v>
      </c>
      <c r="C124" s="155" t="s">
        <v>349</v>
      </c>
      <c r="D124" s="155" t="s">
        <v>1668</v>
      </c>
      <c r="E124" s="155">
        <v>3</v>
      </c>
      <c r="F124" s="155"/>
      <c r="G124" s="155"/>
      <c r="H124" s="155" t="s">
        <v>1672</v>
      </c>
      <c r="I124" s="155" t="s">
        <v>41</v>
      </c>
      <c r="J124" s="155"/>
    </row>
    <row r="125" spans="1:10">
      <c r="A125" s="155" t="s">
        <v>353</v>
      </c>
      <c r="B125" s="155" t="s">
        <v>351</v>
      </c>
      <c r="C125" s="155" t="s">
        <v>352</v>
      </c>
      <c r="D125" s="155" t="s">
        <v>1668</v>
      </c>
      <c r="E125" s="155">
        <v>0.5</v>
      </c>
      <c r="F125" s="155"/>
      <c r="G125" s="155"/>
      <c r="H125" s="155" t="s">
        <v>1672</v>
      </c>
      <c r="I125" s="155" t="s">
        <v>41</v>
      </c>
      <c r="J125" s="155"/>
    </row>
    <row r="126" spans="1:10">
      <c r="A126" s="155" t="s">
        <v>356</v>
      </c>
      <c r="B126" s="155" t="s">
        <v>354</v>
      </c>
      <c r="C126" s="155" t="s">
        <v>355</v>
      </c>
      <c r="D126" s="155" t="s">
        <v>1668</v>
      </c>
      <c r="E126" s="155">
        <v>0.5</v>
      </c>
      <c r="F126" s="155">
        <v>157.5</v>
      </c>
      <c r="G126" s="155">
        <v>193</v>
      </c>
      <c r="H126" s="155" t="s">
        <v>1673</v>
      </c>
      <c r="I126" s="155" t="s">
        <v>41</v>
      </c>
      <c r="J126" s="155"/>
    </row>
    <row r="127" spans="1:10">
      <c r="A127" s="155" t="s">
        <v>359</v>
      </c>
      <c r="B127" s="155" t="s">
        <v>357</v>
      </c>
      <c r="C127" s="155" t="s">
        <v>358</v>
      </c>
      <c r="D127" s="155" t="s">
        <v>1668</v>
      </c>
      <c r="E127" s="155">
        <v>38</v>
      </c>
      <c r="F127" s="155">
        <v>254</v>
      </c>
      <c r="G127" s="155">
        <v>359.4</v>
      </c>
      <c r="H127" s="155" t="s">
        <v>1673</v>
      </c>
      <c r="I127" s="155" t="s">
        <v>360</v>
      </c>
      <c r="J127" s="155" t="s">
        <v>1868</v>
      </c>
    </row>
    <row r="128" spans="1:10">
      <c r="A128" s="155" t="s">
        <v>363</v>
      </c>
      <c r="B128" s="155" t="s">
        <v>361</v>
      </c>
      <c r="C128" s="155" t="s">
        <v>362</v>
      </c>
      <c r="D128" s="155" t="s">
        <v>1668</v>
      </c>
      <c r="E128" s="155">
        <v>2</v>
      </c>
      <c r="F128" s="155">
        <v>19.5</v>
      </c>
      <c r="G128" s="155">
        <v>327.8</v>
      </c>
      <c r="H128" s="155" t="s">
        <v>1673</v>
      </c>
      <c r="I128" s="155" t="s">
        <v>360</v>
      </c>
      <c r="J128" s="155" t="s">
        <v>1691</v>
      </c>
    </row>
    <row r="129" spans="1:10">
      <c r="A129" s="155" t="s">
        <v>367</v>
      </c>
      <c r="B129" s="155" t="s">
        <v>365</v>
      </c>
      <c r="C129" s="155" t="s">
        <v>366</v>
      </c>
      <c r="D129" s="155" t="s">
        <v>1668</v>
      </c>
      <c r="E129" s="155">
        <v>3</v>
      </c>
      <c r="F129" s="155">
        <v>2</v>
      </c>
      <c r="G129" s="155">
        <v>333.3</v>
      </c>
      <c r="H129" s="155" t="s">
        <v>1673</v>
      </c>
      <c r="I129" s="155" t="s">
        <v>360</v>
      </c>
      <c r="J129" s="155" t="s">
        <v>1868</v>
      </c>
    </row>
    <row r="130" spans="1:10">
      <c r="A130" s="155" t="s">
        <v>370</v>
      </c>
      <c r="B130" s="155" t="s">
        <v>368</v>
      </c>
      <c r="C130" s="155" t="s">
        <v>369</v>
      </c>
      <c r="D130" s="155" t="s">
        <v>1668</v>
      </c>
      <c r="E130" s="155">
        <v>7</v>
      </c>
      <c r="F130" s="155">
        <v>6</v>
      </c>
      <c r="G130" s="155">
        <v>334.3</v>
      </c>
      <c r="H130" s="155" t="s">
        <v>1673</v>
      </c>
      <c r="I130" s="155" t="s">
        <v>360</v>
      </c>
      <c r="J130" s="155" t="s">
        <v>1946</v>
      </c>
    </row>
    <row r="131" spans="1:10">
      <c r="A131" s="155" t="s">
        <v>373</v>
      </c>
      <c r="B131" s="155" t="s">
        <v>371</v>
      </c>
      <c r="C131" s="155" t="s">
        <v>372</v>
      </c>
      <c r="D131" s="155" t="s">
        <v>1668</v>
      </c>
      <c r="E131" s="155">
        <v>0.7</v>
      </c>
      <c r="F131" s="155"/>
      <c r="G131" s="155"/>
      <c r="H131" s="155" t="s">
        <v>1672</v>
      </c>
      <c r="I131" s="155" t="s">
        <v>64</v>
      </c>
      <c r="J131" s="155" t="s">
        <v>1947</v>
      </c>
    </row>
    <row r="132" spans="1:10">
      <c r="A132" s="155" t="s">
        <v>1948</v>
      </c>
      <c r="B132" s="155" t="s">
        <v>1949</v>
      </c>
      <c r="C132" s="155" t="s">
        <v>1950</v>
      </c>
      <c r="D132" s="155" t="s">
        <v>1668</v>
      </c>
      <c r="E132" s="155">
        <v>1.8</v>
      </c>
      <c r="F132" s="155">
        <v>15.8</v>
      </c>
      <c r="G132" s="155">
        <v>203.7</v>
      </c>
      <c r="H132" s="155" t="s">
        <v>1673</v>
      </c>
      <c r="I132" s="155" t="s">
        <v>1951</v>
      </c>
      <c r="J132" s="155" t="s">
        <v>1952</v>
      </c>
    </row>
    <row r="133" spans="1:10">
      <c r="A133" s="155" t="s">
        <v>1953</v>
      </c>
      <c r="B133" s="155" t="s">
        <v>1954</v>
      </c>
      <c r="C133" s="155" t="s">
        <v>1955</v>
      </c>
      <c r="D133" s="155" t="s">
        <v>1668</v>
      </c>
      <c r="E133" s="155">
        <v>0.2</v>
      </c>
      <c r="F133" s="155">
        <v>10</v>
      </c>
      <c r="G133" s="155">
        <v>270.5</v>
      </c>
      <c r="H133" s="155" t="s">
        <v>1673</v>
      </c>
      <c r="I133" s="155" t="s">
        <v>41</v>
      </c>
      <c r="J133" s="155" t="s">
        <v>1682</v>
      </c>
    </row>
    <row r="134" spans="1:10">
      <c r="A134" s="155" t="s">
        <v>386</v>
      </c>
      <c r="B134" s="155" t="s">
        <v>384</v>
      </c>
      <c r="C134" s="155" t="s">
        <v>385</v>
      </c>
      <c r="D134" s="155" t="s">
        <v>1668</v>
      </c>
      <c r="E134" s="155">
        <v>0.5</v>
      </c>
      <c r="F134" s="155">
        <v>46.5</v>
      </c>
      <c r="G134" s="155">
        <v>382.9</v>
      </c>
      <c r="H134" s="155" t="s">
        <v>1673</v>
      </c>
      <c r="I134" s="155" t="s">
        <v>53</v>
      </c>
      <c r="J134" s="155" t="s">
        <v>1956</v>
      </c>
    </row>
    <row r="135" spans="1:10">
      <c r="A135" s="155" t="s">
        <v>1957</v>
      </c>
      <c r="B135" s="155" t="s">
        <v>1958</v>
      </c>
      <c r="C135" s="155" t="s">
        <v>1959</v>
      </c>
      <c r="D135" s="155" t="s">
        <v>1668</v>
      </c>
      <c r="E135" s="155">
        <v>0.1</v>
      </c>
      <c r="F135" s="155">
        <v>8.5</v>
      </c>
      <c r="G135" s="155">
        <v>143.9</v>
      </c>
      <c r="H135" s="155" t="s">
        <v>1673</v>
      </c>
      <c r="I135" s="155" t="s">
        <v>1960</v>
      </c>
      <c r="J135" s="155" t="s">
        <v>1961</v>
      </c>
    </row>
    <row r="136" spans="1:10">
      <c r="A136" s="155" t="s">
        <v>1962</v>
      </c>
      <c r="B136" s="155" t="s">
        <v>1963</v>
      </c>
      <c r="C136" s="155" t="s">
        <v>1964</v>
      </c>
      <c r="D136" s="155" t="s">
        <v>1668</v>
      </c>
      <c r="E136" s="155">
        <v>1.1000000000000001</v>
      </c>
      <c r="F136" s="155"/>
      <c r="G136" s="155"/>
      <c r="H136" s="155" t="s">
        <v>1672</v>
      </c>
      <c r="I136" s="155" t="s">
        <v>1965</v>
      </c>
      <c r="J136" s="155" t="s">
        <v>1840</v>
      </c>
    </row>
    <row r="137" spans="1:10">
      <c r="A137" s="155" t="s">
        <v>1966</v>
      </c>
      <c r="B137" s="155" t="s">
        <v>1967</v>
      </c>
      <c r="C137" s="155" t="s">
        <v>1968</v>
      </c>
      <c r="D137" s="155" t="s">
        <v>1668</v>
      </c>
      <c r="E137" s="155">
        <v>4.4000000000000004</v>
      </c>
      <c r="F137" s="155"/>
      <c r="G137" s="155"/>
      <c r="H137" s="155" t="s">
        <v>1672</v>
      </c>
      <c r="I137" s="155" t="s">
        <v>1969</v>
      </c>
      <c r="J137" s="155" t="s">
        <v>1970</v>
      </c>
    </row>
    <row r="138" spans="1:10">
      <c r="A138" s="155" t="s">
        <v>1971</v>
      </c>
      <c r="B138" s="155" t="s">
        <v>1972</v>
      </c>
      <c r="C138" s="155" t="s">
        <v>1973</v>
      </c>
      <c r="D138" s="155" t="s">
        <v>1668</v>
      </c>
      <c r="E138" s="155">
        <v>0.7</v>
      </c>
      <c r="F138" s="155">
        <v>12.5</v>
      </c>
      <c r="G138" s="155">
        <v>310.60000000000002</v>
      </c>
      <c r="H138" s="155" t="s">
        <v>1673</v>
      </c>
      <c r="I138" s="155" t="s">
        <v>1974</v>
      </c>
      <c r="J138" s="155" t="s">
        <v>1975</v>
      </c>
    </row>
    <row r="139" spans="1:10">
      <c r="A139" s="155" t="s">
        <v>1976</v>
      </c>
      <c r="B139" s="155" t="s">
        <v>1977</v>
      </c>
      <c r="C139" s="155" t="s">
        <v>1978</v>
      </c>
      <c r="D139" s="155" t="s">
        <v>1668</v>
      </c>
      <c r="E139" s="155">
        <v>0.7</v>
      </c>
      <c r="F139" s="155">
        <v>16</v>
      </c>
      <c r="G139" s="155">
        <v>310.8</v>
      </c>
      <c r="H139" s="155" t="s">
        <v>1673</v>
      </c>
      <c r="I139" s="155" t="s">
        <v>1974</v>
      </c>
      <c r="J139" s="155" t="s">
        <v>1975</v>
      </c>
    </row>
    <row r="140" spans="1:10">
      <c r="A140" s="155" t="s">
        <v>393</v>
      </c>
      <c r="B140" s="155" t="s">
        <v>391</v>
      </c>
      <c r="C140" s="155" t="s">
        <v>392</v>
      </c>
      <c r="D140" s="155" t="s">
        <v>1668</v>
      </c>
      <c r="E140" s="155">
        <v>69</v>
      </c>
      <c r="F140" s="155">
        <v>22.5</v>
      </c>
      <c r="G140" s="155">
        <v>23</v>
      </c>
      <c r="H140" s="155" t="s">
        <v>1673</v>
      </c>
      <c r="I140" s="155" t="s">
        <v>1979</v>
      </c>
      <c r="J140" s="155" t="s">
        <v>1980</v>
      </c>
    </row>
    <row r="141" spans="1:10">
      <c r="A141" s="155" t="s">
        <v>1981</v>
      </c>
      <c r="B141" s="155" t="s">
        <v>1982</v>
      </c>
      <c r="C141" s="155" t="s">
        <v>1983</v>
      </c>
      <c r="D141" s="155" t="s">
        <v>1668</v>
      </c>
      <c r="E141" s="155">
        <v>0.2</v>
      </c>
      <c r="F141" s="155">
        <v>21</v>
      </c>
      <c r="G141" s="155">
        <v>191.3</v>
      </c>
      <c r="H141" s="155" t="s">
        <v>1673</v>
      </c>
      <c r="I141" s="155" t="s">
        <v>1984</v>
      </c>
      <c r="J141" s="155" t="s">
        <v>1985</v>
      </c>
    </row>
    <row r="142" spans="1:10">
      <c r="A142" s="155" t="s">
        <v>1986</v>
      </c>
      <c r="B142" s="155" t="s">
        <v>1987</v>
      </c>
      <c r="C142" s="155" t="s">
        <v>1988</v>
      </c>
      <c r="D142" s="155" t="s">
        <v>1668</v>
      </c>
      <c r="E142" s="155">
        <v>0.9</v>
      </c>
      <c r="F142" s="155">
        <v>16</v>
      </c>
      <c r="G142" s="155">
        <v>398.4</v>
      </c>
      <c r="H142" s="155" t="s">
        <v>1673</v>
      </c>
      <c r="I142" s="155" t="s">
        <v>1979</v>
      </c>
      <c r="J142" s="155" t="s">
        <v>1698</v>
      </c>
    </row>
    <row r="143" spans="1:10">
      <c r="A143" s="155" t="s">
        <v>1989</v>
      </c>
      <c r="B143" s="155" t="s">
        <v>1990</v>
      </c>
      <c r="C143" s="155" t="s">
        <v>1991</v>
      </c>
      <c r="D143" s="155" t="s">
        <v>1668</v>
      </c>
      <c r="E143" s="155">
        <v>1.3</v>
      </c>
      <c r="F143" s="155"/>
      <c r="G143" s="155"/>
      <c r="H143" s="155" t="s">
        <v>1672</v>
      </c>
      <c r="I143" s="155" t="s">
        <v>1979</v>
      </c>
      <c r="J143" s="155" t="s">
        <v>1992</v>
      </c>
    </row>
    <row r="144" spans="1:10">
      <c r="A144" s="155" t="s">
        <v>1993</v>
      </c>
      <c r="B144" s="155" t="s">
        <v>1994</v>
      </c>
      <c r="C144" s="155" t="s">
        <v>1995</v>
      </c>
      <c r="D144" s="155" t="s">
        <v>1668</v>
      </c>
      <c r="E144" s="155">
        <v>0.7</v>
      </c>
      <c r="F144" s="155"/>
      <c r="G144" s="155"/>
      <c r="H144" s="155" t="s">
        <v>1672</v>
      </c>
      <c r="I144" s="155" t="s">
        <v>1979</v>
      </c>
      <c r="J144" s="155" t="s">
        <v>1692</v>
      </c>
    </row>
    <row r="145" spans="1:10">
      <c r="A145" s="155" t="s">
        <v>1996</v>
      </c>
      <c r="B145" s="155" t="s">
        <v>1997</v>
      </c>
      <c r="C145" s="155" t="s">
        <v>1998</v>
      </c>
      <c r="D145" s="155" t="s">
        <v>1668</v>
      </c>
      <c r="E145" s="155">
        <v>1</v>
      </c>
      <c r="F145" s="155"/>
      <c r="G145" s="155"/>
      <c r="H145" s="155" t="s">
        <v>1672</v>
      </c>
      <c r="I145" s="155" t="s">
        <v>1999</v>
      </c>
      <c r="J145" s="155" t="s">
        <v>1878</v>
      </c>
    </row>
    <row r="146" spans="1:10">
      <c r="A146" s="155" t="s">
        <v>2000</v>
      </c>
      <c r="B146" s="155" t="s">
        <v>2001</v>
      </c>
      <c r="C146" s="155" t="s">
        <v>2002</v>
      </c>
      <c r="D146" s="155" t="s">
        <v>1668</v>
      </c>
      <c r="E146" s="155">
        <v>0.5</v>
      </c>
      <c r="F146" s="155"/>
      <c r="G146" s="155"/>
      <c r="H146" s="155" t="s">
        <v>1672</v>
      </c>
      <c r="I146" s="155" t="s">
        <v>1844</v>
      </c>
      <c r="J146" s="155" t="s">
        <v>1692</v>
      </c>
    </row>
    <row r="147" spans="1:10">
      <c r="A147" s="155" t="s">
        <v>2003</v>
      </c>
      <c r="B147" s="155" t="s">
        <v>2004</v>
      </c>
      <c r="C147" s="155" t="s">
        <v>2005</v>
      </c>
      <c r="D147" s="155" t="s">
        <v>1668</v>
      </c>
      <c r="E147" s="155">
        <v>0.1</v>
      </c>
      <c r="F147" s="155"/>
      <c r="G147" s="155"/>
      <c r="H147" s="155" t="s">
        <v>1672</v>
      </c>
      <c r="I147" s="155" t="s">
        <v>2006</v>
      </c>
      <c r="J147" s="155" t="s">
        <v>1878</v>
      </c>
    </row>
    <row r="148" spans="1:10">
      <c r="A148" s="155" t="s">
        <v>2007</v>
      </c>
      <c r="B148" s="155" t="s">
        <v>2008</v>
      </c>
      <c r="C148" s="155" t="s">
        <v>2009</v>
      </c>
      <c r="D148" s="155" t="s">
        <v>1668</v>
      </c>
      <c r="E148" s="155">
        <v>0.7</v>
      </c>
      <c r="F148" s="155"/>
      <c r="G148" s="155"/>
      <c r="H148" s="155" t="s">
        <v>1672</v>
      </c>
      <c r="I148" s="155" t="s">
        <v>1844</v>
      </c>
      <c r="J148" s="155" t="s">
        <v>1863</v>
      </c>
    </row>
    <row r="149" spans="1:10">
      <c r="A149" s="155" t="s">
        <v>2010</v>
      </c>
      <c r="B149" s="155" t="s">
        <v>2011</v>
      </c>
      <c r="C149" s="155" t="s">
        <v>2012</v>
      </c>
      <c r="D149" s="155" t="s">
        <v>1668</v>
      </c>
      <c r="E149" s="155">
        <v>0.3</v>
      </c>
      <c r="F149" s="155"/>
      <c r="G149" s="155"/>
      <c r="H149" s="155" t="s">
        <v>1672</v>
      </c>
      <c r="I149" s="155" t="s">
        <v>1844</v>
      </c>
      <c r="J149" s="155" t="s">
        <v>1713</v>
      </c>
    </row>
    <row r="150" spans="1:10">
      <c r="A150" s="155" t="s">
        <v>2013</v>
      </c>
      <c r="B150" s="155" t="s">
        <v>2014</v>
      </c>
      <c r="C150" s="155" t="s">
        <v>2015</v>
      </c>
      <c r="D150" s="155" t="s">
        <v>1668</v>
      </c>
      <c r="E150" s="155">
        <v>0.3</v>
      </c>
      <c r="F150" s="155"/>
      <c r="G150" s="155"/>
      <c r="H150" s="155" t="s">
        <v>1672</v>
      </c>
      <c r="I150" s="155" t="s">
        <v>1844</v>
      </c>
      <c r="J150" s="155" t="s">
        <v>1691</v>
      </c>
    </row>
    <row r="151" spans="1:10">
      <c r="A151" s="155" t="s">
        <v>2016</v>
      </c>
      <c r="B151" s="155" t="s">
        <v>2017</v>
      </c>
      <c r="C151" s="155" t="s">
        <v>2018</v>
      </c>
      <c r="D151" s="155" t="s">
        <v>1668</v>
      </c>
      <c r="E151" s="155">
        <v>0.9</v>
      </c>
      <c r="F151" s="155"/>
      <c r="G151" s="155"/>
      <c r="H151" s="155" t="s">
        <v>1672</v>
      </c>
      <c r="I151" s="155" t="s">
        <v>1844</v>
      </c>
      <c r="J151" s="155" t="s">
        <v>1863</v>
      </c>
    </row>
    <row r="152" spans="1:10">
      <c r="A152" s="155" t="s">
        <v>2019</v>
      </c>
      <c r="B152" s="155" t="s">
        <v>2020</v>
      </c>
      <c r="C152" s="155" t="s">
        <v>2021</v>
      </c>
      <c r="D152" s="155" t="s">
        <v>1668</v>
      </c>
      <c r="E152" s="155">
        <v>1.1000000000000001</v>
      </c>
      <c r="F152" s="155"/>
      <c r="G152" s="155"/>
      <c r="H152" s="155" t="s">
        <v>1672</v>
      </c>
      <c r="I152" s="155" t="s">
        <v>1844</v>
      </c>
      <c r="J152" s="155" t="s">
        <v>1868</v>
      </c>
    </row>
    <row r="153" spans="1:10">
      <c r="A153" s="155" t="s">
        <v>2022</v>
      </c>
      <c r="B153" s="155" t="s">
        <v>2023</v>
      </c>
      <c r="C153" s="155" t="s">
        <v>2024</v>
      </c>
      <c r="D153" s="155" t="s">
        <v>1668</v>
      </c>
      <c r="E153" s="155">
        <v>0.7</v>
      </c>
      <c r="F153" s="155">
        <v>6.2</v>
      </c>
      <c r="G153" s="155">
        <v>252.8</v>
      </c>
      <c r="H153" s="155" t="s">
        <v>1673</v>
      </c>
      <c r="I153" s="155" t="s">
        <v>2025</v>
      </c>
      <c r="J153" s="155" t="s">
        <v>1709</v>
      </c>
    </row>
    <row r="154" spans="1:10">
      <c r="A154" s="155" t="s">
        <v>2026</v>
      </c>
      <c r="B154" s="155" t="s">
        <v>2027</v>
      </c>
      <c r="C154" s="155" t="s">
        <v>2028</v>
      </c>
      <c r="D154" s="155" t="s">
        <v>1668</v>
      </c>
      <c r="E154" s="155">
        <v>0.7</v>
      </c>
      <c r="F154" s="155">
        <v>10.8</v>
      </c>
      <c r="G154" s="155">
        <v>275.8</v>
      </c>
      <c r="H154" s="155" t="s">
        <v>1673</v>
      </c>
      <c r="I154" s="155" t="s">
        <v>2025</v>
      </c>
      <c r="J154" s="155" t="s">
        <v>1709</v>
      </c>
    </row>
    <row r="155" spans="1:10">
      <c r="A155" s="155" t="s">
        <v>2029</v>
      </c>
      <c r="B155" s="155" t="s">
        <v>2030</v>
      </c>
      <c r="C155" s="155" t="s">
        <v>2031</v>
      </c>
      <c r="D155" s="155" t="s">
        <v>1668</v>
      </c>
      <c r="E155" s="155">
        <v>17.600000000000001</v>
      </c>
      <c r="F155" s="155"/>
      <c r="G155" s="155"/>
      <c r="H155" s="155" t="s">
        <v>1672</v>
      </c>
      <c r="I155" s="155" t="s">
        <v>1909</v>
      </c>
      <c r="J155" s="155" t="s">
        <v>1692</v>
      </c>
    </row>
    <row r="156" spans="1:10">
      <c r="A156" s="155" t="s">
        <v>2032</v>
      </c>
      <c r="B156" s="155" t="s">
        <v>2033</v>
      </c>
      <c r="C156" s="155" t="s">
        <v>2034</v>
      </c>
      <c r="D156" s="155" t="s">
        <v>1668</v>
      </c>
      <c r="E156" s="155">
        <v>17.600000000000001</v>
      </c>
      <c r="F156" s="155"/>
      <c r="G156" s="155"/>
      <c r="H156" s="155" t="s">
        <v>1672</v>
      </c>
      <c r="I156" s="155" t="s">
        <v>1909</v>
      </c>
      <c r="J156" s="155" t="s">
        <v>1692</v>
      </c>
    </row>
    <row r="157" spans="1:10">
      <c r="A157" s="155" t="s">
        <v>2035</v>
      </c>
      <c r="B157" s="155" t="s">
        <v>2036</v>
      </c>
      <c r="C157" s="155" t="s">
        <v>2037</v>
      </c>
      <c r="D157" s="155" t="s">
        <v>1668</v>
      </c>
      <c r="E157" s="155">
        <v>0.2</v>
      </c>
      <c r="F157" s="155"/>
      <c r="G157" s="155"/>
      <c r="H157" s="155" t="s">
        <v>1672</v>
      </c>
      <c r="I157" s="155" t="s">
        <v>1909</v>
      </c>
      <c r="J157" s="155" t="s">
        <v>1830</v>
      </c>
    </row>
    <row r="158" spans="1:10">
      <c r="A158" s="155" t="s">
        <v>2038</v>
      </c>
      <c r="B158" s="155" t="s">
        <v>2039</v>
      </c>
      <c r="C158" s="155" t="s">
        <v>2040</v>
      </c>
      <c r="D158" s="155" t="s">
        <v>1668</v>
      </c>
      <c r="E158" s="155">
        <v>0.4</v>
      </c>
      <c r="F158" s="155"/>
      <c r="G158" s="155"/>
      <c r="H158" s="155" t="s">
        <v>1672</v>
      </c>
      <c r="I158" s="155" t="s">
        <v>2041</v>
      </c>
      <c r="J158" s="155" t="s">
        <v>1698</v>
      </c>
    </row>
    <row r="159" spans="1:10">
      <c r="A159" s="155" t="s">
        <v>2042</v>
      </c>
      <c r="B159" s="155" t="s">
        <v>2043</v>
      </c>
      <c r="C159" s="155" t="s">
        <v>2044</v>
      </c>
      <c r="D159" s="155" t="s">
        <v>1668</v>
      </c>
      <c r="E159" s="155">
        <v>1.4</v>
      </c>
      <c r="F159" s="155">
        <v>1.5</v>
      </c>
      <c r="G159" s="155">
        <v>252.2</v>
      </c>
      <c r="H159" s="155" t="s">
        <v>1673</v>
      </c>
      <c r="I159" s="155" t="s">
        <v>2045</v>
      </c>
      <c r="J159" s="155" t="s">
        <v>1682</v>
      </c>
    </row>
    <row r="160" spans="1:10">
      <c r="A160" s="155" t="s">
        <v>2046</v>
      </c>
      <c r="B160" s="155" t="s">
        <v>2047</v>
      </c>
      <c r="C160" s="155" t="s">
        <v>2048</v>
      </c>
      <c r="D160" s="155" t="s">
        <v>1668</v>
      </c>
      <c r="E160" s="155">
        <v>1.4</v>
      </c>
      <c r="F160" s="155">
        <v>1.3</v>
      </c>
      <c r="G160" s="155">
        <v>253.4</v>
      </c>
      <c r="H160" s="155" t="s">
        <v>1673</v>
      </c>
      <c r="I160" s="155" t="s">
        <v>2045</v>
      </c>
      <c r="J160" s="155" t="s">
        <v>1682</v>
      </c>
    </row>
    <row r="161" spans="1:10">
      <c r="A161" s="155" t="s">
        <v>2049</v>
      </c>
      <c r="B161" s="155" t="s">
        <v>2050</v>
      </c>
      <c r="C161" s="155" t="s">
        <v>2051</v>
      </c>
      <c r="D161" s="155" t="s">
        <v>1668</v>
      </c>
      <c r="E161" s="155">
        <v>0.2</v>
      </c>
      <c r="F161" s="155"/>
      <c r="G161" s="155"/>
      <c r="H161" s="155" t="s">
        <v>1672</v>
      </c>
      <c r="I161" s="155" t="s">
        <v>1909</v>
      </c>
      <c r="J161" s="155" t="s">
        <v>1830</v>
      </c>
    </row>
    <row r="162" spans="1:10">
      <c r="A162" s="155" t="s">
        <v>2052</v>
      </c>
      <c r="B162" s="155" t="s">
        <v>2053</v>
      </c>
      <c r="C162" s="155" t="s">
        <v>2054</v>
      </c>
      <c r="D162" s="155" t="s">
        <v>1668</v>
      </c>
      <c r="E162" s="155">
        <v>2</v>
      </c>
      <c r="F162" s="155">
        <v>2.5</v>
      </c>
      <c r="G162" s="155">
        <v>252.3</v>
      </c>
      <c r="H162" s="155" t="s">
        <v>1673</v>
      </c>
      <c r="I162" s="155" t="s">
        <v>2045</v>
      </c>
      <c r="J162" s="155" t="s">
        <v>1709</v>
      </c>
    </row>
    <row r="163" spans="1:10">
      <c r="A163" s="155" t="s">
        <v>2055</v>
      </c>
      <c r="B163" s="155" t="s">
        <v>2056</v>
      </c>
      <c r="C163" s="155" t="s">
        <v>2057</v>
      </c>
      <c r="D163" s="155" t="s">
        <v>1668</v>
      </c>
      <c r="E163" s="155">
        <v>2</v>
      </c>
      <c r="F163" s="155">
        <v>3.6</v>
      </c>
      <c r="G163" s="155">
        <v>253.3</v>
      </c>
      <c r="H163" s="155" t="s">
        <v>1673</v>
      </c>
      <c r="I163" s="155" t="s">
        <v>2045</v>
      </c>
      <c r="J163" s="155" t="s">
        <v>1709</v>
      </c>
    </row>
    <row r="164" spans="1:10">
      <c r="A164" s="155" t="s">
        <v>2058</v>
      </c>
      <c r="B164" s="155" t="s">
        <v>2059</v>
      </c>
      <c r="C164" s="155" t="s">
        <v>2060</v>
      </c>
      <c r="D164" s="155" t="s">
        <v>1668</v>
      </c>
      <c r="E164" s="155">
        <v>0.2</v>
      </c>
      <c r="F164" s="155">
        <v>16</v>
      </c>
      <c r="G164" s="155">
        <v>395.6</v>
      </c>
      <c r="H164" s="155" t="s">
        <v>1673</v>
      </c>
      <c r="I164" s="155" t="s">
        <v>2061</v>
      </c>
      <c r="J164" s="155" t="s">
        <v>2062</v>
      </c>
    </row>
    <row r="165" spans="1:10">
      <c r="A165" s="155" t="s">
        <v>2063</v>
      </c>
      <c r="B165" s="155" t="s">
        <v>2064</v>
      </c>
      <c r="C165" s="155" t="s">
        <v>2065</v>
      </c>
      <c r="D165" s="155" t="s">
        <v>1668</v>
      </c>
      <c r="E165" s="155">
        <v>0.2</v>
      </c>
      <c r="F165" s="155">
        <v>16</v>
      </c>
      <c r="G165" s="155">
        <v>395.5</v>
      </c>
      <c r="H165" s="155" t="s">
        <v>1673</v>
      </c>
      <c r="I165" s="155" t="s">
        <v>2061</v>
      </c>
      <c r="J165" s="155" t="s">
        <v>2062</v>
      </c>
    </row>
    <row r="166" spans="1:10">
      <c r="A166" s="155" t="s">
        <v>2066</v>
      </c>
      <c r="B166" s="155" t="s">
        <v>2067</v>
      </c>
      <c r="C166" s="155" t="s">
        <v>2068</v>
      </c>
      <c r="D166" s="155" t="s">
        <v>1668</v>
      </c>
      <c r="E166" s="155">
        <v>4.4000000000000004</v>
      </c>
      <c r="F166" s="155"/>
      <c r="G166" s="155"/>
      <c r="H166" s="155" t="s">
        <v>1672</v>
      </c>
      <c r="I166" s="155" t="s">
        <v>2069</v>
      </c>
      <c r="J166" s="155" t="s">
        <v>1698</v>
      </c>
    </row>
    <row r="167" spans="1:10">
      <c r="A167" s="155" t="s">
        <v>2070</v>
      </c>
      <c r="B167" s="155" t="s">
        <v>2071</v>
      </c>
      <c r="C167" s="155" t="s">
        <v>2072</v>
      </c>
      <c r="D167" s="155" t="s">
        <v>1668</v>
      </c>
      <c r="E167" s="155">
        <v>0.2</v>
      </c>
      <c r="F167" s="155"/>
      <c r="G167" s="155"/>
      <c r="H167" s="155" t="s">
        <v>1672</v>
      </c>
      <c r="I167" s="155" t="s">
        <v>2073</v>
      </c>
      <c r="J167" s="155" t="s">
        <v>1970</v>
      </c>
    </row>
    <row r="168" spans="1:10">
      <c r="A168" s="155" t="s">
        <v>2074</v>
      </c>
      <c r="B168" s="155" t="s">
        <v>2075</v>
      </c>
      <c r="C168" s="155" t="s">
        <v>2076</v>
      </c>
      <c r="D168" s="155" t="s">
        <v>1668</v>
      </c>
      <c r="E168" s="155">
        <v>1.3</v>
      </c>
      <c r="F168" s="155"/>
      <c r="G168" s="155"/>
      <c r="H168" s="155" t="s">
        <v>1672</v>
      </c>
      <c r="I168" s="155" t="s">
        <v>1697</v>
      </c>
      <c r="J168" s="155" t="s">
        <v>1698</v>
      </c>
    </row>
    <row r="169" spans="1:10">
      <c r="A169" s="155" t="s">
        <v>2077</v>
      </c>
      <c r="B169" s="155" t="s">
        <v>2078</v>
      </c>
      <c r="C169" s="155" t="s">
        <v>2079</v>
      </c>
      <c r="D169" s="155" t="s">
        <v>1668</v>
      </c>
      <c r="E169" s="155">
        <v>0.5</v>
      </c>
      <c r="F169" s="155"/>
      <c r="G169" s="155"/>
      <c r="H169" s="155" t="s">
        <v>1672</v>
      </c>
      <c r="I169" s="155" t="s">
        <v>1697</v>
      </c>
      <c r="J169" s="155" t="s">
        <v>2080</v>
      </c>
    </row>
    <row r="170" spans="1:10">
      <c r="A170" s="155" t="s">
        <v>2081</v>
      </c>
      <c r="B170" s="155" t="s">
        <v>2082</v>
      </c>
      <c r="C170" s="155" t="s">
        <v>2083</v>
      </c>
      <c r="D170" s="155" t="s">
        <v>1668</v>
      </c>
      <c r="E170" s="155">
        <v>0.2</v>
      </c>
      <c r="F170" s="155"/>
      <c r="G170" s="155"/>
      <c r="H170" s="155" t="s">
        <v>1672</v>
      </c>
      <c r="I170" s="155" t="s">
        <v>2084</v>
      </c>
      <c r="J170" s="155" t="s">
        <v>1840</v>
      </c>
    </row>
    <row r="171" spans="1:10">
      <c r="A171" s="155" t="s">
        <v>2085</v>
      </c>
      <c r="B171" s="155" t="s">
        <v>2086</v>
      </c>
      <c r="C171" s="155" t="s">
        <v>2087</v>
      </c>
      <c r="D171" s="155" t="s">
        <v>1668</v>
      </c>
      <c r="E171" s="155">
        <v>0.5</v>
      </c>
      <c r="F171" s="155"/>
      <c r="G171" s="155"/>
      <c r="H171" s="155" t="s">
        <v>1672</v>
      </c>
      <c r="I171" s="155" t="s">
        <v>2088</v>
      </c>
      <c r="J171" s="155" t="s">
        <v>1970</v>
      </c>
    </row>
    <row r="172" spans="1:10">
      <c r="A172" s="155" t="s">
        <v>2089</v>
      </c>
      <c r="B172" s="155" t="s">
        <v>2090</v>
      </c>
      <c r="C172" s="155" t="s">
        <v>2091</v>
      </c>
      <c r="D172" s="155" t="s">
        <v>1668</v>
      </c>
      <c r="E172" s="155">
        <v>0.6</v>
      </c>
      <c r="F172" s="155"/>
      <c r="G172" s="155"/>
      <c r="H172" s="155" t="s">
        <v>1672</v>
      </c>
      <c r="I172" s="155" t="s">
        <v>2088</v>
      </c>
      <c r="J172" s="155" t="s">
        <v>1840</v>
      </c>
    </row>
    <row r="173" spans="1:10">
      <c r="A173" s="155" t="s">
        <v>2092</v>
      </c>
      <c r="B173" s="155" t="s">
        <v>2093</v>
      </c>
      <c r="C173" s="155" t="s">
        <v>2094</v>
      </c>
      <c r="D173" s="155" t="s">
        <v>1668</v>
      </c>
      <c r="E173" s="155">
        <v>0.6</v>
      </c>
      <c r="F173" s="155"/>
      <c r="G173" s="155"/>
      <c r="H173" s="155" t="s">
        <v>1672</v>
      </c>
      <c r="I173" s="155" t="s">
        <v>2095</v>
      </c>
      <c r="J173" s="155" t="s">
        <v>1840</v>
      </c>
    </row>
    <row r="174" spans="1:10">
      <c r="A174" s="155" t="s">
        <v>2096</v>
      </c>
      <c r="B174" s="155" t="s">
        <v>2097</v>
      </c>
      <c r="C174" s="155" t="s">
        <v>2098</v>
      </c>
      <c r="D174" s="155" t="s">
        <v>1668</v>
      </c>
      <c r="E174" s="155">
        <v>0.6</v>
      </c>
      <c r="F174" s="155"/>
      <c r="G174" s="155"/>
      <c r="H174" s="155" t="s">
        <v>1672</v>
      </c>
      <c r="I174" s="155" t="s">
        <v>2095</v>
      </c>
      <c r="J174" s="155" t="s">
        <v>2099</v>
      </c>
    </row>
    <row r="175" spans="1:10">
      <c r="A175" s="155" t="s">
        <v>2100</v>
      </c>
      <c r="B175" s="155" t="s">
        <v>2101</v>
      </c>
      <c r="C175" s="155" t="s">
        <v>2102</v>
      </c>
      <c r="D175" s="155" t="s">
        <v>1668</v>
      </c>
      <c r="E175" s="155">
        <v>0.7</v>
      </c>
      <c r="F175" s="155"/>
      <c r="G175" s="155"/>
      <c r="H175" s="155" t="s">
        <v>1672</v>
      </c>
      <c r="I175" s="155" t="s">
        <v>2088</v>
      </c>
      <c r="J175" s="155" t="s">
        <v>1698</v>
      </c>
    </row>
    <row r="176" spans="1:10">
      <c r="A176" s="155" t="s">
        <v>2103</v>
      </c>
      <c r="B176" s="155" t="s">
        <v>2104</v>
      </c>
      <c r="C176" s="155" t="s">
        <v>2105</v>
      </c>
      <c r="D176" s="155" t="s">
        <v>1668</v>
      </c>
      <c r="E176" s="155">
        <v>0.2</v>
      </c>
      <c r="F176" s="155"/>
      <c r="G176" s="155"/>
      <c r="H176" s="155" t="s">
        <v>1672</v>
      </c>
      <c r="I176" s="155" t="s">
        <v>2106</v>
      </c>
      <c r="J176" s="155" t="s">
        <v>1698</v>
      </c>
    </row>
    <row r="177" spans="1:10">
      <c r="A177" s="155" t="s">
        <v>2107</v>
      </c>
      <c r="B177" s="155" t="s">
        <v>2108</v>
      </c>
      <c r="C177" s="155" t="s">
        <v>2109</v>
      </c>
      <c r="D177" s="155" t="s">
        <v>1668</v>
      </c>
      <c r="E177" s="155">
        <v>1.3</v>
      </c>
      <c r="F177" s="155"/>
      <c r="G177" s="155"/>
      <c r="H177" s="155" t="s">
        <v>1672</v>
      </c>
      <c r="I177" s="155" t="s">
        <v>1877</v>
      </c>
      <c r="J177" s="155" t="s">
        <v>1840</v>
      </c>
    </row>
    <row r="178" spans="1:10">
      <c r="A178" s="155" t="s">
        <v>2110</v>
      </c>
      <c r="B178" s="155" t="s">
        <v>2111</v>
      </c>
      <c r="C178" s="155" t="s">
        <v>2112</v>
      </c>
      <c r="D178" s="155" t="s">
        <v>1668</v>
      </c>
      <c r="E178" s="155">
        <v>38.700000000000003</v>
      </c>
      <c r="F178" s="155"/>
      <c r="G178" s="155"/>
      <c r="H178" s="155" t="s">
        <v>1672</v>
      </c>
      <c r="I178" s="155" t="s">
        <v>2113</v>
      </c>
      <c r="J178" s="155" t="s">
        <v>2114</v>
      </c>
    </row>
    <row r="179" spans="1:10">
      <c r="A179" s="155" t="s">
        <v>2115</v>
      </c>
      <c r="B179" s="155" t="s">
        <v>2116</v>
      </c>
      <c r="C179" s="155" t="s">
        <v>2117</v>
      </c>
      <c r="D179" s="155" t="s">
        <v>1668</v>
      </c>
      <c r="E179" s="155">
        <v>13.2</v>
      </c>
      <c r="F179" s="155">
        <v>71.599999999999994</v>
      </c>
      <c r="G179" s="155">
        <v>44.9</v>
      </c>
      <c r="H179" s="155" t="s">
        <v>1673</v>
      </c>
      <c r="I179" s="155" t="s">
        <v>2113</v>
      </c>
      <c r="J179" s="155" t="s">
        <v>2114</v>
      </c>
    </row>
    <row r="180" spans="1:10">
      <c r="A180" s="155" t="s">
        <v>2118</v>
      </c>
      <c r="B180" s="155" t="s">
        <v>2119</v>
      </c>
      <c r="C180" s="155" t="s">
        <v>2120</v>
      </c>
      <c r="D180" s="155" t="s">
        <v>1668</v>
      </c>
      <c r="E180" s="155">
        <v>0.9</v>
      </c>
      <c r="F180" s="155"/>
      <c r="G180" s="155"/>
      <c r="H180" s="155" t="s">
        <v>1672</v>
      </c>
      <c r="I180" s="155" t="s">
        <v>2121</v>
      </c>
      <c r="J180" s="155" t="s">
        <v>2122</v>
      </c>
    </row>
    <row r="181" spans="1:10">
      <c r="A181" s="155" t="s">
        <v>2123</v>
      </c>
      <c r="B181" s="155" t="s">
        <v>2124</v>
      </c>
      <c r="C181" s="155" t="s">
        <v>2125</v>
      </c>
      <c r="D181" s="155" t="s">
        <v>1668</v>
      </c>
      <c r="E181" s="155">
        <v>0.2</v>
      </c>
      <c r="F181" s="155"/>
      <c r="G181" s="155"/>
      <c r="H181" s="155" t="s">
        <v>1672</v>
      </c>
      <c r="I181" s="155" t="s">
        <v>2126</v>
      </c>
      <c r="J181" s="155" t="s">
        <v>1840</v>
      </c>
    </row>
    <row r="182" spans="1:10">
      <c r="A182" s="155" t="s">
        <v>2127</v>
      </c>
      <c r="B182" s="155" t="s">
        <v>2128</v>
      </c>
      <c r="C182" s="155" t="s">
        <v>2129</v>
      </c>
      <c r="D182" s="155" t="s">
        <v>1668</v>
      </c>
      <c r="E182" s="155">
        <v>2.2000000000000002</v>
      </c>
      <c r="F182" s="155"/>
      <c r="G182" s="155"/>
      <c r="H182" s="155" t="s">
        <v>1672</v>
      </c>
      <c r="I182" s="155" t="s">
        <v>2121</v>
      </c>
      <c r="J182" s="155" t="s">
        <v>1840</v>
      </c>
    </row>
    <row r="183" spans="1:10">
      <c r="A183" s="155" t="s">
        <v>2130</v>
      </c>
      <c r="B183" s="155" t="s">
        <v>2131</v>
      </c>
      <c r="C183" s="155" t="s">
        <v>2132</v>
      </c>
      <c r="D183" s="155" t="s">
        <v>1668</v>
      </c>
      <c r="E183" s="155">
        <v>1.1000000000000001</v>
      </c>
      <c r="F183" s="155"/>
      <c r="G183" s="155"/>
      <c r="H183" s="155" t="s">
        <v>1672</v>
      </c>
      <c r="I183" s="155" t="s">
        <v>2121</v>
      </c>
      <c r="J183" s="155" t="s">
        <v>1840</v>
      </c>
    </row>
    <row r="184" spans="1:10">
      <c r="A184" s="155" t="s">
        <v>2133</v>
      </c>
      <c r="B184" s="155" t="s">
        <v>2134</v>
      </c>
      <c r="C184" s="155" t="s">
        <v>2135</v>
      </c>
      <c r="D184" s="155" t="s">
        <v>1668</v>
      </c>
      <c r="E184" s="155">
        <v>4</v>
      </c>
      <c r="F184" s="155">
        <v>17</v>
      </c>
      <c r="G184" s="155">
        <v>281.39999999999998</v>
      </c>
      <c r="H184" s="155" t="s">
        <v>1673</v>
      </c>
      <c r="I184" s="155" t="s">
        <v>2121</v>
      </c>
      <c r="J184" s="155" t="s">
        <v>2136</v>
      </c>
    </row>
    <row r="185" spans="1:10">
      <c r="A185" s="155" t="s">
        <v>2137</v>
      </c>
      <c r="B185" s="155" t="s">
        <v>2138</v>
      </c>
      <c r="C185" s="155" t="s">
        <v>2139</v>
      </c>
      <c r="D185" s="155" t="s">
        <v>1668</v>
      </c>
      <c r="E185" s="155">
        <v>10.1</v>
      </c>
      <c r="F185" s="155"/>
      <c r="G185" s="155"/>
      <c r="H185" s="155" t="s">
        <v>1672</v>
      </c>
      <c r="I185" s="155" t="s">
        <v>2140</v>
      </c>
      <c r="J185" s="155" t="s">
        <v>1840</v>
      </c>
    </row>
    <row r="186" spans="1:10">
      <c r="A186" s="155" t="s">
        <v>2141</v>
      </c>
      <c r="B186" s="155" t="s">
        <v>2142</v>
      </c>
      <c r="C186" s="155" t="s">
        <v>2143</v>
      </c>
      <c r="D186" s="155" t="s">
        <v>1668</v>
      </c>
      <c r="E186" s="155">
        <v>2.2000000000000002</v>
      </c>
      <c r="F186" s="155"/>
      <c r="G186" s="155"/>
      <c r="H186" s="155" t="s">
        <v>1672</v>
      </c>
      <c r="I186" s="155" t="s">
        <v>2144</v>
      </c>
      <c r="J186" s="155" t="s">
        <v>1698</v>
      </c>
    </row>
    <row r="187" spans="1:10">
      <c r="A187" s="155" t="s">
        <v>2145</v>
      </c>
      <c r="B187" s="155" t="s">
        <v>2146</v>
      </c>
      <c r="C187" s="155" t="s">
        <v>2147</v>
      </c>
      <c r="D187" s="155" t="s">
        <v>1668</v>
      </c>
      <c r="E187" s="155">
        <v>1.3</v>
      </c>
      <c r="F187" s="155"/>
      <c r="G187" s="155"/>
      <c r="H187" s="155" t="s">
        <v>1672</v>
      </c>
      <c r="I187" s="155" t="s">
        <v>2148</v>
      </c>
      <c r="J187" s="155" t="s">
        <v>1840</v>
      </c>
    </row>
    <row r="188" spans="1:10">
      <c r="A188" s="155" t="s">
        <v>400</v>
      </c>
      <c r="B188" s="155" t="s">
        <v>398</v>
      </c>
      <c r="C188" s="155" t="s">
        <v>399</v>
      </c>
      <c r="D188" s="155" t="s">
        <v>1668</v>
      </c>
      <c r="E188" s="155">
        <v>0.2</v>
      </c>
      <c r="F188" s="155"/>
      <c r="G188" s="155"/>
      <c r="H188" s="155" t="s">
        <v>1672</v>
      </c>
      <c r="I188" s="155" t="s">
        <v>401</v>
      </c>
      <c r="J188" s="155" t="s">
        <v>1840</v>
      </c>
    </row>
    <row r="189" spans="1:10">
      <c r="A189" s="155" t="s">
        <v>407</v>
      </c>
      <c r="B189" s="155" t="s">
        <v>405</v>
      </c>
      <c r="C189" s="155" t="s">
        <v>406</v>
      </c>
      <c r="D189" s="155" t="s">
        <v>1668</v>
      </c>
      <c r="E189" s="155">
        <v>2</v>
      </c>
      <c r="F189" s="155">
        <v>45</v>
      </c>
      <c r="G189" s="155">
        <v>356.1</v>
      </c>
      <c r="H189" s="155" t="s">
        <v>1673</v>
      </c>
      <c r="I189" s="155" t="s">
        <v>408</v>
      </c>
      <c r="J189" s="155" t="s">
        <v>2149</v>
      </c>
    </row>
    <row r="190" spans="1:10">
      <c r="A190" s="155" t="s">
        <v>411</v>
      </c>
      <c r="B190" s="155" t="s">
        <v>409</v>
      </c>
      <c r="C190" s="155" t="s">
        <v>410</v>
      </c>
      <c r="D190" s="155" t="s">
        <v>1668</v>
      </c>
      <c r="E190" s="155">
        <v>2.4</v>
      </c>
      <c r="F190" s="155">
        <v>48.5</v>
      </c>
      <c r="G190" s="155">
        <v>359.4</v>
      </c>
      <c r="H190" s="155" t="s">
        <v>1673</v>
      </c>
      <c r="I190" s="155" t="s">
        <v>412</v>
      </c>
      <c r="J190" s="155" t="s">
        <v>2150</v>
      </c>
    </row>
    <row r="191" spans="1:10">
      <c r="A191" s="155" t="s">
        <v>2151</v>
      </c>
      <c r="B191" s="155" t="s">
        <v>2152</v>
      </c>
      <c r="C191" s="155" t="s">
        <v>2153</v>
      </c>
      <c r="D191" s="155" t="s">
        <v>1668</v>
      </c>
      <c r="E191" s="155">
        <v>2.8</v>
      </c>
      <c r="F191" s="155">
        <v>44</v>
      </c>
      <c r="G191" s="155">
        <v>87.9</v>
      </c>
      <c r="H191" s="155" t="s">
        <v>1673</v>
      </c>
      <c r="I191" s="155" t="s">
        <v>72</v>
      </c>
      <c r="J191" s="155" t="s">
        <v>2154</v>
      </c>
    </row>
    <row r="192" spans="1:10">
      <c r="A192" s="155" t="s">
        <v>2155</v>
      </c>
      <c r="B192" s="155" t="s">
        <v>2156</v>
      </c>
      <c r="C192" s="155" t="s">
        <v>2157</v>
      </c>
      <c r="D192" s="155" t="s">
        <v>1668</v>
      </c>
      <c r="E192" s="155">
        <v>2.2000000000000002</v>
      </c>
      <c r="F192" s="155"/>
      <c r="G192" s="155"/>
      <c r="H192" s="155" t="s">
        <v>1672</v>
      </c>
      <c r="I192" s="155" t="s">
        <v>2158</v>
      </c>
      <c r="J192" s="155" t="s">
        <v>1698</v>
      </c>
    </row>
    <row r="193" spans="1:10">
      <c r="A193" s="155" t="s">
        <v>2159</v>
      </c>
      <c r="B193" s="155" t="s">
        <v>2160</v>
      </c>
      <c r="C193" s="155" t="s">
        <v>2161</v>
      </c>
      <c r="D193" s="155" t="s">
        <v>1668</v>
      </c>
      <c r="E193" s="155">
        <v>2.2000000000000002</v>
      </c>
      <c r="F193" s="155"/>
      <c r="G193" s="155"/>
      <c r="H193" s="155" t="s">
        <v>1672</v>
      </c>
      <c r="I193" s="155" t="s">
        <v>2158</v>
      </c>
      <c r="J193" s="155" t="s">
        <v>1698</v>
      </c>
    </row>
    <row r="194" spans="1:10">
      <c r="A194" s="155" t="s">
        <v>2162</v>
      </c>
      <c r="B194" s="155" t="s">
        <v>2163</v>
      </c>
      <c r="C194" s="155" t="s">
        <v>2164</v>
      </c>
      <c r="D194" s="155" t="s">
        <v>1668</v>
      </c>
      <c r="E194" s="155">
        <v>0.7</v>
      </c>
      <c r="F194" s="155">
        <v>2.8</v>
      </c>
      <c r="G194" s="155">
        <v>273.10000000000002</v>
      </c>
      <c r="H194" s="155" t="s">
        <v>1673</v>
      </c>
      <c r="I194" s="155" t="s">
        <v>2165</v>
      </c>
      <c r="J194" s="155" t="s">
        <v>2166</v>
      </c>
    </row>
    <row r="195" spans="1:10">
      <c r="A195" s="155" t="s">
        <v>422</v>
      </c>
      <c r="B195" s="155" t="s">
        <v>420</v>
      </c>
      <c r="C195" s="155" t="s">
        <v>421</v>
      </c>
      <c r="D195" s="155" t="s">
        <v>1668</v>
      </c>
      <c r="E195" s="155">
        <v>10</v>
      </c>
      <c r="F195" s="155"/>
      <c r="G195" s="155"/>
      <c r="H195" s="155" t="s">
        <v>1672</v>
      </c>
      <c r="I195" s="155" t="s">
        <v>424</v>
      </c>
      <c r="J195" s="155" t="s">
        <v>1873</v>
      </c>
    </row>
    <row r="196" spans="1:10">
      <c r="A196" s="155" t="s">
        <v>2167</v>
      </c>
      <c r="B196" s="155" t="s">
        <v>2168</v>
      </c>
      <c r="C196" s="155" t="s">
        <v>2169</v>
      </c>
      <c r="D196" s="155" t="s">
        <v>1668</v>
      </c>
      <c r="E196" s="155">
        <v>0.4</v>
      </c>
      <c r="F196" s="155"/>
      <c r="G196" s="155"/>
      <c r="H196" s="155" t="s">
        <v>1672</v>
      </c>
      <c r="I196" s="155" t="s">
        <v>2170</v>
      </c>
      <c r="J196" s="155" t="s">
        <v>2171</v>
      </c>
    </row>
    <row r="197" spans="1:10">
      <c r="A197" s="155" t="s">
        <v>427</v>
      </c>
      <c r="B197" s="155" t="s">
        <v>425</v>
      </c>
      <c r="C197" s="155" t="s">
        <v>426</v>
      </c>
      <c r="D197" s="155" t="s">
        <v>1668</v>
      </c>
      <c r="E197" s="155">
        <v>0.7</v>
      </c>
      <c r="F197" s="155"/>
      <c r="G197" s="155"/>
      <c r="H197" s="155" t="s">
        <v>1672</v>
      </c>
      <c r="I197" s="155" t="s">
        <v>428</v>
      </c>
      <c r="J197" s="155" t="s">
        <v>2172</v>
      </c>
    </row>
    <row r="198" spans="1:10">
      <c r="A198" s="155" t="s">
        <v>431</v>
      </c>
      <c r="B198" s="155" t="s">
        <v>429</v>
      </c>
      <c r="C198" s="155" t="s">
        <v>430</v>
      </c>
      <c r="D198" s="155" t="s">
        <v>1668</v>
      </c>
      <c r="E198" s="155">
        <v>0.7</v>
      </c>
      <c r="F198" s="155">
        <v>23.5</v>
      </c>
      <c r="G198" s="155">
        <v>160.9</v>
      </c>
      <c r="H198" s="155" t="s">
        <v>1673</v>
      </c>
      <c r="I198" s="155" t="s">
        <v>432</v>
      </c>
      <c r="J198" s="155" t="s">
        <v>2173</v>
      </c>
    </row>
    <row r="199" spans="1:10">
      <c r="A199" s="155" t="s">
        <v>435</v>
      </c>
      <c r="B199" s="155" t="s">
        <v>433</v>
      </c>
      <c r="C199" s="155" t="s">
        <v>434</v>
      </c>
      <c r="D199" s="155" t="s">
        <v>1668</v>
      </c>
      <c r="E199" s="155">
        <v>0.5</v>
      </c>
      <c r="F199" s="155">
        <v>9</v>
      </c>
      <c r="G199" s="155">
        <v>163.4</v>
      </c>
      <c r="H199" s="155" t="s">
        <v>1673</v>
      </c>
      <c r="I199" s="155" t="s">
        <v>432</v>
      </c>
      <c r="J199" s="155" t="s">
        <v>2174</v>
      </c>
    </row>
    <row r="200" spans="1:10">
      <c r="A200" s="155" t="s">
        <v>438</v>
      </c>
      <c r="B200" s="155" t="s">
        <v>436</v>
      </c>
      <c r="C200" s="155" t="s">
        <v>437</v>
      </c>
      <c r="D200" s="155" t="s">
        <v>1668</v>
      </c>
      <c r="E200" s="155">
        <v>0.7</v>
      </c>
      <c r="F200" s="155">
        <v>21.5</v>
      </c>
      <c r="G200" s="155">
        <v>161.4</v>
      </c>
      <c r="H200" s="155" t="s">
        <v>1673</v>
      </c>
      <c r="I200" s="155" t="s">
        <v>432</v>
      </c>
      <c r="J200" s="155" t="s">
        <v>2173</v>
      </c>
    </row>
    <row r="201" spans="1:10">
      <c r="A201" s="155" t="s">
        <v>441</v>
      </c>
      <c r="B201" s="155" t="s">
        <v>439</v>
      </c>
      <c r="C201" s="155" t="s">
        <v>440</v>
      </c>
      <c r="D201" s="155" t="s">
        <v>1668</v>
      </c>
      <c r="E201" s="155">
        <v>1</v>
      </c>
      <c r="F201" s="155">
        <v>16</v>
      </c>
      <c r="G201" s="155">
        <v>22.3</v>
      </c>
      <c r="H201" s="155" t="s">
        <v>1673</v>
      </c>
      <c r="I201" s="155" t="s">
        <v>432</v>
      </c>
      <c r="J201" s="155" t="s">
        <v>2173</v>
      </c>
    </row>
    <row r="202" spans="1:10">
      <c r="A202" s="155" t="s">
        <v>444</v>
      </c>
      <c r="B202" s="155" t="s">
        <v>442</v>
      </c>
      <c r="C202" s="155" t="s">
        <v>443</v>
      </c>
      <c r="D202" s="155" t="s">
        <v>1668</v>
      </c>
      <c r="E202" s="155">
        <v>0.7</v>
      </c>
      <c r="F202" s="155">
        <v>9.5</v>
      </c>
      <c r="G202" s="155">
        <v>137.9</v>
      </c>
      <c r="H202" s="155" t="s">
        <v>1673</v>
      </c>
      <c r="I202" s="155" t="s">
        <v>432</v>
      </c>
      <c r="J202" s="155" t="s">
        <v>2175</v>
      </c>
    </row>
    <row r="203" spans="1:10">
      <c r="A203" s="155" t="s">
        <v>447</v>
      </c>
      <c r="B203" s="155" t="s">
        <v>445</v>
      </c>
      <c r="C203" s="155" t="s">
        <v>446</v>
      </c>
      <c r="D203" s="155" t="s">
        <v>1668</v>
      </c>
      <c r="E203" s="155">
        <v>0.7</v>
      </c>
      <c r="F203" s="155">
        <v>5.5</v>
      </c>
      <c r="G203" s="155">
        <v>130.4</v>
      </c>
      <c r="H203" s="155" t="s">
        <v>1673</v>
      </c>
      <c r="I203" s="155" t="s">
        <v>432</v>
      </c>
      <c r="J203" s="155" t="s">
        <v>2175</v>
      </c>
    </row>
    <row r="204" spans="1:10">
      <c r="A204" s="155" t="s">
        <v>450</v>
      </c>
      <c r="B204" s="155" t="s">
        <v>448</v>
      </c>
      <c r="C204" s="155" t="s">
        <v>449</v>
      </c>
      <c r="D204" s="155" t="s">
        <v>1668</v>
      </c>
      <c r="E204" s="155">
        <v>0.7</v>
      </c>
      <c r="F204" s="155">
        <v>6.5</v>
      </c>
      <c r="G204" s="155">
        <v>137.9</v>
      </c>
      <c r="H204" s="155" t="s">
        <v>1673</v>
      </c>
      <c r="I204" s="155" t="s">
        <v>432</v>
      </c>
      <c r="J204" s="155" t="s">
        <v>2176</v>
      </c>
    </row>
    <row r="205" spans="1:10">
      <c r="A205" s="155" t="s">
        <v>453</v>
      </c>
      <c r="B205" s="155" t="s">
        <v>451</v>
      </c>
      <c r="C205" s="155" t="s">
        <v>452</v>
      </c>
      <c r="D205" s="155" t="s">
        <v>1668</v>
      </c>
      <c r="E205" s="155">
        <v>0.7</v>
      </c>
      <c r="F205" s="155">
        <v>5.5</v>
      </c>
      <c r="G205" s="155">
        <v>137.9</v>
      </c>
      <c r="H205" s="155" t="s">
        <v>1673</v>
      </c>
      <c r="I205" s="155" t="s">
        <v>432</v>
      </c>
      <c r="J205" s="155" t="s">
        <v>2176</v>
      </c>
    </row>
    <row r="206" spans="1:10">
      <c r="A206" s="155" t="s">
        <v>456</v>
      </c>
      <c r="B206" s="155" t="s">
        <v>454</v>
      </c>
      <c r="C206" s="155" t="s">
        <v>455</v>
      </c>
      <c r="D206" s="155" t="s">
        <v>1668</v>
      </c>
      <c r="E206" s="155">
        <v>1</v>
      </c>
      <c r="F206" s="155">
        <v>8</v>
      </c>
      <c r="G206" s="155">
        <v>22.4</v>
      </c>
      <c r="H206" s="155" t="s">
        <v>1673</v>
      </c>
      <c r="I206" s="155" t="s">
        <v>432</v>
      </c>
      <c r="J206" s="155" t="s">
        <v>2173</v>
      </c>
    </row>
    <row r="207" spans="1:10">
      <c r="A207" s="155" t="s">
        <v>465</v>
      </c>
      <c r="B207" s="155" t="s">
        <v>463</v>
      </c>
      <c r="C207" s="155" t="s">
        <v>464</v>
      </c>
      <c r="D207" s="155" t="s">
        <v>1668</v>
      </c>
      <c r="E207" s="155">
        <v>0.4</v>
      </c>
      <c r="F207" s="155">
        <v>7.5</v>
      </c>
      <c r="G207" s="155">
        <v>211.2</v>
      </c>
      <c r="H207" s="155" t="s">
        <v>1673</v>
      </c>
      <c r="I207" s="155" t="s">
        <v>432</v>
      </c>
      <c r="J207" s="155" t="s">
        <v>2177</v>
      </c>
    </row>
    <row r="208" spans="1:10">
      <c r="A208" s="155" t="s">
        <v>468</v>
      </c>
      <c r="B208" s="155" t="s">
        <v>466</v>
      </c>
      <c r="C208" s="155" t="s">
        <v>467</v>
      </c>
      <c r="D208" s="155" t="s">
        <v>1668</v>
      </c>
      <c r="E208" s="155">
        <v>0.4</v>
      </c>
      <c r="F208" s="155">
        <v>11.5</v>
      </c>
      <c r="G208" s="155">
        <v>211.2</v>
      </c>
      <c r="H208" s="155" t="s">
        <v>1673</v>
      </c>
      <c r="I208" s="155" t="s">
        <v>432</v>
      </c>
      <c r="J208" s="155" t="s">
        <v>2178</v>
      </c>
    </row>
    <row r="209" spans="1:10">
      <c r="A209" s="155" t="s">
        <v>480</v>
      </c>
      <c r="B209" s="155" t="s">
        <v>478</v>
      </c>
      <c r="C209" s="155" t="s">
        <v>479</v>
      </c>
      <c r="D209" s="155" t="s">
        <v>1668</v>
      </c>
      <c r="E209" s="155">
        <v>0.5</v>
      </c>
      <c r="F209" s="155">
        <v>28</v>
      </c>
      <c r="G209" s="155">
        <v>115.6</v>
      </c>
      <c r="H209" s="155" t="s">
        <v>1673</v>
      </c>
      <c r="I209" s="155" t="s">
        <v>432</v>
      </c>
      <c r="J209" s="155" t="s">
        <v>2179</v>
      </c>
    </row>
    <row r="210" spans="1:10">
      <c r="A210" s="155" t="s">
        <v>492</v>
      </c>
      <c r="B210" s="155" t="s">
        <v>490</v>
      </c>
      <c r="C210" s="155" t="s">
        <v>491</v>
      </c>
      <c r="D210" s="155" t="s">
        <v>1668</v>
      </c>
      <c r="E210" s="155">
        <v>3.5</v>
      </c>
      <c r="F210" s="155"/>
      <c r="G210" s="155"/>
      <c r="H210" s="155" t="s">
        <v>1672</v>
      </c>
      <c r="I210" s="155" t="s">
        <v>493</v>
      </c>
      <c r="J210" s="155" t="s">
        <v>1698</v>
      </c>
    </row>
    <row r="211" spans="1:10">
      <c r="A211" s="155" t="s">
        <v>496</v>
      </c>
      <c r="B211" s="155" t="s">
        <v>494</v>
      </c>
      <c r="C211" s="155" t="s">
        <v>495</v>
      </c>
      <c r="D211" s="155" t="s">
        <v>1668</v>
      </c>
      <c r="E211" s="155">
        <v>3.5</v>
      </c>
      <c r="F211" s="155"/>
      <c r="G211" s="155"/>
      <c r="H211" s="155" t="s">
        <v>1672</v>
      </c>
      <c r="I211" s="155" t="s">
        <v>493</v>
      </c>
      <c r="J211" s="155" t="s">
        <v>2180</v>
      </c>
    </row>
    <row r="212" spans="1:10">
      <c r="A212" s="155" t="s">
        <v>499</v>
      </c>
      <c r="B212" s="155" t="s">
        <v>497</v>
      </c>
      <c r="C212" s="155" t="s">
        <v>498</v>
      </c>
      <c r="D212" s="155" t="s">
        <v>1668</v>
      </c>
      <c r="E212" s="155">
        <v>3.5</v>
      </c>
      <c r="F212" s="155"/>
      <c r="G212" s="155"/>
      <c r="H212" s="155" t="s">
        <v>1672</v>
      </c>
      <c r="I212" s="155" t="s">
        <v>493</v>
      </c>
      <c r="J212" s="155" t="s">
        <v>1970</v>
      </c>
    </row>
    <row r="213" spans="1:10">
      <c r="A213" s="155" t="s">
        <v>503</v>
      </c>
      <c r="B213" s="155" t="s">
        <v>501</v>
      </c>
      <c r="C213" s="155" t="s">
        <v>502</v>
      </c>
      <c r="D213" s="155" t="s">
        <v>1668</v>
      </c>
      <c r="E213" s="155">
        <v>3.5</v>
      </c>
      <c r="F213" s="155"/>
      <c r="G213" s="155"/>
      <c r="H213" s="155" t="s">
        <v>1672</v>
      </c>
      <c r="I213" s="155" t="s">
        <v>493</v>
      </c>
      <c r="J213" s="155" t="s">
        <v>1970</v>
      </c>
    </row>
    <row r="214" spans="1:10">
      <c r="A214" s="155" t="s">
        <v>2181</v>
      </c>
      <c r="B214" s="155" t="s">
        <v>2182</v>
      </c>
      <c r="C214" s="155" t="s">
        <v>2183</v>
      </c>
      <c r="D214" s="155" t="s">
        <v>1668</v>
      </c>
      <c r="E214" s="155">
        <v>0.4</v>
      </c>
      <c r="F214" s="155"/>
      <c r="G214" s="155"/>
      <c r="H214" s="155" t="s">
        <v>1672</v>
      </c>
      <c r="I214" s="155" t="s">
        <v>2184</v>
      </c>
      <c r="J214" s="155" t="s">
        <v>2185</v>
      </c>
    </row>
    <row r="215" spans="1:10">
      <c r="A215" s="155" t="s">
        <v>2186</v>
      </c>
      <c r="B215" s="155" t="s">
        <v>2187</v>
      </c>
      <c r="C215" s="155" t="s">
        <v>2188</v>
      </c>
      <c r="D215" s="155" t="s">
        <v>1668</v>
      </c>
      <c r="E215" s="155">
        <v>0.4</v>
      </c>
      <c r="F215" s="155"/>
      <c r="G215" s="155"/>
      <c r="H215" s="155" t="s">
        <v>1672</v>
      </c>
      <c r="I215" s="155" t="s">
        <v>2189</v>
      </c>
      <c r="J215" s="155" t="s">
        <v>2185</v>
      </c>
    </row>
    <row r="216" spans="1:10">
      <c r="A216" s="155" t="s">
        <v>526</v>
      </c>
      <c r="B216" s="155" t="s">
        <v>524</v>
      </c>
      <c r="C216" s="155" t="s">
        <v>525</v>
      </c>
      <c r="D216" s="155" t="s">
        <v>1668</v>
      </c>
      <c r="E216" s="155">
        <v>0.2</v>
      </c>
      <c r="F216" s="155"/>
      <c r="G216" s="155"/>
      <c r="H216" s="155" t="s">
        <v>1672</v>
      </c>
      <c r="I216" s="155" t="s">
        <v>527</v>
      </c>
      <c r="J216" s="155" t="s">
        <v>2190</v>
      </c>
    </row>
    <row r="217" spans="1:10">
      <c r="A217" s="155" t="s">
        <v>542</v>
      </c>
      <c r="B217" s="155" t="s">
        <v>540</v>
      </c>
      <c r="C217" s="155" t="s">
        <v>541</v>
      </c>
      <c r="D217" s="155" t="s">
        <v>1668</v>
      </c>
      <c r="E217" s="155">
        <v>2.2999999999999998</v>
      </c>
      <c r="F217" s="155"/>
      <c r="G217" s="155"/>
      <c r="H217" s="155" t="s">
        <v>1672</v>
      </c>
      <c r="I217" s="155" t="s">
        <v>98</v>
      </c>
      <c r="J217" s="155" t="s">
        <v>1691</v>
      </c>
    </row>
    <row r="218" spans="1:10">
      <c r="A218" s="155" t="s">
        <v>2191</v>
      </c>
      <c r="B218" s="155" t="s">
        <v>2192</v>
      </c>
      <c r="C218" s="155" t="s">
        <v>2193</v>
      </c>
      <c r="D218" s="155" t="s">
        <v>1668</v>
      </c>
      <c r="E218" s="155">
        <v>1.3</v>
      </c>
      <c r="F218" s="155"/>
      <c r="G218" s="155"/>
      <c r="H218" s="155" t="s">
        <v>1672</v>
      </c>
      <c r="I218" s="155" t="s">
        <v>2194</v>
      </c>
      <c r="J218" s="155" t="s">
        <v>1840</v>
      </c>
    </row>
    <row r="219" spans="1:10">
      <c r="A219" s="155" t="s">
        <v>2195</v>
      </c>
      <c r="B219" s="155" t="s">
        <v>2196</v>
      </c>
      <c r="C219" s="155" t="s">
        <v>2197</v>
      </c>
      <c r="D219" s="155" t="s">
        <v>1668</v>
      </c>
      <c r="E219" s="155">
        <v>0.2</v>
      </c>
      <c r="F219" s="155"/>
      <c r="G219" s="155"/>
      <c r="H219" s="155" t="s">
        <v>1672</v>
      </c>
      <c r="I219" s="155" t="s">
        <v>2198</v>
      </c>
      <c r="J219" s="155" t="s">
        <v>1840</v>
      </c>
    </row>
    <row r="220" spans="1:10">
      <c r="A220" s="155" t="s">
        <v>2199</v>
      </c>
      <c r="B220" s="155" t="s">
        <v>2200</v>
      </c>
      <c r="C220" s="155" t="s">
        <v>2201</v>
      </c>
      <c r="D220" s="155" t="s">
        <v>1668</v>
      </c>
      <c r="E220" s="155">
        <v>1.5</v>
      </c>
      <c r="F220" s="155">
        <v>3</v>
      </c>
      <c r="G220" s="155">
        <v>260.60000000000002</v>
      </c>
      <c r="H220" s="155" t="s">
        <v>1673</v>
      </c>
      <c r="I220" s="155" t="s">
        <v>122</v>
      </c>
      <c r="J220" s="155" t="s">
        <v>1709</v>
      </c>
    </row>
    <row r="221" spans="1:10">
      <c r="A221" s="155" t="s">
        <v>2202</v>
      </c>
      <c r="B221" s="155" t="s">
        <v>2203</v>
      </c>
      <c r="C221" s="155" t="s">
        <v>2204</v>
      </c>
      <c r="D221" s="155" t="s">
        <v>1668</v>
      </c>
      <c r="E221" s="155">
        <v>0.1</v>
      </c>
      <c r="F221" s="155"/>
      <c r="G221" s="155"/>
      <c r="H221" s="155" t="s">
        <v>1672</v>
      </c>
      <c r="I221" s="155" t="s">
        <v>2205</v>
      </c>
      <c r="J221" s="155" t="s">
        <v>1840</v>
      </c>
    </row>
    <row r="222" spans="1:10">
      <c r="A222" s="155" t="s">
        <v>2206</v>
      </c>
      <c r="B222" s="155" t="s">
        <v>2207</v>
      </c>
      <c r="C222" s="155" t="s">
        <v>2208</v>
      </c>
      <c r="D222" s="155" t="s">
        <v>1668</v>
      </c>
      <c r="E222" s="155">
        <v>0.2</v>
      </c>
      <c r="F222" s="155"/>
      <c r="G222" s="155"/>
      <c r="H222" s="155" t="s">
        <v>1672</v>
      </c>
      <c r="I222" s="155" t="s">
        <v>2205</v>
      </c>
      <c r="J222" s="155" t="s">
        <v>1840</v>
      </c>
    </row>
    <row r="223" spans="1:10">
      <c r="A223" s="155" t="s">
        <v>2209</v>
      </c>
      <c r="B223" s="155" t="s">
        <v>2210</v>
      </c>
      <c r="C223" s="155" t="s">
        <v>2211</v>
      </c>
      <c r="D223" s="155" t="s">
        <v>1668</v>
      </c>
      <c r="E223" s="155">
        <v>1.6</v>
      </c>
      <c r="F223" s="155">
        <v>4.5</v>
      </c>
      <c r="G223" s="155">
        <v>324.10000000000002</v>
      </c>
      <c r="H223" s="155" t="s">
        <v>1673</v>
      </c>
      <c r="I223" s="155" t="s">
        <v>147</v>
      </c>
      <c r="J223" s="155" t="s">
        <v>1682</v>
      </c>
    </row>
    <row r="224" spans="1:10">
      <c r="A224" s="155" t="s">
        <v>2212</v>
      </c>
      <c r="B224" s="155" t="s">
        <v>2213</v>
      </c>
      <c r="C224" s="155" t="s">
        <v>2214</v>
      </c>
      <c r="D224" s="155" t="s">
        <v>1668</v>
      </c>
      <c r="E224" s="155">
        <v>1.6</v>
      </c>
      <c r="F224" s="155">
        <v>5.3</v>
      </c>
      <c r="G224" s="155">
        <v>324.7</v>
      </c>
      <c r="H224" s="155" t="s">
        <v>1673</v>
      </c>
      <c r="I224" s="155" t="s">
        <v>147</v>
      </c>
      <c r="J224" s="155" t="s">
        <v>1682</v>
      </c>
    </row>
    <row r="225" spans="1:10">
      <c r="A225" s="155" t="s">
        <v>2215</v>
      </c>
      <c r="B225" s="155" t="s">
        <v>2216</v>
      </c>
      <c r="C225" s="155" t="s">
        <v>2217</v>
      </c>
      <c r="D225" s="155" t="s">
        <v>1668</v>
      </c>
      <c r="E225" s="155">
        <v>1.2</v>
      </c>
      <c r="F225" s="155">
        <v>84</v>
      </c>
      <c r="G225" s="155">
        <v>217.4</v>
      </c>
      <c r="H225" s="155" t="s">
        <v>1673</v>
      </c>
      <c r="I225" s="155" t="s">
        <v>236</v>
      </c>
      <c r="J225" s="155"/>
    </row>
    <row r="226" spans="1:10">
      <c r="A226" s="155" t="s">
        <v>2218</v>
      </c>
      <c r="B226" s="155" t="s">
        <v>2219</v>
      </c>
      <c r="C226" s="155" t="s">
        <v>2220</v>
      </c>
      <c r="D226" s="155" t="s">
        <v>1668</v>
      </c>
      <c r="E226" s="155">
        <v>5.8</v>
      </c>
      <c r="F226" s="155"/>
      <c r="G226" s="155"/>
      <c r="H226" s="155" t="s">
        <v>1672</v>
      </c>
      <c r="I226" s="155" t="s">
        <v>2221</v>
      </c>
      <c r="J226" s="155" t="s">
        <v>1692</v>
      </c>
    </row>
    <row r="227" spans="1:10">
      <c r="A227" s="155" t="s">
        <v>545</v>
      </c>
      <c r="B227" s="155" t="s">
        <v>543</v>
      </c>
      <c r="C227" s="155" t="s">
        <v>544</v>
      </c>
      <c r="D227" s="155" t="s">
        <v>1668</v>
      </c>
      <c r="E227" s="155">
        <v>0.4</v>
      </c>
      <c r="F227" s="155"/>
      <c r="G227" s="155"/>
      <c r="H227" s="155" t="s">
        <v>1672</v>
      </c>
      <c r="I227" s="155" t="s">
        <v>271</v>
      </c>
      <c r="J227" s="155" t="s">
        <v>1692</v>
      </c>
    </row>
    <row r="228" spans="1:10">
      <c r="A228" s="155" t="s">
        <v>2222</v>
      </c>
      <c r="B228" s="155" t="s">
        <v>2223</v>
      </c>
      <c r="C228" s="155" t="s">
        <v>2224</v>
      </c>
      <c r="D228" s="155" t="s">
        <v>1668</v>
      </c>
      <c r="E228" s="155">
        <v>1</v>
      </c>
      <c r="F228" s="155">
        <v>1.5</v>
      </c>
      <c r="G228" s="155">
        <v>252.4</v>
      </c>
      <c r="H228" s="155" t="s">
        <v>1673</v>
      </c>
      <c r="I228" s="155" t="s">
        <v>147</v>
      </c>
      <c r="J228" s="155" t="s">
        <v>1709</v>
      </c>
    </row>
    <row r="229" spans="1:10">
      <c r="A229" s="155" t="s">
        <v>2225</v>
      </c>
      <c r="B229" s="155" t="s">
        <v>2226</v>
      </c>
      <c r="C229" s="155" t="s">
        <v>2227</v>
      </c>
      <c r="D229" s="155" t="s">
        <v>1668</v>
      </c>
      <c r="E229" s="155">
        <v>1</v>
      </c>
      <c r="F229" s="155">
        <v>1.2</v>
      </c>
      <c r="G229" s="155">
        <v>253.5</v>
      </c>
      <c r="H229" s="155" t="s">
        <v>1673</v>
      </c>
      <c r="I229" s="155" t="s">
        <v>147</v>
      </c>
      <c r="J229" s="155" t="s">
        <v>1709</v>
      </c>
    </row>
    <row r="230" spans="1:10">
      <c r="A230" s="155" t="s">
        <v>2228</v>
      </c>
      <c r="B230" s="155" t="s">
        <v>2229</v>
      </c>
      <c r="C230" s="155" t="s">
        <v>2230</v>
      </c>
      <c r="D230" s="155" t="s">
        <v>1668</v>
      </c>
      <c r="E230" s="155">
        <v>1</v>
      </c>
      <c r="F230" s="155">
        <v>3</v>
      </c>
      <c r="G230" s="155">
        <v>252.2</v>
      </c>
      <c r="H230" s="155" t="s">
        <v>1673</v>
      </c>
      <c r="I230" s="155" t="s">
        <v>147</v>
      </c>
      <c r="J230" s="155" t="s">
        <v>1709</v>
      </c>
    </row>
    <row r="231" spans="1:10">
      <c r="A231" s="155" t="s">
        <v>2231</v>
      </c>
      <c r="B231" s="155" t="s">
        <v>2232</v>
      </c>
      <c r="C231" s="155" t="s">
        <v>2233</v>
      </c>
      <c r="D231" s="155" t="s">
        <v>1668</v>
      </c>
      <c r="E231" s="155">
        <v>1</v>
      </c>
      <c r="F231" s="155">
        <v>1.5</v>
      </c>
      <c r="G231" s="155">
        <v>298.5</v>
      </c>
      <c r="H231" s="155" t="s">
        <v>1673</v>
      </c>
      <c r="I231" s="155" t="s">
        <v>147</v>
      </c>
      <c r="J231" s="155" t="s">
        <v>1709</v>
      </c>
    </row>
    <row r="232" spans="1:10">
      <c r="A232" s="155" t="s">
        <v>2234</v>
      </c>
      <c r="B232" s="155" t="s">
        <v>2235</v>
      </c>
      <c r="C232" s="155" t="s">
        <v>2236</v>
      </c>
      <c r="D232" s="155" t="s">
        <v>1668</v>
      </c>
      <c r="E232" s="155">
        <v>1.2</v>
      </c>
      <c r="F232" s="155"/>
      <c r="G232" s="155"/>
      <c r="H232" s="155" t="s">
        <v>1672</v>
      </c>
      <c r="I232" s="155" t="s">
        <v>2237</v>
      </c>
      <c r="J232" s="155" t="s">
        <v>1863</v>
      </c>
    </row>
    <row r="233" spans="1:10">
      <c r="A233" s="155" t="s">
        <v>2238</v>
      </c>
      <c r="B233" s="155" t="s">
        <v>2239</v>
      </c>
      <c r="C233" s="155" t="s">
        <v>2240</v>
      </c>
      <c r="D233" s="155" t="s">
        <v>1668</v>
      </c>
      <c r="E233" s="155">
        <v>1.2</v>
      </c>
      <c r="F233" s="155"/>
      <c r="G233" s="155"/>
      <c r="H233" s="155" t="s">
        <v>1672</v>
      </c>
      <c r="I233" s="155" t="s">
        <v>2237</v>
      </c>
      <c r="J233" s="155" t="s">
        <v>1863</v>
      </c>
    </row>
    <row r="234" spans="1:10">
      <c r="A234" s="155" t="s">
        <v>2241</v>
      </c>
      <c r="B234" s="155" t="s">
        <v>2242</v>
      </c>
      <c r="C234" s="155" t="s">
        <v>2243</v>
      </c>
      <c r="D234" s="155" t="s">
        <v>1668</v>
      </c>
      <c r="E234" s="155">
        <v>0.4</v>
      </c>
      <c r="F234" s="155">
        <v>74.5</v>
      </c>
      <c r="G234" s="155">
        <v>164.6</v>
      </c>
      <c r="H234" s="155" t="s">
        <v>1673</v>
      </c>
      <c r="I234" s="155" t="s">
        <v>2244</v>
      </c>
      <c r="J234" s="155" t="s">
        <v>2245</v>
      </c>
    </row>
    <row r="235" spans="1:10">
      <c r="A235" s="155" t="s">
        <v>2246</v>
      </c>
      <c r="B235" s="155" t="s">
        <v>2247</v>
      </c>
      <c r="C235" s="155" t="s">
        <v>2248</v>
      </c>
      <c r="D235" s="155" t="s">
        <v>1668</v>
      </c>
      <c r="E235" s="155">
        <v>1.4</v>
      </c>
      <c r="F235" s="155">
        <v>29</v>
      </c>
      <c r="G235" s="155">
        <v>179.5</v>
      </c>
      <c r="H235" s="155" t="s">
        <v>1673</v>
      </c>
      <c r="I235" s="155" t="s">
        <v>2244</v>
      </c>
      <c r="J235" s="155" t="s">
        <v>2245</v>
      </c>
    </row>
    <row r="236" spans="1:10">
      <c r="A236" s="155" t="s">
        <v>2249</v>
      </c>
      <c r="B236" s="155" t="s">
        <v>2250</v>
      </c>
      <c r="C236" s="155" t="s">
        <v>2251</v>
      </c>
      <c r="D236" s="155" t="s">
        <v>1668</v>
      </c>
      <c r="E236" s="155">
        <v>2</v>
      </c>
      <c r="F236" s="155"/>
      <c r="G236" s="155"/>
      <c r="H236" s="155" t="s">
        <v>1672</v>
      </c>
      <c r="I236" s="155" t="s">
        <v>1742</v>
      </c>
      <c r="J236" s="155" t="s">
        <v>1840</v>
      </c>
    </row>
    <row r="237" spans="1:10">
      <c r="A237" s="155" t="s">
        <v>2252</v>
      </c>
      <c r="B237" s="155" t="s">
        <v>2253</v>
      </c>
      <c r="C237" s="155" t="s">
        <v>2254</v>
      </c>
      <c r="D237" s="155" t="s">
        <v>1668</v>
      </c>
      <c r="E237" s="155">
        <v>2</v>
      </c>
      <c r="F237" s="155"/>
      <c r="G237" s="155"/>
      <c r="H237" s="155" t="s">
        <v>1672</v>
      </c>
      <c r="I237" s="155" t="s">
        <v>1742</v>
      </c>
      <c r="J237" s="155" t="s">
        <v>1840</v>
      </c>
    </row>
    <row r="238" spans="1:10">
      <c r="A238" s="155" t="s">
        <v>2255</v>
      </c>
      <c r="B238" s="155" t="s">
        <v>2256</v>
      </c>
      <c r="C238" s="155" t="s">
        <v>2257</v>
      </c>
      <c r="D238" s="155" t="s">
        <v>1668</v>
      </c>
      <c r="E238" s="155">
        <v>0.2</v>
      </c>
      <c r="F238" s="155">
        <v>6.2</v>
      </c>
      <c r="G238" s="155">
        <v>203.4</v>
      </c>
      <c r="H238" s="155" t="s">
        <v>1673</v>
      </c>
      <c r="I238" s="155" t="s">
        <v>2258</v>
      </c>
      <c r="J238" s="155" t="s">
        <v>1691</v>
      </c>
    </row>
    <row r="239" spans="1:10">
      <c r="A239" s="155" t="s">
        <v>2259</v>
      </c>
      <c r="B239" s="155" t="s">
        <v>2260</v>
      </c>
      <c r="C239" s="155" t="s">
        <v>2261</v>
      </c>
      <c r="D239" s="155" t="s">
        <v>1668</v>
      </c>
      <c r="E239" s="155">
        <v>0.2</v>
      </c>
      <c r="F239" s="155">
        <v>12.2</v>
      </c>
      <c r="G239" s="155">
        <v>205.8</v>
      </c>
      <c r="H239" s="155" t="s">
        <v>1673</v>
      </c>
      <c r="I239" s="155" t="s">
        <v>2258</v>
      </c>
      <c r="J239" s="155" t="s">
        <v>1691</v>
      </c>
    </row>
    <row r="240" spans="1:10">
      <c r="A240" s="155" t="s">
        <v>2262</v>
      </c>
      <c r="B240" s="155" t="s">
        <v>2263</v>
      </c>
      <c r="C240" s="155" t="s">
        <v>2264</v>
      </c>
      <c r="D240" s="155" t="s">
        <v>1668</v>
      </c>
      <c r="E240" s="155">
        <v>0.1</v>
      </c>
      <c r="F240" s="155">
        <v>6.2</v>
      </c>
      <c r="G240" s="155">
        <v>203.4</v>
      </c>
      <c r="H240" s="155" t="s">
        <v>1673</v>
      </c>
      <c r="I240" s="155" t="s">
        <v>2265</v>
      </c>
      <c r="J240" s="155" t="s">
        <v>1691</v>
      </c>
    </row>
    <row r="241" spans="1:10">
      <c r="A241" s="155" t="s">
        <v>2266</v>
      </c>
      <c r="B241" s="155" t="s">
        <v>2267</v>
      </c>
      <c r="C241" s="155" t="s">
        <v>2268</v>
      </c>
      <c r="D241" s="155" t="s">
        <v>1668</v>
      </c>
      <c r="E241" s="155">
        <v>0.1</v>
      </c>
      <c r="F241" s="155">
        <v>13.2</v>
      </c>
      <c r="G241" s="155">
        <v>203.4</v>
      </c>
      <c r="H241" s="155" t="s">
        <v>1673</v>
      </c>
      <c r="I241" s="155" t="s">
        <v>2265</v>
      </c>
      <c r="J241" s="155" t="s">
        <v>1691</v>
      </c>
    </row>
    <row r="242" spans="1:10">
      <c r="A242" s="155" t="s">
        <v>2269</v>
      </c>
      <c r="B242" s="155" t="s">
        <v>2270</v>
      </c>
      <c r="C242" s="155" t="s">
        <v>2271</v>
      </c>
      <c r="D242" s="155" t="s">
        <v>1668</v>
      </c>
      <c r="E242" s="155">
        <v>0.8</v>
      </c>
      <c r="F242" s="155">
        <v>8</v>
      </c>
      <c r="G242" s="155">
        <v>228</v>
      </c>
      <c r="H242" s="155" t="s">
        <v>1673</v>
      </c>
      <c r="I242" s="155" t="s">
        <v>2258</v>
      </c>
      <c r="J242" s="155" t="s">
        <v>1674</v>
      </c>
    </row>
    <row r="243" spans="1:10">
      <c r="A243" s="155" t="s">
        <v>2272</v>
      </c>
      <c r="B243" s="155" t="s">
        <v>2273</v>
      </c>
      <c r="C243" s="155" t="s">
        <v>2274</v>
      </c>
      <c r="D243" s="155" t="s">
        <v>1668</v>
      </c>
      <c r="E243" s="155">
        <v>0.8</v>
      </c>
      <c r="F243" s="155">
        <v>7.8</v>
      </c>
      <c r="G243" s="155">
        <v>228.5</v>
      </c>
      <c r="H243" s="155" t="s">
        <v>1673</v>
      </c>
      <c r="I243" s="155" t="s">
        <v>2258</v>
      </c>
      <c r="J243" s="155" t="s">
        <v>1674</v>
      </c>
    </row>
    <row r="244" spans="1:10">
      <c r="A244" s="155" t="s">
        <v>2275</v>
      </c>
      <c r="B244" s="155" t="s">
        <v>2276</v>
      </c>
      <c r="C244" s="155" t="s">
        <v>2277</v>
      </c>
      <c r="D244" s="155" t="s">
        <v>1668</v>
      </c>
      <c r="E244" s="155">
        <v>3</v>
      </c>
      <c r="F244" s="155">
        <v>1</v>
      </c>
      <c r="G244" s="155">
        <v>324.89999999999998</v>
      </c>
      <c r="H244" s="155" t="s">
        <v>1673</v>
      </c>
      <c r="I244" s="155" t="s">
        <v>2258</v>
      </c>
      <c r="J244" s="155"/>
    </row>
    <row r="245" spans="1:10">
      <c r="A245" s="155" t="s">
        <v>2278</v>
      </c>
      <c r="B245" s="155" t="s">
        <v>2279</v>
      </c>
      <c r="C245" s="155" t="s">
        <v>2280</v>
      </c>
      <c r="D245" s="155" t="s">
        <v>1668</v>
      </c>
      <c r="E245" s="155">
        <v>0.2</v>
      </c>
      <c r="F245" s="155"/>
      <c r="G245" s="155"/>
      <c r="H245" s="155" t="s">
        <v>1672</v>
      </c>
      <c r="I245" s="155" t="s">
        <v>1979</v>
      </c>
      <c r="J245" s="155" t="s">
        <v>1692</v>
      </c>
    </row>
    <row r="246" spans="1:10">
      <c r="A246" s="155" t="s">
        <v>2281</v>
      </c>
      <c r="B246" s="155" t="s">
        <v>2282</v>
      </c>
      <c r="C246" s="155" t="s">
        <v>2283</v>
      </c>
      <c r="D246" s="155" t="s">
        <v>1668</v>
      </c>
      <c r="E246" s="155">
        <v>0.4</v>
      </c>
      <c r="F246" s="155"/>
      <c r="G246" s="155"/>
      <c r="H246" s="155" t="s">
        <v>1672</v>
      </c>
      <c r="I246" s="155" t="s">
        <v>271</v>
      </c>
      <c r="J246" s="155" t="s">
        <v>1878</v>
      </c>
    </row>
    <row r="247" spans="1:10">
      <c r="A247" s="155" t="s">
        <v>2284</v>
      </c>
      <c r="B247" s="155" t="s">
        <v>2285</v>
      </c>
      <c r="C247" s="155" t="s">
        <v>2286</v>
      </c>
      <c r="D247" s="155" t="s">
        <v>1668</v>
      </c>
      <c r="E247" s="155">
        <v>2.5</v>
      </c>
      <c r="F247" s="155"/>
      <c r="G247" s="155"/>
      <c r="H247" s="155" t="s">
        <v>1672</v>
      </c>
      <c r="I247" s="155" t="s">
        <v>2287</v>
      </c>
      <c r="J247" s="155" t="s">
        <v>1691</v>
      </c>
    </row>
    <row r="248" spans="1:10">
      <c r="A248" s="155" t="s">
        <v>2288</v>
      </c>
      <c r="B248" s="155" t="s">
        <v>2289</v>
      </c>
      <c r="C248" s="155" t="s">
        <v>2290</v>
      </c>
      <c r="D248" s="155" t="s">
        <v>1668</v>
      </c>
      <c r="E248" s="155">
        <v>0.5</v>
      </c>
      <c r="F248" s="155"/>
      <c r="G248" s="155"/>
      <c r="H248" s="155" t="s">
        <v>1672</v>
      </c>
      <c r="I248" s="155" t="s">
        <v>2291</v>
      </c>
      <c r="J248" s="155" t="s">
        <v>2292</v>
      </c>
    </row>
    <row r="249" spans="1:10">
      <c r="A249" s="155" t="s">
        <v>2293</v>
      </c>
      <c r="B249" s="155" t="s">
        <v>2294</v>
      </c>
      <c r="C249" s="155" t="s">
        <v>2295</v>
      </c>
      <c r="D249" s="155" t="s">
        <v>1668</v>
      </c>
      <c r="E249" s="155">
        <v>0.7</v>
      </c>
      <c r="F249" s="155"/>
      <c r="G249" s="155"/>
      <c r="H249" s="155" t="s">
        <v>1672</v>
      </c>
      <c r="I249" s="155" t="s">
        <v>2291</v>
      </c>
      <c r="J249" s="155" t="s">
        <v>2296</v>
      </c>
    </row>
    <row r="250" spans="1:10">
      <c r="A250" s="155" t="s">
        <v>2297</v>
      </c>
      <c r="B250" s="155" t="s">
        <v>2298</v>
      </c>
      <c r="C250" s="155" t="s">
        <v>2299</v>
      </c>
      <c r="D250" s="155" t="s">
        <v>1668</v>
      </c>
      <c r="E250" s="155">
        <v>0.7</v>
      </c>
      <c r="F250" s="155"/>
      <c r="G250" s="155"/>
      <c r="H250" s="155" t="s">
        <v>1672</v>
      </c>
      <c r="I250" s="155" t="s">
        <v>2291</v>
      </c>
      <c r="J250" s="155" t="s">
        <v>2300</v>
      </c>
    </row>
    <row r="251" spans="1:10">
      <c r="A251" s="155" t="s">
        <v>2301</v>
      </c>
      <c r="B251" s="155" t="s">
        <v>2302</v>
      </c>
      <c r="C251" s="155" t="s">
        <v>2303</v>
      </c>
      <c r="D251" s="155" t="s">
        <v>1668</v>
      </c>
      <c r="E251" s="155">
        <v>0.7</v>
      </c>
      <c r="F251" s="155"/>
      <c r="G251" s="155"/>
      <c r="H251" s="155" t="s">
        <v>1672</v>
      </c>
      <c r="I251" s="155" t="s">
        <v>2291</v>
      </c>
      <c r="J251" s="155" t="s">
        <v>2300</v>
      </c>
    </row>
    <row r="252" spans="1:10">
      <c r="A252" s="155" t="s">
        <v>2304</v>
      </c>
      <c r="B252" s="155" t="s">
        <v>2305</v>
      </c>
      <c r="C252" s="155" t="s">
        <v>2306</v>
      </c>
      <c r="D252" s="155" t="s">
        <v>1668</v>
      </c>
      <c r="E252" s="155">
        <v>6.2</v>
      </c>
      <c r="F252" s="155">
        <v>1</v>
      </c>
      <c r="G252" s="155">
        <v>130.1</v>
      </c>
      <c r="H252" s="155" t="s">
        <v>1673</v>
      </c>
      <c r="I252" s="155" t="s">
        <v>2307</v>
      </c>
      <c r="J252" s="155" t="s">
        <v>2308</v>
      </c>
    </row>
    <row r="253" spans="1:10">
      <c r="A253" s="155" t="s">
        <v>2309</v>
      </c>
      <c r="B253" s="155" t="s">
        <v>2310</v>
      </c>
      <c r="C253" s="155" t="s">
        <v>2311</v>
      </c>
      <c r="D253" s="155" t="s">
        <v>1668</v>
      </c>
      <c r="E253" s="155">
        <v>10.199999999999999</v>
      </c>
      <c r="F253" s="155"/>
      <c r="G253" s="155"/>
      <c r="H253" s="155" t="s">
        <v>1672</v>
      </c>
      <c r="I253" s="155" t="s">
        <v>2307</v>
      </c>
      <c r="J253" s="155" t="s">
        <v>2312</v>
      </c>
    </row>
    <row r="254" spans="1:10">
      <c r="A254" s="155" t="s">
        <v>549</v>
      </c>
      <c r="B254" s="155" t="s">
        <v>547</v>
      </c>
      <c r="C254" s="155" t="s">
        <v>548</v>
      </c>
      <c r="D254" s="155" t="s">
        <v>1668</v>
      </c>
      <c r="E254" s="155">
        <v>10</v>
      </c>
      <c r="F254" s="155"/>
      <c r="G254" s="155"/>
      <c r="H254" s="155" t="s">
        <v>1672</v>
      </c>
      <c r="I254" s="155" t="s">
        <v>550</v>
      </c>
      <c r="J254" s="155" t="s">
        <v>2099</v>
      </c>
    </row>
    <row r="255" spans="1:10">
      <c r="A255" s="155" t="s">
        <v>2313</v>
      </c>
      <c r="B255" s="155" t="s">
        <v>2314</v>
      </c>
      <c r="C255" s="155" t="s">
        <v>2315</v>
      </c>
      <c r="D255" s="155" t="s">
        <v>1668</v>
      </c>
      <c r="E255" s="155">
        <v>3.1</v>
      </c>
      <c r="F255" s="155"/>
      <c r="G255" s="155"/>
      <c r="H255" s="155" t="s">
        <v>1672</v>
      </c>
      <c r="I255" s="155" t="s">
        <v>424</v>
      </c>
      <c r="J255" s="155" t="s">
        <v>2316</v>
      </c>
    </row>
    <row r="256" spans="1:10">
      <c r="A256" s="155" t="s">
        <v>2317</v>
      </c>
      <c r="B256" s="155" t="s">
        <v>2318</v>
      </c>
      <c r="C256" s="155" t="s">
        <v>2319</v>
      </c>
      <c r="D256" s="155" t="s">
        <v>1668</v>
      </c>
      <c r="E256" s="155">
        <v>0.2</v>
      </c>
      <c r="F256" s="155">
        <v>12.5</v>
      </c>
      <c r="G256" s="155">
        <v>191.4</v>
      </c>
      <c r="H256" s="155" t="s">
        <v>1673</v>
      </c>
      <c r="I256" s="155" t="s">
        <v>1720</v>
      </c>
      <c r="J256" s="155" t="s">
        <v>1709</v>
      </c>
    </row>
    <row r="257" spans="1:10">
      <c r="A257" s="155" t="s">
        <v>2320</v>
      </c>
      <c r="B257" s="155" t="s">
        <v>2321</v>
      </c>
      <c r="C257" s="155" t="s">
        <v>2322</v>
      </c>
      <c r="D257" s="155" t="s">
        <v>1668</v>
      </c>
      <c r="E257" s="155">
        <v>0.8</v>
      </c>
      <c r="F257" s="155">
        <v>22</v>
      </c>
      <c r="G257" s="155">
        <v>193.3</v>
      </c>
      <c r="H257" s="155" t="s">
        <v>1673</v>
      </c>
      <c r="I257" s="155" t="s">
        <v>1720</v>
      </c>
      <c r="J257" s="155" t="s">
        <v>2323</v>
      </c>
    </row>
    <row r="258" spans="1:10">
      <c r="A258" s="155" t="s">
        <v>2324</v>
      </c>
      <c r="B258" s="155" t="s">
        <v>2325</v>
      </c>
      <c r="C258" s="155" t="s">
        <v>2326</v>
      </c>
      <c r="D258" s="155" t="s">
        <v>1668</v>
      </c>
      <c r="E258" s="155">
        <v>0.1</v>
      </c>
      <c r="F258" s="155">
        <v>14</v>
      </c>
      <c r="G258" s="155">
        <v>191.3</v>
      </c>
      <c r="H258" s="155" t="s">
        <v>1673</v>
      </c>
      <c r="I258" s="155" t="s">
        <v>122</v>
      </c>
      <c r="J258" s="155" t="s">
        <v>1709</v>
      </c>
    </row>
    <row r="259" spans="1:10">
      <c r="A259" s="155" t="s">
        <v>2327</v>
      </c>
      <c r="B259" s="155" t="s">
        <v>2328</v>
      </c>
      <c r="C259" s="155" t="s">
        <v>2329</v>
      </c>
      <c r="D259" s="155" t="s">
        <v>1668</v>
      </c>
      <c r="E259" s="155">
        <v>1</v>
      </c>
      <c r="F259" s="155"/>
      <c r="G259" s="155"/>
      <c r="H259" s="155" t="s">
        <v>1672</v>
      </c>
      <c r="I259" s="155" t="s">
        <v>698</v>
      </c>
      <c r="J259" s="155" t="s">
        <v>1692</v>
      </c>
    </row>
    <row r="260" spans="1:10">
      <c r="A260" s="155" t="s">
        <v>2330</v>
      </c>
      <c r="B260" s="155" t="s">
        <v>2331</v>
      </c>
      <c r="C260" s="155" t="s">
        <v>2332</v>
      </c>
      <c r="D260" s="155" t="s">
        <v>1668</v>
      </c>
      <c r="E260" s="155">
        <v>9.8000000000000007</v>
      </c>
      <c r="F260" s="155">
        <v>12</v>
      </c>
      <c r="G260" s="155">
        <v>416.4</v>
      </c>
      <c r="H260" s="155" t="s">
        <v>1673</v>
      </c>
      <c r="I260" s="155" t="s">
        <v>2333</v>
      </c>
      <c r="J260" s="155" t="s">
        <v>2334</v>
      </c>
    </row>
    <row r="261" spans="1:10">
      <c r="A261" s="155" t="s">
        <v>2335</v>
      </c>
      <c r="B261" s="155" t="s">
        <v>2336</v>
      </c>
      <c r="C261" s="155" t="s">
        <v>2337</v>
      </c>
      <c r="D261" s="155" t="s">
        <v>1668</v>
      </c>
      <c r="E261" s="155"/>
      <c r="F261" s="155">
        <v>9</v>
      </c>
      <c r="G261" s="155">
        <v>143.30000000000001</v>
      </c>
      <c r="H261" s="155" t="s">
        <v>1673</v>
      </c>
      <c r="I261" s="155" t="s">
        <v>2338</v>
      </c>
      <c r="J261" s="155" t="s">
        <v>2339</v>
      </c>
    </row>
    <row r="262" spans="1:10">
      <c r="A262" s="155" t="s">
        <v>2340</v>
      </c>
      <c r="B262" s="155" t="s">
        <v>2341</v>
      </c>
      <c r="C262" s="155" t="s">
        <v>2342</v>
      </c>
      <c r="D262" s="155" t="s">
        <v>1668</v>
      </c>
      <c r="E262" s="155">
        <v>19</v>
      </c>
      <c r="F262" s="155">
        <v>66</v>
      </c>
      <c r="G262" s="155">
        <v>217.2</v>
      </c>
      <c r="H262" s="155" t="s">
        <v>1673</v>
      </c>
      <c r="I262" s="155" t="s">
        <v>2343</v>
      </c>
      <c r="J262" s="155" t="s">
        <v>2344</v>
      </c>
    </row>
    <row r="263" spans="1:10">
      <c r="A263" s="155" t="s">
        <v>565</v>
      </c>
      <c r="B263" s="155" t="s">
        <v>563</v>
      </c>
      <c r="C263" s="155" t="s">
        <v>564</v>
      </c>
      <c r="D263" s="155" t="s">
        <v>1668</v>
      </c>
      <c r="E263" s="155">
        <v>1.4</v>
      </c>
      <c r="F263" s="155">
        <v>34.5</v>
      </c>
      <c r="G263" s="155">
        <v>207.4</v>
      </c>
      <c r="H263" s="155" t="s">
        <v>1673</v>
      </c>
      <c r="I263" s="155" t="s">
        <v>244</v>
      </c>
      <c r="J263" s="155" t="s">
        <v>2345</v>
      </c>
    </row>
    <row r="264" spans="1:10">
      <c r="A264" s="155" t="s">
        <v>568</v>
      </c>
      <c r="B264" s="155" t="s">
        <v>566</v>
      </c>
      <c r="C264" s="155" t="s">
        <v>567</v>
      </c>
      <c r="D264" s="155" t="s">
        <v>1668</v>
      </c>
      <c r="E264" s="155">
        <v>1.3</v>
      </c>
      <c r="F264" s="155">
        <v>16.5</v>
      </c>
      <c r="G264" s="155">
        <v>186.9</v>
      </c>
      <c r="H264" s="155" t="s">
        <v>1673</v>
      </c>
      <c r="I264" s="155" t="s">
        <v>569</v>
      </c>
      <c r="J264" s="155" t="s">
        <v>2346</v>
      </c>
    </row>
    <row r="265" spans="1:10">
      <c r="A265" s="155" t="s">
        <v>572</v>
      </c>
      <c r="B265" s="155" t="s">
        <v>570</v>
      </c>
      <c r="C265" s="155" t="s">
        <v>571</v>
      </c>
      <c r="D265" s="155" t="s">
        <v>1668</v>
      </c>
      <c r="E265" s="155">
        <v>3.5</v>
      </c>
      <c r="F265" s="155">
        <v>9.8000000000000007</v>
      </c>
      <c r="G265" s="155">
        <v>11.9</v>
      </c>
      <c r="H265" s="155" t="s">
        <v>1673</v>
      </c>
      <c r="I265" s="155" t="s">
        <v>493</v>
      </c>
      <c r="J265" s="155" t="s">
        <v>1729</v>
      </c>
    </row>
    <row r="266" spans="1:10">
      <c r="A266" s="155" t="s">
        <v>2347</v>
      </c>
      <c r="B266" s="155" t="s">
        <v>2348</v>
      </c>
      <c r="C266" s="155" t="s">
        <v>2349</v>
      </c>
      <c r="D266" s="155" t="s">
        <v>1668</v>
      </c>
      <c r="E266" s="155">
        <v>3.6</v>
      </c>
      <c r="F266" s="155">
        <v>2</v>
      </c>
      <c r="G266" s="155">
        <v>260.2</v>
      </c>
      <c r="H266" s="155" t="s">
        <v>1673</v>
      </c>
      <c r="I266" s="155" t="s">
        <v>2184</v>
      </c>
      <c r="J266" s="155" t="s">
        <v>1708</v>
      </c>
    </row>
    <row r="267" spans="1:10">
      <c r="A267" s="155" t="s">
        <v>2350</v>
      </c>
      <c r="B267" s="155" t="s">
        <v>2351</v>
      </c>
      <c r="C267" s="155" t="s">
        <v>2352</v>
      </c>
      <c r="D267" s="155" t="s">
        <v>1668</v>
      </c>
      <c r="E267" s="155">
        <v>0.4</v>
      </c>
      <c r="F267" s="155">
        <v>4</v>
      </c>
      <c r="G267" s="155">
        <v>261.2</v>
      </c>
      <c r="H267" s="155" t="s">
        <v>1673</v>
      </c>
      <c r="I267" s="155" t="s">
        <v>2184</v>
      </c>
      <c r="J267" s="155" t="s">
        <v>1682</v>
      </c>
    </row>
    <row r="268" spans="1:10">
      <c r="A268" s="155" t="s">
        <v>2353</v>
      </c>
      <c r="B268" s="155" t="s">
        <v>2354</v>
      </c>
      <c r="C268" s="155" t="s">
        <v>2355</v>
      </c>
      <c r="D268" s="155" t="s">
        <v>1668</v>
      </c>
      <c r="E268" s="155">
        <v>2.5</v>
      </c>
      <c r="F268" s="155">
        <v>3.5</v>
      </c>
      <c r="G268" s="155">
        <v>260.5</v>
      </c>
      <c r="H268" s="155" t="s">
        <v>1673</v>
      </c>
      <c r="I268" s="155" t="s">
        <v>2189</v>
      </c>
      <c r="J268" s="155" t="s">
        <v>2356</v>
      </c>
    </row>
    <row r="269" spans="1:10">
      <c r="A269" s="155" t="s">
        <v>2357</v>
      </c>
      <c r="B269" s="155" t="s">
        <v>2358</v>
      </c>
      <c r="C269" s="155" t="s">
        <v>2359</v>
      </c>
      <c r="D269" s="155" t="s">
        <v>1668</v>
      </c>
      <c r="E269" s="155">
        <v>0.4</v>
      </c>
      <c r="F269" s="155">
        <v>3.5</v>
      </c>
      <c r="G269" s="155">
        <v>259.10000000000002</v>
      </c>
      <c r="H269" s="155" t="s">
        <v>1673</v>
      </c>
      <c r="I269" s="155" t="s">
        <v>2189</v>
      </c>
      <c r="J269" s="155" t="s">
        <v>1682</v>
      </c>
    </row>
    <row r="270" spans="1:10">
      <c r="A270" s="155" t="s">
        <v>2360</v>
      </c>
      <c r="B270" s="155" t="s">
        <v>2361</v>
      </c>
      <c r="C270" s="155" t="s">
        <v>2362</v>
      </c>
      <c r="D270" s="155" t="s">
        <v>1668</v>
      </c>
      <c r="E270" s="155">
        <v>1</v>
      </c>
      <c r="F270" s="155">
        <v>1.6</v>
      </c>
      <c r="G270" s="155">
        <v>260.3</v>
      </c>
      <c r="H270" s="155" t="s">
        <v>1673</v>
      </c>
      <c r="I270" s="155" t="s">
        <v>2363</v>
      </c>
      <c r="J270" s="155" t="s">
        <v>2356</v>
      </c>
    </row>
    <row r="271" spans="1:10">
      <c r="A271" s="155" t="s">
        <v>2364</v>
      </c>
      <c r="B271" s="155" t="s">
        <v>2365</v>
      </c>
      <c r="C271" s="155" t="s">
        <v>2366</v>
      </c>
      <c r="D271" s="155" t="s">
        <v>1668</v>
      </c>
      <c r="E271" s="155">
        <v>2.8</v>
      </c>
      <c r="F271" s="155"/>
      <c r="G271" s="155"/>
      <c r="H271" s="155" t="s">
        <v>1672</v>
      </c>
      <c r="I271" s="155" t="s">
        <v>1720</v>
      </c>
      <c r="J271" s="155" t="s">
        <v>2312</v>
      </c>
    </row>
    <row r="272" spans="1:10">
      <c r="A272" s="155" t="s">
        <v>2367</v>
      </c>
      <c r="B272" s="155" t="s">
        <v>2368</v>
      </c>
      <c r="C272" s="155" t="s">
        <v>2369</v>
      </c>
      <c r="D272" s="155" t="s">
        <v>1668</v>
      </c>
      <c r="E272" s="155">
        <v>2.6</v>
      </c>
      <c r="F272" s="155">
        <v>19.2</v>
      </c>
      <c r="G272" s="155">
        <v>13.4</v>
      </c>
      <c r="H272" s="155" t="s">
        <v>1673</v>
      </c>
      <c r="I272" s="155" t="s">
        <v>2370</v>
      </c>
      <c r="J272" s="155" t="s">
        <v>2344</v>
      </c>
    </row>
    <row r="273" spans="1:10">
      <c r="A273" s="155" t="s">
        <v>2371</v>
      </c>
      <c r="B273" s="155" t="s">
        <v>2372</v>
      </c>
      <c r="C273" s="155" t="s">
        <v>2373</v>
      </c>
      <c r="D273" s="155" t="s">
        <v>1668</v>
      </c>
      <c r="E273" s="155">
        <v>1</v>
      </c>
      <c r="F273" s="155">
        <v>2</v>
      </c>
      <c r="G273" s="155">
        <v>261.7</v>
      </c>
      <c r="H273" s="155" t="s">
        <v>1673</v>
      </c>
      <c r="I273" s="155" t="s">
        <v>2370</v>
      </c>
      <c r="J273" s="155" t="s">
        <v>2374</v>
      </c>
    </row>
    <row r="274" spans="1:10">
      <c r="A274" s="155" t="s">
        <v>2375</v>
      </c>
      <c r="B274" s="155" t="s">
        <v>2376</v>
      </c>
      <c r="C274" s="155" t="s">
        <v>2377</v>
      </c>
      <c r="D274" s="155" t="s">
        <v>1668</v>
      </c>
      <c r="E274" s="155">
        <v>5</v>
      </c>
      <c r="F274" s="155">
        <v>4</v>
      </c>
      <c r="G274" s="155">
        <v>261.2</v>
      </c>
      <c r="H274" s="155" t="s">
        <v>1673</v>
      </c>
      <c r="I274" s="155" t="s">
        <v>2370</v>
      </c>
      <c r="J274" s="155" t="s">
        <v>2378</v>
      </c>
    </row>
    <row r="275" spans="1:10">
      <c r="A275" s="155" t="s">
        <v>2379</v>
      </c>
      <c r="B275" s="155" t="s">
        <v>2380</v>
      </c>
      <c r="C275" s="155" t="s">
        <v>2381</v>
      </c>
      <c r="D275" s="155" t="s">
        <v>1668</v>
      </c>
      <c r="E275" s="155">
        <v>4.5</v>
      </c>
      <c r="F275" s="155">
        <v>8</v>
      </c>
      <c r="G275" s="155">
        <v>228.8</v>
      </c>
      <c r="H275" s="155" t="s">
        <v>1673</v>
      </c>
      <c r="I275" s="155" t="s">
        <v>1720</v>
      </c>
      <c r="J275" s="155" t="s">
        <v>2382</v>
      </c>
    </row>
    <row r="276" spans="1:10">
      <c r="A276" s="155" t="s">
        <v>581</v>
      </c>
      <c r="B276" s="155" t="s">
        <v>579</v>
      </c>
      <c r="C276" s="155" t="s">
        <v>580</v>
      </c>
      <c r="D276" s="155" t="s">
        <v>1668</v>
      </c>
      <c r="E276" s="155">
        <v>15.5</v>
      </c>
      <c r="F276" s="155">
        <v>8.5</v>
      </c>
      <c r="G276" s="155">
        <v>22.4</v>
      </c>
      <c r="H276" s="155" t="s">
        <v>1673</v>
      </c>
      <c r="I276" s="155" t="s">
        <v>122</v>
      </c>
      <c r="J276" s="155" t="s">
        <v>2383</v>
      </c>
    </row>
    <row r="277" spans="1:10">
      <c r="A277" s="155" t="s">
        <v>585</v>
      </c>
      <c r="B277" s="155" t="s">
        <v>583</v>
      </c>
      <c r="C277" s="155" t="s">
        <v>584</v>
      </c>
      <c r="D277" s="155" t="s">
        <v>1668</v>
      </c>
      <c r="E277" s="155">
        <v>0.2</v>
      </c>
      <c r="F277" s="155">
        <v>8.5</v>
      </c>
      <c r="G277" s="155">
        <v>21.8</v>
      </c>
      <c r="H277" s="155" t="s">
        <v>1673</v>
      </c>
      <c r="I277" s="155" t="s">
        <v>586</v>
      </c>
      <c r="J277" s="155" t="s">
        <v>1691</v>
      </c>
    </row>
    <row r="278" spans="1:10">
      <c r="A278" s="155" t="s">
        <v>589</v>
      </c>
      <c r="B278" s="155" t="s">
        <v>587</v>
      </c>
      <c r="C278" s="155" t="s">
        <v>588</v>
      </c>
      <c r="D278" s="155" t="s">
        <v>1668</v>
      </c>
      <c r="E278" s="155">
        <v>1.6</v>
      </c>
      <c r="F278" s="155">
        <v>9</v>
      </c>
      <c r="G278" s="155">
        <v>181</v>
      </c>
      <c r="H278" s="155" t="s">
        <v>1673</v>
      </c>
      <c r="I278" s="155" t="s">
        <v>122</v>
      </c>
      <c r="J278" s="155" t="s">
        <v>2384</v>
      </c>
    </row>
    <row r="279" spans="1:10">
      <c r="A279" s="155" t="s">
        <v>2385</v>
      </c>
      <c r="B279" s="155" t="s">
        <v>2386</v>
      </c>
      <c r="C279" s="155" t="s">
        <v>2387</v>
      </c>
      <c r="D279" s="155" t="s">
        <v>1668</v>
      </c>
      <c r="E279" s="155">
        <v>2.2999999999999998</v>
      </c>
      <c r="F279" s="155">
        <v>9.5</v>
      </c>
      <c r="G279" s="155">
        <v>143.30000000000001</v>
      </c>
      <c r="H279" s="155" t="s">
        <v>1673</v>
      </c>
      <c r="I279" s="155" t="s">
        <v>122</v>
      </c>
      <c r="J279" s="155" t="s">
        <v>2388</v>
      </c>
    </row>
    <row r="280" spans="1:10">
      <c r="A280" s="155" t="s">
        <v>2389</v>
      </c>
      <c r="B280" s="155" t="s">
        <v>2390</v>
      </c>
      <c r="C280" s="155" t="s">
        <v>2391</v>
      </c>
      <c r="D280" s="155" t="s">
        <v>1668</v>
      </c>
      <c r="E280" s="155">
        <v>1.1000000000000001</v>
      </c>
      <c r="F280" s="155">
        <v>5</v>
      </c>
      <c r="G280" s="155">
        <v>260.8</v>
      </c>
      <c r="H280" s="155" t="s">
        <v>1673</v>
      </c>
      <c r="I280" s="155" t="s">
        <v>122</v>
      </c>
      <c r="J280" s="155" t="s">
        <v>2392</v>
      </c>
    </row>
    <row r="281" spans="1:10">
      <c r="A281" s="155" t="s">
        <v>592</v>
      </c>
      <c r="B281" s="155" t="s">
        <v>590</v>
      </c>
      <c r="C281" s="155" t="s">
        <v>591</v>
      </c>
      <c r="D281" s="155" t="s">
        <v>1668</v>
      </c>
      <c r="E281" s="155">
        <v>6.2</v>
      </c>
      <c r="F281" s="155"/>
      <c r="G281" s="155"/>
      <c r="H281" s="155" t="s">
        <v>1672</v>
      </c>
      <c r="I281" s="155" t="s">
        <v>122</v>
      </c>
      <c r="J281" s="155" t="s">
        <v>1682</v>
      </c>
    </row>
    <row r="282" spans="1:10">
      <c r="A282" s="155" t="s">
        <v>596</v>
      </c>
      <c r="B282" s="155" t="s">
        <v>594</v>
      </c>
      <c r="C282" s="155" t="s">
        <v>595</v>
      </c>
      <c r="D282" s="155" t="s">
        <v>1668</v>
      </c>
      <c r="E282" s="155">
        <v>0.5</v>
      </c>
      <c r="F282" s="155">
        <v>24</v>
      </c>
      <c r="G282" s="155">
        <v>22.8</v>
      </c>
      <c r="H282" s="155" t="s">
        <v>1673</v>
      </c>
      <c r="I282" s="155" t="s">
        <v>598</v>
      </c>
      <c r="J282" s="155" t="s">
        <v>1682</v>
      </c>
    </row>
    <row r="283" spans="1:10">
      <c r="A283" s="155" t="s">
        <v>2393</v>
      </c>
      <c r="B283" s="155" t="s">
        <v>2394</v>
      </c>
      <c r="C283" s="155" t="s">
        <v>2395</v>
      </c>
      <c r="D283" s="155" t="s">
        <v>1668</v>
      </c>
      <c r="E283" s="155">
        <v>0.8</v>
      </c>
      <c r="F283" s="155">
        <v>13.2</v>
      </c>
      <c r="G283" s="155">
        <v>324.89999999999998</v>
      </c>
      <c r="H283" s="155" t="s">
        <v>1673</v>
      </c>
      <c r="I283" s="155" t="s">
        <v>2396</v>
      </c>
      <c r="J283" s="155" t="s">
        <v>1682</v>
      </c>
    </row>
    <row r="284" spans="1:10">
      <c r="A284" s="155" t="s">
        <v>2397</v>
      </c>
      <c r="B284" s="155" t="s">
        <v>2398</v>
      </c>
      <c r="C284" s="155" t="s">
        <v>2399</v>
      </c>
      <c r="D284" s="155" t="s">
        <v>1668</v>
      </c>
      <c r="E284" s="155">
        <v>0.8</v>
      </c>
      <c r="F284" s="155">
        <v>1.3</v>
      </c>
      <c r="G284" s="155">
        <v>324.60000000000002</v>
      </c>
      <c r="H284" s="155" t="s">
        <v>1673</v>
      </c>
      <c r="I284" s="155" t="s">
        <v>2396</v>
      </c>
      <c r="J284" s="155" t="s">
        <v>1682</v>
      </c>
    </row>
    <row r="285" spans="1:10">
      <c r="A285" s="155" t="s">
        <v>2400</v>
      </c>
      <c r="B285" s="155" t="s">
        <v>2401</v>
      </c>
      <c r="C285" s="155" t="s">
        <v>2402</v>
      </c>
      <c r="D285" s="155" t="s">
        <v>1668</v>
      </c>
      <c r="E285" s="155">
        <v>1</v>
      </c>
      <c r="F285" s="155">
        <v>0.5</v>
      </c>
      <c r="G285" s="155">
        <v>252.5</v>
      </c>
      <c r="H285" s="155" t="s">
        <v>1673</v>
      </c>
      <c r="I285" s="155" t="s">
        <v>1778</v>
      </c>
      <c r="J285" s="155" t="s">
        <v>1746</v>
      </c>
    </row>
    <row r="286" spans="1:10">
      <c r="A286" s="155" t="s">
        <v>2403</v>
      </c>
      <c r="B286" s="155" t="s">
        <v>2404</v>
      </c>
      <c r="C286" s="155" t="s">
        <v>2405</v>
      </c>
      <c r="D286" s="155" t="s">
        <v>1668</v>
      </c>
      <c r="E286" s="155"/>
      <c r="F286" s="155">
        <v>7.8</v>
      </c>
      <c r="G286" s="155">
        <v>276.39999999999998</v>
      </c>
      <c r="H286" s="155" t="s">
        <v>1673</v>
      </c>
      <c r="I286" s="155" t="s">
        <v>1778</v>
      </c>
      <c r="J286" s="155" t="s">
        <v>1746</v>
      </c>
    </row>
    <row r="287" spans="1:10">
      <c r="A287" s="155" t="s">
        <v>2406</v>
      </c>
      <c r="B287" s="155" t="s">
        <v>2407</v>
      </c>
      <c r="C287" s="155" t="s">
        <v>2408</v>
      </c>
      <c r="D287" s="155" t="s">
        <v>1668</v>
      </c>
      <c r="E287" s="155">
        <v>1</v>
      </c>
      <c r="F287" s="155">
        <v>0.5</v>
      </c>
      <c r="G287" s="155">
        <v>252.5</v>
      </c>
      <c r="H287" s="155" t="s">
        <v>1673</v>
      </c>
      <c r="I287" s="155" t="s">
        <v>1778</v>
      </c>
      <c r="J287" s="155" t="s">
        <v>2409</v>
      </c>
    </row>
    <row r="288" spans="1:10">
      <c r="A288" s="155" t="s">
        <v>2410</v>
      </c>
      <c r="B288" s="155" t="s">
        <v>2411</v>
      </c>
      <c r="C288" s="155" t="s">
        <v>2412</v>
      </c>
      <c r="D288" s="155" t="s">
        <v>1668</v>
      </c>
      <c r="E288" s="155">
        <v>1</v>
      </c>
      <c r="F288" s="155">
        <v>8.1999999999999993</v>
      </c>
      <c r="G288" s="155">
        <v>276.2</v>
      </c>
      <c r="H288" s="155" t="s">
        <v>1673</v>
      </c>
      <c r="I288" s="155" t="s">
        <v>1778</v>
      </c>
      <c r="J288" s="155" t="s">
        <v>2409</v>
      </c>
    </row>
    <row r="289" spans="1:10">
      <c r="A289" s="155" t="s">
        <v>2413</v>
      </c>
      <c r="B289" s="155" t="s">
        <v>2414</v>
      </c>
      <c r="C289" s="155" t="s">
        <v>2415</v>
      </c>
      <c r="D289" s="155" t="s">
        <v>1668</v>
      </c>
      <c r="E289" s="155">
        <v>2</v>
      </c>
      <c r="F289" s="155">
        <v>6.8</v>
      </c>
      <c r="G289" s="155">
        <v>162.1</v>
      </c>
      <c r="H289" s="155" t="s">
        <v>1673</v>
      </c>
      <c r="I289" s="155" t="s">
        <v>1778</v>
      </c>
      <c r="J289" s="155" t="s">
        <v>2312</v>
      </c>
    </row>
    <row r="290" spans="1:10">
      <c r="A290" s="155" t="s">
        <v>2416</v>
      </c>
      <c r="B290" s="155" t="s">
        <v>2417</v>
      </c>
      <c r="C290" s="155" t="s">
        <v>2418</v>
      </c>
      <c r="D290" s="155" t="s">
        <v>1668</v>
      </c>
      <c r="E290" s="155">
        <v>2</v>
      </c>
      <c r="F290" s="155">
        <v>5.8</v>
      </c>
      <c r="G290" s="155">
        <v>162.1</v>
      </c>
      <c r="H290" s="155" t="s">
        <v>1673</v>
      </c>
      <c r="I290" s="155" t="s">
        <v>1778</v>
      </c>
      <c r="J290" s="155" t="s">
        <v>2312</v>
      </c>
    </row>
    <row r="291" spans="1:10">
      <c r="A291" s="155" t="s">
        <v>2419</v>
      </c>
      <c r="B291" s="155" t="s">
        <v>2420</v>
      </c>
      <c r="C291" s="155" t="s">
        <v>2421</v>
      </c>
      <c r="D291" s="155" t="s">
        <v>1668</v>
      </c>
      <c r="E291" s="155">
        <v>0.1</v>
      </c>
      <c r="F291" s="155">
        <v>3</v>
      </c>
      <c r="G291" s="155">
        <v>162</v>
      </c>
      <c r="H291" s="155" t="s">
        <v>1673</v>
      </c>
      <c r="I291" s="155" t="s">
        <v>1778</v>
      </c>
      <c r="J291" s="155" t="s">
        <v>2312</v>
      </c>
    </row>
    <row r="292" spans="1:10">
      <c r="A292" s="155" t="s">
        <v>2422</v>
      </c>
      <c r="B292" s="155" t="s">
        <v>2423</v>
      </c>
      <c r="C292" s="155" t="s">
        <v>2424</v>
      </c>
      <c r="D292" s="155" t="s">
        <v>1668</v>
      </c>
      <c r="E292" s="155">
        <v>0.1</v>
      </c>
      <c r="F292" s="155">
        <v>6.8</v>
      </c>
      <c r="G292" s="155">
        <v>162.30000000000001</v>
      </c>
      <c r="H292" s="155" t="s">
        <v>1673</v>
      </c>
      <c r="I292" s="155" t="s">
        <v>1778</v>
      </c>
      <c r="J292" s="155" t="s">
        <v>2312</v>
      </c>
    </row>
    <row r="293" spans="1:10">
      <c r="A293" s="155" t="s">
        <v>2425</v>
      </c>
      <c r="B293" s="155" t="s">
        <v>2426</v>
      </c>
      <c r="C293" s="155" t="s">
        <v>2427</v>
      </c>
      <c r="D293" s="155" t="s">
        <v>1668</v>
      </c>
      <c r="E293" s="155">
        <v>1.6</v>
      </c>
      <c r="F293" s="155">
        <v>1</v>
      </c>
      <c r="G293" s="155">
        <v>250.1</v>
      </c>
      <c r="H293" s="155" t="s">
        <v>1673</v>
      </c>
      <c r="I293" s="155" t="s">
        <v>1778</v>
      </c>
      <c r="J293" s="155" t="s">
        <v>2312</v>
      </c>
    </row>
    <row r="294" spans="1:10">
      <c r="A294" s="155" t="s">
        <v>2428</v>
      </c>
      <c r="B294" s="155" t="s">
        <v>2429</v>
      </c>
      <c r="C294" s="155" t="s">
        <v>2430</v>
      </c>
      <c r="D294" s="155" t="s">
        <v>1668</v>
      </c>
      <c r="E294" s="155">
        <v>1.6</v>
      </c>
      <c r="F294" s="155">
        <v>2.5</v>
      </c>
      <c r="G294" s="155">
        <v>262.10000000000002</v>
      </c>
      <c r="H294" s="155" t="s">
        <v>1673</v>
      </c>
      <c r="I294" s="155" t="s">
        <v>1778</v>
      </c>
      <c r="J294" s="155" t="s">
        <v>2312</v>
      </c>
    </row>
    <row r="295" spans="1:10">
      <c r="A295" s="155" t="s">
        <v>2431</v>
      </c>
      <c r="B295" s="155" t="s">
        <v>2432</v>
      </c>
      <c r="C295" s="155" t="s">
        <v>2433</v>
      </c>
      <c r="D295" s="155" t="s">
        <v>1668</v>
      </c>
      <c r="E295" s="155">
        <v>1</v>
      </c>
      <c r="F295" s="155">
        <v>1.5</v>
      </c>
      <c r="G295" s="155">
        <v>252.3</v>
      </c>
      <c r="H295" s="155" t="s">
        <v>1673</v>
      </c>
      <c r="I295" s="155" t="s">
        <v>1778</v>
      </c>
      <c r="J295" s="155" t="s">
        <v>1746</v>
      </c>
    </row>
    <row r="296" spans="1:10">
      <c r="A296" s="155" t="s">
        <v>2434</v>
      </c>
      <c r="B296" s="155" t="s">
        <v>2435</v>
      </c>
      <c r="C296" s="155" t="s">
        <v>2436</v>
      </c>
      <c r="D296" s="155" t="s">
        <v>1668</v>
      </c>
      <c r="E296" s="155">
        <v>1</v>
      </c>
      <c r="F296" s="155">
        <v>0.8</v>
      </c>
      <c r="G296" s="155">
        <v>253.9</v>
      </c>
      <c r="H296" s="155" t="s">
        <v>1673</v>
      </c>
      <c r="I296" s="155" t="s">
        <v>1778</v>
      </c>
      <c r="J296" s="155" t="s">
        <v>1746</v>
      </c>
    </row>
    <row r="297" spans="1:10">
      <c r="A297" s="155" t="s">
        <v>2437</v>
      </c>
      <c r="B297" s="155" t="s">
        <v>2438</v>
      </c>
      <c r="C297" s="155" t="s">
        <v>2439</v>
      </c>
      <c r="D297" s="155" t="s">
        <v>1668</v>
      </c>
      <c r="E297" s="155">
        <v>0.5</v>
      </c>
      <c r="F297" s="155">
        <v>6.5</v>
      </c>
      <c r="G297" s="155">
        <v>260</v>
      </c>
      <c r="H297" s="155" t="s">
        <v>1673</v>
      </c>
      <c r="I297" s="155" t="s">
        <v>586</v>
      </c>
      <c r="J297" s="155" t="s">
        <v>1746</v>
      </c>
    </row>
    <row r="298" spans="1:10">
      <c r="A298" s="155" t="s">
        <v>2440</v>
      </c>
      <c r="B298" s="155" t="s">
        <v>2441</v>
      </c>
      <c r="C298" s="155" t="s">
        <v>2442</v>
      </c>
      <c r="D298" s="155" t="s">
        <v>1668</v>
      </c>
      <c r="E298" s="155">
        <v>0.5</v>
      </c>
      <c r="F298" s="155">
        <v>7.5</v>
      </c>
      <c r="G298" s="155">
        <v>260</v>
      </c>
      <c r="H298" s="155" t="s">
        <v>1673</v>
      </c>
      <c r="I298" s="155" t="s">
        <v>586</v>
      </c>
      <c r="J298" s="155" t="s">
        <v>1746</v>
      </c>
    </row>
    <row r="299" spans="1:10">
      <c r="A299" s="155" t="s">
        <v>2443</v>
      </c>
      <c r="B299" s="155" t="s">
        <v>2444</v>
      </c>
      <c r="C299" s="155" t="s">
        <v>2445</v>
      </c>
      <c r="D299" s="155" t="s">
        <v>1668</v>
      </c>
      <c r="E299" s="155">
        <v>1.3</v>
      </c>
      <c r="F299" s="155">
        <v>5</v>
      </c>
      <c r="G299" s="155">
        <v>164</v>
      </c>
      <c r="H299" s="155" t="s">
        <v>1673</v>
      </c>
      <c r="I299" s="155" t="s">
        <v>586</v>
      </c>
      <c r="J299" s="155" t="s">
        <v>1746</v>
      </c>
    </row>
    <row r="300" spans="1:10">
      <c r="A300" s="155" t="s">
        <v>2446</v>
      </c>
      <c r="B300" s="155" t="s">
        <v>2447</v>
      </c>
      <c r="C300" s="155" t="s">
        <v>2448</v>
      </c>
      <c r="D300" s="155" t="s">
        <v>1668</v>
      </c>
      <c r="E300" s="155">
        <v>0.5</v>
      </c>
      <c r="F300" s="155">
        <v>5.5</v>
      </c>
      <c r="G300" s="155">
        <v>164.2</v>
      </c>
      <c r="H300" s="155" t="s">
        <v>1673</v>
      </c>
      <c r="I300" s="155" t="s">
        <v>586</v>
      </c>
      <c r="J300" s="155" t="s">
        <v>1746</v>
      </c>
    </row>
    <row r="301" spans="1:10">
      <c r="A301" s="155" t="s">
        <v>2449</v>
      </c>
      <c r="B301" s="155" t="s">
        <v>2450</v>
      </c>
      <c r="C301" s="155" t="s">
        <v>2451</v>
      </c>
      <c r="D301" s="155" t="s">
        <v>2452</v>
      </c>
      <c r="E301" s="155">
        <v>16</v>
      </c>
      <c r="F301" s="155"/>
      <c r="G301" s="155"/>
      <c r="H301" s="155" t="s">
        <v>1672</v>
      </c>
      <c r="I301" s="155" t="s">
        <v>2453</v>
      </c>
      <c r="J301" s="155"/>
    </row>
    <row r="302" spans="1:10">
      <c r="A302" s="155" t="s">
        <v>2454</v>
      </c>
      <c r="B302" s="155" t="s">
        <v>2455</v>
      </c>
      <c r="C302" s="155" t="s">
        <v>2456</v>
      </c>
      <c r="D302" s="155" t="s">
        <v>2457</v>
      </c>
      <c r="E302" s="155">
        <v>9.1999999999999993</v>
      </c>
      <c r="F302" s="155"/>
      <c r="G302" s="155"/>
      <c r="H302" s="155" t="s">
        <v>1672</v>
      </c>
      <c r="I302" s="155" t="s">
        <v>41</v>
      </c>
      <c r="J302" s="155"/>
    </row>
    <row r="303" spans="1:10">
      <c r="A303" s="155" t="s">
        <v>2458</v>
      </c>
      <c r="B303" s="155" t="s">
        <v>2459</v>
      </c>
      <c r="C303" s="155" t="s">
        <v>2460</v>
      </c>
      <c r="D303" s="155" t="s">
        <v>2461</v>
      </c>
      <c r="E303" s="155">
        <v>6.2</v>
      </c>
      <c r="F303" s="155">
        <v>60.1</v>
      </c>
      <c r="G303" s="155">
        <v>16.600000000000001</v>
      </c>
      <c r="H303" s="155" t="s">
        <v>1673</v>
      </c>
      <c r="I303" s="155" t="s">
        <v>41</v>
      </c>
      <c r="J303" s="155"/>
    </row>
    <row r="304" spans="1:10">
      <c r="A304" s="155" t="s">
        <v>604</v>
      </c>
      <c r="B304" s="155" t="s">
        <v>602</v>
      </c>
      <c r="C304" s="155" t="s">
        <v>603</v>
      </c>
      <c r="D304" s="155" t="s">
        <v>2462</v>
      </c>
      <c r="E304" s="155">
        <v>0.5</v>
      </c>
      <c r="F304" s="155"/>
      <c r="G304" s="155"/>
      <c r="H304" s="155" t="s">
        <v>1672</v>
      </c>
      <c r="I304" s="155" t="s">
        <v>41</v>
      </c>
      <c r="J304" s="155"/>
    </row>
    <row r="305" spans="1:10">
      <c r="A305" s="155" t="s">
        <v>2463</v>
      </c>
      <c r="B305" s="155" t="s">
        <v>2464</v>
      </c>
      <c r="C305" s="155" t="s">
        <v>2465</v>
      </c>
      <c r="D305" s="155" t="s">
        <v>2461</v>
      </c>
      <c r="E305" s="155">
        <v>8.8000000000000007</v>
      </c>
      <c r="F305" s="155"/>
      <c r="G305" s="155"/>
      <c r="H305" s="155" t="s">
        <v>1672</v>
      </c>
      <c r="I305" s="155" t="s">
        <v>2466</v>
      </c>
      <c r="J305" s="155" t="s">
        <v>2467</v>
      </c>
    </row>
    <row r="306" spans="1:10">
      <c r="A306" s="155" t="s">
        <v>2468</v>
      </c>
      <c r="B306" s="155" t="s">
        <v>2469</v>
      </c>
      <c r="C306" s="155" t="s">
        <v>2470</v>
      </c>
      <c r="D306" s="155" t="s">
        <v>2461</v>
      </c>
      <c r="E306" s="155">
        <v>8.8000000000000007</v>
      </c>
      <c r="F306" s="155"/>
      <c r="G306" s="155"/>
      <c r="H306" s="155" t="s">
        <v>1672</v>
      </c>
      <c r="I306" s="155" t="s">
        <v>2466</v>
      </c>
      <c r="J306" s="155" t="s">
        <v>2467</v>
      </c>
    </row>
    <row r="307" spans="1:10">
      <c r="A307" s="155" t="s">
        <v>2471</v>
      </c>
      <c r="B307" s="155" t="s">
        <v>2472</v>
      </c>
      <c r="C307" s="155" t="s">
        <v>2473</v>
      </c>
      <c r="D307" s="155" t="s">
        <v>2452</v>
      </c>
      <c r="E307" s="155">
        <v>15.9</v>
      </c>
      <c r="F307" s="155"/>
      <c r="G307" s="155"/>
      <c r="H307" s="155" t="s">
        <v>1672</v>
      </c>
      <c r="I307" s="155" t="s">
        <v>2466</v>
      </c>
      <c r="J307" s="155"/>
    </row>
    <row r="308" spans="1:10">
      <c r="A308" s="155" t="s">
        <v>2474</v>
      </c>
      <c r="B308" s="155" t="s">
        <v>2475</v>
      </c>
      <c r="C308" s="155" t="s">
        <v>2476</v>
      </c>
      <c r="D308" s="155" t="s">
        <v>2452</v>
      </c>
      <c r="E308" s="155">
        <v>48.5</v>
      </c>
      <c r="F308" s="155">
        <v>69.8</v>
      </c>
      <c r="G308" s="155">
        <v>180</v>
      </c>
      <c r="H308" s="155" t="s">
        <v>1673</v>
      </c>
      <c r="I308" s="155" t="s">
        <v>2095</v>
      </c>
      <c r="J308" s="155" t="s">
        <v>2477</v>
      </c>
    </row>
    <row r="309" spans="1:10">
      <c r="A309" s="155" t="s">
        <v>2478</v>
      </c>
      <c r="B309" s="155" t="s">
        <v>2479</v>
      </c>
      <c r="C309" s="155" t="s">
        <v>2480</v>
      </c>
      <c r="D309" s="155" t="s">
        <v>2452</v>
      </c>
      <c r="E309" s="155">
        <v>6</v>
      </c>
      <c r="F309" s="155">
        <v>15</v>
      </c>
      <c r="G309" s="155">
        <v>162.5</v>
      </c>
      <c r="H309" s="155" t="s">
        <v>1673</v>
      </c>
      <c r="I309" s="155" t="s">
        <v>610</v>
      </c>
      <c r="J309" s="155"/>
    </row>
    <row r="310" spans="1:10">
      <c r="A310" s="155" t="s">
        <v>613</v>
      </c>
      <c r="B310" s="155" t="s">
        <v>611</v>
      </c>
      <c r="C310" s="155" t="s">
        <v>612</v>
      </c>
      <c r="D310" s="155" t="s">
        <v>2457</v>
      </c>
      <c r="E310" s="155">
        <v>2.5</v>
      </c>
      <c r="F310" s="155"/>
      <c r="G310" s="155"/>
      <c r="H310" s="155" t="s">
        <v>1672</v>
      </c>
      <c r="I310" s="155" t="s">
        <v>610</v>
      </c>
      <c r="J310" s="155"/>
    </row>
    <row r="311" spans="1:10">
      <c r="A311" s="155" t="s">
        <v>2481</v>
      </c>
      <c r="B311" s="155" t="s">
        <v>2482</v>
      </c>
      <c r="C311" s="155" t="s">
        <v>2483</v>
      </c>
      <c r="D311" s="155" t="s">
        <v>2457</v>
      </c>
      <c r="E311" s="155">
        <v>12.8</v>
      </c>
      <c r="F311" s="155">
        <v>10.5</v>
      </c>
      <c r="G311" s="155">
        <v>15.6</v>
      </c>
      <c r="H311" s="155" t="s">
        <v>1673</v>
      </c>
      <c r="I311" s="155" t="s">
        <v>48</v>
      </c>
      <c r="J311" s="155"/>
    </row>
    <row r="312" spans="1:10">
      <c r="A312" s="155" t="s">
        <v>2484</v>
      </c>
      <c r="B312" s="155" t="s">
        <v>2485</v>
      </c>
      <c r="C312" s="155" t="s">
        <v>2483</v>
      </c>
      <c r="D312" s="155" t="s">
        <v>2457</v>
      </c>
      <c r="E312" s="155">
        <v>12.8</v>
      </c>
      <c r="F312" s="155">
        <v>9.1</v>
      </c>
      <c r="G312" s="155">
        <v>12.4</v>
      </c>
      <c r="H312" s="155" t="s">
        <v>1673</v>
      </c>
      <c r="I312" s="155" t="s">
        <v>48</v>
      </c>
      <c r="J312" s="155"/>
    </row>
    <row r="313" spans="1:10">
      <c r="A313" s="155" t="s">
        <v>2486</v>
      </c>
      <c r="B313" s="155" t="s">
        <v>2487</v>
      </c>
      <c r="C313" s="155" t="s">
        <v>2488</v>
      </c>
      <c r="D313" s="155" t="s">
        <v>2489</v>
      </c>
      <c r="E313" s="155">
        <v>54</v>
      </c>
      <c r="F313" s="155">
        <v>90.8</v>
      </c>
      <c r="G313" s="155">
        <v>281.39999999999998</v>
      </c>
      <c r="H313" s="155" t="s">
        <v>1673</v>
      </c>
      <c r="I313" s="155" t="s">
        <v>48</v>
      </c>
      <c r="J313" s="155"/>
    </row>
    <row r="314" spans="1:10">
      <c r="A314" s="155" t="s">
        <v>2490</v>
      </c>
      <c r="B314" s="155" t="s">
        <v>2491</v>
      </c>
      <c r="C314" s="155" t="s">
        <v>2492</v>
      </c>
      <c r="D314" s="155" t="s">
        <v>2461</v>
      </c>
      <c r="E314" s="155">
        <v>16.2</v>
      </c>
      <c r="F314" s="155">
        <v>91.5</v>
      </c>
      <c r="G314" s="155">
        <v>164.6</v>
      </c>
      <c r="H314" s="155" t="s">
        <v>1673</v>
      </c>
      <c r="I314" s="155" t="s">
        <v>72</v>
      </c>
      <c r="J314" s="155"/>
    </row>
    <row r="315" spans="1:10">
      <c r="A315" s="155" t="s">
        <v>619</v>
      </c>
      <c r="B315" s="155" t="s">
        <v>617</v>
      </c>
      <c r="C315" s="155" t="s">
        <v>618</v>
      </c>
      <c r="D315" s="155" t="s">
        <v>1668</v>
      </c>
      <c r="E315" s="155">
        <v>471</v>
      </c>
      <c r="F315" s="155">
        <v>33.4</v>
      </c>
      <c r="G315" s="155">
        <v>169.5</v>
      </c>
      <c r="H315" s="155" t="s">
        <v>1673</v>
      </c>
      <c r="I315" s="155" t="s">
        <v>88</v>
      </c>
      <c r="J315" s="155"/>
    </row>
    <row r="316" spans="1:10">
      <c r="A316" s="155" t="s">
        <v>623</v>
      </c>
      <c r="B316" s="155" t="s">
        <v>621</v>
      </c>
      <c r="C316" s="155" t="s">
        <v>622</v>
      </c>
      <c r="D316" s="155" t="s">
        <v>2457</v>
      </c>
      <c r="E316" s="155">
        <v>170</v>
      </c>
      <c r="F316" s="155"/>
      <c r="G316" s="155"/>
      <c r="H316" s="155" t="s">
        <v>1672</v>
      </c>
      <c r="I316" s="155" t="s">
        <v>88</v>
      </c>
      <c r="J316" s="155"/>
    </row>
    <row r="317" spans="1:10">
      <c r="A317" s="155" t="s">
        <v>626</v>
      </c>
      <c r="B317" s="155" t="s">
        <v>624</v>
      </c>
      <c r="C317" s="155" t="s">
        <v>625</v>
      </c>
      <c r="D317" s="155" t="s">
        <v>2452</v>
      </c>
      <c r="E317" s="155">
        <v>23.2</v>
      </c>
      <c r="F317" s="155">
        <v>68</v>
      </c>
      <c r="G317" s="155">
        <v>207</v>
      </c>
      <c r="H317" s="155" t="s">
        <v>1673</v>
      </c>
      <c r="I317" s="155" t="s">
        <v>628</v>
      </c>
      <c r="J317" s="155"/>
    </row>
    <row r="318" spans="1:10">
      <c r="A318" s="155" t="s">
        <v>631</v>
      </c>
      <c r="B318" s="155" t="s">
        <v>629</v>
      </c>
      <c r="C318" s="155" t="s">
        <v>630</v>
      </c>
      <c r="D318" s="155" t="s">
        <v>2452</v>
      </c>
      <c r="E318" s="155">
        <v>18</v>
      </c>
      <c r="F318" s="155">
        <v>33.200000000000003</v>
      </c>
      <c r="G318" s="155">
        <v>208.4</v>
      </c>
      <c r="H318" s="155" t="s">
        <v>1673</v>
      </c>
      <c r="I318" s="155" t="s">
        <v>628</v>
      </c>
      <c r="J318" s="155"/>
    </row>
    <row r="319" spans="1:10">
      <c r="A319" s="155" t="s">
        <v>635</v>
      </c>
      <c r="B319" s="155" t="s">
        <v>633</v>
      </c>
      <c r="C319" s="155" t="s">
        <v>634</v>
      </c>
      <c r="D319" s="155" t="s">
        <v>2452</v>
      </c>
      <c r="E319" s="155">
        <v>18.5</v>
      </c>
      <c r="F319" s="155">
        <v>18</v>
      </c>
      <c r="G319" s="155">
        <v>187.9</v>
      </c>
      <c r="H319" s="155" t="s">
        <v>1673</v>
      </c>
      <c r="I319" s="155" t="s">
        <v>628</v>
      </c>
      <c r="J319" s="155"/>
    </row>
    <row r="320" spans="1:10">
      <c r="A320" s="155" t="s">
        <v>638</v>
      </c>
      <c r="B320" s="155" t="s">
        <v>636</v>
      </c>
      <c r="C320" s="155" t="s">
        <v>637</v>
      </c>
      <c r="D320" s="155" t="s">
        <v>2452</v>
      </c>
      <c r="E320" s="155">
        <v>2.5</v>
      </c>
      <c r="F320" s="155"/>
      <c r="G320" s="155"/>
      <c r="H320" s="155" t="s">
        <v>1672</v>
      </c>
      <c r="I320" s="155" t="s">
        <v>628</v>
      </c>
      <c r="J320" s="155"/>
    </row>
    <row r="321" spans="1:10">
      <c r="A321" s="155" t="s">
        <v>641</v>
      </c>
      <c r="B321" s="155" t="s">
        <v>639</v>
      </c>
      <c r="C321" s="155" t="s">
        <v>640</v>
      </c>
      <c r="D321" s="155" t="s">
        <v>1897</v>
      </c>
      <c r="E321" s="155">
        <v>4</v>
      </c>
      <c r="F321" s="155"/>
      <c r="G321" s="155"/>
      <c r="H321" s="155" t="s">
        <v>1672</v>
      </c>
      <c r="I321" s="155" t="s">
        <v>628</v>
      </c>
      <c r="J321" s="155"/>
    </row>
    <row r="322" spans="1:10">
      <c r="A322" s="155" t="s">
        <v>644</v>
      </c>
      <c r="B322" s="155" t="s">
        <v>642</v>
      </c>
      <c r="C322" s="155" t="s">
        <v>643</v>
      </c>
      <c r="D322" s="155" t="s">
        <v>1897</v>
      </c>
      <c r="E322" s="155">
        <v>2.5</v>
      </c>
      <c r="F322" s="155"/>
      <c r="G322" s="155"/>
      <c r="H322" s="155" t="s">
        <v>1672</v>
      </c>
      <c r="I322" s="155" t="s">
        <v>628</v>
      </c>
      <c r="J322" s="155"/>
    </row>
    <row r="323" spans="1:10">
      <c r="A323" s="155" t="s">
        <v>2493</v>
      </c>
      <c r="B323" s="155" t="s">
        <v>2494</v>
      </c>
      <c r="C323" s="155" t="s">
        <v>2495</v>
      </c>
      <c r="D323" s="155" t="s">
        <v>2457</v>
      </c>
      <c r="E323" s="155">
        <v>1.5</v>
      </c>
      <c r="F323" s="155">
        <v>2</v>
      </c>
      <c r="G323" s="155">
        <v>22.2</v>
      </c>
      <c r="H323" s="155" t="s">
        <v>1673</v>
      </c>
      <c r="I323" s="155" t="s">
        <v>105</v>
      </c>
      <c r="J323" s="155"/>
    </row>
    <row r="324" spans="1:10">
      <c r="A324" s="155" t="s">
        <v>2496</v>
      </c>
      <c r="B324" s="155" t="s">
        <v>2497</v>
      </c>
      <c r="C324" s="155" t="s">
        <v>2498</v>
      </c>
      <c r="D324" s="155" t="s">
        <v>2457</v>
      </c>
      <c r="E324" s="155">
        <v>3</v>
      </c>
      <c r="F324" s="155">
        <v>1.3</v>
      </c>
      <c r="G324" s="155">
        <v>21.4</v>
      </c>
      <c r="H324" s="155" t="s">
        <v>1673</v>
      </c>
      <c r="I324" s="155" t="s">
        <v>105</v>
      </c>
      <c r="J324" s="155"/>
    </row>
    <row r="325" spans="1:10">
      <c r="A325" s="155" t="s">
        <v>2499</v>
      </c>
      <c r="B325" s="155" t="s">
        <v>2500</v>
      </c>
      <c r="C325" s="155" t="s">
        <v>2501</v>
      </c>
      <c r="D325" s="155" t="s">
        <v>2452</v>
      </c>
      <c r="E325" s="155">
        <v>8.3000000000000007</v>
      </c>
      <c r="F325" s="155">
        <v>2.7</v>
      </c>
      <c r="G325" s="155">
        <v>20.8</v>
      </c>
      <c r="H325" s="155" t="s">
        <v>1673</v>
      </c>
      <c r="I325" s="155" t="s">
        <v>105</v>
      </c>
      <c r="J325" s="155"/>
    </row>
    <row r="326" spans="1:10">
      <c r="A326" s="155" t="s">
        <v>2502</v>
      </c>
      <c r="B326" s="155" t="s">
        <v>2503</v>
      </c>
      <c r="C326" s="155" t="s">
        <v>2504</v>
      </c>
      <c r="D326" s="155" t="s">
        <v>2452</v>
      </c>
      <c r="E326" s="155">
        <v>8.3000000000000007</v>
      </c>
      <c r="F326" s="155">
        <v>2.8</v>
      </c>
      <c r="G326" s="155">
        <v>19.2</v>
      </c>
      <c r="H326" s="155" t="s">
        <v>1673</v>
      </c>
      <c r="I326" s="155" t="s">
        <v>105</v>
      </c>
      <c r="J326" s="155"/>
    </row>
    <row r="327" spans="1:10">
      <c r="A327" s="155" t="s">
        <v>2505</v>
      </c>
      <c r="B327" s="155" t="s">
        <v>2506</v>
      </c>
      <c r="C327" s="155" t="s">
        <v>2507</v>
      </c>
      <c r="D327" s="155" t="s">
        <v>1668</v>
      </c>
      <c r="E327" s="155">
        <v>25</v>
      </c>
      <c r="F327" s="155">
        <v>14.7</v>
      </c>
      <c r="G327" s="155">
        <v>192.4</v>
      </c>
      <c r="H327" s="155" t="s">
        <v>1673</v>
      </c>
      <c r="I327" s="155" t="s">
        <v>105</v>
      </c>
      <c r="J327" s="155"/>
    </row>
    <row r="328" spans="1:10">
      <c r="A328" s="155" t="s">
        <v>647</v>
      </c>
      <c r="B328" s="155" t="s">
        <v>645</v>
      </c>
      <c r="C328" s="155" t="s">
        <v>646</v>
      </c>
      <c r="D328" s="155" t="s">
        <v>1668</v>
      </c>
      <c r="E328" s="155">
        <v>62</v>
      </c>
      <c r="F328" s="155">
        <v>4.3</v>
      </c>
      <c r="G328" s="155">
        <v>120.5</v>
      </c>
      <c r="H328" s="155" t="s">
        <v>1673</v>
      </c>
      <c r="I328" s="155" t="s">
        <v>105</v>
      </c>
      <c r="J328" s="155"/>
    </row>
    <row r="329" spans="1:10">
      <c r="A329" s="155" t="s">
        <v>650</v>
      </c>
      <c r="B329" s="155" t="s">
        <v>648</v>
      </c>
      <c r="C329" s="155" t="s">
        <v>649</v>
      </c>
      <c r="D329" s="155" t="s">
        <v>1668</v>
      </c>
      <c r="E329" s="155">
        <v>33.799999999999997</v>
      </c>
      <c r="F329" s="155">
        <v>56.8</v>
      </c>
      <c r="G329" s="155">
        <v>166.4</v>
      </c>
      <c r="H329" s="155" t="s">
        <v>1673</v>
      </c>
      <c r="I329" s="155" t="s">
        <v>105</v>
      </c>
      <c r="J329" s="155"/>
    </row>
    <row r="330" spans="1:10">
      <c r="A330" s="155" t="s">
        <v>2508</v>
      </c>
      <c r="B330" s="155" t="s">
        <v>2509</v>
      </c>
      <c r="C330" s="155" t="s">
        <v>2510</v>
      </c>
      <c r="D330" s="155" t="s">
        <v>1668</v>
      </c>
      <c r="E330" s="155">
        <v>19.8</v>
      </c>
      <c r="F330" s="155">
        <v>56.6</v>
      </c>
      <c r="G330" s="155">
        <v>168.4</v>
      </c>
      <c r="H330" s="155" t="s">
        <v>1673</v>
      </c>
      <c r="I330" s="155" t="s">
        <v>105</v>
      </c>
      <c r="J330" s="155"/>
    </row>
    <row r="331" spans="1:10">
      <c r="A331" s="155" t="s">
        <v>654</v>
      </c>
      <c r="B331" s="155" t="s">
        <v>652</v>
      </c>
      <c r="C331" s="155" t="s">
        <v>653</v>
      </c>
      <c r="D331" s="155" t="s">
        <v>2452</v>
      </c>
      <c r="E331" s="155">
        <v>42.2</v>
      </c>
      <c r="F331" s="155"/>
      <c r="G331" s="155"/>
      <c r="H331" s="155" t="s">
        <v>1672</v>
      </c>
      <c r="I331" s="155" t="s">
        <v>105</v>
      </c>
      <c r="J331" s="155"/>
    </row>
    <row r="332" spans="1:10">
      <c r="A332" s="155" t="s">
        <v>2511</v>
      </c>
      <c r="B332" s="155" t="s">
        <v>2512</v>
      </c>
      <c r="C332" s="155" t="s">
        <v>2513</v>
      </c>
      <c r="D332" s="155" t="s">
        <v>2461</v>
      </c>
      <c r="E332" s="155">
        <v>28.2</v>
      </c>
      <c r="F332" s="155">
        <v>358.3</v>
      </c>
      <c r="G332" s="155">
        <v>216.4</v>
      </c>
      <c r="H332" s="155" t="s">
        <v>1673</v>
      </c>
      <c r="I332" s="155" t="s">
        <v>109</v>
      </c>
      <c r="J332" s="155"/>
    </row>
    <row r="333" spans="1:10">
      <c r="A333" s="155" t="s">
        <v>658</v>
      </c>
      <c r="B333" s="155" t="s">
        <v>656</v>
      </c>
      <c r="C333" s="155" t="s">
        <v>657</v>
      </c>
      <c r="D333" s="155" t="s">
        <v>1897</v>
      </c>
      <c r="E333" s="155">
        <v>1.7</v>
      </c>
      <c r="F333" s="155"/>
      <c r="G333" s="155"/>
      <c r="H333" s="155" t="s">
        <v>1672</v>
      </c>
      <c r="I333" s="155" t="s">
        <v>41</v>
      </c>
      <c r="J333" s="155"/>
    </row>
    <row r="334" spans="1:10">
      <c r="A334" s="155" t="s">
        <v>660</v>
      </c>
      <c r="B334" s="155" t="s">
        <v>659</v>
      </c>
      <c r="C334" s="155" t="s">
        <v>657</v>
      </c>
      <c r="D334" s="155" t="s">
        <v>1897</v>
      </c>
      <c r="E334" s="155">
        <v>1.7</v>
      </c>
      <c r="F334" s="155"/>
      <c r="G334" s="155"/>
      <c r="H334" s="155" t="s">
        <v>1672</v>
      </c>
      <c r="I334" s="155" t="s">
        <v>41</v>
      </c>
      <c r="J334" s="155"/>
    </row>
    <row r="335" spans="1:10">
      <c r="A335" s="155" t="s">
        <v>2514</v>
      </c>
      <c r="B335" s="155" t="s">
        <v>2515</v>
      </c>
      <c r="C335" s="155" t="s">
        <v>2516</v>
      </c>
      <c r="D335" s="155" t="s">
        <v>1668</v>
      </c>
      <c r="E335" s="155">
        <v>44.2</v>
      </c>
      <c r="F335" s="155">
        <v>56.4</v>
      </c>
      <c r="G335" s="155">
        <v>216.4</v>
      </c>
      <c r="H335" s="155" t="s">
        <v>1673</v>
      </c>
      <c r="I335" s="155" t="s">
        <v>105</v>
      </c>
      <c r="J335" s="155"/>
    </row>
    <row r="336" spans="1:10">
      <c r="A336" s="155" t="s">
        <v>2517</v>
      </c>
      <c r="B336" s="155" t="s">
        <v>2518</v>
      </c>
      <c r="C336" s="155" t="s">
        <v>2519</v>
      </c>
      <c r="D336" s="155" t="s">
        <v>2452</v>
      </c>
      <c r="E336" s="155">
        <v>12.7</v>
      </c>
      <c r="F336" s="155">
        <v>92.2</v>
      </c>
      <c r="G336" s="155">
        <v>142.1</v>
      </c>
      <c r="H336" s="155" t="s">
        <v>1673</v>
      </c>
      <c r="I336" s="155" t="s">
        <v>105</v>
      </c>
      <c r="J336" s="155"/>
    </row>
    <row r="337" spans="1:10">
      <c r="A337" s="155" t="s">
        <v>2520</v>
      </c>
      <c r="B337" s="155" t="s">
        <v>2521</v>
      </c>
      <c r="C337" s="155" t="s">
        <v>2522</v>
      </c>
      <c r="D337" s="155" t="s">
        <v>1897</v>
      </c>
      <c r="E337" s="155">
        <v>2.7</v>
      </c>
      <c r="F337" s="155"/>
      <c r="G337" s="155"/>
      <c r="H337" s="155" t="s">
        <v>1672</v>
      </c>
      <c r="I337" s="155" t="s">
        <v>2095</v>
      </c>
      <c r="J337" s="155"/>
    </row>
    <row r="338" spans="1:10">
      <c r="A338" s="155" t="s">
        <v>663</v>
      </c>
      <c r="B338" s="155" t="s">
        <v>661</v>
      </c>
      <c r="C338" s="155" t="s">
        <v>662</v>
      </c>
      <c r="D338" s="155" t="s">
        <v>2461</v>
      </c>
      <c r="E338" s="155">
        <v>22.5</v>
      </c>
      <c r="F338" s="155">
        <v>16.3</v>
      </c>
      <c r="G338" s="155">
        <v>309.2</v>
      </c>
      <c r="H338" s="155" t="s">
        <v>1673</v>
      </c>
      <c r="I338" s="155" t="s">
        <v>90</v>
      </c>
      <c r="J338" s="155" t="s">
        <v>2523</v>
      </c>
    </row>
    <row r="339" spans="1:10">
      <c r="A339" s="155" t="s">
        <v>2524</v>
      </c>
      <c r="B339" s="155" t="s">
        <v>2525</v>
      </c>
      <c r="C339" s="155" t="s">
        <v>2526</v>
      </c>
      <c r="D339" s="155" t="s">
        <v>2527</v>
      </c>
      <c r="E339" s="155">
        <v>33.5</v>
      </c>
      <c r="F339" s="155">
        <v>1.3</v>
      </c>
      <c r="G339" s="155">
        <v>398</v>
      </c>
      <c r="H339" s="155" t="s">
        <v>1673</v>
      </c>
      <c r="I339" s="155" t="s">
        <v>96</v>
      </c>
      <c r="J339" s="155"/>
    </row>
    <row r="340" spans="1:10">
      <c r="A340" s="155" t="s">
        <v>2528</v>
      </c>
      <c r="B340" s="155" t="s">
        <v>2529</v>
      </c>
      <c r="C340" s="155" t="s">
        <v>2530</v>
      </c>
      <c r="D340" s="155" t="s">
        <v>1897</v>
      </c>
      <c r="E340" s="155">
        <v>2.2000000000000002</v>
      </c>
      <c r="F340" s="155"/>
      <c r="G340" s="155"/>
      <c r="H340" s="155" t="s">
        <v>1672</v>
      </c>
      <c r="I340" s="155" t="s">
        <v>101</v>
      </c>
      <c r="J340" s="155"/>
    </row>
    <row r="341" spans="1:10">
      <c r="A341" s="155" t="s">
        <v>2531</v>
      </c>
      <c r="B341" s="155" t="s">
        <v>2532</v>
      </c>
      <c r="C341" s="155" t="s">
        <v>2533</v>
      </c>
      <c r="D341" s="155" t="s">
        <v>2461</v>
      </c>
      <c r="E341" s="155">
        <v>2.5</v>
      </c>
      <c r="F341" s="155"/>
      <c r="G341" s="155"/>
      <c r="H341" s="155" t="s">
        <v>1672</v>
      </c>
      <c r="I341" s="155" t="s">
        <v>105</v>
      </c>
      <c r="J341" s="155"/>
    </row>
    <row r="342" spans="1:10">
      <c r="A342" s="155" t="s">
        <v>2534</v>
      </c>
      <c r="B342" s="155" t="s">
        <v>2535</v>
      </c>
      <c r="C342" s="155" t="s">
        <v>2536</v>
      </c>
      <c r="D342" s="155" t="s">
        <v>1668</v>
      </c>
      <c r="E342" s="155"/>
      <c r="F342" s="155">
        <v>1.3</v>
      </c>
      <c r="G342" s="155">
        <v>377</v>
      </c>
      <c r="H342" s="155" t="s">
        <v>1673</v>
      </c>
      <c r="I342" s="155" t="s">
        <v>1738</v>
      </c>
      <c r="J342" s="155"/>
    </row>
    <row r="343" spans="1:10">
      <c r="A343" s="155" t="s">
        <v>2537</v>
      </c>
      <c r="B343" s="155" t="s">
        <v>2538</v>
      </c>
      <c r="C343" s="155" t="s">
        <v>2539</v>
      </c>
      <c r="D343" s="155" t="s">
        <v>1897</v>
      </c>
      <c r="E343" s="155">
        <v>4.3</v>
      </c>
      <c r="F343" s="155">
        <v>39.6</v>
      </c>
      <c r="G343" s="155">
        <v>44.8</v>
      </c>
      <c r="H343" s="155" t="s">
        <v>1673</v>
      </c>
      <c r="I343" s="155" t="s">
        <v>1747</v>
      </c>
      <c r="J343" s="155"/>
    </row>
    <row r="344" spans="1:10">
      <c r="A344" s="155" t="s">
        <v>2540</v>
      </c>
      <c r="B344" s="155" t="s">
        <v>2541</v>
      </c>
      <c r="C344" s="155" t="s">
        <v>2542</v>
      </c>
      <c r="D344" s="155" t="s">
        <v>1671</v>
      </c>
      <c r="E344" s="155"/>
      <c r="F344" s="155"/>
      <c r="G344" s="155"/>
      <c r="H344" s="155" t="s">
        <v>1672</v>
      </c>
      <c r="I344" s="155" t="s">
        <v>236</v>
      </c>
      <c r="J344" s="155"/>
    </row>
    <row r="345" spans="1:10">
      <c r="A345" s="155" t="s">
        <v>2543</v>
      </c>
      <c r="B345" s="155" t="s">
        <v>2544</v>
      </c>
      <c r="C345" s="155" t="s">
        <v>2545</v>
      </c>
      <c r="D345" s="155" t="s">
        <v>1671</v>
      </c>
      <c r="E345" s="155"/>
      <c r="F345" s="155"/>
      <c r="G345" s="155"/>
      <c r="H345" s="155" t="s">
        <v>1672</v>
      </c>
      <c r="I345" s="155" t="s">
        <v>236</v>
      </c>
      <c r="J345" s="155"/>
    </row>
    <row r="346" spans="1:10">
      <c r="A346" s="155" t="s">
        <v>2546</v>
      </c>
      <c r="B346" s="155" t="s">
        <v>2547</v>
      </c>
      <c r="C346" s="155" t="s">
        <v>2548</v>
      </c>
      <c r="D346" s="155" t="s">
        <v>1671</v>
      </c>
      <c r="E346" s="155"/>
      <c r="F346" s="155"/>
      <c r="G346" s="155"/>
      <c r="H346" s="155" t="s">
        <v>1672</v>
      </c>
      <c r="I346" s="155" t="s">
        <v>236</v>
      </c>
      <c r="J346" s="155"/>
    </row>
    <row r="347" spans="1:10">
      <c r="A347" s="155" t="s">
        <v>2549</v>
      </c>
      <c r="B347" s="155" t="s">
        <v>2550</v>
      </c>
      <c r="C347" s="155" t="s">
        <v>2551</v>
      </c>
      <c r="D347" s="155" t="s">
        <v>1671</v>
      </c>
      <c r="E347" s="155"/>
      <c r="F347" s="155"/>
      <c r="G347" s="155"/>
      <c r="H347" s="155" t="s">
        <v>1672</v>
      </c>
      <c r="I347" s="155" t="s">
        <v>236</v>
      </c>
      <c r="J347" s="155"/>
    </row>
    <row r="348" spans="1:10">
      <c r="A348" s="155" t="s">
        <v>2552</v>
      </c>
      <c r="B348" s="155" t="s">
        <v>2553</v>
      </c>
      <c r="C348" s="155" t="s">
        <v>2554</v>
      </c>
      <c r="D348" s="155" t="s">
        <v>1671</v>
      </c>
      <c r="E348" s="155">
        <v>6</v>
      </c>
      <c r="F348" s="155"/>
      <c r="G348" s="155"/>
      <c r="H348" s="155" t="s">
        <v>1672</v>
      </c>
      <c r="I348" s="155" t="s">
        <v>2466</v>
      </c>
      <c r="J348" s="155"/>
    </row>
    <row r="349" spans="1:10">
      <c r="A349" s="155" t="s">
        <v>667</v>
      </c>
      <c r="B349" s="155" t="s">
        <v>665</v>
      </c>
      <c r="C349" s="155" t="s">
        <v>666</v>
      </c>
      <c r="D349" s="155" t="s">
        <v>1671</v>
      </c>
      <c r="E349" s="155"/>
      <c r="F349" s="155"/>
      <c r="G349" s="155"/>
      <c r="H349" s="155" t="s">
        <v>1672</v>
      </c>
      <c r="I349" s="155" t="s">
        <v>236</v>
      </c>
      <c r="J349" s="155"/>
    </row>
    <row r="350" spans="1:10">
      <c r="A350" s="155" t="s">
        <v>2555</v>
      </c>
      <c r="B350" s="155" t="s">
        <v>2556</v>
      </c>
      <c r="C350" s="155" t="s">
        <v>2557</v>
      </c>
      <c r="D350" s="155" t="s">
        <v>1668</v>
      </c>
      <c r="E350" s="155">
        <v>1.8</v>
      </c>
      <c r="F350" s="155">
        <v>7.5</v>
      </c>
      <c r="G350" s="155">
        <v>176.7</v>
      </c>
      <c r="H350" s="155" t="s">
        <v>1673</v>
      </c>
      <c r="I350" s="155" t="s">
        <v>1969</v>
      </c>
      <c r="J350" s="155"/>
    </row>
    <row r="351" spans="1:10">
      <c r="A351" s="155" t="s">
        <v>2558</v>
      </c>
      <c r="B351" s="155" t="s">
        <v>2559</v>
      </c>
      <c r="C351" s="155" t="s">
        <v>2560</v>
      </c>
      <c r="D351" s="155" t="s">
        <v>1668</v>
      </c>
      <c r="E351" s="155">
        <v>1.8</v>
      </c>
      <c r="F351" s="155">
        <v>9.1</v>
      </c>
      <c r="G351" s="155">
        <v>176.8</v>
      </c>
      <c r="H351" s="155" t="s">
        <v>1673</v>
      </c>
      <c r="I351" s="155" t="s">
        <v>1969</v>
      </c>
      <c r="J351" s="155"/>
    </row>
    <row r="352" spans="1:10">
      <c r="A352" s="155" t="s">
        <v>2561</v>
      </c>
      <c r="B352" s="155" t="s">
        <v>2562</v>
      </c>
      <c r="C352" s="155" t="s">
        <v>2563</v>
      </c>
      <c r="D352" s="155" t="s">
        <v>1668</v>
      </c>
      <c r="E352" s="155">
        <v>1.8</v>
      </c>
      <c r="F352" s="155">
        <v>7</v>
      </c>
      <c r="G352" s="155">
        <v>114.8</v>
      </c>
      <c r="H352" s="155" t="s">
        <v>1673</v>
      </c>
      <c r="I352" s="155" t="s">
        <v>1969</v>
      </c>
      <c r="J352" s="155"/>
    </row>
    <row r="353" spans="1:10">
      <c r="A353" s="155" t="s">
        <v>2564</v>
      </c>
      <c r="B353" s="155" t="s">
        <v>2565</v>
      </c>
      <c r="C353" s="155" t="s">
        <v>2566</v>
      </c>
      <c r="D353" s="155" t="s">
        <v>1668</v>
      </c>
      <c r="E353" s="155">
        <v>1.8</v>
      </c>
      <c r="F353" s="155">
        <v>8</v>
      </c>
      <c r="G353" s="155">
        <v>176.7</v>
      </c>
      <c r="H353" s="155" t="s">
        <v>1673</v>
      </c>
      <c r="I353" s="155" t="s">
        <v>1969</v>
      </c>
      <c r="J353" s="155"/>
    </row>
    <row r="354" spans="1:10">
      <c r="A354" s="155" t="s">
        <v>2567</v>
      </c>
      <c r="B354" s="155" t="s">
        <v>2568</v>
      </c>
      <c r="C354" s="155" t="s">
        <v>2569</v>
      </c>
      <c r="D354" s="155" t="s">
        <v>2461</v>
      </c>
      <c r="E354" s="155">
        <v>2.1</v>
      </c>
      <c r="F354" s="155"/>
      <c r="G354" s="155"/>
      <c r="H354" s="155" t="s">
        <v>1672</v>
      </c>
      <c r="I354" s="155" t="s">
        <v>1921</v>
      </c>
      <c r="J354" s="155" t="s">
        <v>1698</v>
      </c>
    </row>
    <row r="355" spans="1:10">
      <c r="A355" s="155" t="s">
        <v>2570</v>
      </c>
      <c r="B355" s="155" t="s">
        <v>2571</v>
      </c>
      <c r="C355" s="155" t="s">
        <v>2572</v>
      </c>
      <c r="D355" s="155" t="s">
        <v>2461</v>
      </c>
      <c r="E355" s="155">
        <v>2.1</v>
      </c>
      <c r="F355" s="155"/>
      <c r="G355" s="155"/>
      <c r="H355" s="155" t="s">
        <v>1672</v>
      </c>
      <c r="I355" s="155" t="s">
        <v>1921</v>
      </c>
      <c r="J355" s="155" t="s">
        <v>1698</v>
      </c>
    </row>
    <row r="356" spans="1:10">
      <c r="A356" s="155" t="s">
        <v>2573</v>
      </c>
      <c r="B356" s="155" t="s">
        <v>2574</v>
      </c>
      <c r="C356" s="155" t="s">
        <v>2575</v>
      </c>
      <c r="D356" s="155" t="s">
        <v>1668</v>
      </c>
      <c r="E356" s="155">
        <v>4.8</v>
      </c>
      <c r="F356" s="155"/>
      <c r="G356" s="155"/>
      <c r="H356" s="155" t="s">
        <v>1672</v>
      </c>
      <c r="I356" s="155" t="s">
        <v>1755</v>
      </c>
      <c r="J356" s="155"/>
    </row>
    <row r="357" spans="1:10">
      <c r="A357" s="155" t="s">
        <v>670</v>
      </c>
      <c r="B357" s="155" t="s">
        <v>668</v>
      </c>
      <c r="C357" s="155" t="s">
        <v>669</v>
      </c>
      <c r="D357" s="155" t="s">
        <v>2576</v>
      </c>
      <c r="E357" s="155"/>
      <c r="F357" s="155">
        <v>16.2</v>
      </c>
      <c r="G357" s="155">
        <v>6861.3</v>
      </c>
      <c r="H357" s="155" t="s">
        <v>1673</v>
      </c>
      <c r="I357" s="155" t="s">
        <v>41</v>
      </c>
      <c r="J357" s="155"/>
    </row>
    <row r="358" spans="1:10">
      <c r="A358" s="155" t="s">
        <v>675</v>
      </c>
      <c r="B358" s="155" t="s">
        <v>673</v>
      </c>
      <c r="C358" s="155" t="s">
        <v>674</v>
      </c>
      <c r="D358" s="155" t="s">
        <v>1671</v>
      </c>
      <c r="E358" s="155"/>
      <c r="F358" s="155">
        <v>15</v>
      </c>
      <c r="G358" s="155">
        <v>2353.9</v>
      </c>
      <c r="H358" s="155" t="s">
        <v>1673</v>
      </c>
      <c r="I358" s="155" t="s">
        <v>41</v>
      </c>
      <c r="J358" s="155"/>
    </row>
    <row r="359" spans="1:10">
      <c r="A359" s="155" t="s">
        <v>2577</v>
      </c>
      <c r="B359" s="155" t="s">
        <v>2578</v>
      </c>
      <c r="C359" s="155" t="s">
        <v>2579</v>
      </c>
      <c r="D359" s="155" t="s">
        <v>1671</v>
      </c>
      <c r="E359" s="155"/>
      <c r="F359" s="155">
        <v>2</v>
      </c>
      <c r="G359" s="155">
        <v>1276</v>
      </c>
      <c r="H359" s="155" t="s">
        <v>1673</v>
      </c>
      <c r="I359" s="155" t="s">
        <v>20</v>
      </c>
      <c r="J359" s="155"/>
    </row>
    <row r="360" spans="1:10">
      <c r="A360" s="155" t="s">
        <v>2580</v>
      </c>
      <c r="B360" s="155" t="s">
        <v>2581</v>
      </c>
      <c r="C360" s="155" t="s">
        <v>2582</v>
      </c>
      <c r="D360" s="155" t="s">
        <v>1671</v>
      </c>
      <c r="E360" s="155"/>
      <c r="F360" s="155">
        <v>2</v>
      </c>
      <c r="G360" s="155">
        <v>1275.9000000000001</v>
      </c>
      <c r="H360" s="155" t="s">
        <v>1673</v>
      </c>
      <c r="I360" s="155" t="s">
        <v>20</v>
      </c>
      <c r="J360" s="155"/>
    </row>
    <row r="361" spans="1:10">
      <c r="A361" s="155" t="s">
        <v>2583</v>
      </c>
      <c r="B361" s="155" t="s">
        <v>2584</v>
      </c>
      <c r="C361" s="155" t="s">
        <v>2585</v>
      </c>
      <c r="D361" s="155" t="s">
        <v>1671</v>
      </c>
      <c r="E361" s="155"/>
      <c r="F361" s="155">
        <v>1</v>
      </c>
      <c r="G361" s="155">
        <v>1227.7</v>
      </c>
      <c r="H361" s="155" t="s">
        <v>1673</v>
      </c>
      <c r="I361" s="155" t="s">
        <v>20</v>
      </c>
      <c r="J361" s="155"/>
    </row>
    <row r="362" spans="1:10">
      <c r="A362" s="155" t="s">
        <v>2586</v>
      </c>
      <c r="B362" s="155" t="s">
        <v>2587</v>
      </c>
      <c r="C362" s="155" t="s">
        <v>2588</v>
      </c>
      <c r="D362" s="155" t="s">
        <v>1671</v>
      </c>
      <c r="E362" s="155"/>
      <c r="F362" s="155">
        <v>1</v>
      </c>
      <c r="G362" s="155">
        <v>1227.5999999999999</v>
      </c>
      <c r="H362" s="155" t="s">
        <v>1673</v>
      </c>
      <c r="I362" s="155" t="s">
        <v>20</v>
      </c>
      <c r="J362" s="155"/>
    </row>
    <row r="363" spans="1:10">
      <c r="A363" s="155" t="s">
        <v>2589</v>
      </c>
      <c r="B363" s="155" t="s">
        <v>2590</v>
      </c>
      <c r="C363" s="155" t="s">
        <v>2591</v>
      </c>
      <c r="D363" s="155" t="s">
        <v>1671</v>
      </c>
      <c r="E363" s="155"/>
      <c r="F363" s="155">
        <v>1</v>
      </c>
      <c r="G363" s="155">
        <v>1227.3</v>
      </c>
      <c r="H363" s="155" t="s">
        <v>1673</v>
      </c>
      <c r="I363" s="155" t="s">
        <v>20</v>
      </c>
      <c r="J363" s="155"/>
    </row>
    <row r="364" spans="1:10">
      <c r="A364" s="155" t="s">
        <v>2592</v>
      </c>
      <c r="B364" s="155" t="s">
        <v>2593</v>
      </c>
      <c r="C364" s="155" t="s">
        <v>2594</v>
      </c>
      <c r="D364" s="155" t="s">
        <v>1671</v>
      </c>
      <c r="E364" s="155">
        <v>1</v>
      </c>
      <c r="F364" s="155">
        <v>1</v>
      </c>
      <c r="G364" s="155">
        <v>1925.2</v>
      </c>
      <c r="H364" s="155" t="s">
        <v>1673</v>
      </c>
      <c r="I364" s="155" t="s">
        <v>41</v>
      </c>
      <c r="J364" s="155"/>
    </row>
    <row r="365" spans="1:10">
      <c r="A365" s="155" t="s">
        <v>2595</v>
      </c>
      <c r="B365" s="155" t="s">
        <v>2596</v>
      </c>
      <c r="C365" s="155" t="s">
        <v>2597</v>
      </c>
      <c r="D365" s="155" t="s">
        <v>1671</v>
      </c>
      <c r="E365" s="155">
        <v>2</v>
      </c>
      <c r="F365" s="155">
        <v>2</v>
      </c>
      <c r="G365" s="155">
        <v>2368.5</v>
      </c>
      <c r="H365" s="155" t="s">
        <v>1673</v>
      </c>
      <c r="I365" s="155" t="s">
        <v>708</v>
      </c>
      <c r="J365" s="155"/>
    </row>
    <row r="366" spans="1:10">
      <c r="A366" s="155" t="s">
        <v>2598</v>
      </c>
      <c r="B366" s="155" t="s">
        <v>2599</v>
      </c>
      <c r="C366" s="155" t="s">
        <v>2600</v>
      </c>
      <c r="D366" s="155" t="s">
        <v>1671</v>
      </c>
      <c r="E366" s="155">
        <v>1</v>
      </c>
      <c r="F366" s="155">
        <v>1</v>
      </c>
      <c r="G366" s="155">
        <v>1508.3</v>
      </c>
      <c r="H366" s="155" t="s">
        <v>1673</v>
      </c>
      <c r="I366" s="155" t="s">
        <v>2601</v>
      </c>
      <c r="J366" s="155"/>
    </row>
    <row r="367" spans="1:10">
      <c r="A367" s="155" t="s">
        <v>2602</v>
      </c>
      <c r="B367" s="155" t="s">
        <v>2603</v>
      </c>
      <c r="C367" s="155" t="s">
        <v>2604</v>
      </c>
      <c r="D367" s="155" t="s">
        <v>1671</v>
      </c>
      <c r="E367" s="155">
        <v>1</v>
      </c>
      <c r="F367" s="155"/>
      <c r="G367" s="155"/>
      <c r="H367" s="155" t="s">
        <v>1672</v>
      </c>
      <c r="I367" s="155" t="s">
        <v>679</v>
      </c>
      <c r="J367" s="155" t="s">
        <v>2605</v>
      </c>
    </row>
    <row r="368" spans="1:10">
      <c r="A368" s="155" t="s">
        <v>2606</v>
      </c>
      <c r="B368" s="155" t="s">
        <v>2607</v>
      </c>
      <c r="C368" s="155" t="s">
        <v>2608</v>
      </c>
      <c r="D368" s="155" t="s">
        <v>1671</v>
      </c>
      <c r="E368" s="155">
        <v>1</v>
      </c>
      <c r="F368" s="155"/>
      <c r="G368" s="155"/>
      <c r="H368" s="155" t="s">
        <v>1672</v>
      </c>
      <c r="I368" s="155" t="s">
        <v>679</v>
      </c>
      <c r="J368" s="155" t="s">
        <v>1868</v>
      </c>
    </row>
    <row r="369" spans="1:10">
      <c r="A369" s="155" t="s">
        <v>2609</v>
      </c>
      <c r="B369" s="155" t="s">
        <v>2610</v>
      </c>
      <c r="C369" s="155" t="s">
        <v>2611</v>
      </c>
      <c r="D369" s="155" t="s">
        <v>1671</v>
      </c>
      <c r="E369" s="155">
        <v>5</v>
      </c>
      <c r="F369" s="155"/>
      <c r="G369" s="155"/>
      <c r="H369" s="155" t="s">
        <v>1672</v>
      </c>
      <c r="I369" s="155" t="s">
        <v>679</v>
      </c>
      <c r="J369" s="155" t="s">
        <v>2612</v>
      </c>
    </row>
    <row r="370" spans="1:10">
      <c r="A370" s="155" t="s">
        <v>685</v>
      </c>
      <c r="B370" s="155" t="s">
        <v>683</v>
      </c>
      <c r="C370" s="155" t="s">
        <v>684</v>
      </c>
      <c r="D370" s="155" t="s">
        <v>1671</v>
      </c>
      <c r="E370" s="155">
        <v>22</v>
      </c>
      <c r="F370" s="155"/>
      <c r="G370" s="155"/>
      <c r="H370" s="155" t="s">
        <v>1672</v>
      </c>
      <c r="I370" s="155" t="s">
        <v>679</v>
      </c>
      <c r="J370" s="155" t="s">
        <v>2613</v>
      </c>
    </row>
    <row r="371" spans="1:10">
      <c r="A371" s="155" t="s">
        <v>688</v>
      </c>
      <c r="B371" s="155" t="s">
        <v>686</v>
      </c>
      <c r="C371" s="155" t="s">
        <v>687</v>
      </c>
      <c r="D371" s="155" t="s">
        <v>1671</v>
      </c>
      <c r="E371" s="155">
        <v>2</v>
      </c>
      <c r="F371" s="155"/>
      <c r="G371" s="155"/>
      <c r="H371" s="155" t="s">
        <v>1672</v>
      </c>
      <c r="I371" s="155" t="s">
        <v>679</v>
      </c>
      <c r="J371" s="155" t="s">
        <v>1692</v>
      </c>
    </row>
    <row r="372" spans="1:10">
      <c r="A372" s="155" t="s">
        <v>691</v>
      </c>
      <c r="B372" s="155" t="s">
        <v>689</v>
      </c>
      <c r="C372" s="155" t="s">
        <v>690</v>
      </c>
      <c r="D372" s="155" t="s">
        <v>1671</v>
      </c>
      <c r="E372" s="155">
        <v>3</v>
      </c>
      <c r="F372" s="155"/>
      <c r="G372" s="155"/>
      <c r="H372" s="155" t="s">
        <v>1672</v>
      </c>
      <c r="I372" s="155" t="s">
        <v>281</v>
      </c>
      <c r="J372" s="155" t="s">
        <v>2614</v>
      </c>
    </row>
    <row r="373" spans="1:10">
      <c r="A373" s="155" t="s">
        <v>694</v>
      </c>
      <c r="B373" s="155" t="s">
        <v>692</v>
      </c>
      <c r="C373" s="155" t="s">
        <v>693</v>
      </c>
      <c r="D373" s="155" t="s">
        <v>1671</v>
      </c>
      <c r="E373" s="155">
        <v>2</v>
      </c>
      <c r="F373" s="155"/>
      <c r="G373" s="155"/>
      <c r="H373" s="155" t="s">
        <v>1672</v>
      </c>
      <c r="I373" s="155" t="s">
        <v>281</v>
      </c>
      <c r="J373" s="155" t="s">
        <v>2615</v>
      </c>
    </row>
    <row r="374" spans="1:10">
      <c r="A374" s="155" t="s">
        <v>2616</v>
      </c>
      <c r="B374" s="155" t="s">
        <v>2617</v>
      </c>
      <c r="C374" s="155" t="s">
        <v>2618</v>
      </c>
      <c r="D374" s="155" t="s">
        <v>1671</v>
      </c>
      <c r="E374" s="155">
        <v>2</v>
      </c>
      <c r="F374" s="155"/>
      <c r="G374" s="155"/>
      <c r="H374" s="155" t="s">
        <v>1672</v>
      </c>
      <c r="I374" s="155" t="s">
        <v>281</v>
      </c>
      <c r="J374" s="155" t="s">
        <v>2615</v>
      </c>
    </row>
    <row r="375" spans="1:10">
      <c r="A375" s="155" t="s">
        <v>2619</v>
      </c>
      <c r="B375" s="155" t="s">
        <v>2620</v>
      </c>
      <c r="C375" s="155" t="s">
        <v>2621</v>
      </c>
      <c r="D375" s="155" t="s">
        <v>1671</v>
      </c>
      <c r="E375" s="155">
        <v>2</v>
      </c>
      <c r="F375" s="155"/>
      <c r="G375" s="155"/>
      <c r="H375" s="155" t="s">
        <v>1672</v>
      </c>
      <c r="I375" s="155" t="s">
        <v>281</v>
      </c>
      <c r="J375" s="155" t="s">
        <v>2615</v>
      </c>
    </row>
    <row r="376" spans="1:10">
      <c r="A376" s="155" t="s">
        <v>2622</v>
      </c>
      <c r="B376" s="155" t="s">
        <v>2623</v>
      </c>
      <c r="C376" s="155" t="s">
        <v>2624</v>
      </c>
      <c r="D376" s="155" t="s">
        <v>1671</v>
      </c>
      <c r="E376" s="155">
        <v>2</v>
      </c>
      <c r="F376" s="155"/>
      <c r="G376" s="155"/>
      <c r="H376" s="155" t="s">
        <v>1672</v>
      </c>
      <c r="I376" s="155" t="s">
        <v>281</v>
      </c>
      <c r="J376" s="155" t="s">
        <v>2615</v>
      </c>
    </row>
    <row r="377" spans="1:10">
      <c r="A377" s="155" t="s">
        <v>2625</v>
      </c>
      <c r="B377" s="155" t="s">
        <v>2626</v>
      </c>
      <c r="C377" s="155" t="s">
        <v>2627</v>
      </c>
      <c r="D377" s="155" t="s">
        <v>1671</v>
      </c>
      <c r="E377" s="155">
        <v>2</v>
      </c>
      <c r="F377" s="155"/>
      <c r="G377" s="155"/>
      <c r="H377" s="155" t="s">
        <v>1672</v>
      </c>
      <c r="I377" s="155" t="s">
        <v>281</v>
      </c>
      <c r="J377" s="155" t="s">
        <v>2615</v>
      </c>
    </row>
    <row r="378" spans="1:10">
      <c r="A378" s="155" t="s">
        <v>2628</v>
      </c>
      <c r="B378" s="155" t="s">
        <v>2629</v>
      </c>
      <c r="C378" s="155" t="s">
        <v>2630</v>
      </c>
      <c r="D378" s="155" t="s">
        <v>1671</v>
      </c>
      <c r="E378" s="155">
        <v>1</v>
      </c>
      <c r="F378" s="155"/>
      <c r="G378" s="155"/>
      <c r="H378" s="155" t="s">
        <v>1672</v>
      </c>
      <c r="I378" s="155" t="s">
        <v>281</v>
      </c>
      <c r="J378" s="155" t="s">
        <v>2615</v>
      </c>
    </row>
    <row r="379" spans="1:10">
      <c r="A379" s="155" t="s">
        <v>2631</v>
      </c>
      <c r="B379" s="155" t="s">
        <v>2632</v>
      </c>
      <c r="C379" s="155" t="s">
        <v>2633</v>
      </c>
      <c r="D379" s="155" t="s">
        <v>1671</v>
      </c>
      <c r="E379" s="155">
        <v>2</v>
      </c>
      <c r="F379" s="155"/>
      <c r="G379" s="155"/>
      <c r="H379" s="155" t="s">
        <v>1672</v>
      </c>
      <c r="I379" s="155" t="s">
        <v>281</v>
      </c>
      <c r="J379" s="155" t="s">
        <v>2615</v>
      </c>
    </row>
    <row r="380" spans="1:10">
      <c r="A380" s="155" t="s">
        <v>2634</v>
      </c>
      <c r="B380" s="155" t="s">
        <v>2635</v>
      </c>
      <c r="C380" s="155" t="s">
        <v>2636</v>
      </c>
      <c r="D380" s="155" t="s">
        <v>1671</v>
      </c>
      <c r="E380" s="155">
        <v>1</v>
      </c>
      <c r="F380" s="155"/>
      <c r="G380" s="155"/>
      <c r="H380" s="155" t="s">
        <v>1672</v>
      </c>
      <c r="I380" s="155" t="s">
        <v>281</v>
      </c>
      <c r="J380" s="155" t="s">
        <v>2615</v>
      </c>
    </row>
    <row r="381" spans="1:10">
      <c r="A381" s="155" t="s">
        <v>697</v>
      </c>
      <c r="B381" s="155" t="s">
        <v>695</v>
      </c>
      <c r="C381" s="155" t="s">
        <v>696</v>
      </c>
      <c r="D381" s="155" t="s">
        <v>1671</v>
      </c>
      <c r="E381" s="155">
        <v>0.5</v>
      </c>
      <c r="F381" s="155"/>
      <c r="G381" s="155"/>
      <c r="H381" s="155" t="s">
        <v>1672</v>
      </c>
      <c r="I381" s="155" t="s">
        <v>698</v>
      </c>
      <c r="J381" s="155" t="s">
        <v>2605</v>
      </c>
    </row>
    <row r="382" spans="1:10">
      <c r="A382" s="155" t="s">
        <v>701</v>
      </c>
      <c r="B382" s="155" t="s">
        <v>699</v>
      </c>
      <c r="C382" s="155" t="s">
        <v>700</v>
      </c>
      <c r="D382" s="155" t="s">
        <v>1671</v>
      </c>
      <c r="E382" s="155">
        <v>7</v>
      </c>
      <c r="F382" s="155"/>
      <c r="G382" s="155"/>
      <c r="H382" s="155" t="s">
        <v>1672</v>
      </c>
      <c r="I382" s="155" t="s">
        <v>281</v>
      </c>
      <c r="J382" s="155" t="s">
        <v>2637</v>
      </c>
    </row>
    <row r="383" spans="1:10">
      <c r="A383" s="155" t="s">
        <v>2638</v>
      </c>
      <c r="B383" s="155" t="s">
        <v>2639</v>
      </c>
      <c r="C383" s="155" t="s">
        <v>2640</v>
      </c>
      <c r="D383" s="155" t="s">
        <v>1668</v>
      </c>
      <c r="E383" s="155">
        <v>1</v>
      </c>
      <c r="F383" s="155"/>
      <c r="G383" s="155"/>
      <c r="H383" s="155" t="s">
        <v>1672</v>
      </c>
      <c r="I383" s="155" t="s">
        <v>2641</v>
      </c>
      <c r="J383" s="155" t="s">
        <v>1692</v>
      </c>
    </row>
    <row r="384" spans="1:10">
      <c r="A384" s="155" t="s">
        <v>2642</v>
      </c>
      <c r="B384" s="155" t="s">
        <v>2643</v>
      </c>
      <c r="C384" s="155" t="s">
        <v>2644</v>
      </c>
      <c r="D384" s="155" t="s">
        <v>1668</v>
      </c>
      <c r="E384" s="155">
        <v>2.1</v>
      </c>
      <c r="F384" s="155"/>
      <c r="G384" s="155"/>
      <c r="H384" s="155" t="s">
        <v>1672</v>
      </c>
      <c r="I384" s="155" t="s">
        <v>2645</v>
      </c>
      <c r="J384" s="155" t="s">
        <v>2646</v>
      </c>
    </row>
    <row r="385" spans="1:10">
      <c r="A385" s="155" t="s">
        <v>704</v>
      </c>
      <c r="B385" s="155" t="s">
        <v>702</v>
      </c>
      <c r="C385" s="155" t="s">
        <v>703</v>
      </c>
      <c r="D385" s="155" t="s">
        <v>1668</v>
      </c>
      <c r="E385" s="155">
        <v>16</v>
      </c>
      <c r="F385" s="155"/>
      <c r="G385" s="155"/>
      <c r="H385" s="155" t="s">
        <v>1672</v>
      </c>
      <c r="I385" s="155" t="s">
        <v>550</v>
      </c>
      <c r="J385" s="155" t="s">
        <v>1840</v>
      </c>
    </row>
    <row r="386" spans="1:10">
      <c r="A386" s="155" t="s">
        <v>707</v>
      </c>
      <c r="B386" s="155" t="s">
        <v>705</v>
      </c>
      <c r="C386" s="155" t="s">
        <v>706</v>
      </c>
      <c r="D386" s="155" t="s">
        <v>1668</v>
      </c>
      <c r="E386" s="155">
        <v>10</v>
      </c>
      <c r="F386" s="155">
        <v>97</v>
      </c>
      <c r="G386" s="155">
        <v>143.6</v>
      </c>
      <c r="H386" s="155" t="s">
        <v>1673</v>
      </c>
      <c r="I386" s="155" t="s">
        <v>708</v>
      </c>
      <c r="J386" s="155" t="s">
        <v>2647</v>
      </c>
    </row>
    <row r="387" spans="1:10">
      <c r="A387" s="155" t="s">
        <v>711</v>
      </c>
      <c r="B387" s="155" t="s">
        <v>2648</v>
      </c>
      <c r="C387" s="155" t="s">
        <v>710</v>
      </c>
      <c r="D387" s="155" t="s">
        <v>1668</v>
      </c>
      <c r="E387" s="155">
        <v>3.2</v>
      </c>
      <c r="F387" s="155"/>
      <c r="G387" s="155"/>
      <c r="H387" s="155" t="s">
        <v>1672</v>
      </c>
      <c r="I387" s="155" t="s">
        <v>708</v>
      </c>
      <c r="J387" s="155" t="s">
        <v>2649</v>
      </c>
    </row>
    <row r="388" spans="1:10">
      <c r="A388" s="155" t="s">
        <v>2650</v>
      </c>
      <c r="B388" s="155" t="s">
        <v>2651</v>
      </c>
      <c r="C388" s="155" t="s">
        <v>2652</v>
      </c>
      <c r="D388" s="155" t="s">
        <v>1671</v>
      </c>
      <c r="E388" s="155">
        <v>24</v>
      </c>
      <c r="F388" s="155"/>
      <c r="G388" s="155"/>
      <c r="H388" s="155" t="s">
        <v>1672</v>
      </c>
      <c r="I388" s="155" t="s">
        <v>281</v>
      </c>
      <c r="J388" s="155"/>
    </row>
    <row r="389" spans="1:10">
      <c r="A389" s="155" t="s">
        <v>2653</v>
      </c>
      <c r="B389" s="155" t="s">
        <v>2654</v>
      </c>
      <c r="C389" s="155" t="s">
        <v>2655</v>
      </c>
      <c r="D389" s="155" t="s">
        <v>1671</v>
      </c>
      <c r="E389" s="155">
        <v>2</v>
      </c>
      <c r="F389" s="155"/>
      <c r="G389" s="155"/>
      <c r="H389" s="155" t="s">
        <v>1672</v>
      </c>
      <c r="I389" s="155" t="s">
        <v>2656</v>
      </c>
      <c r="J389" s="155"/>
    </row>
    <row r="390" spans="1:10">
      <c r="A390" s="155" t="s">
        <v>2657</v>
      </c>
      <c r="B390" s="155" t="s">
        <v>2658</v>
      </c>
      <c r="C390" s="155" t="s">
        <v>2659</v>
      </c>
      <c r="D390" s="155" t="s">
        <v>1668</v>
      </c>
      <c r="E390" s="155">
        <v>3</v>
      </c>
      <c r="F390" s="155">
        <v>4</v>
      </c>
      <c r="G390" s="155">
        <v>236.9</v>
      </c>
      <c r="H390" s="155" t="s">
        <v>1673</v>
      </c>
      <c r="I390" s="155" t="s">
        <v>147</v>
      </c>
      <c r="J390" s="155"/>
    </row>
    <row r="391" spans="1:10">
      <c r="A391" s="155" t="s">
        <v>2660</v>
      </c>
      <c r="B391" s="155" t="s">
        <v>2661</v>
      </c>
      <c r="C391" s="155" t="s">
        <v>2662</v>
      </c>
      <c r="D391" s="155" t="s">
        <v>1668</v>
      </c>
      <c r="E391" s="155">
        <v>4</v>
      </c>
      <c r="F391" s="155"/>
      <c r="G391" s="155"/>
      <c r="H391" s="155" t="s">
        <v>1672</v>
      </c>
      <c r="I391" s="155" t="s">
        <v>147</v>
      </c>
      <c r="J391" s="155"/>
    </row>
    <row r="392" spans="1:10">
      <c r="A392" s="155" t="s">
        <v>2663</v>
      </c>
      <c r="B392" s="155" t="s">
        <v>2664</v>
      </c>
      <c r="C392" s="155" t="s">
        <v>2665</v>
      </c>
      <c r="D392" s="155" t="s">
        <v>1668</v>
      </c>
      <c r="E392" s="155">
        <v>4</v>
      </c>
      <c r="F392" s="155">
        <v>8</v>
      </c>
      <c r="G392" s="155">
        <v>118.8</v>
      </c>
      <c r="H392" s="155" t="s">
        <v>1673</v>
      </c>
      <c r="I392" s="155" t="s">
        <v>147</v>
      </c>
      <c r="J392" s="155"/>
    </row>
    <row r="393" spans="1:10">
      <c r="A393" s="155" t="s">
        <v>2666</v>
      </c>
      <c r="B393" s="155" t="s">
        <v>2667</v>
      </c>
      <c r="C393" s="155" t="s">
        <v>2668</v>
      </c>
      <c r="D393" s="155" t="s">
        <v>1668</v>
      </c>
      <c r="E393" s="155">
        <v>4</v>
      </c>
      <c r="F393" s="155"/>
      <c r="G393" s="155"/>
      <c r="H393" s="155" t="s">
        <v>1672</v>
      </c>
      <c r="I393" s="155" t="s">
        <v>147</v>
      </c>
      <c r="J393" s="155"/>
    </row>
    <row r="394" spans="1:10">
      <c r="A394" s="155" t="s">
        <v>2669</v>
      </c>
      <c r="B394" s="155" t="s">
        <v>2670</v>
      </c>
      <c r="C394" s="155" t="s">
        <v>2671</v>
      </c>
      <c r="D394" s="155" t="s">
        <v>1668</v>
      </c>
      <c r="E394" s="155">
        <v>4</v>
      </c>
      <c r="F394" s="155"/>
      <c r="G394" s="155"/>
      <c r="H394" s="155" t="s">
        <v>1672</v>
      </c>
      <c r="I394" s="155" t="s">
        <v>147</v>
      </c>
      <c r="J394" s="155"/>
    </row>
    <row r="395" spans="1:10">
      <c r="A395" s="155" t="s">
        <v>2672</v>
      </c>
      <c r="B395" s="155" t="s">
        <v>2673</v>
      </c>
      <c r="C395" s="155" t="s">
        <v>2674</v>
      </c>
      <c r="D395" s="155" t="s">
        <v>1668</v>
      </c>
      <c r="E395" s="155">
        <v>4</v>
      </c>
      <c r="F395" s="155"/>
      <c r="G395" s="155"/>
      <c r="H395" s="155" t="s">
        <v>1672</v>
      </c>
      <c r="I395" s="155" t="s">
        <v>147</v>
      </c>
      <c r="J395" s="155"/>
    </row>
    <row r="396" spans="1:10">
      <c r="A396" s="155" t="s">
        <v>2675</v>
      </c>
      <c r="B396" s="155" t="s">
        <v>2676</v>
      </c>
      <c r="C396" s="155" t="s">
        <v>2677</v>
      </c>
      <c r="D396" s="155" t="s">
        <v>1668</v>
      </c>
      <c r="E396" s="155"/>
      <c r="F396" s="155">
        <v>97.9</v>
      </c>
      <c r="G396" s="155">
        <v>383.8</v>
      </c>
      <c r="H396" s="155" t="s">
        <v>1673</v>
      </c>
      <c r="I396" s="155" t="s">
        <v>147</v>
      </c>
      <c r="J396" s="155"/>
    </row>
    <row r="397" spans="1:10">
      <c r="A397" s="155" t="s">
        <v>2678</v>
      </c>
      <c r="B397" s="155" t="s">
        <v>2679</v>
      </c>
      <c r="C397" s="155" t="s">
        <v>2680</v>
      </c>
      <c r="D397" s="155" t="s">
        <v>1668</v>
      </c>
      <c r="E397" s="155"/>
      <c r="F397" s="155">
        <v>60.2</v>
      </c>
      <c r="G397" s="155">
        <v>383.6</v>
      </c>
      <c r="H397" s="155" t="s">
        <v>1673</v>
      </c>
      <c r="I397" s="155" t="s">
        <v>147</v>
      </c>
      <c r="J397" s="155"/>
    </row>
    <row r="398" spans="1:10">
      <c r="A398" s="155" t="s">
        <v>2681</v>
      </c>
      <c r="B398" s="155" t="s">
        <v>2682</v>
      </c>
      <c r="C398" s="155" t="s">
        <v>2683</v>
      </c>
      <c r="D398" s="155" t="s">
        <v>1668</v>
      </c>
      <c r="E398" s="155">
        <v>8</v>
      </c>
      <c r="F398" s="155"/>
      <c r="G398" s="155"/>
      <c r="H398" s="155" t="s">
        <v>1672</v>
      </c>
      <c r="I398" s="155" t="s">
        <v>2684</v>
      </c>
      <c r="J398" s="155"/>
    </row>
    <row r="399" spans="1:10">
      <c r="A399" s="155" t="s">
        <v>2685</v>
      </c>
      <c r="B399" s="155" t="s">
        <v>2686</v>
      </c>
      <c r="C399" s="155" t="s">
        <v>2687</v>
      </c>
      <c r="D399" s="155" t="s">
        <v>1668</v>
      </c>
      <c r="E399" s="155">
        <v>2</v>
      </c>
      <c r="F399" s="155">
        <v>0.5</v>
      </c>
      <c r="G399" s="155">
        <v>311.39999999999998</v>
      </c>
      <c r="H399" s="155" t="s">
        <v>1673</v>
      </c>
      <c r="I399" s="155" t="s">
        <v>2684</v>
      </c>
      <c r="J399" s="155"/>
    </row>
    <row r="400" spans="1:10">
      <c r="A400" s="155" t="s">
        <v>2688</v>
      </c>
      <c r="B400" s="155" t="s">
        <v>2689</v>
      </c>
      <c r="C400" s="155" t="s">
        <v>2690</v>
      </c>
      <c r="D400" s="155" t="s">
        <v>1668</v>
      </c>
      <c r="E400" s="155">
        <v>4</v>
      </c>
      <c r="F400" s="155">
        <v>8</v>
      </c>
      <c r="G400" s="155">
        <v>160.19999999999999</v>
      </c>
      <c r="H400" s="155" t="s">
        <v>1673</v>
      </c>
      <c r="I400" s="155" t="s">
        <v>147</v>
      </c>
      <c r="J400" s="155"/>
    </row>
    <row r="401" spans="1:10">
      <c r="A401" s="155" t="s">
        <v>2691</v>
      </c>
      <c r="B401" s="155" t="s">
        <v>2692</v>
      </c>
      <c r="C401" s="155" t="s">
        <v>2693</v>
      </c>
      <c r="D401" s="155" t="s">
        <v>1668</v>
      </c>
      <c r="E401" s="155">
        <v>4</v>
      </c>
      <c r="F401" s="155">
        <v>8.5</v>
      </c>
      <c r="G401" s="155">
        <v>253.8</v>
      </c>
      <c r="H401" s="155" t="s">
        <v>1673</v>
      </c>
      <c r="I401" s="155" t="s">
        <v>2684</v>
      </c>
      <c r="J401" s="155"/>
    </row>
    <row r="402" spans="1:10">
      <c r="A402" s="155" t="s">
        <v>2694</v>
      </c>
      <c r="B402" s="155" t="s">
        <v>2695</v>
      </c>
      <c r="C402" s="155" t="s">
        <v>2696</v>
      </c>
      <c r="D402" s="155" t="s">
        <v>1668</v>
      </c>
      <c r="E402" s="155">
        <v>2</v>
      </c>
      <c r="F402" s="155"/>
      <c r="G402" s="155"/>
      <c r="H402" s="155" t="s">
        <v>1672</v>
      </c>
      <c r="I402" s="155" t="s">
        <v>147</v>
      </c>
      <c r="J402" s="155"/>
    </row>
    <row r="403" spans="1:10">
      <c r="A403" s="155" t="s">
        <v>2697</v>
      </c>
      <c r="B403" s="155" t="s">
        <v>2698</v>
      </c>
      <c r="C403" s="155" t="s">
        <v>2699</v>
      </c>
      <c r="D403" s="155" t="s">
        <v>1668</v>
      </c>
      <c r="E403" s="155">
        <v>8</v>
      </c>
      <c r="F403" s="155">
        <v>14</v>
      </c>
      <c r="G403" s="155">
        <v>41.5</v>
      </c>
      <c r="H403" s="155" t="s">
        <v>1673</v>
      </c>
      <c r="I403" s="155" t="s">
        <v>2684</v>
      </c>
      <c r="J403" s="155"/>
    </row>
    <row r="404" spans="1:10">
      <c r="A404" s="155" t="s">
        <v>2700</v>
      </c>
      <c r="B404" s="155" t="s">
        <v>2701</v>
      </c>
      <c r="C404" s="155" t="s">
        <v>2702</v>
      </c>
      <c r="D404" s="155" t="s">
        <v>1668</v>
      </c>
      <c r="E404" s="155">
        <v>2</v>
      </c>
      <c r="F404" s="155"/>
      <c r="G404" s="155"/>
      <c r="H404" s="155" t="s">
        <v>1672</v>
      </c>
      <c r="I404" s="155" t="s">
        <v>2684</v>
      </c>
      <c r="J404" s="155"/>
    </row>
    <row r="405" spans="1:10">
      <c r="A405" s="155" t="s">
        <v>2703</v>
      </c>
      <c r="B405" s="155" t="s">
        <v>2704</v>
      </c>
      <c r="C405" s="155" t="s">
        <v>2705</v>
      </c>
      <c r="D405" s="155" t="s">
        <v>1668</v>
      </c>
      <c r="E405" s="155">
        <v>8</v>
      </c>
      <c r="F405" s="155"/>
      <c r="G405" s="155"/>
      <c r="H405" s="155" t="s">
        <v>1672</v>
      </c>
      <c r="I405" s="155" t="s">
        <v>2684</v>
      </c>
      <c r="J405" s="155"/>
    </row>
    <row r="406" spans="1:10">
      <c r="A406" s="155" t="s">
        <v>2706</v>
      </c>
      <c r="B406" s="155" t="s">
        <v>2707</v>
      </c>
      <c r="C406" s="155" t="s">
        <v>2708</v>
      </c>
      <c r="D406" s="155" t="s">
        <v>1668</v>
      </c>
      <c r="E406" s="155">
        <v>8</v>
      </c>
      <c r="F406" s="155"/>
      <c r="G406" s="155"/>
      <c r="H406" s="155" t="s">
        <v>1672</v>
      </c>
      <c r="I406" s="155" t="s">
        <v>2684</v>
      </c>
      <c r="J406" s="155"/>
    </row>
    <row r="407" spans="1:10">
      <c r="A407" s="155" t="s">
        <v>2709</v>
      </c>
      <c r="B407" s="155" t="s">
        <v>2710</v>
      </c>
      <c r="C407" s="155" t="s">
        <v>2711</v>
      </c>
      <c r="D407" s="155" t="s">
        <v>1668</v>
      </c>
      <c r="E407" s="155">
        <v>3</v>
      </c>
      <c r="F407" s="155">
        <v>10.6</v>
      </c>
      <c r="G407" s="155">
        <v>328.4</v>
      </c>
      <c r="H407" s="155" t="s">
        <v>1673</v>
      </c>
      <c r="I407" s="155" t="s">
        <v>2684</v>
      </c>
      <c r="J407" s="155"/>
    </row>
    <row r="408" spans="1:10">
      <c r="A408" s="155" t="s">
        <v>2712</v>
      </c>
      <c r="B408" s="155" t="s">
        <v>2713</v>
      </c>
      <c r="C408" s="155" t="s">
        <v>2714</v>
      </c>
      <c r="D408" s="155" t="s">
        <v>1668</v>
      </c>
      <c r="E408" s="155">
        <v>3</v>
      </c>
      <c r="F408" s="155">
        <v>0.3</v>
      </c>
      <c r="G408" s="155">
        <v>286.39999999999998</v>
      </c>
      <c r="H408" s="155" t="s">
        <v>1673</v>
      </c>
      <c r="I408" s="155" t="s">
        <v>1951</v>
      </c>
      <c r="J408" s="155"/>
    </row>
    <row r="409" spans="1:10">
      <c r="A409" s="155" t="s">
        <v>2715</v>
      </c>
      <c r="B409" s="155" t="s">
        <v>2716</v>
      </c>
      <c r="C409" s="155" t="s">
        <v>2717</v>
      </c>
      <c r="D409" s="155" t="s">
        <v>1668</v>
      </c>
      <c r="E409" s="155">
        <v>6</v>
      </c>
      <c r="F409" s="155"/>
      <c r="G409" s="155"/>
      <c r="H409" s="155" t="s">
        <v>1672</v>
      </c>
      <c r="I409" s="155" t="s">
        <v>1951</v>
      </c>
      <c r="J409" s="155"/>
    </row>
    <row r="410" spans="1:10">
      <c r="A410" s="155" t="s">
        <v>2718</v>
      </c>
      <c r="B410" s="155" t="s">
        <v>2719</v>
      </c>
      <c r="C410" s="155" t="s">
        <v>2720</v>
      </c>
      <c r="D410" s="155" t="s">
        <v>1668</v>
      </c>
      <c r="E410" s="155"/>
      <c r="F410" s="155">
        <v>28.8</v>
      </c>
      <c r="G410" s="155">
        <v>376.4</v>
      </c>
      <c r="H410" s="155" t="s">
        <v>1673</v>
      </c>
      <c r="I410" s="155" t="s">
        <v>1951</v>
      </c>
      <c r="J410" s="155"/>
    </row>
    <row r="411" spans="1:10">
      <c r="A411" s="155" t="s">
        <v>2721</v>
      </c>
      <c r="B411" s="155" t="s">
        <v>2722</v>
      </c>
      <c r="C411" s="155" t="s">
        <v>2723</v>
      </c>
      <c r="D411" s="155" t="s">
        <v>1668</v>
      </c>
      <c r="E411" s="155">
        <v>3</v>
      </c>
      <c r="F411" s="155">
        <v>27.8</v>
      </c>
      <c r="G411" s="155">
        <v>168.1</v>
      </c>
      <c r="H411" s="155" t="s">
        <v>1673</v>
      </c>
      <c r="I411" s="155" t="s">
        <v>1951</v>
      </c>
      <c r="J411" s="155"/>
    </row>
    <row r="412" spans="1:10">
      <c r="A412" s="155" t="s">
        <v>2724</v>
      </c>
      <c r="B412" s="155" t="s">
        <v>2725</v>
      </c>
      <c r="C412" s="155" t="s">
        <v>2726</v>
      </c>
      <c r="D412" s="155" t="s">
        <v>1668</v>
      </c>
      <c r="E412" s="155">
        <v>4</v>
      </c>
      <c r="F412" s="155">
        <v>46.7</v>
      </c>
      <c r="G412" s="155">
        <v>193.4</v>
      </c>
      <c r="H412" s="155" t="s">
        <v>1673</v>
      </c>
      <c r="I412" s="155" t="s">
        <v>1951</v>
      </c>
      <c r="J412" s="155"/>
    </row>
    <row r="413" spans="1:10">
      <c r="A413" s="155" t="s">
        <v>2727</v>
      </c>
      <c r="B413" s="155" t="s">
        <v>2728</v>
      </c>
      <c r="C413" s="155" t="s">
        <v>2729</v>
      </c>
      <c r="D413" s="155" t="s">
        <v>1668</v>
      </c>
      <c r="E413" s="155">
        <v>4</v>
      </c>
      <c r="F413" s="155">
        <v>27.6</v>
      </c>
      <c r="G413" s="155">
        <v>336.4</v>
      </c>
      <c r="H413" s="155" t="s">
        <v>1673</v>
      </c>
      <c r="I413" s="155" t="s">
        <v>1951</v>
      </c>
      <c r="J413" s="155"/>
    </row>
    <row r="414" spans="1:10">
      <c r="A414" s="155" t="s">
        <v>2730</v>
      </c>
      <c r="B414" s="155" t="s">
        <v>2731</v>
      </c>
      <c r="C414" s="155" t="s">
        <v>2732</v>
      </c>
      <c r="D414" s="155" t="s">
        <v>1668</v>
      </c>
      <c r="E414" s="155">
        <v>4</v>
      </c>
      <c r="F414" s="155">
        <v>29.2</v>
      </c>
      <c r="G414" s="155">
        <v>198.8</v>
      </c>
      <c r="H414" s="155" t="s">
        <v>1673</v>
      </c>
      <c r="I414" s="155" t="s">
        <v>1951</v>
      </c>
      <c r="J414" s="155"/>
    </row>
    <row r="415" spans="1:10">
      <c r="A415" s="155" t="s">
        <v>2733</v>
      </c>
      <c r="B415" s="155" t="s">
        <v>2734</v>
      </c>
      <c r="C415" s="155" t="s">
        <v>2735</v>
      </c>
      <c r="D415" s="155" t="s">
        <v>1668</v>
      </c>
      <c r="E415" s="155">
        <v>4</v>
      </c>
      <c r="F415" s="155"/>
      <c r="G415" s="155"/>
      <c r="H415" s="155" t="s">
        <v>1672</v>
      </c>
      <c r="I415" s="155" t="s">
        <v>159</v>
      </c>
      <c r="J415" s="155"/>
    </row>
    <row r="416" spans="1:10">
      <c r="A416" s="155" t="s">
        <v>2736</v>
      </c>
      <c r="B416" s="155" t="s">
        <v>2737</v>
      </c>
      <c r="C416" s="155" t="s">
        <v>2738</v>
      </c>
      <c r="D416" s="155" t="s">
        <v>1668</v>
      </c>
      <c r="E416" s="155">
        <v>2</v>
      </c>
      <c r="F416" s="155"/>
      <c r="G416" s="155"/>
      <c r="H416" s="155" t="s">
        <v>1672</v>
      </c>
      <c r="I416" s="155" t="s">
        <v>159</v>
      </c>
      <c r="J416" s="155"/>
    </row>
    <row r="417" spans="1:10">
      <c r="A417" s="155" t="s">
        <v>2739</v>
      </c>
      <c r="B417" s="155" t="s">
        <v>2740</v>
      </c>
      <c r="C417" s="155" t="s">
        <v>2741</v>
      </c>
      <c r="D417" s="155" t="s">
        <v>1668</v>
      </c>
      <c r="E417" s="155">
        <v>4</v>
      </c>
      <c r="F417" s="155"/>
      <c r="G417" s="155"/>
      <c r="H417" s="155" t="s">
        <v>1672</v>
      </c>
      <c r="I417" s="155" t="s">
        <v>159</v>
      </c>
      <c r="J417" s="155"/>
    </row>
    <row r="418" spans="1:10">
      <c r="A418" s="155" t="s">
        <v>2742</v>
      </c>
      <c r="B418" s="155" t="s">
        <v>2743</v>
      </c>
      <c r="C418" s="155" t="s">
        <v>2744</v>
      </c>
      <c r="D418" s="155" t="s">
        <v>1668</v>
      </c>
      <c r="E418" s="155">
        <v>4</v>
      </c>
      <c r="F418" s="155">
        <v>33.5</v>
      </c>
      <c r="G418" s="155">
        <v>167.4</v>
      </c>
      <c r="H418" s="155" t="s">
        <v>1673</v>
      </c>
      <c r="I418" s="155" t="s">
        <v>159</v>
      </c>
      <c r="J418" s="155"/>
    </row>
    <row r="419" spans="1:10">
      <c r="A419" s="155" t="s">
        <v>2745</v>
      </c>
      <c r="B419" s="155" t="s">
        <v>2746</v>
      </c>
      <c r="C419" s="155" t="s">
        <v>2747</v>
      </c>
      <c r="D419" s="155" t="s">
        <v>1668</v>
      </c>
      <c r="E419" s="155">
        <v>4</v>
      </c>
      <c r="F419" s="155">
        <v>8.5</v>
      </c>
      <c r="G419" s="155">
        <v>93.8</v>
      </c>
      <c r="H419" s="155" t="s">
        <v>1673</v>
      </c>
      <c r="I419" s="155" t="s">
        <v>159</v>
      </c>
      <c r="J419" s="155"/>
    </row>
    <row r="420" spans="1:10">
      <c r="A420" s="155" t="s">
        <v>2748</v>
      </c>
      <c r="B420" s="155" t="s">
        <v>2749</v>
      </c>
      <c r="C420" s="155" t="s">
        <v>2750</v>
      </c>
      <c r="D420" s="155" t="s">
        <v>1668</v>
      </c>
      <c r="E420" s="155">
        <v>4</v>
      </c>
      <c r="F420" s="155">
        <v>0.3</v>
      </c>
      <c r="G420" s="155">
        <v>311.3</v>
      </c>
      <c r="H420" s="155" t="s">
        <v>1673</v>
      </c>
      <c r="I420" s="155" t="s">
        <v>147</v>
      </c>
      <c r="J420" s="155"/>
    </row>
    <row r="421" spans="1:10">
      <c r="A421" s="155" t="s">
        <v>2751</v>
      </c>
      <c r="B421" s="155" t="s">
        <v>2752</v>
      </c>
      <c r="C421" s="155" t="s">
        <v>2753</v>
      </c>
      <c r="D421" s="155" t="s">
        <v>1668</v>
      </c>
      <c r="E421" s="155">
        <v>6</v>
      </c>
      <c r="F421" s="155"/>
      <c r="G421" s="155"/>
      <c r="H421" s="155" t="s">
        <v>1672</v>
      </c>
      <c r="I421" s="155" t="s">
        <v>147</v>
      </c>
      <c r="J421" s="155"/>
    </row>
    <row r="422" spans="1:10">
      <c r="A422" s="155" t="s">
        <v>2754</v>
      </c>
      <c r="B422" s="155" t="s">
        <v>2755</v>
      </c>
      <c r="C422" s="155" t="s">
        <v>2756</v>
      </c>
      <c r="D422" s="155" t="s">
        <v>1668</v>
      </c>
      <c r="E422" s="155">
        <v>6</v>
      </c>
      <c r="F422" s="155"/>
      <c r="G422" s="155"/>
      <c r="H422" s="155" t="s">
        <v>1672</v>
      </c>
      <c r="I422" s="155" t="s">
        <v>147</v>
      </c>
      <c r="J422" s="155"/>
    </row>
    <row r="423" spans="1:10">
      <c r="A423" s="155" t="s">
        <v>2757</v>
      </c>
      <c r="B423" s="155" t="s">
        <v>2758</v>
      </c>
      <c r="C423" s="155" t="s">
        <v>2759</v>
      </c>
      <c r="D423" s="155" t="s">
        <v>1668</v>
      </c>
      <c r="E423" s="155">
        <v>2</v>
      </c>
      <c r="F423" s="155"/>
      <c r="G423" s="155"/>
      <c r="H423" s="155" t="s">
        <v>1672</v>
      </c>
      <c r="I423" s="155" t="s">
        <v>159</v>
      </c>
      <c r="J423" s="155"/>
    </row>
    <row r="424" spans="1:10">
      <c r="A424" s="155" t="s">
        <v>2760</v>
      </c>
      <c r="B424" s="155" t="s">
        <v>2761</v>
      </c>
      <c r="C424" s="155" t="s">
        <v>714</v>
      </c>
      <c r="D424" s="155" t="s">
        <v>1668</v>
      </c>
      <c r="E424" s="155">
        <v>2</v>
      </c>
      <c r="F424" s="155"/>
      <c r="G424" s="155"/>
      <c r="H424" s="155" t="s">
        <v>1672</v>
      </c>
      <c r="I424" s="155" t="s">
        <v>360</v>
      </c>
      <c r="J424" s="155"/>
    </row>
    <row r="425" spans="1:10">
      <c r="A425" s="155" t="s">
        <v>2762</v>
      </c>
      <c r="B425" s="155" t="s">
        <v>2763</v>
      </c>
      <c r="C425" s="155" t="s">
        <v>2764</v>
      </c>
      <c r="D425" s="155" t="s">
        <v>1668</v>
      </c>
      <c r="E425" s="155"/>
      <c r="F425" s="155"/>
      <c r="G425" s="155"/>
      <c r="H425" s="155" t="s">
        <v>1672</v>
      </c>
      <c r="I425" s="155" t="s">
        <v>2684</v>
      </c>
      <c r="J425" s="155"/>
    </row>
    <row r="426" spans="1:10">
      <c r="A426" s="155" t="s">
        <v>2765</v>
      </c>
      <c r="B426" s="155" t="s">
        <v>2766</v>
      </c>
      <c r="C426" s="155" t="s">
        <v>2767</v>
      </c>
      <c r="D426" s="155" t="s">
        <v>1668</v>
      </c>
      <c r="E426" s="155">
        <v>8</v>
      </c>
      <c r="F426" s="155">
        <v>27.5</v>
      </c>
      <c r="G426" s="155">
        <v>46.6</v>
      </c>
      <c r="H426" s="155" t="s">
        <v>1673</v>
      </c>
      <c r="I426" s="155" t="s">
        <v>2684</v>
      </c>
      <c r="J426" s="155"/>
    </row>
    <row r="427" spans="1:10">
      <c r="A427" s="155" t="s">
        <v>2768</v>
      </c>
      <c r="B427" s="155" t="s">
        <v>2769</v>
      </c>
      <c r="C427" s="155" t="s">
        <v>2770</v>
      </c>
      <c r="D427" s="155" t="s">
        <v>1668</v>
      </c>
      <c r="E427" s="155">
        <v>4</v>
      </c>
      <c r="F427" s="155">
        <v>2.7</v>
      </c>
      <c r="G427" s="155">
        <v>298.39999999999998</v>
      </c>
      <c r="H427" s="155" t="s">
        <v>1673</v>
      </c>
      <c r="I427" s="155" t="s">
        <v>2684</v>
      </c>
      <c r="J427" s="155"/>
    </row>
    <row r="428" spans="1:10">
      <c r="A428" s="155" t="s">
        <v>2771</v>
      </c>
      <c r="B428" s="155" t="s">
        <v>2772</v>
      </c>
      <c r="C428" s="155" t="s">
        <v>2773</v>
      </c>
      <c r="D428" s="155" t="s">
        <v>1668</v>
      </c>
      <c r="E428" s="155">
        <v>12</v>
      </c>
      <c r="F428" s="155">
        <v>24</v>
      </c>
      <c r="G428" s="155">
        <v>344.4</v>
      </c>
      <c r="H428" s="155" t="s">
        <v>1673</v>
      </c>
      <c r="I428" s="155" t="s">
        <v>2774</v>
      </c>
      <c r="J428" s="155"/>
    </row>
    <row r="429" spans="1:10">
      <c r="A429" s="155" t="s">
        <v>2775</v>
      </c>
      <c r="B429" s="155" t="s">
        <v>2776</v>
      </c>
      <c r="C429" s="155" t="s">
        <v>2777</v>
      </c>
      <c r="D429" s="155" t="s">
        <v>1668</v>
      </c>
      <c r="E429" s="155">
        <v>8</v>
      </c>
      <c r="F429" s="155">
        <v>22.8</v>
      </c>
      <c r="G429" s="155">
        <v>344.4</v>
      </c>
      <c r="H429" s="155" t="s">
        <v>1673</v>
      </c>
      <c r="I429" s="155" t="s">
        <v>2774</v>
      </c>
      <c r="J429" s="155"/>
    </row>
    <row r="430" spans="1:10">
      <c r="A430" s="155" t="s">
        <v>2778</v>
      </c>
      <c r="B430" s="155" t="s">
        <v>2779</v>
      </c>
      <c r="C430" s="155" t="s">
        <v>722</v>
      </c>
      <c r="D430" s="155" t="s">
        <v>1668</v>
      </c>
      <c r="E430" s="155"/>
      <c r="F430" s="155">
        <v>12.5</v>
      </c>
      <c r="G430" s="155">
        <v>231.9</v>
      </c>
      <c r="H430" s="155" t="s">
        <v>1673</v>
      </c>
      <c r="I430" s="155" t="s">
        <v>227</v>
      </c>
      <c r="J430" s="155"/>
    </row>
    <row r="431" spans="1:10">
      <c r="A431" s="155" t="s">
        <v>2780</v>
      </c>
      <c r="B431" s="155" t="s">
        <v>2781</v>
      </c>
      <c r="C431" s="155" t="s">
        <v>723</v>
      </c>
      <c r="D431" s="155" t="s">
        <v>1668</v>
      </c>
      <c r="E431" s="155">
        <v>1</v>
      </c>
      <c r="F431" s="155"/>
      <c r="G431" s="155"/>
      <c r="H431" s="155" t="s">
        <v>1672</v>
      </c>
      <c r="I431" s="155" t="s">
        <v>227</v>
      </c>
      <c r="J431" s="155"/>
    </row>
    <row r="432" spans="1:10">
      <c r="A432" s="155" t="s">
        <v>2782</v>
      </c>
      <c r="B432" s="155" t="s">
        <v>2783</v>
      </c>
      <c r="C432" s="155" t="s">
        <v>724</v>
      </c>
      <c r="D432" s="155" t="s">
        <v>1668</v>
      </c>
      <c r="E432" s="155"/>
      <c r="F432" s="155"/>
      <c r="G432" s="155"/>
      <c r="H432" s="155" t="s">
        <v>1672</v>
      </c>
      <c r="I432" s="155" t="s">
        <v>259</v>
      </c>
      <c r="J432" s="155"/>
    </row>
    <row r="433" spans="1:10">
      <c r="A433" s="155" t="s">
        <v>2784</v>
      </c>
      <c r="B433" s="155" t="s">
        <v>2785</v>
      </c>
      <c r="C433" s="155" t="s">
        <v>728</v>
      </c>
      <c r="D433" s="155" t="s">
        <v>1668</v>
      </c>
      <c r="E433" s="155">
        <v>6.5</v>
      </c>
      <c r="F433" s="155">
        <v>6.5</v>
      </c>
      <c r="G433" s="155">
        <v>287.10000000000002</v>
      </c>
      <c r="H433" s="155" t="s">
        <v>1673</v>
      </c>
      <c r="I433" s="155" t="s">
        <v>360</v>
      </c>
      <c r="J433" s="155"/>
    </row>
    <row r="434" spans="1:10">
      <c r="A434" s="155" t="s">
        <v>2786</v>
      </c>
      <c r="B434" s="155" t="s">
        <v>2787</v>
      </c>
      <c r="C434" s="155" t="s">
        <v>2788</v>
      </c>
      <c r="D434" s="155" t="s">
        <v>1668</v>
      </c>
      <c r="E434" s="155">
        <v>2</v>
      </c>
      <c r="F434" s="155">
        <v>1.7</v>
      </c>
      <c r="G434" s="155">
        <v>34.6</v>
      </c>
      <c r="H434" s="155" t="s">
        <v>1673</v>
      </c>
      <c r="I434" s="155" t="s">
        <v>271</v>
      </c>
      <c r="J434" s="155" t="s">
        <v>2339</v>
      </c>
    </row>
    <row r="435" spans="1:10">
      <c r="A435" s="155" t="s">
        <v>2789</v>
      </c>
      <c r="B435" s="155" t="s">
        <v>2790</v>
      </c>
      <c r="C435" s="155" t="s">
        <v>2791</v>
      </c>
      <c r="D435" s="155" t="s">
        <v>1668</v>
      </c>
      <c r="E435" s="155">
        <v>2</v>
      </c>
      <c r="F435" s="155">
        <v>13.3</v>
      </c>
      <c r="G435" s="155">
        <v>36</v>
      </c>
      <c r="H435" s="155" t="s">
        <v>1673</v>
      </c>
      <c r="I435" s="155" t="s">
        <v>271</v>
      </c>
      <c r="J435" s="155" t="s">
        <v>2339</v>
      </c>
    </row>
    <row r="436" spans="1:10">
      <c r="A436" s="155" t="s">
        <v>2792</v>
      </c>
      <c r="B436" s="155" t="s">
        <v>2793</v>
      </c>
      <c r="C436" s="155" t="s">
        <v>2794</v>
      </c>
      <c r="D436" s="155" t="s">
        <v>1668</v>
      </c>
      <c r="E436" s="155">
        <v>2.2000000000000002</v>
      </c>
      <c r="F436" s="155">
        <v>5.5</v>
      </c>
      <c r="G436" s="155">
        <v>106.4</v>
      </c>
      <c r="H436" s="155" t="s">
        <v>1673</v>
      </c>
      <c r="I436" s="155" t="s">
        <v>2158</v>
      </c>
      <c r="J436" s="155" t="s">
        <v>1830</v>
      </c>
    </row>
    <row r="437" spans="1:10">
      <c r="A437" s="155" t="s">
        <v>2795</v>
      </c>
      <c r="B437" s="155" t="s">
        <v>2796</v>
      </c>
      <c r="C437" s="155" t="s">
        <v>2797</v>
      </c>
      <c r="D437" s="155" t="s">
        <v>1668</v>
      </c>
      <c r="E437" s="155">
        <v>2.2000000000000002</v>
      </c>
      <c r="F437" s="155">
        <v>8</v>
      </c>
      <c r="G437" s="155">
        <v>105.9</v>
      </c>
      <c r="H437" s="155" t="s">
        <v>1673</v>
      </c>
      <c r="I437" s="155" t="s">
        <v>2158</v>
      </c>
      <c r="J437" s="155" t="s">
        <v>1830</v>
      </c>
    </row>
    <row r="438" spans="1:10">
      <c r="A438" s="155" t="s">
        <v>2798</v>
      </c>
      <c r="B438" s="155" t="s">
        <v>1068</v>
      </c>
      <c r="C438" s="155" t="s">
        <v>729</v>
      </c>
      <c r="D438" s="155" t="s">
        <v>1671</v>
      </c>
      <c r="E438" s="155">
        <v>4</v>
      </c>
      <c r="F438" s="155">
        <v>3.5</v>
      </c>
      <c r="G438" s="155">
        <v>763.1</v>
      </c>
      <c r="H438" s="155" t="s">
        <v>1673</v>
      </c>
      <c r="I438" s="155" t="s">
        <v>2799</v>
      </c>
      <c r="J438" s="155"/>
    </row>
    <row r="439" spans="1:10">
      <c r="A439" s="155" t="s">
        <v>2800</v>
      </c>
      <c r="B439" s="155" t="s">
        <v>2801</v>
      </c>
      <c r="C439" s="155" t="s">
        <v>2802</v>
      </c>
      <c r="D439" s="155" t="s">
        <v>1671</v>
      </c>
      <c r="E439" s="155"/>
      <c r="F439" s="155"/>
      <c r="G439" s="155">
        <v>547.1</v>
      </c>
      <c r="H439" s="155" t="s">
        <v>1673</v>
      </c>
      <c r="I439" s="155" t="s">
        <v>20</v>
      </c>
      <c r="J439" s="155"/>
    </row>
    <row r="440" spans="1:10">
      <c r="A440" s="155" t="s">
        <v>2803</v>
      </c>
      <c r="B440" s="155" t="s">
        <v>2804</v>
      </c>
      <c r="C440" s="155" t="s">
        <v>2805</v>
      </c>
      <c r="D440" s="155" t="s">
        <v>1671</v>
      </c>
      <c r="E440" s="155"/>
      <c r="F440" s="155"/>
      <c r="G440" s="155">
        <v>547.1</v>
      </c>
      <c r="H440" s="155" t="s">
        <v>1673</v>
      </c>
      <c r="I440" s="155" t="s">
        <v>20</v>
      </c>
      <c r="J440" s="155"/>
    </row>
    <row r="441" spans="1:10">
      <c r="A441" s="155" t="s">
        <v>2806</v>
      </c>
      <c r="B441" s="155" t="s">
        <v>2807</v>
      </c>
      <c r="C441" s="155" t="s">
        <v>2808</v>
      </c>
      <c r="D441" s="155" t="s">
        <v>1671</v>
      </c>
      <c r="E441" s="155"/>
      <c r="F441" s="155"/>
      <c r="G441" s="155">
        <v>547.20000000000005</v>
      </c>
      <c r="H441" s="155" t="s">
        <v>1673</v>
      </c>
      <c r="I441" s="155" t="s">
        <v>20</v>
      </c>
      <c r="J441" s="155"/>
    </row>
    <row r="442" spans="1:10">
      <c r="A442" s="155" t="s">
        <v>2809</v>
      </c>
      <c r="B442" s="155" t="s">
        <v>2810</v>
      </c>
      <c r="C442" s="155" t="s">
        <v>2811</v>
      </c>
      <c r="D442" s="155" t="s">
        <v>1671</v>
      </c>
      <c r="E442" s="155"/>
      <c r="F442" s="155">
        <v>1</v>
      </c>
      <c r="G442" s="155">
        <v>548.29999999999995</v>
      </c>
      <c r="H442" s="155" t="s">
        <v>1673</v>
      </c>
      <c r="I442" s="155" t="s">
        <v>20</v>
      </c>
      <c r="J442" s="155"/>
    </row>
    <row r="443" spans="1:10">
      <c r="A443" s="155" t="s">
        <v>2812</v>
      </c>
      <c r="B443" s="155" t="s">
        <v>2813</v>
      </c>
      <c r="C443" s="155" t="s">
        <v>2814</v>
      </c>
      <c r="D443" s="155" t="s">
        <v>1671</v>
      </c>
      <c r="E443" s="155"/>
      <c r="F443" s="155">
        <v>1</v>
      </c>
      <c r="G443" s="155">
        <v>548.4</v>
      </c>
      <c r="H443" s="155" t="s">
        <v>1673</v>
      </c>
      <c r="I443" s="155" t="s">
        <v>20</v>
      </c>
      <c r="J443" s="155"/>
    </row>
    <row r="444" spans="1:10">
      <c r="A444" s="155" t="s">
        <v>2815</v>
      </c>
      <c r="B444" s="155" t="s">
        <v>2816</v>
      </c>
      <c r="C444" s="155" t="s">
        <v>2817</v>
      </c>
      <c r="D444" s="155" t="s">
        <v>1671</v>
      </c>
      <c r="E444" s="155"/>
      <c r="F444" s="155">
        <v>1</v>
      </c>
      <c r="G444" s="155">
        <v>547.6</v>
      </c>
      <c r="H444" s="155" t="s">
        <v>1673</v>
      </c>
      <c r="I444" s="155" t="s">
        <v>20</v>
      </c>
      <c r="J444" s="155"/>
    </row>
    <row r="445" spans="1:10">
      <c r="A445" s="155" t="s">
        <v>2818</v>
      </c>
      <c r="B445" s="155" t="s">
        <v>2819</v>
      </c>
      <c r="C445" s="155" t="s">
        <v>2820</v>
      </c>
      <c r="D445" s="155" t="s">
        <v>1671</v>
      </c>
      <c r="E445" s="155"/>
      <c r="F445" s="155">
        <v>1</v>
      </c>
      <c r="G445" s="155">
        <v>548.6</v>
      </c>
      <c r="H445" s="155" t="s">
        <v>1673</v>
      </c>
      <c r="I445" s="155" t="s">
        <v>20</v>
      </c>
      <c r="J445" s="155"/>
    </row>
    <row r="446" spans="1:10">
      <c r="A446" s="155" t="s">
        <v>2821</v>
      </c>
      <c r="B446" s="155" t="s">
        <v>2822</v>
      </c>
      <c r="C446" s="155" t="s">
        <v>2823</v>
      </c>
      <c r="D446" s="155" t="s">
        <v>1897</v>
      </c>
      <c r="E446" s="155">
        <v>2.5</v>
      </c>
      <c r="F446" s="155"/>
      <c r="G446" s="155"/>
      <c r="H446" s="155" t="s">
        <v>1672</v>
      </c>
      <c r="I446" s="155" t="s">
        <v>20</v>
      </c>
      <c r="J446" s="155"/>
    </row>
    <row r="447" spans="1:10">
      <c r="A447" s="155" t="s">
        <v>2824</v>
      </c>
      <c r="B447" s="155" t="s">
        <v>2825</v>
      </c>
      <c r="C447" s="155" t="s">
        <v>2826</v>
      </c>
      <c r="D447" s="155" t="s">
        <v>2827</v>
      </c>
      <c r="E447" s="155">
        <v>2</v>
      </c>
      <c r="F447" s="155"/>
      <c r="G447" s="155"/>
      <c r="H447" s="155" t="s">
        <v>1672</v>
      </c>
      <c r="I447" s="155" t="s">
        <v>2453</v>
      </c>
      <c r="J447" s="155"/>
    </row>
    <row r="448" spans="1:10">
      <c r="A448" s="155" t="s">
        <v>2828</v>
      </c>
      <c r="B448" s="155" t="s">
        <v>2829</v>
      </c>
      <c r="C448" s="155" t="s">
        <v>2830</v>
      </c>
      <c r="D448" s="155" t="s">
        <v>2452</v>
      </c>
      <c r="E448" s="155">
        <v>4.3</v>
      </c>
      <c r="F448" s="155">
        <v>6</v>
      </c>
      <c r="G448" s="155">
        <v>140.69999999999999</v>
      </c>
      <c r="H448" s="155" t="s">
        <v>1673</v>
      </c>
      <c r="I448" s="155" t="s">
        <v>105</v>
      </c>
      <c r="J448" s="155"/>
    </row>
    <row r="449" spans="1:10">
      <c r="A449" s="155" t="s">
        <v>2831</v>
      </c>
      <c r="B449" s="155" t="s">
        <v>2832</v>
      </c>
      <c r="C449" s="155" t="s">
        <v>2833</v>
      </c>
      <c r="D449" s="155" t="s">
        <v>2452</v>
      </c>
      <c r="E449" s="155">
        <v>4.7</v>
      </c>
      <c r="F449" s="155">
        <v>3.8</v>
      </c>
      <c r="G449" s="155">
        <v>186.4</v>
      </c>
      <c r="H449" s="155" t="s">
        <v>1673</v>
      </c>
      <c r="I449" s="155" t="s">
        <v>105</v>
      </c>
      <c r="J449" s="155"/>
    </row>
    <row r="450" spans="1:10">
      <c r="A450" s="155" t="s">
        <v>2834</v>
      </c>
      <c r="B450" s="155" t="s">
        <v>2835</v>
      </c>
      <c r="C450" s="155" t="s">
        <v>2836</v>
      </c>
      <c r="D450" s="155" t="s">
        <v>1671</v>
      </c>
      <c r="E450" s="155"/>
      <c r="F450" s="155"/>
      <c r="G450" s="155"/>
      <c r="H450" s="155" t="s">
        <v>1672</v>
      </c>
      <c r="I450" s="155" t="s">
        <v>2837</v>
      </c>
      <c r="J450" s="155"/>
    </row>
    <row r="451" spans="1:10">
      <c r="A451" s="155" t="s">
        <v>2838</v>
      </c>
      <c r="B451" s="155" t="s">
        <v>2839</v>
      </c>
      <c r="C451" s="155" t="s">
        <v>730</v>
      </c>
      <c r="D451" s="155" t="s">
        <v>2827</v>
      </c>
      <c r="E451" s="155">
        <v>1.5</v>
      </c>
      <c r="F451" s="155">
        <v>0.4</v>
      </c>
      <c r="G451" s="155">
        <v>187.4</v>
      </c>
      <c r="H451" s="155" t="s">
        <v>1673</v>
      </c>
      <c r="I451" s="155" t="s">
        <v>69</v>
      </c>
      <c r="J451" s="155"/>
    </row>
    <row r="452" spans="1:10">
      <c r="A452" s="155" t="s">
        <v>2840</v>
      </c>
      <c r="B452" s="155" t="s">
        <v>2841</v>
      </c>
      <c r="C452" s="155" t="s">
        <v>2842</v>
      </c>
      <c r="D452" s="155" t="s">
        <v>1897</v>
      </c>
      <c r="E452" s="155">
        <v>0.5</v>
      </c>
      <c r="F452" s="155"/>
      <c r="G452" s="155"/>
      <c r="H452" s="155" t="s">
        <v>1672</v>
      </c>
      <c r="I452" s="155" t="s">
        <v>45</v>
      </c>
      <c r="J452" s="155"/>
    </row>
    <row r="453" spans="1:10">
      <c r="A453" s="155" t="s">
        <v>2843</v>
      </c>
      <c r="B453" s="155" t="s">
        <v>2844</v>
      </c>
      <c r="C453" s="155" t="s">
        <v>2845</v>
      </c>
      <c r="D453" s="155" t="s">
        <v>2827</v>
      </c>
      <c r="E453" s="155">
        <v>1</v>
      </c>
      <c r="F453" s="155"/>
      <c r="G453" s="155"/>
      <c r="H453" s="155" t="s">
        <v>1672</v>
      </c>
      <c r="I453" s="155" t="s">
        <v>610</v>
      </c>
      <c r="J453" s="155"/>
    </row>
    <row r="454" spans="1:10">
      <c r="A454" s="155" t="s">
        <v>2846</v>
      </c>
      <c r="B454" s="155" t="s">
        <v>2847</v>
      </c>
      <c r="C454" s="155" t="s">
        <v>2848</v>
      </c>
      <c r="D454" s="155" t="s">
        <v>1897</v>
      </c>
      <c r="E454" s="155">
        <v>1.7</v>
      </c>
      <c r="F454" s="155"/>
      <c r="G454" s="155"/>
      <c r="H454" s="155" t="s">
        <v>1672</v>
      </c>
      <c r="I454" s="155" t="s">
        <v>48</v>
      </c>
      <c r="J454" s="155"/>
    </row>
    <row r="455" spans="1:10">
      <c r="A455" s="155" t="s">
        <v>2849</v>
      </c>
      <c r="B455" s="155" t="s">
        <v>2850</v>
      </c>
      <c r="C455" s="155" t="s">
        <v>2851</v>
      </c>
      <c r="D455" s="155" t="s">
        <v>2461</v>
      </c>
      <c r="E455" s="155">
        <v>31</v>
      </c>
      <c r="F455" s="155"/>
      <c r="G455" s="155"/>
      <c r="H455" s="155" t="s">
        <v>1672</v>
      </c>
      <c r="I455" s="155" t="s">
        <v>72</v>
      </c>
      <c r="J455" s="155"/>
    </row>
    <row r="456" spans="1:10">
      <c r="A456" s="155" t="s">
        <v>2852</v>
      </c>
      <c r="B456" s="155" t="s">
        <v>2853</v>
      </c>
      <c r="C456" s="155" t="s">
        <v>2854</v>
      </c>
      <c r="D456" s="155" t="s">
        <v>2489</v>
      </c>
      <c r="E456" s="155">
        <v>4</v>
      </c>
      <c r="F456" s="155"/>
      <c r="G456" s="155"/>
      <c r="H456" s="155" t="s">
        <v>1672</v>
      </c>
      <c r="I456" s="155" t="s">
        <v>72</v>
      </c>
      <c r="J456" s="155"/>
    </row>
    <row r="457" spans="1:10">
      <c r="A457" s="155" t="s">
        <v>2855</v>
      </c>
      <c r="B457" s="155" t="s">
        <v>2856</v>
      </c>
      <c r="C457" s="155" t="s">
        <v>732</v>
      </c>
      <c r="D457" s="155" t="s">
        <v>1668</v>
      </c>
      <c r="E457" s="155">
        <v>24</v>
      </c>
      <c r="F457" s="155"/>
      <c r="G457" s="155"/>
      <c r="H457" s="155" t="s">
        <v>1672</v>
      </c>
      <c r="I457" s="155" t="s">
        <v>360</v>
      </c>
      <c r="J457" s="155"/>
    </row>
    <row r="458" spans="1:10">
      <c r="A458" s="155" t="s">
        <v>2857</v>
      </c>
      <c r="B458" s="155" t="s">
        <v>2858</v>
      </c>
      <c r="C458" s="155" t="s">
        <v>2859</v>
      </c>
      <c r="D458" s="155" t="s">
        <v>1668</v>
      </c>
      <c r="E458" s="155">
        <v>8</v>
      </c>
      <c r="F458" s="155">
        <v>8.5</v>
      </c>
      <c r="G458" s="155">
        <v>324.89999999999998</v>
      </c>
      <c r="H458" s="155" t="s">
        <v>1673</v>
      </c>
      <c r="I458" s="155" t="s">
        <v>38</v>
      </c>
      <c r="J458" s="155"/>
    </row>
    <row r="459" spans="1:10">
      <c r="A459" s="155" t="s">
        <v>2860</v>
      </c>
      <c r="B459" s="155" t="s">
        <v>2861</v>
      </c>
      <c r="C459" s="155" t="s">
        <v>2862</v>
      </c>
      <c r="D459" s="155" t="s">
        <v>1668</v>
      </c>
      <c r="E459" s="155">
        <v>8</v>
      </c>
      <c r="F459" s="155">
        <v>5</v>
      </c>
      <c r="G459" s="155">
        <v>328.4</v>
      </c>
      <c r="H459" s="155" t="s">
        <v>1673</v>
      </c>
      <c r="I459" s="155" t="s">
        <v>38</v>
      </c>
      <c r="J459" s="155"/>
    </row>
    <row r="460" spans="1:10">
      <c r="A460" s="155" t="s">
        <v>2863</v>
      </c>
      <c r="B460" s="155" t="s">
        <v>2864</v>
      </c>
      <c r="C460" s="155" t="s">
        <v>2865</v>
      </c>
      <c r="D460" s="155" t="s">
        <v>1668</v>
      </c>
      <c r="E460" s="155"/>
      <c r="F460" s="155"/>
      <c r="G460" s="155"/>
      <c r="H460" s="155" t="s">
        <v>1672</v>
      </c>
      <c r="I460" s="155" t="s">
        <v>38</v>
      </c>
      <c r="J460" s="155"/>
    </row>
    <row r="461" spans="1:10">
      <c r="A461" s="155" t="s">
        <v>2866</v>
      </c>
      <c r="B461" s="155" t="s">
        <v>2867</v>
      </c>
      <c r="C461" s="155" t="s">
        <v>2868</v>
      </c>
      <c r="D461" s="155" t="s">
        <v>1668</v>
      </c>
      <c r="E461" s="155">
        <v>4</v>
      </c>
      <c r="F461" s="155"/>
      <c r="G461" s="155"/>
      <c r="H461" s="155" t="s">
        <v>1672</v>
      </c>
      <c r="I461" s="155" t="s">
        <v>38</v>
      </c>
      <c r="J461" s="155"/>
    </row>
    <row r="462" spans="1:10">
      <c r="A462" s="155" t="s">
        <v>2869</v>
      </c>
      <c r="B462" s="155" t="s">
        <v>2870</v>
      </c>
      <c r="C462" s="155" t="s">
        <v>2871</v>
      </c>
      <c r="D462" s="155" t="s">
        <v>1668</v>
      </c>
      <c r="E462" s="155">
        <v>4</v>
      </c>
      <c r="F462" s="155"/>
      <c r="G462" s="155"/>
      <c r="H462" s="155" t="s">
        <v>1672</v>
      </c>
      <c r="I462" s="155" t="s">
        <v>38</v>
      </c>
      <c r="J462" s="155"/>
    </row>
    <row r="463" spans="1:10">
      <c r="A463" s="155" t="s">
        <v>2872</v>
      </c>
      <c r="B463" s="155" t="s">
        <v>2873</v>
      </c>
      <c r="C463" s="155" t="s">
        <v>2874</v>
      </c>
      <c r="D463" s="155" t="s">
        <v>1668</v>
      </c>
      <c r="E463" s="155">
        <v>8</v>
      </c>
      <c r="F463" s="155">
        <v>12.5</v>
      </c>
      <c r="G463" s="155">
        <v>232.3</v>
      </c>
      <c r="H463" s="155" t="s">
        <v>1673</v>
      </c>
      <c r="I463" s="155" t="s">
        <v>2684</v>
      </c>
      <c r="J463" s="155"/>
    </row>
    <row r="464" spans="1:10">
      <c r="A464" s="155" t="s">
        <v>2875</v>
      </c>
      <c r="B464" s="155" t="s">
        <v>2876</v>
      </c>
      <c r="C464" s="155" t="s">
        <v>2877</v>
      </c>
      <c r="D464" s="155" t="s">
        <v>1668</v>
      </c>
      <c r="E464" s="155">
        <v>8</v>
      </c>
      <c r="F464" s="155"/>
      <c r="G464" s="155"/>
      <c r="H464" s="155" t="s">
        <v>1672</v>
      </c>
      <c r="I464" s="155" t="s">
        <v>2684</v>
      </c>
      <c r="J464" s="155"/>
    </row>
    <row r="465" spans="1:10">
      <c r="A465" s="155" t="s">
        <v>2878</v>
      </c>
      <c r="B465" s="155" t="s">
        <v>2879</v>
      </c>
      <c r="C465" s="155" t="s">
        <v>2880</v>
      </c>
      <c r="D465" s="155" t="s">
        <v>1668</v>
      </c>
      <c r="E465" s="155"/>
      <c r="F465" s="155"/>
      <c r="G465" s="155"/>
      <c r="H465" s="155" t="s">
        <v>1672</v>
      </c>
      <c r="I465" s="155" t="s">
        <v>38</v>
      </c>
      <c r="J465" s="155"/>
    </row>
    <row r="466" spans="1:10">
      <c r="A466" s="155" t="s">
        <v>2881</v>
      </c>
      <c r="B466" s="155" t="s">
        <v>2882</v>
      </c>
      <c r="C466" s="155" t="s">
        <v>2883</v>
      </c>
      <c r="D466" s="155" t="s">
        <v>1668</v>
      </c>
      <c r="E466" s="155"/>
      <c r="F466" s="155">
        <v>7.2</v>
      </c>
      <c r="G466" s="155">
        <v>312.39999999999998</v>
      </c>
      <c r="H466" s="155" t="s">
        <v>1673</v>
      </c>
      <c r="I466" s="155" t="s">
        <v>2684</v>
      </c>
      <c r="J466" s="155"/>
    </row>
    <row r="467" spans="1:10">
      <c r="A467" s="155" t="s">
        <v>2884</v>
      </c>
      <c r="B467" s="155" t="s">
        <v>2885</v>
      </c>
      <c r="C467" s="155" t="s">
        <v>2886</v>
      </c>
      <c r="D467" s="155" t="s">
        <v>1668</v>
      </c>
      <c r="E467" s="155">
        <v>8</v>
      </c>
      <c r="F467" s="155"/>
      <c r="G467" s="155"/>
      <c r="H467" s="155" t="s">
        <v>1672</v>
      </c>
      <c r="I467" s="155" t="s">
        <v>2684</v>
      </c>
      <c r="J467" s="155"/>
    </row>
    <row r="468" spans="1:10">
      <c r="A468" s="155" t="s">
        <v>2887</v>
      </c>
      <c r="B468" s="155" t="s">
        <v>737</v>
      </c>
      <c r="C468" s="155" t="s">
        <v>738</v>
      </c>
      <c r="D468" s="155" t="s">
        <v>1668</v>
      </c>
      <c r="E468" s="155">
        <v>1.5</v>
      </c>
      <c r="F468" s="155"/>
      <c r="G468" s="155"/>
      <c r="H468" s="155" t="s">
        <v>1672</v>
      </c>
      <c r="I468" s="155" t="s">
        <v>2888</v>
      </c>
      <c r="J468" s="155"/>
    </row>
    <row r="469" spans="1:10">
      <c r="A469" s="155" t="s">
        <v>2889</v>
      </c>
      <c r="B469" s="155" t="s">
        <v>2890</v>
      </c>
      <c r="C469" s="155" t="s">
        <v>739</v>
      </c>
      <c r="D469" s="155" t="s">
        <v>1671</v>
      </c>
      <c r="E469" s="155"/>
      <c r="F469" s="155"/>
      <c r="G469" s="155"/>
      <c r="H469" s="155" t="s">
        <v>1672</v>
      </c>
      <c r="I469" s="155" t="s">
        <v>236</v>
      </c>
      <c r="J469" s="155"/>
    </row>
    <row r="470" spans="1:10">
      <c r="A470" s="155" t="s">
        <v>2891</v>
      </c>
      <c r="B470" s="155" t="s">
        <v>2892</v>
      </c>
      <c r="C470" s="155" t="s">
        <v>740</v>
      </c>
      <c r="D470" s="155" t="s">
        <v>1671</v>
      </c>
      <c r="E470" s="155"/>
      <c r="F470" s="155"/>
      <c r="G470" s="155"/>
      <c r="H470" s="155" t="s">
        <v>1672</v>
      </c>
      <c r="I470" s="155" t="s">
        <v>236</v>
      </c>
      <c r="J470" s="155"/>
    </row>
    <row r="471" spans="1:10">
      <c r="A471" s="155" t="s">
        <v>2893</v>
      </c>
      <c r="B471" s="155" t="s">
        <v>742</v>
      </c>
      <c r="C471" s="155" t="s">
        <v>743</v>
      </c>
      <c r="D471" s="155" t="s">
        <v>1668</v>
      </c>
      <c r="E471" s="155">
        <v>2.8</v>
      </c>
      <c r="F471" s="155"/>
      <c r="G471" s="155"/>
      <c r="H471" s="155" t="s">
        <v>1672</v>
      </c>
      <c r="I471" s="155" t="s">
        <v>2894</v>
      </c>
      <c r="J471" s="155" t="s">
        <v>2895</v>
      </c>
    </row>
    <row r="472" spans="1:10">
      <c r="A472" s="155" t="s">
        <v>2896</v>
      </c>
      <c r="B472" s="155" t="s">
        <v>744</v>
      </c>
      <c r="C472" s="155" t="s">
        <v>745</v>
      </c>
      <c r="D472" s="155" t="s">
        <v>1668</v>
      </c>
      <c r="E472" s="155">
        <v>5.9</v>
      </c>
      <c r="F472" s="155"/>
      <c r="G472" s="155"/>
      <c r="H472" s="155" t="s">
        <v>1672</v>
      </c>
      <c r="I472" s="155" t="s">
        <v>2894</v>
      </c>
      <c r="J472" s="155" t="s">
        <v>2897</v>
      </c>
    </row>
    <row r="473" spans="1:10">
      <c r="A473" s="155" t="s">
        <v>2898</v>
      </c>
      <c r="B473" s="155" t="s">
        <v>2899</v>
      </c>
      <c r="C473" s="155" t="s">
        <v>2900</v>
      </c>
      <c r="D473" s="155" t="s">
        <v>1668</v>
      </c>
      <c r="E473" s="155">
        <v>6</v>
      </c>
      <c r="F473" s="155"/>
      <c r="G473" s="155"/>
      <c r="H473" s="155" t="s">
        <v>1672</v>
      </c>
      <c r="I473" s="155" t="s">
        <v>2684</v>
      </c>
      <c r="J473" s="155"/>
    </row>
    <row r="474" spans="1:10">
      <c r="A474" s="155" t="s">
        <v>2901</v>
      </c>
      <c r="B474" s="155" t="s">
        <v>2902</v>
      </c>
      <c r="C474" s="155" t="s">
        <v>2903</v>
      </c>
      <c r="D474" s="155" t="s">
        <v>1668</v>
      </c>
      <c r="E474" s="155">
        <v>6</v>
      </c>
      <c r="F474" s="155"/>
      <c r="G474" s="155"/>
      <c r="H474" s="155" t="s">
        <v>1672</v>
      </c>
      <c r="I474" s="155" t="s">
        <v>2684</v>
      </c>
      <c r="J474" s="155"/>
    </row>
    <row r="475" spans="1:10">
      <c r="A475" s="155" t="s">
        <v>2904</v>
      </c>
      <c r="B475" s="155" t="s">
        <v>2905</v>
      </c>
      <c r="C475" s="155" t="s">
        <v>2906</v>
      </c>
      <c r="D475" s="155" t="s">
        <v>1668</v>
      </c>
      <c r="E475" s="155">
        <v>6</v>
      </c>
      <c r="F475" s="155"/>
      <c r="G475" s="155"/>
      <c r="H475" s="155" t="s">
        <v>1672</v>
      </c>
      <c r="I475" s="155" t="s">
        <v>2684</v>
      </c>
      <c r="J475" s="155"/>
    </row>
    <row r="476" spans="1:10">
      <c r="A476" s="155" t="s">
        <v>2907</v>
      </c>
      <c r="B476" s="155" t="s">
        <v>2908</v>
      </c>
      <c r="C476" s="155" t="s">
        <v>2909</v>
      </c>
      <c r="D476" s="155" t="s">
        <v>1668</v>
      </c>
      <c r="E476" s="155">
        <v>8</v>
      </c>
      <c r="F476" s="155"/>
      <c r="G476" s="155"/>
      <c r="H476" s="155" t="s">
        <v>1672</v>
      </c>
      <c r="I476" s="155" t="s">
        <v>159</v>
      </c>
      <c r="J476" s="155"/>
    </row>
    <row r="477" spans="1:10">
      <c r="A477" s="155" t="s">
        <v>2910</v>
      </c>
      <c r="B477" s="155" t="s">
        <v>2911</v>
      </c>
      <c r="C477" s="155" t="s">
        <v>2912</v>
      </c>
      <c r="D477" s="155" t="s">
        <v>1668</v>
      </c>
      <c r="E477" s="155">
        <v>8</v>
      </c>
      <c r="F477" s="155">
        <v>0.3</v>
      </c>
      <c r="G477" s="155">
        <v>286.8</v>
      </c>
      <c r="H477" s="155" t="s">
        <v>1673</v>
      </c>
      <c r="I477" s="155" t="s">
        <v>1738</v>
      </c>
      <c r="J477" s="155"/>
    </row>
    <row r="478" spans="1:10">
      <c r="A478" s="155" t="s">
        <v>2913</v>
      </c>
      <c r="B478" s="155" t="s">
        <v>2914</v>
      </c>
      <c r="C478" s="155" t="s">
        <v>747</v>
      </c>
      <c r="D478" s="155" t="s">
        <v>1668</v>
      </c>
      <c r="E478" s="155">
        <v>3</v>
      </c>
      <c r="F478" s="155"/>
      <c r="G478" s="155"/>
      <c r="H478" s="155" t="s">
        <v>1672</v>
      </c>
      <c r="I478" s="155" t="s">
        <v>360</v>
      </c>
      <c r="J478" s="155"/>
    </row>
    <row r="479" spans="1:10">
      <c r="A479" s="155" t="s">
        <v>2915</v>
      </c>
      <c r="B479" s="155" t="s">
        <v>2916</v>
      </c>
      <c r="C479" s="155" t="s">
        <v>750</v>
      </c>
      <c r="D479" s="155" t="s">
        <v>1668</v>
      </c>
      <c r="E479" s="155">
        <v>6</v>
      </c>
      <c r="F479" s="155"/>
      <c r="G479" s="155"/>
      <c r="H479" s="155" t="s">
        <v>1672</v>
      </c>
      <c r="I479" s="155" t="s">
        <v>360</v>
      </c>
      <c r="J479" s="155"/>
    </row>
    <row r="480" spans="1:10">
      <c r="A480" s="155" t="s">
        <v>2917</v>
      </c>
      <c r="B480" s="155" t="s">
        <v>2918</v>
      </c>
      <c r="C480" s="155" t="s">
        <v>754</v>
      </c>
      <c r="D480" s="155" t="s">
        <v>1668</v>
      </c>
      <c r="E480" s="155">
        <v>15</v>
      </c>
      <c r="F480" s="155">
        <v>19.5</v>
      </c>
      <c r="G480" s="155">
        <v>15.5</v>
      </c>
      <c r="H480" s="155" t="s">
        <v>1673</v>
      </c>
      <c r="I480" s="155" t="s">
        <v>360</v>
      </c>
      <c r="J480" s="155"/>
    </row>
    <row r="481" spans="1:10">
      <c r="A481" s="155" t="s">
        <v>2919</v>
      </c>
      <c r="B481" s="155" t="s">
        <v>2920</v>
      </c>
      <c r="C481" s="155" t="s">
        <v>756</v>
      </c>
      <c r="D481" s="155" t="s">
        <v>1668</v>
      </c>
      <c r="E481" s="155">
        <v>8</v>
      </c>
      <c r="F481" s="155">
        <v>0.5</v>
      </c>
      <c r="G481" s="155">
        <v>186.6</v>
      </c>
      <c r="H481" s="155" t="s">
        <v>1673</v>
      </c>
      <c r="I481" s="155" t="s">
        <v>69</v>
      </c>
      <c r="J481" s="155"/>
    </row>
    <row r="482" spans="1:10">
      <c r="A482" s="155" t="s">
        <v>2921</v>
      </c>
      <c r="B482" s="155" t="s">
        <v>2922</v>
      </c>
      <c r="C482" s="155" t="s">
        <v>759</v>
      </c>
      <c r="D482" s="155" t="s">
        <v>1668</v>
      </c>
      <c r="E482" s="155"/>
      <c r="F482" s="155">
        <v>7.5</v>
      </c>
      <c r="G482" s="155">
        <v>347.4</v>
      </c>
      <c r="H482" s="155" t="s">
        <v>1673</v>
      </c>
      <c r="I482" s="155" t="s">
        <v>69</v>
      </c>
      <c r="J482" s="155"/>
    </row>
    <row r="483" spans="1:10">
      <c r="A483" s="155" t="s">
        <v>2923</v>
      </c>
      <c r="B483" s="155" t="s">
        <v>2924</v>
      </c>
      <c r="C483" s="155" t="s">
        <v>760</v>
      </c>
      <c r="D483" s="155" t="s">
        <v>1668</v>
      </c>
      <c r="E483" s="155"/>
      <c r="F483" s="155"/>
      <c r="G483" s="155"/>
      <c r="H483" s="155" t="s">
        <v>1672</v>
      </c>
      <c r="I483" s="155" t="s">
        <v>69</v>
      </c>
      <c r="J483" s="155"/>
    </row>
    <row r="484" spans="1:10">
      <c r="A484" s="155" t="s">
        <v>2925</v>
      </c>
      <c r="B484" s="155" t="s">
        <v>1078</v>
      </c>
      <c r="C484" s="155" t="s">
        <v>761</v>
      </c>
      <c r="D484" s="155" t="s">
        <v>1668</v>
      </c>
      <c r="E484" s="155"/>
      <c r="F484" s="155">
        <v>9.5</v>
      </c>
      <c r="G484" s="155">
        <v>372.5</v>
      </c>
      <c r="H484" s="155" t="s">
        <v>1673</v>
      </c>
      <c r="I484" s="155" t="s">
        <v>69</v>
      </c>
      <c r="J484" s="155"/>
    </row>
    <row r="485" spans="1:10">
      <c r="A485" s="155" t="s">
        <v>2926</v>
      </c>
      <c r="B485" s="155" t="s">
        <v>1072</v>
      </c>
      <c r="C485" s="155" t="s">
        <v>762</v>
      </c>
      <c r="D485" s="155" t="s">
        <v>1668</v>
      </c>
      <c r="E485" s="155"/>
      <c r="F485" s="155">
        <v>1.5</v>
      </c>
      <c r="G485" s="155">
        <v>370.2</v>
      </c>
      <c r="H485" s="155" t="s">
        <v>1673</v>
      </c>
      <c r="I485" s="155" t="s">
        <v>75</v>
      </c>
      <c r="J485" s="155"/>
    </row>
    <row r="486" spans="1:10">
      <c r="A486" s="155" t="s">
        <v>2927</v>
      </c>
      <c r="B486" s="155" t="s">
        <v>1074</v>
      </c>
      <c r="C486" s="155" t="s">
        <v>763</v>
      </c>
      <c r="D486" s="155" t="s">
        <v>1668</v>
      </c>
      <c r="E486" s="155"/>
      <c r="F486" s="155">
        <v>2</v>
      </c>
      <c r="G486" s="155">
        <v>370.4</v>
      </c>
      <c r="H486" s="155" t="s">
        <v>1673</v>
      </c>
      <c r="I486" s="155" t="s">
        <v>75</v>
      </c>
      <c r="J486" s="155"/>
    </row>
    <row r="487" spans="1:10">
      <c r="A487" s="155" t="s">
        <v>2928</v>
      </c>
      <c r="B487" s="155" t="s">
        <v>1152</v>
      </c>
      <c r="C487" s="155" t="s">
        <v>764</v>
      </c>
      <c r="D487" s="155" t="s">
        <v>1668</v>
      </c>
      <c r="E487" s="155"/>
      <c r="F487" s="155"/>
      <c r="G487" s="155"/>
      <c r="H487" s="155" t="s">
        <v>1672</v>
      </c>
      <c r="I487" s="155" t="s">
        <v>75</v>
      </c>
      <c r="J487" s="155"/>
    </row>
    <row r="488" spans="1:10">
      <c r="A488" s="155" t="s">
        <v>2929</v>
      </c>
      <c r="B488" s="155" t="s">
        <v>1076</v>
      </c>
      <c r="C488" s="155" t="s">
        <v>765</v>
      </c>
      <c r="D488" s="155" t="s">
        <v>1668</v>
      </c>
      <c r="E488" s="155"/>
      <c r="F488" s="155">
        <v>4</v>
      </c>
      <c r="G488" s="155">
        <v>370.8</v>
      </c>
      <c r="H488" s="155" t="s">
        <v>1673</v>
      </c>
      <c r="I488" s="155" t="s">
        <v>75</v>
      </c>
      <c r="J488" s="155"/>
    </row>
    <row r="489" spans="1:10">
      <c r="A489" s="155" t="s">
        <v>2930</v>
      </c>
      <c r="B489" s="155" t="s">
        <v>2931</v>
      </c>
      <c r="C489" s="155" t="s">
        <v>2932</v>
      </c>
      <c r="D489" s="155" t="s">
        <v>1668</v>
      </c>
      <c r="E489" s="155">
        <v>4</v>
      </c>
      <c r="F489" s="155">
        <v>1</v>
      </c>
      <c r="G489" s="155">
        <v>279.39999999999998</v>
      </c>
      <c r="H489" s="155" t="s">
        <v>1673</v>
      </c>
      <c r="I489" s="155" t="s">
        <v>2774</v>
      </c>
      <c r="J489" s="155"/>
    </row>
    <row r="490" spans="1:10">
      <c r="A490" s="155" t="s">
        <v>2933</v>
      </c>
      <c r="B490" s="155" t="s">
        <v>2934</v>
      </c>
      <c r="C490" s="155" t="s">
        <v>2935</v>
      </c>
      <c r="D490" s="155" t="s">
        <v>1668</v>
      </c>
      <c r="E490" s="155">
        <v>8</v>
      </c>
      <c r="F490" s="155"/>
      <c r="G490" s="155"/>
      <c r="H490" s="155" t="s">
        <v>1672</v>
      </c>
      <c r="I490" s="155" t="s">
        <v>147</v>
      </c>
      <c r="J490" s="155"/>
    </row>
    <row r="491" spans="1:10">
      <c r="A491" s="155" t="s">
        <v>2936</v>
      </c>
      <c r="B491" s="155" t="s">
        <v>2937</v>
      </c>
      <c r="C491" s="155" t="s">
        <v>2938</v>
      </c>
      <c r="D491" s="155" t="s">
        <v>1668</v>
      </c>
      <c r="E491" s="155">
        <v>12</v>
      </c>
      <c r="F491" s="155"/>
      <c r="G491" s="155"/>
      <c r="H491" s="155" t="s">
        <v>1672</v>
      </c>
      <c r="I491" s="155" t="s">
        <v>147</v>
      </c>
      <c r="J491" s="155"/>
    </row>
    <row r="492" spans="1:10">
      <c r="A492" s="155" t="s">
        <v>2939</v>
      </c>
      <c r="B492" s="155" t="s">
        <v>2940</v>
      </c>
      <c r="C492" s="155" t="s">
        <v>2941</v>
      </c>
      <c r="D492" s="155" t="s">
        <v>1668</v>
      </c>
      <c r="E492" s="155">
        <v>8</v>
      </c>
      <c r="F492" s="155"/>
      <c r="G492" s="155"/>
      <c r="H492" s="155" t="s">
        <v>1672</v>
      </c>
      <c r="I492" s="155" t="s">
        <v>2684</v>
      </c>
      <c r="J492" s="155"/>
    </row>
    <row r="493" spans="1:10">
      <c r="A493" s="155" t="s">
        <v>2942</v>
      </c>
      <c r="B493" s="155" t="s">
        <v>2943</v>
      </c>
      <c r="C493" s="155" t="s">
        <v>2944</v>
      </c>
      <c r="D493" s="155" t="s">
        <v>1668</v>
      </c>
      <c r="E493" s="155">
        <v>8</v>
      </c>
      <c r="F493" s="155"/>
      <c r="G493" s="155"/>
      <c r="H493" s="155" t="s">
        <v>1672</v>
      </c>
      <c r="I493" s="155" t="s">
        <v>147</v>
      </c>
      <c r="J493" s="155"/>
    </row>
    <row r="494" spans="1:10">
      <c r="A494" s="155" t="s">
        <v>2945</v>
      </c>
      <c r="B494" s="155" t="s">
        <v>2946</v>
      </c>
      <c r="C494" s="155" t="s">
        <v>2947</v>
      </c>
      <c r="D494" s="155" t="s">
        <v>1668</v>
      </c>
      <c r="E494" s="155">
        <v>6</v>
      </c>
      <c r="F494" s="155"/>
      <c r="G494" s="155"/>
      <c r="H494" s="155" t="s">
        <v>1672</v>
      </c>
      <c r="I494" s="155" t="s">
        <v>147</v>
      </c>
      <c r="J494" s="155"/>
    </row>
    <row r="495" spans="1:10">
      <c r="A495" s="155" t="s">
        <v>2948</v>
      </c>
      <c r="B495" s="155" t="s">
        <v>2949</v>
      </c>
      <c r="C495" s="155" t="s">
        <v>2950</v>
      </c>
      <c r="D495" s="155" t="s">
        <v>1668</v>
      </c>
      <c r="E495" s="155">
        <v>8</v>
      </c>
      <c r="F495" s="155">
        <v>0.5</v>
      </c>
      <c r="G495" s="155">
        <v>347.9</v>
      </c>
      <c r="H495" s="155" t="s">
        <v>1673</v>
      </c>
      <c r="I495" s="155" t="s">
        <v>147</v>
      </c>
      <c r="J495" s="155"/>
    </row>
    <row r="496" spans="1:10">
      <c r="A496" s="155" t="s">
        <v>2951</v>
      </c>
      <c r="B496" s="155" t="s">
        <v>2952</v>
      </c>
      <c r="C496" s="155" t="s">
        <v>2953</v>
      </c>
      <c r="D496" s="155" t="s">
        <v>1668</v>
      </c>
      <c r="E496" s="155">
        <v>6</v>
      </c>
      <c r="F496" s="155"/>
      <c r="G496" s="155"/>
      <c r="H496" s="155" t="s">
        <v>1672</v>
      </c>
      <c r="I496" s="155" t="s">
        <v>147</v>
      </c>
      <c r="J496" s="155"/>
    </row>
    <row r="497" spans="1:10">
      <c r="A497" s="155" t="s">
        <v>2954</v>
      </c>
      <c r="B497" s="155" t="s">
        <v>2955</v>
      </c>
      <c r="C497" s="155" t="s">
        <v>2956</v>
      </c>
      <c r="D497" s="155" t="s">
        <v>1668</v>
      </c>
      <c r="E497" s="155">
        <v>6</v>
      </c>
      <c r="F497" s="155">
        <v>12.5</v>
      </c>
      <c r="G497" s="155">
        <v>286</v>
      </c>
      <c r="H497" s="155" t="s">
        <v>1673</v>
      </c>
      <c r="I497" s="155" t="s">
        <v>2684</v>
      </c>
      <c r="J497" s="155"/>
    </row>
    <row r="498" spans="1:10">
      <c r="A498" s="155" t="s">
        <v>2957</v>
      </c>
      <c r="B498" s="155" t="s">
        <v>2958</v>
      </c>
      <c r="C498" s="155" t="s">
        <v>766</v>
      </c>
      <c r="D498" s="155" t="s">
        <v>1668</v>
      </c>
      <c r="E498" s="155">
        <v>8.5</v>
      </c>
      <c r="F498" s="155"/>
      <c r="G498" s="155"/>
      <c r="H498" s="155" t="s">
        <v>1672</v>
      </c>
      <c r="I498" s="155" t="s">
        <v>41</v>
      </c>
      <c r="J498" s="155"/>
    </row>
    <row r="499" spans="1:10">
      <c r="A499" s="155" t="s">
        <v>2959</v>
      </c>
      <c r="B499" s="155" t="s">
        <v>2960</v>
      </c>
      <c r="C499" s="155" t="s">
        <v>2961</v>
      </c>
      <c r="D499" s="155" t="s">
        <v>1668</v>
      </c>
      <c r="E499" s="155">
        <v>3</v>
      </c>
      <c r="F499" s="155">
        <v>7.3</v>
      </c>
      <c r="G499" s="155">
        <v>163.4</v>
      </c>
      <c r="H499" s="155" t="s">
        <v>1673</v>
      </c>
      <c r="I499" s="155" t="s">
        <v>2684</v>
      </c>
      <c r="J499" s="155"/>
    </row>
    <row r="500" spans="1:10">
      <c r="A500" s="155" t="s">
        <v>2962</v>
      </c>
      <c r="B500" s="155" t="s">
        <v>2963</v>
      </c>
      <c r="C500" s="155" t="s">
        <v>2964</v>
      </c>
      <c r="D500" s="155" t="s">
        <v>1668</v>
      </c>
      <c r="E500" s="155">
        <v>2</v>
      </c>
      <c r="F500" s="155"/>
      <c r="G500" s="155"/>
      <c r="H500" s="155" t="s">
        <v>1672</v>
      </c>
      <c r="I500" s="155" t="s">
        <v>147</v>
      </c>
      <c r="J500" s="155"/>
    </row>
    <row r="501" spans="1:10">
      <c r="A501" s="155" t="s">
        <v>2965</v>
      </c>
      <c r="B501" s="155" t="s">
        <v>2966</v>
      </c>
      <c r="C501" s="155" t="s">
        <v>2967</v>
      </c>
      <c r="D501" s="155" t="s">
        <v>1668</v>
      </c>
      <c r="E501" s="155">
        <v>6</v>
      </c>
      <c r="F501" s="155">
        <v>3</v>
      </c>
      <c r="G501" s="155">
        <v>113.8</v>
      </c>
      <c r="H501" s="155" t="s">
        <v>1673</v>
      </c>
      <c r="I501" s="155" t="s">
        <v>2684</v>
      </c>
      <c r="J501" s="155"/>
    </row>
    <row r="502" spans="1:10">
      <c r="A502" s="155" t="s">
        <v>2968</v>
      </c>
      <c r="B502" s="155" t="s">
        <v>2969</v>
      </c>
      <c r="C502" s="155" t="s">
        <v>767</v>
      </c>
      <c r="D502" s="155" t="s">
        <v>1668</v>
      </c>
      <c r="E502" s="155">
        <v>10</v>
      </c>
      <c r="F502" s="155">
        <v>9.5</v>
      </c>
      <c r="G502" s="155">
        <v>309.2</v>
      </c>
      <c r="H502" s="155" t="s">
        <v>1673</v>
      </c>
      <c r="I502" s="155" t="s">
        <v>360</v>
      </c>
      <c r="J502" s="155"/>
    </row>
    <row r="503" spans="1:10">
      <c r="A503" s="155" t="s">
        <v>2970</v>
      </c>
      <c r="B503" s="155" t="s">
        <v>2971</v>
      </c>
      <c r="C503" s="155" t="s">
        <v>768</v>
      </c>
      <c r="D503" s="155" t="s">
        <v>1668</v>
      </c>
      <c r="E503" s="155">
        <v>12</v>
      </c>
      <c r="F503" s="155">
        <v>11.5</v>
      </c>
      <c r="G503" s="155">
        <v>337.7</v>
      </c>
      <c r="H503" s="155" t="s">
        <v>1673</v>
      </c>
      <c r="I503" s="155" t="s">
        <v>360</v>
      </c>
      <c r="J503" s="155"/>
    </row>
    <row r="504" spans="1:10">
      <c r="A504" s="155" t="s">
        <v>2972</v>
      </c>
      <c r="B504" s="155" t="s">
        <v>2973</v>
      </c>
      <c r="C504" s="155" t="s">
        <v>769</v>
      </c>
      <c r="D504" s="155" t="s">
        <v>1668</v>
      </c>
      <c r="E504" s="155">
        <v>3</v>
      </c>
      <c r="F504" s="155"/>
      <c r="G504" s="155"/>
      <c r="H504" s="155" t="s">
        <v>1672</v>
      </c>
      <c r="I504" s="155" t="s">
        <v>41</v>
      </c>
      <c r="J504" s="155"/>
    </row>
    <row r="505" spans="1:10">
      <c r="A505" s="155" t="s">
        <v>2974</v>
      </c>
      <c r="B505" s="155" t="s">
        <v>2975</v>
      </c>
      <c r="C505" s="155" t="s">
        <v>770</v>
      </c>
      <c r="D505" s="155" t="s">
        <v>1668</v>
      </c>
      <c r="E505" s="155">
        <v>2</v>
      </c>
      <c r="F505" s="155"/>
      <c r="G505" s="155"/>
      <c r="H505" s="155" t="s">
        <v>1672</v>
      </c>
      <c r="I505" s="155" t="s">
        <v>41</v>
      </c>
      <c r="J505" s="155"/>
    </row>
    <row r="506" spans="1:10">
      <c r="A506" s="155" t="s">
        <v>2976</v>
      </c>
      <c r="B506" s="155" t="s">
        <v>2977</v>
      </c>
      <c r="C506" s="155" t="s">
        <v>771</v>
      </c>
      <c r="D506" s="155" t="s">
        <v>1668</v>
      </c>
      <c r="E506" s="155">
        <v>2</v>
      </c>
      <c r="F506" s="155"/>
      <c r="G506" s="155"/>
      <c r="H506" s="155" t="s">
        <v>1672</v>
      </c>
      <c r="I506" s="155" t="s">
        <v>41</v>
      </c>
      <c r="J506" s="155"/>
    </row>
    <row r="507" spans="1:10">
      <c r="A507" s="155" t="s">
        <v>2978</v>
      </c>
      <c r="B507" s="155" t="s">
        <v>2979</v>
      </c>
      <c r="C507" s="155" t="s">
        <v>772</v>
      </c>
      <c r="D507" s="155" t="s">
        <v>1668</v>
      </c>
      <c r="E507" s="155">
        <v>2</v>
      </c>
      <c r="F507" s="155"/>
      <c r="G507" s="155"/>
      <c r="H507" s="155" t="s">
        <v>1672</v>
      </c>
      <c r="I507" s="155" t="s">
        <v>41</v>
      </c>
      <c r="J507" s="155"/>
    </row>
    <row r="508" spans="1:10">
      <c r="A508" s="155" t="s">
        <v>2980</v>
      </c>
      <c r="B508" s="155" t="s">
        <v>2981</v>
      </c>
      <c r="C508" s="155" t="s">
        <v>773</v>
      </c>
      <c r="D508" s="155" t="s">
        <v>1668</v>
      </c>
      <c r="E508" s="155">
        <v>2</v>
      </c>
      <c r="F508" s="155"/>
      <c r="G508" s="155"/>
      <c r="H508" s="155" t="s">
        <v>1672</v>
      </c>
      <c r="I508" s="155" t="s">
        <v>41</v>
      </c>
      <c r="J508" s="155"/>
    </row>
    <row r="509" spans="1:10">
      <c r="A509" s="155" t="s">
        <v>2982</v>
      </c>
      <c r="B509" s="155" t="s">
        <v>2983</v>
      </c>
      <c r="C509" s="155" t="s">
        <v>775</v>
      </c>
      <c r="D509" s="155" t="s">
        <v>1668</v>
      </c>
      <c r="E509" s="155">
        <v>2</v>
      </c>
      <c r="F509" s="155"/>
      <c r="G509" s="155"/>
      <c r="H509" s="155" t="s">
        <v>1672</v>
      </c>
      <c r="I509" s="155" t="s">
        <v>41</v>
      </c>
      <c r="J509" s="155"/>
    </row>
    <row r="510" spans="1:10">
      <c r="A510" s="155" t="s">
        <v>2984</v>
      </c>
      <c r="B510" s="155" t="s">
        <v>2985</v>
      </c>
      <c r="C510" s="155" t="s">
        <v>776</v>
      </c>
      <c r="D510" s="155" t="s">
        <v>1668</v>
      </c>
      <c r="E510" s="155">
        <v>2</v>
      </c>
      <c r="F510" s="155"/>
      <c r="G510" s="155"/>
      <c r="H510" s="155" t="s">
        <v>1672</v>
      </c>
      <c r="I510" s="155" t="s">
        <v>41</v>
      </c>
      <c r="J510" s="155"/>
    </row>
    <row r="511" spans="1:10">
      <c r="A511" s="155" t="s">
        <v>2986</v>
      </c>
      <c r="B511" s="155" t="s">
        <v>1109</v>
      </c>
      <c r="C511" s="155" t="s">
        <v>777</v>
      </c>
      <c r="D511" s="155" t="s">
        <v>1668</v>
      </c>
      <c r="E511" s="155"/>
      <c r="F511" s="155">
        <v>14.3</v>
      </c>
      <c r="G511" s="155">
        <v>199.1</v>
      </c>
      <c r="H511" s="155" t="s">
        <v>1673</v>
      </c>
      <c r="I511" s="155" t="s">
        <v>178</v>
      </c>
      <c r="J511" s="155"/>
    </row>
    <row r="512" spans="1:10">
      <c r="A512" s="155" t="s">
        <v>2987</v>
      </c>
      <c r="B512" s="155" t="s">
        <v>2988</v>
      </c>
      <c r="C512" s="155" t="s">
        <v>779</v>
      </c>
      <c r="D512" s="155" t="s">
        <v>1668</v>
      </c>
      <c r="E512" s="155">
        <v>6</v>
      </c>
      <c r="F512" s="155">
        <v>6.5</v>
      </c>
      <c r="G512" s="155">
        <v>335.4</v>
      </c>
      <c r="H512" s="155" t="s">
        <v>1673</v>
      </c>
      <c r="I512" s="155" t="s">
        <v>83</v>
      </c>
      <c r="J512" s="155"/>
    </row>
    <row r="513" spans="1:10">
      <c r="A513" s="155" t="s">
        <v>2989</v>
      </c>
      <c r="B513" s="155" t="s">
        <v>2990</v>
      </c>
      <c r="C513" s="155" t="s">
        <v>2991</v>
      </c>
      <c r="D513" s="155" t="s">
        <v>1668</v>
      </c>
      <c r="E513" s="155">
        <v>8</v>
      </c>
      <c r="F513" s="155"/>
      <c r="G513" s="155"/>
      <c r="H513" s="155" t="s">
        <v>1672</v>
      </c>
      <c r="I513" s="155" t="s">
        <v>2774</v>
      </c>
      <c r="J513" s="155"/>
    </row>
    <row r="514" spans="1:10">
      <c r="A514" s="155" t="s">
        <v>2992</v>
      </c>
      <c r="B514" s="155" t="s">
        <v>2993</v>
      </c>
      <c r="C514" s="155" t="s">
        <v>2994</v>
      </c>
      <c r="D514" s="155" t="s">
        <v>1668</v>
      </c>
      <c r="E514" s="155">
        <v>8</v>
      </c>
      <c r="F514" s="155">
        <v>9</v>
      </c>
      <c r="G514" s="155">
        <v>43.4</v>
      </c>
      <c r="H514" s="155" t="s">
        <v>1673</v>
      </c>
      <c r="I514" s="155" t="s">
        <v>2995</v>
      </c>
      <c r="J514" s="155"/>
    </row>
    <row r="515" spans="1:10">
      <c r="A515" s="155" t="s">
        <v>2996</v>
      </c>
      <c r="B515" s="155" t="s">
        <v>2997</v>
      </c>
      <c r="C515" s="155" t="s">
        <v>2998</v>
      </c>
      <c r="D515" s="155" t="s">
        <v>1668</v>
      </c>
      <c r="E515" s="155">
        <v>8</v>
      </c>
      <c r="F515" s="155"/>
      <c r="G515" s="155"/>
      <c r="H515" s="155" t="s">
        <v>1672</v>
      </c>
      <c r="I515" s="155" t="s">
        <v>2774</v>
      </c>
      <c r="J515" s="155"/>
    </row>
    <row r="516" spans="1:10">
      <c r="A516" s="155" t="s">
        <v>2999</v>
      </c>
      <c r="B516" s="155" t="s">
        <v>3000</v>
      </c>
      <c r="C516" s="155" t="s">
        <v>3001</v>
      </c>
      <c r="D516" s="155" t="s">
        <v>1668</v>
      </c>
      <c r="E516" s="155">
        <v>4</v>
      </c>
      <c r="F516" s="155">
        <v>5.3</v>
      </c>
      <c r="G516" s="155">
        <v>310.89999999999998</v>
      </c>
      <c r="H516" s="155" t="s">
        <v>1673</v>
      </c>
      <c r="I516" s="155" t="s">
        <v>96</v>
      </c>
      <c r="J516" s="155"/>
    </row>
    <row r="517" spans="1:10">
      <c r="A517" s="155" t="s">
        <v>3002</v>
      </c>
      <c r="B517" s="155" t="s">
        <v>3003</v>
      </c>
      <c r="C517" s="155" t="s">
        <v>3004</v>
      </c>
      <c r="D517" s="155" t="s">
        <v>1668</v>
      </c>
      <c r="E517" s="155">
        <v>8</v>
      </c>
      <c r="F517" s="155"/>
      <c r="G517" s="155"/>
      <c r="H517" s="155" t="s">
        <v>1672</v>
      </c>
      <c r="I517" s="155" t="s">
        <v>2995</v>
      </c>
      <c r="J517" s="155"/>
    </row>
    <row r="518" spans="1:10">
      <c r="A518" s="155" t="s">
        <v>3005</v>
      </c>
      <c r="B518" s="155" t="s">
        <v>3006</v>
      </c>
      <c r="C518" s="155" t="s">
        <v>782</v>
      </c>
      <c r="D518" s="155" t="s">
        <v>1668</v>
      </c>
      <c r="E518" s="155">
        <v>2</v>
      </c>
      <c r="F518" s="155"/>
      <c r="G518" s="155"/>
      <c r="H518" s="155" t="s">
        <v>1672</v>
      </c>
      <c r="I518" s="155" t="s">
        <v>41</v>
      </c>
      <c r="J518" s="155"/>
    </row>
    <row r="519" spans="1:10">
      <c r="A519" s="155" t="s">
        <v>3007</v>
      </c>
      <c r="B519" s="155" t="s">
        <v>3008</v>
      </c>
      <c r="C519" s="155" t="s">
        <v>3009</v>
      </c>
      <c r="D519" s="155" t="s">
        <v>1668</v>
      </c>
      <c r="E519" s="155">
        <v>2</v>
      </c>
      <c r="F519" s="155">
        <v>2</v>
      </c>
      <c r="G519" s="155">
        <v>237.4</v>
      </c>
      <c r="H519" s="155" t="s">
        <v>1673</v>
      </c>
      <c r="I519" s="155" t="s">
        <v>2995</v>
      </c>
      <c r="J519" s="155"/>
    </row>
    <row r="520" spans="1:10">
      <c r="A520" s="155" t="s">
        <v>3010</v>
      </c>
      <c r="B520" s="155" t="s">
        <v>3011</v>
      </c>
      <c r="C520" s="155" t="s">
        <v>784</v>
      </c>
      <c r="D520" s="155" t="s">
        <v>1668</v>
      </c>
      <c r="E520" s="155">
        <v>2</v>
      </c>
      <c r="F520" s="155"/>
      <c r="G520" s="155"/>
      <c r="H520" s="155" t="s">
        <v>1672</v>
      </c>
      <c r="I520" s="155" t="s">
        <v>41</v>
      </c>
      <c r="J520" s="155"/>
    </row>
    <row r="521" spans="1:10">
      <c r="A521" s="155" t="s">
        <v>3012</v>
      </c>
      <c r="B521" s="155" t="s">
        <v>3013</v>
      </c>
      <c r="C521" s="155" t="s">
        <v>785</v>
      </c>
      <c r="D521" s="155" t="s">
        <v>1668</v>
      </c>
      <c r="E521" s="155">
        <v>2</v>
      </c>
      <c r="F521" s="155"/>
      <c r="G521" s="155"/>
      <c r="H521" s="155" t="s">
        <v>1672</v>
      </c>
      <c r="I521" s="155" t="s">
        <v>41</v>
      </c>
      <c r="J521" s="155"/>
    </row>
    <row r="522" spans="1:10">
      <c r="A522" s="155" t="s">
        <v>3014</v>
      </c>
      <c r="B522" s="155" t="s">
        <v>3015</v>
      </c>
      <c r="C522" s="155" t="s">
        <v>787</v>
      </c>
      <c r="D522" s="155" t="s">
        <v>1668</v>
      </c>
      <c r="E522" s="155"/>
      <c r="F522" s="155"/>
      <c r="G522" s="155"/>
      <c r="H522" s="155" t="s">
        <v>1672</v>
      </c>
      <c r="I522" s="155" t="s">
        <v>41</v>
      </c>
      <c r="J522" s="155"/>
    </row>
    <row r="523" spans="1:10">
      <c r="A523" s="155" t="s">
        <v>3016</v>
      </c>
      <c r="B523" s="155" t="s">
        <v>1148</v>
      </c>
      <c r="C523" s="155" t="s">
        <v>788</v>
      </c>
      <c r="D523" s="155" t="s">
        <v>1668</v>
      </c>
      <c r="E523" s="155"/>
      <c r="F523" s="155"/>
      <c r="G523" s="155"/>
      <c r="H523" s="155" t="s">
        <v>1672</v>
      </c>
      <c r="I523" s="155" t="s">
        <v>41</v>
      </c>
      <c r="J523" s="155"/>
    </row>
    <row r="524" spans="1:10">
      <c r="A524" s="155" t="s">
        <v>3017</v>
      </c>
      <c r="B524" s="155" t="s">
        <v>3018</v>
      </c>
      <c r="C524" s="155" t="s">
        <v>789</v>
      </c>
      <c r="D524" s="155" t="s">
        <v>1668</v>
      </c>
      <c r="E524" s="155"/>
      <c r="F524" s="155"/>
      <c r="G524" s="155"/>
      <c r="H524" s="155" t="s">
        <v>1672</v>
      </c>
      <c r="I524" s="155" t="s">
        <v>41</v>
      </c>
      <c r="J524" s="155"/>
    </row>
    <row r="525" spans="1:10">
      <c r="A525" s="155" t="s">
        <v>3019</v>
      </c>
      <c r="B525" s="155" t="s">
        <v>1093</v>
      </c>
      <c r="C525" s="155" t="s">
        <v>790</v>
      </c>
      <c r="D525" s="155" t="s">
        <v>1668</v>
      </c>
      <c r="E525" s="155"/>
      <c r="F525" s="155"/>
      <c r="G525" s="155"/>
      <c r="H525" s="155" t="s">
        <v>1672</v>
      </c>
      <c r="I525" s="155" t="s">
        <v>41</v>
      </c>
      <c r="J525" s="155"/>
    </row>
    <row r="526" spans="1:10">
      <c r="A526" s="155" t="s">
        <v>3020</v>
      </c>
      <c r="B526" s="155" t="s">
        <v>1102</v>
      </c>
      <c r="C526" s="155" t="s">
        <v>797</v>
      </c>
      <c r="D526" s="155" t="s">
        <v>1668</v>
      </c>
      <c r="E526" s="155"/>
      <c r="F526" s="155"/>
      <c r="G526" s="155"/>
      <c r="H526" s="155" t="s">
        <v>1672</v>
      </c>
      <c r="I526" s="155" t="s">
        <v>41</v>
      </c>
      <c r="J526" s="155"/>
    </row>
    <row r="527" spans="1:10">
      <c r="A527" s="155" t="s">
        <v>3021</v>
      </c>
      <c r="B527" s="155" t="s">
        <v>3022</v>
      </c>
      <c r="C527" s="155" t="s">
        <v>798</v>
      </c>
      <c r="D527" s="155" t="s">
        <v>1668</v>
      </c>
      <c r="E527" s="155"/>
      <c r="F527" s="155"/>
      <c r="G527" s="155"/>
      <c r="H527" s="155" t="s">
        <v>1672</v>
      </c>
      <c r="I527" s="155" t="s">
        <v>41</v>
      </c>
      <c r="J527" s="155"/>
    </row>
    <row r="528" spans="1:10">
      <c r="A528" s="155" t="s">
        <v>3023</v>
      </c>
      <c r="B528" s="155" t="s">
        <v>3024</v>
      </c>
      <c r="C528" s="155" t="s">
        <v>800</v>
      </c>
      <c r="D528" s="155" t="s">
        <v>1668</v>
      </c>
      <c r="E528" s="155"/>
      <c r="F528" s="155"/>
      <c r="G528" s="155"/>
      <c r="H528" s="155" t="s">
        <v>1672</v>
      </c>
      <c r="I528" s="155" t="s">
        <v>41</v>
      </c>
      <c r="J528" s="155"/>
    </row>
    <row r="529" spans="1:10">
      <c r="A529" s="155" t="s">
        <v>3025</v>
      </c>
      <c r="B529" s="155" t="s">
        <v>1144</v>
      </c>
      <c r="C529" s="155" t="s">
        <v>801</v>
      </c>
      <c r="D529" s="155" t="s">
        <v>1668</v>
      </c>
      <c r="E529" s="155"/>
      <c r="F529" s="155"/>
      <c r="G529" s="155"/>
      <c r="H529" s="155" t="s">
        <v>1672</v>
      </c>
      <c r="I529" s="155" t="s">
        <v>41</v>
      </c>
      <c r="J529" s="155"/>
    </row>
    <row r="530" spans="1:10">
      <c r="A530" s="155" t="s">
        <v>3026</v>
      </c>
      <c r="B530" s="155" t="s">
        <v>3027</v>
      </c>
      <c r="C530" s="155" t="s">
        <v>805</v>
      </c>
      <c r="D530" s="155" t="s">
        <v>1668</v>
      </c>
      <c r="E530" s="155"/>
      <c r="F530" s="155"/>
      <c r="G530" s="155"/>
      <c r="H530" s="155" t="s">
        <v>1672</v>
      </c>
      <c r="I530" s="155" t="s">
        <v>41</v>
      </c>
      <c r="J530" s="155"/>
    </row>
    <row r="531" spans="1:10">
      <c r="A531" s="155" t="s">
        <v>3028</v>
      </c>
      <c r="B531" s="155" t="s">
        <v>1103</v>
      </c>
      <c r="C531" s="155" t="s">
        <v>808</v>
      </c>
      <c r="D531" s="155" t="s">
        <v>1668</v>
      </c>
      <c r="E531" s="155"/>
      <c r="F531" s="155"/>
      <c r="G531" s="155"/>
      <c r="H531" s="155" t="s">
        <v>1672</v>
      </c>
      <c r="I531" s="155" t="s">
        <v>408</v>
      </c>
      <c r="J531" s="155"/>
    </row>
    <row r="532" spans="1:10">
      <c r="A532" s="155" t="s">
        <v>3029</v>
      </c>
      <c r="B532" s="155" t="s">
        <v>1108</v>
      </c>
      <c r="C532" s="155" t="s">
        <v>809</v>
      </c>
      <c r="D532" s="155" t="s">
        <v>1668</v>
      </c>
      <c r="E532" s="155"/>
      <c r="F532" s="155"/>
      <c r="G532" s="155"/>
      <c r="H532" s="155" t="s">
        <v>1672</v>
      </c>
      <c r="I532" s="155" t="s">
        <v>408</v>
      </c>
      <c r="J532" s="155"/>
    </row>
    <row r="533" spans="1:10">
      <c r="A533" s="155" t="s">
        <v>3030</v>
      </c>
      <c r="B533" s="155" t="s">
        <v>3031</v>
      </c>
      <c r="C533" s="155" t="s">
        <v>3032</v>
      </c>
      <c r="D533" s="155" t="s">
        <v>1668</v>
      </c>
      <c r="E533" s="155">
        <v>6</v>
      </c>
      <c r="F533" s="155">
        <v>2</v>
      </c>
      <c r="G533" s="155">
        <v>185.2</v>
      </c>
      <c r="H533" s="155" t="s">
        <v>1673</v>
      </c>
      <c r="I533" s="155" t="s">
        <v>2995</v>
      </c>
      <c r="J533" s="155"/>
    </row>
    <row r="534" spans="1:10">
      <c r="A534" s="155" t="s">
        <v>3033</v>
      </c>
      <c r="B534" s="155" t="s">
        <v>3034</v>
      </c>
      <c r="C534" s="155" t="s">
        <v>3035</v>
      </c>
      <c r="D534" s="155" t="s">
        <v>1668</v>
      </c>
      <c r="E534" s="155">
        <v>8</v>
      </c>
      <c r="F534" s="155">
        <v>2</v>
      </c>
      <c r="G534" s="155">
        <v>185.2</v>
      </c>
      <c r="H534" s="155" t="s">
        <v>1673</v>
      </c>
      <c r="I534" s="155" t="s">
        <v>2995</v>
      </c>
      <c r="J534" s="155"/>
    </row>
    <row r="535" spans="1:10">
      <c r="A535" s="155" t="s">
        <v>3036</v>
      </c>
      <c r="B535" s="155" t="s">
        <v>3037</v>
      </c>
      <c r="C535" s="155" t="s">
        <v>3038</v>
      </c>
      <c r="D535" s="155" t="s">
        <v>1668</v>
      </c>
      <c r="E535" s="155"/>
      <c r="F535" s="155">
        <v>2</v>
      </c>
      <c r="G535" s="155">
        <v>184.4</v>
      </c>
      <c r="H535" s="155" t="s">
        <v>1673</v>
      </c>
      <c r="I535" s="155" t="s">
        <v>2995</v>
      </c>
      <c r="J535" s="155"/>
    </row>
    <row r="536" spans="1:10">
      <c r="A536" s="155" t="s">
        <v>3039</v>
      </c>
      <c r="B536" s="155" t="s">
        <v>3040</v>
      </c>
      <c r="C536" s="155" t="s">
        <v>3041</v>
      </c>
      <c r="D536" s="155" t="s">
        <v>1668</v>
      </c>
      <c r="E536" s="155"/>
      <c r="F536" s="155">
        <v>10.8</v>
      </c>
      <c r="G536" s="155">
        <v>310.60000000000002</v>
      </c>
      <c r="H536" s="155" t="s">
        <v>1673</v>
      </c>
      <c r="I536" s="155" t="s">
        <v>96</v>
      </c>
      <c r="J536" s="155"/>
    </row>
    <row r="537" spans="1:10">
      <c r="A537" s="155" t="s">
        <v>3042</v>
      </c>
      <c r="B537" s="155" t="s">
        <v>3043</v>
      </c>
      <c r="C537" s="155" t="s">
        <v>3044</v>
      </c>
      <c r="D537" s="155" t="s">
        <v>1668</v>
      </c>
      <c r="E537" s="155"/>
      <c r="F537" s="155">
        <v>3.5</v>
      </c>
      <c r="G537" s="155">
        <v>310.3</v>
      </c>
      <c r="H537" s="155" t="s">
        <v>1673</v>
      </c>
      <c r="I537" s="155" t="s">
        <v>96</v>
      </c>
      <c r="J537" s="155"/>
    </row>
    <row r="538" spans="1:10">
      <c r="A538" s="155" t="s">
        <v>3045</v>
      </c>
      <c r="B538" s="155" t="s">
        <v>3046</v>
      </c>
      <c r="C538" s="155" t="s">
        <v>810</v>
      </c>
      <c r="D538" s="155" t="s">
        <v>1668</v>
      </c>
      <c r="E538" s="155">
        <v>6</v>
      </c>
      <c r="F538" s="155"/>
      <c r="G538" s="155"/>
      <c r="H538" s="155" t="s">
        <v>1672</v>
      </c>
      <c r="I538" s="155" t="s">
        <v>360</v>
      </c>
      <c r="J538" s="155"/>
    </row>
    <row r="539" spans="1:10">
      <c r="A539" s="155" t="s">
        <v>3047</v>
      </c>
      <c r="B539" s="155" t="s">
        <v>3048</v>
      </c>
      <c r="C539" s="155" t="s">
        <v>811</v>
      </c>
      <c r="D539" s="155" t="s">
        <v>1668</v>
      </c>
      <c r="E539" s="155"/>
      <c r="F539" s="155">
        <v>36.5</v>
      </c>
      <c r="G539" s="155">
        <v>303.60000000000002</v>
      </c>
      <c r="H539" s="155" t="s">
        <v>1673</v>
      </c>
      <c r="I539" s="155" t="s">
        <v>90</v>
      </c>
      <c r="J539" s="155"/>
    </row>
    <row r="540" spans="1:10">
      <c r="A540" s="155" t="s">
        <v>3049</v>
      </c>
      <c r="B540" s="155" t="s">
        <v>3050</v>
      </c>
      <c r="C540" s="155" t="s">
        <v>3051</v>
      </c>
      <c r="D540" s="155" t="s">
        <v>1668</v>
      </c>
      <c r="E540" s="155"/>
      <c r="F540" s="155">
        <v>1</v>
      </c>
      <c r="G540" s="155">
        <v>274.5</v>
      </c>
      <c r="H540" s="155" t="s">
        <v>1673</v>
      </c>
      <c r="I540" s="155" t="s">
        <v>122</v>
      </c>
      <c r="J540" s="155"/>
    </row>
    <row r="541" spans="1:10">
      <c r="A541" s="155" t="s">
        <v>3052</v>
      </c>
      <c r="B541" s="155" t="s">
        <v>3053</v>
      </c>
      <c r="C541" s="155" t="s">
        <v>3054</v>
      </c>
      <c r="D541" s="155" t="s">
        <v>1668</v>
      </c>
      <c r="E541" s="155">
        <v>8</v>
      </c>
      <c r="F541" s="155">
        <v>1</v>
      </c>
      <c r="G541" s="155">
        <v>283.10000000000002</v>
      </c>
      <c r="H541" s="155" t="s">
        <v>1673</v>
      </c>
      <c r="I541" s="155" t="s">
        <v>276</v>
      </c>
      <c r="J541" s="155"/>
    </row>
    <row r="542" spans="1:10">
      <c r="A542" s="155" t="s">
        <v>3055</v>
      </c>
      <c r="B542" s="155" t="s">
        <v>3056</v>
      </c>
      <c r="C542" s="155" t="s">
        <v>3057</v>
      </c>
      <c r="D542" s="155" t="s">
        <v>1668</v>
      </c>
      <c r="E542" s="155">
        <v>8</v>
      </c>
      <c r="F542" s="155"/>
      <c r="G542" s="155"/>
      <c r="H542" s="155" t="s">
        <v>1672</v>
      </c>
      <c r="I542" s="155" t="s">
        <v>276</v>
      </c>
      <c r="J542" s="155"/>
    </row>
    <row r="543" spans="1:10">
      <c r="A543" s="155" t="s">
        <v>3058</v>
      </c>
      <c r="B543" s="155" t="s">
        <v>1070</v>
      </c>
      <c r="C543" s="155" t="s">
        <v>812</v>
      </c>
      <c r="D543" s="155" t="s">
        <v>1671</v>
      </c>
      <c r="E543" s="155"/>
      <c r="F543" s="155">
        <v>35</v>
      </c>
      <c r="G543" s="155">
        <v>466.1</v>
      </c>
      <c r="H543" s="155" t="s">
        <v>1673</v>
      </c>
      <c r="I543" s="155" t="s">
        <v>101</v>
      </c>
      <c r="J543" s="155"/>
    </row>
    <row r="544" spans="1:10">
      <c r="A544" s="155" t="s">
        <v>3059</v>
      </c>
      <c r="B544" s="155" t="s">
        <v>3060</v>
      </c>
      <c r="C544" s="155" t="s">
        <v>3061</v>
      </c>
      <c r="D544" s="155" t="s">
        <v>2827</v>
      </c>
      <c r="E544" s="155">
        <v>0.6</v>
      </c>
      <c r="F544" s="155"/>
      <c r="G544" s="155"/>
      <c r="H544" s="155" t="s">
        <v>1672</v>
      </c>
      <c r="I544" s="155" t="s">
        <v>223</v>
      </c>
      <c r="J544" s="155"/>
    </row>
    <row r="545" spans="1:10">
      <c r="A545" s="155" t="s">
        <v>3062</v>
      </c>
      <c r="B545" s="155" t="s">
        <v>3063</v>
      </c>
      <c r="C545" s="155" t="s">
        <v>3064</v>
      </c>
      <c r="D545" s="155" t="s">
        <v>2827</v>
      </c>
      <c r="E545" s="155">
        <v>2</v>
      </c>
      <c r="F545" s="155">
        <v>3.5</v>
      </c>
      <c r="G545" s="155">
        <v>302.5</v>
      </c>
      <c r="H545" s="155" t="s">
        <v>1673</v>
      </c>
      <c r="I545" s="155" t="s">
        <v>3065</v>
      </c>
      <c r="J545" s="155"/>
    </row>
    <row r="546" spans="1:10">
      <c r="A546" s="155" t="s">
        <v>3066</v>
      </c>
      <c r="B546" s="155" t="s">
        <v>3067</v>
      </c>
      <c r="C546" s="155" t="s">
        <v>3068</v>
      </c>
      <c r="D546" s="155" t="s">
        <v>2457</v>
      </c>
      <c r="E546" s="155">
        <v>1.3</v>
      </c>
      <c r="F546" s="155"/>
      <c r="G546" s="155"/>
      <c r="H546" s="155" t="s">
        <v>1672</v>
      </c>
      <c r="I546" s="155" t="s">
        <v>60</v>
      </c>
      <c r="J546" s="155"/>
    </row>
    <row r="547" spans="1:10">
      <c r="A547" s="155" t="s">
        <v>3069</v>
      </c>
      <c r="B547" s="155" t="s">
        <v>3070</v>
      </c>
      <c r="C547" s="155" t="s">
        <v>813</v>
      </c>
      <c r="D547" s="155" t="s">
        <v>1668</v>
      </c>
      <c r="E547" s="155">
        <v>0.2</v>
      </c>
      <c r="F547" s="155"/>
      <c r="G547" s="155"/>
      <c r="H547" s="155" t="s">
        <v>1672</v>
      </c>
      <c r="I547" s="155" t="s">
        <v>105</v>
      </c>
      <c r="J547" s="155"/>
    </row>
    <row r="548" spans="1:10">
      <c r="A548" s="155" t="s">
        <v>3071</v>
      </c>
      <c r="B548" s="155" t="s">
        <v>3072</v>
      </c>
      <c r="C548" s="155" t="s">
        <v>3073</v>
      </c>
      <c r="D548" s="155" t="s">
        <v>1668</v>
      </c>
      <c r="E548" s="155">
        <v>8</v>
      </c>
      <c r="F548" s="155"/>
      <c r="G548" s="155"/>
      <c r="H548" s="155" t="s">
        <v>1672</v>
      </c>
      <c r="I548" s="155" t="s">
        <v>276</v>
      </c>
      <c r="J548" s="155"/>
    </row>
    <row r="549" spans="1:10">
      <c r="A549" s="155" t="s">
        <v>3074</v>
      </c>
      <c r="B549" s="155" t="s">
        <v>3075</v>
      </c>
      <c r="C549" s="155" t="s">
        <v>3076</v>
      </c>
      <c r="D549" s="155" t="s">
        <v>1668</v>
      </c>
      <c r="E549" s="155"/>
      <c r="F549" s="155">
        <v>1.5</v>
      </c>
      <c r="G549" s="155">
        <v>309.89999999999998</v>
      </c>
      <c r="H549" s="155" t="s">
        <v>1673</v>
      </c>
      <c r="I549" s="155" t="s">
        <v>96</v>
      </c>
      <c r="J549" s="155"/>
    </row>
    <row r="550" spans="1:10">
      <c r="A550" s="155" t="s">
        <v>3077</v>
      </c>
      <c r="B550" s="155" t="s">
        <v>3078</v>
      </c>
      <c r="C550" s="155" t="s">
        <v>3079</v>
      </c>
      <c r="D550" s="155" t="s">
        <v>1668</v>
      </c>
      <c r="E550" s="155"/>
      <c r="F550" s="155">
        <v>1.3</v>
      </c>
      <c r="G550" s="155">
        <v>286.89999999999998</v>
      </c>
      <c r="H550" s="155" t="s">
        <v>1673</v>
      </c>
      <c r="I550" s="155" t="s">
        <v>96</v>
      </c>
      <c r="J550" s="155"/>
    </row>
    <row r="551" spans="1:10">
      <c r="A551" s="155" t="s">
        <v>3080</v>
      </c>
      <c r="B551" s="155" t="s">
        <v>3081</v>
      </c>
      <c r="C551" s="155" t="s">
        <v>3082</v>
      </c>
      <c r="D551" s="155" t="s">
        <v>1668</v>
      </c>
      <c r="E551" s="155">
        <v>8</v>
      </c>
      <c r="F551" s="155"/>
      <c r="G551" s="155"/>
      <c r="H551" s="155" t="s">
        <v>1672</v>
      </c>
      <c r="I551" s="155" t="s">
        <v>276</v>
      </c>
      <c r="J551" s="155"/>
    </row>
    <row r="552" spans="1:10">
      <c r="A552" s="155" t="s">
        <v>3083</v>
      </c>
      <c r="B552" s="155" t="s">
        <v>3084</v>
      </c>
      <c r="C552" s="155" t="s">
        <v>3085</v>
      </c>
      <c r="D552" s="155" t="s">
        <v>1668</v>
      </c>
      <c r="E552" s="155">
        <v>8</v>
      </c>
      <c r="F552" s="155"/>
      <c r="G552" s="155"/>
      <c r="H552" s="155" t="s">
        <v>1672</v>
      </c>
      <c r="I552" s="155" t="s">
        <v>276</v>
      </c>
      <c r="J552" s="155"/>
    </row>
    <row r="553" spans="1:10">
      <c r="A553" s="155" t="s">
        <v>3086</v>
      </c>
      <c r="B553" s="155" t="s">
        <v>3087</v>
      </c>
      <c r="C553" s="155" t="s">
        <v>3088</v>
      </c>
      <c r="D553" s="155" t="s">
        <v>1668</v>
      </c>
      <c r="E553" s="155"/>
      <c r="F553" s="155">
        <v>0.2</v>
      </c>
      <c r="G553" s="155">
        <v>287.10000000000002</v>
      </c>
      <c r="H553" s="155" t="s">
        <v>1673</v>
      </c>
      <c r="I553" s="155" t="s">
        <v>96</v>
      </c>
      <c r="J553" s="155"/>
    </row>
    <row r="554" spans="1:10">
      <c r="A554" s="155" t="s">
        <v>3089</v>
      </c>
      <c r="B554" s="155" t="s">
        <v>3090</v>
      </c>
      <c r="C554" s="155" t="s">
        <v>3091</v>
      </c>
      <c r="D554" s="155" t="s">
        <v>1668</v>
      </c>
      <c r="E554" s="155"/>
      <c r="F554" s="155">
        <v>6.2</v>
      </c>
      <c r="G554" s="155">
        <v>287.2</v>
      </c>
      <c r="H554" s="155" t="s">
        <v>1673</v>
      </c>
      <c r="I554" s="155" t="s">
        <v>96</v>
      </c>
      <c r="J554" s="155"/>
    </row>
    <row r="555" spans="1:10">
      <c r="A555" s="155" t="s">
        <v>3092</v>
      </c>
      <c r="B555" s="155" t="s">
        <v>3093</v>
      </c>
      <c r="C555" s="155" t="s">
        <v>3094</v>
      </c>
      <c r="D555" s="155" t="s">
        <v>1668</v>
      </c>
      <c r="E555" s="155">
        <v>6</v>
      </c>
      <c r="F555" s="155"/>
      <c r="G555" s="155"/>
      <c r="H555" s="155" t="s">
        <v>1672</v>
      </c>
      <c r="I555" s="155" t="s">
        <v>1951</v>
      </c>
      <c r="J555" s="155"/>
    </row>
    <row r="556" spans="1:10">
      <c r="A556" s="155" t="s">
        <v>3095</v>
      </c>
      <c r="B556" s="155" t="s">
        <v>3096</v>
      </c>
      <c r="C556" s="155" t="s">
        <v>3097</v>
      </c>
      <c r="D556" s="155" t="s">
        <v>1668</v>
      </c>
      <c r="E556" s="155">
        <v>6</v>
      </c>
      <c r="F556" s="155"/>
      <c r="G556" s="155"/>
      <c r="H556" s="155" t="s">
        <v>1672</v>
      </c>
      <c r="I556" s="155" t="s">
        <v>1951</v>
      </c>
      <c r="J556" s="155"/>
    </row>
    <row r="557" spans="1:10">
      <c r="A557" s="155" t="s">
        <v>3098</v>
      </c>
      <c r="B557" s="155" t="s">
        <v>3099</v>
      </c>
      <c r="C557" s="155" t="s">
        <v>3100</v>
      </c>
      <c r="D557" s="155" t="s">
        <v>1668</v>
      </c>
      <c r="E557" s="155"/>
      <c r="F557" s="155">
        <v>0.3</v>
      </c>
      <c r="G557" s="155">
        <v>287.39999999999998</v>
      </c>
      <c r="H557" s="155" t="s">
        <v>1673</v>
      </c>
      <c r="I557" s="155" t="s">
        <v>96</v>
      </c>
      <c r="J557" s="155"/>
    </row>
    <row r="558" spans="1:10">
      <c r="A558" s="155" t="s">
        <v>3101</v>
      </c>
      <c r="B558" s="155" t="s">
        <v>3102</v>
      </c>
      <c r="C558" s="155" t="s">
        <v>3103</v>
      </c>
      <c r="D558" s="155" t="s">
        <v>1668</v>
      </c>
      <c r="E558" s="155">
        <v>8</v>
      </c>
      <c r="F558" s="155"/>
      <c r="G558" s="155"/>
      <c r="H558" s="155" t="s">
        <v>1672</v>
      </c>
      <c r="I558" s="155" t="s">
        <v>2684</v>
      </c>
      <c r="J558" s="155"/>
    </row>
    <row r="559" spans="1:10">
      <c r="A559" s="155" t="s">
        <v>3104</v>
      </c>
      <c r="B559" s="155" t="s">
        <v>3105</v>
      </c>
      <c r="C559" s="155" t="s">
        <v>3106</v>
      </c>
      <c r="D559" s="155" t="s">
        <v>1668</v>
      </c>
      <c r="E559" s="155">
        <v>8</v>
      </c>
      <c r="F559" s="155">
        <v>7</v>
      </c>
      <c r="G559" s="155">
        <v>21.9</v>
      </c>
      <c r="H559" s="155" t="s">
        <v>1673</v>
      </c>
      <c r="I559" s="155" t="s">
        <v>2684</v>
      </c>
      <c r="J559" s="155"/>
    </row>
    <row r="560" spans="1:10">
      <c r="A560" s="155" t="s">
        <v>3107</v>
      </c>
      <c r="B560" s="155" t="s">
        <v>3108</v>
      </c>
      <c r="C560" s="155" t="s">
        <v>3109</v>
      </c>
      <c r="D560" s="155" t="s">
        <v>1668</v>
      </c>
      <c r="E560" s="155">
        <v>16</v>
      </c>
      <c r="F560" s="155"/>
      <c r="G560" s="155"/>
      <c r="H560" s="155" t="s">
        <v>1672</v>
      </c>
      <c r="I560" s="155" t="s">
        <v>3110</v>
      </c>
      <c r="J560" s="155"/>
    </row>
    <row r="561" spans="1:10">
      <c r="A561" s="155" t="s">
        <v>3111</v>
      </c>
      <c r="B561" s="155" t="s">
        <v>3112</v>
      </c>
      <c r="C561" s="155" t="s">
        <v>817</v>
      </c>
      <c r="D561" s="155" t="s">
        <v>1668</v>
      </c>
      <c r="E561" s="155">
        <v>2</v>
      </c>
      <c r="F561" s="155"/>
      <c r="G561" s="155"/>
      <c r="H561" s="155" t="s">
        <v>1672</v>
      </c>
      <c r="I561" s="155" t="s">
        <v>178</v>
      </c>
      <c r="J561" s="155"/>
    </row>
    <row r="562" spans="1:10">
      <c r="A562" s="155" t="s">
        <v>3113</v>
      </c>
      <c r="B562" s="155" t="s">
        <v>3114</v>
      </c>
      <c r="C562" s="155" t="s">
        <v>818</v>
      </c>
      <c r="D562" s="155" t="s">
        <v>1668</v>
      </c>
      <c r="E562" s="155">
        <v>4</v>
      </c>
      <c r="F562" s="155"/>
      <c r="G562" s="155"/>
      <c r="H562" s="155" t="s">
        <v>1672</v>
      </c>
      <c r="I562" s="155" t="s">
        <v>178</v>
      </c>
      <c r="J562" s="155"/>
    </row>
    <row r="563" spans="1:10">
      <c r="A563" s="155" t="s">
        <v>3115</v>
      </c>
      <c r="B563" s="155" t="s">
        <v>3116</v>
      </c>
      <c r="C563" s="155" t="s">
        <v>820</v>
      </c>
      <c r="D563" s="155" t="s">
        <v>1668</v>
      </c>
      <c r="E563" s="155">
        <v>1.5</v>
      </c>
      <c r="F563" s="155"/>
      <c r="G563" s="155"/>
      <c r="H563" s="155" t="s">
        <v>1672</v>
      </c>
      <c r="I563" s="155" t="s">
        <v>178</v>
      </c>
      <c r="J563" s="155"/>
    </row>
    <row r="564" spans="1:10">
      <c r="A564" s="155" t="s">
        <v>3117</v>
      </c>
      <c r="B564" s="155" t="s">
        <v>3118</v>
      </c>
      <c r="C564" s="155" t="s">
        <v>821</v>
      </c>
      <c r="D564" s="155" t="s">
        <v>1668</v>
      </c>
      <c r="E564" s="155"/>
      <c r="F564" s="155"/>
      <c r="G564" s="155"/>
      <c r="H564" s="155" t="s">
        <v>1672</v>
      </c>
      <c r="I564" s="155" t="s">
        <v>178</v>
      </c>
      <c r="J564" s="155"/>
    </row>
    <row r="565" spans="1:10">
      <c r="A565" s="155" t="s">
        <v>3119</v>
      </c>
      <c r="B565" s="155" t="s">
        <v>3120</v>
      </c>
      <c r="C565" s="155" t="s">
        <v>822</v>
      </c>
      <c r="D565" s="155" t="s">
        <v>1668</v>
      </c>
      <c r="E565" s="155">
        <v>4</v>
      </c>
      <c r="F565" s="155"/>
      <c r="G565" s="155"/>
      <c r="H565" s="155" t="s">
        <v>1672</v>
      </c>
      <c r="I565" s="155" t="s">
        <v>178</v>
      </c>
      <c r="J565" s="155"/>
    </row>
    <row r="566" spans="1:10">
      <c r="A566" s="155" t="s">
        <v>3121</v>
      </c>
      <c r="B566" s="155" t="s">
        <v>3122</v>
      </c>
      <c r="C566" s="155" t="s">
        <v>824</v>
      </c>
      <c r="D566" s="155" t="s">
        <v>1668</v>
      </c>
      <c r="E566" s="155">
        <v>2</v>
      </c>
      <c r="F566" s="155"/>
      <c r="G566" s="155"/>
      <c r="H566" s="155" t="s">
        <v>1672</v>
      </c>
      <c r="I566" s="155" t="s">
        <v>178</v>
      </c>
      <c r="J566" s="155"/>
    </row>
    <row r="567" spans="1:10">
      <c r="A567" s="155" t="s">
        <v>3123</v>
      </c>
      <c r="B567" s="155" t="s">
        <v>3124</v>
      </c>
      <c r="C567" s="155" t="s">
        <v>825</v>
      </c>
      <c r="D567" s="155" t="s">
        <v>1668</v>
      </c>
      <c r="E567" s="155">
        <v>1</v>
      </c>
      <c r="F567" s="155"/>
      <c r="G567" s="155"/>
      <c r="H567" s="155" t="s">
        <v>1672</v>
      </c>
      <c r="I567" s="155" t="s">
        <v>178</v>
      </c>
      <c r="J567" s="155"/>
    </row>
    <row r="568" spans="1:10">
      <c r="A568" s="155" t="s">
        <v>3125</v>
      </c>
      <c r="B568" s="155" t="s">
        <v>3126</v>
      </c>
      <c r="C568" s="155" t="s">
        <v>826</v>
      </c>
      <c r="D568" s="155" t="s">
        <v>1668</v>
      </c>
      <c r="E568" s="155">
        <v>1.5</v>
      </c>
      <c r="F568" s="155"/>
      <c r="G568" s="155"/>
      <c r="H568" s="155" t="s">
        <v>1672</v>
      </c>
      <c r="I568" s="155" t="s">
        <v>178</v>
      </c>
      <c r="J568" s="155"/>
    </row>
    <row r="569" spans="1:10">
      <c r="A569" s="155" t="s">
        <v>3127</v>
      </c>
      <c r="B569" s="155" t="s">
        <v>3128</v>
      </c>
      <c r="C569" s="155" t="s">
        <v>828</v>
      </c>
      <c r="D569" s="155" t="s">
        <v>1668</v>
      </c>
      <c r="E569" s="155">
        <v>1</v>
      </c>
      <c r="F569" s="155"/>
      <c r="G569" s="155"/>
      <c r="H569" s="155" t="s">
        <v>1672</v>
      </c>
      <c r="I569" s="155" t="s">
        <v>178</v>
      </c>
      <c r="J569" s="155"/>
    </row>
    <row r="570" spans="1:10">
      <c r="A570" s="155" t="s">
        <v>3129</v>
      </c>
      <c r="B570" s="155" t="s">
        <v>3130</v>
      </c>
      <c r="C570" s="155" t="s">
        <v>3131</v>
      </c>
      <c r="D570" s="155" t="s">
        <v>1668</v>
      </c>
      <c r="E570" s="155">
        <v>8</v>
      </c>
      <c r="F570" s="155"/>
      <c r="G570" s="155"/>
      <c r="H570" s="155" t="s">
        <v>1672</v>
      </c>
      <c r="I570" s="155" t="s">
        <v>2069</v>
      </c>
      <c r="J570" s="155"/>
    </row>
    <row r="571" spans="1:10">
      <c r="A571" s="155" t="s">
        <v>3132</v>
      </c>
      <c r="B571" s="155" t="s">
        <v>1125</v>
      </c>
      <c r="C571" s="155" t="s">
        <v>830</v>
      </c>
      <c r="D571" s="155" t="s">
        <v>1668</v>
      </c>
      <c r="E571" s="155"/>
      <c r="F571" s="155"/>
      <c r="G571" s="155"/>
      <c r="H571" s="155" t="s">
        <v>1672</v>
      </c>
      <c r="I571" s="155" t="s">
        <v>178</v>
      </c>
      <c r="J571" s="155"/>
    </row>
    <row r="572" spans="1:10">
      <c r="A572" s="155" t="s">
        <v>3133</v>
      </c>
      <c r="B572" s="155" t="s">
        <v>3134</v>
      </c>
      <c r="C572" s="155" t="s">
        <v>3135</v>
      </c>
      <c r="D572" s="155" t="s">
        <v>1668</v>
      </c>
      <c r="E572" s="155">
        <v>8</v>
      </c>
      <c r="F572" s="155">
        <v>3</v>
      </c>
      <c r="G572" s="155">
        <v>113.2</v>
      </c>
      <c r="H572" s="155" t="s">
        <v>1673</v>
      </c>
      <c r="I572" s="155" t="s">
        <v>38</v>
      </c>
      <c r="J572" s="155"/>
    </row>
    <row r="573" spans="1:10">
      <c r="A573" s="155" t="s">
        <v>3136</v>
      </c>
      <c r="B573" s="155" t="s">
        <v>3137</v>
      </c>
      <c r="C573" s="155" t="s">
        <v>3138</v>
      </c>
      <c r="D573" s="155" t="s">
        <v>1668</v>
      </c>
      <c r="E573" s="155">
        <v>8</v>
      </c>
      <c r="F573" s="155">
        <v>3</v>
      </c>
      <c r="G573" s="155">
        <v>113.3</v>
      </c>
      <c r="H573" s="155" t="s">
        <v>1673</v>
      </c>
      <c r="I573" s="155" t="s">
        <v>38</v>
      </c>
      <c r="J573" s="155"/>
    </row>
    <row r="574" spans="1:10">
      <c r="A574" s="155" t="s">
        <v>3139</v>
      </c>
      <c r="B574" s="155" t="s">
        <v>3140</v>
      </c>
      <c r="C574" s="155" t="s">
        <v>3141</v>
      </c>
      <c r="D574" s="155" t="s">
        <v>1668</v>
      </c>
      <c r="E574" s="155"/>
      <c r="F574" s="155"/>
      <c r="G574" s="155"/>
      <c r="H574" s="155" t="s">
        <v>1672</v>
      </c>
      <c r="I574" s="155" t="s">
        <v>178</v>
      </c>
      <c r="J574" s="155"/>
    </row>
    <row r="575" spans="1:10">
      <c r="A575" s="155" t="s">
        <v>3142</v>
      </c>
      <c r="B575" s="155" t="s">
        <v>3143</v>
      </c>
      <c r="C575" s="155" t="s">
        <v>831</v>
      </c>
      <c r="D575" s="155" t="s">
        <v>1668</v>
      </c>
      <c r="E575" s="155"/>
      <c r="F575" s="155">
        <v>2.5</v>
      </c>
      <c r="G575" s="155">
        <v>286.89999999999998</v>
      </c>
      <c r="H575" s="155" t="s">
        <v>1673</v>
      </c>
      <c r="I575" s="155" t="s">
        <v>41</v>
      </c>
      <c r="J575" s="155"/>
    </row>
    <row r="576" spans="1:10">
      <c r="A576" s="155" t="s">
        <v>3144</v>
      </c>
      <c r="B576" s="155" t="s">
        <v>3145</v>
      </c>
      <c r="C576" s="155" t="s">
        <v>832</v>
      </c>
      <c r="D576" s="155" t="s">
        <v>1668</v>
      </c>
      <c r="E576" s="155"/>
      <c r="F576" s="155"/>
      <c r="G576" s="155"/>
      <c r="H576" s="155" t="s">
        <v>1672</v>
      </c>
      <c r="I576" s="155" t="s">
        <v>708</v>
      </c>
      <c r="J576" s="155"/>
    </row>
    <row r="577" spans="1:10">
      <c r="A577" s="155" t="s">
        <v>3146</v>
      </c>
      <c r="B577" s="155" t="s">
        <v>3147</v>
      </c>
      <c r="C577" s="155" t="s">
        <v>833</v>
      </c>
      <c r="D577" s="155" t="s">
        <v>1668</v>
      </c>
      <c r="E577" s="155"/>
      <c r="F577" s="155"/>
      <c r="G577" s="155"/>
      <c r="H577" s="155" t="s">
        <v>1672</v>
      </c>
      <c r="I577" s="155" t="s">
        <v>708</v>
      </c>
      <c r="J577" s="155"/>
    </row>
    <row r="578" spans="1:10">
      <c r="A578" s="155" t="s">
        <v>3148</v>
      </c>
      <c r="B578" s="155" t="s">
        <v>3149</v>
      </c>
      <c r="C578" s="155" t="s">
        <v>834</v>
      </c>
      <c r="D578" s="155" t="s">
        <v>1668</v>
      </c>
      <c r="E578" s="155">
        <v>8</v>
      </c>
      <c r="F578" s="155">
        <v>4</v>
      </c>
      <c r="G578" s="155">
        <v>307.8</v>
      </c>
      <c r="H578" s="155" t="s">
        <v>1673</v>
      </c>
      <c r="I578" s="155" t="s">
        <v>41</v>
      </c>
      <c r="J578" s="155"/>
    </row>
    <row r="579" spans="1:10">
      <c r="A579" s="155" t="s">
        <v>3150</v>
      </c>
      <c r="B579" s="155" t="s">
        <v>3151</v>
      </c>
      <c r="C579" s="155" t="s">
        <v>835</v>
      </c>
      <c r="D579" s="155" t="s">
        <v>1668</v>
      </c>
      <c r="E579" s="155"/>
      <c r="F579" s="155"/>
      <c r="G579" s="155"/>
      <c r="H579" s="155" t="s">
        <v>1672</v>
      </c>
      <c r="I579" s="155" t="s">
        <v>708</v>
      </c>
      <c r="J579" s="155"/>
    </row>
    <row r="580" spans="1:10">
      <c r="A580" s="155" t="s">
        <v>3152</v>
      </c>
      <c r="B580" s="155" t="s">
        <v>3153</v>
      </c>
      <c r="C580" s="155" t="s">
        <v>836</v>
      </c>
      <c r="D580" s="155" t="s">
        <v>1668</v>
      </c>
      <c r="E580" s="155"/>
      <c r="F580" s="155"/>
      <c r="G580" s="155"/>
      <c r="H580" s="155" t="s">
        <v>1672</v>
      </c>
      <c r="I580" s="155" t="s">
        <v>41</v>
      </c>
      <c r="J580" s="155"/>
    </row>
    <row r="581" spans="1:10">
      <c r="A581" s="155" t="s">
        <v>3154</v>
      </c>
      <c r="B581" s="155" t="s">
        <v>3155</v>
      </c>
      <c r="C581" s="155" t="s">
        <v>837</v>
      </c>
      <c r="D581" s="155" t="s">
        <v>1668</v>
      </c>
      <c r="E581" s="155"/>
      <c r="F581" s="155"/>
      <c r="G581" s="155"/>
      <c r="H581" s="155" t="s">
        <v>1672</v>
      </c>
      <c r="I581" s="155" t="s">
        <v>41</v>
      </c>
      <c r="J581" s="155"/>
    </row>
    <row r="582" spans="1:10">
      <c r="A582" s="155" t="s">
        <v>3156</v>
      </c>
      <c r="B582" s="155" t="s">
        <v>3157</v>
      </c>
      <c r="C582" s="155" t="s">
        <v>838</v>
      </c>
      <c r="D582" s="155" t="s">
        <v>1668</v>
      </c>
      <c r="E582" s="155"/>
      <c r="F582" s="155"/>
      <c r="G582" s="155"/>
      <c r="H582" s="155" t="s">
        <v>1672</v>
      </c>
      <c r="I582" s="155" t="s">
        <v>41</v>
      </c>
      <c r="J582" s="155"/>
    </row>
    <row r="583" spans="1:10">
      <c r="A583" s="155" t="s">
        <v>3158</v>
      </c>
      <c r="B583" s="155" t="s">
        <v>3159</v>
      </c>
      <c r="C583" s="155" t="s">
        <v>839</v>
      </c>
      <c r="D583" s="155" t="s">
        <v>1668</v>
      </c>
      <c r="E583" s="155"/>
      <c r="F583" s="155"/>
      <c r="G583" s="155"/>
      <c r="H583" s="155" t="s">
        <v>1672</v>
      </c>
      <c r="I583" s="155" t="s">
        <v>41</v>
      </c>
      <c r="J583" s="155"/>
    </row>
    <row r="584" spans="1:10">
      <c r="A584" s="155" t="s">
        <v>3160</v>
      </c>
      <c r="B584" s="155" t="s">
        <v>3161</v>
      </c>
      <c r="C584" s="155" t="s">
        <v>3162</v>
      </c>
      <c r="D584" s="155" t="s">
        <v>1668</v>
      </c>
      <c r="E584" s="155">
        <v>30</v>
      </c>
      <c r="F584" s="155"/>
      <c r="G584" s="155"/>
      <c r="H584" s="155" t="s">
        <v>1672</v>
      </c>
      <c r="I584" s="155" t="s">
        <v>147</v>
      </c>
      <c r="J584" s="155"/>
    </row>
    <row r="585" spans="1:10">
      <c r="A585" s="155" t="s">
        <v>3163</v>
      </c>
      <c r="B585" s="155" t="s">
        <v>3164</v>
      </c>
      <c r="C585" s="155" t="s">
        <v>841</v>
      </c>
      <c r="D585" s="155" t="s">
        <v>1668</v>
      </c>
      <c r="E585" s="155"/>
      <c r="F585" s="155"/>
      <c r="G585" s="155"/>
      <c r="H585" s="155" t="s">
        <v>1672</v>
      </c>
      <c r="I585" s="155" t="s">
        <v>41</v>
      </c>
      <c r="J585" s="155"/>
    </row>
    <row r="586" spans="1:10">
      <c r="A586" s="155" t="s">
        <v>3165</v>
      </c>
      <c r="B586" s="155" t="s">
        <v>3166</v>
      </c>
      <c r="C586" s="155" t="s">
        <v>842</v>
      </c>
      <c r="D586" s="155" t="s">
        <v>1668</v>
      </c>
      <c r="E586" s="155"/>
      <c r="F586" s="155"/>
      <c r="G586" s="155"/>
      <c r="H586" s="155" t="s">
        <v>1672</v>
      </c>
      <c r="I586" s="155" t="s">
        <v>41</v>
      </c>
      <c r="J586" s="155"/>
    </row>
    <row r="587" spans="1:10">
      <c r="A587" s="155" t="s">
        <v>3167</v>
      </c>
      <c r="B587" s="155" t="s">
        <v>3168</v>
      </c>
      <c r="C587" s="155" t="s">
        <v>843</v>
      </c>
      <c r="D587" s="155" t="s">
        <v>1668</v>
      </c>
      <c r="E587" s="155"/>
      <c r="F587" s="155"/>
      <c r="G587" s="155"/>
      <c r="H587" s="155" t="s">
        <v>1672</v>
      </c>
      <c r="I587" s="155" t="s">
        <v>41</v>
      </c>
      <c r="J587" s="155"/>
    </row>
    <row r="588" spans="1:10">
      <c r="A588" s="155" t="s">
        <v>3169</v>
      </c>
      <c r="B588" s="155" t="s">
        <v>3170</v>
      </c>
      <c r="C588" s="155" t="s">
        <v>844</v>
      </c>
      <c r="D588" s="155" t="s">
        <v>1668</v>
      </c>
      <c r="E588" s="155"/>
      <c r="F588" s="155">
        <v>4.3</v>
      </c>
      <c r="G588" s="155">
        <v>199.4</v>
      </c>
      <c r="H588" s="155" t="s">
        <v>1673</v>
      </c>
      <c r="I588" s="155" t="s">
        <v>41</v>
      </c>
      <c r="J588" s="155"/>
    </row>
    <row r="589" spans="1:10">
      <c r="A589" s="155" t="s">
        <v>3171</v>
      </c>
      <c r="B589" s="155" t="s">
        <v>3172</v>
      </c>
      <c r="C589" s="155" t="s">
        <v>845</v>
      </c>
      <c r="D589" s="155" t="s">
        <v>1668</v>
      </c>
      <c r="E589" s="155"/>
      <c r="F589" s="155"/>
      <c r="G589" s="155"/>
      <c r="H589" s="155" t="s">
        <v>1672</v>
      </c>
      <c r="I589" s="155" t="s">
        <v>41</v>
      </c>
      <c r="J589" s="155"/>
    </row>
    <row r="590" spans="1:10">
      <c r="A590" s="155" t="s">
        <v>3173</v>
      </c>
      <c r="B590" s="155" t="s">
        <v>3174</v>
      </c>
      <c r="C590" s="155" t="s">
        <v>846</v>
      </c>
      <c r="D590" s="155" t="s">
        <v>1668</v>
      </c>
      <c r="E590" s="155"/>
      <c r="F590" s="155"/>
      <c r="G590" s="155"/>
      <c r="H590" s="155" t="s">
        <v>1672</v>
      </c>
      <c r="I590" s="155" t="s">
        <v>41</v>
      </c>
      <c r="J590" s="155"/>
    </row>
    <row r="591" spans="1:10">
      <c r="A591" s="155" t="s">
        <v>3175</v>
      </c>
      <c r="B591" s="155" t="s">
        <v>3176</v>
      </c>
      <c r="C591" s="155" t="s">
        <v>847</v>
      </c>
      <c r="D591" s="155" t="s">
        <v>1668</v>
      </c>
      <c r="E591" s="155">
        <v>1</v>
      </c>
      <c r="F591" s="155">
        <v>2</v>
      </c>
      <c r="G591" s="155">
        <v>287.89999999999998</v>
      </c>
      <c r="H591" s="155" t="s">
        <v>1673</v>
      </c>
      <c r="I591" s="155" t="s">
        <v>41</v>
      </c>
      <c r="J591" s="155"/>
    </row>
    <row r="592" spans="1:10">
      <c r="A592" s="155" t="s">
        <v>3177</v>
      </c>
      <c r="B592" s="155" t="s">
        <v>3178</v>
      </c>
      <c r="C592" s="155" t="s">
        <v>848</v>
      </c>
      <c r="D592" s="155" t="s">
        <v>1668</v>
      </c>
      <c r="E592" s="155"/>
      <c r="F592" s="155"/>
      <c r="G592" s="155"/>
      <c r="H592" s="155" t="s">
        <v>1672</v>
      </c>
      <c r="I592" s="155" t="s">
        <v>41</v>
      </c>
      <c r="J592" s="155"/>
    </row>
    <row r="593" spans="1:10">
      <c r="A593" s="155" t="s">
        <v>3179</v>
      </c>
      <c r="B593" s="155" t="s">
        <v>3180</v>
      </c>
      <c r="C593" s="155" t="s">
        <v>849</v>
      </c>
      <c r="D593" s="155" t="s">
        <v>1668</v>
      </c>
      <c r="E593" s="155"/>
      <c r="F593" s="155"/>
      <c r="G593" s="155"/>
      <c r="H593" s="155" t="s">
        <v>1672</v>
      </c>
      <c r="I593" s="155" t="s">
        <v>41</v>
      </c>
      <c r="J593" s="155"/>
    </row>
    <row r="594" spans="1:10">
      <c r="A594" s="155" t="s">
        <v>3181</v>
      </c>
      <c r="B594" s="155" t="s">
        <v>3182</v>
      </c>
      <c r="C594" s="155" t="s">
        <v>850</v>
      </c>
      <c r="D594" s="155" t="s">
        <v>1668</v>
      </c>
      <c r="E594" s="155"/>
      <c r="F594" s="155"/>
      <c r="G594" s="155"/>
      <c r="H594" s="155" t="s">
        <v>1672</v>
      </c>
      <c r="I594" s="155" t="s">
        <v>41</v>
      </c>
      <c r="J594" s="155"/>
    </row>
    <row r="595" spans="1:10">
      <c r="A595" s="155" t="s">
        <v>3183</v>
      </c>
      <c r="B595" s="155" t="s">
        <v>3184</v>
      </c>
      <c r="C595" s="155" t="s">
        <v>853</v>
      </c>
      <c r="D595" s="155" t="s">
        <v>1668</v>
      </c>
      <c r="E595" s="155"/>
      <c r="F595" s="155"/>
      <c r="G595" s="155"/>
      <c r="H595" s="155" t="s">
        <v>1672</v>
      </c>
      <c r="I595" s="155" t="s">
        <v>178</v>
      </c>
      <c r="J595" s="155"/>
    </row>
    <row r="596" spans="1:10">
      <c r="A596" s="155" t="s">
        <v>3185</v>
      </c>
      <c r="B596" s="155" t="s">
        <v>3186</v>
      </c>
      <c r="C596" s="155" t="s">
        <v>854</v>
      </c>
      <c r="D596" s="155" t="s">
        <v>1668</v>
      </c>
      <c r="E596" s="155"/>
      <c r="F596" s="155"/>
      <c r="G596" s="155"/>
      <c r="H596" s="155" t="s">
        <v>1672</v>
      </c>
      <c r="I596" s="155" t="s">
        <v>178</v>
      </c>
      <c r="J596" s="155"/>
    </row>
    <row r="597" spans="1:10">
      <c r="A597" s="155" t="s">
        <v>3187</v>
      </c>
      <c r="B597" s="155" t="s">
        <v>3188</v>
      </c>
      <c r="C597" s="155" t="s">
        <v>3189</v>
      </c>
      <c r="D597" s="155" t="s">
        <v>1668</v>
      </c>
      <c r="E597" s="155"/>
      <c r="F597" s="155">
        <v>10</v>
      </c>
      <c r="G597" s="155">
        <v>304.39999999999998</v>
      </c>
      <c r="H597" s="155" t="s">
        <v>1673</v>
      </c>
      <c r="I597" s="155" t="s">
        <v>2237</v>
      </c>
      <c r="J597" s="155"/>
    </row>
    <row r="598" spans="1:10">
      <c r="A598" s="155" t="s">
        <v>3190</v>
      </c>
      <c r="B598" s="155" t="s">
        <v>3191</v>
      </c>
      <c r="C598" s="155" t="s">
        <v>3192</v>
      </c>
      <c r="D598" s="155" t="s">
        <v>1668</v>
      </c>
      <c r="E598" s="155">
        <v>6</v>
      </c>
      <c r="F598" s="155">
        <v>6</v>
      </c>
      <c r="G598" s="155">
        <v>253.9</v>
      </c>
      <c r="H598" s="155" t="s">
        <v>1673</v>
      </c>
      <c r="I598" s="155" t="s">
        <v>2237</v>
      </c>
      <c r="J598" s="155"/>
    </row>
    <row r="599" spans="1:10">
      <c r="A599" s="155" t="s">
        <v>3193</v>
      </c>
      <c r="B599" s="155" t="s">
        <v>3194</v>
      </c>
      <c r="C599" s="155" t="s">
        <v>3195</v>
      </c>
      <c r="D599" s="155" t="s">
        <v>1668</v>
      </c>
      <c r="E599" s="155">
        <v>4</v>
      </c>
      <c r="F599" s="155"/>
      <c r="G599" s="155"/>
      <c r="H599" s="155" t="s">
        <v>1672</v>
      </c>
      <c r="I599" s="155" t="s">
        <v>38</v>
      </c>
      <c r="J599" s="155"/>
    </row>
    <row r="600" spans="1:10">
      <c r="A600" s="155" t="s">
        <v>3196</v>
      </c>
      <c r="B600" s="155" t="s">
        <v>3197</v>
      </c>
      <c r="C600" s="155" t="s">
        <v>3198</v>
      </c>
      <c r="D600" s="155" t="s">
        <v>1668</v>
      </c>
      <c r="E600" s="155">
        <v>4</v>
      </c>
      <c r="F600" s="155"/>
      <c r="G600" s="155"/>
      <c r="H600" s="155" t="s">
        <v>1672</v>
      </c>
      <c r="I600" s="155" t="s">
        <v>38</v>
      </c>
      <c r="J600" s="155"/>
    </row>
    <row r="601" spans="1:10">
      <c r="A601" s="155" t="s">
        <v>3199</v>
      </c>
      <c r="B601" s="155" t="s">
        <v>3200</v>
      </c>
      <c r="C601" s="155" t="s">
        <v>3201</v>
      </c>
      <c r="D601" s="155" t="s">
        <v>1668</v>
      </c>
      <c r="E601" s="155"/>
      <c r="F601" s="155">
        <v>0.2</v>
      </c>
      <c r="G601" s="155">
        <v>186.8</v>
      </c>
      <c r="H601" s="155" t="s">
        <v>1673</v>
      </c>
      <c r="I601" s="155" t="s">
        <v>2774</v>
      </c>
      <c r="J601" s="155"/>
    </row>
    <row r="602" spans="1:10">
      <c r="A602" s="155" t="s">
        <v>3202</v>
      </c>
      <c r="B602" s="155" t="s">
        <v>3203</v>
      </c>
      <c r="C602" s="155" t="s">
        <v>3204</v>
      </c>
      <c r="D602" s="155" t="s">
        <v>1668</v>
      </c>
      <c r="E602" s="155">
        <v>4</v>
      </c>
      <c r="F602" s="155"/>
      <c r="G602" s="155"/>
      <c r="H602" s="155" t="s">
        <v>1672</v>
      </c>
      <c r="I602" s="155" t="s">
        <v>2774</v>
      </c>
      <c r="J602" s="155"/>
    </row>
    <row r="603" spans="1:10">
      <c r="A603" s="155" t="s">
        <v>3205</v>
      </c>
      <c r="B603" s="155" t="s">
        <v>3206</v>
      </c>
      <c r="C603" s="155" t="s">
        <v>3207</v>
      </c>
      <c r="D603" s="155" t="s">
        <v>1668</v>
      </c>
      <c r="E603" s="155"/>
      <c r="F603" s="155">
        <v>1.2</v>
      </c>
      <c r="G603" s="155">
        <v>178.4</v>
      </c>
      <c r="H603" s="155" t="s">
        <v>1673</v>
      </c>
      <c r="I603" s="155" t="s">
        <v>2774</v>
      </c>
      <c r="J603" s="155"/>
    </row>
    <row r="604" spans="1:10">
      <c r="A604" s="155" t="s">
        <v>3208</v>
      </c>
      <c r="B604" s="155" t="s">
        <v>3209</v>
      </c>
      <c r="C604" s="155" t="s">
        <v>3210</v>
      </c>
      <c r="D604" s="155" t="s">
        <v>1668</v>
      </c>
      <c r="E604" s="155"/>
      <c r="F604" s="155">
        <v>0.2</v>
      </c>
      <c r="G604" s="155">
        <v>177.2</v>
      </c>
      <c r="H604" s="155" t="s">
        <v>1673</v>
      </c>
      <c r="I604" s="155" t="s">
        <v>2774</v>
      </c>
      <c r="J604" s="155"/>
    </row>
    <row r="605" spans="1:10">
      <c r="A605" s="155" t="s">
        <v>3211</v>
      </c>
      <c r="B605" s="155" t="s">
        <v>3212</v>
      </c>
      <c r="C605" s="155" t="s">
        <v>855</v>
      </c>
      <c r="D605" s="155" t="s">
        <v>1668</v>
      </c>
      <c r="E605" s="155"/>
      <c r="F605" s="155">
        <v>35.5</v>
      </c>
      <c r="G605" s="155">
        <v>311.7</v>
      </c>
      <c r="H605" s="155" t="s">
        <v>1673</v>
      </c>
      <c r="I605" s="155" t="s">
        <v>41</v>
      </c>
      <c r="J605" s="155"/>
    </row>
    <row r="606" spans="1:10">
      <c r="A606" s="155" t="s">
        <v>3213</v>
      </c>
      <c r="B606" s="155" t="s">
        <v>3214</v>
      </c>
      <c r="C606" s="155" t="s">
        <v>3215</v>
      </c>
      <c r="D606" s="155" t="s">
        <v>1668</v>
      </c>
      <c r="E606" s="155"/>
      <c r="F606" s="155">
        <v>2</v>
      </c>
      <c r="G606" s="155">
        <v>184.4</v>
      </c>
      <c r="H606" s="155" t="s">
        <v>1673</v>
      </c>
      <c r="I606" s="155" t="s">
        <v>2774</v>
      </c>
      <c r="J606" s="155"/>
    </row>
    <row r="607" spans="1:10">
      <c r="A607" s="155" t="s">
        <v>3216</v>
      </c>
      <c r="B607" s="155" t="s">
        <v>3217</v>
      </c>
      <c r="C607" s="155" t="s">
        <v>857</v>
      </c>
      <c r="D607" s="155" t="s">
        <v>1668</v>
      </c>
      <c r="E607" s="155"/>
      <c r="F607" s="155"/>
      <c r="G607" s="155"/>
      <c r="H607" s="155" t="s">
        <v>1672</v>
      </c>
      <c r="I607" s="155" t="s">
        <v>75</v>
      </c>
      <c r="J607" s="155"/>
    </row>
    <row r="608" spans="1:10">
      <c r="A608" s="155" t="s">
        <v>3218</v>
      </c>
      <c r="B608" s="155" t="s">
        <v>3219</v>
      </c>
      <c r="C608" s="155" t="s">
        <v>858</v>
      </c>
      <c r="D608" s="155" t="s">
        <v>1668</v>
      </c>
      <c r="E608" s="155">
        <v>8</v>
      </c>
      <c r="F608" s="155"/>
      <c r="G608" s="155"/>
      <c r="H608" s="155" t="s">
        <v>1672</v>
      </c>
      <c r="I608" s="155" t="s">
        <v>360</v>
      </c>
      <c r="J608" s="155"/>
    </row>
    <row r="609" spans="1:10">
      <c r="A609" s="155" t="s">
        <v>3220</v>
      </c>
      <c r="B609" s="155" t="s">
        <v>3221</v>
      </c>
      <c r="C609" s="155" t="s">
        <v>859</v>
      </c>
      <c r="D609" s="155" t="s">
        <v>1668</v>
      </c>
      <c r="E609" s="155">
        <v>8</v>
      </c>
      <c r="F609" s="155"/>
      <c r="G609" s="155"/>
      <c r="H609" s="155" t="s">
        <v>1672</v>
      </c>
      <c r="I609" s="155" t="s">
        <v>360</v>
      </c>
      <c r="J609" s="155"/>
    </row>
    <row r="610" spans="1:10">
      <c r="A610" s="155" t="s">
        <v>3222</v>
      </c>
      <c r="B610" s="155" t="s">
        <v>3223</v>
      </c>
      <c r="C610" s="155" t="s">
        <v>860</v>
      </c>
      <c r="D610" s="155" t="s">
        <v>1668</v>
      </c>
      <c r="E610" s="155">
        <v>6</v>
      </c>
      <c r="F610" s="155"/>
      <c r="G610" s="155"/>
      <c r="H610" s="155" t="s">
        <v>1672</v>
      </c>
      <c r="I610" s="155" t="s">
        <v>360</v>
      </c>
      <c r="J610" s="155"/>
    </row>
    <row r="611" spans="1:10">
      <c r="A611" s="155" t="s">
        <v>3224</v>
      </c>
      <c r="B611" s="155" t="s">
        <v>3225</v>
      </c>
      <c r="C611" s="155" t="s">
        <v>861</v>
      </c>
      <c r="D611" s="155" t="s">
        <v>1668</v>
      </c>
      <c r="E611" s="155">
        <v>6</v>
      </c>
      <c r="F611" s="155"/>
      <c r="G611" s="155"/>
      <c r="H611" s="155" t="s">
        <v>1672</v>
      </c>
      <c r="I611" s="155" t="s">
        <v>360</v>
      </c>
      <c r="J611" s="155"/>
    </row>
    <row r="612" spans="1:10">
      <c r="A612" s="155" t="s">
        <v>3226</v>
      </c>
      <c r="B612" s="155" t="s">
        <v>3227</v>
      </c>
      <c r="C612" s="155" t="s">
        <v>862</v>
      </c>
      <c r="D612" s="155" t="s">
        <v>1668</v>
      </c>
      <c r="E612" s="155">
        <v>4</v>
      </c>
      <c r="F612" s="155"/>
      <c r="G612" s="155"/>
      <c r="H612" s="155" t="s">
        <v>1672</v>
      </c>
      <c r="I612" s="155" t="s">
        <v>360</v>
      </c>
      <c r="J612" s="155"/>
    </row>
    <row r="613" spans="1:10">
      <c r="A613" s="155" t="s">
        <v>3228</v>
      </c>
      <c r="B613" s="155" t="s">
        <v>3229</v>
      </c>
      <c r="C613" s="155" t="s">
        <v>3230</v>
      </c>
      <c r="D613" s="155" t="s">
        <v>1668</v>
      </c>
      <c r="E613" s="155">
        <v>8</v>
      </c>
      <c r="F613" s="155">
        <v>3</v>
      </c>
      <c r="G613" s="155">
        <v>190.4</v>
      </c>
      <c r="H613" s="155" t="s">
        <v>1673</v>
      </c>
      <c r="I613" s="155" t="s">
        <v>2237</v>
      </c>
      <c r="J613" s="155"/>
    </row>
    <row r="614" spans="1:10">
      <c r="A614" s="155" t="s">
        <v>3231</v>
      </c>
      <c r="B614" s="155" t="s">
        <v>3232</v>
      </c>
      <c r="C614" s="155" t="s">
        <v>3233</v>
      </c>
      <c r="D614" s="155" t="s">
        <v>1668</v>
      </c>
      <c r="E614" s="155">
        <v>8</v>
      </c>
      <c r="F614" s="155">
        <v>13.3</v>
      </c>
      <c r="G614" s="155">
        <v>187.4</v>
      </c>
      <c r="H614" s="155" t="s">
        <v>1673</v>
      </c>
      <c r="I614" s="155" t="s">
        <v>2237</v>
      </c>
      <c r="J614" s="155"/>
    </row>
    <row r="615" spans="1:10">
      <c r="A615" s="155" t="s">
        <v>3234</v>
      </c>
      <c r="B615" s="155" t="s">
        <v>3235</v>
      </c>
      <c r="C615" s="155" t="s">
        <v>3236</v>
      </c>
      <c r="D615" s="155" t="s">
        <v>1668</v>
      </c>
      <c r="E615" s="155"/>
      <c r="F615" s="155">
        <v>10</v>
      </c>
      <c r="G615" s="155">
        <v>304.39999999999998</v>
      </c>
      <c r="H615" s="155" t="s">
        <v>1673</v>
      </c>
      <c r="I615" s="155" t="s">
        <v>2237</v>
      </c>
      <c r="J615" s="155"/>
    </row>
    <row r="616" spans="1:10">
      <c r="A616" s="155" t="s">
        <v>3237</v>
      </c>
      <c r="B616" s="155" t="s">
        <v>3238</v>
      </c>
      <c r="C616" s="155" t="s">
        <v>3239</v>
      </c>
      <c r="D616" s="155" t="s">
        <v>1668</v>
      </c>
      <c r="E616" s="155"/>
      <c r="F616" s="155">
        <v>17.8</v>
      </c>
      <c r="G616" s="155">
        <v>300.39999999999998</v>
      </c>
      <c r="H616" s="155" t="s">
        <v>1673</v>
      </c>
      <c r="I616" s="155" t="s">
        <v>2237</v>
      </c>
      <c r="J616" s="155"/>
    </row>
    <row r="617" spans="1:10">
      <c r="A617" s="155" t="s">
        <v>3240</v>
      </c>
      <c r="B617" s="155" t="s">
        <v>3241</v>
      </c>
      <c r="C617" s="155" t="s">
        <v>3242</v>
      </c>
      <c r="D617" s="155" t="s">
        <v>1668</v>
      </c>
      <c r="E617" s="155">
        <v>3</v>
      </c>
      <c r="F617" s="155">
        <v>3</v>
      </c>
      <c r="G617" s="155">
        <v>95</v>
      </c>
      <c r="H617" s="155" t="s">
        <v>1673</v>
      </c>
      <c r="I617" s="155" t="s">
        <v>2237</v>
      </c>
      <c r="J617" s="155"/>
    </row>
    <row r="618" spans="1:10">
      <c r="A618" s="155" t="s">
        <v>3243</v>
      </c>
      <c r="B618" s="155" t="s">
        <v>3244</v>
      </c>
      <c r="C618" s="155" t="s">
        <v>3245</v>
      </c>
      <c r="D618" s="155" t="s">
        <v>1668</v>
      </c>
      <c r="E618" s="155">
        <v>8</v>
      </c>
      <c r="F618" s="155"/>
      <c r="G618" s="155"/>
      <c r="H618" s="155" t="s">
        <v>1672</v>
      </c>
      <c r="I618" s="155" t="s">
        <v>2237</v>
      </c>
      <c r="J618" s="155"/>
    </row>
    <row r="619" spans="1:10">
      <c r="A619" s="155" t="s">
        <v>3246</v>
      </c>
      <c r="B619" s="155" t="s">
        <v>3247</v>
      </c>
      <c r="C619" s="155" t="s">
        <v>3248</v>
      </c>
      <c r="D619" s="155" t="s">
        <v>1668</v>
      </c>
      <c r="E619" s="155"/>
      <c r="F619" s="155">
        <v>0.3</v>
      </c>
      <c r="G619" s="155">
        <v>161.9</v>
      </c>
      <c r="H619" s="155" t="s">
        <v>1673</v>
      </c>
      <c r="I619" s="155" t="s">
        <v>2237</v>
      </c>
      <c r="J619" s="155"/>
    </row>
    <row r="620" spans="1:10">
      <c r="A620" s="155" t="s">
        <v>3249</v>
      </c>
      <c r="B620" s="155" t="s">
        <v>3250</v>
      </c>
      <c r="C620" s="155" t="s">
        <v>3251</v>
      </c>
      <c r="D620" s="155" t="s">
        <v>1668</v>
      </c>
      <c r="E620" s="155"/>
      <c r="F620" s="155">
        <v>0.3</v>
      </c>
      <c r="G620" s="155">
        <v>186.9</v>
      </c>
      <c r="H620" s="155" t="s">
        <v>1673</v>
      </c>
      <c r="I620" s="155" t="s">
        <v>2774</v>
      </c>
      <c r="J620" s="155"/>
    </row>
    <row r="621" spans="1:10">
      <c r="A621" s="155" t="s">
        <v>3252</v>
      </c>
      <c r="B621" s="155" t="s">
        <v>3253</v>
      </c>
      <c r="C621" s="155" t="s">
        <v>3254</v>
      </c>
      <c r="D621" s="155" t="s">
        <v>1668</v>
      </c>
      <c r="E621" s="155">
        <v>3</v>
      </c>
      <c r="F621" s="155">
        <v>1</v>
      </c>
      <c r="G621" s="155">
        <v>69.7</v>
      </c>
      <c r="H621" s="155" t="s">
        <v>1673</v>
      </c>
      <c r="I621" s="155" t="s">
        <v>2774</v>
      </c>
      <c r="J621" s="155"/>
    </row>
    <row r="622" spans="1:10">
      <c r="A622" s="155" t="s">
        <v>3255</v>
      </c>
      <c r="B622" s="155" t="s">
        <v>3256</v>
      </c>
      <c r="C622" s="155" t="s">
        <v>3257</v>
      </c>
      <c r="D622" s="155" t="s">
        <v>1668</v>
      </c>
      <c r="E622" s="155"/>
      <c r="F622" s="155">
        <v>2</v>
      </c>
      <c r="G622" s="155">
        <v>180.4</v>
      </c>
      <c r="H622" s="155" t="s">
        <v>1673</v>
      </c>
      <c r="I622" s="155" t="s">
        <v>2774</v>
      </c>
      <c r="J622" s="155"/>
    </row>
    <row r="623" spans="1:10">
      <c r="A623" s="155" t="s">
        <v>3258</v>
      </c>
      <c r="B623" s="155" t="s">
        <v>3259</v>
      </c>
      <c r="C623" s="155" t="s">
        <v>868</v>
      </c>
      <c r="D623" s="155" t="s">
        <v>1668</v>
      </c>
      <c r="E623" s="155"/>
      <c r="F623" s="155">
        <v>6.5</v>
      </c>
      <c r="G623" s="155">
        <v>39.299999999999997</v>
      </c>
      <c r="H623" s="155" t="s">
        <v>1673</v>
      </c>
      <c r="I623" s="155" t="s">
        <v>178</v>
      </c>
      <c r="J623" s="155"/>
    </row>
    <row r="624" spans="1:10">
      <c r="A624" s="155" t="s">
        <v>3260</v>
      </c>
      <c r="B624" s="155" t="s">
        <v>3261</v>
      </c>
      <c r="C624" s="155" t="s">
        <v>869</v>
      </c>
      <c r="D624" s="155" t="s">
        <v>1668</v>
      </c>
      <c r="E624" s="155"/>
      <c r="F624" s="155">
        <v>4</v>
      </c>
      <c r="G624" s="155">
        <v>307.89999999999998</v>
      </c>
      <c r="H624" s="155" t="s">
        <v>1673</v>
      </c>
      <c r="I624" s="155" t="s">
        <v>41</v>
      </c>
      <c r="J624" s="155"/>
    </row>
    <row r="625" spans="1:10">
      <c r="A625" s="155" t="s">
        <v>3262</v>
      </c>
      <c r="B625" s="155" t="s">
        <v>3263</v>
      </c>
      <c r="C625" s="155" t="s">
        <v>870</v>
      </c>
      <c r="D625" s="155" t="s">
        <v>1668</v>
      </c>
      <c r="E625" s="155"/>
      <c r="F625" s="155"/>
      <c r="G625" s="155"/>
      <c r="H625" s="155" t="s">
        <v>1672</v>
      </c>
      <c r="I625" s="155" t="s">
        <v>41</v>
      </c>
      <c r="J625" s="155"/>
    </row>
    <row r="626" spans="1:10">
      <c r="A626" s="155" t="s">
        <v>3264</v>
      </c>
      <c r="B626" s="155" t="s">
        <v>1155</v>
      </c>
      <c r="C626" s="155" t="s">
        <v>871</v>
      </c>
      <c r="D626" s="155" t="s">
        <v>1668</v>
      </c>
      <c r="E626" s="155"/>
      <c r="F626" s="155"/>
      <c r="G626" s="155"/>
      <c r="H626" s="155" t="s">
        <v>1672</v>
      </c>
      <c r="I626" s="155" t="s">
        <v>41</v>
      </c>
      <c r="J626" s="155"/>
    </row>
    <row r="627" spans="1:10">
      <c r="A627" s="155" t="s">
        <v>3265</v>
      </c>
      <c r="B627" s="155" t="s">
        <v>3266</v>
      </c>
      <c r="C627" s="155" t="s">
        <v>3267</v>
      </c>
      <c r="D627" s="155" t="s">
        <v>1668</v>
      </c>
      <c r="E627" s="155">
        <v>6</v>
      </c>
      <c r="F627" s="155">
        <v>3</v>
      </c>
      <c r="G627" s="155">
        <v>114</v>
      </c>
      <c r="H627" s="155" t="s">
        <v>1673</v>
      </c>
      <c r="I627" s="155" t="s">
        <v>2684</v>
      </c>
      <c r="J627" s="155"/>
    </row>
    <row r="628" spans="1:10">
      <c r="A628" s="155" t="s">
        <v>3268</v>
      </c>
      <c r="B628" s="155" t="s">
        <v>3269</v>
      </c>
      <c r="C628" s="155" t="s">
        <v>873</v>
      </c>
      <c r="D628" s="155" t="s">
        <v>1668</v>
      </c>
      <c r="E628" s="155"/>
      <c r="F628" s="155"/>
      <c r="G628" s="155"/>
      <c r="H628" s="155" t="s">
        <v>1672</v>
      </c>
      <c r="I628" s="155" t="s">
        <v>41</v>
      </c>
      <c r="J628" s="155"/>
    </row>
    <row r="629" spans="1:10">
      <c r="A629" s="155" t="s">
        <v>3270</v>
      </c>
      <c r="B629" s="155" t="s">
        <v>3271</v>
      </c>
      <c r="C629" s="155" t="s">
        <v>874</v>
      </c>
      <c r="D629" s="155" t="s">
        <v>1668</v>
      </c>
      <c r="E629" s="155">
        <v>3</v>
      </c>
      <c r="F629" s="155"/>
      <c r="G629" s="155"/>
      <c r="H629" s="155" t="s">
        <v>1672</v>
      </c>
      <c r="I629" s="155" t="s">
        <v>41</v>
      </c>
      <c r="J629" s="155"/>
    </row>
    <row r="630" spans="1:10">
      <c r="A630" s="155" t="s">
        <v>3272</v>
      </c>
      <c r="B630" s="155" t="s">
        <v>3273</v>
      </c>
      <c r="C630" s="155" t="s">
        <v>3274</v>
      </c>
      <c r="D630" s="155" t="s">
        <v>1668</v>
      </c>
      <c r="E630" s="155"/>
      <c r="F630" s="155">
        <v>121.2</v>
      </c>
      <c r="G630" s="155">
        <v>309.89999999999998</v>
      </c>
      <c r="H630" s="155" t="s">
        <v>1673</v>
      </c>
      <c r="I630" s="155" t="s">
        <v>117</v>
      </c>
      <c r="J630" s="155"/>
    </row>
    <row r="631" spans="1:10">
      <c r="A631" s="155" t="s">
        <v>3275</v>
      </c>
      <c r="B631" s="155" t="s">
        <v>3276</v>
      </c>
      <c r="C631" s="155" t="s">
        <v>3277</v>
      </c>
      <c r="D631" s="155" t="s">
        <v>1668</v>
      </c>
      <c r="E631" s="155"/>
      <c r="F631" s="155">
        <v>110.6</v>
      </c>
      <c r="G631" s="155">
        <v>309.10000000000002</v>
      </c>
      <c r="H631" s="155" t="s">
        <v>1673</v>
      </c>
      <c r="I631" s="155" t="s">
        <v>117</v>
      </c>
      <c r="J631" s="155"/>
    </row>
    <row r="632" spans="1:10">
      <c r="A632" s="155" t="s">
        <v>3278</v>
      </c>
      <c r="B632" s="155" t="s">
        <v>3279</v>
      </c>
      <c r="C632" s="155" t="s">
        <v>3280</v>
      </c>
      <c r="D632" s="155" t="s">
        <v>1668</v>
      </c>
      <c r="E632" s="155">
        <v>6</v>
      </c>
      <c r="F632" s="155">
        <v>8</v>
      </c>
      <c r="G632" s="155">
        <v>164.1</v>
      </c>
      <c r="H632" s="155" t="s">
        <v>1673</v>
      </c>
      <c r="I632" s="155" t="s">
        <v>2684</v>
      </c>
      <c r="J632" s="155"/>
    </row>
    <row r="633" spans="1:10">
      <c r="A633" s="155" t="s">
        <v>3281</v>
      </c>
      <c r="B633" s="155" t="s">
        <v>3282</v>
      </c>
      <c r="C633" s="155" t="s">
        <v>876</v>
      </c>
      <c r="D633" s="155" t="s">
        <v>1668</v>
      </c>
      <c r="E633" s="155"/>
      <c r="F633" s="155">
        <v>4</v>
      </c>
      <c r="G633" s="155">
        <v>307.7</v>
      </c>
      <c r="H633" s="155" t="s">
        <v>1673</v>
      </c>
      <c r="I633" s="155" t="s">
        <v>122</v>
      </c>
      <c r="J633" s="155"/>
    </row>
    <row r="634" spans="1:10">
      <c r="A634" s="155" t="s">
        <v>3283</v>
      </c>
      <c r="B634" s="155" t="s">
        <v>3284</v>
      </c>
      <c r="C634" s="155" t="s">
        <v>877</v>
      </c>
      <c r="D634" s="155" t="s">
        <v>1668</v>
      </c>
      <c r="E634" s="155"/>
      <c r="F634" s="155">
        <v>4</v>
      </c>
      <c r="G634" s="155">
        <v>307.60000000000002</v>
      </c>
      <c r="H634" s="155" t="s">
        <v>1673</v>
      </c>
      <c r="I634" s="155" t="s">
        <v>122</v>
      </c>
      <c r="J634" s="155"/>
    </row>
    <row r="635" spans="1:10">
      <c r="A635" s="155" t="s">
        <v>3285</v>
      </c>
      <c r="B635" s="155" t="s">
        <v>3286</v>
      </c>
      <c r="C635" s="155" t="s">
        <v>3287</v>
      </c>
      <c r="D635" s="155" t="s">
        <v>1668</v>
      </c>
      <c r="E635" s="155">
        <v>6</v>
      </c>
      <c r="F635" s="155"/>
      <c r="G635" s="155"/>
      <c r="H635" s="155" t="s">
        <v>1672</v>
      </c>
      <c r="I635" s="155" t="s">
        <v>2684</v>
      </c>
      <c r="J635" s="155"/>
    </row>
    <row r="636" spans="1:10">
      <c r="A636" s="155" t="s">
        <v>3288</v>
      </c>
      <c r="B636" s="155" t="s">
        <v>3289</v>
      </c>
      <c r="C636" s="155" t="s">
        <v>3290</v>
      </c>
      <c r="D636" s="155" t="s">
        <v>1668</v>
      </c>
      <c r="E636" s="155">
        <v>6</v>
      </c>
      <c r="F636" s="155">
        <v>3</v>
      </c>
      <c r="G636" s="155">
        <v>114.2</v>
      </c>
      <c r="H636" s="155" t="s">
        <v>1673</v>
      </c>
      <c r="I636" s="155" t="s">
        <v>2684</v>
      </c>
      <c r="J636" s="155"/>
    </row>
    <row r="637" spans="1:10">
      <c r="A637" s="155" t="s">
        <v>3291</v>
      </c>
      <c r="B637" s="155" t="s">
        <v>3292</v>
      </c>
      <c r="C637" s="155" t="s">
        <v>3293</v>
      </c>
      <c r="D637" s="155" t="s">
        <v>1668</v>
      </c>
      <c r="E637" s="155">
        <v>6</v>
      </c>
      <c r="F637" s="155"/>
      <c r="G637" s="155"/>
      <c r="H637" s="155" t="s">
        <v>1672</v>
      </c>
      <c r="I637" s="155" t="s">
        <v>2684</v>
      </c>
      <c r="J637" s="155"/>
    </row>
    <row r="638" spans="1:10">
      <c r="A638" s="155" t="s">
        <v>3294</v>
      </c>
      <c r="B638" s="155" t="s">
        <v>3295</v>
      </c>
      <c r="C638" s="155" t="s">
        <v>3296</v>
      </c>
      <c r="D638" s="155" t="s">
        <v>1668</v>
      </c>
      <c r="E638" s="155">
        <v>4</v>
      </c>
      <c r="F638" s="155"/>
      <c r="G638" s="155"/>
      <c r="H638" s="155" t="s">
        <v>1672</v>
      </c>
      <c r="I638" s="155" t="s">
        <v>2684</v>
      </c>
      <c r="J638" s="155"/>
    </row>
    <row r="639" spans="1:10">
      <c r="A639" s="155" t="s">
        <v>3297</v>
      </c>
      <c r="B639" s="155" t="s">
        <v>3298</v>
      </c>
      <c r="C639" s="155" t="s">
        <v>3299</v>
      </c>
      <c r="D639" s="155" t="s">
        <v>1668</v>
      </c>
      <c r="E639" s="155">
        <v>6</v>
      </c>
      <c r="F639" s="155">
        <v>3</v>
      </c>
      <c r="G639" s="155">
        <v>114.1</v>
      </c>
      <c r="H639" s="155" t="s">
        <v>1673</v>
      </c>
      <c r="I639" s="155" t="s">
        <v>2684</v>
      </c>
      <c r="J639" s="155"/>
    </row>
    <row r="640" spans="1:10">
      <c r="A640" s="155" t="s">
        <v>3300</v>
      </c>
      <c r="B640" s="155" t="s">
        <v>3301</v>
      </c>
      <c r="C640" s="155" t="s">
        <v>878</v>
      </c>
      <c r="D640" s="155" t="s">
        <v>1668</v>
      </c>
      <c r="E640" s="155"/>
      <c r="F640" s="155">
        <v>6.7</v>
      </c>
      <c r="G640" s="155">
        <v>287.89999999999998</v>
      </c>
      <c r="H640" s="155" t="s">
        <v>1673</v>
      </c>
      <c r="I640" s="155" t="s">
        <v>41</v>
      </c>
      <c r="J640" s="155"/>
    </row>
    <row r="641" spans="1:10">
      <c r="A641" s="155" t="s">
        <v>3302</v>
      </c>
      <c r="B641" s="155" t="s">
        <v>3303</v>
      </c>
      <c r="C641" s="155" t="s">
        <v>879</v>
      </c>
      <c r="D641" s="155" t="s">
        <v>1668</v>
      </c>
      <c r="E641" s="155"/>
      <c r="F641" s="155">
        <v>45.5</v>
      </c>
      <c r="G641" s="155">
        <v>305.10000000000002</v>
      </c>
      <c r="H641" s="155" t="s">
        <v>1673</v>
      </c>
      <c r="I641" s="155" t="s">
        <v>122</v>
      </c>
      <c r="J641" s="155"/>
    </row>
    <row r="642" spans="1:10">
      <c r="A642" s="155" t="s">
        <v>3304</v>
      </c>
      <c r="B642" s="155" t="s">
        <v>3305</v>
      </c>
      <c r="C642" s="155" t="s">
        <v>880</v>
      </c>
      <c r="D642" s="155" t="s">
        <v>1668</v>
      </c>
      <c r="E642" s="155"/>
      <c r="F642" s="155">
        <v>10</v>
      </c>
      <c r="G642" s="155">
        <v>296.60000000000002</v>
      </c>
      <c r="H642" s="155" t="s">
        <v>1673</v>
      </c>
      <c r="I642" s="155" t="s">
        <v>41</v>
      </c>
      <c r="J642" s="155"/>
    </row>
    <row r="643" spans="1:10">
      <c r="A643" s="155" t="s">
        <v>3306</v>
      </c>
      <c r="B643" s="155" t="s">
        <v>3307</v>
      </c>
      <c r="C643" s="155" t="s">
        <v>881</v>
      </c>
      <c r="D643" s="155" t="s">
        <v>1668</v>
      </c>
      <c r="E643" s="155"/>
      <c r="F643" s="155">
        <v>32</v>
      </c>
      <c r="G643" s="155">
        <v>170.6</v>
      </c>
      <c r="H643" s="155" t="s">
        <v>1673</v>
      </c>
      <c r="I643" s="155" t="s">
        <v>41</v>
      </c>
      <c r="J643" s="155"/>
    </row>
    <row r="644" spans="1:10">
      <c r="A644" s="155" t="s">
        <v>3308</v>
      </c>
      <c r="B644" s="155" t="s">
        <v>3309</v>
      </c>
      <c r="C644" s="155" t="s">
        <v>882</v>
      </c>
      <c r="D644" s="155" t="s">
        <v>1668</v>
      </c>
      <c r="E644" s="155"/>
      <c r="F644" s="155">
        <v>32.5</v>
      </c>
      <c r="G644" s="155">
        <v>279.5</v>
      </c>
      <c r="H644" s="155" t="s">
        <v>1673</v>
      </c>
      <c r="I644" s="155" t="s">
        <v>122</v>
      </c>
      <c r="J644" s="155"/>
    </row>
    <row r="645" spans="1:10">
      <c r="A645" s="155" t="s">
        <v>3310</v>
      </c>
      <c r="B645" s="155" t="s">
        <v>3311</v>
      </c>
      <c r="C645" s="155" t="s">
        <v>883</v>
      </c>
      <c r="D645" s="155" t="s">
        <v>1668</v>
      </c>
      <c r="E645" s="155"/>
      <c r="F645" s="155">
        <v>3</v>
      </c>
      <c r="G645" s="155">
        <v>275.8</v>
      </c>
      <c r="H645" s="155" t="s">
        <v>1673</v>
      </c>
      <c r="I645" s="155" t="s">
        <v>122</v>
      </c>
      <c r="J645" s="155"/>
    </row>
    <row r="646" spans="1:10">
      <c r="A646" s="155" t="s">
        <v>3312</v>
      </c>
      <c r="B646" s="155" t="s">
        <v>3313</v>
      </c>
      <c r="C646" s="155" t="s">
        <v>884</v>
      </c>
      <c r="D646" s="155" t="s">
        <v>1668</v>
      </c>
      <c r="E646" s="155"/>
      <c r="F646" s="155">
        <v>9.5</v>
      </c>
      <c r="G646" s="155">
        <v>286.89999999999998</v>
      </c>
      <c r="H646" s="155" t="s">
        <v>1673</v>
      </c>
      <c r="I646" s="155" t="s">
        <v>41</v>
      </c>
      <c r="J646" s="155"/>
    </row>
    <row r="647" spans="1:10">
      <c r="A647" s="155" t="s">
        <v>3314</v>
      </c>
      <c r="B647" s="155" t="s">
        <v>3315</v>
      </c>
      <c r="C647" s="155" t="s">
        <v>885</v>
      </c>
      <c r="D647" s="155" t="s">
        <v>1668</v>
      </c>
      <c r="E647" s="155"/>
      <c r="F647" s="155">
        <v>26</v>
      </c>
      <c r="G647" s="155">
        <v>303.5</v>
      </c>
      <c r="H647" s="155" t="s">
        <v>1673</v>
      </c>
      <c r="I647" s="155" t="s">
        <v>122</v>
      </c>
      <c r="J647" s="155"/>
    </row>
    <row r="648" spans="1:10">
      <c r="A648" s="155" t="s">
        <v>3316</v>
      </c>
      <c r="B648" s="155" t="s">
        <v>3317</v>
      </c>
      <c r="C648" s="155" t="s">
        <v>886</v>
      </c>
      <c r="D648" s="155" t="s">
        <v>1668</v>
      </c>
      <c r="E648" s="155"/>
      <c r="F648" s="155"/>
      <c r="G648" s="155"/>
      <c r="H648" s="155" t="s">
        <v>1672</v>
      </c>
      <c r="I648" s="155" t="s">
        <v>178</v>
      </c>
      <c r="J648" s="155"/>
    </row>
    <row r="649" spans="1:10">
      <c r="A649" s="155" t="s">
        <v>3318</v>
      </c>
      <c r="B649" s="155" t="s">
        <v>3319</v>
      </c>
      <c r="C649" s="155" t="s">
        <v>887</v>
      </c>
      <c r="D649" s="155" t="s">
        <v>1668</v>
      </c>
      <c r="E649" s="155"/>
      <c r="F649" s="155"/>
      <c r="G649" s="155"/>
      <c r="H649" s="155" t="s">
        <v>1672</v>
      </c>
      <c r="I649" s="155" t="s">
        <v>178</v>
      </c>
      <c r="J649" s="155"/>
    </row>
    <row r="650" spans="1:10">
      <c r="A650" s="155" t="s">
        <v>3320</v>
      </c>
      <c r="B650" s="155" t="s">
        <v>3321</v>
      </c>
      <c r="C650" s="155" t="s">
        <v>888</v>
      </c>
      <c r="D650" s="155" t="s">
        <v>1668</v>
      </c>
      <c r="E650" s="155"/>
      <c r="F650" s="155"/>
      <c r="G650" s="155"/>
      <c r="H650" s="155" t="s">
        <v>1672</v>
      </c>
      <c r="I650" s="155" t="s">
        <v>178</v>
      </c>
      <c r="J650" s="155"/>
    </row>
    <row r="651" spans="1:10">
      <c r="A651" s="155" t="s">
        <v>3322</v>
      </c>
      <c r="B651" s="155" t="s">
        <v>3323</v>
      </c>
      <c r="C651" s="155" t="s">
        <v>889</v>
      </c>
      <c r="D651" s="155" t="s">
        <v>1668</v>
      </c>
      <c r="E651" s="155"/>
      <c r="F651" s="155"/>
      <c r="G651" s="155"/>
      <c r="H651" s="155" t="s">
        <v>1672</v>
      </c>
      <c r="I651" s="155" t="s">
        <v>178</v>
      </c>
      <c r="J651" s="155"/>
    </row>
    <row r="652" spans="1:10">
      <c r="A652" s="155" t="s">
        <v>3324</v>
      </c>
      <c r="B652" s="155" t="s">
        <v>3325</v>
      </c>
      <c r="C652" s="155" t="s">
        <v>890</v>
      </c>
      <c r="D652" s="155" t="s">
        <v>1668</v>
      </c>
      <c r="E652" s="155"/>
      <c r="F652" s="155"/>
      <c r="G652" s="155"/>
      <c r="H652" s="155" t="s">
        <v>1672</v>
      </c>
      <c r="I652" s="155" t="s">
        <v>178</v>
      </c>
      <c r="J652" s="155"/>
    </row>
    <row r="653" spans="1:10">
      <c r="A653" s="155" t="s">
        <v>3326</v>
      </c>
      <c r="B653" s="155" t="s">
        <v>3327</v>
      </c>
      <c r="C653" s="155" t="s">
        <v>891</v>
      </c>
      <c r="D653" s="155" t="s">
        <v>1668</v>
      </c>
      <c r="E653" s="155"/>
      <c r="F653" s="155"/>
      <c r="G653" s="155"/>
      <c r="H653" s="155" t="s">
        <v>1672</v>
      </c>
      <c r="I653" s="155" t="s">
        <v>178</v>
      </c>
      <c r="J653" s="155"/>
    </row>
    <row r="654" spans="1:10">
      <c r="A654" s="155" t="s">
        <v>3328</v>
      </c>
      <c r="B654" s="155" t="s">
        <v>3329</v>
      </c>
      <c r="C654" s="155" t="s">
        <v>892</v>
      </c>
      <c r="D654" s="155" t="s">
        <v>1668</v>
      </c>
      <c r="E654" s="155"/>
      <c r="F654" s="155"/>
      <c r="G654" s="155"/>
      <c r="H654" s="155" t="s">
        <v>1672</v>
      </c>
      <c r="I654" s="155" t="s">
        <v>178</v>
      </c>
      <c r="J654" s="155"/>
    </row>
    <row r="655" spans="1:10">
      <c r="A655" s="155" t="s">
        <v>3330</v>
      </c>
      <c r="B655" s="155" t="s">
        <v>3331</v>
      </c>
      <c r="C655" s="155" t="s">
        <v>893</v>
      </c>
      <c r="D655" s="155" t="s">
        <v>1668</v>
      </c>
      <c r="E655" s="155"/>
      <c r="F655" s="155">
        <v>5</v>
      </c>
      <c r="G655" s="155">
        <v>284.39999999999998</v>
      </c>
      <c r="H655" s="155" t="s">
        <v>1673</v>
      </c>
      <c r="I655" s="155" t="s">
        <v>41</v>
      </c>
      <c r="J655" s="155"/>
    </row>
    <row r="656" spans="1:10">
      <c r="A656" s="155" t="s">
        <v>3332</v>
      </c>
      <c r="B656" s="155" t="s">
        <v>3333</v>
      </c>
      <c r="C656" s="155" t="s">
        <v>894</v>
      </c>
      <c r="D656" s="155" t="s">
        <v>1668</v>
      </c>
      <c r="E656" s="155"/>
      <c r="F656" s="155"/>
      <c r="G656" s="155"/>
      <c r="H656" s="155" t="s">
        <v>1672</v>
      </c>
      <c r="I656" s="155" t="s">
        <v>41</v>
      </c>
      <c r="J656" s="155"/>
    </row>
    <row r="657" spans="1:10">
      <c r="A657" s="155" t="s">
        <v>3334</v>
      </c>
      <c r="B657" s="155" t="s">
        <v>3335</v>
      </c>
      <c r="C657" s="155" t="s">
        <v>3336</v>
      </c>
      <c r="D657" s="155" t="s">
        <v>1668</v>
      </c>
      <c r="E657" s="155"/>
      <c r="F657" s="155">
        <v>42.2</v>
      </c>
      <c r="G657" s="155">
        <v>274.89999999999998</v>
      </c>
      <c r="H657" s="155" t="s">
        <v>1673</v>
      </c>
      <c r="I657" s="155" t="s">
        <v>38</v>
      </c>
      <c r="J657" s="155"/>
    </row>
    <row r="658" spans="1:10">
      <c r="A658" s="155" t="s">
        <v>3337</v>
      </c>
      <c r="B658" s="155" t="s">
        <v>3338</v>
      </c>
      <c r="C658" s="155" t="s">
        <v>3339</v>
      </c>
      <c r="D658" s="155" t="s">
        <v>1668</v>
      </c>
      <c r="E658" s="155">
        <v>6</v>
      </c>
      <c r="F658" s="155">
        <v>10.3</v>
      </c>
      <c r="G658" s="155">
        <v>164.1</v>
      </c>
      <c r="H658" s="155" t="s">
        <v>1673</v>
      </c>
      <c r="I658" s="155" t="s">
        <v>2684</v>
      </c>
      <c r="J658" s="155"/>
    </row>
    <row r="659" spans="1:10">
      <c r="A659" s="155" t="s">
        <v>3340</v>
      </c>
      <c r="B659" s="155" t="s">
        <v>3341</v>
      </c>
      <c r="C659" s="155" t="s">
        <v>3342</v>
      </c>
      <c r="D659" s="155" t="s">
        <v>1668</v>
      </c>
      <c r="E659" s="155">
        <v>6</v>
      </c>
      <c r="F659" s="155">
        <v>6.3</v>
      </c>
      <c r="G659" s="155">
        <v>162.5</v>
      </c>
      <c r="H659" s="155" t="s">
        <v>1673</v>
      </c>
      <c r="I659" s="155" t="s">
        <v>2684</v>
      </c>
      <c r="J659" s="155"/>
    </row>
    <row r="660" spans="1:10">
      <c r="A660" s="155" t="s">
        <v>3343</v>
      </c>
      <c r="B660" s="155" t="s">
        <v>3344</v>
      </c>
      <c r="C660" s="155" t="s">
        <v>897</v>
      </c>
      <c r="D660" s="155" t="s">
        <v>1668</v>
      </c>
      <c r="E660" s="155">
        <v>6.5</v>
      </c>
      <c r="F660" s="155">
        <v>8</v>
      </c>
      <c r="G660" s="155">
        <v>143.6</v>
      </c>
      <c r="H660" s="155" t="s">
        <v>1673</v>
      </c>
      <c r="I660" s="155" t="s">
        <v>3345</v>
      </c>
      <c r="J660" s="155"/>
    </row>
    <row r="661" spans="1:10">
      <c r="A661" s="155" t="s">
        <v>3346</v>
      </c>
      <c r="B661" s="155" t="s">
        <v>3347</v>
      </c>
      <c r="C661" s="155" t="s">
        <v>898</v>
      </c>
      <c r="D661" s="155" t="s">
        <v>1668</v>
      </c>
      <c r="E661" s="155">
        <v>2</v>
      </c>
      <c r="F661" s="155">
        <v>2</v>
      </c>
      <c r="G661" s="155">
        <v>204.9</v>
      </c>
      <c r="H661" s="155" t="s">
        <v>1673</v>
      </c>
      <c r="I661" s="155" t="s">
        <v>360</v>
      </c>
      <c r="J661" s="155"/>
    </row>
    <row r="662" spans="1:10">
      <c r="A662" s="155" t="s">
        <v>3348</v>
      </c>
      <c r="B662" s="155" t="s">
        <v>3349</v>
      </c>
      <c r="C662" s="155" t="s">
        <v>3350</v>
      </c>
      <c r="D662" s="155" t="s">
        <v>1668</v>
      </c>
      <c r="E662" s="155">
        <v>14.5</v>
      </c>
      <c r="F662" s="155">
        <v>15.5</v>
      </c>
      <c r="G662" s="155">
        <v>136.80000000000001</v>
      </c>
      <c r="H662" s="155" t="s">
        <v>1673</v>
      </c>
      <c r="I662" s="155" t="s">
        <v>147</v>
      </c>
      <c r="J662" s="155"/>
    </row>
    <row r="663" spans="1:10">
      <c r="A663" s="155" t="s">
        <v>3351</v>
      </c>
      <c r="B663" s="155" t="s">
        <v>3352</v>
      </c>
      <c r="C663" s="155" t="s">
        <v>899</v>
      </c>
      <c r="D663" s="155" t="s">
        <v>1668</v>
      </c>
      <c r="E663" s="155"/>
      <c r="F663" s="155"/>
      <c r="G663" s="155"/>
      <c r="H663" s="155" t="s">
        <v>1672</v>
      </c>
      <c r="I663" s="155" t="s">
        <v>159</v>
      </c>
      <c r="J663" s="155"/>
    </row>
    <row r="664" spans="1:10">
      <c r="A664" s="155" t="s">
        <v>3353</v>
      </c>
      <c r="B664" s="155" t="s">
        <v>3354</v>
      </c>
      <c r="C664" s="155" t="s">
        <v>900</v>
      </c>
      <c r="D664" s="155" t="s">
        <v>1668</v>
      </c>
      <c r="E664" s="155">
        <v>3</v>
      </c>
      <c r="F664" s="155">
        <v>0.2</v>
      </c>
      <c r="G664" s="155">
        <v>161.4</v>
      </c>
      <c r="H664" s="155" t="s">
        <v>1673</v>
      </c>
      <c r="I664" s="155" t="s">
        <v>159</v>
      </c>
      <c r="J664" s="155"/>
    </row>
    <row r="665" spans="1:10">
      <c r="A665" s="155" t="s">
        <v>3355</v>
      </c>
      <c r="B665" s="155" t="s">
        <v>3356</v>
      </c>
      <c r="C665" s="155" t="s">
        <v>3357</v>
      </c>
      <c r="D665" s="155" t="s">
        <v>1668</v>
      </c>
      <c r="E665" s="155"/>
      <c r="F665" s="155">
        <v>37.799999999999997</v>
      </c>
      <c r="G665" s="155">
        <v>215.2</v>
      </c>
      <c r="H665" s="155" t="s">
        <v>1673</v>
      </c>
      <c r="I665" s="155" t="s">
        <v>147</v>
      </c>
      <c r="J665" s="155"/>
    </row>
    <row r="666" spans="1:10">
      <c r="A666" s="155" t="s">
        <v>3358</v>
      </c>
      <c r="B666" s="155" t="s">
        <v>3359</v>
      </c>
      <c r="C666" s="155" t="s">
        <v>3360</v>
      </c>
      <c r="D666" s="155" t="s">
        <v>1668</v>
      </c>
      <c r="E666" s="155">
        <v>8</v>
      </c>
      <c r="F666" s="155">
        <v>7.5</v>
      </c>
      <c r="G666" s="155">
        <v>83.1</v>
      </c>
      <c r="H666" s="155" t="s">
        <v>1673</v>
      </c>
      <c r="I666" s="155" t="s">
        <v>3361</v>
      </c>
      <c r="J666" s="155"/>
    </row>
    <row r="667" spans="1:10">
      <c r="A667" s="155" t="s">
        <v>3362</v>
      </c>
      <c r="B667" s="155" t="s">
        <v>3363</v>
      </c>
      <c r="C667" s="155" t="s">
        <v>3364</v>
      </c>
      <c r="D667" s="155" t="s">
        <v>1668</v>
      </c>
      <c r="E667" s="155">
        <v>6</v>
      </c>
      <c r="F667" s="155">
        <v>2.5</v>
      </c>
      <c r="G667" s="155">
        <v>109.4</v>
      </c>
      <c r="H667" s="155" t="s">
        <v>1673</v>
      </c>
      <c r="I667" s="155" t="s">
        <v>2165</v>
      </c>
      <c r="J667" s="155"/>
    </row>
    <row r="668" spans="1:10">
      <c r="A668" s="155" t="s">
        <v>3365</v>
      </c>
      <c r="B668" s="155" t="s">
        <v>3366</v>
      </c>
      <c r="C668" s="155" t="s">
        <v>3367</v>
      </c>
      <c r="D668" s="155" t="s">
        <v>1668</v>
      </c>
      <c r="E668" s="155">
        <v>6</v>
      </c>
      <c r="F668" s="155">
        <v>2</v>
      </c>
      <c r="G668" s="155">
        <v>114.6</v>
      </c>
      <c r="H668" s="155" t="s">
        <v>1673</v>
      </c>
      <c r="I668" s="155" t="s">
        <v>1753</v>
      </c>
      <c r="J668" s="155"/>
    </row>
    <row r="669" spans="1:10">
      <c r="A669" s="155" t="s">
        <v>3368</v>
      </c>
      <c r="B669" s="155" t="s">
        <v>3369</v>
      </c>
      <c r="C669" s="155" t="s">
        <v>902</v>
      </c>
      <c r="D669" s="155" t="s">
        <v>1668</v>
      </c>
      <c r="E669" s="155">
        <v>13</v>
      </c>
      <c r="F669" s="155">
        <v>13</v>
      </c>
      <c r="G669" s="155">
        <v>265.5</v>
      </c>
      <c r="H669" s="155" t="s">
        <v>1673</v>
      </c>
      <c r="I669" s="155" t="s">
        <v>3370</v>
      </c>
      <c r="J669" s="155"/>
    </row>
    <row r="670" spans="1:10">
      <c r="A670" s="155" t="s">
        <v>3371</v>
      </c>
      <c r="B670" s="155" t="s">
        <v>3372</v>
      </c>
      <c r="C670" s="155" t="s">
        <v>3373</v>
      </c>
      <c r="D670" s="155" t="s">
        <v>1668</v>
      </c>
      <c r="E670" s="155">
        <v>7</v>
      </c>
      <c r="F670" s="155">
        <v>6.5</v>
      </c>
      <c r="G670" s="155">
        <v>265.39999999999998</v>
      </c>
      <c r="H670" s="155" t="s">
        <v>1673</v>
      </c>
      <c r="I670" s="155" t="s">
        <v>3374</v>
      </c>
      <c r="J670" s="155"/>
    </row>
    <row r="671" spans="1:10">
      <c r="A671" s="155" t="s">
        <v>3375</v>
      </c>
      <c r="B671" s="155" t="s">
        <v>3376</v>
      </c>
      <c r="C671" s="155" t="s">
        <v>3377</v>
      </c>
      <c r="D671" s="155" t="s">
        <v>1668</v>
      </c>
      <c r="E671" s="155">
        <v>8</v>
      </c>
      <c r="F671" s="155">
        <v>3</v>
      </c>
      <c r="G671" s="155">
        <v>214.8</v>
      </c>
      <c r="H671" s="155" t="s">
        <v>1673</v>
      </c>
      <c r="I671" s="155" t="s">
        <v>105</v>
      </c>
      <c r="J671" s="155"/>
    </row>
    <row r="672" spans="1:10">
      <c r="A672" s="155" t="s">
        <v>3378</v>
      </c>
      <c r="B672" s="155" t="s">
        <v>3379</v>
      </c>
      <c r="C672" s="155" t="s">
        <v>3380</v>
      </c>
      <c r="D672" s="155" t="s">
        <v>1668</v>
      </c>
      <c r="E672" s="155"/>
      <c r="F672" s="155">
        <v>0.2</v>
      </c>
      <c r="G672" s="155">
        <v>166.9</v>
      </c>
      <c r="H672" s="155" t="s">
        <v>1673</v>
      </c>
      <c r="I672" s="155" t="s">
        <v>2370</v>
      </c>
      <c r="J672" s="155"/>
    </row>
    <row r="673" spans="1:10">
      <c r="A673" s="155" t="s">
        <v>3381</v>
      </c>
      <c r="B673" s="155" t="s">
        <v>3382</v>
      </c>
      <c r="C673" s="155" t="s">
        <v>3383</v>
      </c>
      <c r="D673" s="155" t="s">
        <v>1668</v>
      </c>
      <c r="E673" s="155">
        <v>2</v>
      </c>
      <c r="F673" s="155">
        <v>2</v>
      </c>
      <c r="G673" s="155">
        <v>237.2</v>
      </c>
      <c r="H673" s="155" t="s">
        <v>1673</v>
      </c>
      <c r="I673" s="155" t="s">
        <v>2601</v>
      </c>
      <c r="J673" s="155"/>
    </row>
    <row r="674" spans="1:10">
      <c r="A674" s="155" t="s">
        <v>3384</v>
      </c>
      <c r="B674" s="155" t="s">
        <v>3385</v>
      </c>
      <c r="C674" s="155" t="s">
        <v>3386</v>
      </c>
      <c r="D674" s="155" t="s">
        <v>1668</v>
      </c>
      <c r="E674" s="155">
        <v>8</v>
      </c>
      <c r="F674" s="155"/>
      <c r="G674" s="155"/>
      <c r="H674" s="155" t="s">
        <v>1672</v>
      </c>
      <c r="I674" s="155" t="s">
        <v>3387</v>
      </c>
      <c r="J674" s="155"/>
    </row>
    <row r="675" spans="1:10">
      <c r="A675" s="155" t="s">
        <v>3388</v>
      </c>
      <c r="B675" s="155" t="s">
        <v>3389</v>
      </c>
      <c r="C675" s="155" t="s">
        <v>3390</v>
      </c>
      <c r="D675" s="155" t="s">
        <v>1668</v>
      </c>
      <c r="E675" s="155">
        <v>8</v>
      </c>
      <c r="F675" s="155">
        <v>9</v>
      </c>
      <c r="G675" s="155">
        <v>235.5</v>
      </c>
      <c r="H675" s="155" t="s">
        <v>1673</v>
      </c>
      <c r="I675" s="155" t="s">
        <v>598</v>
      </c>
      <c r="J675" s="155"/>
    </row>
    <row r="676" spans="1:10">
      <c r="A676" s="155" t="s">
        <v>3391</v>
      </c>
      <c r="B676" s="155" t="s">
        <v>3392</v>
      </c>
      <c r="C676" s="155" t="s">
        <v>3393</v>
      </c>
      <c r="D676" s="155" t="s">
        <v>1668</v>
      </c>
      <c r="E676" s="155">
        <v>9</v>
      </c>
      <c r="F676" s="155">
        <v>9</v>
      </c>
      <c r="G676" s="155">
        <v>235</v>
      </c>
      <c r="H676" s="155" t="s">
        <v>1673</v>
      </c>
      <c r="I676" s="155" t="s">
        <v>3374</v>
      </c>
      <c r="J676" s="155"/>
    </row>
    <row r="677" spans="1:10">
      <c r="A677" s="155" t="s">
        <v>3394</v>
      </c>
      <c r="B677" s="155" t="s">
        <v>3395</v>
      </c>
      <c r="C677" s="155" t="s">
        <v>3396</v>
      </c>
      <c r="D677" s="155" t="s">
        <v>1668</v>
      </c>
      <c r="E677" s="155">
        <v>3</v>
      </c>
      <c r="F677" s="155">
        <v>7</v>
      </c>
      <c r="G677" s="155">
        <v>114.8</v>
      </c>
      <c r="H677" s="155" t="s">
        <v>1673</v>
      </c>
      <c r="I677" s="155" t="s">
        <v>2995</v>
      </c>
      <c r="J677" s="155"/>
    </row>
    <row r="678" spans="1:10">
      <c r="A678" s="155" t="s">
        <v>3397</v>
      </c>
      <c r="B678" s="155" t="s">
        <v>3398</v>
      </c>
      <c r="C678" s="155" t="s">
        <v>3399</v>
      </c>
      <c r="D678" s="155" t="s">
        <v>1668</v>
      </c>
      <c r="E678" s="155"/>
      <c r="F678" s="155">
        <v>2.8</v>
      </c>
      <c r="G678" s="155">
        <v>140.30000000000001</v>
      </c>
      <c r="H678" s="155" t="s">
        <v>1673</v>
      </c>
      <c r="I678" s="155" t="s">
        <v>147</v>
      </c>
      <c r="J678" s="155"/>
    </row>
    <row r="679" spans="1:10">
      <c r="A679" s="155" t="s">
        <v>3400</v>
      </c>
      <c r="B679" s="155" t="s">
        <v>3401</v>
      </c>
      <c r="C679" s="155" t="s">
        <v>3402</v>
      </c>
      <c r="D679" s="155" t="s">
        <v>1668</v>
      </c>
      <c r="E679" s="155">
        <v>6</v>
      </c>
      <c r="F679" s="155"/>
      <c r="G679" s="155"/>
      <c r="H679" s="155" t="s">
        <v>1672</v>
      </c>
      <c r="I679" s="155" t="s">
        <v>3403</v>
      </c>
      <c r="J679" s="155"/>
    </row>
    <row r="680" spans="1:10">
      <c r="A680" s="155" t="s">
        <v>3404</v>
      </c>
      <c r="B680" s="155" t="s">
        <v>3405</v>
      </c>
      <c r="C680" s="155" t="s">
        <v>814</v>
      </c>
      <c r="D680" s="155" t="s">
        <v>1668</v>
      </c>
      <c r="E680" s="155">
        <v>0.5</v>
      </c>
      <c r="F680" s="155">
        <v>20.6</v>
      </c>
      <c r="G680" s="155">
        <v>72.400000000000006</v>
      </c>
      <c r="H680" s="155" t="s">
        <v>1673</v>
      </c>
      <c r="I680" s="155" t="s">
        <v>105</v>
      </c>
      <c r="J680" s="155"/>
    </row>
    <row r="681" spans="1:10">
      <c r="A681" s="155" t="s">
        <v>3406</v>
      </c>
      <c r="B681" s="155" t="s">
        <v>3407</v>
      </c>
      <c r="C681" s="155" t="s">
        <v>3408</v>
      </c>
      <c r="D681" s="155" t="s">
        <v>1668</v>
      </c>
      <c r="E681" s="155">
        <v>24</v>
      </c>
      <c r="F681" s="155">
        <v>23</v>
      </c>
      <c r="G681" s="155">
        <v>168.8</v>
      </c>
      <c r="H681" s="155" t="s">
        <v>1673</v>
      </c>
      <c r="I681" s="155" t="s">
        <v>41</v>
      </c>
      <c r="J681" s="155"/>
    </row>
    <row r="682" spans="1:10">
      <c r="A682" s="155" t="s">
        <v>3409</v>
      </c>
      <c r="B682" s="155" t="s">
        <v>3410</v>
      </c>
      <c r="C682" s="155" t="s">
        <v>3411</v>
      </c>
      <c r="D682" s="155" t="s">
        <v>1668</v>
      </c>
      <c r="E682" s="155">
        <v>6</v>
      </c>
      <c r="F682" s="155"/>
      <c r="G682" s="155"/>
      <c r="H682" s="155" t="s">
        <v>1672</v>
      </c>
      <c r="I682" s="155" t="s">
        <v>3412</v>
      </c>
      <c r="J682" s="155"/>
    </row>
    <row r="683" spans="1:10">
      <c r="A683" s="155" t="s">
        <v>3413</v>
      </c>
      <c r="B683" s="155" t="s">
        <v>3414</v>
      </c>
      <c r="C683" s="155" t="s">
        <v>3415</v>
      </c>
      <c r="D683" s="155" t="s">
        <v>1668</v>
      </c>
      <c r="E683" s="155">
        <v>6</v>
      </c>
      <c r="F683" s="155">
        <v>1.5</v>
      </c>
      <c r="G683" s="155">
        <v>105.4</v>
      </c>
      <c r="H683" s="155" t="s">
        <v>1673</v>
      </c>
      <c r="I683" s="155" t="s">
        <v>3416</v>
      </c>
      <c r="J683" s="155"/>
    </row>
    <row r="684" spans="1:10">
      <c r="A684" s="155" t="s">
        <v>3417</v>
      </c>
      <c r="B684" s="155" t="s">
        <v>3418</v>
      </c>
      <c r="C684" s="155" t="s">
        <v>3419</v>
      </c>
      <c r="D684" s="155" t="s">
        <v>1668</v>
      </c>
      <c r="E684" s="155">
        <v>6</v>
      </c>
      <c r="F684" s="155"/>
      <c r="G684" s="155"/>
      <c r="H684" s="155" t="s">
        <v>1672</v>
      </c>
      <c r="I684" s="155" t="s">
        <v>3416</v>
      </c>
      <c r="J684" s="155"/>
    </row>
    <row r="685" spans="1:10">
      <c r="A685" s="155" t="s">
        <v>3420</v>
      </c>
      <c r="B685" s="155" t="s">
        <v>3421</v>
      </c>
      <c r="C685" s="155" t="s">
        <v>3422</v>
      </c>
      <c r="D685" s="155" t="s">
        <v>1668</v>
      </c>
      <c r="E685" s="155"/>
      <c r="F685" s="155">
        <v>10.7</v>
      </c>
      <c r="G685" s="155">
        <v>192.4</v>
      </c>
      <c r="H685" s="155" t="s">
        <v>1673</v>
      </c>
      <c r="I685" s="155" t="s">
        <v>98</v>
      </c>
      <c r="J685" s="155"/>
    </row>
    <row r="686" spans="1:10">
      <c r="A686" s="155" t="s">
        <v>3423</v>
      </c>
      <c r="B686" s="155" t="s">
        <v>3424</v>
      </c>
      <c r="C686" s="155" t="s">
        <v>3425</v>
      </c>
      <c r="D686" s="155" t="s">
        <v>1668</v>
      </c>
      <c r="E686" s="155">
        <v>4</v>
      </c>
      <c r="F686" s="155"/>
      <c r="G686" s="155"/>
      <c r="H686" s="155" t="s">
        <v>1672</v>
      </c>
      <c r="I686" s="155" t="s">
        <v>3412</v>
      </c>
      <c r="J686" s="155"/>
    </row>
    <row r="687" spans="1:10">
      <c r="A687" s="155" t="s">
        <v>3426</v>
      </c>
      <c r="B687" s="155" t="s">
        <v>3427</v>
      </c>
      <c r="C687" s="155" t="s">
        <v>3428</v>
      </c>
      <c r="D687" s="155" t="s">
        <v>1668</v>
      </c>
      <c r="E687" s="155">
        <v>6</v>
      </c>
      <c r="F687" s="155"/>
      <c r="G687" s="155"/>
      <c r="H687" s="155" t="s">
        <v>1672</v>
      </c>
      <c r="I687" s="155" t="s">
        <v>3412</v>
      </c>
      <c r="J687" s="155"/>
    </row>
    <row r="688" spans="1:10">
      <c r="A688" s="155" t="s">
        <v>3429</v>
      </c>
      <c r="B688" s="155" t="s">
        <v>3430</v>
      </c>
      <c r="C688" s="155" t="s">
        <v>3431</v>
      </c>
      <c r="D688" s="155" t="s">
        <v>1668</v>
      </c>
      <c r="E688" s="155">
        <v>4</v>
      </c>
      <c r="F688" s="155">
        <v>1.2</v>
      </c>
      <c r="G688" s="155">
        <v>105.4</v>
      </c>
      <c r="H688" s="155" t="s">
        <v>1673</v>
      </c>
      <c r="I688" s="155" t="s">
        <v>3403</v>
      </c>
      <c r="J688" s="155"/>
    </row>
    <row r="689" spans="1:10">
      <c r="A689" s="155" t="s">
        <v>3432</v>
      </c>
      <c r="B689" s="155" t="s">
        <v>3433</v>
      </c>
      <c r="C689" s="155" t="s">
        <v>3434</v>
      </c>
      <c r="D689" s="155" t="s">
        <v>1668</v>
      </c>
      <c r="E689" s="155">
        <v>4</v>
      </c>
      <c r="F689" s="155"/>
      <c r="G689" s="155"/>
      <c r="H689" s="155" t="s">
        <v>1672</v>
      </c>
      <c r="I689" s="155" t="s">
        <v>3403</v>
      </c>
      <c r="J689" s="155"/>
    </row>
    <row r="690" spans="1:10">
      <c r="A690" s="155" t="s">
        <v>3435</v>
      </c>
      <c r="B690" s="155" t="s">
        <v>3436</v>
      </c>
      <c r="C690" s="155" t="s">
        <v>3437</v>
      </c>
      <c r="D690" s="155" t="s">
        <v>1668</v>
      </c>
      <c r="E690" s="155">
        <v>6</v>
      </c>
      <c r="F690" s="155"/>
      <c r="G690" s="155"/>
      <c r="H690" s="155" t="s">
        <v>1672</v>
      </c>
      <c r="I690" s="155" t="s">
        <v>3438</v>
      </c>
      <c r="J690" s="155"/>
    </row>
    <row r="691" spans="1:10">
      <c r="A691" s="155" t="s">
        <v>3439</v>
      </c>
      <c r="B691" s="155" t="s">
        <v>3440</v>
      </c>
      <c r="C691" s="155" t="s">
        <v>3441</v>
      </c>
      <c r="D691" s="155" t="s">
        <v>1668</v>
      </c>
      <c r="E691" s="155">
        <v>4</v>
      </c>
      <c r="F691" s="155"/>
      <c r="G691" s="155"/>
      <c r="H691" s="155" t="s">
        <v>1672</v>
      </c>
      <c r="I691" s="155" t="s">
        <v>3442</v>
      </c>
      <c r="J691" s="155"/>
    </row>
    <row r="692" spans="1:10">
      <c r="A692" s="155" t="s">
        <v>3443</v>
      </c>
      <c r="B692" s="155" t="s">
        <v>3444</v>
      </c>
      <c r="C692" s="155" t="s">
        <v>3445</v>
      </c>
      <c r="D692" s="155" t="s">
        <v>1668</v>
      </c>
      <c r="E692" s="155">
        <v>8</v>
      </c>
      <c r="F692" s="155">
        <v>9</v>
      </c>
      <c r="G692" s="155">
        <v>168.4</v>
      </c>
      <c r="H692" s="155" t="s">
        <v>1673</v>
      </c>
      <c r="I692" s="155" t="s">
        <v>147</v>
      </c>
      <c r="J692" s="155"/>
    </row>
    <row r="693" spans="1:10">
      <c r="A693" s="155" t="s">
        <v>3446</v>
      </c>
      <c r="B693" s="155" t="s">
        <v>3447</v>
      </c>
      <c r="C693" s="155" t="s">
        <v>3448</v>
      </c>
      <c r="D693" s="155" t="s">
        <v>1668</v>
      </c>
      <c r="E693" s="155">
        <v>6</v>
      </c>
      <c r="F693" s="155"/>
      <c r="G693" s="155"/>
      <c r="H693" s="155" t="s">
        <v>1672</v>
      </c>
      <c r="I693" s="155" t="s">
        <v>1791</v>
      </c>
      <c r="J693" s="155"/>
    </row>
    <row r="694" spans="1:10">
      <c r="A694" s="155" t="s">
        <v>3449</v>
      </c>
      <c r="B694" s="155" t="s">
        <v>3450</v>
      </c>
      <c r="C694" s="155" t="s">
        <v>3451</v>
      </c>
      <c r="D694" s="155" t="s">
        <v>1668</v>
      </c>
      <c r="E694" s="155"/>
      <c r="F694" s="155">
        <v>0</v>
      </c>
      <c r="G694" s="155">
        <v>161.19999999999999</v>
      </c>
      <c r="H694" s="155" t="s">
        <v>1673</v>
      </c>
      <c r="I694" s="155" t="s">
        <v>586</v>
      </c>
      <c r="J694" s="155"/>
    </row>
    <row r="695" spans="1:10">
      <c r="A695" s="155" t="s">
        <v>3452</v>
      </c>
      <c r="B695" s="155" t="s">
        <v>3453</v>
      </c>
      <c r="C695" s="155" t="s">
        <v>3454</v>
      </c>
      <c r="D695" s="155" t="s">
        <v>1668</v>
      </c>
      <c r="E695" s="155">
        <v>4</v>
      </c>
      <c r="F695" s="155">
        <v>7.3</v>
      </c>
      <c r="G695" s="155">
        <v>128.69999999999999</v>
      </c>
      <c r="H695" s="155" t="s">
        <v>1673</v>
      </c>
      <c r="I695" s="155" t="s">
        <v>122</v>
      </c>
      <c r="J695" s="155"/>
    </row>
    <row r="696" spans="1:10">
      <c r="A696" s="155" t="s">
        <v>3455</v>
      </c>
      <c r="B696" s="155" t="s">
        <v>3456</v>
      </c>
      <c r="C696" s="155" t="s">
        <v>3457</v>
      </c>
      <c r="D696" s="155" t="s">
        <v>1668</v>
      </c>
      <c r="E696" s="155">
        <v>6</v>
      </c>
      <c r="F696" s="155">
        <v>5</v>
      </c>
      <c r="G696" s="155">
        <v>128.80000000000001</v>
      </c>
      <c r="H696" s="155" t="s">
        <v>1673</v>
      </c>
      <c r="I696" s="155" t="s">
        <v>3458</v>
      </c>
      <c r="J696" s="155"/>
    </row>
    <row r="697" spans="1:10">
      <c r="A697" s="155" t="s">
        <v>3459</v>
      </c>
      <c r="B697" s="155" t="s">
        <v>3460</v>
      </c>
      <c r="C697" s="155" t="s">
        <v>3461</v>
      </c>
      <c r="D697" s="155" t="s">
        <v>1668</v>
      </c>
      <c r="E697" s="155"/>
      <c r="F697" s="155">
        <v>1.2</v>
      </c>
      <c r="G697" s="155">
        <v>167.1</v>
      </c>
      <c r="H697" s="155" t="s">
        <v>1673</v>
      </c>
      <c r="I697" s="155" t="s">
        <v>586</v>
      </c>
      <c r="J697" s="155"/>
    </row>
    <row r="698" spans="1:10">
      <c r="A698" s="155" t="s">
        <v>3462</v>
      </c>
      <c r="B698" s="155" t="s">
        <v>3463</v>
      </c>
      <c r="C698" s="155" t="s">
        <v>3464</v>
      </c>
      <c r="D698" s="155" t="s">
        <v>1668</v>
      </c>
      <c r="E698" s="155">
        <v>48</v>
      </c>
      <c r="F698" s="155">
        <v>0.2</v>
      </c>
      <c r="G698" s="155">
        <v>161.6</v>
      </c>
      <c r="H698" s="155" t="s">
        <v>1673</v>
      </c>
      <c r="I698" s="155" t="s">
        <v>2258</v>
      </c>
      <c r="J698" s="155"/>
    </row>
    <row r="699" spans="1:10">
      <c r="A699" s="155" t="s">
        <v>3465</v>
      </c>
      <c r="B699" s="155" t="s">
        <v>3466</v>
      </c>
      <c r="C699" s="155" t="s">
        <v>3467</v>
      </c>
      <c r="D699" s="155" t="s">
        <v>1668</v>
      </c>
      <c r="E699" s="155">
        <v>8</v>
      </c>
      <c r="F699" s="155"/>
      <c r="G699" s="155"/>
      <c r="H699" s="155" t="s">
        <v>1672</v>
      </c>
      <c r="I699" s="155" t="s">
        <v>2307</v>
      </c>
      <c r="J699" s="155"/>
    </row>
    <row r="700" spans="1:10">
      <c r="A700" s="155" t="s">
        <v>906</v>
      </c>
      <c r="B700" s="155" t="s">
        <v>904</v>
      </c>
      <c r="C700" s="155" t="s">
        <v>905</v>
      </c>
      <c r="D700" s="155" t="s">
        <v>1668</v>
      </c>
      <c r="E700" s="155"/>
      <c r="F700" s="155"/>
      <c r="G700" s="155"/>
      <c r="H700" s="155" t="s">
        <v>1672</v>
      </c>
      <c r="I700" s="155" t="s">
        <v>41</v>
      </c>
      <c r="J700" s="155"/>
    </row>
    <row r="701" spans="1:10">
      <c r="A701" s="155" t="s">
        <v>909</v>
      </c>
      <c r="B701" s="155" t="s">
        <v>907</v>
      </c>
      <c r="C701" s="155" t="s">
        <v>908</v>
      </c>
      <c r="D701" s="155" t="s">
        <v>1668</v>
      </c>
      <c r="E701" s="155"/>
      <c r="F701" s="155"/>
      <c r="G701" s="155"/>
      <c r="H701" s="155" t="s">
        <v>1672</v>
      </c>
      <c r="I701" s="155" t="s">
        <v>41</v>
      </c>
      <c r="J701" s="155"/>
    </row>
    <row r="702" spans="1:10">
      <c r="A702" s="155" t="s">
        <v>912</v>
      </c>
      <c r="B702" s="155" t="s">
        <v>910</v>
      </c>
      <c r="C702" s="155" t="s">
        <v>911</v>
      </c>
      <c r="D702" s="155" t="s">
        <v>1668</v>
      </c>
      <c r="E702" s="155"/>
      <c r="F702" s="155"/>
      <c r="G702" s="155"/>
      <c r="H702" s="155" t="s">
        <v>1672</v>
      </c>
      <c r="I702" s="155" t="s">
        <v>178</v>
      </c>
      <c r="J702" s="155"/>
    </row>
    <row r="703" spans="1:10">
      <c r="A703" s="155" t="s">
        <v>3468</v>
      </c>
      <c r="B703" s="155" t="s">
        <v>3469</v>
      </c>
      <c r="C703" s="155" t="s">
        <v>3470</v>
      </c>
      <c r="D703" s="155" t="s">
        <v>1668</v>
      </c>
      <c r="E703" s="155"/>
      <c r="F703" s="155">
        <v>0.2</v>
      </c>
      <c r="G703" s="155">
        <v>117.9</v>
      </c>
      <c r="H703" s="155" t="s">
        <v>1673</v>
      </c>
      <c r="I703" s="155" t="s">
        <v>105</v>
      </c>
      <c r="J703" s="155"/>
    </row>
    <row r="704" spans="1:10">
      <c r="A704" s="155" t="s">
        <v>915</v>
      </c>
      <c r="B704" s="155" t="s">
        <v>913</v>
      </c>
      <c r="C704" s="155" t="s">
        <v>914</v>
      </c>
      <c r="D704" s="155" t="s">
        <v>1668</v>
      </c>
      <c r="E704" s="155"/>
      <c r="F704" s="155"/>
      <c r="G704" s="155"/>
      <c r="H704" s="155" t="s">
        <v>1672</v>
      </c>
      <c r="I704" s="155" t="s">
        <v>1772</v>
      </c>
      <c r="J704" s="155"/>
    </row>
    <row r="705" spans="1:10">
      <c r="A705" s="155" t="s">
        <v>918</v>
      </c>
      <c r="B705" s="155" t="s">
        <v>916</v>
      </c>
      <c r="C705" s="155" t="s">
        <v>917</v>
      </c>
      <c r="D705" s="155" t="s">
        <v>1668</v>
      </c>
      <c r="E705" s="155"/>
      <c r="F705" s="155">
        <v>6</v>
      </c>
      <c r="G705" s="155">
        <v>188.1</v>
      </c>
      <c r="H705" s="155" t="s">
        <v>1673</v>
      </c>
      <c r="I705" s="155" t="s">
        <v>244</v>
      </c>
      <c r="J705" s="155"/>
    </row>
    <row r="706" spans="1:10">
      <c r="A706" s="155" t="s">
        <v>3471</v>
      </c>
      <c r="B706" s="155" t="s">
        <v>3472</v>
      </c>
      <c r="C706" s="155" t="s">
        <v>3473</v>
      </c>
      <c r="D706" s="155" t="s">
        <v>1668</v>
      </c>
      <c r="E706" s="155"/>
      <c r="F706" s="155">
        <v>1</v>
      </c>
      <c r="G706" s="155">
        <v>143.30000000000001</v>
      </c>
      <c r="H706" s="155" t="s">
        <v>1673</v>
      </c>
      <c r="I706" s="155" t="s">
        <v>2343</v>
      </c>
      <c r="J706" s="155"/>
    </row>
    <row r="707" spans="1:10">
      <c r="A707" s="155" t="s">
        <v>921</v>
      </c>
      <c r="B707" s="155" t="s">
        <v>919</v>
      </c>
      <c r="C707" s="155" t="s">
        <v>920</v>
      </c>
      <c r="D707" s="155" t="s">
        <v>1668</v>
      </c>
      <c r="E707" s="155"/>
      <c r="F707" s="155">
        <v>6</v>
      </c>
      <c r="G707" s="155">
        <v>188</v>
      </c>
      <c r="H707" s="155" t="s">
        <v>1673</v>
      </c>
      <c r="I707" s="155" t="s">
        <v>244</v>
      </c>
      <c r="J707" s="155"/>
    </row>
    <row r="708" spans="1:10">
      <c r="A708" s="155" t="s">
        <v>924</v>
      </c>
      <c r="B708" s="155" t="s">
        <v>922</v>
      </c>
      <c r="C708" s="155" t="s">
        <v>923</v>
      </c>
      <c r="D708" s="155" t="s">
        <v>1668</v>
      </c>
      <c r="E708" s="155"/>
      <c r="F708" s="155">
        <v>9</v>
      </c>
      <c r="G708" s="155">
        <v>187.9</v>
      </c>
      <c r="H708" s="155" t="s">
        <v>1673</v>
      </c>
      <c r="I708" s="155" t="s">
        <v>244</v>
      </c>
      <c r="J708" s="155"/>
    </row>
    <row r="709" spans="1:10">
      <c r="A709" s="155" t="s">
        <v>927</v>
      </c>
      <c r="B709" s="155" t="s">
        <v>925</v>
      </c>
      <c r="C709" s="155" t="s">
        <v>926</v>
      </c>
      <c r="D709" s="155" t="s">
        <v>1668</v>
      </c>
      <c r="E709" s="155"/>
      <c r="F709" s="155">
        <v>9</v>
      </c>
      <c r="G709" s="155">
        <v>187.8</v>
      </c>
      <c r="H709" s="155" t="s">
        <v>1673</v>
      </c>
      <c r="I709" s="155" t="s">
        <v>244</v>
      </c>
      <c r="J709" s="155"/>
    </row>
    <row r="710" spans="1:10">
      <c r="A710" s="155" t="s">
        <v>3474</v>
      </c>
      <c r="B710" s="155" t="s">
        <v>3475</v>
      </c>
      <c r="C710" s="155" t="s">
        <v>3476</v>
      </c>
      <c r="D710" s="155" t="s">
        <v>1668</v>
      </c>
      <c r="E710" s="155">
        <v>4.5</v>
      </c>
      <c r="F710" s="155">
        <v>29.7</v>
      </c>
      <c r="G710" s="155">
        <v>48.4</v>
      </c>
      <c r="H710" s="155" t="s">
        <v>1673</v>
      </c>
      <c r="I710" s="155" t="s">
        <v>1738</v>
      </c>
      <c r="J710" s="155"/>
    </row>
    <row r="711" spans="1:10">
      <c r="A711" s="155" t="s">
        <v>3477</v>
      </c>
      <c r="B711" s="155" t="s">
        <v>3478</v>
      </c>
      <c r="C711" s="155" t="s">
        <v>3479</v>
      </c>
      <c r="D711" s="155" t="s">
        <v>1668</v>
      </c>
      <c r="E711" s="155">
        <v>6</v>
      </c>
      <c r="F711" s="155"/>
      <c r="G711" s="155"/>
      <c r="H711" s="155" t="s">
        <v>1672</v>
      </c>
      <c r="I711" s="155" t="s">
        <v>1738</v>
      </c>
      <c r="J711" s="155"/>
    </row>
    <row r="712" spans="1:10">
      <c r="A712" s="155" t="s">
        <v>3480</v>
      </c>
      <c r="B712" s="155" t="s">
        <v>3481</v>
      </c>
      <c r="C712" s="155" t="s">
        <v>3482</v>
      </c>
      <c r="D712" s="155" t="s">
        <v>1668</v>
      </c>
      <c r="E712" s="155">
        <v>19.5</v>
      </c>
      <c r="F712" s="155">
        <v>41</v>
      </c>
      <c r="G712" s="155">
        <v>184.2</v>
      </c>
      <c r="H712" s="155" t="s">
        <v>1673</v>
      </c>
      <c r="I712" s="155" t="s">
        <v>105</v>
      </c>
      <c r="J712" s="155"/>
    </row>
    <row r="713" spans="1:10">
      <c r="A713" s="155" t="s">
        <v>3483</v>
      </c>
      <c r="B713" s="155" t="s">
        <v>3484</v>
      </c>
      <c r="C713" s="155" t="s">
        <v>3485</v>
      </c>
      <c r="D713" s="155" t="s">
        <v>1671</v>
      </c>
      <c r="E713" s="155">
        <v>4</v>
      </c>
      <c r="F713" s="155">
        <v>5</v>
      </c>
      <c r="G713" s="155">
        <v>181.4</v>
      </c>
      <c r="H713" s="155" t="s">
        <v>1673</v>
      </c>
      <c r="I713" s="155" t="s">
        <v>3486</v>
      </c>
      <c r="J713" s="155"/>
    </row>
    <row r="714" spans="1:10">
      <c r="A714" s="155" t="s">
        <v>936</v>
      </c>
      <c r="B714" s="155" t="s">
        <v>934</v>
      </c>
      <c r="C714" s="155" t="s">
        <v>935</v>
      </c>
      <c r="D714" s="155" t="s">
        <v>1668</v>
      </c>
      <c r="E714" s="155"/>
      <c r="F714" s="155">
        <v>0.2</v>
      </c>
      <c r="G714" s="155">
        <v>117.8</v>
      </c>
      <c r="H714" s="155" t="s">
        <v>1673</v>
      </c>
      <c r="I714" s="155" t="s">
        <v>147</v>
      </c>
      <c r="J714" s="155"/>
    </row>
    <row r="715" spans="1:10">
      <c r="A715" s="155" t="s">
        <v>3487</v>
      </c>
      <c r="B715" s="155" t="s">
        <v>3488</v>
      </c>
      <c r="C715" s="155" t="s">
        <v>3489</v>
      </c>
      <c r="D715" s="155" t="s">
        <v>1668</v>
      </c>
      <c r="E715" s="155">
        <v>4</v>
      </c>
      <c r="F715" s="155"/>
      <c r="G715" s="155"/>
      <c r="H715" s="155" t="s">
        <v>1672</v>
      </c>
      <c r="I715" s="155" t="s">
        <v>1809</v>
      </c>
      <c r="J715" s="155"/>
    </row>
    <row r="716" spans="1:10">
      <c r="A716" s="155" t="s">
        <v>939</v>
      </c>
      <c r="B716" s="155" t="s">
        <v>937</v>
      </c>
      <c r="C716" s="155" t="s">
        <v>938</v>
      </c>
      <c r="D716" s="155" t="s">
        <v>1668</v>
      </c>
      <c r="E716" s="155"/>
      <c r="F716" s="155">
        <v>7.8</v>
      </c>
      <c r="G716" s="155">
        <v>159.80000000000001</v>
      </c>
      <c r="H716" s="155" t="s">
        <v>1673</v>
      </c>
      <c r="I716" s="155" t="s">
        <v>147</v>
      </c>
      <c r="J716" s="155"/>
    </row>
    <row r="717" spans="1:10">
      <c r="A717" s="155" t="s">
        <v>942</v>
      </c>
      <c r="B717" s="155" t="s">
        <v>940</v>
      </c>
      <c r="C717" s="155" t="s">
        <v>941</v>
      </c>
      <c r="D717" s="155" t="s">
        <v>1668</v>
      </c>
      <c r="E717" s="155"/>
      <c r="F717" s="155">
        <v>4</v>
      </c>
      <c r="G717" s="155">
        <v>158.30000000000001</v>
      </c>
      <c r="H717" s="155" t="s">
        <v>1673</v>
      </c>
      <c r="I717" s="155" t="s">
        <v>147</v>
      </c>
      <c r="J717" s="155"/>
    </row>
    <row r="718" spans="1:10">
      <c r="A718" s="155" t="s">
        <v>945</v>
      </c>
      <c r="B718" s="155" t="s">
        <v>943</v>
      </c>
      <c r="C718" s="155" t="s">
        <v>944</v>
      </c>
      <c r="D718" s="155" t="s">
        <v>1668</v>
      </c>
      <c r="E718" s="155"/>
      <c r="F718" s="155">
        <v>2.4</v>
      </c>
      <c r="G718" s="155">
        <v>13.1</v>
      </c>
      <c r="H718" s="155" t="s">
        <v>1673</v>
      </c>
      <c r="I718" s="155" t="s">
        <v>147</v>
      </c>
      <c r="J718" s="155"/>
    </row>
    <row r="719" spans="1:10">
      <c r="A719" s="155" t="s">
        <v>3490</v>
      </c>
      <c r="B719" s="155" t="s">
        <v>3491</v>
      </c>
      <c r="C719" s="155" t="s">
        <v>946</v>
      </c>
      <c r="D719" s="155" t="s">
        <v>1668</v>
      </c>
      <c r="E719" s="155"/>
      <c r="F719" s="155"/>
      <c r="G719" s="155"/>
      <c r="H719" s="155" t="s">
        <v>1672</v>
      </c>
      <c r="I719" s="155" t="s">
        <v>41</v>
      </c>
      <c r="J719" s="155"/>
    </row>
    <row r="720" spans="1:10">
      <c r="A720" s="155" t="s">
        <v>3492</v>
      </c>
      <c r="B720" s="155" t="s">
        <v>3493</v>
      </c>
      <c r="C720" s="155" t="s">
        <v>947</v>
      </c>
      <c r="D720" s="155" t="s">
        <v>1668</v>
      </c>
      <c r="E720" s="155"/>
      <c r="F720" s="155">
        <v>4</v>
      </c>
      <c r="G720" s="155">
        <v>157.4</v>
      </c>
      <c r="H720" s="155" t="s">
        <v>1673</v>
      </c>
      <c r="I720" s="155" t="s">
        <v>3494</v>
      </c>
      <c r="J720" s="155"/>
    </row>
    <row r="721" spans="1:10">
      <c r="A721" s="155" t="s">
        <v>3495</v>
      </c>
      <c r="B721" s="155" t="s">
        <v>3496</v>
      </c>
      <c r="C721" s="155" t="s">
        <v>948</v>
      </c>
      <c r="D721" s="155" t="s">
        <v>1668</v>
      </c>
      <c r="E721" s="155"/>
      <c r="F721" s="155"/>
      <c r="G721" s="155"/>
      <c r="H721" s="155" t="s">
        <v>1672</v>
      </c>
      <c r="I721" s="155" t="s">
        <v>41</v>
      </c>
      <c r="J721" s="155"/>
    </row>
    <row r="722" spans="1:10">
      <c r="A722" s="155" t="s">
        <v>3497</v>
      </c>
      <c r="B722" s="155" t="s">
        <v>1141</v>
      </c>
      <c r="C722" s="155" t="s">
        <v>949</v>
      </c>
      <c r="D722" s="155" t="s">
        <v>1668</v>
      </c>
      <c r="E722" s="155"/>
      <c r="F722" s="155"/>
      <c r="G722" s="155"/>
      <c r="H722" s="155" t="s">
        <v>1672</v>
      </c>
      <c r="I722" s="155" t="s">
        <v>41</v>
      </c>
      <c r="J722" s="155"/>
    </row>
    <row r="723" spans="1:10">
      <c r="A723" s="155" t="s">
        <v>3498</v>
      </c>
      <c r="B723" s="155" t="s">
        <v>1131</v>
      </c>
      <c r="C723" s="155" t="s">
        <v>951</v>
      </c>
      <c r="D723" s="155" t="s">
        <v>1668</v>
      </c>
      <c r="E723" s="155"/>
      <c r="F723" s="155"/>
      <c r="G723" s="155"/>
      <c r="H723" s="155" t="s">
        <v>1672</v>
      </c>
      <c r="I723" s="155" t="s">
        <v>205</v>
      </c>
      <c r="J723" s="155"/>
    </row>
    <row r="724" spans="1:10">
      <c r="A724" s="155" t="s">
        <v>3499</v>
      </c>
      <c r="B724" s="155" t="s">
        <v>3500</v>
      </c>
      <c r="C724" s="155" t="s">
        <v>952</v>
      </c>
      <c r="D724" s="155" t="s">
        <v>1668</v>
      </c>
      <c r="E724" s="155"/>
      <c r="F724" s="155"/>
      <c r="G724" s="155"/>
      <c r="H724" s="155" t="s">
        <v>1672</v>
      </c>
      <c r="I724" s="155" t="s">
        <v>41</v>
      </c>
      <c r="J724" s="155"/>
    </row>
    <row r="725" spans="1:10">
      <c r="A725" s="155" t="s">
        <v>3501</v>
      </c>
      <c r="B725" s="155" t="s">
        <v>3502</v>
      </c>
      <c r="C725" s="155" t="s">
        <v>953</v>
      </c>
      <c r="D725" s="155" t="s">
        <v>1668</v>
      </c>
      <c r="E725" s="155"/>
      <c r="F725" s="155"/>
      <c r="G725" s="155"/>
      <c r="H725" s="155" t="s">
        <v>1672</v>
      </c>
      <c r="I725" s="155" t="s">
        <v>178</v>
      </c>
      <c r="J725" s="155"/>
    </row>
    <row r="726" spans="1:10">
      <c r="A726" s="155" t="s">
        <v>3503</v>
      </c>
      <c r="B726" s="155" t="s">
        <v>3504</v>
      </c>
      <c r="C726" s="155" t="s">
        <v>954</v>
      </c>
      <c r="D726" s="155" t="s">
        <v>1668</v>
      </c>
      <c r="E726" s="155"/>
      <c r="F726" s="155"/>
      <c r="G726" s="155"/>
      <c r="H726" s="155" t="s">
        <v>1672</v>
      </c>
      <c r="I726" s="155" t="s">
        <v>41</v>
      </c>
      <c r="J726" s="155"/>
    </row>
    <row r="727" spans="1:10">
      <c r="A727" s="155" t="s">
        <v>3505</v>
      </c>
      <c r="B727" s="155" t="s">
        <v>3506</v>
      </c>
      <c r="C727" s="155" t="s">
        <v>955</v>
      </c>
      <c r="D727" s="155" t="s">
        <v>1668</v>
      </c>
      <c r="E727" s="155"/>
      <c r="F727" s="155">
        <v>0.5</v>
      </c>
      <c r="G727" s="155">
        <v>16.899999999999999</v>
      </c>
      <c r="H727" s="155" t="s">
        <v>1673</v>
      </c>
      <c r="I727" s="155" t="s">
        <v>178</v>
      </c>
      <c r="J727" s="155"/>
    </row>
    <row r="728" spans="1:10">
      <c r="A728" s="155" t="s">
        <v>3507</v>
      </c>
      <c r="B728" s="155" t="s">
        <v>3508</v>
      </c>
      <c r="C728" s="155" t="s">
        <v>956</v>
      </c>
      <c r="D728" s="155" t="s">
        <v>1668</v>
      </c>
      <c r="E728" s="155"/>
      <c r="F728" s="155"/>
      <c r="G728" s="155"/>
      <c r="H728" s="155" t="s">
        <v>1672</v>
      </c>
      <c r="I728" s="155" t="s">
        <v>41</v>
      </c>
      <c r="J728" s="155"/>
    </row>
    <row r="729" spans="1:10">
      <c r="A729" s="155" t="s">
        <v>3509</v>
      </c>
      <c r="B729" s="155" t="s">
        <v>3510</v>
      </c>
      <c r="C729" s="155" t="s">
        <v>958</v>
      </c>
      <c r="D729" s="155" t="s">
        <v>1668</v>
      </c>
      <c r="E729" s="155"/>
      <c r="F729" s="155"/>
      <c r="G729" s="155"/>
      <c r="H729" s="155" t="s">
        <v>1672</v>
      </c>
      <c r="I729" s="155" t="s">
        <v>41</v>
      </c>
      <c r="J729" s="155"/>
    </row>
    <row r="730" spans="1:10">
      <c r="A730" s="155" t="s">
        <v>3511</v>
      </c>
      <c r="B730" s="155" t="s">
        <v>3512</v>
      </c>
      <c r="C730" s="155" t="s">
        <v>961</v>
      </c>
      <c r="D730" s="155" t="s">
        <v>1668</v>
      </c>
      <c r="E730" s="155"/>
      <c r="F730" s="155"/>
      <c r="G730" s="155"/>
      <c r="H730" s="155" t="s">
        <v>1672</v>
      </c>
      <c r="I730" s="155" t="s">
        <v>178</v>
      </c>
      <c r="J730" s="155"/>
    </row>
    <row r="731" spans="1:10">
      <c r="A731" s="155" t="s">
        <v>3513</v>
      </c>
      <c r="B731" s="155" t="s">
        <v>3514</v>
      </c>
      <c r="C731" s="155" t="s">
        <v>963</v>
      </c>
      <c r="D731" s="155" t="s">
        <v>1668</v>
      </c>
      <c r="E731" s="155"/>
      <c r="F731" s="155"/>
      <c r="G731" s="155"/>
      <c r="H731" s="155" t="s">
        <v>1672</v>
      </c>
      <c r="I731" s="155" t="s">
        <v>178</v>
      </c>
      <c r="J731" s="155"/>
    </row>
    <row r="732" spans="1:10">
      <c r="A732" s="155" t="s">
        <v>3515</v>
      </c>
      <c r="B732" s="155" t="s">
        <v>3516</v>
      </c>
      <c r="C732" s="155" t="s">
        <v>964</v>
      </c>
      <c r="D732" s="155" t="s">
        <v>1668</v>
      </c>
      <c r="E732" s="155"/>
      <c r="F732" s="155"/>
      <c r="G732" s="155"/>
      <c r="H732" s="155" t="s">
        <v>1672</v>
      </c>
      <c r="I732" s="155" t="s">
        <v>41</v>
      </c>
      <c r="J732" s="155"/>
    </row>
    <row r="733" spans="1:10">
      <c r="A733" s="155" t="s">
        <v>3517</v>
      </c>
      <c r="B733" s="155" t="s">
        <v>3518</v>
      </c>
      <c r="C733" s="155" t="s">
        <v>3519</v>
      </c>
      <c r="D733" s="155" t="s">
        <v>1668</v>
      </c>
      <c r="E733" s="155"/>
      <c r="F733" s="155">
        <v>17</v>
      </c>
      <c r="G733" s="155">
        <v>165.8</v>
      </c>
      <c r="H733" s="155" t="s">
        <v>1673</v>
      </c>
      <c r="I733" s="155" t="s">
        <v>109</v>
      </c>
      <c r="J733" s="155"/>
    </row>
    <row r="734" spans="1:10">
      <c r="A734" s="155" t="s">
        <v>3520</v>
      </c>
      <c r="B734" s="155" t="s">
        <v>1137</v>
      </c>
      <c r="C734" s="155" t="s">
        <v>965</v>
      </c>
      <c r="D734" s="155" t="s">
        <v>1668</v>
      </c>
      <c r="E734" s="155"/>
      <c r="F734" s="155"/>
      <c r="G734" s="155"/>
      <c r="H734" s="155" t="s">
        <v>1672</v>
      </c>
      <c r="I734" s="155" t="s">
        <v>41</v>
      </c>
      <c r="J734" s="155"/>
    </row>
    <row r="735" spans="1:10">
      <c r="A735" s="155" t="s">
        <v>3521</v>
      </c>
      <c r="B735" s="155" t="s">
        <v>3522</v>
      </c>
      <c r="C735" s="155" t="s">
        <v>3523</v>
      </c>
      <c r="D735" s="155" t="s">
        <v>1668</v>
      </c>
      <c r="E735" s="155">
        <v>8</v>
      </c>
      <c r="F735" s="155"/>
      <c r="G735" s="155"/>
      <c r="H735" s="155" t="s">
        <v>1672</v>
      </c>
      <c r="I735" s="155" t="s">
        <v>2244</v>
      </c>
      <c r="J735" s="155"/>
    </row>
    <row r="736" spans="1:10">
      <c r="A736" s="155" t="s">
        <v>3524</v>
      </c>
      <c r="B736" s="155" t="s">
        <v>3525</v>
      </c>
      <c r="C736" s="155" t="s">
        <v>3526</v>
      </c>
      <c r="D736" s="155" t="s">
        <v>1668</v>
      </c>
      <c r="E736" s="155"/>
      <c r="F736" s="155">
        <v>16.8</v>
      </c>
      <c r="G736" s="155">
        <v>143.1</v>
      </c>
      <c r="H736" s="155" t="s">
        <v>1673</v>
      </c>
      <c r="I736" s="155" t="s">
        <v>586</v>
      </c>
      <c r="J736" s="155"/>
    </row>
    <row r="737" spans="1:10">
      <c r="A737" s="155" t="s">
        <v>3527</v>
      </c>
      <c r="B737" s="155" t="s">
        <v>3528</v>
      </c>
      <c r="C737" s="155" t="s">
        <v>3529</v>
      </c>
      <c r="D737" s="155" t="s">
        <v>1668</v>
      </c>
      <c r="E737" s="155"/>
      <c r="F737" s="155">
        <v>26.5</v>
      </c>
      <c r="G737" s="155">
        <v>112.4</v>
      </c>
      <c r="H737" s="155" t="s">
        <v>1673</v>
      </c>
      <c r="I737" s="155" t="s">
        <v>1778</v>
      </c>
      <c r="J737" s="155"/>
    </row>
    <row r="738" spans="1:10">
      <c r="A738" s="155" t="s">
        <v>3530</v>
      </c>
      <c r="B738" s="155" t="s">
        <v>3531</v>
      </c>
      <c r="C738" s="155" t="s">
        <v>3532</v>
      </c>
      <c r="D738" s="155" t="s">
        <v>1668</v>
      </c>
      <c r="E738" s="155"/>
      <c r="F738" s="155">
        <v>14.8</v>
      </c>
      <c r="G738" s="155">
        <v>116.6</v>
      </c>
      <c r="H738" s="155" t="s">
        <v>1673</v>
      </c>
      <c r="I738" s="155" t="s">
        <v>1778</v>
      </c>
      <c r="J738" s="155"/>
    </row>
    <row r="739" spans="1:10">
      <c r="A739" s="155" t="s">
        <v>3533</v>
      </c>
      <c r="B739" s="155" t="s">
        <v>3534</v>
      </c>
      <c r="C739" s="155" t="s">
        <v>3535</v>
      </c>
      <c r="D739" s="155" t="s">
        <v>1668</v>
      </c>
      <c r="E739" s="155">
        <v>2</v>
      </c>
      <c r="F739" s="155">
        <v>10</v>
      </c>
      <c r="G739" s="155">
        <v>138.9</v>
      </c>
      <c r="H739" s="155" t="s">
        <v>1673</v>
      </c>
      <c r="I739" s="155" t="s">
        <v>1931</v>
      </c>
      <c r="J739" s="155"/>
    </row>
    <row r="740" spans="1:10">
      <c r="A740" s="155" t="s">
        <v>968</v>
      </c>
      <c r="B740" s="155" t="s">
        <v>966</v>
      </c>
      <c r="C740" s="155" t="s">
        <v>967</v>
      </c>
      <c r="D740" s="155" t="s">
        <v>1668</v>
      </c>
      <c r="E740" s="155"/>
      <c r="F740" s="155"/>
      <c r="G740" s="155"/>
      <c r="H740" s="155" t="s">
        <v>1672</v>
      </c>
      <c r="I740" s="155" t="s">
        <v>41</v>
      </c>
      <c r="J740" s="155"/>
    </row>
    <row r="741" spans="1:10">
      <c r="A741" s="155" t="s">
        <v>972</v>
      </c>
      <c r="B741" s="155" t="s">
        <v>970</v>
      </c>
      <c r="C741" s="155" t="s">
        <v>971</v>
      </c>
      <c r="D741" s="155" t="s">
        <v>1668</v>
      </c>
      <c r="E741" s="155"/>
      <c r="F741" s="155">
        <v>23.1</v>
      </c>
      <c r="G741" s="155">
        <v>119.8</v>
      </c>
      <c r="H741" s="155" t="s">
        <v>1673</v>
      </c>
      <c r="I741" s="155" t="s">
        <v>122</v>
      </c>
      <c r="J741" s="155"/>
    </row>
    <row r="742" spans="1:10">
      <c r="A742" s="155" t="s">
        <v>975</v>
      </c>
      <c r="B742" s="155" t="s">
        <v>973</v>
      </c>
      <c r="C742" s="155" t="s">
        <v>974</v>
      </c>
      <c r="D742" s="155" t="s">
        <v>1668</v>
      </c>
      <c r="E742" s="155"/>
      <c r="F742" s="155">
        <v>17.2</v>
      </c>
      <c r="G742" s="155">
        <v>144.4</v>
      </c>
      <c r="H742" s="155" t="s">
        <v>1673</v>
      </c>
      <c r="I742" s="155" t="s">
        <v>122</v>
      </c>
      <c r="J742" s="155"/>
    </row>
    <row r="743" spans="1:10">
      <c r="A743" s="155" t="s">
        <v>3536</v>
      </c>
      <c r="B743" s="155" t="s">
        <v>3537</v>
      </c>
      <c r="C743" s="155" t="s">
        <v>3538</v>
      </c>
      <c r="D743" s="155" t="s">
        <v>1668</v>
      </c>
      <c r="E743" s="155"/>
      <c r="F743" s="155"/>
      <c r="G743" s="155"/>
      <c r="H743" s="155" t="s">
        <v>1672</v>
      </c>
      <c r="I743" s="155" t="s">
        <v>147</v>
      </c>
      <c r="J743" s="155"/>
    </row>
    <row r="744" spans="1:10">
      <c r="A744" s="155" t="s">
        <v>978</v>
      </c>
      <c r="B744" s="155" t="s">
        <v>976</v>
      </c>
      <c r="C744" s="155" t="s">
        <v>977</v>
      </c>
      <c r="D744" s="155" t="s">
        <v>1668</v>
      </c>
      <c r="E744" s="155"/>
      <c r="F744" s="155">
        <v>19.5</v>
      </c>
      <c r="G744" s="155">
        <v>143.4</v>
      </c>
      <c r="H744" s="155" t="s">
        <v>1673</v>
      </c>
      <c r="I744" s="155" t="s">
        <v>41</v>
      </c>
      <c r="J744" s="155"/>
    </row>
    <row r="745" spans="1:10">
      <c r="A745" s="155" t="s">
        <v>981</v>
      </c>
      <c r="B745" s="155" t="s">
        <v>979</v>
      </c>
      <c r="C745" s="155" t="s">
        <v>980</v>
      </c>
      <c r="D745" s="155" t="s">
        <v>1668</v>
      </c>
      <c r="E745" s="155"/>
      <c r="F745" s="155">
        <v>26</v>
      </c>
      <c r="G745" s="155">
        <v>143.4</v>
      </c>
      <c r="H745" s="155" t="s">
        <v>1673</v>
      </c>
      <c r="I745" s="155" t="s">
        <v>41</v>
      </c>
      <c r="J745" s="155"/>
    </row>
    <row r="746" spans="1:10">
      <c r="A746" s="155" t="s">
        <v>984</v>
      </c>
      <c r="B746" s="155" t="s">
        <v>982</v>
      </c>
      <c r="C746" s="155" t="s">
        <v>983</v>
      </c>
      <c r="D746" s="155" t="s">
        <v>1668</v>
      </c>
      <c r="E746" s="155"/>
      <c r="F746" s="155"/>
      <c r="G746" s="155"/>
      <c r="H746" s="155" t="s">
        <v>1672</v>
      </c>
      <c r="I746" s="155" t="s">
        <v>41</v>
      </c>
      <c r="J746" s="155"/>
    </row>
    <row r="747" spans="1:10">
      <c r="A747" s="155" t="s">
        <v>988</v>
      </c>
      <c r="B747" s="155" t="s">
        <v>986</v>
      </c>
      <c r="C747" s="155" t="s">
        <v>987</v>
      </c>
      <c r="D747" s="155" t="s">
        <v>1668</v>
      </c>
      <c r="E747" s="155"/>
      <c r="F747" s="155"/>
      <c r="G747" s="155"/>
      <c r="H747" s="155" t="s">
        <v>1672</v>
      </c>
      <c r="I747" s="155" t="s">
        <v>41</v>
      </c>
      <c r="J747" s="155"/>
    </row>
    <row r="748" spans="1:10">
      <c r="A748" s="155" t="s">
        <v>3539</v>
      </c>
      <c r="B748" s="155" t="s">
        <v>3540</v>
      </c>
      <c r="C748" s="155" t="s">
        <v>3541</v>
      </c>
      <c r="D748" s="155" t="s">
        <v>1668</v>
      </c>
      <c r="E748" s="155">
        <v>10</v>
      </c>
      <c r="F748" s="155">
        <v>9</v>
      </c>
      <c r="G748" s="155">
        <v>97.1</v>
      </c>
      <c r="H748" s="155" t="s">
        <v>1673</v>
      </c>
      <c r="I748" s="155" t="s">
        <v>1791</v>
      </c>
      <c r="J748" s="155"/>
    </row>
    <row r="749" spans="1:10">
      <c r="A749" s="155" t="s">
        <v>3542</v>
      </c>
      <c r="B749" s="155" t="s">
        <v>3543</v>
      </c>
      <c r="C749" s="155" t="s">
        <v>3544</v>
      </c>
      <c r="D749" s="155" t="s">
        <v>1668</v>
      </c>
      <c r="E749" s="155">
        <v>4.5</v>
      </c>
      <c r="F749" s="155"/>
      <c r="G749" s="155"/>
      <c r="H749" s="155" t="s">
        <v>1672</v>
      </c>
      <c r="I749" s="155" t="s">
        <v>236</v>
      </c>
      <c r="J749" s="155"/>
    </row>
    <row r="750" spans="1:10">
      <c r="A750" s="155" t="s">
        <v>3545</v>
      </c>
      <c r="B750" s="155" t="s">
        <v>3546</v>
      </c>
      <c r="C750" s="155" t="s">
        <v>3547</v>
      </c>
      <c r="D750" s="155" t="s">
        <v>1668</v>
      </c>
      <c r="E750" s="155">
        <v>8</v>
      </c>
      <c r="F750" s="155">
        <v>11</v>
      </c>
      <c r="G750" s="155">
        <v>127.2</v>
      </c>
      <c r="H750" s="155" t="s">
        <v>1673</v>
      </c>
      <c r="I750" s="155" t="s">
        <v>2244</v>
      </c>
      <c r="J750" s="155"/>
    </row>
    <row r="751" spans="1:10">
      <c r="A751" s="155" t="s">
        <v>991</v>
      </c>
      <c r="B751" s="155" t="s">
        <v>989</v>
      </c>
      <c r="C751" s="155" t="s">
        <v>990</v>
      </c>
      <c r="D751" s="155" t="s">
        <v>1668</v>
      </c>
      <c r="E751" s="155"/>
      <c r="F751" s="155">
        <v>5.2</v>
      </c>
      <c r="G751" s="155">
        <v>117.6</v>
      </c>
      <c r="H751" s="155" t="s">
        <v>1673</v>
      </c>
      <c r="I751" s="155" t="s">
        <v>98</v>
      </c>
      <c r="J751" s="155"/>
    </row>
    <row r="752" spans="1:10">
      <c r="A752" s="155" t="s">
        <v>3548</v>
      </c>
      <c r="B752" s="155" t="s">
        <v>3549</v>
      </c>
      <c r="C752" s="155" t="s">
        <v>3550</v>
      </c>
      <c r="D752" s="155" t="s">
        <v>1668</v>
      </c>
      <c r="E752" s="155"/>
      <c r="F752" s="155">
        <v>0.2</v>
      </c>
      <c r="G752" s="155">
        <v>22.9</v>
      </c>
      <c r="H752" s="155" t="s">
        <v>1673</v>
      </c>
      <c r="I752" s="155" t="s">
        <v>3403</v>
      </c>
      <c r="J752" s="155"/>
    </row>
    <row r="753" spans="1:10">
      <c r="A753" s="155" t="s">
        <v>3551</v>
      </c>
      <c r="B753" s="155" t="s">
        <v>3552</v>
      </c>
      <c r="C753" s="155" t="s">
        <v>3553</v>
      </c>
      <c r="D753" s="155" t="s">
        <v>1668</v>
      </c>
      <c r="E753" s="155"/>
      <c r="F753" s="155"/>
      <c r="G753" s="155"/>
      <c r="H753" s="155" t="s">
        <v>1672</v>
      </c>
      <c r="I753" s="155" t="s">
        <v>3403</v>
      </c>
      <c r="J753" s="155"/>
    </row>
    <row r="754" spans="1:10">
      <c r="A754" s="155" t="s">
        <v>3554</v>
      </c>
      <c r="B754" s="155" t="s">
        <v>3555</v>
      </c>
      <c r="C754" s="155" t="s">
        <v>3556</v>
      </c>
      <c r="D754" s="155" t="s">
        <v>1668</v>
      </c>
      <c r="E754" s="155"/>
      <c r="F754" s="155">
        <v>18.100000000000001</v>
      </c>
      <c r="G754" s="155">
        <v>23.3</v>
      </c>
      <c r="H754" s="155" t="s">
        <v>1673</v>
      </c>
      <c r="I754" s="155" t="s">
        <v>3065</v>
      </c>
      <c r="J754" s="155"/>
    </row>
    <row r="755" spans="1:10">
      <c r="A755" s="155" t="s">
        <v>994</v>
      </c>
      <c r="B755" s="155" t="s">
        <v>992</v>
      </c>
      <c r="C755" s="155" t="s">
        <v>993</v>
      </c>
      <c r="D755" s="155" t="s">
        <v>1668</v>
      </c>
      <c r="E755" s="155"/>
      <c r="F755" s="155"/>
      <c r="G755" s="155"/>
      <c r="H755" s="155" t="s">
        <v>1672</v>
      </c>
      <c r="I755" s="155" t="s">
        <v>41</v>
      </c>
      <c r="J755" s="155"/>
    </row>
    <row r="756" spans="1:10">
      <c r="A756" s="155" t="s">
        <v>3557</v>
      </c>
      <c r="B756" s="155" t="s">
        <v>3558</v>
      </c>
      <c r="C756" s="155" t="s">
        <v>3559</v>
      </c>
      <c r="D756" s="155" t="s">
        <v>1668</v>
      </c>
      <c r="E756" s="155"/>
      <c r="F756" s="155">
        <v>6.5</v>
      </c>
      <c r="G756" s="155">
        <v>44.7</v>
      </c>
      <c r="H756" s="155" t="s">
        <v>1673</v>
      </c>
      <c r="I756" s="155" t="s">
        <v>96</v>
      </c>
      <c r="J756" s="155"/>
    </row>
    <row r="757" spans="1:10">
      <c r="A757" s="155" t="s">
        <v>3560</v>
      </c>
      <c r="B757" s="155" t="s">
        <v>3561</v>
      </c>
      <c r="C757" s="155" t="s">
        <v>3562</v>
      </c>
      <c r="D757" s="155" t="s">
        <v>1668</v>
      </c>
      <c r="E757" s="155">
        <v>2</v>
      </c>
      <c r="F757" s="155"/>
      <c r="G757" s="155"/>
      <c r="H757" s="155" t="s">
        <v>1672</v>
      </c>
      <c r="I757" s="155" t="s">
        <v>3563</v>
      </c>
      <c r="J757" s="155"/>
    </row>
    <row r="758" spans="1:10">
      <c r="A758" s="155" t="s">
        <v>3564</v>
      </c>
      <c r="B758" s="155" t="s">
        <v>3565</v>
      </c>
      <c r="C758" s="155" t="s">
        <v>3566</v>
      </c>
      <c r="D758" s="155" t="s">
        <v>1668</v>
      </c>
      <c r="E758" s="155">
        <v>2</v>
      </c>
      <c r="F758" s="155"/>
      <c r="G758" s="155"/>
      <c r="H758" s="155" t="s">
        <v>1672</v>
      </c>
      <c r="I758" s="155" t="s">
        <v>3563</v>
      </c>
      <c r="J758" s="155"/>
    </row>
    <row r="759" spans="1:10">
      <c r="A759" s="155" t="s">
        <v>3567</v>
      </c>
      <c r="B759" s="155" t="s">
        <v>3568</v>
      </c>
      <c r="C759" s="155" t="s">
        <v>3569</v>
      </c>
      <c r="D759" s="155" t="s">
        <v>1668</v>
      </c>
      <c r="E759" s="155">
        <v>12</v>
      </c>
      <c r="F759" s="155">
        <v>25.5</v>
      </c>
      <c r="G759" s="155">
        <v>42.2</v>
      </c>
      <c r="H759" s="155" t="s">
        <v>1673</v>
      </c>
      <c r="I759" s="155" t="s">
        <v>3570</v>
      </c>
      <c r="J759" s="155"/>
    </row>
    <row r="760" spans="1:10">
      <c r="A760" s="155" t="s">
        <v>3571</v>
      </c>
      <c r="B760" s="155" t="s">
        <v>3572</v>
      </c>
      <c r="C760" s="155" t="s">
        <v>3573</v>
      </c>
      <c r="D760" s="155" t="s">
        <v>1668</v>
      </c>
      <c r="E760" s="155">
        <v>7</v>
      </c>
      <c r="F760" s="155">
        <v>6.5</v>
      </c>
      <c r="G760" s="155">
        <v>66.3</v>
      </c>
      <c r="H760" s="155" t="s">
        <v>1673</v>
      </c>
      <c r="I760" s="155" t="s">
        <v>3374</v>
      </c>
      <c r="J760" s="155"/>
    </row>
    <row r="761" spans="1:10">
      <c r="A761" s="155" t="s">
        <v>3574</v>
      </c>
      <c r="B761" s="155" t="s">
        <v>3575</v>
      </c>
      <c r="C761" s="155" t="s">
        <v>3576</v>
      </c>
      <c r="D761" s="155" t="s">
        <v>1668</v>
      </c>
      <c r="E761" s="155">
        <v>7</v>
      </c>
      <c r="F761" s="155">
        <v>6.5</v>
      </c>
      <c r="G761" s="155">
        <v>66.3</v>
      </c>
      <c r="H761" s="155" t="s">
        <v>1673</v>
      </c>
      <c r="I761" s="155" t="s">
        <v>3374</v>
      </c>
      <c r="J761" s="155"/>
    </row>
    <row r="762" spans="1:10">
      <c r="A762" s="155" t="s">
        <v>3577</v>
      </c>
      <c r="B762" s="155" t="s">
        <v>3578</v>
      </c>
      <c r="C762" s="155" t="s">
        <v>3579</v>
      </c>
      <c r="D762" s="155" t="s">
        <v>1668</v>
      </c>
      <c r="E762" s="155"/>
      <c r="F762" s="155">
        <v>4.5999999999999996</v>
      </c>
      <c r="G762" s="155">
        <v>58.9</v>
      </c>
      <c r="H762" s="155" t="s">
        <v>1673</v>
      </c>
      <c r="I762" s="155" t="s">
        <v>1738</v>
      </c>
      <c r="J762" s="155"/>
    </row>
    <row r="763" spans="1:10">
      <c r="A763" s="155" t="s">
        <v>3580</v>
      </c>
      <c r="B763" s="155" t="s">
        <v>3581</v>
      </c>
      <c r="C763" s="155" t="s">
        <v>3582</v>
      </c>
      <c r="D763" s="155" t="s">
        <v>1668</v>
      </c>
      <c r="E763" s="155"/>
      <c r="F763" s="155">
        <v>4.3</v>
      </c>
      <c r="G763" s="155">
        <v>58.8</v>
      </c>
      <c r="H763" s="155" t="s">
        <v>1673</v>
      </c>
      <c r="I763" s="155" t="s">
        <v>1738</v>
      </c>
      <c r="J763" s="155"/>
    </row>
    <row r="764" spans="1:10">
      <c r="A764" s="155" t="s">
        <v>3583</v>
      </c>
      <c r="B764" s="155" t="s">
        <v>3584</v>
      </c>
      <c r="C764" s="155" t="s">
        <v>3585</v>
      </c>
      <c r="D764" s="155" t="s">
        <v>1668</v>
      </c>
      <c r="E764" s="155"/>
      <c r="F764" s="155">
        <v>4.5999999999999996</v>
      </c>
      <c r="G764" s="155">
        <v>57.8</v>
      </c>
      <c r="H764" s="155" t="s">
        <v>1673</v>
      </c>
      <c r="I764" s="155" t="s">
        <v>1738</v>
      </c>
      <c r="J764" s="155"/>
    </row>
    <row r="765" spans="1:10">
      <c r="A765" s="155" t="s">
        <v>3586</v>
      </c>
      <c r="B765" s="155" t="s">
        <v>3587</v>
      </c>
      <c r="C765" s="155" t="s">
        <v>3588</v>
      </c>
      <c r="D765" s="155" t="s">
        <v>1668</v>
      </c>
      <c r="E765" s="155">
        <v>4.5</v>
      </c>
      <c r="F765" s="155"/>
      <c r="G765" s="155"/>
      <c r="H765" s="155" t="s">
        <v>1672</v>
      </c>
      <c r="I765" s="155" t="s">
        <v>1738</v>
      </c>
      <c r="J765" s="155"/>
    </row>
    <row r="766" spans="1:10">
      <c r="A766" s="155" t="s">
        <v>3589</v>
      </c>
      <c r="B766" s="155" t="s">
        <v>3590</v>
      </c>
      <c r="C766" s="155" t="s">
        <v>3591</v>
      </c>
      <c r="D766" s="155" t="s">
        <v>1668</v>
      </c>
      <c r="E766" s="155"/>
      <c r="F766" s="155"/>
      <c r="G766" s="155"/>
      <c r="H766" s="155" t="s">
        <v>1672</v>
      </c>
      <c r="I766" s="155" t="s">
        <v>122</v>
      </c>
      <c r="J766" s="155"/>
    </row>
    <row r="767" spans="1:10">
      <c r="A767" s="155" t="s">
        <v>997</v>
      </c>
      <c r="B767" s="155" t="s">
        <v>995</v>
      </c>
      <c r="C767" s="155" t="s">
        <v>996</v>
      </c>
      <c r="D767" s="155" t="s">
        <v>1668</v>
      </c>
      <c r="E767" s="155">
        <v>24</v>
      </c>
      <c r="F767" s="155"/>
      <c r="G767" s="155"/>
      <c r="H767" s="155" t="s">
        <v>1672</v>
      </c>
      <c r="I767" s="155" t="s">
        <v>3370</v>
      </c>
      <c r="J767" s="155"/>
    </row>
    <row r="768" spans="1:10">
      <c r="A768" s="155" t="s">
        <v>1001</v>
      </c>
      <c r="B768" s="155" t="s">
        <v>999</v>
      </c>
      <c r="C768" s="155" t="s">
        <v>1000</v>
      </c>
      <c r="D768" s="155" t="s">
        <v>1668</v>
      </c>
      <c r="E768" s="155">
        <v>12</v>
      </c>
      <c r="F768" s="155"/>
      <c r="G768" s="155"/>
      <c r="H768" s="155" t="s">
        <v>1672</v>
      </c>
      <c r="I768" s="155" t="s">
        <v>3370</v>
      </c>
      <c r="J768" s="155"/>
    </row>
    <row r="769" spans="1:10">
      <c r="A769" s="155" t="s">
        <v>3592</v>
      </c>
      <c r="B769" s="155" t="s">
        <v>3593</v>
      </c>
      <c r="C769" s="155" t="s">
        <v>3594</v>
      </c>
      <c r="D769" s="155" t="s">
        <v>1668</v>
      </c>
      <c r="E769" s="155"/>
      <c r="F769" s="155"/>
      <c r="G769" s="155"/>
      <c r="H769" s="155" t="s">
        <v>1672</v>
      </c>
      <c r="I769" s="155" t="s">
        <v>98</v>
      </c>
      <c r="J769" s="155"/>
    </row>
    <row r="770" spans="1:10">
      <c r="A770" s="155" t="s">
        <v>3595</v>
      </c>
      <c r="B770" s="155" t="s">
        <v>3596</v>
      </c>
      <c r="C770" s="155" t="s">
        <v>3597</v>
      </c>
      <c r="D770" s="155" t="s">
        <v>1668</v>
      </c>
      <c r="E770" s="155">
        <v>1.7</v>
      </c>
      <c r="F770" s="155"/>
      <c r="G770" s="155"/>
      <c r="H770" s="155" t="s">
        <v>1672</v>
      </c>
      <c r="I770" s="155" t="s">
        <v>122</v>
      </c>
      <c r="J770" s="155" t="s">
        <v>1691</v>
      </c>
    </row>
    <row r="771" spans="1:10">
      <c r="A771" s="155" t="s">
        <v>3598</v>
      </c>
      <c r="B771" s="155" t="s">
        <v>3599</v>
      </c>
      <c r="C771" s="155" t="s">
        <v>3600</v>
      </c>
      <c r="D771" s="155" t="s">
        <v>1668</v>
      </c>
      <c r="E771" s="155">
        <v>1.7</v>
      </c>
      <c r="F771" s="155"/>
      <c r="G771" s="155"/>
      <c r="H771" s="155" t="s">
        <v>1672</v>
      </c>
      <c r="I771" s="155" t="s">
        <v>117</v>
      </c>
      <c r="J771" s="155" t="s">
        <v>1691</v>
      </c>
    </row>
    <row r="772" spans="1:10">
      <c r="A772" s="155" t="s">
        <v>3601</v>
      </c>
      <c r="B772" s="155" t="s">
        <v>3602</v>
      </c>
      <c r="C772" s="155" t="s">
        <v>3603</v>
      </c>
      <c r="D772" s="155" t="s">
        <v>1668</v>
      </c>
      <c r="E772" s="155">
        <v>5</v>
      </c>
      <c r="F772" s="155"/>
      <c r="G772" s="155"/>
      <c r="H772" s="155" t="s">
        <v>1672</v>
      </c>
      <c r="I772" s="155" t="s">
        <v>41</v>
      </c>
      <c r="J772" s="155"/>
    </row>
    <row r="773" spans="1:10">
      <c r="A773" s="155" t="s">
        <v>1004</v>
      </c>
      <c r="B773" s="155" t="s">
        <v>1002</v>
      </c>
      <c r="C773" s="155" t="s">
        <v>1003</v>
      </c>
      <c r="D773" s="155" t="s">
        <v>1668</v>
      </c>
      <c r="E773" s="155"/>
      <c r="F773" s="155"/>
      <c r="G773" s="155"/>
      <c r="H773" s="155" t="s">
        <v>1672</v>
      </c>
      <c r="I773" s="155" t="s">
        <v>41</v>
      </c>
      <c r="J773" s="155"/>
    </row>
    <row r="774" spans="1:10">
      <c r="A774" s="155" t="s">
        <v>3604</v>
      </c>
      <c r="B774" s="155" t="s">
        <v>3605</v>
      </c>
      <c r="C774" s="155" t="s">
        <v>3606</v>
      </c>
      <c r="D774" s="155" t="s">
        <v>1668</v>
      </c>
      <c r="E774" s="155">
        <v>4.4000000000000004</v>
      </c>
      <c r="F774" s="155">
        <v>12.2</v>
      </c>
      <c r="G774" s="155">
        <v>3.9</v>
      </c>
      <c r="H774" s="155" t="s">
        <v>34</v>
      </c>
      <c r="I774" s="155" t="s">
        <v>38</v>
      </c>
      <c r="J774" s="155" t="s">
        <v>1863</v>
      </c>
    </row>
    <row r="775" spans="1:10">
      <c r="A775" s="155" t="s">
        <v>3607</v>
      </c>
      <c r="B775" s="155" t="s">
        <v>3608</v>
      </c>
      <c r="C775" s="155" t="s">
        <v>3609</v>
      </c>
      <c r="D775" s="155" t="s">
        <v>1668</v>
      </c>
      <c r="E775" s="155">
        <v>0.3</v>
      </c>
      <c r="F775" s="155">
        <v>1.5</v>
      </c>
      <c r="G775" s="155">
        <v>3</v>
      </c>
      <c r="H775" s="155" t="s">
        <v>34</v>
      </c>
      <c r="I775" s="155" t="s">
        <v>38</v>
      </c>
      <c r="J775" s="155" t="s">
        <v>3610</v>
      </c>
    </row>
    <row r="776" spans="1:10">
      <c r="A776" s="155" t="s">
        <v>3611</v>
      </c>
      <c r="B776" s="155" t="s">
        <v>3612</v>
      </c>
      <c r="C776" s="155" t="s">
        <v>3613</v>
      </c>
      <c r="D776" s="155" t="s">
        <v>1668</v>
      </c>
      <c r="E776" s="155">
        <v>0.3</v>
      </c>
      <c r="F776" s="155">
        <v>1.5</v>
      </c>
      <c r="G776" s="155">
        <v>3</v>
      </c>
      <c r="H776" s="155" t="s">
        <v>34</v>
      </c>
      <c r="I776" s="155" t="s">
        <v>38</v>
      </c>
      <c r="J776" s="155" t="s">
        <v>3610</v>
      </c>
    </row>
    <row r="777" spans="1:10">
      <c r="A777" s="155" t="s">
        <v>3614</v>
      </c>
      <c r="B777" s="155" t="s">
        <v>3615</v>
      </c>
      <c r="C777" s="155" t="s">
        <v>3616</v>
      </c>
      <c r="D777" s="155" t="s">
        <v>1668</v>
      </c>
      <c r="E777" s="155">
        <v>0.3</v>
      </c>
      <c r="F777" s="155">
        <v>0.5</v>
      </c>
      <c r="G777" s="155">
        <v>0.5</v>
      </c>
      <c r="H777" s="155" t="s">
        <v>34</v>
      </c>
      <c r="I777" s="155" t="s">
        <v>38</v>
      </c>
      <c r="J777" s="155" t="s">
        <v>3610</v>
      </c>
    </row>
    <row r="778" spans="1:10">
      <c r="A778" s="155" t="s">
        <v>3617</v>
      </c>
      <c r="B778" s="155" t="s">
        <v>3618</v>
      </c>
      <c r="C778" s="155" t="s">
        <v>3619</v>
      </c>
      <c r="D778" s="155" t="s">
        <v>1668</v>
      </c>
      <c r="E778" s="155">
        <v>1.3</v>
      </c>
      <c r="F778" s="155">
        <v>12</v>
      </c>
      <c r="G778" s="155">
        <v>2</v>
      </c>
      <c r="H778" s="155" t="s">
        <v>34</v>
      </c>
      <c r="I778" s="155" t="s">
        <v>38</v>
      </c>
      <c r="J778" s="155" t="s">
        <v>1868</v>
      </c>
    </row>
    <row r="779" spans="1:10">
      <c r="A779" s="155" t="s">
        <v>3620</v>
      </c>
      <c r="B779" s="155" t="s">
        <v>3621</v>
      </c>
      <c r="C779" s="155" t="s">
        <v>3622</v>
      </c>
      <c r="D779" s="155" t="s">
        <v>1668</v>
      </c>
      <c r="E779" s="155">
        <v>2.2000000000000002</v>
      </c>
      <c r="F779" s="155">
        <v>3</v>
      </c>
      <c r="G779" s="155">
        <v>1.5</v>
      </c>
      <c r="H779" s="155" t="s">
        <v>34</v>
      </c>
      <c r="I779" s="155" t="s">
        <v>38</v>
      </c>
      <c r="J779" s="155" t="s">
        <v>3610</v>
      </c>
    </row>
    <row r="780" spans="1:10">
      <c r="A780" s="155" t="s">
        <v>3623</v>
      </c>
      <c r="B780" s="155" t="s">
        <v>3624</v>
      </c>
      <c r="C780" s="155" t="s">
        <v>3625</v>
      </c>
      <c r="D780" s="155" t="s">
        <v>1668</v>
      </c>
      <c r="E780" s="155">
        <v>1.3</v>
      </c>
      <c r="F780" s="155">
        <v>4</v>
      </c>
      <c r="G780" s="155">
        <v>2</v>
      </c>
      <c r="H780" s="155" t="s">
        <v>34</v>
      </c>
      <c r="I780" s="155" t="s">
        <v>38</v>
      </c>
      <c r="J780" s="155" t="s">
        <v>3610</v>
      </c>
    </row>
    <row r="781" spans="1:10">
      <c r="A781" s="155" t="s">
        <v>3626</v>
      </c>
      <c r="B781" s="155" t="s">
        <v>3627</v>
      </c>
      <c r="C781" s="155" t="s">
        <v>3628</v>
      </c>
      <c r="D781" s="155" t="s">
        <v>1668</v>
      </c>
      <c r="E781" s="155">
        <v>1.4</v>
      </c>
      <c r="F781" s="155">
        <v>12</v>
      </c>
      <c r="G781" s="155">
        <v>6</v>
      </c>
      <c r="H781" s="155" t="s">
        <v>34</v>
      </c>
      <c r="I781" s="155" t="s">
        <v>38</v>
      </c>
      <c r="J781" s="155" t="s">
        <v>1873</v>
      </c>
    </row>
    <row r="782" spans="1:10">
      <c r="A782" s="155" t="s">
        <v>3629</v>
      </c>
      <c r="B782" s="155" t="s">
        <v>3630</v>
      </c>
      <c r="C782" s="155" t="s">
        <v>3631</v>
      </c>
      <c r="D782" s="155" t="s">
        <v>1668</v>
      </c>
      <c r="E782" s="155">
        <v>9.9</v>
      </c>
      <c r="F782" s="155">
        <v>1</v>
      </c>
      <c r="G782" s="155">
        <v>1</v>
      </c>
      <c r="H782" s="155" t="s">
        <v>34</v>
      </c>
      <c r="I782" s="155" t="s">
        <v>38</v>
      </c>
      <c r="J782" s="155" t="s">
        <v>3610</v>
      </c>
    </row>
    <row r="783" spans="1:10">
      <c r="A783" s="155" t="s">
        <v>2894</v>
      </c>
      <c r="B783" s="155" t="s">
        <v>3632</v>
      </c>
      <c r="C783" s="155" t="s">
        <v>3633</v>
      </c>
      <c r="D783" s="155" t="s">
        <v>1668</v>
      </c>
      <c r="E783" s="155">
        <v>1.3</v>
      </c>
      <c r="F783" s="155">
        <v>6</v>
      </c>
      <c r="G783" s="155">
        <v>2</v>
      </c>
      <c r="H783" s="155" t="s">
        <v>34</v>
      </c>
      <c r="I783" s="155" t="s">
        <v>38</v>
      </c>
      <c r="J783" s="155" t="s">
        <v>1873</v>
      </c>
    </row>
    <row r="784" spans="1:10">
      <c r="A784" s="155" t="s">
        <v>3634</v>
      </c>
      <c r="B784" s="155" t="s">
        <v>3635</v>
      </c>
      <c r="C784" s="155" t="s">
        <v>3636</v>
      </c>
      <c r="D784" s="155" t="s">
        <v>1668</v>
      </c>
      <c r="E784" s="155">
        <v>3.3</v>
      </c>
      <c r="F784" s="155">
        <v>1</v>
      </c>
      <c r="G784" s="155">
        <v>1</v>
      </c>
      <c r="H784" s="155" t="s">
        <v>34</v>
      </c>
      <c r="I784" s="155" t="s">
        <v>38</v>
      </c>
      <c r="J784" s="155" t="s">
        <v>1692</v>
      </c>
    </row>
    <row r="785" spans="1:10">
      <c r="A785" s="155" t="s">
        <v>3637</v>
      </c>
      <c r="B785" s="155" t="s">
        <v>3638</v>
      </c>
      <c r="C785" s="155" t="s">
        <v>3639</v>
      </c>
      <c r="D785" s="155" t="s">
        <v>1668</v>
      </c>
      <c r="E785" s="155">
        <v>8.3000000000000007</v>
      </c>
      <c r="F785" s="155">
        <v>1</v>
      </c>
      <c r="G785" s="155">
        <v>1</v>
      </c>
      <c r="H785" s="155" t="s">
        <v>34</v>
      </c>
      <c r="I785" s="155" t="s">
        <v>38</v>
      </c>
      <c r="J785" s="155" t="s">
        <v>3610</v>
      </c>
    </row>
    <row r="786" spans="1:10">
      <c r="A786" s="155" t="s">
        <v>3640</v>
      </c>
      <c r="B786" s="155" t="s">
        <v>3641</v>
      </c>
      <c r="C786" s="155" t="s">
        <v>3642</v>
      </c>
      <c r="D786" s="155" t="s">
        <v>1668</v>
      </c>
      <c r="E786" s="155">
        <v>38.1</v>
      </c>
      <c r="F786" s="155">
        <v>12</v>
      </c>
      <c r="G786" s="155">
        <v>84</v>
      </c>
      <c r="H786" s="155" t="s">
        <v>34</v>
      </c>
      <c r="I786" s="155" t="s">
        <v>38</v>
      </c>
      <c r="J786" s="155" t="s">
        <v>3643</v>
      </c>
    </row>
    <row r="787" spans="1:10">
      <c r="A787" s="155" t="s">
        <v>2453</v>
      </c>
      <c r="B787" s="155" t="s">
        <v>3644</v>
      </c>
      <c r="C787" s="155" t="s">
        <v>3645</v>
      </c>
      <c r="D787" s="155" t="s">
        <v>1668</v>
      </c>
      <c r="E787" s="155">
        <v>81.400000000000006</v>
      </c>
      <c r="F787" s="155">
        <v>15</v>
      </c>
      <c r="G787" s="155">
        <v>85.3</v>
      </c>
      <c r="H787" s="155" t="s">
        <v>34</v>
      </c>
      <c r="I787" s="155" t="s">
        <v>38</v>
      </c>
      <c r="J787" s="155" t="s">
        <v>3643</v>
      </c>
    </row>
    <row r="788" spans="1:10">
      <c r="A788" s="155" t="s">
        <v>3646</v>
      </c>
      <c r="B788" s="155" t="s">
        <v>3647</v>
      </c>
      <c r="C788" s="155" t="s">
        <v>3648</v>
      </c>
      <c r="D788" s="155" t="s">
        <v>1668</v>
      </c>
      <c r="E788" s="155">
        <v>0.7</v>
      </c>
      <c r="F788" s="155">
        <v>8</v>
      </c>
      <c r="G788" s="155">
        <v>4</v>
      </c>
      <c r="H788" s="155" t="s">
        <v>34</v>
      </c>
      <c r="I788" s="155" t="s">
        <v>38</v>
      </c>
      <c r="J788" s="155" t="s">
        <v>3649</v>
      </c>
    </row>
    <row r="789" spans="1:10">
      <c r="A789" s="155" t="s">
        <v>3563</v>
      </c>
      <c r="B789" s="155" t="s">
        <v>3650</v>
      </c>
      <c r="C789" s="155" t="s">
        <v>3651</v>
      </c>
      <c r="D789" s="155" t="s">
        <v>1668</v>
      </c>
      <c r="E789" s="155">
        <v>5.7</v>
      </c>
      <c r="F789" s="155">
        <v>8</v>
      </c>
      <c r="G789" s="155">
        <v>4</v>
      </c>
      <c r="H789" s="155" t="s">
        <v>34</v>
      </c>
      <c r="I789" s="155" t="s">
        <v>38</v>
      </c>
      <c r="J789" s="155" t="s">
        <v>3649</v>
      </c>
    </row>
    <row r="790" spans="1:10">
      <c r="A790" s="155" t="s">
        <v>32</v>
      </c>
      <c r="B790" s="155" t="s">
        <v>30</v>
      </c>
      <c r="C790" s="155" t="s">
        <v>31</v>
      </c>
      <c r="D790" s="155" t="s">
        <v>1668</v>
      </c>
      <c r="E790" s="155">
        <v>7.2</v>
      </c>
      <c r="F790" s="155">
        <v>13.5</v>
      </c>
      <c r="G790" s="155">
        <v>22.2</v>
      </c>
      <c r="H790" s="155" t="s">
        <v>34</v>
      </c>
      <c r="I790" s="155" t="s">
        <v>38</v>
      </c>
      <c r="J790" s="155" t="s">
        <v>1691</v>
      </c>
    </row>
    <row r="791" spans="1:10">
      <c r="A791" s="155" t="s">
        <v>2466</v>
      </c>
      <c r="B791" s="155" t="s">
        <v>3652</v>
      </c>
      <c r="C791" s="155" t="s">
        <v>3653</v>
      </c>
      <c r="D791" s="155" t="s">
        <v>1668</v>
      </c>
      <c r="E791" s="155">
        <v>0.4</v>
      </c>
      <c r="F791" s="155">
        <v>1</v>
      </c>
      <c r="G791" s="155">
        <v>0.5</v>
      </c>
      <c r="H791" s="155" t="s">
        <v>34</v>
      </c>
      <c r="I791" s="155" t="s">
        <v>38</v>
      </c>
      <c r="J791" s="155" t="s">
        <v>3610</v>
      </c>
    </row>
    <row r="792" spans="1:10">
      <c r="A792" s="155" t="s">
        <v>3065</v>
      </c>
      <c r="B792" s="155" t="s">
        <v>3654</v>
      </c>
      <c r="C792" s="155" t="s">
        <v>3655</v>
      </c>
      <c r="D792" s="155" t="s">
        <v>1668</v>
      </c>
      <c r="E792" s="155">
        <v>1.1000000000000001</v>
      </c>
      <c r="F792" s="155">
        <v>5.8</v>
      </c>
      <c r="G792" s="155">
        <v>39.299999999999997</v>
      </c>
      <c r="H792" s="155" t="s">
        <v>34</v>
      </c>
      <c r="I792" s="155" t="s">
        <v>38</v>
      </c>
      <c r="J792" s="155" t="s">
        <v>1691</v>
      </c>
    </row>
    <row r="793" spans="1:10">
      <c r="A793" s="155" t="s">
        <v>2095</v>
      </c>
      <c r="B793" s="155" t="s">
        <v>3656</v>
      </c>
      <c r="C793" s="155" t="s">
        <v>3657</v>
      </c>
      <c r="D793" s="155" t="s">
        <v>1668</v>
      </c>
      <c r="E793" s="155">
        <v>1.1000000000000001</v>
      </c>
      <c r="F793" s="155">
        <v>2.2999999999999998</v>
      </c>
      <c r="G793" s="155">
        <v>39.9</v>
      </c>
      <c r="H793" s="155" t="s">
        <v>34</v>
      </c>
      <c r="I793" s="155" t="s">
        <v>38</v>
      </c>
      <c r="J793" s="155" t="s">
        <v>1691</v>
      </c>
    </row>
    <row r="794" spans="1:10">
      <c r="A794" s="155" t="s">
        <v>3658</v>
      </c>
      <c r="B794" s="155" t="s">
        <v>3659</v>
      </c>
      <c r="C794" s="155" t="s">
        <v>3660</v>
      </c>
      <c r="D794" s="155" t="s">
        <v>1668</v>
      </c>
      <c r="E794" s="155">
        <v>1</v>
      </c>
      <c r="F794" s="155">
        <v>9</v>
      </c>
      <c r="G794" s="155">
        <v>2.8</v>
      </c>
      <c r="H794" s="155" t="s">
        <v>34</v>
      </c>
      <c r="I794" s="155" t="s">
        <v>2453</v>
      </c>
      <c r="J794" s="155" t="s">
        <v>3661</v>
      </c>
    </row>
    <row r="795" spans="1:10">
      <c r="A795" s="155" t="s">
        <v>610</v>
      </c>
      <c r="B795" s="155" t="s">
        <v>3662</v>
      </c>
      <c r="C795" s="155" t="s">
        <v>3663</v>
      </c>
      <c r="D795" s="155" t="s">
        <v>1668</v>
      </c>
      <c r="E795" s="155">
        <v>0.7</v>
      </c>
      <c r="F795" s="155">
        <v>8</v>
      </c>
      <c r="G795" s="155">
        <v>4</v>
      </c>
      <c r="H795" s="155" t="s">
        <v>34</v>
      </c>
      <c r="I795" s="155" t="s">
        <v>1829</v>
      </c>
      <c r="J795" s="155" t="s">
        <v>1873</v>
      </c>
    </row>
    <row r="796" spans="1:10">
      <c r="A796" s="155" t="s">
        <v>78</v>
      </c>
      <c r="B796" s="155" t="s">
        <v>76</v>
      </c>
      <c r="C796" s="155" t="s">
        <v>77</v>
      </c>
      <c r="D796" s="155" t="s">
        <v>1668</v>
      </c>
      <c r="E796" s="155">
        <v>0.4</v>
      </c>
      <c r="F796" s="155">
        <v>12</v>
      </c>
      <c r="G796" s="155">
        <v>2.8</v>
      </c>
      <c r="H796" s="155" t="s">
        <v>34</v>
      </c>
      <c r="I796" s="155" t="s">
        <v>80</v>
      </c>
      <c r="J796" s="155" t="s">
        <v>1889</v>
      </c>
    </row>
    <row r="797" spans="1:10">
      <c r="A797" s="155" t="s">
        <v>83</v>
      </c>
      <c r="B797" s="155" t="s">
        <v>81</v>
      </c>
      <c r="C797" s="155" t="s">
        <v>82</v>
      </c>
      <c r="D797" s="155" t="s">
        <v>1668</v>
      </c>
      <c r="E797" s="155">
        <v>0.2</v>
      </c>
      <c r="F797" s="155">
        <v>0.8</v>
      </c>
      <c r="G797" s="155">
        <v>0.8</v>
      </c>
      <c r="H797" s="155" t="s">
        <v>34</v>
      </c>
      <c r="I797" s="155" t="s">
        <v>85</v>
      </c>
      <c r="J797" s="155" t="s">
        <v>3610</v>
      </c>
    </row>
    <row r="798" spans="1:10">
      <c r="A798" s="155" t="s">
        <v>3664</v>
      </c>
      <c r="B798" s="155" t="s">
        <v>3665</v>
      </c>
      <c r="C798" s="155" t="s">
        <v>3666</v>
      </c>
      <c r="D798" s="155" t="s">
        <v>1668</v>
      </c>
      <c r="E798" s="155"/>
      <c r="F798" s="155">
        <v>4</v>
      </c>
      <c r="G798" s="155">
        <v>43.4</v>
      </c>
      <c r="H798" s="155" t="s">
        <v>34</v>
      </c>
      <c r="I798" s="155" t="s">
        <v>2466</v>
      </c>
      <c r="J798" s="155"/>
    </row>
    <row r="799" spans="1:10">
      <c r="A799" s="155" t="s">
        <v>3667</v>
      </c>
      <c r="B799" s="155" t="s">
        <v>3668</v>
      </c>
      <c r="C799" s="155" t="s">
        <v>3669</v>
      </c>
      <c r="D799" s="155" t="s">
        <v>1668</v>
      </c>
      <c r="E799" s="155">
        <v>1.8</v>
      </c>
      <c r="F799" s="155">
        <v>0.8</v>
      </c>
      <c r="G799" s="155">
        <v>0.8</v>
      </c>
      <c r="H799" s="155" t="s">
        <v>34</v>
      </c>
      <c r="I799" s="155" t="s">
        <v>2069</v>
      </c>
      <c r="J799" s="155" t="s">
        <v>3610</v>
      </c>
    </row>
    <row r="800" spans="1:10">
      <c r="A800" s="155" t="s">
        <v>3670</v>
      </c>
      <c r="B800" s="155" t="s">
        <v>3671</v>
      </c>
      <c r="C800" s="155" t="s">
        <v>3672</v>
      </c>
      <c r="D800" s="155" t="s">
        <v>1668</v>
      </c>
      <c r="E800" s="155">
        <v>0.2</v>
      </c>
      <c r="F800" s="155">
        <v>4.5</v>
      </c>
      <c r="G800" s="155">
        <v>2.8</v>
      </c>
      <c r="H800" s="155" t="s">
        <v>34</v>
      </c>
      <c r="I800" s="155" t="s">
        <v>2069</v>
      </c>
      <c r="J800" s="155" t="s">
        <v>3610</v>
      </c>
    </row>
    <row r="801" spans="1:10">
      <c r="A801" s="155" t="s">
        <v>3673</v>
      </c>
      <c r="B801" s="155" t="s">
        <v>3674</v>
      </c>
      <c r="C801" s="155" t="s">
        <v>3675</v>
      </c>
      <c r="D801" s="155" t="s">
        <v>1668</v>
      </c>
      <c r="E801" s="155">
        <v>0.2</v>
      </c>
      <c r="F801" s="155">
        <v>5</v>
      </c>
      <c r="G801" s="155">
        <v>6.5</v>
      </c>
      <c r="H801" s="155" t="s">
        <v>34</v>
      </c>
      <c r="I801" s="155" t="s">
        <v>401</v>
      </c>
      <c r="J801" s="155" t="s">
        <v>1698</v>
      </c>
    </row>
    <row r="802" spans="1:10">
      <c r="A802" s="155" t="s">
        <v>3676</v>
      </c>
      <c r="B802" s="155" t="s">
        <v>3677</v>
      </c>
      <c r="C802" s="155" t="s">
        <v>3678</v>
      </c>
      <c r="D802" s="155" t="s">
        <v>1668</v>
      </c>
      <c r="E802" s="155">
        <v>0.2</v>
      </c>
      <c r="F802" s="155">
        <v>3</v>
      </c>
      <c r="G802" s="155">
        <v>1.5</v>
      </c>
      <c r="H802" s="155" t="s">
        <v>34</v>
      </c>
      <c r="I802" s="155" t="s">
        <v>2165</v>
      </c>
      <c r="J802" s="155" t="s">
        <v>1698</v>
      </c>
    </row>
    <row r="803" spans="1:10">
      <c r="A803" s="155" t="s">
        <v>3679</v>
      </c>
      <c r="B803" s="155" t="s">
        <v>3680</v>
      </c>
      <c r="C803" s="155" t="s">
        <v>3681</v>
      </c>
      <c r="D803" s="155" t="s">
        <v>1668</v>
      </c>
      <c r="E803" s="155">
        <v>0.4</v>
      </c>
      <c r="F803" s="155">
        <v>2.7</v>
      </c>
      <c r="G803" s="155">
        <v>22.4</v>
      </c>
      <c r="H803" s="155" t="s">
        <v>34</v>
      </c>
      <c r="I803" s="155" t="s">
        <v>3682</v>
      </c>
      <c r="J803" s="155" t="s">
        <v>1691</v>
      </c>
    </row>
    <row r="804" spans="1:10">
      <c r="A804" s="155" t="s">
        <v>3683</v>
      </c>
      <c r="B804" s="155" t="s">
        <v>3684</v>
      </c>
      <c r="C804" s="155" t="s">
        <v>3685</v>
      </c>
      <c r="D804" s="155" t="s">
        <v>1668</v>
      </c>
      <c r="E804" s="155">
        <v>0.9</v>
      </c>
      <c r="F804" s="155">
        <v>9.8000000000000007</v>
      </c>
      <c r="G804" s="155">
        <v>204.3</v>
      </c>
      <c r="H804" s="155" t="s">
        <v>34</v>
      </c>
      <c r="I804" s="155" t="s">
        <v>3686</v>
      </c>
      <c r="J804" s="155" t="s">
        <v>1691</v>
      </c>
    </row>
    <row r="805" spans="1:10">
      <c r="A805" s="155" t="s">
        <v>96</v>
      </c>
      <c r="B805" s="155" t="s">
        <v>94</v>
      </c>
      <c r="C805" s="155" t="s">
        <v>95</v>
      </c>
      <c r="D805" s="155" t="s">
        <v>1668</v>
      </c>
      <c r="E805" s="155">
        <v>0.7</v>
      </c>
      <c r="F805" s="155">
        <v>2.5</v>
      </c>
      <c r="G805" s="155">
        <v>74.5</v>
      </c>
      <c r="H805" s="155" t="s">
        <v>34</v>
      </c>
      <c r="I805" s="155" t="s">
        <v>98</v>
      </c>
      <c r="J805" s="155" t="s">
        <v>3687</v>
      </c>
    </row>
    <row r="806" spans="1:10">
      <c r="A806" s="155" t="s">
        <v>3688</v>
      </c>
      <c r="B806" s="155" t="s">
        <v>3689</v>
      </c>
      <c r="C806" s="155" t="s">
        <v>3690</v>
      </c>
      <c r="D806" s="155" t="s">
        <v>1668</v>
      </c>
      <c r="E806" s="155">
        <v>1.6</v>
      </c>
      <c r="F806" s="155">
        <v>4.5</v>
      </c>
      <c r="G806" s="155">
        <v>34.4</v>
      </c>
      <c r="H806" s="155" t="s">
        <v>34</v>
      </c>
      <c r="I806" s="155" t="s">
        <v>2370</v>
      </c>
      <c r="J806" s="155" t="s">
        <v>3691</v>
      </c>
    </row>
    <row r="807" spans="1:10">
      <c r="A807" s="155" t="s">
        <v>121</v>
      </c>
      <c r="B807" s="155" t="s">
        <v>119</v>
      </c>
      <c r="C807" s="155" t="s">
        <v>120</v>
      </c>
      <c r="D807" s="155" t="s">
        <v>1668</v>
      </c>
      <c r="E807" s="155">
        <v>0.8</v>
      </c>
      <c r="F807" s="155">
        <v>2.2000000000000002</v>
      </c>
      <c r="G807" s="155">
        <v>72.3</v>
      </c>
      <c r="H807" s="155" t="s">
        <v>34</v>
      </c>
      <c r="I807" s="155" t="s">
        <v>122</v>
      </c>
      <c r="J807" s="155"/>
    </row>
    <row r="808" spans="1:10">
      <c r="A808" s="155" t="s">
        <v>3692</v>
      </c>
      <c r="B808" s="155" t="s">
        <v>3693</v>
      </c>
      <c r="C808" s="155" t="s">
        <v>3694</v>
      </c>
      <c r="D808" s="155" t="s">
        <v>1668</v>
      </c>
      <c r="E808" s="155">
        <v>2.2999999999999998</v>
      </c>
      <c r="F808" s="155">
        <v>7.5</v>
      </c>
      <c r="G808" s="155">
        <v>87.3</v>
      </c>
      <c r="H808" s="155" t="s">
        <v>34</v>
      </c>
      <c r="I808" s="155" t="s">
        <v>122</v>
      </c>
      <c r="J808" s="155"/>
    </row>
    <row r="809" spans="1:10">
      <c r="A809" s="155" t="s">
        <v>3695</v>
      </c>
      <c r="B809" s="155" t="s">
        <v>3696</v>
      </c>
      <c r="C809" s="155" t="s">
        <v>3697</v>
      </c>
      <c r="D809" s="155" t="s">
        <v>1668</v>
      </c>
      <c r="E809" s="155">
        <v>0.5</v>
      </c>
      <c r="F809" s="155">
        <v>3.5</v>
      </c>
      <c r="G809" s="155">
        <v>12.6</v>
      </c>
      <c r="H809" s="155" t="s">
        <v>34</v>
      </c>
      <c r="I809" s="155" t="s">
        <v>122</v>
      </c>
      <c r="J809" s="155"/>
    </row>
    <row r="810" spans="1:10">
      <c r="A810" s="155" t="s">
        <v>3698</v>
      </c>
      <c r="B810" s="155" t="s">
        <v>3699</v>
      </c>
      <c r="C810" s="155" t="s">
        <v>3700</v>
      </c>
      <c r="D810" s="155" t="s">
        <v>1668</v>
      </c>
      <c r="E810" s="155">
        <v>2</v>
      </c>
      <c r="F810" s="155">
        <v>5.5</v>
      </c>
      <c r="G810" s="155">
        <v>33</v>
      </c>
      <c r="H810" s="155" t="s">
        <v>34</v>
      </c>
      <c r="I810" s="155" t="s">
        <v>598</v>
      </c>
      <c r="J810" s="155" t="s">
        <v>1682</v>
      </c>
    </row>
    <row r="811" spans="1:10">
      <c r="A811" s="155" t="s">
        <v>3701</v>
      </c>
      <c r="B811" s="155" t="s">
        <v>3702</v>
      </c>
      <c r="C811" s="155" t="s">
        <v>3703</v>
      </c>
      <c r="D811" s="155" t="s">
        <v>1668</v>
      </c>
      <c r="E811" s="155">
        <v>0.4</v>
      </c>
      <c r="F811" s="155">
        <v>2</v>
      </c>
      <c r="G811" s="155">
        <v>16.7</v>
      </c>
      <c r="H811" s="155" t="s">
        <v>34</v>
      </c>
      <c r="I811" s="155" t="s">
        <v>3704</v>
      </c>
      <c r="J811" s="155" t="s">
        <v>1691</v>
      </c>
    </row>
    <row r="812" spans="1:10">
      <c r="A812" s="155" t="s">
        <v>3705</v>
      </c>
      <c r="B812" s="155" t="s">
        <v>3706</v>
      </c>
      <c r="C812" s="155" t="s">
        <v>3707</v>
      </c>
      <c r="D812" s="155" t="s">
        <v>1668</v>
      </c>
      <c r="E812" s="155">
        <v>0.4</v>
      </c>
      <c r="F812" s="155">
        <v>1.5</v>
      </c>
      <c r="G812" s="155">
        <v>16.2</v>
      </c>
      <c r="H812" s="155" t="s">
        <v>34</v>
      </c>
      <c r="I812" s="155" t="s">
        <v>3704</v>
      </c>
      <c r="J812" s="155" t="s">
        <v>1691</v>
      </c>
    </row>
    <row r="813" spans="1:10">
      <c r="A813" s="155" t="s">
        <v>3708</v>
      </c>
      <c r="B813" s="155" t="s">
        <v>3709</v>
      </c>
      <c r="C813" s="155" t="s">
        <v>3710</v>
      </c>
      <c r="D813" s="155" t="s">
        <v>1668</v>
      </c>
      <c r="E813" s="155">
        <v>0.5</v>
      </c>
      <c r="F813" s="155">
        <v>1.5</v>
      </c>
      <c r="G813" s="155">
        <v>16.3</v>
      </c>
      <c r="H813" s="155" t="s">
        <v>34</v>
      </c>
      <c r="I813" s="155" t="s">
        <v>1778</v>
      </c>
      <c r="J813" s="155" t="s">
        <v>1682</v>
      </c>
    </row>
    <row r="814" spans="1:10">
      <c r="A814" s="155" t="s">
        <v>3711</v>
      </c>
      <c r="B814" s="155" t="s">
        <v>3712</v>
      </c>
      <c r="C814" s="155" t="s">
        <v>3713</v>
      </c>
      <c r="D814" s="155" t="s">
        <v>1668</v>
      </c>
      <c r="E814" s="155">
        <v>0.5</v>
      </c>
      <c r="F814" s="155">
        <v>1.5</v>
      </c>
      <c r="G814" s="155">
        <v>16.2</v>
      </c>
      <c r="H814" s="155" t="s">
        <v>34</v>
      </c>
      <c r="I814" s="155" t="s">
        <v>1778</v>
      </c>
      <c r="J814" s="155" t="s">
        <v>1682</v>
      </c>
    </row>
    <row r="815" spans="1:10">
      <c r="A815" s="155" t="s">
        <v>3714</v>
      </c>
      <c r="B815" s="155" t="s">
        <v>3715</v>
      </c>
      <c r="C815" s="155" t="s">
        <v>3716</v>
      </c>
      <c r="D815" s="155" t="s">
        <v>1668</v>
      </c>
      <c r="E815" s="155">
        <v>0.4</v>
      </c>
      <c r="F815" s="155">
        <v>1.8</v>
      </c>
      <c r="G815" s="155">
        <v>29.1</v>
      </c>
      <c r="H815" s="155" t="s">
        <v>34</v>
      </c>
      <c r="I815" s="155" t="s">
        <v>3458</v>
      </c>
      <c r="J815" s="155" t="s">
        <v>1682</v>
      </c>
    </row>
    <row r="816" spans="1:10">
      <c r="A816" s="155" t="s">
        <v>3717</v>
      </c>
      <c r="B816" s="155" t="s">
        <v>3718</v>
      </c>
      <c r="C816" s="155" t="s">
        <v>3719</v>
      </c>
      <c r="D816" s="155" t="s">
        <v>1668</v>
      </c>
      <c r="E816" s="155">
        <v>0.4</v>
      </c>
      <c r="F816" s="155">
        <v>3.5</v>
      </c>
      <c r="G816" s="155">
        <v>30.8</v>
      </c>
      <c r="H816" s="155" t="s">
        <v>34</v>
      </c>
      <c r="I816" s="155" t="s">
        <v>3458</v>
      </c>
      <c r="J816" s="155" t="s">
        <v>1682</v>
      </c>
    </row>
    <row r="817" spans="1:10">
      <c r="A817" s="155" t="s">
        <v>3720</v>
      </c>
      <c r="B817" s="155" t="s">
        <v>3721</v>
      </c>
      <c r="C817" s="155" t="s">
        <v>3722</v>
      </c>
      <c r="D817" s="155" t="s">
        <v>1668</v>
      </c>
      <c r="E817" s="155">
        <v>2</v>
      </c>
      <c r="F817" s="155">
        <v>1.3</v>
      </c>
      <c r="G817" s="155">
        <v>44.7</v>
      </c>
      <c r="H817" s="155" t="s">
        <v>34</v>
      </c>
      <c r="I817" s="155" t="s">
        <v>3412</v>
      </c>
      <c r="J817" s="155"/>
    </row>
    <row r="818" spans="1:10">
      <c r="A818" s="155" t="s">
        <v>3723</v>
      </c>
      <c r="B818" s="155" t="s">
        <v>3724</v>
      </c>
      <c r="C818" s="155" t="s">
        <v>3725</v>
      </c>
      <c r="D818" s="155" t="s">
        <v>1668</v>
      </c>
      <c r="E818" s="155">
        <v>2.2999999999999998</v>
      </c>
      <c r="F818" s="155">
        <v>2.5</v>
      </c>
      <c r="G818" s="155">
        <v>40.299999999999997</v>
      </c>
      <c r="H818" s="155" t="s">
        <v>34</v>
      </c>
      <c r="I818" s="155" t="s">
        <v>3412</v>
      </c>
      <c r="J818" s="155"/>
    </row>
    <row r="819" spans="1:10">
      <c r="A819" s="155" t="s">
        <v>3726</v>
      </c>
      <c r="B819" s="155" t="s">
        <v>3727</v>
      </c>
      <c r="C819" s="155" t="s">
        <v>3728</v>
      </c>
      <c r="D819" s="155" t="s">
        <v>1668</v>
      </c>
      <c r="E819" s="155">
        <v>2.2999999999999998</v>
      </c>
      <c r="F819" s="155">
        <v>1.2</v>
      </c>
      <c r="G819" s="155">
        <v>43.1</v>
      </c>
      <c r="H819" s="155" t="s">
        <v>34</v>
      </c>
      <c r="I819" s="155" t="s">
        <v>3412</v>
      </c>
      <c r="J819" s="155"/>
    </row>
    <row r="820" spans="1:10">
      <c r="A820" s="155" t="s">
        <v>3729</v>
      </c>
      <c r="B820" s="155" t="s">
        <v>3730</v>
      </c>
      <c r="C820" s="155" t="s">
        <v>3731</v>
      </c>
      <c r="D820" s="155" t="s">
        <v>1668</v>
      </c>
      <c r="E820" s="155">
        <v>2.5</v>
      </c>
      <c r="F820" s="155">
        <v>3.6</v>
      </c>
      <c r="G820" s="155">
        <v>45</v>
      </c>
      <c r="H820" s="155" t="s">
        <v>34</v>
      </c>
      <c r="I820" s="155" t="s">
        <v>3412</v>
      </c>
      <c r="J820" s="155" t="s">
        <v>1691</v>
      </c>
    </row>
    <row r="821" spans="1:10">
      <c r="A821" s="155" t="s">
        <v>3732</v>
      </c>
      <c r="B821" s="155" t="s">
        <v>3733</v>
      </c>
      <c r="C821" s="155" t="s">
        <v>3734</v>
      </c>
      <c r="D821" s="155" t="s">
        <v>1668</v>
      </c>
      <c r="E821" s="155">
        <v>2.2999999999999998</v>
      </c>
      <c r="F821" s="155">
        <v>3.5</v>
      </c>
      <c r="G821" s="155">
        <v>40.299999999999997</v>
      </c>
      <c r="H821" s="155" t="s">
        <v>34</v>
      </c>
      <c r="I821" s="155" t="s">
        <v>3412</v>
      </c>
      <c r="J821" s="155"/>
    </row>
    <row r="822" spans="1:10">
      <c r="A822" s="155" t="s">
        <v>3735</v>
      </c>
      <c r="B822" s="155" t="s">
        <v>3736</v>
      </c>
      <c r="C822" s="155" t="s">
        <v>3737</v>
      </c>
      <c r="D822" s="155" t="s">
        <v>1668</v>
      </c>
      <c r="E822" s="155">
        <v>2.2999999999999998</v>
      </c>
      <c r="F822" s="155">
        <v>3.8</v>
      </c>
      <c r="G822" s="155">
        <v>45.1</v>
      </c>
      <c r="H822" s="155" t="s">
        <v>34</v>
      </c>
      <c r="I822" s="155" t="s">
        <v>3412</v>
      </c>
      <c r="J822" s="155"/>
    </row>
    <row r="823" spans="1:10">
      <c r="A823" s="155" t="s">
        <v>3738</v>
      </c>
      <c r="B823" s="155" t="s">
        <v>3739</v>
      </c>
      <c r="C823" s="155" t="s">
        <v>3740</v>
      </c>
      <c r="D823" s="155" t="s">
        <v>1668</v>
      </c>
      <c r="E823" s="155">
        <v>2</v>
      </c>
      <c r="F823" s="155">
        <v>0.6</v>
      </c>
      <c r="G823" s="155">
        <v>44.3</v>
      </c>
      <c r="H823" s="155" t="s">
        <v>34</v>
      </c>
      <c r="I823" s="155" t="s">
        <v>3412</v>
      </c>
      <c r="J823" s="155"/>
    </row>
    <row r="824" spans="1:10">
      <c r="A824" s="155" t="s">
        <v>3741</v>
      </c>
      <c r="B824" s="155" t="s">
        <v>3742</v>
      </c>
      <c r="C824" s="155" t="s">
        <v>3743</v>
      </c>
      <c r="D824" s="155" t="s">
        <v>1668</v>
      </c>
      <c r="E824" s="155">
        <v>1</v>
      </c>
      <c r="F824" s="155">
        <v>3.5</v>
      </c>
      <c r="G824" s="155">
        <v>40.4</v>
      </c>
      <c r="H824" s="155" t="s">
        <v>34</v>
      </c>
      <c r="I824" s="155" t="s">
        <v>2244</v>
      </c>
      <c r="J824" s="155" t="s">
        <v>1691</v>
      </c>
    </row>
    <row r="825" spans="1:10">
      <c r="A825" s="155" t="s">
        <v>3744</v>
      </c>
      <c r="B825" s="155" t="s">
        <v>3745</v>
      </c>
      <c r="C825" s="155" t="s">
        <v>3746</v>
      </c>
      <c r="D825" s="155" t="s">
        <v>1668</v>
      </c>
      <c r="E825" s="155">
        <v>0.2</v>
      </c>
      <c r="F825" s="155">
        <v>1</v>
      </c>
      <c r="G825" s="155">
        <v>1</v>
      </c>
      <c r="H825" s="155" t="s">
        <v>34</v>
      </c>
      <c r="I825" s="155" t="s">
        <v>147</v>
      </c>
      <c r="J825" s="155" t="s">
        <v>1825</v>
      </c>
    </row>
    <row r="826" spans="1:10">
      <c r="A826" s="155" t="s">
        <v>3747</v>
      </c>
      <c r="B826" s="155" t="s">
        <v>3748</v>
      </c>
      <c r="C826" s="155" t="s">
        <v>3749</v>
      </c>
      <c r="D826" s="155" t="s">
        <v>1668</v>
      </c>
      <c r="E826" s="155">
        <v>1.7</v>
      </c>
      <c r="F826" s="155">
        <v>2</v>
      </c>
      <c r="G826" s="155">
        <v>1</v>
      </c>
      <c r="H826" s="155" t="s">
        <v>34</v>
      </c>
      <c r="I826" s="155" t="s">
        <v>147</v>
      </c>
      <c r="J826" s="155" t="s">
        <v>3610</v>
      </c>
    </row>
    <row r="827" spans="1:10">
      <c r="A827" s="155" t="s">
        <v>3750</v>
      </c>
      <c r="B827" s="155" t="s">
        <v>3751</v>
      </c>
      <c r="C827" s="155" t="s">
        <v>3752</v>
      </c>
      <c r="D827" s="155" t="s">
        <v>1668</v>
      </c>
      <c r="E827" s="155">
        <v>1.7</v>
      </c>
      <c r="F827" s="155">
        <v>5.5</v>
      </c>
      <c r="G827" s="155">
        <v>92.8</v>
      </c>
      <c r="H827" s="155" t="s">
        <v>34</v>
      </c>
      <c r="I827" s="155" t="s">
        <v>147</v>
      </c>
      <c r="J827" s="155" t="s">
        <v>3610</v>
      </c>
    </row>
    <row r="828" spans="1:10">
      <c r="A828" s="155" t="s">
        <v>3753</v>
      </c>
      <c r="B828" s="155" t="s">
        <v>3754</v>
      </c>
      <c r="C828" s="155" t="s">
        <v>3755</v>
      </c>
      <c r="D828" s="155" t="s">
        <v>1668</v>
      </c>
      <c r="E828" s="155">
        <v>38.299999999999997</v>
      </c>
      <c r="F828" s="155">
        <v>4</v>
      </c>
      <c r="G828" s="155">
        <v>12.2</v>
      </c>
      <c r="H828" s="155" t="s">
        <v>34</v>
      </c>
      <c r="I828" s="155" t="s">
        <v>147</v>
      </c>
      <c r="J828" s="155" t="s">
        <v>3610</v>
      </c>
    </row>
    <row r="829" spans="1:10">
      <c r="A829" s="155" t="s">
        <v>3756</v>
      </c>
      <c r="B829" s="155" t="s">
        <v>3757</v>
      </c>
      <c r="C829" s="155" t="s">
        <v>3758</v>
      </c>
      <c r="D829" s="155" t="s">
        <v>1668</v>
      </c>
      <c r="E829" s="155">
        <v>0.9</v>
      </c>
      <c r="F829" s="155">
        <v>0.8</v>
      </c>
      <c r="G829" s="155">
        <v>0.8</v>
      </c>
      <c r="H829" s="155" t="s">
        <v>34</v>
      </c>
      <c r="I829" s="155" t="s">
        <v>147</v>
      </c>
      <c r="J829" s="155" t="s">
        <v>3610</v>
      </c>
    </row>
    <row r="830" spans="1:10">
      <c r="A830" s="155" t="s">
        <v>3759</v>
      </c>
      <c r="B830" s="155" t="s">
        <v>3760</v>
      </c>
      <c r="C830" s="155" t="s">
        <v>3761</v>
      </c>
      <c r="D830" s="155" t="s">
        <v>1668</v>
      </c>
      <c r="E830" s="155">
        <v>7.2</v>
      </c>
      <c r="F830" s="155">
        <v>2</v>
      </c>
      <c r="G830" s="155">
        <v>4</v>
      </c>
      <c r="H830" s="155" t="s">
        <v>34</v>
      </c>
      <c r="I830" s="155" t="s">
        <v>147</v>
      </c>
      <c r="J830" s="155" t="s">
        <v>1682</v>
      </c>
    </row>
    <row r="831" spans="1:10">
      <c r="A831" s="155" t="s">
        <v>150</v>
      </c>
      <c r="B831" s="155" t="s">
        <v>148</v>
      </c>
      <c r="C831" s="155" t="s">
        <v>149</v>
      </c>
      <c r="D831" s="155" t="s">
        <v>1668</v>
      </c>
      <c r="E831" s="155">
        <v>77</v>
      </c>
      <c r="F831" s="155">
        <v>2.5</v>
      </c>
      <c r="G831" s="155">
        <v>47.7</v>
      </c>
      <c r="H831" s="155" t="s">
        <v>34</v>
      </c>
      <c r="I831" s="155" t="s">
        <v>147</v>
      </c>
      <c r="J831" s="155" t="s">
        <v>3610</v>
      </c>
    </row>
    <row r="832" spans="1:10">
      <c r="A832" s="155" t="s">
        <v>3762</v>
      </c>
      <c r="B832" s="155" t="s">
        <v>3763</v>
      </c>
      <c r="C832" s="155" t="s">
        <v>3764</v>
      </c>
      <c r="D832" s="155" t="s">
        <v>1668</v>
      </c>
      <c r="E832" s="155">
        <v>2.2000000000000002</v>
      </c>
      <c r="F832" s="155">
        <v>2.5</v>
      </c>
      <c r="G832" s="155">
        <v>1.9</v>
      </c>
      <c r="H832" s="155" t="s">
        <v>34</v>
      </c>
      <c r="I832" s="155" t="s">
        <v>147</v>
      </c>
      <c r="J832" s="155" t="s">
        <v>3610</v>
      </c>
    </row>
    <row r="833" spans="1:10">
      <c r="A833" s="155" t="s">
        <v>3765</v>
      </c>
      <c r="B833" s="155" t="s">
        <v>3766</v>
      </c>
      <c r="C833" s="155" t="s">
        <v>3767</v>
      </c>
      <c r="D833" s="155" t="s">
        <v>1668</v>
      </c>
      <c r="E833" s="155">
        <v>0.9</v>
      </c>
      <c r="F833" s="155">
        <v>0.7</v>
      </c>
      <c r="G833" s="155">
        <v>0.7</v>
      </c>
      <c r="H833" s="155" t="s">
        <v>34</v>
      </c>
      <c r="I833" s="155" t="s">
        <v>147</v>
      </c>
      <c r="J833" s="155" t="s">
        <v>1825</v>
      </c>
    </row>
    <row r="834" spans="1:10">
      <c r="A834" s="155" t="s">
        <v>3768</v>
      </c>
      <c r="B834" s="155" t="s">
        <v>3769</v>
      </c>
      <c r="C834" s="155" t="s">
        <v>3770</v>
      </c>
      <c r="D834" s="155" t="s">
        <v>1668</v>
      </c>
      <c r="E834" s="155">
        <v>1.3</v>
      </c>
      <c r="F834" s="155">
        <v>5.5</v>
      </c>
      <c r="G834" s="155">
        <v>2.8</v>
      </c>
      <c r="H834" s="155" t="s">
        <v>34</v>
      </c>
      <c r="I834" s="155" t="s">
        <v>147</v>
      </c>
      <c r="J834" s="155" t="s">
        <v>3610</v>
      </c>
    </row>
    <row r="835" spans="1:10">
      <c r="A835" s="155" t="s">
        <v>3771</v>
      </c>
      <c r="B835" s="155" t="s">
        <v>3772</v>
      </c>
      <c r="C835" s="155" t="s">
        <v>3773</v>
      </c>
      <c r="D835" s="155" t="s">
        <v>1668</v>
      </c>
      <c r="E835" s="155">
        <v>18.5</v>
      </c>
      <c r="F835" s="155">
        <v>2.2999999999999998</v>
      </c>
      <c r="G835" s="155">
        <v>2.4</v>
      </c>
      <c r="H835" s="155" t="s">
        <v>34</v>
      </c>
      <c r="I835" s="155" t="s">
        <v>147</v>
      </c>
      <c r="J835" s="155" t="s">
        <v>1825</v>
      </c>
    </row>
    <row r="836" spans="1:10">
      <c r="A836" s="155" t="s">
        <v>3774</v>
      </c>
      <c r="B836" s="155" t="s">
        <v>3775</v>
      </c>
      <c r="C836" s="155" t="s">
        <v>3776</v>
      </c>
      <c r="D836" s="155" t="s">
        <v>1668</v>
      </c>
      <c r="E836" s="155">
        <v>12.6</v>
      </c>
      <c r="F836" s="155">
        <v>8.5</v>
      </c>
      <c r="G836" s="155">
        <v>6.5</v>
      </c>
      <c r="H836" s="155" t="s">
        <v>34</v>
      </c>
      <c r="I836" s="155" t="s">
        <v>147</v>
      </c>
      <c r="J836" s="155" t="s">
        <v>1682</v>
      </c>
    </row>
    <row r="837" spans="1:10">
      <c r="A837" s="155" t="s">
        <v>153</v>
      </c>
      <c r="B837" s="155" t="s">
        <v>151</v>
      </c>
      <c r="C837" s="155" t="s">
        <v>152</v>
      </c>
      <c r="D837" s="155" t="s">
        <v>1668</v>
      </c>
      <c r="E837" s="155">
        <v>0.4</v>
      </c>
      <c r="F837" s="155">
        <v>21</v>
      </c>
      <c r="G837" s="155">
        <v>30.4</v>
      </c>
      <c r="H837" s="155" t="s">
        <v>34</v>
      </c>
      <c r="I837" s="155" t="s">
        <v>154</v>
      </c>
      <c r="J837" s="155" t="s">
        <v>3610</v>
      </c>
    </row>
    <row r="838" spans="1:10">
      <c r="A838" s="155" t="s">
        <v>3777</v>
      </c>
      <c r="B838" s="155" t="s">
        <v>3778</v>
      </c>
      <c r="C838" s="155" t="s">
        <v>3779</v>
      </c>
      <c r="D838" s="155" t="s">
        <v>1668</v>
      </c>
      <c r="E838" s="155">
        <v>0.4</v>
      </c>
      <c r="F838" s="155">
        <v>0.8</v>
      </c>
      <c r="G838" s="155">
        <v>0.8</v>
      </c>
      <c r="H838" s="155" t="s">
        <v>34</v>
      </c>
      <c r="I838" s="155" t="s">
        <v>2995</v>
      </c>
      <c r="J838" s="155" t="s">
        <v>1825</v>
      </c>
    </row>
    <row r="839" spans="1:10">
      <c r="A839" s="155" t="s">
        <v>3780</v>
      </c>
      <c r="B839" s="155" t="s">
        <v>3781</v>
      </c>
      <c r="C839" s="155" t="s">
        <v>3782</v>
      </c>
      <c r="D839" s="155" t="s">
        <v>1668</v>
      </c>
      <c r="E839" s="155">
        <v>0.2</v>
      </c>
      <c r="F839" s="155">
        <v>15</v>
      </c>
      <c r="G839" s="155">
        <v>9</v>
      </c>
      <c r="H839" s="155" t="s">
        <v>34</v>
      </c>
      <c r="I839" s="155" t="s">
        <v>2995</v>
      </c>
      <c r="J839" s="155" t="s">
        <v>1825</v>
      </c>
    </row>
    <row r="840" spans="1:10">
      <c r="A840" s="155" t="s">
        <v>3783</v>
      </c>
      <c r="B840" s="155" t="s">
        <v>3784</v>
      </c>
      <c r="C840" s="155" t="s">
        <v>3785</v>
      </c>
      <c r="D840" s="155" t="s">
        <v>1668</v>
      </c>
      <c r="E840" s="155">
        <v>0.2</v>
      </c>
      <c r="F840" s="155">
        <v>7.8</v>
      </c>
      <c r="G840" s="155">
        <v>7</v>
      </c>
      <c r="H840" s="155" t="s">
        <v>34</v>
      </c>
      <c r="I840" s="155" t="s">
        <v>2995</v>
      </c>
      <c r="J840" s="155" t="s">
        <v>3610</v>
      </c>
    </row>
    <row r="841" spans="1:10">
      <c r="A841" s="155" t="s">
        <v>3786</v>
      </c>
      <c r="B841" s="155" t="s">
        <v>3787</v>
      </c>
      <c r="C841" s="155" t="s">
        <v>3788</v>
      </c>
      <c r="D841" s="155" t="s">
        <v>1668</v>
      </c>
      <c r="E841" s="155">
        <v>0.4</v>
      </c>
      <c r="F841" s="155">
        <v>13</v>
      </c>
      <c r="G841" s="155">
        <v>119.3</v>
      </c>
      <c r="H841" s="155" t="s">
        <v>34</v>
      </c>
      <c r="I841" s="155" t="s">
        <v>2995</v>
      </c>
      <c r="J841" s="155" t="s">
        <v>1825</v>
      </c>
    </row>
    <row r="842" spans="1:10">
      <c r="A842" s="155" t="s">
        <v>3789</v>
      </c>
      <c r="B842" s="155" t="s">
        <v>3790</v>
      </c>
      <c r="C842" s="155" t="s">
        <v>3791</v>
      </c>
      <c r="D842" s="155" t="s">
        <v>1668</v>
      </c>
      <c r="E842" s="155">
        <v>1.8</v>
      </c>
      <c r="F842" s="155">
        <v>1.8</v>
      </c>
      <c r="G842" s="155">
        <v>1.6</v>
      </c>
      <c r="H842" s="155" t="s">
        <v>34</v>
      </c>
      <c r="I842" s="155" t="s">
        <v>2995</v>
      </c>
      <c r="J842" s="155" t="s">
        <v>1825</v>
      </c>
    </row>
    <row r="843" spans="1:10">
      <c r="A843" s="155" t="s">
        <v>3792</v>
      </c>
      <c r="B843" s="155" t="s">
        <v>3793</v>
      </c>
      <c r="C843" s="155" t="s">
        <v>3794</v>
      </c>
      <c r="D843" s="155" t="s">
        <v>1668</v>
      </c>
      <c r="E843" s="155">
        <v>0.9</v>
      </c>
      <c r="F843" s="155">
        <v>8.3000000000000007</v>
      </c>
      <c r="G843" s="155">
        <v>4.0999999999999996</v>
      </c>
      <c r="H843" s="155" t="s">
        <v>34</v>
      </c>
      <c r="I843" s="155" t="s">
        <v>2774</v>
      </c>
      <c r="J843" s="155" t="s">
        <v>1825</v>
      </c>
    </row>
    <row r="844" spans="1:10">
      <c r="A844" s="155" t="s">
        <v>3795</v>
      </c>
      <c r="B844" s="155" t="s">
        <v>3796</v>
      </c>
      <c r="C844" s="155" t="s">
        <v>3797</v>
      </c>
      <c r="D844" s="155" t="s">
        <v>1668</v>
      </c>
      <c r="E844" s="155">
        <v>0.9</v>
      </c>
      <c r="F844" s="155">
        <v>0.8</v>
      </c>
      <c r="G844" s="155">
        <v>0.6</v>
      </c>
      <c r="H844" s="155" t="s">
        <v>34</v>
      </c>
      <c r="I844" s="155" t="s">
        <v>2774</v>
      </c>
      <c r="J844" s="155" t="s">
        <v>1825</v>
      </c>
    </row>
    <row r="845" spans="1:10">
      <c r="A845" s="155" t="s">
        <v>3798</v>
      </c>
      <c r="B845" s="155" t="s">
        <v>3799</v>
      </c>
      <c r="C845" s="155" t="s">
        <v>3800</v>
      </c>
      <c r="D845" s="155" t="s">
        <v>1668</v>
      </c>
      <c r="E845" s="155">
        <v>1.3</v>
      </c>
      <c r="F845" s="155">
        <v>0.5</v>
      </c>
      <c r="G845" s="155">
        <v>0.5</v>
      </c>
      <c r="H845" s="155" t="s">
        <v>34</v>
      </c>
      <c r="I845" s="155" t="s">
        <v>2774</v>
      </c>
      <c r="J845" s="155" t="s">
        <v>1825</v>
      </c>
    </row>
    <row r="846" spans="1:10">
      <c r="A846" s="155" t="s">
        <v>3801</v>
      </c>
      <c r="B846" s="155" t="s">
        <v>3802</v>
      </c>
      <c r="C846" s="155" t="s">
        <v>3803</v>
      </c>
      <c r="D846" s="155" t="s">
        <v>1668</v>
      </c>
      <c r="E846" s="155">
        <v>1.3</v>
      </c>
      <c r="F846" s="155">
        <v>0.5</v>
      </c>
      <c r="G846" s="155">
        <v>0.5</v>
      </c>
      <c r="H846" s="155" t="s">
        <v>34</v>
      </c>
      <c r="I846" s="155" t="s">
        <v>2774</v>
      </c>
      <c r="J846" s="155" t="s">
        <v>1825</v>
      </c>
    </row>
    <row r="847" spans="1:10">
      <c r="A847" s="155" t="s">
        <v>3804</v>
      </c>
      <c r="B847" s="155" t="s">
        <v>3805</v>
      </c>
      <c r="C847" s="155" t="s">
        <v>3806</v>
      </c>
      <c r="D847" s="155" t="s">
        <v>1668</v>
      </c>
      <c r="E847" s="155">
        <v>1.4</v>
      </c>
      <c r="F847" s="155">
        <v>1.8</v>
      </c>
      <c r="G847" s="155">
        <v>2.2999999999999998</v>
      </c>
      <c r="H847" s="155" t="s">
        <v>34</v>
      </c>
      <c r="I847" s="155" t="s">
        <v>2684</v>
      </c>
      <c r="J847" s="155" t="s">
        <v>1825</v>
      </c>
    </row>
    <row r="848" spans="1:10">
      <c r="A848" s="155" t="s">
        <v>3807</v>
      </c>
      <c r="B848" s="155" t="s">
        <v>3808</v>
      </c>
      <c r="C848" s="155" t="s">
        <v>3809</v>
      </c>
      <c r="D848" s="155" t="s">
        <v>1668</v>
      </c>
      <c r="E848" s="155">
        <v>1.4</v>
      </c>
      <c r="F848" s="155">
        <v>1.8</v>
      </c>
      <c r="G848" s="155">
        <v>2</v>
      </c>
      <c r="H848" s="155" t="s">
        <v>34</v>
      </c>
      <c r="I848" s="155" t="s">
        <v>2684</v>
      </c>
      <c r="J848" s="155" t="s">
        <v>1825</v>
      </c>
    </row>
    <row r="849" spans="1:10">
      <c r="A849" s="155" t="s">
        <v>3810</v>
      </c>
      <c r="B849" s="155" t="s">
        <v>3811</v>
      </c>
      <c r="C849" s="155" t="s">
        <v>3812</v>
      </c>
      <c r="D849" s="155" t="s">
        <v>1668</v>
      </c>
      <c r="E849" s="155">
        <v>0.9</v>
      </c>
      <c r="F849" s="155">
        <v>1</v>
      </c>
      <c r="G849" s="155">
        <v>0.8</v>
      </c>
      <c r="H849" s="155" t="s">
        <v>34</v>
      </c>
      <c r="I849" s="155" t="s">
        <v>2684</v>
      </c>
      <c r="J849" s="155" t="s">
        <v>3610</v>
      </c>
    </row>
    <row r="850" spans="1:10">
      <c r="A850" s="155" t="s">
        <v>3813</v>
      </c>
      <c r="B850" s="155" t="s">
        <v>3814</v>
      </c>
      <c r="C850" s="155" t="s">
        <v>3815</v>
      </c>
      <c r="D850" s="155" t="s">
        <v>1668</v>
      </c>
      <c r="E850" s="155">
        <v>0.9</v>
      </c>
      <c r="F850" s="155">
        <v>0.5</v>
      </c>
      <c r="G850" s="155">
        <v>57.8</v>
      </c>
      <c r="H850" s="155" t="s">
        <v>34</v>
      </c>
      <c r="I850" s="155" t="s">
        <v>2684</v>
      </c>
      <c r="J850" s="155" t="s">
        <v>3610</v>
      </c>
    </row>
    <row r="851" spans="1:10">
      <c r="A851" s="155" t="s">
        <v>3816</v>
      </c>
      <c r="B851" s="155" t="s">
        <v>3817</v>
      </c>
      <c r="C851" s="155" t="s">
        <v>3818</v>
      </c>
      <c r="D851" s="155" t="s">
        <v>1668</v>
      </c>
      <c r="E851" s="155">
        <v>0.9</v>
      </c>
      <c r="F851" s="155">
        <v>3.8</v>
      </c>
      <c r="G851" s="155">
        <v>25.5</v>
      </c>
      <c r="H851" s="155" t="s">
        <v>34</v>
      </c>
      <c r="I851" s="155" t="s">
        <v>2684</v>
      </c>
      <c r="J851" s="155" t="s">
        <v>3610</v>
      </c>
    </row>
    <row r="852" spans="1:10">
      <c r="A852" s="155" t="s">
        <v>3819</v>
      </c>
      <c r="B852" s="155" t="s">
        <v>3820</v>
      </c>
      <c r="C852" s="155" t="s">
        <v>3821</v>
      </c>
      <c r="D852" s="155" t="s">
        <v>1668</v>
      </c>
      <c r="E852" s="155">
        <v>0.9</v>
      </c>
      <c r="F852" s="155">
        <v>3</v>
      </c>
      <c r="G852" s="155">
        <v>2.9</v>
      </c>
      <c r="H852" s="155" t="s">
        <v>34</v>
      </c>
      <c r="I852" s="155" t="s">
        <v>2684</v>
      </c>
      <c r="J852" s="155" t="s">
        <v>3610</v>
      </c>
    </row>
    <row r="853" spans="1:10">
      <c r="A853" s="155" t="s">
        <v>3822</v>
      </c>
      <c r="B853" s="155" t="s">
        <v>3823</v>
      </c>
      <c r="C853" s="155" t="s">
        <v>3824</v>
      </c>
      <c r="D853" s="155" t="s">
        <v>1668</v>
      </c>
      <c r="E853" s="155">
        <v>1.4</v>
      </c>
      <c r="F853" s="155">
        <v>2</v>
      </c>
      <c r="G853" s="155">
        <v>56.3</v>
      </c>
      <c r="H853" s="155" t="s">
        <v>34</v>
      </c>
      <c r="I853" s="155" t="s">
        <v>2684</v>
      </c>
      <c r="J853" s="155" t="s">
        <v>3610</v>
      </c>
    </row>
    <row r="854" spans="1:10">
      <c r="A854" s="155" t="s">
        <v>3825</v>
      </c>
      <c r="B854" s="155" t="s">
        <v>3826</v>
      </c>
      <c r="C854" s="155" t="s">
        <v>3827</v>
      </c>
      <c r="D854" s="155" t="s">
        <v>1668</v>
      </c>
      <c r="E854" s="155">
        <v>1.4</v>
      </c>
      <c r="F854" s="155">
        <v>1.5</v>
      </c>
      <c r="G854" s="155">
        <v>56.3</v>
      </c>
      <c r="H854" s="155" t="s">
        <v>34</v>
      </c>
      <c r="I854" s="155" t="s">
        <v>2684</v>
      </c>
      <c r="J854" s="155" t="s">
        <v>3610</v>
      </c>
    </row>
    <row r="855" spans="1:10">
      <c r="A855" s="155" t="s">
        <v>3828</v>
      </c>
      <c r="B855" s="155" t="s">
        <v>3829</v>
      </c>
      <c r="C855" s="155" t="s">
        <v>3830</v>
      </c>
      <c r="D855" s="155" t="s">
        <v>1668</v>
      </c>
      <c r="E855" s="155">
        <v>0.5</v>
      </c>
      <c r="F855" s="155">
        <v>1</v>
      </c>
      <c r="G855" s="155">
        <v>1</v>
      </c>
      <c r="H855" s="155" t="s">
        <v>34</v>
      </c>
      <c r="I855" s="155" t="s">
        <v>2684</v>
      </c>
      <c r="J855" s="155" t="s">
        <v>3610</v>
      </c>
    </row>
    <row r="856" spans="1:10">
      <c r="A856" s="155" t="s">
        <v>3831</v>
      </c>
      <c r="B856" s="155" t="s">
        <v>3832</v>
      </c>
      <c r="C856" s="155" t="s">
        <v>3833</v>
      </c>
      <c r="D856" s="155" t="s">
        <v>1668</v>
      </c>
      <c r="E856" s="155">
        <v>0.5</v>
      </c>
      <c r="F856" s="155">
        <v>1</v>
      </c>
      <c r="G856" s="155">
        <v>56.3</v>
      </c>
      <c r="H856" s="155" t="s">
        <v>34</v>
      </c>
      <c r="I856" s="155" t="s">
        <v>2684</v>
      </c>
      <c r="J856" s="155" t="s">
        <v>3610</v>
      </c>
    </row>
    <row r="857" spans="1:10">
      <c r="A857" s="155" t="s">
        <v>3834</v>
      </c>
      <c r="B857" s="155" t="s">
        <v>3835</v>
      </c>
      <c r="C857" s="155" t="s">
        <v>3836</v>
      </c>
      <c r="D857" s="155" t="s">
        <v>1668</v>
      </c>
      <c r="E857" s="155">
        <v>1.4</v>
      </c>
      <c r="F857" s="155">
        <v>1</v>
      </c>
      <c r="G857" s="155">
        <v>1</v>
      </c>
      <c r="H857" s="155" t="s">
        <v>34</v>
      </c>
      <c r="I857" s="155" t="s">
        <v>2684</v>
      </c>
      <c r="J857" s="155" t="s">
        <v>3610</v>
      </c>
    </row>
    <row r="858" spans="1:10">
      <c r="A858" s="155" t="s">
        <v>3837</v>
      </c>
      <c r="B858" s="155" t="s">
        <v>3838</v>
      </c>
      <c r="C858" s="155" t="s">
        <v>3839</v>
      </c>
      <c r="D858" s="155" t="s">
        <v>1668</v>
      </c>
      <c r="E858" s="155">
        <v>1.4</v>
      </c>
      <c r="F858" s="155">
        <v>1.5</v>
      </c>
      <c r="G858" s="155">
        <v>56.3</v>
      </c>
      <c r="H858" s="155" t="s">
        <v>34</v>
      </c>
      <c r="I858" s="155" t="s">
        <v>2684</v>
      </c>
      <c r="J858" s="155" t="s">
        <v>3610</v>
      </c>
    </row>
    <row r="859" spans="1:10">
      <c r="A859" s="155" t="s">
        <v>3840</v>
      </c>
      <c r="B859" s="155" t="s">
        <v>3841</v>
      </c>
      <c r="C859" s="155" t="s">
        <v>3842</v>
      </c>
      <c r="D859" s="155" t="s">
        <v>1668</v>
      </c>
      <c r="E859" s="155">
        <v>0.5</v>
      </c>
      <c r="F859" s="155">
        <v>1</v>
      </c>
      <c r="G859" s="155">
        <v>1</v>
      </c>
      <c r="H859" s="155" t="s">
        <v>34</v>
      </c>
      <c r="I859" s="155" t="s">
        <v>2684</v>
      </c>
      <c r="J859" s="155" t="s">
        <v>3610</v>
      </c>
    </row>
    <row r="860" spans="1:10">
      <c r="A860" s="155" t="s">
        <v>3843</v>
      </c>
      <c r="B860" s="155" t="s">
        <v>3844</v>
      </c>
      <c r="C860" s="155" t="s">
        <v>3845</v>
      </c>
      <c r="D860" s="155" t="s">
        <v>1668</v>
      </c>
      <c r="E860" s="155">
        <v>0.5</v>
      </c>
      <c r="F860" s="155">
        <v>1.5</v>
      </c>
      <c r="G860" s="155">
        <v>56.2</v>
      </c>
      <c r="H860" s="155" t="s">
        <v>34</v>
      </c>
      <c r="I860" s="155" t="s">
        <v>2684</v>
      </c>
      <c r="J860" s="155" t="s">
        <v>3610</v>
      </c>
    </row>
    <row r="861" spans="1:10">
      <c r="A861" s="155" t="s">
        <v>3846</v>
      </c>
      <c r="B861" s="155" t="s">
        <v>3847</v>
      </c>
      <c r="C861" s="155" t="s">
        <v>3848</v>
      </c>
      <c r="D861" s="155" t="s">
        <v>1668</v>
      </c>
      <c r="E861" s="155">
        <v>0.9</v>
      </c>
      <c r="F861" s="155">
        <v>0.5</v>
      </c>
      <c r="G861" s="155">
        <v>0.5</v>
      </c>
      <c r="H861" s="155" t="s">
        <v>34</v>
      </c>
      <c r="I861" s="155" t="s">
        <v>2684</v>
      </c>
      <c r="J861" s="155" t="s">
        <v>3610</v>
      </c>
    </row>
    <row r="862" spans="1:10">
      <c r="A862" s="155" t="s">
        <v>3849</v>
      </c>
      <c r="B862" s="155" t="s">
        <v>3850</v>
      </c>
      <c r="C862" s="155" t="s">
        <v>3851</v>
      </c>
      <c r="D862" s="155" t="s">
        <v>1668</v>
      </c>
      <c r="E862" s="155">
        <v>0.9</v>
      </c>
      <c r="F862" s="155">
        <v>0.5</v>
      </c>
      <c r="G862" s="155">
        <v>0.5</v>
      </c>
      <c r="H862" s="155" t="s">
        <v>34</v>
      </c>
      <c r="I862" s="155" t="s">
        <v>2684</v>
      </c>
      <c r="J862" s="155" t="s">
        <v>3610</v>
      </c>
    </row>
    <row r="863" spans="1:10">
      <c r="A863" s="155" t="s">
        <v>3852</v>
      </c>
      <c r="B863" s="155" t="s">
        <v>3853</v>
      </c>
      <c r="C863" s="155" t="s">
        <v>3854</v>
      </c>
      <c r="D863" s="155" t="s">
        <v>1668</v>
      </c>
      <c r="E863" s="155">
        <v>0.5</v>
      </c>
      <c r="F863" s="155">
        <v>1</v>
      </c>
      <c r="G863" s="155">
        <v>1</v>
      </c>
      <c r="H863" s="155" t="s">
        <v>34</v>
      </c>
      <c r="I863" s="155" t="s">
        <v>2684</v>
      </c>
      <c r="J863" s="155" t="s">
        <v>1825</v>
      </c>
    </row>
    <row r="864" spans="1:10">
      <c r="A864" s="155" t="s">
        <v>3855</v>
      </c>
      <c r="B864" s="155" t="s">
        <v>3856</v>
      </c>
      <c r="C864" s="155" t="s">
        <v>3857</v>
      </c>
      <c r="D864" s="155" t="s">
        <v>1668</v>
      </c>
      <c r="E864" s="155">
        <v>0.5</v>
      </c>
      <c r="F864" s="155">
        <v>1</v>
      </c>
      <c r="G864" s="155">
        <v>58.4</v>
      </c>
      <c r="H864" s="155" t="s">
        <v>34</v>
      </c>
      <c r="I864" s="155" t="s">
        <v>2684</v>
      </c>
      <c r="J864" s="155" t="s">
        <v>1825</v>
      </c>
    </row>
    <row r="865" spans="1:10">
      <c r="A865" s="155" t="s">
        <v>3858</v>
      </c>
      <c r="B865" s="155" t="s">
        <v>3859</v>
      </c>
      <c r="C865" s="155" t="s">
        <v>3860</v>
      </c>
      <c r="D865" s="155" t="s">
        <v>1668</v>
      </c>
      <c r="E865" s="155">
        <v>3.1</v>
      </c>
      <c r="F865" s="155">
        <v>13</v>
      </c>
      <c r="G865" s="155">
        <v>16</v>
      </c>
      <c r="H865" s="155" t="s">
        <v>34</v>
      </c>
      <c r="I865" s="155" t="s">
        <v>2684</v>
      </c>
      <c r="J865" s="155" t="s">
        <v>3861</v>
      </c>
    </row>
    <row r="866" spans="1:10">
      <c r="A866" s="155" t="s">
        <v>3862</v>
      </c>
      <c r="B866" s="155" t="s">
        <v>3863</v>
      </c>
      <c r="C866" s="155" t="s">
        <v>3864</v>
      </c>
      <c r="D866" s="155" t="s">
        <v>1668</v>
      </c>
      <c r="E866" s="155">
        <v>3.1</v>
      </c>
      <c r="F866" s="155">
        <v>13</v>
      </c>
      <c r="G866" s="155">
        <v>16.5</v>
      </c>
      <c r="H866" s="155" t="s">
        <v>34</v>
      </c>
      <c r="I866" s="155" t="s">
        <v>2684</v>
      </c>
      <c r="J866" s="155" t="s">
        <v>3861</v>
      </c>
    </row>
    <row r="867" spans="1:10">
      <c r="A867" s="155" t="s">
        <v>3865</v>
      </c>
      <c r="B867" s="155" t="s">
        <v>3866</v>
      </c>
      <c r="C867" s="155" t="s">
        <v>3867</v>
      </c>
      <c r="D867" s="155" t="s">
        <v>1668</v>
      </c>
      <c r="E867" s="155">
        <v>0.4</v>
      </c>
      <c r="F867" s="155">
        <v>1</v>
      </c>
      <c r="G867" s="155">
        <v>1</v>
      </c>
      <c r="H867" s="155" t="s">
        <v>34</v>
      </c>
      <c r="I867" s="155" t="s">
        <v>2684</v>
      </c>
      <c r="J867" s="155" t="s">
        <v>3610</v>
      </c>
    </row>
    <row r="868" spans="1:10">
      <c r="A868" s="155" t="s">
        <v>3868</v>
      </c>
      <c r="B868" s="155" t="s">
        <v>3869</v>
      </c>
      <c r="C868" s="155" t="s">
        <v>3870</v>
      </c>
      <c r="D868" s="155" t="s">
        <v>1668</v>
      </c>
      <c r="E868" s="155">
        <v>0.4</v>
      </c>
      <c r="F868" s="155">
        <v>1</v>
      </c>
      <c r="G868" s="155">
        <v>1</v>
      </c>
      <c r="H868" s="155" t="s">
        <v>34</v>
      </c>
      <c r="I868" s="155" t="s">
        <v>2684</v>
      </c>
      <c r="J868" s="155" t="s">
        <v>3610</v>
      </c>
    </row>
    <row r="869" spans="1:10">
      <c r="A869" s="155" t="s">
        <v>3871</v>
      </c>
      <c r="B869" s="155" t="s">
        <v>3872</v>
      </c>
      <c r="C869" s="155" t="s">
        <v>3873</v>
      </c>
      <c r="D869" s="155" t="s">
        <v>1668</v>
      </c>
      <c r="E869" s="155">
        <v>0.2</v>
      </c>
      <c r="F869" s="155">
        <v>1</v>
      </c>
      <c r="G869" s="155">
        <v>1</v>
      </c>
      <c r="H869" s="155" t="s">
        <v>34</v>
      </c>
      <c r="I869" s="155" t="s">
        <v>159</v>
      </c>
      <c r="J869" s="155" t="s">
        <v>1825</v>
      </c>
    </row>
    <row r="870" spans="1:10">
      <c r="A870" s="155" t="s">
        <v>3874</v>
      </c>
      <c r="B870" s="155" t="s">
        <v>3875</v>
      </c>
      <c r="C870" s="155" t="s">
        <v>3876</v>
      </c>
      <c r="D870" s="155" t="s">
        <v>1668</v>
      </c>
      <c r="E870" s="155">
        <v>0.4</v>
      </c>
      <c r="F870" s="155">
        <v>1</v>
      </c>
      <c r="G870" s="155">
        <v>1</v>
      </c>
      <c r="H870" s="155" t="s">
        <v>34</v>
      </c>
      <c r="I870" s="155" t="s">
        <v>159</v>
      </c>
      <c r="J870" s="155" t="s">
        <v>1825</v>
      </c>
    </row>
    <row r="871" spans="1:10">
      <c r="A871" s="155" t="s">
        <v>3877</v>
      </c>
      <c r="B871" s="155" t="s">
        <v>3878</v>
      </c>
      <c r="C871" s="155" t="s">
        <v>3879</v>
      </c>
      <c r="D871" s="155" t="s">
        <v>1668</v>
      </c>
      <c r="E871" s="155">
        <v>0.2</v>
      </c>
      <c r="F871" s="155">
        <v>1</v>
      </c>
      <c r="G871" s="155">
        <v>1</v>
      </c>
      <c r="H871" s="155" t="s">
        <v>34</v>
      </c>
      <c r="I871" s="155" t="s">
        <v>159</v>
      </c>
      <c r="J871" s="155" t="s">
        <v>1825</v>
      </c>
    </row>
    <row r="872" spans="1:10">
      <c r="A872" s="155" t="s">
        <v>3880</v>
      </c>
      <c r="B872" s="155" t="s">
        <v>3881</v>
      </c>
      <c r="C872" s="155" t="s">
        <v>3882</v>
      </c>
      <c r="D872" s="155" t="s">
        <v>1668</v>
      </c>
      <c r="E872" s="155">
        <v>3</v>
      </c>
      <c r="F872" s="155">
        <v>18</v>
      </c>
      <c r="G872" s="155">
        <v>6</v>
      </c>
      <c r="H872" s="155" t="s">
        <v>34</v>
      </c>
      <c r="I872" s="155" t="s">
        <v>3883</v>
      </c>
      <c r="J872" s="155" t="s">
        <v>3643</v>
      </c>
    </row>
    <row r="873" spans="1:10">
      <c r="A873" s="155" t="s">
        <v>172</v>
      </c>
      <c r="B873" s="155" t="s">
        <v>170</v>
      </c>
      <c r="C873" s="155" t="s">
        <v>171</v>
      </c>
      <c r="D873" s="155" t="s">
        <v>1668</v>
      </c>
      <c r="E873" s="155">
        <v>0.4</v>
      </c>
      <c r="F873" s="155">
        <v>2</v>
      </c>
      <c r="G873" s="155">
        <v>1</v>
      </c>
      <c r="H873" s="155" t="s">
        <v>34</v>
      </c>
      <c r="I873" s="155" t="s">
        <v>173</v>
      </c>
      <c r="J873" s="155" t="s">
        <v>1868</v>
      </c>
    </row>
    <row r="874" spans="1:10">
      <c r="A874" s="155" t="s">
        <v>3884</v>
      </c>
      <c r="B874" s="155" t="s">
        <v>3885</v>
      </c>
      <c r="C874" s="155" t="s">
        <v>3886</v>
      </c>
      <c r="D874" s="155" t="s">
        <v>1668</v>
      </c>
      <c r="E874" s="155">
        <v>0.2</v>
      </c>
      <c r="F874" s="155">
        <v>4</v>
      </c>
      <c r="G874" s="155">
        <v>2</v>
      </c>
      <c r="H874" s="155" t="s">
        <v>34</v>
      </c>
      <c r="I874" s="155" t="s">
        <v>3887</v>
      </c>
      <c r="J874" s="155" t="s">
        <v>1840</v>
      </c>
    </row>
    <row r="875" spans="1:10">
      <c r="A875" s="155" t="s">
        <v>3888</v>
      </c>
      <c r="B875" s="155" t="s">
        <v>3889</v>
      </c>
      <c r="C875" s="155" t="s">
        <v>3890</v>
      </c>
      <c r="D875" s="155" t="s">
        <v>1668</v>
      </c>
      <c r="E875" s="155">
        <v>0.2</v>
      </c>
      <c r="F875" s="155">
        <v>4.5</v>
      </c>
      <c r="G875" s="155">
        <v>2.8</v>
      </c>
      <c r="H875" s="155" t="s">
        <v>34</v>
      </c>
      <c r="I875" s="155" t="s">
        <v>3891</v>
      </c>
      <c r="J875" s="155" t="s">
        <v>1840</v>
      </c>
    </row>
    <row r="876" spans="1:10">
      <c r="A876" s="155" t="s">
        <v>3892</v>
      </c>
      <c r="B876" s="155" t="s">
        <v>3893</v>
      </c>
      <c r="C876" s="155" t="s">
        <v>3894</v>
      </c>
      <c r="D876" s="155" t="s">
        <v>1668</v>
      </c>
      <c r="E876" s="155">
        <v>0.2</v>
      </c>
      <c r="F876" s="155">
        <v>4</v>
      </c>
      <c r="G876" s="155">
        <v>2</v>
      </c>
      <c r="H876" s="155" t="s">
        <v>34</v>
      </c>
      <c r="I876" s="155" t="s">
        <v>3895</v>
      </c>
      <c r="J876" s="155" t="s">
        <v>1840</v>
      </c>
    </row>
    <row r="877" spans="1:10">
      <c r="A877" s="155" t="s">
        <v>222</v>
      </c>
      <c r="B877" s="155" t="s">
        <v>220</v>
      </c>
      <c r="C877" s="155" t="s">
        <v>221</v>
      </c>
      <c r="D877" s="155" t="s">
        <v>1668</v>
      </c>
      <c r="E877" s="155">
        <v>2</v>
      </c>
      <c r="F877" s="155">
        <v>1</v>
      </c>
      <c r="G877" s="155">
        <v>1</v>
      </c>
      <c r="H877" s="155" t="s">
        <v>34</v>
      </c>
      <c r="I877" s="155" t="s">
        <v>223</v>
      </c>
      <c r="J877" s="155" t="s">
        <v>1825</v>
      </c>
    </row>
    <row r="878" spans="1:10">
      <c r="A878" s="155" t="s">
        <v>226</v>
      </c>
      <c r="B878" s="155" t="s">
        <v>224</v>
      </c>
      <c r="C878" s="155" t="s">
        <v>225</v>
      </c>
      <c r="D878" s="155" t="s">
        <v>1668</v>
      </c>
      <c r="E878" s="155">
        <v>2</v>
      </c>
      <c r="F878" s="155">
        <v>1</v>
      </c>
      <c r="G878" s="155">
        <v>1</v>
      </c>
      <c r="H878" s="155" t="s">
        <v>34</v>
      </c>
      <c r="I878" s="155" t="s">
        <v>227</v>
      </c>
      <c r="J878" s="155" t="s">
        <v>1825</v>
      </c>
    </row>
    <row r="879" spans="1:10">
      <c r="A879" s="155" t="s">
        <v>230</v>
      </c>
      <c r="B879" s="155" t="s">
        <v>228</v>
      </c>
      <c r="C879" s="155" t="s">
        <v>229</v>
      </c>
      <c r="D879" s="155" t="s">
        <v>1668</v>
      </c>
      <c r="E879" s="155">
        <v>1</v>
      </c>
      <c r="F879" s="155">
        <v>1</v>
      </c>
      <c r="G879" s="155">
        <v>1</v>
      </c>
      <c r="H879" s="155" t="s">
        <v>34</v>
      </c>
      <c r="I879" s="155" t="s">
        <v>227</v>
      </c>
      <c r="J879" s="155" t="s">
        <v>1825</v>
      </c>
    </row>
    <row r="880" spans="1:10">
      <c r="A880" s="155" t="s">
        <v>3896</v>
      </c>
      <c r="B880" s="155" t="s">
        <v>3897</v>
      </c>
      <c r="C880" s="155" t="s">
        <v>3898</v>
      </c>
      <c r="D880" s="155" t="s">
        <v>1668</v>
      </c>
      <c r="E880" s="155">
        <v>1.3</v>
      </c>
      <c r="F880" s="155">
        <v>0.2</v>
      </c>
      <c r="G880" s="155">
        <v>0.2</v>
      </c>
      <c r="H880" s="155" t="s">
        <v>34</v>
      </c>
      <c r="I880" s="155" t="s">
        <v>1951</v>
      </c>
      <c r="J880" s="155" t="s">
        <v>1825</v>
      </c>
    </row>
    <row r="881" spans="1:10">
      <c r="A881" s="155" t="s">
        <v>3899</v>
      </c>
      <c r="B881" s="155" t="s">
        <v>3900</v>
      </c>
      <c r="C881" s="155" t="s">
        <v>3901</v>
      </c>
      <c r="D881" s="155" t="s">
        <v>1668</v>
      </c>
      <c r="E881" s="155">
        <v>1.3</v>
      </c>
      <c r="F881" s="155"/>
      <c r="G881" s="155"/>
      <c r="H881" s="155" t="s">
        <v>34</v>
      </c>
      <c r="I881" s="155" t="s">
        <v>1951</v>
      </c>
      <c r="J881" s="155" t="s">
        <v>1825</v>
      </c>
    </row>
    <row r="882" spans="1:10">
      <c r="A882" s="155" t="s">
        <v>243</v>
      </c>
      <c r="B882" s="155" t="s">
        <v>241</v>
      </c>
      <c r="C882" s="155" t="s">
        <v>242</v>
      </c>
      <c r="D882" s="155" t="s">
        <v>1668</v>
      </c>
      <c r="E882" s="155">
        <v>0.9</v>
      </c>
      <c r="F882" s="155">
        <v>10</v>
      </c>
      <c r="G882" s="155">
        <v>5.3</v>
      </c>
      <c r="H882" s="155" t="s">
        <v>34</v>
      </c>
      <c r="I882" s="155" t="s">
        <v>244</v>
      </c>
      <c r="J882" s="155" t="s">
        <v>3902</v>
      </c>
    </row>
    <row r="883" spans="1:10">
      <c r="A883" s="155" t="s">
        <v>3903</v>
      </c>
      <c r="B883" s="155" t="s">
        <v>3904</v>
      </c>
      <c r="C883" s="155" t="s">
        <v>3905</v>
      </c>
      <c r="D883" s="155" t="s">
        <v>1668</v>
      </c>
      <c r="E883" s="155">
        <v>0.2</v>
      </c>
      <c r="F883" s="155">
        <v>4</v>
      </c>
      <c r="G883" s="155">
        <v>2</v>
      </c>
      <c r="H883" s="155" t="s">
        <v>34</v>
      </c>
      <c r="I883" s="155" t="s">
        <v>3906</v>
      </c>
      <c r="J883" s="155" t="s">
        <v>1840</v>
      </c>
    </row>
    <row r="884" spans="1:10">
      <c r="A884" s="155" t="s">
        <v>3907</v>
      </c>
      <c r="B884" s="155" t="s">
        <v>3908</v>
      </c>
      <c r="C884" s="155" t="s">
        <v>3909</v>
      </c>
      <c r="D884" s="155" t="s">
        <v>1668</v>
      </c>
      <c r="E884" s="155">
        <v>0.5</v>
      </c>
      <c r="F884" s="155">
        <v>6</v>
      </c>
      <c r="G884" s="155">
        <v>1</v>
      </c>
      <c r="H884" s="155" t="s">
        <v>34</v>
      </c>
      <c r="I884" s="155" t="s">
        <v>32</v>
      </c>
      <c r="J884" s="155"/>
    </row>
    <row r="885" spans="1:10">
      <c r="A885" s="155" t="s">
        <v>247</v>
      </c>
      <c r="B885" s="155" t="s">
        <v>245</v>
      </c>
      <c r="C885" s="155" t="s">
        <v>246</v>
      </c>
      <c r="D885" s="155" t="s">
        <v>1668</v>
      </c>
      <c r="E885" s="155">
        <v>0.5</v>
      </c>
      <c r="F885" s="155">
        <v>6</v>
      </c>
      <c r="G885" s="155">
        <v>1</v>
      </c>
      <c r="H885" s="155" t="s">
        <v>34</v>
      </c>
      <c r="I885" s="155" t="s">
        <v>32</v>
      </c>
      <c r="J885" s="155"/>
    </row>
    <row r="886" spans="1:10">
      <c r="A886" s="155" t="s">
        <v>3910</v>
      </c>
      <c r="B886" s="155" t="s">
        <v>3911</v>
      </c>
      <c r="C886" s="155" t="s">
        <v>3912</v>
      </c>
      <c r="D886" s="155" t="s">
        <v>1668</v>
      </c>
      <c r="E886" s="155">
        <v>0.2</v>
      </c>
      <c r="F886" s="155">
        <v>3</v>
      </c>
      <c r="G886" s="155">
        <v>1</v>
      </c>
      <c r="H886" s="155" t="s">
        <v>34</v>
      </c>
      <c r="I886" s="155" t="s">
        <v>271</v>
      </c>
      <c r="J886" s="155" t="s">
        <v>1692</v>
      </c>
    </row>
    <row r="887" spans="1:10">
      <c r="A887" s="155" t="s">
        <v>3913</v>
      </c>
      <c r="B887" s="155" t="s">
        <v>3914</v>
      </c>
      <c r="C887" s="155" t="s">
        <v>3915</v>
      </c>
      <c r="D887" s="155" t="s">
        <v>1668</v>
      </c>
      <c r="E887" s="155">
        <v>1.8</v>
      </c>
      <c r="F887" s="155"/>
      <c r="G887" s="155"/>
      <c r="H887" s="155" t="s">
        <v>34</v>
      </c>
      <c r="I887" s="155" t="s">
        <v>271</v>
      </c>
      <c r="J887" s="155" t="s">
        <v>1868</v>
      </c>
    </row>
    <row r="888" spans="1:10">
      <c r="A888" s="155" t="s">
        <v>3916</v>
      </c>
      <c r="B888" s="155" t="s">
        <v>3917</v>
      </c>
      <c r="C888" s="155" t="s">
        <v>3918</v>
      </c>
      <c r="D888" s="155" t="s">
        <v>1668</v>
      </c>
      <c r="E888" s="155">
        <v>1.8</v>
      </c>
      <c r="F888" s="155">
        <v>3</v>
      </c>
      <c r="G888" s="155">
        <v>1</v>
      </c>
      <c r="H888" s="155" t="s">
        <v>34</v>
      </c>
      <c r="I888" s="155" t="s">
        <v>271</v>
      </c>
      <c r="J888" s="155" t="s">
        <v>1868</v>
      </c>
    </row>
    <row r="889" spans="1:10">
      <c r="A889" s="155" t="s">
        <v>3919</v>
      </c>
      <c r="B889" s="155" t="s">
        <v>3920</v>
      </c>
      <c r="C889" s="155" t="s">
        <v>3921</v>
      </c>
      <c r="D889" s="155" t="s">
        <v>1668</v>
      </c>
      <c r="E889" s="155">
        <v>2.2000000000000002</v>
      </c>
      <c r="F889" s="155">
        <v>2</v>
      </c>
      <c r="G889" s="155">
        <v>1</v>
      </c>
      <c r="H889" s="155" t="s">
        <v>34</v>
      </c>
      <c r="I889" s="155" t="s">
        <v>271</v>
      </c>
      <c r="J889" s="155" t="s">
        <v>1878</v>
      </c>
    </row>
    <row r="890" spans="1:10">
      <c r="A890" s="155" t="s">
        <v>3922</v>
      </c>
      <c r="B890" s="155" t="s">
        <v>3923</v>
      </c>
      <c r="C890" s="155" t="s">
        <v>3924</v>
      </c>
      <c r="D890" s="155" t="s">
        <v>1668</v>
      </c>
      <c r="E890" s="155">
        <v>0.1</v>
      </c>
      <c r="F890" s="155">
        <v>3.5</v>
      </c>
      <c r="G890" s="155">
        <v>3</v>
      </c>
      <c r="H890" s="155" t="s">
        <v>34</v>
      </c>
      <c r="I890" s="155" t="s">
        <v>1809</v>
      </c>
      <c r="J890" s="155" t="s">
        <v>1840</v>
      </c>
    </row>
    <row r="891" spans="1:10">
      <c r="A891" s="155" t="s">
        <v>3925</v>
      </c>
      <c r="B891" s="155" t="s">
        <v>3926</v>
      </c>
      <c r="C891" s="155" t="s">
        <v>3927</v>
      </c>
      <c r="D891" s="155" t="s">
        <v>1668</v>
      </c>
      <c r="E891" s="155">
        <v>0.3</v>
      </c>
      <c r="F891" s="155">
        <v>0.2</v>
      </c>
      <c r="G891" s="155">
        <v>0.2</v>
      </c>
      <c r="H891" s="155" t="s">
        <v>34</v>
      </c>
      <c r="I891" s="155" t="s">
        <v>1697</v>
      </c>
      <c r="J891" s="155" t="s">
        <v>1825</v>
      </c>
    </row>
    <row r="892" spans="1:10">
      <c r="A892" s="155" t="s">
        <v>3928</v>
      </c>
      <c r="B892" s="155" t="s">
        <v>3929</v>
      </c>
      <c r="C892" s="155" t="s">
        <v>3930</v>
      </c>
      <c r="D892" s="155" t="s">
        <v>1668</v>
      </c>
      <c r="E892" s="155">
        <v>0.2</v>
      </c>
      <c r="F892" s="155">
        <v>3</v>
      </c>
      <c r="G892" s="155">
        <v>1.1000000000000001</v>
      </c>
      <c r="H892" s="155" t="s">
        <v>34</v>
      </c>
      <c r="I892" s="155" t="s">
        <v>2088</v>
      </c>
      <c r="J892" s="155" t="s">
        <v>1692</v>
      </c>
    </row>
    <row r="893" spans="1:10">
      <c r="A893" s="155" t="s">
        <v>3931</v>
      </c>
      <c r="B893" s="155" t="s">
        <v>3932</v>
      </c>
      <c r="C893" s="155" t="s">
        <v>3933</v>
      </c>
      <c r="D893" s="155" t="s">
        <v>1668</v>
      </c>
      <c r="E893" s="155">
        <v>0.7</v>
      </c>
      <c r="F893" s="155">
        <v>6</v>
      </c>
      <c r="G893" s="155">
        <v>4.2</v>
      </c>
      <c r="H893" s="155" t="s">
        <v>34</v>
      </c>
      <c r="I893" s="155" t="s">
        <v>3934</v>
      </c>
      <c r="J893" s="155" t="s">
        <v>1692</v>
      </c>
    </row>
    <row r="894" spans="1:10">
      <c r="A894" s="155" t="s">
        <v>3935</v>
      </c>
      <c r="B894" s="155" t="s">
        <v>3936</v>
      </c>
      <c r="C894" s="155" t="s">
        <v>3937</v>
      </c>
      <c r="D894" s="155" t="s">
        <v>1668</v>
      </c>
      <c r="E894" s="155">
        <v>0.2</v>
      </c>
      <c r="F894" s="155">
        <v>4</v>
      </c>
      <c r="G894" s="155">
        <v>2</v>
      </c>
      <c r="H894" s="155" t="s">
        <v>34</v>
      </c>
      <c r="I894" s="155" t="s">
        <v>3938</v>
      </c>
      <c r="J894" s="155" t="s">
        <v>1834</v>
      </c>
    </row>
    <row r="895" spans="1:10">
      <c r="A895" s="155" t="s">
        <v>3939</v>
      </c>
      <c r="B895" s="155" t="s">
        <v>3940</v>
      </c>
      <c r="C895" s="155" t="s">
        <v>3941</v>
      </c>
      <c r="D895" s="155" t="s">
        <v>1668</v>
      </c>
      <c r="E895" s="155">
        <v>0.1</v>
      </c>
      <c r="F895" s="155">
        <v>1</v>
      </c>
      <c r="G895" s="155">
        <v>1</v>
      </c>
      <c r="H895" s="155" t="s">
        <v>34</v>
      </c>
      <c r="I895" s="155" t="s">
        <v>3942</v>
      </c>
      <c r="J895" s="155" t="s">
        <v>1825</v>
      </c>
    </row>
    <row r="896" spans="1:10">
      <c r="A896" s="155" t="s">
        <v>3943</v>
      </c>
      <c r="B896" s="155" t="s">
        <v>3944</v>
      </c>
      <c r="C896" s="155" t="s">
        <v>3945</v>
      </c>
      <c r="D896" s="155" t="s">
        <v>1668</v>
      </c>
      <c r="E896" s="155">
        <v>0.1</v>
      </c>
      <c r="F896" s="155">
        <v>0.2</v>
      </c>
      <c r="G896" s="155">
        <v>0.2</v>
      </c>
      <c r="H896" s="155" t="s">
        <v>34</v>
      </c>
      <c r="I896" s="155" t="s">
        <v>3942</v>
      </c>
      <c r="J896" s="155" t="s">
        <v>1825</v>
      </c>
    </row>
    <row r="897" spans="1:10">
      <c r="A897" s="155" t="s">
        <v>3946</v>
      </c>
      <c r="B897" s="155" t="s">
        <v>3947</v>
      </c>
      <c r="C897" s="155" t="s">
        <v>3948</v>
      </c>
      <c r="D897" s="155" t="s">
        <v>1668</v>
      </c>
      <c r="E897" s="155">
        <v>0.1</v>
      </c>
      <c r="F897" s="155">
        <v>0.5</v>
      </c>
      <c r="G897" s="155">
        <v>0.5</v>
      </c>
      <c r="H897" s="155" t="s">
        <v>34</v>
      </c>
      <c r="I897" s="155" t="s">
        <v>3942</v>
      </c>
      <c r="J897" s="155" t="s">
        <v>1825</v>
      </c>
    </row>
    <row r="898" spans="1:10">
      <c r="A898" s="155" t="s">
        <v>3949</v>
      </c>
      <c r="B898" s="155" t="s">
        <v>3950</v>
      </c>
      <c r="C898" s="155" t="s">
        <v>3951</v>
      </c>
      <c r="D898" s="155" t="s">
        <v>1668</v>
      </c>
      <c r="E898" s="155">
        <v>0.1</v>
      </c>
      <c r="F898" s="155">
        <v>8</v>
      </c>
      <c r="G898" s="155">
        <v>2</v>
      </c>
      <c r="H898" s="155" t="s">
        <v>34</v>
      </c>
      <c r="I898" s="155" t="s">
        <v>3952</v>
      </c>
      <c r="J898" s="155" t="s">
        <v>1692</v>
      </c>
    </row>
    <row r="899" spans="1:10">
      <c r="A899" s="155" t="s">
        <v>3953</v>
      </c>
      <c r="B899" s="155" t="s">
        <v>3954</v>
      </c>
      <c r="C899" s="155" t="s">
        <v>3955</v>
      </c>
      <c r="D899" s="155" t="s">
        <v>1668</v>
      </c>
      <c r="E899" s="155">
        <v>1</v>
      </c>
      <c r="F899" s="155">
        <v>4</v>
      </c>
      <c r="G899" s="155">
        <v>2</v>
      </c>
      <c r="H899" s="155" t="s">
        <v>34</v>
      </c>
      <c r="I899" s="155" t="s">
        <v>2307</v>
      </c>
      <c r="J899" s="155" t="s">
        <v>1873</v>
      </c>
    </row>
    <row r="900" spans="1:10">
      <c r="A900" s="155" t="s">
        <v>254</v>
      </c>
      <c r="B900" s="155" t="s">
        <v>252</v>
      </c>
      <c r="C900" s="155" t="s">
        <v>253</v>
      </c>
      <c r="D900" s="155" t="s">
        <v>1668</v>
      </c>
      <c r="E900" s="155">
        <v>0.4</v>
      </c>
      <c r="F900" s="155">
        <v>6.5</v>
      </c>
      <c r="G900" s="155">
        <v>5.2</v>
      </c>
      <c r="H900" s="155" t="s">
        <v>34</v>
      </c>
      <c r="I900" s="155" t="s">
        <v>255</v>
      </c>
      <c r="J900" s="155" t="s">
        <v>1691</v>
      </c>
    </row>
    <row r="901" spans="1:10">
      <c r="A901" s="155" t="s">
        <v>258</v>
      </c>
      <c r="B901" s="155" t="s">
        <v>256</v>
      </c>
      <c r="C901" s="155" t="s">
        <v>257</v>
      </c>
      <c r="D901" s="155" t="s">
        <v>1668</v>
      </c>
      <c r="E901" s="155">
        <v>0.4</v>
      </c>
      <c r="F901" s="155">
        <v>2.8</v>
      </c>
      <c r="G901" s="155">
        <v>3.8</v>
      </c>
      <c r="H901" s="155" t="s">
        <v>34</v>
      </c>
      <c r="I901" s="155" t="s">
        <v>259</v>
      </c>
      <c r="J901" s="155" t="s">
        <v>3956</v>
      </c>
    </row>
    <row r="902" spans="1:10">
      <c r="A902" s="155" t="s">
        <v>3957</v>
      </c>
      <c r="B902" s="155" t="s">
        <v>3958</v>
      </c>
      <c r="C902" s="155" t="s">
        <v>3959</v>
      </c>
      <c r="D902" s="155" t="s">
        <v>1668</v>
      </c>
      <c r="E902" s="155">
        <v>7.2</v>
      </c>
      <c r="F902" s="155">
        <v>20.8</v>
      </c>
      <c r="G902" s="155">
        <v>144.1</v>
      </c>
      <c r="H902" s="155" t="s">
        <v>34</v>
      </c>
      <c r="I902" s="155" t="s">
        <v>2158</v>
      </c>
      <c r="J902" s="155" t="s">
        <v>3960</v>
      </c>
    </row>
    <row r="903" spans="1:10">
      <c r="A903" s="155" t="s">
        <v>3961</v>
      </c>
      <c r="B903" s="155" t="s">
        <v>3962</v>
      </c>
      <c r="C903" s="155" t="s">
        <v>3963</v>
      </c>
      <c r="D903" s="155" t="s">
        <v>1668</v>
      </c>
      <c r="E903" s="155">
        <v>7.2</v>
      </c>
      <c r="F903" s="155">
        <v>11.1</v>
      </c>
      <c r="G903" s="155">
        <v>145.9</v>
      </c>
      <c r="H903" s="155" t="s">
        <v>34</v>
      </c>
      <c r="I903" s="155" t="s">
        <v>2158</v>
      </c>
      <c r="J903" s="155" t="s">
        <v>3960</v>
      </c>
    </row>
    <row r="904" spans="1:10">
      <c r="A904" s="155" t="s">
        <v>3964</v>
      </c>
      <c r="B904" s="155" t="s">
        <v>3965</v>
      </c>
      <c r="C904" s="155" t="s">
        <v>3966</v>
      </c>
      <c r="D904" s="155" t="s">
        <v>1668</v>
      </c>
      <c r="E904" s="155">
        <v>1.8</v>
      </c>
      <c r="F904" s="155">
        <v>27</v>
      </c>
      <c r="G904" s="155">
        <v>9.1999999999999993</v>
      </c>
      <c r="H904" s="155" t="s">
        <v>34</v>
      </c>
      <c r="I904" s="155" t="s">
        <v>236</v>
      </c>
      <c r="J904" s="155" t="s">
        <v>3643</v>
      </c>
    </row>
    <row r="905" spans="1:10">
      <c r="A905" s="155" t="s">
        <v>274</v>
      </c>
      <c r="B905" s="155" t="s">
        <v>272</v>
      </c>
      <c r="C905" s="155" t="s">
        <v>273</v>
      </c>
      <c r="D905" s="155" t="s">
        <v>1668</v>
      </c>
      <c r="E905" s="155">
        <v>3.5</v>
      </c>
      <c r="F905" s="155">
        <v>15</v>
      </c>
      <c r="G905" s="155">
        <v>134.1</v>
      </c>
      <c r="H905" s="155" t="s">
        <v>34</v>
      </c>
      <c r="I905" s="155" t="s">
        <v>276</v>
      </c>
      <c r="J905" s="155" t="s">
        <v>3967</v>
      </c>
    </row>
    <row r="906" spans="1:10">
      <c r="A906" s="155" t="s">
        <v>3968</v>
      </c>
      <c r="B906" s="155" t="s">
        <v>3969</v>
      </c>
      <c r="C906" s="155" t="s">
        <v>3970</v>
      </c>
      <c r="D906" s="155" t="s">
        <v>1668</v>
      </c>
      <c r="E906" s="155">
        <v>5.7</v>
      </c>
      <c r="F906" s="155">
        <v>21.1</v>
      </c>
      <c r="G906" s="155">
        <v>7.1</v>
      </c>
      <c r="H906" s="155" t="s">
        <v>34</v>
      </c>
      <c r="I906" s="155" t="s">
        <v>236</v>
      </c>
      <c r="J906" s="155"/>
    </row>
    <row r="907" spans="1:10">
      <c r="A907" s="155" t="s">
        <v>3971</v>
      </c>
      <c r="B907" s="155" t="s">
        <v>3972</v>
      </c>
      <c r="C907" s="155" t="s">
        <v>3973</v>
      </c>
      <c r="D907" s="155" t="s">
        <v>1668</v>
      </c>
      <c r="E907" s="155">
        <v>0.7</v>
      </c>
      <c r="F907" s="155">
        <v>15</v>
      </c>
      <c r="G907" s="155">
        <v>17.3</v>
      </c>
      <c r="H907" s="155" t="s">
        <v>34</v>
      </c>
      <c r="I907" s="155" t="s">
        <v>38</v>
      </c>
      <c r="J907" s="155" t="s">
        <v>3610</v>
      </c>
    </row>
    <row r="908" spans="1:10">
      <c r="A908" s="155" t="s">
        <v>3974</v>
      </c>
      <c r="B908" s="155" t="s">
        <v>3975</v>
      </c>
      <c r="C908" s="155" t="s">
        <v>3976</v>
      </c>
      <c r="D908" s="155" t="s">
        <v>1668</v>
      </c>
      <c r="E908" s="155">
        <v>1.1000000000000001</v>
      </c>
      <c r="F908" s="155">
        <v>2.5</v>
      </c>
      <c r="G908" s="155">
        <v>16.2</v>
      </c>
      <c r="H908" s="155" t="s">
        <v>34</v>
      </c>
      <c r="I908" s="155" t="s">
        <v>38</v>
      </c>
      <c r="J908" s="155" t="s">
        <v>1691</v>
      </c>
    </row>
    <row r="909" spans="1:10">
      <c r="A909" s="155" t="s">
        <v>3977</v>
      </c>
      <c r="B909" s="155" t="s">
        <v>3978</v>
      </c>
      <c r="C909" s="155" t="s">
        <v>3979</v>
      </c>
      <c r="D909" s="155" t="s">
        <v>1668</v>
      </c>
      <c r="E909" s="155">
        <v>1.1000000000000001</v>
      </c>
      <c r="F909" s="155">
        <v>7</v>
      </c>
      <c r="G909" s="155">
        <v>5.2</v>
      </c>
      <c r="H909" s="155" t="s">
        <v>34</v>
      </c>
      <c r="I909" s="155" t="s">
        <v>38</v>
      </c>
      <c r="J909" s="155" t="s">
        <v>1691</v>
      </c>
    </row>
    <row r="910" spans="1:10">
      <c r="A910" s="155" t="s">
        <v>3980</v>
      </c>
      <c r="B910" s="155" t="s">
        <v>3981</v>
      </c>
      <c r="C910" s="155" t="s">
        <v>3982</v>
      </c>
      <c r="D910" s="155" t="s">
        <v>1668</v>
      </c>
      <c r="E910" s="155">
        <v>1.1000000000000001</v>
      </c>
      <c r="F910" s="155">
        <v>3</v>
      </c>
      <c r="G910" s="155">
        <v>40.1</v>
      </c>
      <c r="H910" s="155" t="s">
        <v>34</v>
      </c>
      <c r="I910" s="155" t="s">
        <v>38</v>
      </c>
      <c r="J910" s="155" t="s">
        <v>1691</v>
      </c>
    </row>
    <row r="911" spans="1:10">
      <c r="A911" s="155" t="s">
        <v>3983</v>
      </c>
      <c r="B911" s="155" t="s">
        <v>3984</v>
      </c>
      <c r="C911" s="155" t="s">
        <v>3985</v>
      </c>
      <c r="D911" s="155" t="s">
        <v>1668</v>
      </c>
      <c r="E911" s="155">
        <v>0.5</v>
      </c>
      <c r="F911" s="155">
        <v>3.5</v>
      </c>
      <c r="G911" s="155">
        <v>41.2</v>
      </c>
      <c r="H911" s="155" t="s">
        <v>34</v>
      </c>
      <c r="I911" s="155" t="s">
        <v>38</v>
      </c>
      <c r="J911" s="155" t="s">
        <v>1691</v>
      </c>
    </row>
    <row r="912" spans="1:10">
      <c r="A912" s="155" t="s">
        <v>288</v>
      </c>
      <c r="B912" s="155" t="s">
        <v>286</v>
      </c>
      <c r="C912" s="155" t="s">
        <v>287</v>
      </c>
      <c r="D912" s="155" t="s">
        <v>1668</v>
      </c>
      <c r="E912" s="155">
        <v>0.4</v>
      </c>
      <c r="F912" s="155">
        <v>1.5</v>
      </c>
      <c r="G912" s="155">
        <v>5.7</v>
      </c>
      <c r="H912" s="155" t="s">
        <v>34</v>
      </c>
      <c r="I912" s="155" t="s">
        <v>289</v>
      </c>
      <c r="J912" s="155" t="s">
        <v>1692</v>
      </c>
    </row>
    <row r="913" spans="1:10">
      <c r="A913" s="155" t="s">
        <v>3986</v>
      </c>
      <c r="B913" s="155" t="s">
        <v>3987</v>
      </c>
      <c r="C913" s="155" t="s">
        <v>3988</v>
      </c>
      <c r="D913" s="155" t="s">
        <v>1668</v>
      </c>
      <c r="E913" s="155">
        <v>0.2</v>
      </c>
      <c r="F913" s="155">
        <v>4</v>
      </c>
      <c r="G913" s="155">
        <v>2</v>
      </c>
      <c r="H913" s="155" t="s">
        <v>34</v>
      </c>
      <c r="I913" s="155" t="s">
        <v>1829</v>
      </c>
      <c r="J913" s="155" t="s">
        <v>1840</v>
      </c>
    </row>
    <row r="914" spans="1:10">
      <c r="A914" s="155" t="s">
        <v>3989</v>
      </c>
      <c r="B914" s="155" t="s">
        <v>3990</v>
      </c>
      <c r="C914" s="155" t="s">
        <v>3991</v>
      </c>
      <c r="D914" s="155" t="s">
        <v>1668</v>
      </c>
      <c r="E914" s="155">
        <v>0.2</v>
      </c>
      <c r="F914" s="155">
        <v>6</v>
      </c>
      <c r="G914" s="155">
        <v>1</v>
      </c>
      <c r="H914" s="155" t="s">
        <v>34</v>
      </c>
      <c r="I914" s="155" t="s">
        <v>1829</v>
      </c>
      <c r="J914" s="155" t="s">
        <v>1698</v>
      </c>
    </row>
    <row r="915" spans="1:10">
      <c r="A915" s="155" t="s">
        <v>3992</v>
      </c>
      <c r="B915" s="155" t="s">
        <v>3993</v>
      </c>
      <c r="C915" s="155" t="s">
        <v>3994</v>
      </c>
      <c r="D915" s="155" t="s">
        <v>1668</v>
      </c>
      <c r="E915" s="155">
        <v>0.2</v>
      </c>
      <c r="F915" s="155">
        <v>0.2</v>
      </c>
      <c r="G915" s="155">
        <v>0.2</v>
      </c>
      <c r="H915" s="155" t="s">
        <v>34</v>
      </c>
      <c r="I915" s="155" t="s">
        <v>1829</v>
      </c>
      <c r="J915" s="155" t="s">
        <v>1840</v>
      </c>
    </row>
    <row r="916" spans="1:10">
      <c r="A916" s="155" t="s">
        <v>3995</v>
      </c>
      <c r="B916" s="155" t="s">
        <v>3996</v>
      </c>
      <c r="C916" s="155" t="s">
        <v>3997</v>
      </c>
      <c r="D916" s="155" t="s">
        <v>1668</v>
      </c>
      <c r="E916" s="155">
        <v>0.2</v>
      </c>
      <c r="F916" s="155">
        <v>2</v>
      </c>
      <c r="G916" s="155">
        <v>2</v>
      </c>
      <c r="H916" s="155" t="s">
        <v>34</v>
      </c>
      <c r="I916" s="155" t="s">
        <v>1921</v>
      </c>
      <c r="J916" s="155" t="s">
        <v>1840</v>
      </c>
    </row>
    <row r="917" spans="1:10">
      <c r="A917" s="155" t="s">
        <v>3998</v>
      </c>
      <c r="B917" s="155" t="s">
        <v>3999</v>
      </c>
      <c r="C917" s="155" t="s">
        <v>4000</v>
      </c>
      <c r="D917" s="155" t="s">
        <v>1668</v>
      </c>
      <c r="E917" s="155">
        <v>2.2000000000000002</v>
      </c>
      <c r="F917" s="155">
        <v>40</v>
      </c>
      <c r="G917" s="155">
        <v>8.8000000000000007</v>
      </c>
      <c r="H917" s="155" t="s">
        <v>34</v>
      </c>
      <c r="I917" s="155" t="s">
        <v>3883</v>
      </c>
      <c r="J917" s="155" t="s">
        <v>1834</v>
      </c>
    </row>
    <row r="918" spans="1:10">
      <c r="A918" s="155" t="s">
        <v>4001</v>
      </c>
      <c r="B918" s="155" t="s">
        <v>4002</v>
      </c>
      <c r="C918" s="155" t="s">
        <v>4003</v>
      </c>
      <c r="D918" s="155" t="s">
        <v>1668</v>
      </c>
      <c r="E918" s="155">
        <v>0.5</v>
      </c>
      <c r="F918" s="155">
        <v>3</v>
      </c>
      <c r="G918" s="155">
        <v>45</v>
      </c>
      <c r="H918" s="155" t="s">
        <v>34</v>
      </c>
      <c r="I918" s="155" t="s">
        <v>2453</v>
      </c>
      <c r="J918" s="155" t="s">
        <v>3661</v>
      </c>
    </row>
    <row r="919" spans="1:10">
      <c r="A919" s="155" t="s">
        <v>4004</v>
      </c>
      <c r="B919" s="155" t="s">
        <v>4005</v>
      </c>
      <c r="C919" s="155" t="s">
        <v>4006</v>
      </c>
      <c r="D919" s="155" t="s">
        <v>1668</v>
      </c>
      <c r="E919" s="155">
        <v>0.5</v>
      </c>
      <c r="F919" s="155">
        <v>3.2</v>
      </c>
      <c r="G919" s="155">
        <v>6</v>
      </c>
      <c r="H919" s="155" t="s">
        <v>34</v>
      </c>
      <c r="I919" s="155" t="s">
        <v>2453</v>
      </c>
      <c r="J919" s="155" t="s">
        <v>3661</v>
      </c>
    </row>
    <row r="920" spans="1:10">
      <c r="A920" s="155" t="s">
        <v>4007</v>
      </c>
      <c r="B920" s="155" t="s">
        <v>4008</v>
      </c>
      <c r="C920" s="155" t="s">
        <v>4009</v>
      </c>
      <c r="D920" s="155" t="s">
        <v>1668</v>
      </c>
      <c r="E920" s="155">
        <v>0.6</v>
      </c>
      <c r="F920" s="155">
        <v>4</v>
      </c>
      <c r="G920" s="155">
        <v>2</v>
      </c>
      <c r="H920" s="155" t="s">
        <v>34</v>
      </c>
      <c r="I920" s="155" t="s">
        <v>4010</v>
      </c>
      <c r="J920" s="155" t="s">
        <v>1840</v>
      </c>
    </row>
    <row r="921" spans="1:10">
      <c r="A921" s="155" t="s">
        <v>292</v>
      </c>
      <c r="B921" s="155" t="s">
        <v>290</v>
      </c>
      <c r="C921" s="155" t="s">
        <v>291</v>
      </c>
      <c r="D921" s="155" t="s">
        <v>1668</v>
      </c>
      <c r="E921" s="155">
        <v>8</v>
      </c>
      <c r="F921" s="155">
        <v>4</v>
      </c>
      <c r="G921" s="155">
        <v>2</v>
      </c>
      <c r="H921" s="155" t="s">
        <v>34</v>
      </c>
      <c r="I921" s="155" t="s">
        <v>293</v>
      </c>
      <c r="J921" s="155" t="s">
        <v>1840</v>
      </c>
    </row>
    <row r="922" spans="1:10">
      <c r="A922" s="155" t="s">
        <v>296</v>
      </c>
      <c r="B922" s="155" t="s">
        <v>294</v>
      </c>
      <c r="C922" s="155" t="s">
        <v>295</v>
      </c>
      <c r="D922" s="155" t="s">
        <v>1668</v>
      </c>
      <c r="E922" s="155">
        <v>0.9</v>
      </c>
      <c r="F922" s="155">
        <v>6</v>
      </c>
      <c r="G922" s="155">
        <v>2.1</v>
      </c>
      <c r="H922" s="155" t="s">
        <v>34</v>
      </c>
      <c r="I922" s="155" t="s">
        <v>297</v>
      </c>
      <c r="J922" s="155" t="s">
        <v>1840</v>
      </c>
    </row>
    <row r="923" spans="1:10">
      <c r="A923" s="155" t="s">
        <v>300</v>
      </c>
      <c r="B923" s="155" t="s">
        <v>298</v>
      </c>
      <c r="C923" s="155" t="s">
        <v>299</v>
      </c>
      <c r="D923" s="155" t="s">
        <v>1668</v>
      </c>
      <c r="E923" s="155">
        <v>0.2</v>
      </c>
      <c r="F923" s="155">
        <v>4</v>
      </c>
      <c r="G923" s="155">
        <v>1</v>
      </c>
      <c r="H923" s="155" t="s">
        <v>34</v>
      </c>
      <c r="I923" s="155" t="s">
        <v>301</v>
      </c>
      <c r="J923" s="155" t="s">
        <v>1863</v>
      </c>
    </row>
    <row r="924" spans="1:10">
      <c r="A924" s="155" t="s">
        <v>4011</v>
      </c>
      <c r="B924" s="155" t="s">
        <v>4012</v>
      </c>
      <c r="C924" s="155" t="s">
        <v>4013</v>
      </c>
      <c r="D924" s="155" t="s">
        <v>1668</v>
      </c>
      <c r="E924" s="155">
        <v>1.1000000000000001</v>
      </c>
      <c r="F924" s="155">
        <v>4</v>
      </c>
      <c r="G924" s="155">
        <v>2</v>
      </c>
      <c r="H924" s="155" t="s">
        <v>34</v>
      </c>
      <c r="I924" s="155" t="s">
        <v>4014</v>
      </c>
      <c r="J924" s="155" t="s">
        <v>1840</v>
      </c>
    </row>
    <row r="925" spans="1:10">
      <c r="A925" s="155" t="s">
        <v>4015</v>
      </c>
      <c r="B925" s="155" t="s">
        <v>4016</v>
      </c>
      <c r="C925" s="155" t="s">
        <v>4017</v>
      </c>
      <c r="D925" s="155" t="s">
        <v>1668</v>
      </c>
      <c r="E925" s="155">
        <v>0.3</v>
      </c>
      <c r="F925" s="155">
        <v>9</v>
      </c>
      <c r="G925" s="155">
        <v>2.4</v>
      </c>
      <c r="H925" s="155" t="s">
        <v>34</v>
      </c>
      <c r="I925" s="155" t="s">
        <v>4014</v>
      </c>
      <c r="J925" s="155" t="s">
        <v>1698</v>
      </c>
    </row>
    <row r="926" spans="1:10">
      <c r="A926" s="155" t="s">
        <v>4018</v>
      </c>
      <c r="B926" s="155" t="s">
        <v>4019</v>
      </c>
      <c r="C926" s="155" t="s">
        <v>4020</v>
      </c>
      <c r="D926" s="155" t="s">
        <v>1668</v>
      </c>
      <c r="E926" s="155">
        <v>0.2</v>
      </c>
      <c r="F926" s="155">
        <v>4</v>
      </c>
      <c r="G926" s="155">
        <v>2</v>
      </c>
      <c r="H926" s="155" t="s">
        <v>34</v>
      </c>
      <c r="I926" s="155" t="s">
        <v>4021</v>
      </c>
      <c r="J926" s="155" t="s">
        <v>1840</v>
      </c>
    </row>
    <row r="927" spans="1:10">
      <c r="A927" s="155" t="s">
        <v>4022</v>
      </c>
      <c r="B927" s="155" t="s">
        <v>4023</v>
      </c>
      <c r="C927" s="155" t="s">
        <v>4024</v>
      </c>
      <c r="D927" s="155" t="s">
        <v>1668</v>
      </c>
      <c r="E927" s="155">
        <v>0.2</v>
      </c>
      <c r="F927" s="155">
        <v>4</v>
      </c>
      <c r="G927" s="155">
        <v>2</v>
      </c>
      <c r="H927" s="155" t="s">
        <v>34</v>
      </c>
      <c r="I927" s="155" t="s">
        <v>4025</v>
      </c>
      <c r="J927" s="155" t="s">
        <v>1840</v>
      </c>
    </row>
    <row r="928" spans="1:10">
      <c r="A928" s="155" t="s">
        <v>4026</v>
      </c>
      <c r="B928" s="155" t="s">
        <v>4027</v>
      </c>
      <c r="C928" s="155" t="s">
        <v>4028</v>
      </c>
      <c r="D928" s="155" t="s">
        <v>1668</v>
      </c>
      <c r="E928" s="155">
        <v>0.2</v>
      </c>
      <c r="F928" s="155">
        <v>3</v>
      </c>
      <c r="G928" s="155">
        <v>2</v>
      </c>
      <c r="H928" s="155" t="s">
        <v>34</v>
      </c>
      <c r="I928" s="155" t="s">
        <v>4029</v>
      </c>
      <c r="J928" s="155" t="s">
        <v>1840</v>
      </c>
    </row>
    <row r="929" spans="1:10">
      <c r="A929" s="155" t="s">
        <v>4030</v>
      </c>
      <c r="B929" s="155" t="s">
        <v>4031</v>
      </c>
      <c r="C929" s="155" t="s">
        <v>4032</v>
      </c>
      <c r="D929" s="155" t="s">
        <v>1668</v>
      </c>
      <c r="E929" s="155">
        <v>0.2</v>
      </c>
      <c r="F929" s="155">
        <v>4</v>
      </c>
      <c r="G929" s="155">
        <v>2</v>
      </c>
      <c r="H929" s="155" t="s">
        <v>34</v>
      </c>
      <c r="I929" s="155" t="s">
        <v>4033</v>
      </c>
      <c r="J929" s="155" t="s">
        <v>1840</v>
      </c>
    </row>
    <row r="930" spans="1:10">
      <c r="A930" s="155" t="s">
        <v>4034</v>
      </c>
      <c r="B930" s="155" t="s">
        <v>4035</v>
      </c>
      <c r="C930" s="155" t="s">
        <v>4036</v>
      </c>
      <c r="D930" s="155" t="s">
        <v>1668</v>
      </c>
      <c r="E930" s="155">
        <v>0.1</v>
      </c>
      <c r="F930" s="155">
        <v>6</v>
      </c>
      <c r="G930" s="155">
        <v>1</v>
      </c>
      <c r="H930" s="155" t="s">
        <v>34</v>
      </c>
      <c r="I930" s="155" t="s">
        <v>1720</v>
      </c>
      <c r="J930" s="155" t="s">
        <v>3643</v>
      </c>
    </row>
    <row r="931" spans="1:10">
      <c r="A931" s="155" t="s">
        <v>4037</v>
      </c>
      <c r="B931" s="155" t="s">
        <v>4038</v>
      </c>
      <c r="C931" s="155" t="s">
        <v>4039</v>
      </c>
      <c r="D931" s="155" t="s">
        <v>1668</v>
      </c>
      <c r="E931" s="155">
        <v>0.1</v>
      </c>
      <c r="F931" s="155">
        <v>6</v>
      </c>
      <c r="G931" s="155">
        <v>1</v>
      </c>
      <c r="H931" s="155" t="s">
        <v>34</v>
      </c>
      <c r="I931" s="155" t="s">
        <v>4040</v>
      </c>
      <c r="J931" s="155" t="s">
        <v>3643</v>
      </c>
    </row>
    <row r="932" spans="1:10">
      <c r="A932" s="155" t="s">
        <v>4041</v>
      </c>
      <c r="B932" s="155" t="s">
        <v>4042</v>
      </c>
      <c r="C932" s="155" t="s">
        <v>4043</v>
      </c>
      <c r="D932" s="155" t="s">
        <v>1668</v>
      </c>
      <c r="E932" s="155">
        <v>0.3</v>
      </c>
      <c r="F932" s="155">
        <v>3</v>
      </c>
      <c r="G932" s="155">
        <v>1</v>
      </c>
      <c r="H932" s="155" t="s">
        <v>34</v>
      </c>
      <c r="I932" s="155" t="s">
        <v>4044</v>
      </c>
      <c r="J932" s="155" t="s">
        <v>1840</v>
      </c>
    </row>
    <row r="933" spans="1:10">
      <c r="A933" s="155" t="s">
        <v>4045</v>
      </c>
      <c r="B933" s="155" t="s">
        <v>4046</v>
      </c>
      <c r="C933" s="155" t="s">
        <v>4047</v>
      </c>
      <c r="D933" s="155" t="s">
        <v>1668</v>
      </c>
      <c r="E933" s="155">
        <v>0.3</v>
      </c>
      <c r="F933" s="155">
        <v>4</v>
      </c>
      <c r="G933" s="155">
        <v>2</v>
      </c>
      <c r="H933" s="155" t="s">
        <v>34</v>
      </c>
      <c r="I933" s="155" t="s">
        <v>4048</v>
      </c>
      <c r="J933" s="155" t="s">
        <v>1840</v>
      </c>
    </row>
    <row r="934" spans="1:10">
      <c r="A934" s="155" t="s">
        <v>4049</v>
      </c>
      <c r="B934" s="155" t="s">
        <v>4050</v>
      </c>
      <c r="C934" s="155" t="s">
        <v>4051</v>
      </c>
      <c r="D934" s="155" t="s">
        <v>1668</v>
      </c>
      <c r="E934" s="155">
        <v>0.7</v>
      </c>
      <c r="F934" s="155">
        <v>4</v>
      </c>
      <c r="G934" s="155">
        <v>2</v>
      </c>
      <c r="H934" s="155" t="s">
        <v>34</v>
      </c>
      <c r="I934" s="155" t="s">
        <v>4052</v>
      </c>
      <c r="J934" s="155" t="s">
        <v>1840</v>
      </c>
    </row>
    <row r="935" spans="1:10">
      <c r="A935" s="155" t="s">
        <v>4053</v>
      </c>
      <c r="B935" s="155" t="s">
        <v>4054</v>
      </c>
      <c r="C935" s="155" t="s">
        <v>4055</v>
      </c>
      <c r="D935" s="155" t="s">
        <v>1668</v>
      </c>
      <c r="E935" s="155">
        <v>0.2</v>
      </c>
      <c r="F935" s="155">
        <v>4</v>
      </c>
      <c r="G935" s="155">
        <v>2</v>
      </c>
      <c r="H935" s="155" t="s">
        <v>34</v>
      </c>
      <c r="I935" s="155" t="s">
        <v>4052</v>
      </c>
      <c r="J935" s="155" t="s">
        <v>1840</v>
      </c>
    </row>
    <row r="936" spans="1:10">
      <c r="A936" s="155" t="s">
        <v>377</v>
      </c>
      <c r="B936" s="155" t="s">
        <v>375</v>
      </c>
      <c r="C936" s="155" t="s">
        <v>376</v>
      </c>
      <c r="D936" s="155" t="s">
        <v>1668</v>
      </c>
      <c r="E936" s="155">
        <v>0</v>
      </c>
      <c r="F936" s="155">
        <v>0.8</v>
      </c>
      <c r="G936" s="155">
        <v>0.8</v>
      </c>
      <c r="H936" s="155" t="s">
        <v>34</v>
      </c>
      <c r="I936" s="155" t="s">
        <v>64</v>
      </c>
      <c r="J936" s="155" t="s">
        <v>1825</v>
      </c>
    </row>
    <row r="937" spans="1:10">
      <c r="A937" s="155" t="s">
        <v>380</v>
      </c>
      <c r="B937" s="155" t="s">
        <v>378</v>
      </c>
      <c r="C937" s="155" t="s">
        <v>379</v>
      </c>
      <c r="D937" s="155" t="s">
        <v>1668</v>
      </c>
      <c r="E937" s="155">
        <v>3.3</v>
      </c>
      <c r="F937" s="155">
        <v>0.8</v>
      </c>
      <c r="G937" s="155">
        <v>0.8</v>
      </c>
      <c r="H937" s="155" t="s">
        <v>34</v>
      </c>
      <c r="I937" s="155" t="s">
        <v>75</v>
      </c>
      <c r="J937" s="155" t="s">
        <v>1825</v>
      </c>
    </row>
    <row r="938" spans="1:10">
      <c r="A938" s="155" t="s">
        <v>4056</v>
      </c>
      <c r="B938" s="155" t="s">
        <v>4057</v>
      </c>
      <c r="C938" s="155" t="s">
        <v>4058</v>
      </c>
      <c r="D938" s="155" t="s">
        <v>1668</v>
      </c>
      <c r="E938" s="155">
        <v>38.5</v>
      </c>
      <c r="F938" s="155">
        <v>8.1999999999999993</v>
      </c>
      <c r="G938" s="155">
        <v>27.9</v>
      </c>
      <c r="H938" s="155" t="s">
        <v>34</v>
      </c>
      <c r="I938" s="155" t="s">
        <v>1951</v>
      </c>
      <c r="J938" s="155" t="s">
        <v>3610</v>
      </c>
    </row>
    <row r="939" spans="1:10">
      <c r="A939" s="155" t="s">
        <v>383</v>
      </c>
      <c r="B939" s="155" t="s">
        <v>381</v>
      </c>
      <c r="C939" s="155" t="s">
        <v>382</v>
      </c>
      <c r="D939" s="155" t="s">
        <v>1668</v>
      </c>
      <c r="E939" s="155">
        <v>0.2</v>
      </c>
      <c r="F939" s="155">
        <v>2</v>
      </c>
      <c r="G939" s="155">
        <v>1</v>
      </c>
      <c r="H939" s="155" t="s">
        <v>34</v>
      </c>
      <c r="I939" s="155" t="s">
        <v>227</v>
      </c>
      <c r="J939" s="155" t="s">
        <v>1840</v>
      </c>
    </row>
    <row r="940" spans="1:10">
      <c r="A940" s="155" t="s">
        <v>4059</v>
      </c>
      <c r="B940" s="155" t="s">
        <v>4060</v>
      </c>
      <c r="C940" s="155" t="s">
        <v>4061</v>
      </c>
      <c r="D940" s="155" t="s">
        <v>1668</v>
      </c>
      <c r="E940" s="155">
        <v>0.4</v>
      </c>
      <c r="F940" s="155">
        <v>5</v>
      </c>
      <c r="G940" s="155">
        <v>2.9</v>
      </c>
      <c r="H940" s="155" t="s">
        <v>34</v>
      </c>
      <c r="I940" s="155" t="s">
        <v>1965</v>
      </c>
      <c r="J940" s="155" t="s">
        <v>1840</v>
      </c>
    </row>
    <row r="941" spans="1:10">
      <c r="A941" s="155" t="s">
        <v>4062</v>
      </c>
      <c r="B941" s="155" t="s">
        <v>4063</v>
      </c>
      <c r="C941" s="155" t="s">
        <v>4064</v>
      </c>
      <c r="D941" s="155" t="s">
        <v>1668</v>
      </c>
      <c r="E941" s="155">
        <v>0.4</v>
      </c>
      <c r="F941" s="155">
        <v>5</v>
      </c>
      <c r="G941" s="155">
        <v>2.9</v>
      </c>
      <c r="H941" s="155" t="s">
        <v>34</v>
      </c>
      <c r="I941" s="155" t="s">
        <v>1965</v>
      </c>
      <c r="J941" s="155" t="s">
        <v>1840</v>
      </c>
    </row>
    <row r="942" spans="1:10">
      <c r="A942" s="155" t="s">
        <v>4065</v>
      </c>
      <c r="B942" s="155" t="s">
        <v>4066</v>
      </c>
      <c r="C942" s="155" t="s">
        <v>4067</v>
      </c>
      <c r="D942" s="155" t="s">
        <v>1668</v>
      </c>
      <c r="E942" s="155">
        <v>0.9</v>
      </c>
      <c r="F942" s="155">
        <v>7</v>
      </c>
      <c r="G942" s="155">
        <v>1.9</v>
      </c>
      <c r="H942" s="155" t="s">
        <v>34</v>
      </c>
      <c r="I942" s="155" t="s">
        <v>1965</v>
      </c>
      <c r="J942" s="155" t="s">
        <v>4068</v>
      </c>
    </row>
    <row r="943" spans="1:10">
      <c r="A943" s="155" t="s">
        <v>4069</v>
      </c>
      <c r="B943" s="155" t="s">
        <v>4070</v>
      </c>
      <c r="C943" s="155" t="s">
        <v>4071</v>
      </c>
      <c r="D943" s="155" t="s">
        <v>1668</v>
      </c>
      <c r="E943" s="155">
        <v>0.9</v>
      </c>
      <c r="F943" s="155">
        <v>7</v>
      </c>
      <c r="G943" s="155">
        <v>1.9</v>
      </c>
      <c r="H943" s="155" t="s">
        <v>34</v>
      </c>
      <c r="I943" s="155" t="s">
        <v>1965</v>
      </c>
      <c r="J943" s="155" t="s">
        <v>4068</v>
      </c>
    </row>
    <row r="944" spans="1:10">
      <c r="A944" s="155" t="s">
        <v>4072</v>
      </c>
      <c r="B944" s="155" t="s">
        <v>4073</v>
      </c>
      <c r="C944" s="155" t="s">
        <v>4074</v>
      </c>
      <c r="D944" s="155" t="s">
        <v>1668</v>
      </c>
      <c r="E944" s="155">
        <v>0.7</v>
      </c>
      <c r="F944" s="155">
        <v>8.5</v>
      </c>
      <c r="G944" s="155">
        <v>2.2000000000000002</v>
      </c>
      <c r="H944" s="155" t="s">
        <v>34</v>
      </c>
      <c r="I944" s="155" t="s">
        <v>1839</v>
      </c>
      <c r="J944" s="155" t="s">
        <v>1830</v>
      </c>
    </row>
    <row r="945" spans="1:10">
      <c r="A945" s="155" t="s">
        <v>4075</v>
      </c>
      <c r="B945" s="155" t="s">
        <v>4076</v>
      </c>
      <c r="C945" s="155" t="s">
        <v>4077</v>
      </c>
      <c r="D945" s="155" t="s">
        <v>1668</v>
      </c>
      <c r="E945" s="155">
        <v>0.4</v>
      </c>
      <c r="F945" s="155">
        <v>0.8</v>
      </c>
      <c r="G945" s="155">
        <v>0.8</v>
      </c>
      <c r="H945" s="155" t="s">
        <v>34</v>
      </c>
      <c r="I945" s="155" t="s">
        <v>1839</v>
      </c>
      <c r="J945" s="155" t="s">
        <v>3610</v>
      </c>
    </row>
    <row r="946" spans="1:10">
      <c r="A946" s="155" t="s">
        <v>4078</v>
      </c>
      <c r="B946" s="155" t="s">
        <v>4079</v>
      </c>
      <c r="C946" s="155" t="s">
        <v>4080</v>
      </c>
      <c r="D946" s="155" t="s">
        <v>1668</v>
      </c>
      <c r="E946" s="155">
        <v>0.4</v>
      </c>
      <c r="F946" s="155">
        <v>6.5</v>
      </c>
      <c r="G946" s="155">
        <v>2.1</v>
      </c>
      <c r="H946" s="155" t="s">
        <v>34</v>
      </c>
      <c r="I946" s="155" t="s">
        <v>1839</v>
      </c>
      <c r="J946" s="155" t="s">
        <v>1698</v>
      </c>
    </row>
    <row r="947" spans="1:10">
      <c r="A947" s="155" t="s">
        <v>4081</v>
      </c>
      <c r="B947" s="155" t="s">
        <v>4082</v>
      </c>
      <c r="C947" s="155" t="s">
        <v>4083</v>
      </c>
      <c r="D947" s="155" t="s">
        <v>1668</v>
      </c>
      <c r="E947" s="155">
        <v>0.7</v>
      </c>
      <c r="F947" s="155">
        <v>4.5</v>
      </c>
      <c r="G947" s="155">
        <v>2.8</v>
      </c>
      <c r="H947" s="155" t="s">
        <v>34</v>
      </c>
      <c r="I947" s="155" t="s">
        <v>1839</v>
      </c>
      <c r="J947" s="155" t="s">
        <v>1840</v>
      </c>
    </row>
    <row r="948" spans="1:10">
      <c r="A948" s="155" t="s">
        <v>4084</v>
      </c>
      <c r="B948" s="155" t="s">
        <v>4085</v>
      </c>
      <c r="C948" s="155" t="s">
        <v>4086</v>
      </c>
      <c r="D948" s="155" t="s">
        <v>1668</v>
      </c>
      <c r="E948" s="155">
        <v>1.3</v>
      </c>
      <c r="F948" s="155">
        <v>11</v>
      </c>
      <c r="G948" s="155">
        <v>3.4</v>
      </c>
      <c r="H948" s="155" t="s">
        <v>34</v>
      </c>
      <c r="I948" s="155" t="s">
        <v>1969</v>
      </c>
      <c r="J948" s="155" t="s">
        <v>1970</v>
      </c>
    </row>
    <row r="949" spans="1:10">
      <c r="A949" s="155" t="s">
        <v>390</v>
      </c>
      <c r="B949" s="155" t="s">
        <v>388</v>
      </c>
      <c r="C949" s="155" t="s">
        <v>389</v>
      </c>
      <c r="D949" s="155" t="s">
        <v>1668</v>
      </c>
      <c r="E949" s="155">
        <v>0.2</v>
      </c>
      <c r="F949" s="155">
        <v>0.8</v>
      </c>
      <c r="G949" s="155">
        <v>0.8</v>
      </c>
      <c r="H949" s="155" t="s">
        <v>34</v>
      </c>
      <c r="I949" s="155" t="s">
        <v>85</v>
      </c>
      <c r="J949" s="155" t="s">
        <v>3610</v>
      </c>
    </row>
    <row r="950" spans="1:10">
      <c r="A950" s="155" t="s">
        <v>4087</v>
      </c>
      <c r="B950" s="155" t="s">
        <v>4088</v>
      </c>
      <c r="C950" s="155" t="s">
        <v>4089</v>
      </c>
      <c r="D950" s="155" t="s">
        <v>1668</v>
      </c>
      <c r="E950" s="155">
        <v>0.2</v>
      </c>
      <c r="F950" s="155">
        <v>3</v>
      </c>
      <c r="G950" s="155">
        <v>1.5</v>
      </c>
      <c r="H950" s="155" t="s">
        <v>34</v>
      </c>
      <c r="I950" s="155" t="s">
        <v>1974</v>
      </c>
      <c r="J950" s="155" t="s">
        <v>1698</v>
      </c>
    </row>
    <row r="951" spans="1:10">
      <c r="A951" s="155" t="s">
        <v>4090</v>
      </c>
      <c r="B951" s="155" t="s">
        <v>4091</v>
      </c>
      <c r="C951" s="155" t="s">
        <v>4092</v>
      </c>
      <c r="D951" s="155" t="s">
        <v>1668</v>
      </c>
      <c r="E951" s="155">
        <v>4.4000000000000004</v>
      </c>
      <c r="F951" s="155">
        <v>13.2</v>
      </c>
      <c r="G951" s="155">
        <v>139.69999999999999</v>
      </c>
      <c r="H951" s="155" t="s">
        <v>34</v>
      </c>
      <c r="I951" s="155" t="s">
        <v>1974</v>
      </c>
      <c r="J951" s="155" t="s">
        <v>4093</v>
      </c>
    </row>
    <row r="952" spans="1:10">
      <c r="A952" s="155" t="s">
        <v>4094</v>
      </c>
      <c r="B952" s="155" t="s">
        <v>4095</v>
      </c>
      <c r="C952" s="155" t="s">
        <v>4096</v>
      </c>
      <c r="D952" s="155" t="s">
        <v>1668</v>
      </c>
      <c r="E952" s="155">
        <v>4.4000000000000004</v>
      </c>
      <c r="F952" s="155">
        <v>7.7</v>
      </c>
      <c r="G952" s="155">
        <v>137.30000000000001</v>
      </c>
      <c r="H952" s="155" t="s">
        <v>34</v>
      </c>
      <c r="I952" s="155" t="s">
        <v>1974</v>
      </c>
      <c r="J952" s="155" t="s">
        <v>4093</v>
      </c>
    </row>
    <row r="953" spans="1:10">
      <c r="A953" s="155" t="s">
        <v>4097</v>
      </c>
      <c r="B953" s="155" t="s">
        <v>4098</v>
      </c>
      <c r="C953" s="155" t="s">
        <v>4099</v>
      </c>
      <c r="D953" s="155" t="s">
        <v>1668</v>
      </c>
      <c r="E953" s="155">
        <v>0.2</v>
      </c>
      <c r="F953" s="155">
        <v>37</v>
      </c>
      <c r="G953" s="155">
        <v>148.4</v>
      </c>
      <c r="H953" s="155" t="s">
        <v>34</v>
      </c>
      <c r="I953" s="155" t="s">
        <v>1979</v>
      </c>
      <c r="J953" s="155" t="s">
        <v>3610</v>
      </c>
    </row>
    <row r="954" spans="1:10">
      <c r="A954" s="155" t="s">
        <v>4100</v>
      </c>
      <c r="B954" s="155" t="s">
        <v>4101</v>
      </c>
      <c r="C954" s="155" t="s">
        <v>4102</v>
      </c>
      <c r="D954" s="155" t="s">
        <v>1668</v>
      </c>
      <c r="E954" s="155">
        <v>2.2000000000000002</v>
      </c>
      <c r="F954" s="155">
        <v>40.6</v>
      </c>
      <c r="G954" s="155">
        <v>7.4</v>
      </c>
      <c r="H954" s="155" t="s">
        <v>34</v>
      </c>
      <c r="I954" s="155" t="s">
        <v>3110</v>
      </c>
      <c r="J954" s="155" t="s">
        <v>4103</v>
      </c>
    </row>
    <row r="955" spans="1:10">
      <c r="A955" s="155" t="s">
        <v>4104</v>
      </c>
      <c r="B955" s="155" t="s">
        <v>4105</v>
      </c>
      <c r="C955" s="155" t="s">
        <v>4106</v>
      </c>
      <c r="D955" s="155" t="s">
        <v>1668</v>
      </c>
      <c r="E955" s="155">
        <v>5.5</v>
      </c>
      <c r="F955" s="155">
        <v>36.799999999999997</v>
      </c>
      <c r="G955" s="155">
        <v>9.1999999999999993</v>
      </c>
      <c r="H955" s="155" t="s">
        <v>34</v>
      </c>
      <c r="I955" s="155" t="s">
        <v>1999</v>
      </c>
      <c r="J955" s="155" t="s">
        <v>4093</v>
      </c>
    </row>
    <row r="956" spans="1:10">
      <c r="A956" s="155" t="s">
        <v>4107</v>
      </c>
      <c r="B956" s="155" t="s">
        <v>4108</v>
      </c>
      <c r="C956" s="155" t="s">
        <v>4109</v>
      </c>
      <c r="D956" s="155" t="s">
        <v>1668</v>
      </c>
      <c r="E956" s="155">
        <v>0.2</v>
      </c>
      <c r="F956" s="155">
        <v>21</v>
      </c>
      <c r="G956" s="155">
        <v>8.8000000000000007</v>
      </c>
      <c r="H956" s="155" t="s">
        <v>34</v>
      </c>
      <c r="I956" s="155" t="s">
        <v>4110</v>
      </c>
      <c r="J956" s="155" t="s">
        <v>1975</v>
      </c>
    </row>
    <row r="957" spans="1:10">
      <c r="A957" s="155" t="s">
        <v>4111</v>
      </c>
      <c r="B957" s="155" t="s">
        <v>4112</v>
      </c>
      <c r="C957" s="155" t="s">
        <v>4113</v>
      </c>
      <c r="D957" s="155" t="s">
        <v>1668</v>
      </c>
      <c r="E957" s="155">
        <v>0.1</v>
      </c>
      <c r="F957" s="155">
        <v>0.5</v>
      </c>
      <c r="G957" s="155">
        <v>0.5</v>
      </c>
      <c r="H957" s="155" t="s">
        <v>34</v>
      </c>
      <c r="I957" s="155" t="s">
        <v>1844</v>
      </c>
      <c r="J957" s="155" t="s">
        <v>1825</v>
      </c>
    </row>
    <row r="958" spans="1:10">
      <c r="A958" s="155" t="s">
        <v>4114</v>
      </c>
      <c r="B958" s="155" t="s">
        <v>4115</v>
      </c>
      <c r="C958" s="155" t="s">
        <v>4116</v>
      </c>
      <c r="D958" s="155" t="s">
        <v>1668</v>
      </c>
      <c r="E958" s="155">
        <v>0.7</v>
      </c>
      <c r="F958" s="155">
        <v>8</v>
      </c>
      <c r="G958" s="155">
        <v>4.3</v>
      </c>
      <c r="H958" s="155" t="s">
        <v>34</v>
      </c>
      <c r="I958" s="155" t="s">
        <v>1844</v>
      </c>
      <c r="J958" s="155" t="s">
        <v>1840</v>
      </c>
    </row>
    <row r="959" spans="1:10">
      <c r="A959" s="155" t="s">
        <v>4117</v>
      </c>
      <c r="B959" s="155" t="s">
        <v>4118</v>
      </c>
      <c r="C959" s="155" t="s">
        <v>4119</v>
      </c>
      <c r="D959" s="155" t="s">
        <v>1668</v>
      </c>
      <c r="E959" s="155">
        <v>0.7</v>
      </c>
      <c r="F959" s="155">
        <v>9</v>
      </c>
      <c r="G959" s="155">
        <v>4</v>
      </c>
      <c r="H959" s="155" t="s">
        <v>34</v>
      </c>
      <c r="I959" s="155" t="s">
        <v>4120</v>
      </c>
      <c r="J959" s="155" t="s">
        <v>1975</v>
      </c>
    </row>
    <row r="960" spans="1:10">
      <c r="A960" s="155" t="s">
        <v>4121</v>
      </c>
      <c r="B960" s="155" t="s">
        <v>4122</v>
      </c>
      <c r="C960" s="155" t="s">
        <v>4123</v>
      </c>
      <c r="D960" s="155" t="s">
        <v>1668</v>
      </c>
      <c r="E960" s="155">
        <v>0.2</v>
      </c>
      <c r="F960" s="155">
        <v>20</v>
      </c>
      <c r="G960" s="155">
        <v>37.799999999999997</v>
      </c>
      <c r="H960" s="155" t="s">
        <v>34</v>
      </c>
      <c r="I960" s="155" t="s">
        <v>4120</v>
      </c>
      <c r="J960" s="155" t="s">
        <v>1975</v>
      </c>
    </row>
    <row r="961" spans="1:10">
      <c r="A961" s="155" t="s">
        <v>4124</v>
      </c>
      <c r="B961" s="155" t="s">
        <v>4125</v>
      </c>
      <c r="C961" s="155" t="s">
        <v>4126</v>
      </c>
      <c r="D961" s="155" t="s">
        <v>1668</v>
      </c>
      <c r="E961" s="155">
        <v>0.2</v>
      </c>
      <c r="F961" s="155">
        <v>14.8</v>
      </c>
      <c r="G961" s="155">
        <v>37.799999999999997</v>
      </c>
      <c r="H961" s="155" t="s">
        <v>34</v>
      </c>
      <c r="I961" s="155" t="s">
        <v>4120</v>
      </c>
      <c r="J961" s="155" t="s">
        <v>1975</v>
      </c>
    </row>
    <row r="962" spans="1:10">
      <c r="A962" s="155" t="s">
        <v>4127</v>
      </c>
      <c r="B962" s="155" t="s">
        <v>4128</v>
      </c>
      <c r="C962" s="155" t="s">
        <v>4129</v>
      </c>
      <c r="D962" s="155" t="s">
        <v>1668</v>
      </c>
      <c r="E962" s="155">
        <v>1.8</v>
      </c>
      <c r="F962" s="155">
        <v>0.7</v>
      </c>
      <c r="G962" s="155">
        <v>52.6</v>
      </c>
      <c r="H962" s="155" t="s">
        <v>34</v>
      </c>
      <c r="I962" s="155" t="s">
        <v>2025</v>
      </c>
      <c r="J962" s="155" t="s">
        <v>1691</v>
      </c>
    </row>
    <row r="963" spans="1:10">
      <c r="A963" s="155" t="s">
        <v>4130</v>
      </c>
      <c r="B963" s="155" t="s">
        <v>4131</v>
      </c>
      <c r="C963" s="155" t="s">
        <v>4132</v>
      </c>
      <c r="D963" s="155" t="s">
        <v>1668</v>
      </c>
      <c r="E963" s="155">
        <v>1.8</v>
      </c>
      <c r="F963" s="155">
        <v>0.6</v>
      </c>
      <c r="G963" s="155">
        <v>42.8</v>
      </c>
      <c r="H963" s="155" t="s">
        <v>34</v>
      </c>
      <c r="I963" s="155" t="s">
        <v>2025</v>
      </c>
      <c r="J963" s="155" t="s">
        <v>1691</v>
      </c>
    </row>
    <row r="964" spans="1:10">
      <c r="A964" s="155" t="s">
        <v>4133</v>
      </c>
      <c r="B964" s="155" t="s">
        <v>4134</v>
      </c>
      <c r="C964" s="155" t="s">
        <v>4135</v>
      </c>
      <c r="D964" s="155" t="s">
        <v>1668</v>
      </c>
      <c r="E964" s="155">
        <v>1.4</v>
      </c>
      <c r="F964" s="155">
        <v>11</v>
      </c>
      <c r="G964" s="155">
        <v>37.700000000000003</v>
      </c>
      <c r="H964" s="155" t="s">
        <v>34</v>
      </c>
      <c r="I964" s="155" t="s">
        <v>4120</v>
      </c>
      <c r="J964" s="155" t="s">
        <v>4136</v>
      </c>
    </row>
    <row r="965" spans="1:10">
      <c r="A965" s="155" t="s">
        <v>4137</v>
      </c>
      <c r="B965" s="155" t="s">
        <v>4138</v>
      </c>
      <c r="C965" s="155" t="s">
        <v>4139</v>
      </c>
      <c r="D965" s="155" t="s">
        <v>1668</v>
      </c>
      <c r="E965" s="155">
        <v>1.4</v>
      </c>
      <c r="F965" s="155">
        <v>10.8</v>
      </c>
      <c r="G965" s="155">
        <v>37.700000000000003</v>
      </c>
      <c r="H965" s="155" t="s">
        <v>34</v>
      </c>
      <c r="I965" s="155" t="s">
        <v>4120</v>
      </c>
      <c r="J965" s="155" t="s">
        <v>4136</v>
      </c>
    </row>
    <row r="966" spans="1:10">
      <c r="A966" s="155" t="s">
        <v>4140</v>
      </c>
      <c r="B966" s="155" t="s">
        <v>4141</v>
      </c>
      <c r="C966" s="155" t="s">
        <v>4142</v>
      </c>
      <c r="D966" s="155" t="s">
        <v>1668</v>
      </c>
      <c r="E966" s="155">
        <v>4.5</v>
      </c>
      <c r="F966" s="155">
        <v>9</v>
      </c>
      <c r="G966" s="155">
        <v>2.6</v>
      </c>
      <c r="H966" s="155" t="s">
        <v>34</v>
      </c>
      <c r="I966" s="155" t="s">
        <v>2025</v>
      </c>
      <c r="J966" s="155" t="s">
        <v>3610</v>
      </c>
    </row>
    <row r="967" spans="1:10">
      <c r="A967" s="155" t="s">
        <v>4143</v>
      </c>
      <c r="B967" s="155" t="s">
        <v>4144</v>
      </c>
      <c r="C967" s="155" t="s">
        <v>4145</v>
      </c>
      <c r="D967" s="155" t="s">
        <v>1668</v>
      </c>
      <c r="E967" s="155">
        <v>4.5</v>
      </c>
      <c r="F967" s="155">
        <v>13</v>
      </c>
      <c r="G967" s="155">
        <v>3.3</v>
      </c>
      <c r="H967" s="155" t="s">
        <v>34</v>
      </c>
      <c r="I967" s="155" t="s">
        <v>2025</v>
      </c>
      <c r="J967" s="155" t="s">
        <v>3610</v>
      </c>
    </row>
    <row r="968" spans="1:10">
      <c r="A968" s="155" t="s">
        <v>4146</v>
      </c>
      <c r="B968" s="155" t="s">
        <v>4147</v>
      </c>
      <c r="C968" s="155" t="s">
        <v>4148</v>
      </c>
      <c r="D968" s="155" t="s">
        <v>1668</v>
      </c>
      <c r="E968" s="155">
        <v>6.2</v>
      </c>
      <c r="F968" s="155">
        <v>10.7</v>
      </c>
      <c r="G968" s="155">
        <v>13.8</v>
      </c>
      <c r="H968" s="155" t="s">
        <v>34</v>
      </c>
      <c r="I968" s="155" t="s">
        <v>4149</v>
      </c>
      <c r="J968" s="155" t="s">
        <v>2384</v>
      </c>
    </row>
    <row r="969" spans="1:10">
      <c r="A969" s="155" t="s">
        <v>4150</v>
      </c>
      <c r="B969" s="155" t="s">
        <v>4151</v>
      </c>
      <c r="C969" s="155" t="s">
        <v>4152</v>
      </c>
      <c r="D969" s="155" t="s">
        <v>1668</v>
      </c>
      <c r="E969" s="155">
        <v>6.2</v>
      </c>
      <c r="F969" s="155">
        <v>8.6999999999999993</v>
      </c>
      <c r="G969" s="155">
        <v>13.7</v>
      </c>
      <c r="H969" s="155" t="s">
        <v>34</v>
      </c>
      <c r="I969" s="155" t="s">
        <v>4149</v>
      </c>
      <c r="J969" s="155" t="s">
        <v>2384</v>
      </c>
    </row>
    <row r="970" spans="1:10">
      <c r="A970" s="155" t="s">
        <v>4153</v>
      </c>
      <c r="B970" s="155" t="s">
        <v>4154</v>
      </c>
      <c r="C970" s="155" t="s">
        <v>4155</v>
      </c>
      <c r="D970" s="155" t="s">
        <v>1668</v>
      </c>
      <c r="E970" s="155">
        <v>0.4</v>
      </c>
      <c r="F970" s="155">
        <v>3</v>
      </c>
      <c r="G970" s="155">
        <v>42</v>
      </c>
      <c r="H970" s="155" t="s">
        <v>34</v>
      </c>
      <c r="I970" s="155" t="s">
        <v>2045</v>
      </c>
      <c r="J970" s="155" t="s">
        <v>1691</v>
      </c>
    </row>
    <row r="971" spans="1:10">
      <c r="A971" s="155" t="s">
        <v>4156</v>
      </c>
      <c r="B971" s="155" t="s">
        <v>4157</v>
      </c>
      <c r="C971" s="155" t="s">
        <v>4158</v>
      </c>
      <c r="D971" s="155" t="s">
        <v>1668</v>
      </c>
      <c r="E971" s="155">
        <v>0.4</v>
      </c>
      <c r="F971" s="155">
        <v>1.8</v>
      </c>
      <c r="G971" s="155">
        <v>43.3</v>
      </c>
      <c r="H971" s="155" t="s">
        <v>34</v>
      </c>
      <c r="I971" s="155" t="s">
        <v>2045</v>
      </c>
      <c r="J971" s="155" t="s">
        <v>1691</v>
      </c>
    </row>
    <row r="972" spans="1:10">
      <c r="A972" s="155" t="s">
        <v>4159</v>
      </c>
      <c r="B972" s="155" t="s">
        <v>4160</v>
      </c>
      <c r="C972" s="155" t="s">
        <v>4161</v>
      </c>
      <c r="D972" s="155" t="s">
        <v>1668</v>
      </c>
      <c r="E972" s="155">
        <v>0.1</v>
      </c>
      <c r="F972" s="155">
        <v>0.9</v>
      </c>
      <c r="G972" s="155">
        <v>0.9</v>
      </c>
      <c r="H972" s="155" t="s">
        <v>34</v>
      </c>
      <c r="I972" s="155" t="s">
        <v>4162</v>
      </c>
      <c r="J972" s="155" t="s">
        <v>1825</v>
      </c>
    </row>
    <row r="973" spans="1:10">
      <c r="A973" s="155" t="s">
        <v>4163</v>
      </c>
      <c r="B973" s="155" t="s">
        <v>4164</v>
      </c>
      <c r="C973" s="155" t="s">
        <v>4165</v>
      </c>
      <c r="D973" s="155" t="s">
        <v>1668</v>
      </c>
      <c r="E973" s="155">
        <v>0.1</v>
      </c>
      <c r="F973" s="155">
        <v>1</v>
      </c>
      <c r="G973" s="155">
        <v>1</v>
      </c>
      <c r="H973" s="155" t="s">
        <v>34</v>
      </c>
      <c r="I973" s="155" t="s">
        <v>4162</v>
      </c>
      <c r="J973" s="155" t="s">
        <v>1825</v>
      </c>
    </row>
    <row r="974" spans="1:10">
      <c r="A974" s="155" t="s">
        <v>4166</v>
      </c>
      <c r="B974" s="155" t="s">
        <v>4167</v>
      </c>
      <c r="C974" s="155" t="s">
        <v>4168</v>
      </c>
      <c r="D974" s="155" t="s">
        <v>1668</v>
      </c>
      <c r="E974" s="155">
        <v>0.4</v>
      </c>
      <c r="F974" s="155">
        <v>6</v>
      </c>
      <c r="G974" s="155">
        <v>3.9</v>
      </c>
      <c r="H974" s="155" t="s">
        <v>34</v>
      </c>
      <c r="I974" s="155" t="s">
        <v>2073</v>
      </c>
      <c r="J974" s="155" t="s">
        <v>1691</v>
      </c>
    </row>
    <row r="975" spans="1:10">
      <c r="A975" s="155" t="s">
        <v>4169</v>
      </c>
      <c r="B975" s="155" t="s">
        <v>4170</v>
      </c>
      <c r="C975" s="155" t="s">
        <v>4171</v>
      </c>
      <c r="D975" s="155" t="s">
        <v>1668</v>
      </c>
      <c r="E975" s="155">
        <v>0.4</v>
      </c>
      <c r="F975" s="155">
        <v>5</v>
      </c>
      <c r="G975" s="155">
        <v>3.8</v>
      </c>
      <c r="H975" s="155" t="s">
        <v>34</v>
      </c>
      <c r="I975" s="155" t="s">
        <v>2073</v>
      </c>
      <c r="J975" s="155" t="s">
        <v>1691</v>
      </c>
    </row>
    <row r="976" spans="1:10">
      <c r="A976" s="155" t="s">
        <v>4172</v>
      </c>
      <c r="B976" s="155" t="s">
        <v>4173</v>
      </c>
      <c r="C976" s="155" t="s">
        <v>4174</v>
      </c>
      <c r="D976" s="155" t="s">
        <v>1668</v>
      </c>
      <c r="E976" s="155">
        <v>0.2</v>
      </c>
      <c r="F976" s="155">
        <v>10</v>
      </c>
      <c r="G976" s="155">
        <v>3</v>
      </c>
      <c r="H976" s="155" t="s">
        <v>34</v>
      </c>
      <c r="I976" s="155" t="s">
        <v>4175</v>
      </c>
      <c r="J976" s="155" t="s">
        <v>2300</v>
      </c>
    </row>
    <row r="977" spans="1:10">
      <c r="A977" s="155" t="s">
        <v>4176</v>
      </c>
      <c r="B977" s="155" t="s">
        <v>4177</v>
      </c>
      <c r="C977" s="155" t="s">
        <v>4178</v>
      </c>
      <c r="D977" s="155" t="s">
        <v>1668</v>
      </c>
      <c r="E977" s="155">
        <v>0.4</v>
      </c>
      <c r="F977" s="155">
        <v>2.5</v>
      </c>
      <c r="G977" s="155">
        <v>8.1999999999999993</v>
      </c>
      <c r="H977" s="155" t="s">
        <v>34</v>
      </c>
      <c r="I977" s="155" t="s">
        <v>3361</v>
      </c>
      <c r="J977" s="155" t="s">
        <v>1691</v>
      </c>
    </row>
    <row r="978" spans="1:10">
      <c r="A978" s="155" t="s">
        <v>4179</v>
      </c>
      <c r="B978" s="155" t="s">
        <v>4180</v>
      </c>
      <c r="C978" s="155" t="s">
        <v>4181</v>
      </c>
      <c r="D978" s="155" t="s">
        <v>1668</v>
      </c>
      <c r="E978" s="155">
        <v>0.4</v>
      </c>
      <c r="F978" s="155">
        <v>4.2</v>
      </c>
      <c r="G978" s="155">
        <v>8.1999999999999993</v>
      </c>
      <c r="H978" s="155" t="s">
        <v>34</v>
      </c>
      <c r="I978" s="155" t="s">
        <v>3361</v>
      </c>
      <c r="J978" s="155" t="s">
        <v>1691</v>
      </c>
    </row>
    <row r="979" spans="1:10">
      <c r="A979" s="155" t="s">
        <v>4182</v>
      </c>
      <c r="B979" s="155" t="s">
        <v>4183</v>
      </c>
      <c r="C979" s="155" t="s">
        <v>4184</v>
      </c>
      <c r="D979" s="155" t="s">
        <v>1668</v>
      </c>
      <c r="E979" s="155">
        <v>0.9</v>
      </c>
      <c r="F979" s="155">
        <v>6</v>
      </c>
      <c r="G979" s="155">
        <v>3</v>
      </c>
      <c r="H979" s="155" t="s">
        <v>34</v>
      </c>
      <c r="I979" s="155" t="s">
        <v>1697</v>
      </c>
      <c r="J979" s="155" t="s">
        <v>1840</v>
      </c>
    </row>
    <row r="980" spans="1:10">
      <c r="A980" s="155" t="s">
        <v>4185</v>
      </c>
      <c r="B980" s="155" t="s">
        <v>4186</v>
      </c>
      <c r="C980" s="155" t="s">
        <v>4187</v>
      </c>
      <c r="D980" s="155" t="s">
        <v>1668</v>
      </c>
      <c r="E980" s="155">
        <v>0.6</v>
      </c>
      <c r="F980" s="155">
        <v>7.5</v>
      </c>
      <c r="G980" s="155">
        <v>4.8</v>
      </c>
      <c r="H980" s="155" t="s">
        <v>34</v>
      </c>
      <c r="I980" s="155" t="s">
        <v>1697</v>
      </c>
      <c r="J980" s="155" t="s">
        <v>2173</v>
      </c>
    </row>
    <row r="981" spans="1:10">
      <c r="A981" s="155" t="s">
        <v>4188</v>
      </c>
      <c r="B981" s="155" t="s">
        <v>4189</v>
      </c>
      <c r="C981" s="155" t="s">
        <v>4190</v>
      </c>
      <c r="D981" s="155" t="s">
        <v>1668</v>
      </c>
      <c r="E981" s="155">
        <v>0.2</v>
      </c>
      <c r="F981" s="155">
        <v>4</v>
      </c>
      <c r="G981" s="155">
        <v>2</v>
      </c>
      <c r="H981" s="155" t="s">
        <v>34</v>
      </c>
      <c r="I981" s="155" t="s">
        <v>2084</v>
      </c>
      <c r="J981" s="155" t="s">
        <v>1840</v>
      </c>
    </row>
    <row r="982" spans="1:10">
      <c r="A982" s="155" t="s">
        <v>4191</v>
      </c>
      <c r="B982" s="155" t="s">
        <v>4192</v>
      </c>
      <c r="C982" s="155" t="s">
        <v>4193</v>
      </c>
      <c r="D982" s="155" t="s">
        <v>1668</v>
      </c>
      <c r="E982" s="155">
        <v>0.4</v>
      </c>
      <c r="F982" s="155">
        <v>4</v>
      </c>
      <c r="G982" s="155">
        <v>2</v>
      </c>
      <c r="H982" s="155" t="s">
        <v>34</v>
      </c>
      <c r="I982" s="155" t="s">
        <v>2088</v>
      </c>
      <c r="J982" s="155" t="s">
        <v>1840</v>
      </c>
    </row>
    <row r="983" spans="1:10">
      <c r="A983" s="155" t="s">
        <v>4194</v>
      </c>
      <c r="B983" s="155" t="s">
        <v>4195</v>
      </c>
      <c r="C983" s="155" t="s">
        <v>4196</v>
      </c>
      <c r="D983" s="155" t="s">
        <v>1668</v>
      </c>
      <c r="E983" s="155">
        <v>1.6</v>
      </c>
      <c r="F983" s="155">
        <v>8</v>
      </c>
      <c r="G983" s="155">
        <v>2</v>
      </c>
      <c r="H983" s="155" t="s">
        <v>34</v>
      </c>
      <c r="I983" s="155" t="s">
        <v>2084</v>
      </c>
      <c r="J983" s="155" t="s">
        <v>1863</v>
      </c>
    </row>
    <row r="984" spans="1:10">
      <c r="A984" s="155" t="s">
        <v>4197</v>
      </c>
      <c r="B984" s="155" t="s">
        <v>4198</v>
      </c>
      <c r="C984" s="155" t="s">
        <v>4199</v>
      </c>
      <c r="D984" s="155" t="s">
        <v>1668</v>
      </c>
      <c r="E984" s="155">
        <v>0.9</v>
      </c>
      <c r="F984" s="155">
        <v>2.5</v>
      </c>
      <c r="G984" s="155">
        <v>16.3</v>
      </c>
      <c r="H984" s="155" t="s">
        <v>34</v>
      </c>
      <c r="I984" s="155" t="s">
        <v>4200</v>
      </c>
      <c r="J984" s="155" t="s">
        <v>1691</v>
      </c>
    </row>
    <row r="985" spans="1:10">
      <c r="A985" s="155" t="s">
        <v>4201</v>
      </c>
      <c r="B985" s="155" t="s">
        <v>4202</v>
      </c>
      <c r="C985" s="155" t="s">
        <v>4203</v>
      </c>
      <c r="D985" s="155" t="s">
        <v>1668</v>
      </c>
      <c r="E985" s="155">
        <v>0.9</v>
      </c>
      <c r="F985" s="155">
        <v>6.5</v>
      </c>
      <c r="G985" s="155">
        <v>5.6</v>
      </c>
      <c r="H985" s="155" t="s">
        <v>34</v>
      </c>
      <c r="I985" s="155" t="s">
        <v>4200</v>
      </c>
      <c r="J985" s="155" t="s">
        <v>1691</v>
      </c>
    </row>
    <row r="986" spans="1:10">
      <c r="A986" s="155" t="s">
        <v>4204</v>
      </c>
      <c r="B986" s="155" t="s">
        <v>4205</v>
      </c>
      <c r="C986" s="155" t="s">
        <v>4206</v>
      </c>
      <c r="D986" s="155" t="s">
        <v>1668</v>
      </c>
      <c r="E986" s="155">
        <v>0.6</v>
      </c>
      <c r="F986" s="155">
        <v>9</v>
      </c>
      <c r="G986" s="155">
        <v>2.1</v>
      </c>
      <c r="H986" s="155" t="s">
        <v>34</v>
      </c>
      <c r="I986" s="155" t="s">
        <v>4207</v>
      </c>
      <c r="J986" s="155" t="s">
        <v>1698</v>
      </c>
    </row>
    <row r="987" spans="1:10">
      <c r="A987" s="155" t="s">
        <v>4208</v>
      </c>
      <c r="B987" s="155" t="s">
        <v>4209</v>
      </c>
      <c r="C987" s="155" t="s">
        <v>4210</v>
      </c>
      <c r="D987" s="155" t="s">
        <v>1668</v>
      </c>
      <c r="E987" s="155">
        <v>0.3</v>
      </c>
      <c r="F987" s="155">
        <v>4</v>
      </c>
      <c r="G987" s="155">
        <v>2</v>
      </c>
      <c r="H987" s="155" t="s">
        <v>34</v>
      </c>
      <c r="I987" s="155" t="s">
        <v>1877</v>
      </c>
      <c r="J987" s="155" t="s">
        <v>1840</v>
      </c>
    </row>
    <row r="988" spans="1:10">
      <c r="A988" s="155" t="s">
        <v>4211</v>
      </c>
      <c r="B988" s="155" t="s">
        <v>4212</v>
      </c>
      <c r="C988" s="155" t="s">
        <v>4213</v>
      </c>
      <c r="D988" s="155" t="s">
        <v>1668</v>
      </c>
      <c r="E988" s="155">
        <v>0.4</v>
      </c>
      <c r="F988" s="155">
        <v>4</v>
      </c>
      <c r="G988" s="155">
        <v>2</v>
      </c>
      <c r="H988" s="155" t="s">
        <v>34</v>
      </c>
      <c r="I988" s="155" t="s">
        <v>4214</v>
      </c>
      <c r="J988" s="155" t="s">
        <v>1840</v>
      </c>
    </row>
    <row r="989" spans="1:10">
      <c r="A989" s="155" t="s">
        <v>4215</v>
      </c>
      <c r="B989" s="155" t="s">
        <v>4216</v>
      </c>
      <c r="C989" s="155" t="s">
        <v>4217</v>
      </c>
      <c r="D989" s="155" t="s">
        <v>1668</v>
      </c>
      <c r="E989" s="155">
        <v>0.9</v>
      </c>
      <c r="F989" s="155">
        <v>4</v>
      </c>
      <c r="G989" s="155">
        <v>1</v>
      </c>
      <c r="H989" s="155" t="s">
        <v>34</v>
      </c>
      <c r="I989" s="155" t="s">
        <v>4218</v>
      </c>
      <c r="J989" s="155" t="s">
        <v>1859</v>
      </c>
    </row>
    <row r="990" spans="1:10">
      <c r="A990" s="155" t="s">
        <v>4219</v>
      </c>
      <c r="B990" s="155" t="s">
        <v>4220</v>
      </c>
      <c r="C990" s="155" t="s">
        <v>4221</v>
      </c>
      <c r="D990" s="155" t="s">
        <v>1668</v>
      </c>
      <c r="E990" s="155">
        <v>0.4</v>
      </c>
      <c r="F990" s="155">
        <v>4</v>
      </c>
      <c r="G990" s="155">
        <v>1</v>
      </c>
      <c r="H990" s="155" t="s">
        <v>34</v>
      </c>
      <c r="I990" s="155" t="s">
        <v>4218</v>
      </c>
      <c r="J990" s="155" t="s">
        <v>1859</v>
      </c>
    </row>
    <row r="991" spans="1:10">
      <c r="A991" s="155" t="s">
        <v>4222</v>
      </c>
      <c r="B991" s="155" t="s">
        <v>4223</v>
      </c>
      <c r="C991" s="155" t="s">
        <v>4224</v>
      </c>
      <c r="D991" s="155" t="s">
        <v>1668</v>
      </c>
      <c r="E991" s="155">
        <v>13.6</v>
      </c>
      <c r="F991" s="155">
        <v>4.5</v>
      </c>
      <c r="G991" s="155">
        <v>1.5</v>
      </c>
      <c r="H991" s="155" t="s">
        <v>34</v>
      </c>
      <c r="I991" s="155" t="s">
        <v>4225</v>
      </c>
      <c r="J991" s="155" t="s">
        <v>1878</v>
      </c>
    </row>
    <row r="992" spans="1:10">
      <c r="A992" s="155" t="s">
        <v>4226</v>
      </c>
      <c r="B992" s="155" t="s">
        <v>4227</v>
      </c>
      <c r="C992" s="155" t="s">
        <v>4228</v>
      </c>
      <c r="D992" s="155" t="s">
        <v>1668</v>
      </c>
      <c r="E992" s="155">
        <v>13.6</v>
      </c>
      <c r="F992" s="155">
        <v>5</v>
      </c>
      <c r="G992" s="155">
        <v>72.7</v>
      </c>
      <c r="H992" s="155" t="s">
        <v>34</v>
      </c>
      <c r="I992" s="155" t="s">
        <v>4225</v>
      </c>
      <c r="J992" s="155" t="s">
        <v>1878</v>
      </c>
    </row>
    <row r="993" spans="1:10">
      <c r="A993" s="155" t="s">
        <v>4229</v>
      </c>
      <c r="B993" s="155" t="s">
        <v>4230</v>
      </c>
      <c r="C993" s="155" t="s">
        <v>4231</v>
      </c>
      <c r="D993" s="155" t="s">
        <v>1668</v>
      </c>
      <c r="E993" s="155">
        <v>1.8</v>
      </c>
      <c r="F993" s="155">
        <v>13</v>
      </c>
      <c r="G993" s="155">
        <v>8</v>
      </c>
      <c r="H993" s="155" t="s">
        <v>34</v>
      </c>
      <c r="I993" s="155" t="s">
        <v>4232</v>
      </c>
      <c r="J993" s="155" t="s">
        <v>1840</v>
      </c>
    </row>
    <row r="994" spans="1:10">
      <c r="A994" s="155" t="s">
        <v>4233</v>
      </c>
      <c r="B994" s="155" t="s">
        <v>4234</v>
      </c>
      <c r="C994" s="155" t="s">
        <v>4235</v>
      </c>
      <c r="D994" s="155" t="s">
        <v>1668</v>
      </c>
      <c r="E994" s="155">
        <v>1.8</v>
      </c>
      <c r="F994" s="155">
        <v>7</v>
      </c>
      <c r="G994" s="155">
        <v>2</v>
      </c>
      <c r="H994" s="155" t="s">
        <v>34</v>
      </c>
      <c r="I994" s="155" t="s">
        <v>4232</v>
      </c>
      <c r="J994" s="155" t="s">
        <v>1840</v>
      </c>
    </row>
    <row r="995" spans="1:10">
      <c r="A995" s="155" t="s">
        <v>4236</v>
      </c>
      <c r="B995" s="155" t="s">
        <v>4237</v>
      </c>
      <c r="C995" s="155" t="s">
        <v>4238</v>
      </c>
      <c r="D995" s="155" t="s">
        <v>1668</v>
      </c>
      <c r="E995" s="155">
        <v>0.9</v>
      </c>
      <c r="F995" s="155">
        <v>3</v>
      </c>
      <c r="G995" s="155">
        <v>1</v>
      </c>
      <c r="H995" s="155" t="s">
        <v>34</v>
      </c>
      <c r="I995" s="155" t="s">
        <v>4225</v>
      </c>
      <c r="J995" s="155" t="s">
        <v>1840</v>
      </c>
    </row>
    <row r="996" spans="1:10">
      <c r="A996" s="155" t="s">
        <v>4239</v>
      </c>
      <c r="B996" s="155" t="s">
        <v>4240</v>
      </c>
      <c r="C996" s="155" t="s">
        <v>4241</v>
      </c>
      <c r="D996" s="155" t="s">
        <v>1668</v>
      </c>
      <c r="E996" s="155">
        <v>0.4</v>
      </c>
      <c r="F996" s="155">
        <v>4.5</v>
      </c>
      <c r="G996" s="155">
        <v>2.8</v>
      </c>
      <c r="H996" s="155" t="s">
        <v>34</v>
      </c>
      <c r="I996" s="155" t="s">
        <v>2121</v>
      </c>
      <c r="J996" s="155" t="s">
        <v>1840</v>
      </c>
    </row>
    <row r="997" spans="1:10">
      <c r="A997" s="155" t="s">
        <v>4242</v>
      </c>
      <c r="B997" s="155" t="s">
        <v>4243</v>
      </c>
      <c r="C997" s="155" t="s">
        <v>4244</v>
      </c>
      <c r="D997" s="155" t="s">
        <v>1668</v>
      </c>
      <c r="E997" s="155">
        <v>0.7</v>
      </c>
      <c r="F997" s="155">
        <v>1</v>
      </c>
      <c r="G997" s="155">
        <v>1</v>
      </c>
      <c r="H997" s="155" t="s">
        <v>34</v>
      </c>
      <c r="I997" s="155" t="s">
        <v>3942</v>
      </c>
      <c r="J997" s="155" t="s">
        <v>1825</v>
      </c>
    </row>
    <row r="998" spans="1:10">
      <c r="A998" s="155" t="s">
        <v>4245</v>
      </c>
      <c r="B998" s="155" t="s">
        <v>4246</v>
      </c>
      <c r="C998" s="155" t="s">
        <v>4247</v>
      </c>
      <c r="D998" s="155" t="s">
        <v>1668</v>
      </c>
      <c r="E998" s="155">
        <v>0.2</v>
      </c>
      <c r="F998" s="155">
        <v>8</v>
      </c>
      <c r="G998" s="155">
        <v>3</v>
      </c>
      <c r="H998" s="155" t="s">
        <v>34</v>
      </c>
      <c r="I998" s="155" t="s">
        <v>2140</v>
      </c>
      <c r="J998" s="155" t="s">
        <v>1698</v>
      </c>
    </row>
    <row r="999" spans="1:10">
      <c r="A999" s="155" t="s">
        <v>4248</v>
      </c>
      <c r="B999" s="155" t="s">
        <v>4249</v>
      </c>
      <c r="C999" s="155" t="s">
        <v>4250</v>
      </c>
      <c r="D999" s="155" t="s">
        <v>1668</v>
      </c>
      <c r="E999" s="155">
        <v>1.8</v>
      </c>
      <c r="F999" s="155">
        <v>10</v>
      </c>
      <c r="G999" s="155">
        <v>3</v>
      </c>
      <c r="H999" s="155" t="s">
        <v>34</v>
      </c>
      <c r="I999" s="155" t="s">
        <v>4251</v>
      </c>
      <c r="J999" s="155" t="s">
        <v>1859</v>
      </c>
    </row>
    <row r="1000" spans="1:10">
      <c r="A1000" s="155" t="s">
        <v>396</v>
      </c>
      <c r="B1000" s="155" t="s">
        <v>394</v>
      </c>
      <c r="C1000" s="155" t="s">
        <v>395</v>
      </c>
      <c r="D1000" s="155" t="s">
        <v>1668</v>
      </c>
      <c r="E1000" s="155">
        <v>0.2</v>
      </c>
      <c r="F1000" s="155">
        <v>9</v>
      </c>
      <c r="G1000" s="155">
        <v>3.1</v>
      </c>
      <c r="H1000" s="155" t="s">
        <v>34</v>
      </c>
      <c r="I1000" s="155" t="s">
        <v>397</v>
      </c>
      <c r="J1000" s="155" t="s">
        <v>1698</v>
      </c>
    </row>
    <row r="1001" spans="1:10">
      <c r="A1001" s="155" t="s">
        <v>4252</v>
      </c>
      <c r="B1001" s="155" t="s">
        <v>4253</v>
      </c>
      <c r="C1001" s="155" t="s">
        <v>4254</v>
      </c>
      <c r="D1001" s="155" t="s">
        <v>1668</v>
      </c>
      <c r="E1001" s="155">
        <v>1</v>
      </c>
      <c r="F1001" s="155">
        <v>6.5</v>
      </c>
      <c r="G1001" s="155">
        <v>2.6</v>
      </c>
      <c r="H1001" s="155" t="s">
        <v>34</v>
      </c>
      <c r="I1001" s="155" t="s">
        <v>4255</v>
      </c>
      <c r="J1001" s="155" t="s">
        <v>1698</v>
      </c>
    </row>
    <row r="1002" spans="1:10">
      <c r="A1002" s="155" t="s">
        <v>4256</v>
      </c>
      <c r="B1002" s="155" t="s">
        <v>4257</v>
      </c>
      <c r="C1002" s="155" t="s">
        <v>4258</v>
      </c>
      <c r="D1002" s="155" t="s">
        <v>1668</v>
      </c>
      <c r="E1002" s="155">
        <v>0.4</v>
      </c>
      <c r="F1002" s="155">
        <v>8</v>
      </c>
      <c r="G1002" s="155">
        <v>1</v>
      </c>
      <c r="H1002" s="155" t="s">
        <v>34</v>
      </c>
      <c r="I1002" s="155" t="s">
        <v>1707</v>
      </c>
      <c r="J1002" s="155" t="s">
        <v>1970</v>
      </c>
    </row>
    <row r="1003" spans="1:10">
      <c r="A1003" s="155" t="s">
        <v>4259</v>
      </c>
      <c r="B1003" s="155" t="s">
        <v>4260</v>
      </c>
      <c r="C1003" s="155" t="s">
        <v>4261</v>
      </c>
      <c r="D1003" s="155" t="s">
        <v>1668</v>
      </c>
      <c r="E1003" s="155">
        <v>0.2</v>
      </c>
      <c r="F1003" s="155">
        <v>6</v>
      </c>
      <c r="G1003" s="155">
        <v>1</v>
      </c>
      <c r="H1003" s="155" t="s">
        <v>34</v>
      </c>
      <c r="I1003" s="155" t="s">
        <v>1707</v>
      </c>
      <c r="J1003" s="155" t="s">
        <v>1698</v>
      </c>
    </row>
    <row r="1004" spans="1:10">
      <c r="A1004" s="155" t="s">
        <v>4262</v>
      </c>
      <c r="B1004" s="155" t="s">
        <v>4263</v>
      </c>
      <c r="C1004" s="155" t="s">
        <v>4264</v>
      </c>
      <c r="D1004" s="155" t="s">
        <v>1668</v>
      </c>
      <c r="E1004" s="155">
        <v>0.4</v>
      </c>
      <c r="F1004" s="155">
        <v>8</v>
      </c>
      <c r="G1004" s="155">
        <v>1</v>
      </c>
      <c r="H1004" s="155" t="s">
        <v>34</v>
      </c>
      <c r="I1004" s="155" t="s">
        <v>1707</v>
      </c>
      <c r="J1004" s="155" t="s">
        <v>1970</v>
      </c>
    </row>
    <row r="1005" spans="1:10">
      <c r="A1005" s="155" t="s">
        <v>4265</v>
      </c>
      <c r="B1005" s="155" t="s">
        <v>4266</v>
      </c>
      <c r="C1005" s="155" t="s">
        <v>4267</v>
      </c>
      <c r="D1005" s="155" t="s">
        <v>1668</v>
      </c>
      <c r="E1005" s="155">
        <v>0.4</v>
      </c>
      <c r="F1005" s="155">
        <v>4</v>
      </c>
      <c r="G1005" s="155">
        <v>2</v>
      </c>
      <c r="H1005" s="155" t="s">
        <v>34</v>
      </c>
      <c r="I1005" s="155" t="s">
        <v>1707</v>
      </c>
      <c r="J1005" s="155" t="s">
        <v>1840</v>
      </c>
    </row>
    <row r="1006" spans="1:10">
      <c r="A1006" s="155" t="s">
        <v>4268</v>
      </c>
      <c r="B1006" s="155" t="s">
        <v>4269</v>
      </c>
      <c r="C1006" s="155" t="s">
        <v>4270</v>
      </c>
      <c r="D1006" s="155" t="s">
        <v>1668</v>
      </c>
      <c r="E1006" s="155">
        <v>0.4</v>
      </c>
      <c r="F1006" s="155">
        <v>4</v>
      </c>
      <c r="G1006" s="155">
        <v>2</v>
      </c>
      <c r="H1006" s="155" t="s">
        <v>34</v>
      </c>
      <c r="I1006" s="155" t="s">
        <v>1707</v>
      </c>
      <c r="J1006" s="155" t="s">
        <v>1840</v>
      </c>
    </row>
    <row r="1007" spans="1:10">
      <c r="A1007" s="155" t="s">
        <v>4271</v>
      </c>
      <c r="B1007" s="155" t="s">
        <v>4272</v>
      </c>
      <c r="C1007" s="155" t="s">
        <v>4273</v>
      </c>
      <c r="D1007" s="155" t="s">
        <v>1668</v>
      </c>
      <c r="E1007" s="155">
        <v>0.7</v>
      </c>
      <c r="F1007" s="155">
        <v>4</v>
      </c>
      <c r="G1007" s="155">
        <v>2</v>
      </c>
      <c r="H1007" s="155" t="s">
        <v>34</v>
      </c>
      <c r="I1007" s="155" t="s">
        <v>4274</v>
      </c>
      <c r="J1007" s="155" t="s">
        <v>1840</v>
      </c>
    </row>
    <row r="1008" spans="1:10">
      <c r="A1008" s="155" t="s">
        <v>4275</v>
      </c>
      <c r="B1008" s="155" t="s">
        <v>4276</v>
      </c>
      <c r="C1008" s="155" t="s">
        <v>4277</v>
      </c>
      <c r="D1008" s="155" t="s">
        <v>1668</v>
      </c>
      <c r="E1008" s="155">
        <v>0.2</v>
      </c>
      <c r="F1008" s="155">
        <v>4.5</v>
      </c>
      <c r="G1008" s="155">
        <v>1.4</v>
      </c>
      <c r="H1008" s="155" t="s">
        <v>34</v>
      </c>
      <c r="I1008" s="155" t="s">
        <v>4278</v>
      </c>
      <c r="J1008" s="155" t="s">
        <v>1970</v>
      </c>
    </row>
    <row r="1009" spans="1:10">
      <c r="A1009" s="155" t="s">
        <v>4279</v>
      </c>
      <c r="B1009" s="155" t="s">
        <v>4280</v>
      </c>
      <c r="C1009" s="155" t="s">
        <v>4281</v>
      </c>
      <c r="D1009" s="155" t="s">
        <v>1668</v>
      </c>
      <c r="E1009" s="155">
        <v>0.9</v>
      </c>
      <c r="F1009" s="155">
        <v>13</v>
      </c>
      <c r="G1009" s="155">
        <v>2.2000000000000002</v>
      </c>
      <c r="H1009" s="155" t="s">
        <v>34</v>
      </c>
      <c r="I1009" s="155" t="s">
        <v>4278</v>
      </c>
      <c r="J1009" s="155" t="s">
        <v>1698</v>
      </c>
    </row>
    <row r="1010" spans="1:10">
      <c r="A1010" s="155" t="s">
        <v>4282</v>
      </c>
      <c r="B1010" s="155" t="s">
        <v>4283</v>
      </c>
      <c r="C1010" s="155" t="s">
        <v>4284</v>
      </c>
      <c r="D1010" s="155" t="s">
        <v>1668</v>
      </c>
      <c r="E1010" s="155">
        <v>0.4</v>
      </c>
      <c r="F1010" s="155">
        <v>4</v>
      </c>
      <c r="G1010" s="155">
        <v>2</v>
      </c>
      <c r="H1010" s="155" t="s">
        <v>34</v>
      </c>
      <c r="I1010" s="155" t="s">
        <v>4285</v>
      </c>
      <c r="J1010" s="155" t="s">
        <v>1692</v>
      </c>
    </row>
    <row r="1011" spans="1:10">
      <c r="A1011" s="155" t="s">
        <v>4286</v>
      </c>
      <c r="B1011" s="155" t="s">
        <v>4287</v>
      </c>
      <c r="C1011" s="155" t="s">
        <v>4288</v>
      </c>
      <c r="D1011" s="155" t="s">
        <v>1668</v>
      </c>
      <c r="E1011" s="155">
        <v>0.2</v>
      </c>
      <c r="F1011" s="155">
        <v>8</v>
      </c>
      <c r="G1011" s="155">
        <v>1</v>
      </c>
      <c r="H1011" s="155" t="s">
        <v>34</v>
      </c>
      <c r="I1011" s="155" t="s">
        <v>4289</v>
      </c>
      <c r="J1011" s="155" t="s">
        <v>1970</v>
      </c>
    </row>
    <row r="1012" spans="1:10">
      <c r="A1012" s="155" t="s">
        <v>404</v>
      </c>
      <c r="B1012" s="155" t="s">
        <v>402</v>
      </c>
      <c r="C1012" s="155" t="s">
        <v>403</v>
      </c>
      <c r="D1012" s="155" t="s">
        <v>1668</v>
      </c>
      <c r="E1012" s="155">
        <v>0.6</v>
      </c>
      <c r="F1012" s="155">
        <v>10</v>
      </c>
      <c r="G1012" s="155">
        <v>4.4000000000000004</v>
      </c>
      <c r="H1012" s="155" t="s">
        <v>34</v>
      </c>
      <c r="I1012" s="155" t="s">
        <v>401</v>
      </c>
      <c r="J1012" s="155" t="s">
        <v>1691</v>
      </c>
    </row>
    <row r="1013" spans="1:10">
      <c r="A1013" s="155" t="s">
        <v>415</v>
      </c>
      <c r="B1013" s="155" t="s">
        <v>413</v>
      </c>
      <c r="C1013" s="155" t="s">
        <v>414</v>
      </c>
      <c r="D1013" s="155" t="s">
        <v>1668</v>
      </c>
      <c r="E1013" s="155">
        <v>2.2000000000000002</v>
      </c>
      <c r="F1013" s="155">
        <v>3.5</v>
      </c>
      <c r="G1013" s="155">
        <v>1.6</v>
      </c>
      <c r="H1013" s="155" t="s">
        <v>34</v>
      </c>
      <c r="I1013" s="155" t="s">
        <v>416</v>
      </c>
      <c r="J1013" s="155" t="s">
        <v>1691</v>
      </c>
    </row>
    <row r="1014" spans="1:10">
      <c r="A1014" s="155" t="s">
        <v>419</v>
      </c>
      <c r="B1014" s="155" t="s">
        <v>417</v>
      </c>
      <c r="C1014" s="155" t="s">
        <v>418</v>
      </c>
      <c r="D1014" s="155" t="s">
        <v>1668</v>
      </c>
      <c r="E1014" s="155">
        <v>0.4</v>
      </c>
      <c r="F1014" s="155">
        <v>3.5</v>
      </c>
      <c r="G1014" s="155">
        <v>3.3</v>
      </c>
      <c r="H1014" s="155" t="s">
        <v>34</v>
      </c>
      <c r="I1014" s="155" t="s">
        <v>259</v>
      </c>
      <c r="J1014" s="155" t="s">
        <v>1691</v>
      </c>
    </row>
    <row r="1015" spans="1:10">
      <c r="A1015" s="155" t="s">
        <v>4290</v>
      </c>
      <c r="B1015" s="155" t="s">
        <v>4291</v>
      </c>
      <c r="C1015" s="155" t="s">
        <v>4292</v>
      </c>
      <c r="D1015" s="155" t="s">
        <v>1668</v>
      </c>
      <c r="E1015" s="155">
        <v>0.4</v>
      </c>
      <c r="F1015" s="155">
        <v>9.5</v>
      </c>
      <c r="G1015" s="155">
        <v>4.8</v>
      </c>
      <c r="H1015" s="155" t="s">
        <v>34</v>
      </c>
      <c r="I1015" s="155" t="s">
        <v>2158</v>
      </c>
      <c r="J1015" s="155" t="s">
        <v>1698</v>
      </c>
    </row>
    <row r="1016" spans="1:10">
      <c r="A1016" s="155" t="s">
        <v>4293</v>
      </c>
      <c r="B1016" s="155" t="s">
        <v>4294</v>
      </c>
      <c r="C1016" s="155" t="s">
        <v>4295</v>
      </c>
      <c r="D1016" s="155" t="s">
        <v>1668</v>
      </c>
      <c r="E1016" s="155">
        <v>0.4</v>
      </c>
      <c r="F1016" s="155">
        <v>9.5</v>
      </c>
      <c r="G1016" s="155">
        <v>4.8</v>
      </c>
      <c r="H1016" s="155" t="s">
        <v>34</v>
      </c>
      <c r="I1016" s="155" t="s">
        <v>2158</v>
      </c>
      <c r="J1016" s="155" t="s">
        <v>1698</v>
      </c>
    </row>
    <row r="1017" spans="1:10">
      <c r="A1017" s="155" t="s">
        <v>4296</v>
      </c>
      <c r="B1017" s="155" t="s">
        <v>4297</v>
      </c>
      <c r="C1017" s="155" t="s">
        <v>4298</v>
      </c>
      <c r="D1017" s="155" t="s">
        <v>1668</v>
      </c>
      <c r="E1017" s="155">
        <v>4.4000000000000004</v>
      </c>
      <c r="F1017" s="155">
        <v>42.7</v>
      </c>
      <c r="G1017" s="155">
        <v>22.3</v>
      </c>
      <c r="H1017" s="155" t="s">
        <v>34</v>
      </c>
      <c r="I1017" s="155" t="s">
        <v>2165</v>
      </c>
      <c r="J1017" s="155" t="s">
        <v>1698</v>
      </c>
    </row>
    <row r="1018" spans="1:10">
      <c r="A1018" s="155" t="s">
        <v>4299</v>
      </c>
      <c r="B1018" s="155" t="s">
        <v>4300</v>
      </c>
      <c r="C1018" s="155" t="s">
        <v>4301</v>
      </c>
      <c r="D1018" s="155" t="s">
        <v>1668</v>
      </c>
      <c r="E1018" s="155">
        <v>2.2000000000000002</v>
      </c>
      <c r="F1018" s="155">
        <v>41.3</v>
      </c>
      <c r="G1018" s="155">
        <v>20.3</v>
      </c>
      <c r="H1018" s="155" t="s">
        <v>34</v>
      </c>
      <c r="I1018" s="155" t="s">
        <v>2165</v>
      </c>
      <c r="J1018" s="155" t="s">
        <v>1698</v>
      </c>
    </row>
    <row r="1019" spans="1:10">
      <c r="A1019" s="155" t="s">
        <v>4302</v>
      </c>
      <c r="B1019" s="155" t="s">
        <v>4303</v>
      </c>
      <c r="C1019" s="155" t="s">
        <v>4304</v>
      </c>
      <c r="D1019" s="155" t="s">
        <v>1668</v>
      </c>
      <c r="E1019" s="155">
        <v>0.2</v>
      </c>
      <c r="F1019" s="155">
        <v>15</v>
      </c>
      <c r="G1019" s="155">
        <v>3</v>
      </c>
      <c r="H1019" s="155" t="s">
        <v>34</v>
      </c>
      <c r="I1019" s="155" t="s">
        <v>428</v>
      </c>
      <c r="J1019" s="155" t="s">
        <v>1878</v>
      </c>
    </row>
    <row r="1020" spans="1:10">
      <c r="A1020" s="155" t="s">
        <v>4305</v>
      </c>
      <c r="B1020" s="155" t="s">
        <v>4306</v>
      </c>
      <c r="C1020" s="155" t="s">
        <v>4307</v>
      </c>
      <c r="D1020" s="155" t="s">
        <v>1668</v>
      </c>
      <c r="E1020" s="155">
        <v>3.1</v>
      </c>
      <c r="F1020" s="155">
        <v>3.5</v>
      </c>
      <c r="G1020" s="155">
        <v>36.700000000000003</v>
      </c>
      <c r="H1020" s="155" t="s">
        <v>34</v>
      </c>
      <c r="I1020" s="155" t="s">
        <v>3387</v>
      </c>
      <c r="J1020" s="155" t="s">
        <v>1691</v>
      </c>
    </row>
    <row r="1021" spans="1:10">
      <c r="A1021" s="155" t="s">
        <v>4308</v>
      </c>
      <c r="B1021" s="155" t="s">
        <v>4309</v>
      </c>
      <c r="C1021" s="155" t="s">
        <v>4310</v>
      </c>
      <c r="D1021" s="155" t="s">
        <v>1668</v>
      </c>
      <c r="E1021" s="155">
        <v>0.3</v>
      </c>
      <c r="F1021" s="155">
        <v>6</v>
      </c>
      <c r="G1021" s="155">
        <v>34</v>
      </c>
      <c r="H1021" s="155" t="s">
        <v>34</v>
      </c>
      <c r="I1021" s="155" t="s">
        <v>4311</v>
      </c>
      <c r="J1021" s="155" t="s">
        <v>1691</v>
      </c>
    </row>
    <row r="1022" spans="1:10">
      <c r="A1022" s="155" t="s">
        <v>4312</v>
      </c>
      <c r="B1022" s="155" t="s">
        <v>4313</v>
      </c>
      <c r="C1022" s="155" t="s">
        <v>4314</v>
      </c>
      <c r="D1022" s="155" t="s">
        <v>1668</v>
      </c>
      <c r="E1022" s="155">
        <v>0.2</v>
      </c>
      <c r="F1022" s="155">
        <v>0.5</v>
      </c>
      <c r="G1022" s="155">
        <v>0.5</v>
      </c>
      <c r="H1022" s="155" t="s">
        <v>34</v>
      </c>
      <c r="I1022" s="155" t="s">
        <v>4315</v>
      </c>
      <c r="J1022" s="155" t="s">
        <v>3610</v>
      </c>
    </row>
    <row r="1023" spans="1:10">
      <c r="A1023" s="155" t="s">
        <v>459</v>
      </c>
      <c r="B1023" s="155" t="s">
        <v>457</v>
      </c>
      <c r="C1023" s="155" t="s">
        <v>458</v>
      </c>
      <c r="D1023" s="155" t="s">
        <v>1668</v>
      </c>
      <c r="E1023" s="155">
        <v>0.9</v>
      </c>
      <c r="F1023" s="155">
        <v>7.5</v>
      </c>
      <c r="G1023" s="155">
        <v>2.5</v>
      </c>
      <c r="H1023" s="155" t="s">
        <v>34</v>
      </c>
      <c r="I1023" s="155" t="s">
        <v>432</v>
      </c>
      <c r="J1023" s="155" t="s">
        <v>2190</v>
      </c>
    </row>
    <row r="1024" spans="1:10">
      <c r="A1024" s="155" t="s">
        <v>462</v>
      </c>
      <c r="B1024" s="155" t="s">
        <v>460</v>
      </c>
      <c r="C1024" s="155" t="s">
        <v>461</v>
      </c>
      <c r="D1024" s="155" t="s">
        <v>1668</v>
      </c>
      <c r="E1024" s="155">
        <v>1.8</v>
      </c>
      <c r="F1024" s="155">
        <v>8.5</v>
      </c>
      <c r="G1024" s="155">
        <v>3.4</v>
      </c>
      <c r="H1024" s="155" t="s">
        <v>34</v>
      </c>
      <c r="I1024" s="155" t="s">
        <v>432</v>
      </c>
      <c r="J1024" s="155" t="s">
        <v>2190</v>
      </c>
    </row>
    <row r="1025" spans="1:10">
      <c r="A1025" s="155" t="s">
        <v>471</v>
      </c>
      <c r="B1025" s="155" t="s">
        <v>469</v>
      </c>
      <c r="C1025" s="155" t="s">
        <v>470</v>
      </c>
      <c r="D1025" s="155" t="s">
        <v>1668</v>
      </c>
      <c r="E1025" s="155">
        <v>0.9</v>
      </c>
      <c r="F1025" s="155">
        <v>11.5</v>
      </c>
      <c r="G1025" s="155">
        <v>3.9</v>
      </c>
      <c r="H1025" s="155" t="s">
        <v>34</v>
      </c>
      <c r="I1025" s="155" t="s">
        <v>432</v>
      </c>
      <c r="J1025" s="155" t="s">
        <v>2190</v>
      </c>
    </row>
    <row r="1026" spans="1:10">
      <c r="A1026" s="155" t="s">
        <v>474</v>
      </c>
      <c r="B1026" s="155" t="s">
        <v>472</v>
      </c>
      <c r="C1026" s="155" t="s">
        <v>473</v>
      </c>
      <c r="D1026" s="155" t="s">
        <v>1668</v>
      </c>
      <c r="E1026" s="155">
        <v>0.9</v>
      </c>
      <c r="F1026" s="155">
        <v>7.5</v>
      </c>
      <c r="G1026" s="155">
        <v>4.5999999999999996</v>
      </c>
      <c r="H1026" s="155" t="s">
        <v>34</v>
      </c>
      <c r="I1026" s="155" t="s">
        <v>432</v>
      </c>
      <c r="J1026" s="155" t="s">
        <v>2190</v>
      </c>
    </row>
    <row r="1027" spans="1:10">
      <c r="A1027" s="155" t="s">
        <v>477</v>
      </c>
      <c r="B1027" s="155" t="s">
        <v>475</v>
      </c>
      <c r="C1027" s="155" t="s">
        <v>476</v>
      </c>
      <c r="D1027" s="155" t="s">
        <v>1668</v>
      </c>
      <c r="E1027" s="155">
        <v>0.4</v>
      </c>
      <c r="F1027" s="155">
        <v>8</v>
      </c>
      <c r="G1027" s="155">
        <v>5.4</v>
      </c>
      <c r="H1027" s="155" t="s">
        <v>34</v>
      </c>
      <c r="I1027" s="155" t="s">
        <v>432</v>
      </c>
      <c r="J1027" s="155" t="s">
        <v>2190</v>
      </c>
    </row>
    <row r="1028" spans="1:10">
      <c r="A1028" s="155" t="s">
        <v>483</v>
      </c>
      <c r="B1028" s="155" t="s">
        <v>481</v>
      </c>
      <c r="C1028" s="155" t="s">
        <v>482</v>
      </c>
      <c r="D1028" s="155" t="s">
        <v>1668</v>
      </c>
      <c r="E1028" s="155">
        <v>0.4</v>
      </c>
      <c r="F1028" s="155">
        <v>16</v>
      </c>
      <c r="G1028" s="155">
        <v>47</v>
      </c>
      <c r="H1028" s="155" t="s">
        <v>34</v>
      </c>
      <c r="I1028" s="155" t="s">
        <v>432</v>
      </c>
      <c r="J1028" s="155" t="s">
        <v>2190</v>
      </c>
    </row>
    <row r="1029" spans="1:10">
      <c r="A1029" s="155" t="s">
        <v>486</v>
      </c>
      <c r="B1029" s="155" t="s">
        <v>484</v>
      </c>
      <c r="C1029" s="155" t="s">
        <v>485</v>
      </c>
      <c r="D1029" s="155" t="s">
        <v>1668</v>
      </c>
      <c r="E1029" s="155">
        <v>3.7</v>
      </c>
      <c r="F1029" s="155">
        <v>12.5</v>
      </c>
      <c r="G1029" s="155">
        <v>47.5</v>
      </c>
      <c r="H1029" s="155" t="s">
        <v>34</v>
      </c>
      <c r="I1029" s="155" t="s">
        <v>432</v>
      </c>
      <c r="J1029" s="155" t="s">
        <v>1698</v>
      </c>
    </row>
    <row r="1030" spans="1:10">
      <c r="A1030" s="155" t="s">
        <v>489</v>
      </c>
      <c r="B1030" s="155" t="s">
        <v>487</v>
      </c>
      <c r="C1030" s="155" t="s">
        <v>488</v>
      </c>
      <c r="D1030" s="155" t="s">
        <v>1668</v>
      </c>
      <c r="E1030" s="155">
        <v>0.9</v>
      </c>
      <c r="F1030" s="155">
        <v>16</v>
      </c>
      <c r="G1030" s="155">
        <v>4</v>
      </c>
      <c r="H1030" s="155" t="s">
        <v>34</v>
      </c>
      <c r="I1030" s="155" t="s">
        <v>271</v>
      </c>
      <c r="J1030" s="155" t="s">
        <v>1946</v>
      </c>
    </row>
    <row r="1031" spans="1:10">
      <c r="A1031" s="155" t="s">
        <v>4316</v>
      </c>
      <c r="B1031" s="155" t="s">
        <v>4317</v>
      </c>
      <c r="C1031" s="155" t="s">
        <v>4318</v>
      </c>
      <c r="D1031" s="155" t="s">
        <v>1668</v>
      </c>
      <c r="E1031" s="155">
        <v>0.4</v>
      </c>
      <c r="F1031" s="155">
        <v>2</v>
      </c>
      <c r="G1031" s="155">
        <v>1</v>
      </c>
      <c r="H1031" s="155" t="s">
        <v>34</v>
      </c>
      <c r="I1031" s="155" t="s">
        <v>271</v>
      </c>
      <c r="J1031" s="155" t="s">
        <v>1692</v>
      </c>
    </row>
    <row r="1032" spans="1:10">
      <c r="A1032" s="155" t="s">
        <v>506</v>
      </c>
      <c r="B1032" s="155" t="s">
        <v>504</v>
      </c>
      <c r="C1032" s="155" t="s">
        <v>505</v>
      </c>
      <c r="D1032" s="155" t="s">
        <v>1668</v>
      </c>
      <c r="E1032" s="155">
        <v>0.6</v>
      </c>
      <c r="F1032" s="155">
        <v>7.8</v>
      </c>
      <c r="G1032" s="155">
        <v>3.9</v>
      </c>
      <c r="H1032" s="155" t="s">
        <v>34</v>
      </c>
      <c r="I1032" s="155" t="s">
        <v>267</v>
      </c>
      <c r="J1032" s="155" t="s">
        <v>1691</v>
      </c>
    </row>
    <row r="1033" spans="1:10">
      <c r="A1033" s="155" t="s">
        <v>509</v>
      </c>
      <c r="B1033" s="155" t="s">
        <v>507</v>
      </c>
      <c r="C1033" s="155" t="s">
        <v>508</v>
      </c>
      <c r="D1033" s="155" t="s">
        <v>1668</v>
      </c>
      <c r="E1033" s="155">
        <v>0.3</v>
      </c>
      <c r="F1033" s="155">
        <v>4.8</v>
      </c>
      <c r="G1033" s="155">
        <v>3</v>
      </c>
      <c r="H1033" s="155" t="s">
        <v>34</v>
      </c>
      <c r="I1033" s="155" t="s">
        <v>267</v>
      </c>
      <c r="J1033" s="155" t="s">
        <v>1840</v>
      </c>
    </row>
    <row r="1034" spans="1:10">
      <c r="A1034" s="155" t="s">
        <v>513</v>
      </c>
      <c r="B1034" s="155" t="s">
        <v>511</v>
      </c>
      <c r="C1034" s="155" t="s">
        <v>512</v>
      </c>
      <c r="D1034" s="155" t="s">
        <v>1668</v>
      </c>
      <c r="E1034" s="155">
        <v>0.4</v>
      </c>
      <c r="F1034" s="155">
        <v>4</v>
      </c>
      <c r="G1034" s="155">
        <v>2</v>
      </c>
      <c r="H1034" s="155" t="s">
        <v>34</v>
      </c>
      <c r="I1034" s="155" t="s">
        <v>267</v>
      </c>
      <c r="J1034" s="155" t="s">
        <v>1840</v>
      </c>
    </row>
    <row r="1035" spans="1:10">
      <c r="A1035" s="155" t="s">
        <v>516</v>
      </c>
      <c r="B1035" s="155" t="s">
        <v>514</v>
      </c>
      <c r="C1035" s="155" t="s">
        <v>515</v>
      </c>
      <c r="D1035" s="155" t="s">
        <v>1668</v>
      </c>
      <c r="E1035" s="155">
        <v>0.1</v>
      </c>
      <c r="F1035" s="155">
        <v>4.5</v>
      </c>
      <c r="G1035" s="155">
        <v>3.1</v>
      </c>
      <c r="H1035" s="155" t="s">
        <v>34</v>
      </c>
      <c r="I1035" s="155" t="s">
        <v>267</v>
      </c>
      <c r="J1035" s="155" t="s">
        <v>1840</v>
      </c>
    </row>
    <row r="1036" spans="1:10">
      <c r="A1036" s="155" t="s">
        <v>519</v>
      </c>
      <c r="B1036" s="155" t="s">
        <v>517</v>
      </c>
      <c r="C1036" s="155" t="s">
        <v>518</v>
      </c>
      <c r="D1036" s="155" t="s">
        <v>1668</v>
      </c>
      <c r="E1036" s="155">
        <v>0.1</v>
      </c>
      <c r="F1036" s="155">
        <v>4</v>
      </c>
      <c r="G1036" s="155">
        <v>2</v>
      </c>
      <c r="H1036" s="155" t="s">
        <v>34</v>
      </c>
      <c r="I1036" s="155" t="s">
        <v>267</v>
      </c>
      <c r="J1036" s="155" t="s">
        <v>1840</v>
      </c>
    </row>
    <row r="1037" spans="1:10">
      <c r="A1037" s="155" t="s">
        <v>522</v>
      </c>
      <c r="B1037" s="155" t="s">
        <v>520</v>
      </c>
      <c r="C1037" s="155" t="s">
        <v>521</v>
      </c>
      <c r="D1037" s="155" t="s">
        <v>1668</v>
      </c>
      <c r="E1037" s="155">
        <v>0.1</v>
      </c>
      <c r="F1037" s="155">
        <v>6</v>
      </c>
      <c r="G1037" s="155">
        <v>3</v>
      </c>
      <c r="H1037" s="155" t="s">
        <v>34</v>
      </c>
      <c r="I1037" s="155" t="s">
        <v>523</v>
      </c>
      <c r="J1037" s="155" t="s">
        <v>1840</v>
      </c>
    </row>
    <row r="1038" spans="1:10">
      <c r="A1038" s="155" t="s">
        <v>530</v>
      </c>
      <c r="B1038" s="155" t="s">
        <v>528</v>
      </c>
      <c r="C1038" s="155" t="s">
        <v>529</v>
      </c>
      <c r="D1038" s="155" t="s">
        <v>1668</v>
      </c>
      <c r="E1038" s="155">
        <v>0.2</v>
      </c>
      <c r="F1038" s="155">
        <v>10</v>
      </c>
      <c r="G1038" s="155">
        <v>4.2</v>
      </c>
      <c r="H1038" s="155" t="s">
        <v>34</v>
      </c>
      <c r="I1038" s="155" t="s">
        <v>527</v>
      </c>
      <c r="J1038" s="155" t="s">
        <v>1840</v>
      </c>
    </row>
    <row r="1039" spans="1:10">
      <c r="A1039" s="155" t="s">
        <v>533</v>
      </c>
      <c r="B1039" s="155" t="s">
        <v>531</v>
      </c>
      <c r="C1039" s="155" t="s">
        <v>532</v>
      </c>
      <c r="D1039" s="155" t="s">
        <v>1668</v>
      </c>
      <c r="E1039" s="155">
        <v>0.9</v>
      </c>
      <c r="F1039" s="155">
        <v>2</v>
      </c>
      <c r="G1039" s="155">
        <v>72.2</v>
      </c>
      <c r="H1039" s="155" t="s">
        <v>34</v>
      </c>
      <c r="I1039" s="155" t="s">
        <v>98</v>
      </c>
      <c r="J1039" s="155"/>
    </row>
    <row r="1040" spans="1:10">
      <c r="A1040" s="155" t="s">
        <v>536</v>
      </c>
      <c r="B1040" s="155" t="s">
        <v>534</v>
      </c>
      <c r="C1040" s="155" t="s">
        <v>535</v>
      </c>
      <c r="D1040" s="155" t="s">
        <v>1668</v>
      </c>
      <c r="E1040" s="155">
        <v>0.4</v>
      </c>
      <c r="F1040" s="155">
        <v>2.2000000000000002</v>
      </c>
      <c r="G1040" s="155">
        <v>7.2</v>
      </c>
      <c r="H1040" s="155" t="s">
        <v>34</v>
      </c>
      <c r="I1040" s="155" t="s">
        <v>98</v>
      </c>
      <c r="J1040" s="155" t="s">
        <v>1691</v>
      </c>
    </row>
    <row r="1041" spans="1:10">
      <c r="A1041" s="155" t="s">
        <v>539</v>
      </c>
      <c r="B1041" s="155" t="s">
        <v>537</v>
      </c>
      <c r="C1041" s="155" t="s">
        <v>538</v>
      </c>
      <c r="D1041" s="155" t="s">
        <v>1668</v>
      </c>
      <c r="E1041" s="155">
        <v>2.2999999999999998</v>
      </c>
      <c r="F1041" s="155">
        <v>12</v>
      </c>
      <c r="G1041" s="155">
        <v>26.2</v>
      </c>
      <c r="H1041" s="155" t="s">
        <v>34</v>
      </c>
      <c r="I1041" s="155" t="s">
        <v>98</v>
      </c>
      <c r="J1041" s="155" t="s">
        <v>1691</v>
      </c>
    </row>
    <row r="1042" spans="1:10">
      <c r="A1042" s="155" t="s">
        <v>4319</v>
      </c>
      <c r="B1042" s="155" t="s">
        <v>4320</v>
      </c>
      <c r="C1042" s="155" t="s">
        <v>4321</v>
      </c>
      <c r="D1042" s="155" t="s">
        <v>1668</v>
      </c>
      <c r="E1042" s="155">
        <v>1.5</v>
      </c>
      <c r="F1042" s="155">
        <v>3</v>
      </c>
      <c r="G1042" s="155">
        <v>2.6</v>
      </c>
      <c r="H1042" s="155" t="s">
        <v>34</v>
      </c>
      <c r="I1042" s="155" t="s">
        <v>105</v>
      </c>
      <c r="J1042" s="155" t="s">
        <v>1691</v>
      </c>
    </row>
    <row r="1043" spans="1:10">
      <c r="A1043" s="155" t="s">
        <v>4322</v>
      </c>
      <c r="B1043" s="155" t="s">
        <v>4323</v>
      </c>
      <c r="C1043" s="155" t="s">
        <v>4324</v>
      </c>
      <c r="D1043" s="155" t="s">
        <v>1668</v>
      </c>
      <c r="E1043" s="155">
        <v>1.1000000000000001</v>
      </c>
      <c r="F1043" s="155">
        <v>6</v>
      </c>
      <c r="G1043" s="155">
        <v>5.9</v>
      </c>
      <c r="H1043" s="155" t="s">
        <v>34</v>
      </c>
      <c r="I1043" s="155" t="s">
        <v>2370</v>
      </c>
      <c r="J1043" s="155" t="s">
        <v>4325</v>
      </c>
    </row>
    <row r="1044" spans="1:10">
      <c r="A1044" s="155" t="s">
        <v>4326</v>
      </c>
      <c r="B1044" s="155" t="s">
        <v>4327</v>
      </c>
      <c r="C1044" s="155" t="s">
        <v>4328</v>
      </c>
      <c r="D1044" s="155" t="s">
        <v>1668</v>
      </c>
      <c r="E1044" s="155">
        <v>4</v>
      </c>
      <c r="F1044" s="155">
        <v>2.5</v>
      </c>
      <c r="G1044" s="155">
        <v>34</v>
      </c>
      <c r="H1044" s="155" t="s">
        <v>34</v>
      </c>
      <c r="I1044" s="155" t="s">
        <v>105</v>
      </c>
      <c r="J1044" s="155" t="s">
        <v>1691</v>
      </c>
    </row>
    <row r="1045" spans="1:10">
      <c r="A1045" s="155" t="s">
        <v>4329</v>
      </c>
      <c r="B1045" s="155" t="s">
        <v>4330</v>
      </c>
      <c r="C1045" s="155" t="s">
        <v>4331</v>
      </c>
      <c r="D1045" s="155" t="s">
        <v>1668</v>
      </c>
      <c r="E1045" s="155">
        <v>3</v>
      </c>
      <c r="F1045" s="155">
        <v>5</v>
      </c>
      <c r="G1045" s="155">
        <v>77.099999999999994</v>
      </c>
      <c r="H1045" s="155" t="s">
        <v>34</v>
      </c>
      <c r="I1045" s="155" t="s">
        <v>105</v>
      </c>
      <c r="J1045" s="155"/>
    </row>
    <row r="1046" spans="1:10">
      <c r="A1046" s="155" t="s">
        <v>4332</v>
      </c>
      <c r="B1046" s="155" t="s">
        <v>4333</v>
      </c>
      <c r="C1046" s="155" t="s">
        <v>4334</v>
      </c>
      <c r="D1046" s="155" t="s">
        <v>1668</v>
      </c>
      <c r="E1046" s="155">
        <v>0.9</v>
      </c>
      <c r="F1046" s="155">
        <v>2.7</v>
      </c>
      <c r="G1046" s="155">
        <v>72.2</v>
      </c>
      <c r="H1046" s="155" t="s">
        <v>34</v>
      </c>
      <c r="I1046" s="155" t="s">
        <v>122</v>
      </c>
      <c r="J1046" s="155"/>
    </row>
    <row r="1047" spans="1:10">
      <c r="A1047" s="155" t="s">
        <v>4335</v>
      </c>
      <c r="B1047" s="155" t="s">
        <v>4336</v>
      </c>
      <c r="C1047" s="155" t="s">
        <v>4337</v>
      </c>
      <c r="D1047" s="155" t="s">
        <v>1668</v>
      </c>
      <c r="E1047" s="155">
        <v>1.5</v>
      </c>
      <c r="F1047" s="155">
        <v>3.5</v>
      </c>
      <c r="G1047" s="155">
        <v>12.3</v>
      </c>
      <c r="H1047" s="155" t="s">
        <v>34</v>
      </c>
      <c r="I1047" s="155" t="s">
        <v>122</v>
      </c>
      <c r="J1047" s="155" t="s">
        <v>1691</v>
      </c>
    </row>
    <row r="1048" spans="1:10">
      <c r="A1048" s="155" t="s">
        <v>4338</v>
      </c>
      <c r="B1048" s="155" t="s">
        <v>4339</v>
      </c>
      <c r="C1048" s="155" t="s">
        <v>4340</v>
      </c>
      <c r="D1048" s="155" t="s">
        <v>1668</v>
      </c>
      <c r="E1048" s="155">
        <v>37.5</v>
      </c>
      <c r="F1048" s="155">
        <v>5</v>
      </c>
      <c r="G1048" s="155">
        <v>12.8</v>
      </c>
      <c r="H1048" s="155" t="s">
        <v>34</v>
      </c>
      <c r="I1048" s="155" t="s">
        <v>122</v>
      </c>
      <c r="J1048" s="155" t="s">
        <v>1682</v>
      </c>
    </row>
    <row r="1049" spans="1:10">
      <c r="A1049" s="155" t="s">
        <v>4341</v>
      </c>
      <c r="B1049" s="155" t="s">
        <v>4342</v>
      </c>
      <c r="C1049" s="155" t="s">
        <v>4343</v>
      </c>
      <c r="D1049" s="155" t="s">
        <v>1668</v>
      </c>
      <c r="E1049" s="155">
        <v>0.4</v>
      </c>
      <c r="F1049" s="155">
        <v>4.2</v>
      </c>
      <c r="G1049" s="155">
        <v>41.7</v>
      </c>
      <c r="H1049" s="155" t="s">
        <v>34</v>
      </c>
      <c r="I1049" s="155" t="s">
        <v>4344</v>
      </c>
      <c r="J1049" s="155" t="s">
        <v>1691</v>
      </c>
    </row>
    <row r="1050" spans="1:10">
      <c r="A1050" s="155" t="s">
        <v>4345</v>
      </c>
      <c r="B1050" s="155" t="s">
        <v>4346</v>
      </c>
      <c r="C1050" s="155" t="s">
        <v>4347</v>
      </c>
      <c r="D1050" s="155" t="s">
        <v>1668</v>
      </c>
      <c r="E1050" s="155">
        <v>0.4</v>
      </c>
      <c r="F1050" s="155">
        <v>3.2</v>
      </c>
      <c r="G1050" s="155">
        <v>40.6</v>
      </c>
      <c r="H1050" s="155" t="s">
        <v>34</v>
      </c>
      <c r="I1050" s="155" t="s">
        <v>4344</v>
      </c>
      <c r="J1050" s="155" t="s">
        <v>1691</v>
      </c>
    </row>
    <row r="1051" spans="1:10">
      <c r="A1051" s="155" t="s">
        <v>4348</v>
      </c>
      <c r="B1051" s="155" t="s">
        <v>4349</v>
      </c>
      <c r="C1051" s="155" t="s">
        <v>4350</v>
      </c>
      <c r="D1051" s="155" t="s">
        <v>1668</v>
      </c>
      <c r="E1051" s="155">
        <v>2.6</v>
      </c>
      <c r="F1051" s="155">
        <v>2.5</v>
      </c>
      <c r="G1051" s="155">
        <v>39.799999999999997</v>
      </c>
      <c r="H1051" s="155" t="s">
        <v>34</v>
      </c>
      <c r="I1051" s="155" t="s">
        <v>4344</v>
      </c>
      <c r="J1051" s="155" t="s">
        <v>1691</v>
      </c>
    </row>
    <row r="1052" spans="1:10">
      <c r="A1052" s="155" t="s">
        <v>4351</v>
      </c>
      <c r="B1052" s="155" t="s">
        <v>4352</v>
      </c>
      <c r="C1052" s="155" t="s">
        <v>4353</v>
      </c>
      <c r="D1052" s="155" t="s">
        <v>1668</v>
      </c>
      <c r="E1052" s="155">
        <v>2.6</v>
      </c>
      <c r="F1052" s="155">
        <v>3.5</v>
      </c>
      <c r="G1052" s="155">
        <v>40.799999999999997</v>
      </c>
      <c r="H1052" s="155" t="s">
        <v>34</v>
      </c>
      <c r="I1052" s="155" t="s">
        <v>4344</v>
      </c>
      <c r="J1052" s="155" t="s">
        <v>1691</v>
      </c>
    </row>
    <row r="1053" spans="1:10">
      <c r="A1053" s="155" t="s">
        <v>4354</v>
      </c>
      <c r="B1053" s="155" t="s">
        <v>4355</v>
      </c>
      <c r="C1053" s="155" t="s">
        <v>4356</v>
      </c>
      <c r="D1053" s="155" t="s">
        <v>1668</v>
      </c>
      <c r="E1053" s="155">
        <v>1.1000000000000001</v>
      </c>
      <c r="F1053" s="155">
        <v>5.6</v>
      </c>
      <c r="G1053" s="155">
        <v>39.9</v>
      </c>
      <c r="H1053" s="155" t="s">
        <v>34</v>
      </c>
      <c r="I1053" s="155" t="s">
        <v>147</v>
      </c>
      <c r="J1053" s="155" t="s">
        <v>1691</v>
      </c>
    </row>
    <row r="1054" spans="1:10">
      <c r="A1054" s="155" t="s">
        <v>4357</v>
      </c>
      <c r="B1054" s="155" t="s">
        <v>4358</v>
      </c>
      <c r="C1054" s="155" t="s">
        <v>4359</v>
      </c>
      <c r="D1054" s="155" t="s">
        <v>1668</v>
      </c>
      <c r="E1054" s="155">
        <v>1.1000000000000001</v>
      </c>
      <c r="F1054" s="155">
        <v>2.2999999999999998</v>
      </c>
      <c r="G1054" s="155">
        <v>40.5</v>
      </c>
      <c r="H1054" s="155" t="s">
        <v>34</v>
      </c>
      <c r="I1054" s="155" t="s">
        <v>147</v>
      </c>
      <c r="J1054" s="155" t="s">
        <v>1691</v>
      </c>
    </row>
    <row r="1055" spans="1:10">
      <c r="A1055" s="155" t="s">
        <v>4360</v>
      </c>
      <c r="B1055" s="155" t="s">
        <v>4361</v>
      </c>
      <c r="C1055" s="155" t="s">
        <v>4362</v>
      </c>
      <c r="D1055" s="155" t="s">
        <v>1668</v>
      </c>
      <c r="E1055" s="155">
        <v>0.9</v>
      </c>
      <c r="F1055" s="155">
        <v>6</v>
      </c>
      <c r="G1055" s="155">
        <v>40.1</v>
      </c>
      <c r="H1055" s="155" t="s">
        <v>34</v>
      </c>
      <c r="I1055" s="155" t="s">
        <v>2396</v>
      </c>
      <c r="J1055" s="155" t="s">
        <v>1691</v>
      </c>
    </row>
    <row r="1056" spans="1:10">
      <c r="A1056" s="155" t="s">
        <v>4363</v>
      </c>
      <c r="B1056" s="155" t="s">
        <v>4364</v>
      </c>
      <c r="C1056" s="155" t="s">
        <v>4365</v>
      </c>
      <c r="D1056" s="155" t="s">
        <v>1668</v>
      </c>
      <c r="E1056" s="155">
        <v>0.9</v>
      </c>
      <c r="F1056" s="155">
        <v>3.8</v>
      </c>
      <c r="G1056" s="155">
        <v>41</v>
      </c>
      <c r="H1056" s="155" t="s">
        <v>34</v>
      </c>
      <c r="I1056" s="155" t="s">
        <v>2396</v>
      </c>
      <c r="J1056" s="155" t="s">
        <v>1691</v>
      </c>
    </row>
    <row r="1057" spans="1:10">
      <c r="A1057" s="155" t="s">
        <v>4366</v>
      </c>
      <c r="B1057" s="155" t="s">
        <v>4367</v>
      </c>
      <c r="C1057" s="155" t="s">
        <v>4368</v>
      </c>
      <c r="D1057" s="155" t="s">
        <v>1668</v>
      </c>
      <c r="E1057" s="155">
        <v>0.2</v>
      </c>
      <c r="F1057" s="155">
        <v>0.5</v>
      </c>
      <c r="G1057" s="155">
        <v>0.5</v>
      </c>
      <c r="H1057" s="155" t="s">
        <v>34</v>
      </c>
      <c r="I1057" s="155" t="s">
        <v>4369</v>
      </c>
      <c r="J1057" s="155" t="s">
        <v>3610</v>
      </c>
    </row>
    <row r="1058" spans="1:10">
      <c r="A1058" s="155" t="s">
        <v>4370</v>
      </c>
      <c r="B1058" s="155" t="s">
        <v>4371</v>
      </c>
      <c r="C1058" s="155" t="s">
        <v>4372</v>
      </c>
      <c r="D1058" s="155" t="s">
        <v>1668</v>
      </c>
      <c r="E1058" s="155">
        <v>0.2</v>
      </c>
      <c r="F1058" s="155">
        <v>0.5</v>
      </c>
      <c r="G1058" s="155">
        <v>0.5</v>
      </c>
      <c r="H1058" s="155" t="s">
        <v>34</v>
      </c>
      <c r="I1058" s="155" t="s">
        <v>4369</v>
      </c>
      <c r="J1058" s="155" t="s">
        <v>3610</v>
      </c>
    </row>
    <row r="1059" spans="1:10">
      <c r="A1059" s="155" t="s">
        <v>4373</v>
      </c>
      <c r="B1059" s="155" t="s">
        <v>4374</v>
      </c>
      <c r="C1059" s="155" t="s">
        <v>4375</v>
      </c>
      <c r="D1059" s="155" t="s">
        <v>1668</v>
      </c>
      <c r="E1059" s="155">
        <v>2</v>
      </c>
      <c r="F1059" s="155">
        <v>2</v>
      </c>
      <c r="G1059" s="155">
        <v>16</v>
      </c>
      <c r="H1059" s="155" t="s">
        <v>34</v>
      </c>
      <c r="I1059" s="155" t="s">
        <v>2237</v>
      </c>
      <c r="J1059" s="155" t="s">
        <v>4376</v>
      </c>
    </row>
    <row r="1060" spans="1:10">
      <c r="A1060" s="155" t="s">
        <v>4377</v>
      </c>
      <c r="B1060" s="155" t="s">
        <v>4378</v>
      </c>
      <c r="C1060" s="155" t="s">
        <v>4379</v>
      </c>
      <c r="D1060" s="155" t="s">
        <v>1668</v>
      </c>
      <c r="E1060" s="155">
        <v>2</v>
      </c>
      <c r="F1060" s="155">
        <v>5.8</v>
      </c>
      <c r="G1060" s="155">
        <v>4.5999999999999996</v>
      </c>
      <c r="H1060" s="155" t="s">
        <v>34</v>
      </c>
      <c r="I1060" s="155" t="s">
        <v>2237</v>
      </c>
      <c r="J1060" s="155" t="s">
        <v>1691</v>
      </c>
    </row>
    <row r="1061" spans="1:10">
      <c r="A1061" s="155" t="s">
        <v>4380</v>
      </c>
      <c r="B1061" s="155" t="s">
        <v>4381</v>
      </c>
      <c r="C1061" s="155" t="s">
        <v>4382</v>
      </c>
      <c r="D1061" s="155" t="s">
        <v>1668</v>
      </c>
      <c r="E1061" s="155">
        <v>1.1000000000000001</v>
      </c>
      <c r="F1061" s="155">
        <v>3</v>
      </c>
      <c r="G1061" s="155">
        <v>3</v>
      </c>
      <c r="H1061" s="155" t="s">
        <v>34</v>
      </c>
      <c r="I1061" s="155" t="s">
        <v>4383</v>
      </c>
      <c r="J1061" s="155" t="s">
        <v>1698</v>
      </c>
    </row>
    <row r="1062" spans="1:10">
      <c r="A1062" s="155" t="s">
        <v>4384</v>
      </c>
      <c r="B1062" s="155" t="s">
        <v>4385</v>
      </c>
      <c r="C1062" s="155" t="s">
        <v>4386</v>
      </c>
      <c r="D1062" s="155" t="s">
        <v>1668</v>
      </c>
      <c r="E1062" s="155">
        <v>1.1000000000000001</v>
      </c>
      <c r="F1062" s="155">
        <v>3</v>
      </c>
      <c r="G1062" s="155">
        <v>3</v>
      </c>
      <c r="H1062" s="155" t="s">
        <v>34</v>
      </c>
      <c r="I1062" s="155" t="s">
        <v>4383</v>
      </c>
      <c r="J1062" s="155" t="s">
        <v>1698</v>
      </c>
    </row>
    <row r="1063" spans="1:10">
      <c r="A1063" s="155" t="s">
        <v>4387</v>
      </c>
      <c r="B1063" s="155" t="s">
        <v>4388</v>
      </c>
      <c r="C1063" s="155" t="s">
        <v>4389</v>
      </c>
      <c r="D1063" s="155" t="s">
        <v>1668</v>
      </c>
      <c r="E1063" s="155">
        <v>1.8</v>
      </c>
      <c r="F1063" s="155">
        <v>3</v>
      </c>
      <c r="G1063" s="155">
        <v>16.3</v>
      </c>
      <c r="H1063" s="155" t="s">
        <v>34</v>
      </c>
      <c r="I1063" s="155" t="s">
        <v>2237</v>
      </c>
      <c r="J1063" s="155" t="s">
        <v>3610</v>
      </c>
    </row>
    <row r="1064" spans="1:10">
      <c r="A1064" s="155" t="s">
        <v>4390</v>
      </c>
      <c r="B1064" s="155" t="s">
        <v>4391</v>
      </c>
      <c r="C1064" s="155" t="s">
        <v>4392</v>
      </c>
      <c r="D1064" s="155" t="s">
        <v>1668</v>
      </c>
      <c r="E1064" s="155">
        <v>1.8</v>
      </c>
      <c r="F1064" s="155">
        <v>2</v>
      </c>
      <c r="G1064" s="155">
        <v>3.5</v>
      </c>
      <c r="H1064" s="155" t="s">
        <v>34</v>
      </c>
      <c r="I1064" s="155" t="s">
        <v>2237</v>
      </c>
      <c r="J1064" s="155" t="s">
        <v>3610</v>
      </c>
    </row>
    <row r="1065" spans="1:10">
      <c r="A1065" s="155" t="s">
        <v>4393</v>
      </c>
      <c r="B1065" s="155" t="s">
        <v>4394</v>
      </c>
      <c r="C1065" s="155" t="s">
        <v>4395</v>
      </c>
      <c r="D1065" s="155" t="s">
        <v>1668</v>
      </c>
      <c r="E1065" s="155">
        <v>1.8</v>
      </c>
      <c r="F1065" s="155">
        <v>1.8</v>
      </c>
      <c r="G1065" s="155">
        <v>16.100000000000001</v>
      </c>
      <c r="H1065" s="155" t="s">
        <v>34</v>
      </c>
      <c r="I1065" s="155" t="s">
        <v>2237</v>
      </c>
      <c r="J1065" s="155" t="s">
        <v>1691</v>
      </c>
    </row>
    <row r="1066" spans="1:10">
      <c r="A1066" s="155" t="s">
        <v>4396</v>
      </c>
      <c r="B1066" s="155" t="s">
        <v>4397</v>
      </c>
      <c r="C1066" s="155" t="s">
        <v>4398</v>
      </c>
      <c r="D1066" s="155" t="s">
        <v>1668</v>
      </c>
      <c r="E1066" s="155">
        <v>1.8</v>
      </c>
      <c r="F1066" s="155">
        <v>6.5</v>
      </c>
      <c r="G1066" s="155">
        <v>4.8</v>
      </c>
      <c r="H1066" s="155" t="s">
        <v>34</v>
      </c>
      <c r="I1066" s="155" t="s">
        <v>2237</v>
      </c>
      <c r="J1066" s="155" t="s">
        <v>1691</v>
      </c>
    </row>
    <row r="1067" spans="1:10">
      <c r="A1067" s="155" t="s">
        <v>4399</v>
      </c>
      <c r="B1067" s="155" t="s">
        <v>4400</v>
      </c>
      <c r="C1067" s="155" t="s">
        <v>4401</v>
      </c>
      <c r="D1067" s="155" t="s">
        <v>1668</v>
      </c>
      <c r="E1067" s="155">
        <v>0.5</v>
      </c>
      <c r="F1067" s="155">
        <v>1</v>
      </c>
      <c r="G1067" s="155">
        <v>1</v>
      </c>
      <c r="H1067" s="155" t="s">
        <v>34</v>
      </c>
      <c r="I1067" s="155" t="s">
        <v>2237</v>
      </c>
      <c r="J1067" s="155"/>
    </row>
    <row r="1068" spans="1:10">
      <c r="A1068" s="155" t="s">
        <v>4402</v>
      </c>
      <c r="B1068" s="155" t="s">
        <v>4403</v>
      </c>
      <c r="C1068" s="155" t="s">
        <v>4404</v>
      </c>
      <c r="D1068" s="155" t="s">
        <v>1668</v>
      </c>
      <c r="E1068" s="155">
        <v>2.5</v>
      </c>
      <c r="F1068" s="155">
        <v>13</v>
      </c>
      <c r="G1068" s="155">
        <v>4.3</v>
      </c>
      <c r="H1068" s="155" t="s">
        <v>34</v>
      </c>
      <c r="I1068" s="155" t="s">
        <v>4405</v>
      </c>
      <c r="J1068" s="155" t="s">
        <v>1691</v>
      </c>
    </row>
    <row r="1069" spans="1:10">
      <c r="A1069" s="155" t="s">
        <v>4406</v>
      </c>
      <c r="B1069" s="155" t="s">
        <v>4407</v>
      </c>
      <c r="C1069" s="155" t="s">
        <v>4408</v>
      </c>
      <c r="D1069" s="155" t="s">
        <v>1668</v>
      </c>
      <c r="E1069" s="155">
        <v>2.5</v>
      </c>
      <c r="F1069" s="155">
        <v>17</v>
      </c>
      <c r="G1069" s="155">
        <v>4.8</v>
      </c>
      <c r="H1069" s="155" t="s">
        <v>34</v>
      </c>
      <c r="I1069" s="155" t="s">
        <v>4405</v>
      </c>
      <c r="J1069" s="155" t="s">
        <v>1691</v>
      </c>
    </row>
    <row r="1070" spans="1:10">
      <c r="A1070" s="155" t="s">
        <v>4409</v>
      </c>
      <c r="B1070" s="155" t="s">
        <v>4410</v>
      </c>
      <c r="C1070" s="155" t="s">
        <v>4411</v>
      </c>
      <c r="D1070" s="155" t="s">
        <v>1668</v>
      </c>
      <c r="E1070" s="155">
        <v>2.4</v>
      </c>
      <c r="F1070" s="155">
        <v>1.2</v>
      </c>
      <c r="G1070" s="155">
        <v>41.2</v>
      </c>
      <c r="H1070" s="155" t="s">
        <v>34</v>
      </c>
      <c r="I1070" s="155" t="s">
        <v>4405</v>
      </c>
      <c r="J1070" s="155" t="s">
        <v>3956</v>
      </c>
    </row>
    <row r="1071" spans="1:10">
      <c r="A1071" s="155" t="s">
        <v>4412</v>
      </c>
      <c r="B1071" s="155" t="s">
        <v>4413</v>
      </c>
      <c r="C1071" s="155" t="s">
        <v>4414</v>
      </c>
      <c r="D1071" s="155" t="s">
        <v>1668</v>
      </c>
      <c r="E1071" s="155">
        <v>2.4</v>
      </c>
      <c r="F1071" s="155">
        <v>1.2</v>
      </c>
      <c r="G1071" s="155">
        <v>41.5</v>
      </c>
      <c r="H1071" s="155" t="s">
        <v>34</v>
      </c>
      <c r="I1071" s="155" t="s">
        <v>4405</v>
      </c>
      <c r="J1071" s="155" t="s">
        <v>3956</v>
      </c>
    </row>
    <row r="1072" spans="1:10">
      <c r="A1072" s="155" t="s">
        <v>4415</v>
      </c>
      <c r="B1072" s="155" t="s">
        <v>4416</v>
      </c>
      <c r="C1072" s="155" t="s">
        <v>4417</v>
      </c>
      <c r="D1072" s="155" t="s">
        <v>1668</v>
      </c>
      <c r="E1072" s="155">
        <v>1.3</v>
      </c>
      <c r="F1072" s="155">
        <v>1</v>
      </c>
      <c r="G1072" s="155">
        <v>1</v>
      </c>
      <c r="H1072" s="155" t="s">
        <v>34</v>
      </c>
      <c r="I1072" s="155" t="s">
        <v>2244</v>
      </c>
      <c r="J1072" s="155" t="s">
        <v>1825</v>
      </c>
    </row>
    <row r="1073" spans="1:10">
      <c r="A1073" s="155" t="s">
        <v>4418</v>
      </c>
      <c r="B1073" s="155" t="s">
        <v>4419</v>
      </c>
      <c r="C1073" s="155" t="s">
        <v>4420</v>
      </c>
      <c r="D1073" s="155" t="s">
        <v>1668</v>
      </c>
      <c r="E1073" s="155">
        <v>1.3</v>
      </c>
      <c r="F1073" s="155">
        <v>1</v>
      </c>
      <c r="G1073" s="155">
        <v>1</v>
      </c>
      <c r="H1073" s="155" t="s">
        <v>34</v>
      </c>
      <c r="I1073" s="155" t="s">
        <v>2244</v>
      </c>
      <c r="J1073" s="155" t="s">
        <v>1825</v>
      </c>
    </row>
    <row r="1074" spans="1:10">
      <c r="A1074" s="155" t="s">
        <v>4421</v>
      </c>
      <c r="B1074" s="155" t="s">
        <v>4422</v>
      </c>
      <c r="C1074" s="155" t="s">
        <v>4423</v>
      </c>
      <c r="D1074" s="155" t="s">
        <v>1668</v>
      </c>
      <c r="E1074" s="155">
        <v>2.2000000000000002</v>
      </c>
      <c r="F1074" s="155">
        <v>13</v>
      </c>
      <c r="G1074" s="155">
        <v>4.3</v>
      </c>
      <c r="H1074" s="155" t="s">
        <v>34</v>
      </c>
      <c r="I1074" s="155" t="s">
        <v>2244</v>
      </c>
      <c r="J1074" s="155" t="s">
        <v>1691</v>
      </c>
    </row>
    <row r="1075" spans="1:10">
      <c r="A1075" s="155" t="s">
        <v>4424</v>
      </c>
      <c r="B1075" s="155" t="s">
        <v>4425</v>
      </c>
      <c r="C1075" s="155" t="s">
        <v>4426</v>
      </c>
      <c r="D1075" s="155" t="s">
        <v>1668</v>
      </c>
      <c r="E1075" s="155">
        <v>2.2000000000000002</v>
      </c>
      <c r="F1075" s="155">
        <v>21</v>
      </c>
      <c r="G1075" s="155">
        <v>4.8</v>
      </c>
      <c r="H1075" s="155" t="s">
        <v>34</v>
      </c>
      <c r="I1075" s="155" t="s">
        <v>2244</v>
      </c>
      <c r="J1075" s="155" t="s">
        <v>1691</v>
      </c>
    </row>
    <row r="1076" spans="1:10">
      <c r="A1076" s="155" t="s">
        <v>4427</v>
      </c>
      <c r="B1076" s="155" t="s">
        <v>4428</v>
      </c>
      <c r="C1076" s="155" t="s">
        <v>4429</v>
      </c>
      <c r="D1076" s="155" t="s">
        <v>1668</v>
      </c>
      <c r="E1076" s="155">
        <v>2.8</v>
      </c>
      <c r="F1076" s="155">
        <v>1.4</v>
      </c>
      <c r="G1076" s="155">
        <v>40.9</v>
      </c>
      <c r="H1076" s="155" t="s">
        <v>34</v>
      </c>
      <c r="I1076" s="155" t="s">
        <v>2244</v>
      </c>
      <c r="J1076" s="155" t="s">
        <v>3956</v>
      </c>
    </row>
    <row r="1077" spans="1:10">
      <c r="A1077" s="155" t="s">
        <v>4430</v>
      </c>
      <c r="B1077" s="155" t="s">
        <v>4431</v>
      </c>
      <c r="C1077" s="155" t="s">
        <v>4432</v>
      </c>
      <c r="D1077" s="155" t="s">
        <v>1668</v>
      </c>
      <c r="E1077" s="155">
        <v>2.8</v>
      </c>
      <c r="F1077" s="155">
        <v>1.2</v>
      </c>
      <c r="G1077" s="155">
        <v>41.2</v>
      </c>
      <c r="H1077" s="155" t="s">
        <v>34</v>
      </c>
      <c r="I1077" s="155" t="s">
        <v>2244</v>
      </c>
      <c r="J1077" s="155" t="s">
        <v>3956</v>
      </c>
    </row>
    <row r="1078" spans="1:10">
      <c r="A1078" s="155" t="s">
        <v>4433</v>
      </c>
      <c r="B1078" s="155" t="s">
        <v>4434</v>
      </c>
      <c r="C1078" s="155" t="s">
        <v>4435</v>
      </c>
      <c r="D1078" s="155" t="s">
        <v>1668</v>
      </c>
      <c r="E1078" s="155">
        <v>2</v>
      </c>
      <c r="F1078" s="155">
        <v>9</v>
      </c>
      <c r="G1078" s="155">
        <v>4</v>
      </c>
      <c r="H1078" s="155" t="s">
        <v>34</v>
      </c>
      <c r="I1078" s="155" t="s">
        <v>1742</v>
      </c>
      <c r="J1078" s="155" t="s">
        <v>1840</v>
      </c>
    </row>
    <row r="1079" spans="1:10">
      <c r="A1079" s="155" t="s">
        <v>4436</v>
      </c>
      <c r="B1079" s="155" t="s">
        <v>4437</v>
      </c>
      <c r="C1079" s="155" t="s">
        <v>4438</v>
      </c>
      <c r="D1079" s="155" t="s">
        <v>1668</v>
      </c>
      <c r="E1079" s="155">
        <v>2</v>
      </c>
      <c r="F1079" s="155">
        <v>9</v>
      </c>
      <c r="G1079" s="155">
        <v>4</v>
      </c>
      <c r="H1079" s="155" t="s">
        <v>34</v>
      </c>
      <c r="I1079" s="155" t="s">
        <v>1742</v>
      </c>
      <c r="J1079" s="155" t="s">
        <v>1840</v>
      </c>
    </row>
    <row r="1080" spans="1:10">
      <c r="A1080" s="155" t="s">
        <v>4439</v>
      </c>
      <c r="B1080" s="155" t="s">
        <v>4440</v>
      </c>
      <c r="C1080" s="155" t="s">
        <v>4441</v>
      </c>
      <c r="D1080" s="155" t="s">
        <v>1668</v>
      </c>
      <c r="E1080" s="155">
        <v>0.9</v>
      </c>
      <c r="F1080" s="155">
        <v>4</v>
      </c>
      <c r="G1080" s="155">
        <v>16</v>
      </c>
      <c r="H1080" s="155" t="s">
        <v>34</v>
      </c>
      <c r="I1080" s="155" t="s">
        <v>4442</v>
      </c>
      <c r="J1080" s="155" t="s">
        <v>1691</v>
      </c>
    </row>
    <row r="1081" spans="1:10">
      <c r="A1081" s="155" t="s">
        <v>4443</v>
      </c>
      <c r="B1081" s="155" t="s">
        <v>4444</v>
      </c>
      <c r="C1081" s="155" t="s">
        <v>4445</v>
      </c>
      <c r="D1081" s="155" t="s">
        <v>1668</v>
      </c>
      <c r="E1081" s="155">
        <v>0.9</v>
      </c>
      <c r="F1081" s="155">
        <v>10.3</v>
      </c>
      <c r="G1081" s="155">
        <v>4.4000000000000004</v>
      </c>
      <c r="H1081" s="155" t="s">
        <v>34</v>
      </c>
      <c r="I1081" s="155" t="s">
        <v>4442</v>
      </c>
      <c r="J1081" s="155" t="s">
        <v>1691</v>
      </c>
    </row>
    <row r="1082" spans="1:10">
      <c r="A1082" s="155" t="s">
        <v>4446</v>
      </c>
      <c r="B1082" s="155" t="s">
        <v>4447</v>
      </c>
      <c r="C1082" s="155" t="s">
        <v>4448</v>
      </c>
      <c r="D1082" s="155" t="s">
        <v>1668</v>
      </c>
      <c r="E1082" s="155">
        <v>0.9</v>
      </c>
      <c r="F1082" s="155">
        <v>14.5</v>
      </c>
      <c r="G1082" s="155">
        <v>6</v>
      </c>
      <c r="H1082" s="155" t="s">
        <v>34</v>
      </c>
      <c r="I1082" s="155" t="s">
        <v>2265</v>
      </c>
      <c r="J1082" s="155" t="s">
        <v>1698</v>
      </c>
    </row>
    <row r="1083" spans="1:10">
      <c r="A1083" s="155" t="s">
        <v>4449</v>
      </c>
      <c r="B1083" s="155" t="s">
        <v>4450</v>
      </c>
      <c r="C1083" s="155" t="s">
        <v>4451</v>
      </c>
      <c r="D1083" s="155" t="s">
        <v>1668</v>
      </c>
      <c r="E1083" s="155">
        <v>0.9</v>
      </c>
      <c r="F1083" s="155">
        <v>14.5</v>
      </c>
      <c r="G1083" s="155">
        <v>6</v>
      </c>
      <c r="H1083" s="155" t="s">
        <v>34</v>
      </c>
      <c r="I1083" s="155" t="s">
        <v>2265</v>
      </c>
      <c r="J1083" s="155" t="s">
        <v>1698</v>
      </c>
    </row>
    <row r="1084" spans="1:10">
      <c r="A1084" s="155" t="s">
        <v>4452</v>
      </c>
      <c r="B1084" s="155" t="s">
        <v>4453</v>
      </c>
      <c r="C1084" s="155" t="s">
        <v>4454</v>
      </c>
      <c r="D1084" s="155" t="s">
        <v>1668</v>
      </c>
      <c r="E1084" s="155">
        <v>12.5</v>
      </c>
      <c r="F1084" s="155">
        <v>1.3</v>
      </c>
      <c r="G1084" s="155">
        <v>1</v>
      </c>
      <c r="H1084" s="155" t="s">
        <v>34</v>
      </c>
      <c r="I1084" s="155" t="s">
        <v>147</v>
      </c>
      <c r="J1084" s="155" t="s">
        <v>1825</v>
      </c>
    </row>
    <row r="1085" spans="1:10">
      <c r="A1085" s="155" t="s">
        <v>4455</v>
      </c>
      <c r="B1085" s="155" t="s">
        <v>4456</v>
      </c>
      <c r="C1085" s="155" t="s">
        <v>4457</v>
      </c>
      <c r="D1085" s="155" t="s">
        <v>1668</v>
      </c>
      <c r="E1085" s="155">
        <v>0.9</v>
      </c>
      <c r="F1085" s="155">
        <v>1</v>
      </c>
      <c r="G1085" s="155">
        <v>1</v>
      </c>
      <c r="H1085" s="155" t="s">
        <v>34</v>
      </c>
      <c r="I1085" s="155" t="s">
        <v>147</v>
      </c>
      <c r="J1085" s="155" t="s">
        <v>1825</v>
      </c>
    </row>
    <row r="1086" spans="1:10">
      <c r="A1086" s="155" t="s">
        <v>4458</v>
      </c>
      <c r="B1086" s="155" t="s">
        <v>4459</v>
      </c>
      <c r="C1086" s="155" t="s">
        <v>4460</v>
      </c>
      <c r="D1086" s="155" t="s">
        <v>1668</v>
      </c>
      <c r="E1086" s="155">
        <v>0.4</v>
      </c>
      <c r="F1086" s="155">
        <v>0.2</v>
      </c>
      <c r="G1086" s="155">
        <v>0.2</v>
      </c>
      <c r="H1086" s="155" t="s">
        <v>34</v>
      </c>
      <c r="I1086" s="155" t="s">
        <v>147</v>
      </c>
      <c r="J1086" s="155" t="s">
        <v>3610</v>
      </c>
    </row>
    <row r="1087" spans="1:10">
      <c r="A1087" s="155" t="s">
        <v>4461</v>
      </c>
      <c r="B1087" s="155" t="s">
        <v>4462</v>
      </c>
      <c r="C1087" s="155" t="s">
        <v>4463</v>
      </c>
      <c r="D1087" s="155" t="s">
        <v>1668</v>
      </c>
      <c r="E1087" s="155">
        <v>0.4</v>
      </c>
      <c r="F1087" s="155">
        <v>0.2</v>
      </c>
      <c r="G1087" s="155">
        <v>0.2</v>
      </c>
      <c r="H1087" s="155" t="s">
        <v>34</v>
      </c>
      <c r="I1087" s="155" t="s">
        <v>147</v>
      </c>
      <c r="J1087" s="155" t="s">
        <v>3610</v>
      </c>
    </row>
    <row r="1088" spans="1:10">
      <c r="A1088" s="155" t="s">
        <v>4464</v>
      </c>
      <c r="B1088" s="155" t="s">
        <v>4465</v>
      </c>
      <c r="C1088" s="155" t="s">
        <v>4466</v>
      </c>
      <c r="D1088" s="155" t="s">
        <v>1668</v>
      </c>
      <c r="E1088" s="155">
        <v>0.4</v>
      </c>
      <c r="F1088" s="155">
        <v>0.1</v>
      </c>
      <c r="G1088" s="155">
        <v>0.1</v>
      </c>
      <c r="H1088" s="155" t="s">
        <v>34</v>
      </c>
      <c r="I1088" s="155" t="s">
        <v>147</v>
      </c>
      <c r="J1088" s="155" t="s">
        <v>3610</v>
      </c>
    </row>
    <row r="1089" spans="1:10">
      <c r="A1089" s="155" t="s">
        <v>4467</v>
      </c>
      <c r="B1089" s="155" t="s">
        <v>4468</v>
      </c>
      <c r="C1089" s="155" t="s">
        <v>4469</v>
      </c>
      <c r="D1089" s="155" t="s">
        <v>1668</v>
      </c>
      <c r="E1089" s="155">
        <v>75.7</v>
      </c>
      <c r="F1089" s="155">
        <v>0.5</v>
      </c>
      <c r="G1089" s="155">
        <v>0.5</v>
      </c>
      <c r="H1089" s="155" t="s">
        <v>34</v>
      </c>
      <c r="I1089" s="155" t="s">
        <v>147</v>
      </c>
      <c r="J1089" s="155" t="s">
        <v>3610</v>
      </c>
    </row>
    <row r="1090" spans="1:10">
      <c r="A1090" s="155" t="s">
        <v>4470</v>
      </c>
      <c r="B1090" s="155" t="s">
        <v>4471</v>
      </c>
      <c r="C1090" s="155" t="s">
        <v>4472</v>
      </c>
      <c r="D1090" s="155" t="s">
        <v>1668</v>
      </c>
      <c r="E1090" s="155">
        <v>1.1000000000000001</v>
      </c>
      <c r="F1090" s="155">
        <v>8.3000000000000007</v>
      </c>
      <c r="G1090" s="155">
        <v>17.100000000000001</v>
      </c>
      <c r="H1090" s="155" t="s">
        <v>34</v>
      </c>
      <c r="I1090" s="155" t="s">
        <v>147</v>
      </c>
      <c r="J1090" s="155" t="s">
        <v>3610</v>
      </c>
    </row>
    <row r="1091" spans="1:10">
      <c r="A1091" s="155" t="s">
        <v>4473</v>
      </c>
      <c r="B1091" s="155" t="s">
        <v>4474</v>
      </c>
      <c r="C1091" s="155" t="s">
        <v>4475</v>
      </c>
      <c r="D1091" s="155" t="s">
        <v>1668</v>
      </c>
      <c r="E1091" s="155">
        <v>0.4</v>
      </c>
      <c r="F1091" s="155">
        <v>8</v>
      </c>
      <c r="G1091" s="155">
        <v>49.7</v>
      </c>
      <c r="H1091" s="155" t="s">
        <v>34</v>
      </c>
      <c r="I1091" s="155" t="s">
        <v>2995</v>
      </c>
      <c r="J1091" s="155" t="s">
        <v>3610</v>
      </c>
    </row>
    <row r="1092" spans="1:10">
      <c r="A1092" s="155" t="s">
        <v>4476</v>
      </c>
      <c r="B1092" s="155" t="s">
        <v>4477</v>
      </c>
      <c r="C1092" s="155" t="s">
        <v>4478</v>
      </c>
      <c r="D1092" s="155" t="s">
        <v>1668</v>
      </c>
      <c r="E1092" s="155">
        <v>1.3</v>
      </c>
      <c r="F1092" s="155">
        <v>0.8</v>
      </c>
      <c r="G1092" s="155">
        <v>0.8</v>
      </c>
      <c r="H1092" s="155" t="s">
        <v>34</v>
      </c>
      <c r="I1092" s="155" t="s">
        <v>2995</v>
      </c>
      <c r="J1092" s="155" t="s">
        <v>3610</v>
      </c>
    </row>
    <row r="1093" spans="1:10">
      <c r="A1093" s="155" t="s">
        <v>4479</v>
      </c>
      <c r="B1093" s="155" t="s">
        <v>4480</v>
      </c>
      <c r="C1093" s="155" t="s">
        <v>4481</v>
      </c>
      <c r="D1093" s="155" t="s">
        <v>1668</v>
      </c>
      <c r="E1093" s="155">
        <v>0.9</v>
      </c>
      <c r="F1093" s="155">
        <v>46.8</v>
      </c>
      <c r="G1093" s="155">
        <v>5.2</v>
      </c>
      <c r="H1093" s="155" t="s">
        <v>34</v>
      </c>
      <c r="I1093" s="155" t="s">
        <v>2995</v>
      </c>
      <c r="J1093" s="155" t="s">
        <v>3610</v>
      </c>
    </row>
    <row r="1094" spans="1:10">
      <c r="A1094" s="155" t="s">
        <v>4482</v>
      </c>
      <c r="B1094" s="155" t="s">
        <v>4483</v>
      </c>
      <c r="C1094" s="155" t="s">
        <v>4484</v>
      </c>
      <c r="D1094" s="155" t="s">
        <v>1668</v>
      </c>
      <c r="E1094" s="155">
        <v>0.4</v>
      </c>
      <c r="F1094" s="155">
        <v>1.8</v>
      </c>
      <c r="G1094" s="155">
        <v>1</v>
      </c>
      <c r="H1094" s="155" t="s">
        <v>34</v>
      </c>
      <c r="I1094" s="155" t="s">
        <v>2774</v>
      </c>
      <c r="J1094" s="155" t="s">
        <v>3610</v>
      </c>
    </row>
    <row r="1095" spans="1:10">
      <c r="A1095" s="155" t="s">
        <v>4485</v>
      </c>
      <c r="B1095" s="155" t="s">
        <v>4486</v>
      </c>
      <c r="C1095" s="155" t="s">
        <v>4487</v>
      </c>
      <c r="D1095" s="155" t="s">
        <v>1668</v>
      </c>
      <c r="E1095" s="155">
        <v>0.4</v>
      </c>
      <c r="F1095" s="155">
        <v>2</v>
      </c>
      <c r="G1095" s="155">
        <v>1.1000000000000001</v>
      </c>
      <c r="H1095" s="155" t="s">
        <v>34</v>
      </c>
      <c r="I1095" s="155" t="s">
        <v>2774</v>
      </c>
      <c r="J1095" s="155" t="s">
        <v>3610</v>
      </c>
    </row>
    <row r="1096" spans="1:10">
      <c r="A1096" s="155" t="s">
        <v>4488</v>
      </c>
      <c r="B1096" s="155" t="s">
        <v>4489</v>
      </c>
      <c r="C1096" s="155" t="s">
        <v>4490</v>
      </c>
      <c r="D1096" s="155" t="s">
        <v>1668</v>
      </c>
      <c r="E1096" s="155">
        <v>0.9</v>
      </c>
      <c r="F1096" s="155">
        <v>1</v>
      </c>
      <c r="G1096" s="155">
        <v>1</v>
      </c>
      <c r="H1096" s="155" t="s">
        <v>34</v>
      </c>
      <c r="I1096" s="155" t="s">
        <v>2774</v>
      </c>
      <c r="J1096" s="155" t="s">
        <v>3610</v>
      </c>
    </row>
    <row r="1097" spans="1:10">
      <c r="A1097" s="155" t="s">
        <v>4491</v>
      </c>
      <c r="B1097" s="155" t="s">
        <v>4492</v>
      </c>
      <c r="C1097" s="155" t="s">
        <v>4493</v>
      </c>
      <c r="D1097" s="155" t="s">
        <v>1668</v>
      </c>
      <c r="E1097" s="155">
        <v>0.9</v>
      </c>
      <c r="F1097" s="155">
        <v>1</v>
      </c>
      <c r="G1097" s="155">
        <v>1</v>
      </c>
      <c r="H1097" s="155" t="s">
        <v>34</v>
      </c>
      <c r="I1097" s="155" t="s">
        <v>2774</v>
      </c>
      <c r="J1097" s="155" t="s">
        <v>3610</v>
      </c>
    </row>
    <row r="1098" spans="1:10">
      <c r="A1098" s="155" t="s">
        <v>4494</v>
      </c>
      <c r="B1098" s="155" t="s">
        <v>4495</v>
      </c>
      <c r="C1098" s="155" t="s">
        <v>4496</v>
      </c>
      <c r="D1098" s="155" t="s">
        <v>1668</v>
      </c>
      <c r="E1098" s="155">
        <v>0.9</v>
      </c>
      <c r="F1098" s="155">
        <v>7.5</v>
      </c>
      <c r="G1098" s="155">
        <v>62.7</v>
      </c>
      <c r="H1098" s="155" t="s">
        <v>34</v>
      </c>
      <c r="I1098" s="155" t="s">
        <v>2774</v>
      </c>
      <c r="J1098" s="155" t="s">
        <v>1691</v>
      </c>
    </row>
    <row r="1099" spans="1:10">
      <c r="A1099" s="155" t="s">
        <v>4497</v>
      </c>
      <c r="B1099" s="155" t="s">
        <v>4498</v>
      </c>
      <c r="C1099" s="155" t="s">
        <v>4499</v>
      </c>
      <c r="D1099" s="155" t="s">
        <v>1668</v>
      </c>
      <c r="E1099" s="155">
        <v>0.9</v>
      </c>
      <c r="F1099" s="155">
        <v>12</v>
      </c>
      <c r="G1099" s="155">
        <v>50.6</v>
      </c>
      <c r="H1099" s="155" t="s">
        <v>34</v>
      </c>
      <c r="I1099" s="155" t="s">
        <v>2774</v>
      </c>
      <c r="J1099" s="155" t="s">
        <v>1691</v>
      </c>
    </row>
    <row r="1100" spans="1:10">
      <c r="A1100" s="155" t="s">
        <v>4500</v>
      </c>
      <c r="B1100" s="155" t="s">
        <v>4501</v>
      </c>
      <c r="C1100" s="155" t="s">
        <v>4502</v>
      </c>
      <c r="D1100" s="155" t="s">
        <v>1668</v>
      </c>
      <c r="E1100" s="155">
        <v>0.9</v>
      </c>
      <c r="F1100" s="155">
        <v>1</v>
      </c>
      <c r="G1100" s="155">
        <v>1</v>
      </c>
      <c r="H1100" s="155" t="s">
        <v>34</v>
      </c>
      <c r="I1100" s="155" t="s">
        <v>2774</v>
      </c>
      <c r="J1100" s="155" t="s">
        <v>3610</v>
      </c>
    </row>
    <row r="1101" spans="1:10">
      <c r="A1101" s="155" t="s">
        <v>4503</v>
      </c>
      <c r="B1101" s="155" t="s">
        <v>4504</v>
      </c>
      <c r="C1101" s="155" t="s">
        <v>4505</v>
      </c>
      <c r="D1101" s="155" t="s">
        <v>1668</v>
      </c>
      <c r="E1101" s="155">
        <v>0.9</v>
      </c>
      <c r="F1101" s="155">
        <v>1</v>
      </c>
      <c r="G1101" s="155">
        <v>1</v>
      </c>
      <c r="H1101" s="155" t="s">
        <v>34</v>
      </c>
      <c r="I1101" s="155" t="s">
        <v>2774</v>
      </c>
      <c r="J1101" s="155" t="s">
        <v>3610</v>
      </c>
    </row>
    <row r="1102" spans="1:10">
      <c r="A1102" s="155" t="s">
        <v>4506</v>
      </c>
      <c r="B1102" s="155" t="s">
        <v>4507</v>
      </c>
      <c r="C1102" s="155" t="s">
        <v>4508</v>
      </c>
      <c r="D1102" s="155" t="s">
        <v>1668</v>
      </c>
      <c r="E1102" s="155">
        <v>0.7</v>
      </c>
      <c r="F1102" s="155">
        <v>0.8</v>
      </c>
      <c r="G1102" s="155">
        <v>0.6</v>
      </c>
      <c r="H1102" s="155" t="s">
        <v>34</v>
      </c>
      <c r="I1102" s="155" t="s">
        <v>2774</v>
      </c>
      <c r="J1102" s="155" t="s">
        <v>3610</v>
      </c>
    </row>
    <row r="1103" spans="1:10">
      <c r="A1103" s="155" t="s">
        <v>4509</v>
      </c>
      <c r="B1103" s="155" t="s">
        <v>4510</v>
      </c>
      <c r="C1103" s="155" t="s">
        <v>4511</v>
      </c>
      <c r="D1103" s="155" t="s">
        <v>1668</v>
      </c>
      <c r="E1103" s="155">
        <v>0.7</v>
      </c>
      <c r="F1103" s="155">
        <v>1.2</v>
      </c>
      <c r="G1103" s="155">
        <v>1</v>
      </c>
      <c r="H1103" s="155" t="s">
        <v>34</v>
      </c>
      <c r="I1103" s="155" t="s">
        <v>2774</v>
      </c>
      <c r="J1103" s="155" t="s">
        <v>3610</v>
      </c>
    </row>
    <row r="1104" spans="1:10">
      <c r="A1104" s="155" t="s">
        <v>4512</v>
      </c>
      <c r="B1104" s="155" t="s">
        <v>4513</v>
      </c>
      <c r="C1104" s="155" t="s">
        <v>4514</v>
      </c>
      <c r="D1104" s="155" t="s">
        <v>1668</v>
      </c>
      <c r="E1104" s="155">
        <v>1.4</v>
      </c>
      <c r="F1104" s="155">
        <v>1</v>
      </c>
      <c r="G1104" s="155">
        <v>1</v>
      </c>
      <c r="H1104" s="155" t="s">
        <v>34</v>
      </c>
      <c r="I1104" s="155" t="s">
        <v>2684</v>
      </c>
      <c r="J1104" s="155" t="s">
        <v>3610</v>
      </c>
    </row>
    <row r="1105" spans="1:10">
      <c r="A1105" s="155" t="s">
        <v>4515</v>
      </c>
      <c r="B1105" s="155" t="s">
        <v>4516</v>
      </c>
      <c r="C1105" s="155" t="s">
        <v>4517</v>
      </c>
      <c r="D1105" s="155" t="s">
        <v>1668</v>
      </c>
      <c r="E1105" s="155">
        <v>1.4</v>
      </c>
      <c r="F1105" s="155">
        <v>1</v>
      </c>
      <c r="G1105" s="155">
        <v>1</v>
      </c>
      <c r="H1105" s="155" t="s">
        <v>34</v>
      </c>
      <c r="I1105" s="155" t="s">
        <v>2684</v>
      </c>
      <c r="J1105" s="155" t="s">
        <v>3610</v>
      </c>
    </row>
    <row r="1106" spans="1:10">
      <c r="A1106" s="155" t="s">
        <v>4518</v>
      </c>
      <c r="B1106" s="155" t="s">
        <v>4519</v>
      </c>
      <c r="C1106" s="155" t="s">
        <v>4520</v>
      </c>
      <c r="D1106" s="155" t="s">
        <v>1668</v>
      </c>
      <c r="E1106" s="155">
        <v>1.4</v>
      </c>
      <c r="F1106" s="155">
        <v>1.2</v>
      </c>
      <c r="G1106" s="155">
        <v>49.9</v>
      </c>
      <c r="H1106" s="155" t="s">
        <v>34</v>
      </c>
      <c r="I1106" s="155" t="s">
        <v>2684</v>
      </c>
      <c r="J1106" s="155" t="s">
        <v>3610</v>
      </c>
    </row>
    <row r="1107" spans="1:10">
      <c r="A1107" s="155" t="s">
        <v>4521</v>
      </c>
      <c r="B1107" s="155" t="s">
        <v>4522</v>
      </c>
      <c r="C1107" s="155" t="s">
        <v>4523</v>
      </c>
      <c r="D1107" s="155" t="s">
        <v>1668</v>
      </c>
      <c r="E1107" s="155">
        <v>1.4</v>
      </c>
      <c r="F1107" s="155">
        <v>1.5</v>
      </c>
      <c r="G1107" s="155">
        <v>2.4</v>
      </c>
      <c r="H1107" s="155" t="s">
        <v>34</v>
      </c>
      <c r="I1107" s="155" t="s">
        <v>2684</v>
      </c>
      <c r="J1107" s="155" t="s">
        <v>3610</v>
      </c>
    </row>
    <row r="1108" spans="1:10">
      <c r="A1108" s="155" t="s">
        <v>4524</v>
      </c>
      <c r="B1108" s="155" t="s">
        <v>4525</v>
      </c>
      <c r="C1108" s="155" t="s">
        <v>4526</v>
      </c>
      <c r="D1108" s="155" t="s">
        <v>1668</v>
      </c>
      <c r="E1108" s="155">
        <v>0.4</v>
      </c>
      <c r="F1108" s="155">
        <v>0.5</v>
      </c>
      <c r="G1108" s="155">
        <v>0.5</v>
      </c>
      <c r="H1108" s="155" t="s">
        <v>34</v>
      </c>
      <c r="I1108" s="155" t="s">
        <v>4527</v>
      </c>
      <c r="J1108" s="155" t="s">
        <v>4325</v>
      </c>
    </row>
    <row r="1109" spans="1:10">
      <c r="A1109" s="155" t="s">
        <v>4528</v>
      </c>
      <c r="B1109" s="155" t="s">
        <v>4529</v>
      </c>
      <c r="C1109" s="155" t="s">
        <v>4530</v>
      </c>
      <c r="D1109" s="155" t="s">
        <v>1668</v>
      </c>
      <c r="E1109" s="155">
        <v>0.2</v>
      </c>
      <c r="F1109" s="155">
        <v>0.2</v>
      </c>
      <c r="G1109" s="155">
        <v>0.2</v>
      </c>
      <c r="H1109" s="155" t="s">
        <v>34</v>
      </c>
      <c r="I1109" s="155" t="s">
        <v>159</v>
      </c>
      <c r="J1109" s="155" t="s">
        <v>1825</v>
      </c>
    </row>
    <row r="1110" spans="1:10">
      <c r="A1110" s="155" t="s">
        <v>4531</v>
      </c>
      <c r="B1110" s="155" t="s">
        <v>4532</v>
      </c>
      <c r="C1110" s="155" t="s">
        <v>4533</v>
      </c>
      <c r="D1110" s="155" t="s">
        <v>1668</v>
      </c>
      <c r="E1110" s="155">
        <v>0.2</v>
      </c>
      <c r="F1110" s="155">
        <v>0.7</v>
      </c>
      <c r="G1110" s="155">
        <v>0.7</v>
      </c>
      <c r="H1110" s="155" t="s">
        <v>34</v>
      </c>
      <c r="I1110" s="155" t="s">
        <v>159</v>
      </c>
      <c r="J1110" s="155" t="s">
        <v>1825</v>
      </c>
    </row>
    <row r="1111" spans="1:10">
      <c r="A1111" s="155" t="s">
        <v>4534</v>
      </c>
      <c r="B1111" s="155" t="s">
        <v>4535</v>
      </c>
      <c r="C1111" s="155" t="s">
        <v>4536</v>
      </c>
      <c r="D1111" s="155" t="s">
        <v>1668</v>
      </c>
      <c r="E1111" s="155">
        <v>0.4</v>
      </c>
      <c r="F1111" s="155">
        <v>0.1</v>
      </c>
      <c r="G1111" s="155">
        <v>0.1</v>
      </c>
      <c r="H1111" s="155" t="s">
        <v>34</v>
      </c>
      <c r="I1111" s="155" t="s">
        <v>159</v>
      </c>
      <c r="J1111" s="155" t="s">
        <v>1825</v>
      </c>
    </row>
    <row r="1112" spans="1:10">
      <c r="A1112" s="155" t="s">
        <v>4537</v>
      </c>
      <c r="B1112" s="155" t="s">
        <v>4538</v>
      </c>
      <c r="C1112" s="155" t="s">
        <v>4539</v>
      </c>
      <c r="D1112" s="155" t="s">
        <v>1668</v>
      </c>
      <c r="E1112" s="155">
        <v>0.5</v>
      </c>
      <c r="F1112" s="155">
        <v>3.5</v>
      </c>
      <c r="G1112" s="155">
        <v>32.799999999999997</v>
      </c>
      <c r="H1112" s="155" t="s">
        <v>34</v>
      </c>
      <c r="I1112" s="155" t="s">
        <v>4540</v>
      </c>
      <c r="J1112" s="155" t="s">
        <v>1691</v>
      </c>
    </row>
    <row r="1113" spans="1:10">
      <c r="A1113" s="155" t="s">
        <v>553</v>
      </c>
      <c r="B1113" s="155" t="s">
        <v>551</v>
      </c>
      <c r="C1113" s="155" t="s">
        <v>552</v>
      </c>
      <c r="D1113" s="155" t="s">
        <v>1668</v>
      </c>
      <c r="E1113" s="155">
        <v>0.9</v>
      </c>
      <c r="F1113" s="155">
        <v>6</v>
      </c>
      <c r="G1113" s="155">
        <v>2</v>
      </c>
      <c r="H1113" s="155" t="s">
        <v>34</v>
      </c>
      <c r="I1113" s="155" t="s">
        <v>271</v>
      </c>
      <c r="J1113" s="155" t="s">
        <v>1692</v>
      </c>
    </row>
    <row r="1114" spans="1:10">
      <c r="A1114" s="155" t="s">
        <v>556</v>
      </c>
      <c r="B1114" s="155" t="s">
        <v>554</v>
      </c>
      <c r="C1114" s="155" t="s">
        <v>555</v>
      </c>
      <c r="D1114" s="155" t="s">
        <v>1668</v>
      </c>
      <c r="E1114" s="155">
        <v>0.9</v>
      </c>
      <c r="F1114" s="155">
        <v>6</v>
      </c>
      <c r="G1114" s="155">
        <v>2</v>
      </c>
      <c r="H1114" s="155" t="s">
        <v>34</v>
      </c>
      <c r="I1114" s="155" t="s">
        <v>271</v>
      </c>
      <c r="J1114" s="155" t="s">
        <v>1692</v>
      </c>
    </row>
    <row r="1115" spans="1:10">
      <c r="A1115" s="155" t="s">
        <v>4541</v>
      </c>
      <c r="B1115" s="155" t="s">
        <v>4542</v>
      </c>
      <c r="C1115" s="155" t="s">
        <v>4543</v>
      </c>
      <c r="D1115" s="155" t="s">
        <v>1668</v>
      </c>
      <c r="E1115" s="155">
        <v>0.1</v>
      </c>
      <c r="F1115" s="155">
        <v>7</v>
      </c>
      <c r="G1115" s="155">
        <v>5.4</v>
      </c>
      <c r="H1115" s="155" t="s">
        <v>34</v>
      </c>
      <c r="I1115" s="155" t="s">
        <v>105</v>
      </c>
      <c r="J1115" s="155"/>
    </row>
    <row r="1116" spans="1:10">
      <c r="A1116" s="155" t="s">
        <v>4544</v>
      </c>
      <c r="B1116" s="155" t="s">
        <v>4545</v>
      </c>
      <c r="C1116" s="155" t="s">
        <v>4546</v>
      </c>
      <c r="D1116" s="155" t="s">
        <v>1668</v>
      </c>
      <c r="E1116" s="155">
        <v>2.5</v>
      </c>
      <c r="F1116" s="155">
        <v>0.5</v>
      </c>
      <c r="G1116" s="155">
        <v>53.3</v>
      </c>
      <c r="H1116" s="155" t="s">
        <v>34</v>
      </c>
      <c r="I1116" s="155" t="s">
        <v>3458</v>
      </c>
      <c r="J1116" s="155" t="s">
        <v>1682</v>
      </c>
    </row>
    <row r="1117" spans="1:10">
      <c r="A1117" s="155" t="s">
        <v>4547</v>
      </c>
      <c r="B1117" s="155" t="s">
        <v>4548</v>
      </c>
      <c r="C1117" s="155" t="s">
        <v>4549</v>
      </c>
      <c r="D1117" s="155" t="s">
        <v>1668</v>
      </c>
      <c r="E1117" s="155">
        <v>0.9</v>
      </c>
      <c r="F1117" s="155">
        <v>1</v>
      </c>
      <c r="G1117" s="155">
        <v>1</v>
      </c>
      <c r="H1117" s="155" t="s">
        <v>34</v>
      </c>
      <c r="I1117" s="155" t="s">
        <v>147</v>
      </c>
      <c r="J1117" s="155" t="s">
        <v>1825</v>
      </c>
    </row>
    <row r="1118" spans="1:10">
      <c r="A1118" s="155" t="s">
        <v>559</v>
      </c>
      <c r="B1118" s="155" t="s">
        <v>557</v>
      </c>
      <c r="C1118" s="155" t="s">
        <v>558</v>
      </c>
      <c r="D1118" s="155" t="s">
        <v>1668</v>
      </c>
      <c r="E1118" s="155">
        <v>0.2</v>
      </c>
      <c r="F1118" s="155">
        <v>1</v>
      </c>
      <c r="G1118" s="155">
        <v>1</v>
      </c>
      <c r="H1118" s="155" t="s">
        <v>34</v>
      </c>
      <c r="I1118" s="155" t="s">
        <v>159</v>
      </c>
      <c r="J1118" s="155" t="s">
        <v>4325</v>
      </c>
    </row>
    <row r="1119" spans="1:10">
      <c r="A1119" s="155" t="s">
        <v>4550</v>
      </c>
      <c r="B1119" s="155" t="s">
        <v>4551</v>
      </c>
      <c r="C1119" s="155" t="s">
        <v>4552</v>
      </c>
      <c r="D1119" s="155" t="s">
        <v>1668</v>
      </c>
      <c r="E1119" s="155">
        <v>28.5</v>
      </c>
      <c r="F1119" s="155">
        <v>137.5</v>
      </c>
      <c r="G1119" s="155">
        <v>314.60000000000002</v>
      </c>
      <c r="H1119" s="155" t="s">
        <v>34</v>
      </c>
      <c r="I1119" s="155" t="s">
        <v>2333</v>
      </c>
      <c r="J1119" s="155" t="s">
        <v>4553</v>
      </c>
    </row>
    <row r="1120" spans="1:10">
      <c r="A1120" s="155" t="s">
        <v>4554</v>
      </c>
      <c r="B1120" s="155" t="s">
        <v>4555</v>
      </c>
      <c r="C1120" s="155" t="s">
        <v>4556</v>
      </c>
      <c r="D1120" s="155" t="s">
        <v>1668</v>
      </c>
      <c r="E1120" s="155">
        <v>2</v>
      </c>
      <c r="F1120" s="155"/>
      <c r="G1120" s="155"/>
      <c r="H1120" s="155" t="s">
        <v>34</v>
      </c>
      <c r="I1120" s="155" t="s">
        <v>271</v>
      </c>
      <c r="J1120" s="155" t="s">
        <v>2339</v>
      </c>
    </row>
    <row r="1121" spans="1:10">
      <c r="A1121" s="155" t="s">
        <v>562</v>
      </c>
      <c r="B1121" s="155" t="s">
        <v>560</v>
      </c>
      <c r="C1121" s="155" t="s">
        <v>561</v>
      </c>
      <c r="D1121" s="155" t="s">
        <v>1668</v>
      </c>
      <c r="E1121" s="155">
        <v>2.5</v>
      </c>
      <c r="F1121" s="155">
        <v>2.5</v>
      </c>
      <c r="G1121" s="155">
        <v>0.5</v>
      </c>
      <c r="H1121" s="155" t="s">
        <v>34</v>
      </c>
      <c r="I1121" s="155" t="s">
        <v>432</v>
      </c>
      <c r="J1121" s="155"/>
    </row>
    <row r="1122" spans="1:10">
      <c r="A1122" s="155" t="s">
        <v>575</v>
      </c>
      <c r="B1122" s="155" t="s">
        <v>573</v>
      </c>
      <c r="C1122" s="155" t="s">
        <v>574</v>
      </c>
      <c r="D1122" s="155" t="s">
        <v>1668</v>
      </c>
      <c r="E1122" s="155">
        <v>6.3</v>
      </c>
      <c r="F1122" s="155">
        <v>14.5</v>
      </c>
      <c r="G1122" s="155">
        <v>68.900000000000006</v>
      </c>
      <c r="H1122" s="155" t="s">
        <v>34</v>
      </c>
      <c r="I1122" s="155" t="s">
        <v>98</v>
      </c>
      <c r="J1122" s="155" t="s">
        <v>1708</v>
      </c>
    </row>
    <row r="1123" spans="1:10">
      <c r="A1123" s="155" t="s">
        <v>4557</v>
      </c>
      <c r="B1123" s="155" t="s">
        <v>4558</v>
      </c>
      <c r="C1123" s="155" t="s">
        <v>4559</v>
      </c>
      <c r="D1123" s="155" t="s">
        <v>1668</v>
      </c>
      <c r="E1123" s="155">
        <v>0.7</v>
      </c>
      <c r="F1123" s="155">
        <v>13.5</v>
      </c>
      <c r="G1123" s="155">
        <v>2.8</v>
      </c>
      <c r="H1123" s="155" t="s">
        <v>34</v>
      </c>
      <c r="I1123" s="155" t="s">
        <v>2370</v>
      </c>
      <c r="J1123" s="155" t="s">
        <v>3956</v>
      </c>
    </row>
    <row r="1124" spans="1:10">
      <c r="A1124" s="155" t="s">
        <v>4560</v>
      </c>
      <c r="B1124" s="155" t="s">
        <v>4561</v>
      </c>
      <c r="C1124" s="155" t="s">
        <v>4562</v>
      </c>
      <c r="D1124" s="155" t="s">
        <v>1668</v>
      </c>
      <c r="E1124" s="155">
        <v>3</v>
      </c>
      <c r="F1124" s="155">
        <v>3</v>
      </c>
      <c r="G1124" s="155">
        <v>33.5</v>
      </c>
      <c r="H1124" s="155" t="s">
        <v>34</v>
      </c>
      <c r="I1124" s="155" t="s">
        <v>105</v>
      </c>
      <c r="J1124" s="155"/>
    </row>
    <row r="1125" spans="1:10">
      <c r="A1125" s="155" t="s">
        <v>4563</v>
      </c>
      <c r="B1125" s="155" t="s">
        <v>4564</v>
      </c>
      <c r="C1125" s="155" t="s">
        <v>4565</v>
      </c>
      <c r="D1125" s="155" t="s">
        <v>1668</v>
      </c>
      <c r="E1125" s="155">
        <v>3.3</v>
      </c>
      <c r="F1125" s="155">
        <v>1</v>
      </c>
      <c r="G1125" s="155">
        <v>3.5</v>
      </c>
      <c r="H1125" s="155" t="s">
        <v>34</v>
      </c>
      <c r="I1125" s="155" t="s">
        <v>1720</v>
      </c>
      <c r="J1125" s="155" t="s">
        <v>4566</v>
      </c>
    </row>
    <row r="1126" spans="1:10">
      <c r="A1126" s="155" t="s">
        <v>578</v>
      </c>
      <c r="B1126" s="155" t="s">
        <v>576</v>
      </c>
      <c r="C1126" s="155" t="s">
        <v>577</v>
      </c>
      <c r="D1126" s="155" t="s">
        <v>1668</v>
      </c>
      <c r="E1126" s="155">
        <v>2.1</v>
      </c>
      <c r="F1126" s="155">
        <v>6.2</v>
      </c>
      <c r="G1126" s="155">
        <v>20.7</v>
      </c>
      <c r="H1126" s="155" t="s">
        <v>34</v>
      </c>
      <c r="I1126" s="155" t="s">
        <v>105</v>
      </c>
      <c r="J1126" s="155"/>
    </row>
    <row r="1127" spans="1:10">
      <c r="A1127" s="155" t="s">
        <v>4567</v>
      </c>
      <c r="B1127" s="155" t="s">
        <v>4568</v>
      </c>
      <c r="C1127" s="155" t="s">
        <v>4569</v>
      </c>
      <c r="D1127" s="155" t="s">
        <v>1668</v>
      </c>
      <c r="E1127" s="155">
        <v>1.5</v>
      </c>
      <c r="F1127" s="155">
        <v>3</v>
      </c>
      <c r="G1127" s="155">
        <v>17.2</v>
      </c>
      <c r="H1127" s="155" t="s">
        <v>34</v>
      </c>
      <c r="I1127" s="155" t="s">
        <v>1720</v>
      </c>
      <c r="J1127" s="155" t="s">
        <v>4570</v>
      </c>
    </row>
    <row r="1128" spans="1:10">
      <c r="A1128" s="155" t="s">
        <v>4571</v>
      </c>
      <c r="B1128" s="155" t="s">
        <v>4572</v>
      </c>
      <c r="C1128" s="155" t="s">
        <v>4573</v>
      </c>
      <c r="D1128" s="155" t="s">
        <v>1668</v>
      </c>
      <c r="E1128" s="155">
        <v>0.6</v>
      </c>
      <c r="F1128" s="155">
        <v>2.8</v>
      </c>
      <c r="G1128" s="155">
        <v>18.3</v>
      </c>
      <c r="H1128" s="155" t="s">
        <v>34</v>
      </c>
      <c r="I1128" s="155" t="s">
        <v>122</v>
      </c>
      <c r="J1128" s="155" t="s">
        <v>1691</v>
      </c>
    </row>
    <row r="1129" spans="1:10">
      <c r="A1129" s="155" t="s">
        <v>4574</v>
      </c>
      <c r="B1129" s="155" t="s">
        <v>4575</v>
      </c>
      <c r="C1129" s="155" t="s">
        <v>4576</v>
      </c>
      <c r="D1129" s="155" t="s">
        <v>1668</v>
      </c>
      <c r="E1129" s="155">
        <v>1.2</v>
      </c>
      <c r="F1129" s="155">
        <v>7</v>
      </c>
      <c r="G1129" s="155">
        <v>40.299999999999997</v>
      </c>
      <c r="H1129" s="155" t="s">
        <v>34</v>
      </c>
      <c r="I1129" s="155" t="s">
        <v>2396</v>
      </c>
      <c r="J1129" s="155" t="s">
        <v>1682</v>
      </c>
    </row>
    <row r="1130" spans="1:10">
      <c r="A1130" s="155" t="s">
        <v>4577</v>
      </c>
      <c r="B1130" s="155" t="s">
        <v>4578</v>
      </c>
      <c r="C1130" s="155" t="s">
        <v>4579</v>
      </c>
      <c r="D1130" s="155" t="s">
        <v>1668</v>
      </c>
      <c r="E1130" s="155">
        <v>0.9</v>
      </c>
      <c r="F1130" s="155">
        <v>3.8</v>
      </c>
      <c r="G1130" s="155">
        <v>23.6</v>
      </c>
      <c r="H1130" s="155" t="s">
        <v>34</v>
      </c>
      <c r="I1130" s="155" t="s">
        <v>2396</v>
      </c>
      <c r="J1130" s="155" t="s">
        <v>1682</v>
      </c>
    </row>
    <row r="1131" spans="1:10">
      <c r="A1131" s="155" t="s">
        <v>4580</v>
      </c>
      <c r="B1131" s="155" t="s">
        <v>4581</v>
      </c>
      <c r="C1131" s="155" t="s">
        <v>4582</v>
      </c>
      <c r="D1131" s="155" t="s">
        <v>1668</v>
      </c>
      <c r="E1131" s="155">
        <v>0.4</v>
      </c>
      <c r="F1131" s="155">
        <v>1.5</v>
      </c>
      <c r="G1131" s="155">
        <v>29.1</v>
      </c>
      <c r="H1131" s="155" t="s">
        <v>34</v>
      </c>
      <c r="I1131" s="155" t="s">
        <v>1778</v>
      </c>
      <c r="J1131" s="155" t="s">
        <v>1682</v>
      </c>
    </row>
    <row r="1132" spans="1:10">
      <c r="A1132" s="155" t="s">
        <v>4583</v>
      </c>
      <c r="B1132" s="155" t="s">
        <v>4584</v>
      </c>
      <c r="C1132" s="155" t="s">
        <v>4585</v>
      </c>
      <c r="D1132" s="155" t="s">
        <v>1668</v>
      </c>
      <c r="E1132" s="155">
        <v>0.4</v>
      </c>
      <c r="F1132" s="155">
        <v>8.1999999999999993</v>
      </c>
      <c r="G1132" s="155">
        <v>4.2</v>
      </c>
      <c r="H1132" s="155" t="s">
        <v>34</v>
      </c>
      <c r="I1132" s="155" t="s">
        <v>1778</v>
      </c>
      <c r="J1132" s="155" t="s">
        <v>4586</v>
      </c>
    </row>
    <row r="1133" spans="1:10">
      <c r="A1133" s="155" t="s">
        <v>4587</v>
      </c>
      <c r="B1133" s="155" t="s">
        <v>4588</v>
      </c>
      <c r="C1133" s="155" t="s">
        <v>4589</v>
      </c>
      <c r="D1133" s="155" t="s">
        <v>1668</v>
      </c>
      <c r="E1133" s="155">
        <v>0.9</v>
      </c>
      <c r="F1133" s="155">
        <v>2.8</v>
      </c>
      <c r="G1133" s="155">
        <v>52.9</v>
      </c>
      <c r="H1133" s="155" t="s">
        <v>34</v>
      </c>
      <c r="I1133" s="155" t="s">
        <v>1778</v>
      </c>
      <c r="J1133" s="155" t="s">
        <v>1682</v>
      </c>
    </row>
    <row r="1134" spans="1:10">
      <c r="A1134" s="155" t="s">
        <v>4590</v>
      </c>
      <c r="B1134" s="155" t="s">
        <v>4591</v>
      </c>
      <c r="C1134" s="155" t="s">
        <v>4592</v>
      </c>
      <c r="D1134" s="155" t="s">
        <v>1668</v>
      </c>
      <c r="E1134" s="155">
        <v>0.9</v>
      </c>
      <c r="F1134" s="155">
        <v>1.2</v>
      </c>
      <c r="G1134" s="155">
        <v>0.9</v>
      </c>
      <c r="H1134" s="155" t="s">
        <v>34</v>
      </c>
      <c r="I1134" s="155" t="s">
        <v>1778</v>
      </c>
      <c r="J1134" s="155" t="s">
        <v>1682</v>
      </c>
    </row>
    <row r="1135" spans="1:10">
      <c r="A1135" s="155" t="s">
        <v>4593</v>
      </c>
      <c r="B1135" s="155" t="s">
        <v>4594</v>
      </c>
      <c r="C1135" s="155" t="s">
        <v>4595</v>
      </c>
      <c r="D1135" s="155" t="s">
        <v>1668</v>
      </c>
      <c r="E1135" s="155">
        <v>0.9</v>
      </c>
      <c r="F1135" s="155">
        <v>1.5</v>
      </c>
      <c r="G1135" s="155">
        <v>53</v>
      </c>
      <c r="H1135" s="155" t="s">
        <v>34</v>
      </c>
      <c r="I1135" s="155" t="s">
        <v>586</v>
      </c>
      <c r="J1135" s="155" t="s">
        <v>1682</v>
      </c>
    </row>
    <row r="1136" spans="1:10">
      <c r="A1136" s="155" t="s">
        <v>4596</v>
      </c>
      <c r="B1136" s="155" t="s">
        <v>4597</v>
      </c>
      <c r="C1136" s="155" t="s">
        <v>4598</v>
      </c>
      <c r="D1136" s="155" t="s">
        <v>1668</v>
      </c>
      <c r="E1136" s="155">
        <v>0.9</v>
      </c>
      <c r="F1136" s="155">
        <v>1.2</v>
      </c>
      <c r="G1136" s="155">
        <v>1</v>
      </c>
      <c r="H1136" s="155" t="s">
        <v>34</v>
      </c>
      <c r="I1136" s="155" t="s">
        <v>586</v>
      </c>
      <c r="J1136" s="155" t="s">
        <v>1682</v>
      </c>
    </row>
    <row r="1137" spans="1:10">
      <c r="A1137" s="155" t="s">
        <v>4599</v>
      </c>
      <c r="B1137" s="155" t="s">
        <v>4600</v>
      </c>
      <c r="C1137" s="155" t="s">
        <v>4601</v>
      </c>
      <c r="D1137" s="155" t="s">
        <v>1668</v>
      </c>
      <c r="E1137" s="155">
        <v>0.4</v>
      </c>
      <c r="F1137" s="155">
        <v>0.9</v>
      </c>
      <c r="G1137" s="155">
        <v>53.9</v>
      </c>
      <c r="H1137" s="155" t="s">
        <v>34</v>
      </c>
      <c r="I1137" s="155" t="s">
        <v>117</v>
      </c>
      <c r="J1137" s="155" t="s">
        <v>1691</v>
      </c>
    </row>
    <row r="1138" spans="1:10">
      <c r="A1138" s="155" t="s">
        <v>4602</v>
      </c>
      <c r="B1138" s="155" t="s">
        <v>4603</v>
      </c>
      <c r="C1138" s="155" t="s">
        <v>4604</v>
      </c>
      <c r="D1138" s="155" t="s">
        <v>1668</v>
      </c>
      <c r="E1138" s="155">
        <v>3.3</v>
      </c>
      <c r="F1138" s="155">
        <v>2.2000000000000002</v>
      </c>
      <c r="G1138" s="155">
        <v>53</v>
      </c>
      <c r="H1138" s="155" t="s">
        <v>34</v>
      </c>
      <c r="I1138" s="155" t="s">
        <v>586</v>
      </c>
      <c r="J1138" s="155" t="s">
        <v>1682</v>
      </c>
    </row>
    <row r="1139" spans="1:10">
      <c r="A1139" s="155" t="s">
        <v>4605</v>
      </c>
      <c r="B1139" s="155" t="s">
        <v>4606</v>
      </c>
      <c r="C1139" s="155" t="s">
        <v>4607</v>
      </c>
      <c r="D1139" s="155" t="s">
        <v>1668</v>
      </c>
      <c r="E1139" s="155">
        <v>3.3</v>
      </c>
      <c r="F1139" s="155">
        <v>1.2</v>
      </c>
      <c r="G1139" s="155">
        <v>43.1</v>
      </c>
      <c r="H1139" s="155" t="s">
        <v>34</v>
      </c>
      <c r="I1139" s="155" t="s">
        <v>586</v>
      </c>
      <c r="J1139" s="155" t="s">
        <v>1682</v>
      </c>
    </row>
    <row r="1140" spans="1:10">
      <c r="A1140" s="155" t="s">
        <v>4608</v>
      </c>
      <c r="B1140" s="155" t="s">
        <v>4609</v>
      </c>
      <c r="C1140" s="155" t="s">
        <v>4610</v>
      </c>
      <c r="D1140" s="155" t="s">
        <v>1668</v>
      </c>
      <c r="E1140" s="155">
        <v>1.3</v>
      </c>
      <c r="F1140" s="155">
        <v>3.9</v>
      </c>
      <c r="G1140" s="155">
        <v>52.8</v>
      </c>
      <c r="H1140" s="155" t="s">
        <v>34</v>
      </c>
      <c r="I1140" s="155" t="s">
        <v>3458</v>
      </c>
      <c r="J1140" s="155" t="s">
        <v>1682</v>
      </c>
    </row>
    <row r="1141" spans="1:10">
      <c r="A1141" s="155" t="s">
        <v>4611</v>
      </c>
      <c r="B1141" s="155" t="s">
        <v>4612</v>
      </c>
      <c r="C1141" s="155" t="s">
        <v>4613</v>
      </c>
      <c r="D1141" s="155" t="s">
        <v>1668</v>
      </c>
      <c r="E1141" s="155">
        <v>1.3</v>
      </c>
      <c r="F1141" s="155">
        <v>7.2</v>
      </c>
      <c r="G1141" s="155">
        <v>4.3</v>
      </c>
      <c r="H1141" s="155" t="s">
        <v>34</v>
      </c>
      <c r="I1141" s="155" t="s">
        <v>3458</v>
      </c>
      <c r="J1141" s="155" t="s">
        <v>1682</v>
      </c>
    </row>
    <row r="1142" spans="1:10">
      <c r="A1142" s="155" t="s">
        <v>4614</v>
      </c>
      <c r="B1142" s="155" t="s">
        <v>4615</v>
      </c>
      <c r="C1142" s="155" t="s">
        <v>4616</v>
      </c>
      <c r="D1142" s="155" t="s">
        <v>1668</v>
      </c>
      <c r="E1142" s="155">
        <v>1.4</v>
      </c>
      <c r="F1142" s="155">
        <v>7</v>
      </c>
      <c r="G1142" s="155">
        <v>153.69999999999999</v>
      </c>
      <c r="H1142" s="155" t="s">
        <v>34</v>
      </c>
      <c r="I1142" s="155" t="s">
        <v>3458</v>
      </c>
      <c r="J1142" s="155" t="s">
        <v>1682</v>
      </c>
    </row>
    <row r="1143" spans="1:10">
      <c r="A1143" s="155" t="s">
        <v>4617</v>
      </c>
      <c r="B1143" s="155" t="s">
        <v>4618</v>
      </c>
      <c r="C1143" s="155" t="s">
        <v>4619</v>
      </c>
      <c r="D1143" s="155" t="s">
        <v>1668</v>
      </c>
      <c r="E1143" s="155">
        <v>1.4</v>
      </c>
      <c r="F1143" s="155">
        <v>12.8</v>
      </c>
      <c r="G1143" s="155">
        <v>81.5</v>
      </c>
      <c r="H1143" s="155" t="s">
        <v>34</v>
      </c>
      <c r="I1143" s="155" t="s">
        <v>3458</v>
      </c>
      <c r="J1143" s="155" t="s">
        <v>1682</v>
      </c>
    </row>
    <row r="1144" spans="1:10">
      <c r="A1144" s="155" t="s">
        <v>4620</v>
      </c>
      <c r="B1144" s="155" t="s">
        <v>4621</v>
      </c>
      <c r="C1144" s="155" t="s">
        <v>4622</v>
      </c>
      <c r="D1144" s="155" t="s">
        <v>1668</v>
      </c>
      <c r="E1144" s="155">
        <v>6.4</v>
      </c>
      <c r="F1144" s="155">
        <v>2</v>
      </c>
      <c r="G1144" s="155">
        <v>41.6</v>
      </c>
      <c r="H1144" s="155" t="s">
        <v>34</v>
      </c>
      <c r="I1144" s="155" t="s">
        <v>3704</v>
      </c>
      <c r="J1144" s="155" t="s">
        <v>1682</v>
      </c>
    </row>
    <row r="1145" spans="1:10">
      <c r="A1145" s="155" t="s">
        <v>4623</v>
      </c>
      <c r="B1145" s="155" t="s">
        <v>4624</v>
      </c>
      <c r="C1145" s="155" t="s">
        <v>4625</v>
      </c>
      <c r="D1145" s="155" t="s">
        <v>1668</v>
      </c>
      <c r="E1145" s="155">
        <v>6.4</v>
      </c>
      <c r="F1145" s="155">
        <v>8.8000000000000007</v>
      </c>
      <c r="G1145" s="155">
        <v>67.8</v>
      </c>
      <c r="H1145" s="155" t="s">
        <v>34</v>
      </c>
      <c r="I1145" s="155" t="s">
        <v>3704</v>
      </c>
      <c r="J1145" s="155" t="s">
        <v>1682</v>
      </c>
    </row>
    <row r="1146" spans="1:10">
      <c r="A1146" s="155" t="s">
        <v>4626</v>
      </c>
      <c r="B1146" s="155" t="s">
        <v>4627</v>
      </c>
      <c r="C1146" s="155" t="s">
        <v>4628</v>
      </c>
      <c r="D1146" s="155" t="s">
        <v>1668</v>
      </c>
      <c r="E1146" s="155">
        <v>0.9</v>
      </c>
      <c r="F1146" s="155">
        <v>5</v>
      </c>
      <c r="G1146" s="155">
        <v>13.1</v>
      </c>
      <c r="H1146" s="155" t="s">
        <v>34</v>
      </c>
      <c r="I1146" s="155" t="s">
        <v>3403</v>
      </c>
      <c r="J1146" s="155" t="s">
        <v>1682</v>
      </c>
    </row>
    <row r="1147" spans="1:10">
      <c r="A1147" s="155" t="s">
        <v>4629</v>
      </c>
      <c r="B1147" s="155" t="s">
        <v>4630</v>
      </c>
      <c r="C1147" s="155" t="s">
        <v>4631</v>
      </c>
      <c r="D1147" s="155" t="s">
        <v>1668</v>
      </c>
      <c r="E1147" s="155">
        <v>0.9</v>
      </c>
      <c r="F1147" s="155">
        <v>21.5</v>
      </c>
      <c r="G1147" s="155">
        <v>139.19999999999999</v>
      </c>
      <c r="H1147" s="155" t="s">
        <v>34</v>
      </c>
      <c r="I1147" s="155" t="s">
        <v>3403</v>
      </c>
      <c r="J1147" s="155" t="s">
        <v>1682</v>
      </c>
    </row>
    <row r="1148" spans="1:10">
      <c r="A1148" s="155" t="s">
        <v>4632</v>
      </c>
      <c r="B1148" s="155" t="s">
        <v>4633</v>
      </c>
      <c r="C1148" s="155" t="s">
        <v>4634</v>
      </c>
      <c r="D1148" s="155" t="s">
        <v>1668</v>
      </c>
      <c r="E1148" s="155">
        <v>0.5</v>
      </c>
      <c r="F1148" s="155">
        <v>0.6</v>
      </c>
      <c r="G1148" s="155">
        <v>41</v>
      </c>
      <c r="H1148" s="155" t="s">
        <v>34</v>
      </c>
      <c r="I1148" s="155" t="s">
        <v>3403</v>
      </c>
      <c r="J1148" s="155" t="s">
        <v>1682</v>
      </c>
    </row>
    <row r="1149" spans="1:10">
      <c r="A1149" s="155" t="s">
        <v>4635</v>
      </c>
      <c r="B1149" s="155" t="s">
        <v>4636</v>
      </c>
      <c r="C1149" s="155" t="s">
        <v>4637</v>
      </c>
      <c r="D1149" s="155" t="s">
        <v>1668</v>
      </c>
      <c r="E1149" s="155">
        <v>0.5</v>
      </c>
      <c r="F1149" s="155">
        <v>1.3</v>
      </c>
      <c r="G1149" s="155">
        <v>42.6</v>
      </c>
      <c r="H1149" s="155" t="s">
        <v>34</v>
      </c>
      <c r="I1149" s="155" t="s">
        <v>3403</v>
      </c>
      <c r="J1149" s="155" t="s">
        <v>1682</v>
      </c>
    </row>
    <row r="1150" spans="1:10">
      <c r="A1150" s="155" t="s">
        <v>4638</v>
      </c>
      <c r="B1150" s="155" t="s">
        <v>4639</v>
      </c>
      <c r="C1150" s="155" t="s">
        <v>4640</v>
      </c>
      <c r="D1150" s="155" t="s">
        <v>1668</v>
      </c>
      <c r="E1150" s="155">
        <v>0.5</v>
      </c>
      <c r="F1150" s="155">
        <v>1.5</v>
      </c>
      <c r="G1150" s="155">
        <v>1.9</v>
      </c>
      <c r="H1150" s="155" t="s">
        <v>34</v>
      </c>
      <c r="I1150" s="155" t="s">
        <v>3438</v>
      </c>
      <c r="J1150" s="155" t="s">
        <v>1682</v>
      </c>
    </row>
    <row r="1151" spans="1:10">
      <c r="A1151" s="155" t="s">
        <v>4641</v>
      </c>
      <c r="B1151" s="155" t="s">
        <v>4642</v>
      </c>
      <c r="C1151" s="155" t="s">
        <v>4643</v>
      </c>
      <c r="D1151" s="155" t="s">
        <v>1668</v>
      </c>
      <c r="E1151" s="155">
        <v>0.5</v>
      </c>
      <c r="F1151" s="155">
        <v>4.3</v>
      </c>
      <c r="G1151" s="155">
        <v>77.400000000000006</v>
      </c>
      <c r="H1151" s="155" t="s">
        <v>34</v>
      </c>
      <c r="I1151" s="155" t="s">
        <v>3438</v>
      </c>
      <c r="J1151" s="155" t="s">
        <v>1682</v>
      </c>
    </row>
    <row r="1152" spans="1:10">
      <c r="A1152" s="155" t="s">
        <v>4644</v>
      </c>
      <c r="B1152" s="155" t="s">
        <v>4645</v>
      </c>
      <c r="C1152" s="155" t="s">
        <v>4646</v>
      </c>
      <c r="D1152" s="155" t="s">
        <v>1668</v>
      </c>
      <c r="E1152" s="155">
        <v>0.5</v>
      </c>
      <c r="F1152" s="155">
        <v>2.5</v>
      </c>
      <c r="G1152" s="155">
        <v>42.2</v>
      </c>
      <c r="H1152" s="155" t="s">
        <v>34</v>
      </c>
      <c r="I1152" s="155" t="s">
        <v>3438</v>
      </c>
      <c r="J1152" s="155" t="s">
        <v>4647</v>
      </c>
    </row>
    <row r="1153" spans="1:10">
      <c r="A1153" s="155" t="s">
        <v>4648</v>
      </c>
      <c r="B1153" s="155" t="s">
        <v>4649</v>
      </c>
      <c r="C1153" s="155" t="s">
        <v>4650</v>
      </c>
      <c r="D1153" s="155" t="s">
        <v>1668</v>
      </c>
      <c r="E1153" s="155">
        <v>0.5</v>
      </c>
      <c r="F1153" s="155">
        <v>1.1000000000000001</v>
      </c>
      <c r="G1153" s="155">
        <v>42.9</v>
      </c>
      <c r="H1153" s="155" t="s">
        <v>34</v>
      </c>
      <c r="I1153" s="155" t="s">
        <v>3438</v>
      </c>
      <c r="J1153" s="155" t="s">
        <v>1682</v>
      </c>
    </row>
    <row r="1154" spans="1:10">
      <c r="A1154" s="155" t="s">
        <v>4651</v>
      </c>
      <c r="B1154" s="155" t="s">
        <v>4652</v>
      </c>
      <c r="C1154" s="155" t="s">
        <v>4653</v>
      </c>
      <c r="D1154" s="155" t="s">
        <v>1668</v>
      </c>
      <c r="E1154" s="155">
        <v>0.5</v>
      </c>
      <c r="F1154" s="155">
        <v>1.5</v>
      </c>
      <c r="G1154" s="155">
        <v>2.1</v>
      </c>
      <c r="H1154" s="155" t="s">
        <v>34</v>
      </c>
      <c r="I1154" s="155" t="s">
        <v>3442</v>
      </c>
      <c r="J1154" s="155" t="s">
        <v>1682</v>
      </c>
    </row>
    <row r="1155" spans="1:10">
      <c r="A1155" s="155" t="s">
        <v>4654</v>
      </c>
      <c r="B1155" s="155" t="s">
        <v>4655</v>
      </c>
      <c r="C1155" s="155" t="s">
        <v>4656</v>
      </c>
      <c r="D1155" s="155" t="s">
        <v>1668</v>
      </c>
      <c r="E1155" s="155">
        <v>0.5</v>
      </c>
      <c r="F1155" s="155">
        <v>5.3</v>
      </c>
      <c r="G1155" s="155">
        <v>43</v>
      </c>
      <c r="H1155" s="155" t="s">
        <v>34</v>
      </c>
      <c r="I1155" s="155" t="s">
        <v>3442</v>
      </c>
      <c r="J1155" s="155" t="s">
        <v>1682</v>
      </c>
    </row>
    <row r="1156" spans="1:10">
      <c r="A1156" s="155" t="s">
        <v>4657</v>
      </c>
      <c r="B1156" s="155" t="s">
        <v>4658</v>
      </c>
      <c r="C1156" s="155" t="s">
        <v>4659</v>
      </c>
      <c r="D1156" s="155" t="s">
        <v>1668</v>
      </c>
      <c r="E1156" s="155">
        <v>0.5</v>
      </c>
      <c r="F1156" s="155">
        <v>3.5</v>
      </c>
      <c r="G1156" s="155">
        <v>42.4</v>
      </c>
      <c r="H1156" s="155" t="s">
        <v>34</v>
      </c>
      <c r="I1156" s="155" t="s">
        <v>3442</v>
      </c>
      <c r="J1156" s="155" t="s">
        <v>1682</v>
      </c>
    </row>
    <row r="1157" spans="1:10">
      <c r="A1157" s="155" t="s">
        <v>4660</v>
      </c>
      <c r="B1157" s="155" t="s">
        <v>4661</v>
      </c>
      <c r="C1157" s="155" t="s">
        <v>4662</v>
      </c>
      <c r="D1157" s="155" t="s">
        <v>1668</v>
      </c>
      <c r="E1157" s="155">
        <v>0.5</v>
      </c>
      <c r="F1157" s="155">
        <v>2</v>
      </c>
      <c r="G1157" s="155">
        <v>43</v>
      </c>
      <c r="H1157" s="155" t="s">
        <v>34</v>
      </c>
      <c r="I1157" s="155" t="s">
        <v>3442</v>
      </c>
      <c r="J1157" s="155" t="s">
        <v>1682</v>
      </c>
    </row>
    <row r="1158" spans="1:10">
      <c r="A1158" s="155" t="s">
        <v>4663</v>
      </c>
      <c r="B1158" s="155" t="s">
        <v>4664</v>
      </c>
      <c r="C1158" s="155" t="s">
        <v>4665</v>
      </c>
      <c r="D1158" s="155" t="s">
        <v>1668</v>
      </c>
      <c r="E1158" s="155">
        <v>0.5</v>
      </c>
      <c r="F1158" s="155">
        <v>0.7</v>
      </c>
      <c r="G1158" s="155">
        <v>3.3</v>
      </c>
      <c r="H1158" s="155" t="s">
        <v>34</v>
      </c>
      <c r="I1158" s="155" t="s">
        <v>3416</v>
      </c>
      <c r="J1158" s="155" t="s">
        <v>1682</v>
      </c>
    </row>
    <row r="1159" spans="1:10">
      <c r="A1159" s="155" t="s">
        <v>4666</v>
      </c>
      <c r="B1159" s="155" t="s">
        <v>4667</v>
      </c>
      <c r="C1159" s="155" t="s">
        <v>4668</v>
      </c>
      <c r="D1159" s="155" t="s">
        <v>1668</v>
      </c>
      <c r="E1159" s="155">
        <v>0.5</v>
      </c>
      <c r="F1159" s="155">
        <v>5.0999999999999996</v>
      </c>
      <c r="G1159" s="155">
        <v>42.6</v>
      </c>
      <c r="H1159" s="155" t="s">
        <v>34</v>
      </c>
      <c r="I1159" s="155" t="s">
        <v>3416</v>
      </c>
      <c r="J1159" s="155" t="s">
        <v>1682</v>
      </c>
    </row>
    <row r="1160" spans="1:10">
      <c r="A1160" s="155" t="s">
        <v>4669</v>
      </c>
      <c r="B1160" s="155" t="s">
        <v>4670</v>
      </c>
      <c r="C1160" s="155" t="s">
        <v>4671</v>
      </c>
      <c r="D1160" s="155" t="s">
        <v>1668</v>
      </c>
      <c r="E1160" s="155">
        <v>0.5</v>
      </c>
      <c r="F1160" s="155">
        <v>3</v>
      </c>
      <c r="G1160" s="155">
        <v>42</v>
      </c>
      <c r="H1160" s="155" t="s">
        <v>34</v>
      </c>
      <c r="I1160" s="155" t="s">
        <v>3416</v>
      </c>
      <c r="J1160" s="155" t="s">
        <v>1682</v>
      </c>
    </row>
    <row r="1161" spans="1:10">
      <c r="A1161" s="155" t="s">
        <v>4672</v>
      </c>
      <c r="B1161" s="155" t="s">
        <v>4673</v>
      </c>
      <c r="C1161" s="155" t="s">
        <v>4674</v>
      </c>
      <c r="D1161" s="155" t="s">
        <v>1668</v>
      </c>
      <c r="E1161" s="155">
        <v>0.5</v>
      </c>
      <c r="F1161" s="155">
        <v>1.1000000000000001</v>
      </c>
      <c r="G1161" s="155">
        <v>43.5</v>
      </c>
      <c r="H1161" s="155" t="s">
        <v>34</v>
      </c>
      <c r="I1161" s="155" t="s">
        <v>3416</v>
      </c>
      <c r="J1161" s="155" t="s">
        <v>1682</v>
      </c>
    </row>
    <row r="1162" spans="1:10">
      <c r="A1162" s="155" t="s">
        <v>4675</v>
      </c>
      <c r="B1162" s="155" t="s">
        <v>4676</v>
      </c>
      <c r="C1162" s="155" t="s">
        <v>4677</v>
      </c>
      <c r="D1162" s="155" t="s">
        <v>1668</v>
      </c>
      <c r="E1162" s="155">
        <v>0.5</v>
      </c>
      <c r="F1162" s="155">
        <v>2.2000000000000002</v>
      </c>
      <c r="G1162" s="155">
        <v>3.3</v>
      </c>
      <c r="H1162" s="155" t="s">
        <v>34</v>
      </c>
      <c r="I1162" s="155" t="s">
        <v>3412</v>
      </c>
      <c r="J1162" s="155" t="s">
        <v>1682</v>
      </c>
    </row>
    <row r="1163" spans="1:10">
      <c r="A1163" s="155" t="s">
        <v>4678</v>
      </c>
      <c r="B1163" s="155" t="s">
        <v>4679</v>
      </c>
      <c r="C1163" s="155" t="s">
        <v>4680</v>
      </c>
      <c r="D1163" s="155" t="s">
        <v>1668</v>
      </c>
      <c r="E1163" s="155">
        <v>0.5</v>
      </c>
      <c r="F1163" s="155">
        <v>0.6</v>
      </c>
      <c r="G1163" s="155">
        <v>44.7</v>
      </c>
      <c r="H1163" s="155" t="s">
        <v>34</v>
      </c>
      <c r="I1163" s="155" t="s">
        <v>3412</v>
      </c>
      <c r="J1163" s="155" t="s">
        <v>1682</v>
      </c>
    </row>
    <row r="1164" spans="1:10">
      <c r="A1164" s="155" t="s">
        <v>4681</v>
      </c>
      <c r="B1164" s="155" t="s">
        <v>4682</v>
      </c>
      <c r="C1164" s="155" t="s">
        <v>4683</v>
      </c>
      <c r="D1164" s="155" t="s">
        <v>1668</v>
      </c>
      <c r="E1164" s="155">
        <v>0.7</v>
      </c>
      <c r="F1164" s="155">
        <v>3</v>
      </c>
      <c r="G1164" s="155">
        <v>42.1</v>
      </c>
      <c r="H1164" s="155" t="s">
        <v>34</v>
      </c>
      <c r="I1164" s="155" t="s">
        <v>3412</v>
      </c>
      <c r="J1164" s="155" t="s">
        <v>1682</v>
      </c>
    </row>
    <row r="1165" spans="1:10">
      <c r="A1165" s="155" t="s">
        <v>4684</v>
      </c>
      <c r="B1165" s="155" t="s">
        <v>4685</v>
      </c>
      <c r="C1165" s="155" t="s">
        <v>4686</v>
      </c>
      <c r="D1165" s="155" t="s">
        <v>1668</v>
      </c>
      <c r="E1165" s="155">
        <v>0.7</v>
      </c>
      <c r="F1165" s="155">
        <v>2.1</v>
      </c>
      <c r="G1165" s="155">
        <v>45.4</v>
      </c>
      <c r="H1165" s="155" t="s">
        <v>34</v>
      </c>
      <c r="I1165" s="155" t="s">
        <v>3412</v>
      </c>
      <c r="J1165" s="155" t="s">
        <v>1682</v>
      </c>
    </row>
    <row r="1166" spans="1:10">
      <c r="A1166" s="155" t="s">
        <v>4687</v>
      </c>
      <c r="B1166" s="155" t="s">
        <v>4688</v>
      </c>
      <c r="C1166" s="155" t="s">
        <v>4689</v>
      </c>
      <c r="D1166" s="155" t="s">
        <v>1668</v>
      </c>
      <c r="E1166" s="155">
        <v>5.4</v>
      </c>
      <c r="F1166" s="155">
        <v>25</v>
      </c>
      <c r="G1166" s="155">
        <v>26.5</v>
      </c>
      <c r="H1166" s="155" t="s">
        <v>34</v>
      </c>
      <c r="I1166" s="155" t="s">
        <v>1791</v>
      </c>
      <c r="J1166" s="155" t="s">
        <v>1682</v>
      </c>
    </row>
    <row r="1167" spans="1:10">
      <c r="A1167" s="155" t="s">
        <v>4690</v>
      </c>
      <c r="B1167" s="155" t="s">
        <v>4691</v>
      </c>
      <c r="C1167" s="155" t="s">
        <v>4692</v>
      </c>
      <c r="D1167" s="155" t="s">
        <v>1668</v>
      </c>
      <c r="E1167" s="155">
        <v>5.4</v>
      </c>
      <c r="F1167" s="155">
        <v>0.6</v>
      </c>
      <c r="G1167" s="155">
        <v>42.5</v>
      </c>
      <c r="H1167" s="155" t="s">
        <v>34</v>
      </c>
      <c r="I1167" s="155" t="s">
        <v>1791</v>
      </c>
      <c r="J1167" s="155" t="s">
        <v>1682</v>
      </c>
    </row>
    <row r="1168" spans="1:10">
      <c r="A1168" s="155" t="s">
        <v>4693</v>
      </c>
      <c r="B1168" s="155" t="s">
        <v>4694</v>
      </c>
      <c r="C1168" s="155" t="s">
        <v>4695</v>
      </c>
      <c r="D1168" s="155" t="s">
        <v>1668</v>
      </c>
      <c r="E1168" s="155">
        <v>2.6</v>
      </c>
      <c r="F1168" s="155">
        <v>1.5</v>
      </c>
      <c r="G1168" s="155">
        <v>25.4</v>
      </c>
      <c r="H1168" s="155" t="s">
        <v>34</v>
      </c>
      <c r="I1168" s="155" t="s">
        <v>1791</v>
      </c>
      <c r="J1168" s="155" t="s">
        <v>1682</v>
      </c>
    </row>
    <row r="1169" spans="1:10">
      <c r="A1169" s="155" t="s">
        <v>4696</v>
      </c>
      <c r="B1169" s="155" t="s">
        <v>4697</v>
      </c>
      <c r="C1169" s="155" t="s">
        <v>4698</v>
      </c>
      <c r="D1169" s="155" t="s">
        <v>1668</v>
      </c>
      <c r="E1169" s="155">
        <v>2.6</v>
      </c>
      <c r="F1169" s="155">
        <v>1.6</v>
      </c>
      <c r="G1169" s="155">
        <v>30.2</v>
      </c>
      <c r="H1169" s="155" t="s">
        <v>34</v>
      </c>
      <c r="I1169" s="155" t="s">
        <v>1791</v>
      </c>
      <c r="J1169" s="155" t="s">
        <v>1682</v>
      </c>
    </row>
    <row r="1170" spans="1:10">
      <c r="A1170" s="155" t="s">
        <v>4699</v>
      </c>
      <c r="B1170" s="155" t="s">
        <v>4700</v>
      </c>
      <c r="C1170" s="155" t="s">
        <v>4701</v>
      </c>
      <c r="D1170" s="155" t="s">
        <v>1668</v>
      </c>
      <c r="E1170" s="155">
        <v>2.2000000000000002</v>
      </c>
      <c r="F1170" s="155">
        <v>14.7</v>
      </c>
      <c r="G1170" s="155">
        <v>166.6</v>
      </c>
      <c r="H1170" s="155" t="s">
        <v>34</v>
      </c>
      <c r="I1170" s="155" t="s">
        <v>1791</v>
      </c>
      <c r="J1170" s="155" t="s">
        <v>1682</v>
      </c>
    </row>
    <row r="1171" spans="1:10">
      <c r="A1171" s="155" t="s">
        <v>4702</v>
      </c>
      <c r="B1171" s="155" t="s">
        <v>4703</v>
      </c>
      <c r="C1171" s="155" t="s">
        <v>4704</v>
      </c>
      <c r="D1171" s="155" t="s">
        <v>1668</v>
      </c>
      <c r="E1171" s="155">
        <v>2.2000000000000002</v>
      </c>
      <c r="F1171" s="155">
        <v>8.3000000000000007</v>
      </c>
      <c r="G1171" s="155">
        <v>24</v>
      </c>
      <c r="H1171" s="155" t="s">
        <v>34</v>
      </c>
      <c r="I1171" s="155" t="s">
        <v>1791</v>
      </c>
      <c r="J1171" s="155" t="s">
        <v>1682</v>
      </c>
    </row>
    <row r="1172" spans="1:10">
      <c r="A1172" s="155" t="s">
        <v>4705</v>
      </c>
      <c r="B1172" s="155" t="s">
        <v>4706</v>
      </c>
      <c r="C1172" s="155" t="s">
        <v>4707</v>
      </c>
      <c r="D1172" s="155" t="s">
        <v>1668</v>
      </c>
      <c r="E1172" s="155">
        <v>0.4</v>
      </c>
      <c r="F1172" s="155">
        <v>1.5</v>
      </c>
      <c r="G1172" s="155">
        <v>28.1</v>
      </c>
      <c r="H1172" s="155" t="s">
        <v>34</v>
      </c>
      <c r="I1172" s="155" t="s">
        <v>1791</v>
      </c>
      <c r="J1172" s="155" t="s">
        <v>1682</v>
      </c>
    </row>
    <row r="1173" spans="1:10">
      <c r="A1173" s="155" t="s">
        <v>4708</v>
      </c>
      <c r="B1173" s="155" t="s">
        <v>4709</v>
      </c>
      <c r="C1173" s="155" t="s">
        <v>4710</v>
      </c>
      <c r="D1173" s="155" t="s">
        <v>1668</v>
      </c>
      <c r="E1173" s="155">
        <v>0.4</v>
      </c>
      <c r="F1173" s="155">
        <v>6</v>
      </c>
      <c r="G1173" s="155">
        <v>23</v>
      </c>
      <c r="H1173" s="155" t="s">
        <v>34</v>
      </c>
      <c r="I1173" s="155" t="s">
        <v>1791</v>
      </c>
      <c r="J1173" s="155" t="s">
        <v>1682</v>
      </c>
    </row>
    <row r="1174" spans="1:10">
      <c r="A1174" s="155" t="s">
        <v>4711</v>
      </c>
      <c r="B1174" s="155" t="s">
        <v>4712</v>
      </c>
      <c r="C1174" s="155" t="s">
        <v>4713</v>
      </c>
      <c r="D1174" s="155" t="s">
        <v>1668</v>
      </c>
      <c r="E1174" s="155">
        <v>4.7</v>
      </c>
      <c r="F1174" s="155">
        <v>42.2</v>
      </c>
      <c r="G1174" s="155">
        <v>30.7</v>
      </c>
      <c r="H1174" s="155" t="s">
        <v>34</v>
      </c>
      <c r="I1174" s="155" t="s">
        <v>4714</v>
      </c>
      <c r="J1174" s="155"/>
    </row>
    <row r="1175" spans="1:10">
      <c r="A1175" s="155" t="s">
        <v>4715</v>
      </c>
      <c r="B1175" s="155" t="s">
        <v>4716</v>
      </c>
      <c r="C1175" s="155" t="s">
        <v>4717</v>
      </c>
      <c r="D1175" s="155" t="s">
        <v>1668</v>
      </c>
      <c r="E1175" s="155"/>
      <c r="F1175" s="155">
        <v>0.2</v>
      </c>
      <c r="G1175" s="155">
        <v>0.2</v>
      </c>
      <c r="H1175" s="155" t="s">
        <v>34</v>
      </c>
      <c r="I1175" s="155" t="s">
        <v>105</v>
      </c>
      <c r="J1175" s="155"/>
    </row>
    <row r="1176" spans="1:10">
      <c r="A1176" s="155" t="s">
        <v>4718</v>
      </c>
      <c r="B1176" s="155" t="s">
        <v>4719</v>
      </c>
      <c r="C1176" s="155" t="s">
        <v>4720</v>
      </c>
      <c r="D1176" s="155" t="s">
        <v>1668</v>
      </c>
      <c r="E1176" s="155"/>
      <c r="F1176" s="155">
        <v>0.2</v>
      </c>
      <c r="G1176" s="155">
        <v>0.2</v>
      </c>
      <c r="H1176" s="155" t="s">
        <v>34</v>
      </c>
      <c r="I1176" s="155" t="s">
        <v>105</v>
      </c>
      <c r="J1176" s="155"/>
    </row>
    <row r="1177" spans="1:10">
      <c r="A1177" s="155" t="s">
        <v>4721</v>
      </c>
      <c r="B1177" s="155" t="s">
        <v>4722</v>
      </c>
      <c r="C1177" s="155" t="s">
        <v>4723</v>
      </c>
      <c r="D1177" s="155" t="s">
        <v>4724</v>
      </c>
      <c r="E1177" s="155">
        <v>0.5</v>
      </c>
      <c r="F1177" s="155">
        <v>3</v>
      </c>
      <c r="G1177" s="155">
        <v>72.599999999999994</v>
      </c>
      <c r="H1177" s="155" t="s">
        <v>34</v>
      </c>
      <c r="I1177" s="155" t="s">
        <v>48</v>
      </c>
      <c r="J1177" s="155"/>
    </row>
    <row r="1178" spans="1:10">
      <c r="A1178" s="155" t="s">
        <v>601</v>
      </c>
      <c r="B1178" s="155" t="s">
        <v>599</v>
      </c>
      <c r="C1178" s="155" t="s">
        <v>600</v>
      </c>
      <c r="D1178" s="155" t="s">
        <v>1668</v>
      </c>
      <c r="E1178" s="155">
        <v>1.5</v>
      </c>
      <c r="F1178" s="155">
        <v>5</v>
      </c>
      <c r="G1178" s="155">
        <v>3.6</v>
      </c>
      <c r="H1178" s="155" t="s">
        <v>34</v>
      </c>
      <c r="I1178" s="155" t="s">
        <v>41</v>
      </c>
      <c r="J1178" s="155"/>
    </row>
    <row r="1179" spans="1:10">
      <c r="A1179" s="155" t="s">
        <v>4725</v>
      </c>
      <c r="B1179" s="155" t="s">
        <v>4726</v>
      </c>
      <c r="C1179" s="155" t="s">
        <v>4727</v>
      </c>
      <c r="D1179" s="155" t="s">
        <v>2452</v>
      </c>
      <c r="E1179" s="155">
        <v>3</v>
      </c>
      <c r="F1179" s="155">
        <v>22</v>
      </c>
      <c r="G1179" s="155">
        <v>114.4</v>
      </c>
      <c r="H1179" s="155" t="s">
        <v>34</v>
      </c>
      <c r="I1179" s="155" t="s">
        <v>3563</v>
      </c>
      <c r="J1179" s="155"/>
    </row>
    <row r="1180" spans="1:10">
      <c r="A1180" s="155" t="s">
        <v>4728</v>
      </c>
      <c r="B1180" s="155" t="s">
        <v>4729</v>
      </c>
      <c r="C1180" s="155" t="s">
        <v>4730</v>
      </c>
      <c r="D1180" s="155" t="s">
        <v>1897</v>
      </c>
      <c r="E1180" s="155">
        <v>2</v>
      </c>
      <c r="F1180" s="155">
        <v>20</v>
      </c>
      <c r="G1180" s="155">
        <v>29.3</v>
      </c>
      <c r="H1180" s="155" t="s">
        <v>34</v>
      </c>
      <c r="I1180" s="155" t="s">
        <v>610</v>
      </c>
      <c r="J1180" s="155"/>
    </row>
    <row r="1181" spans="1:10">
      <c r="A1181" s="155" t="s">
        <v>4731</v>
      </c>
      <c r="B1181" s="155" t="s">
        <v>4732</v>
      </c>
      <c r="C1181" s="155" t="s">
        <v>4733</v>
      </c>
      <c r="D1181" s="155" t="s">
        <v>1897</v>
      </c>
      <c r="E1181" s="155">
        <v>4.9000000000000004</v>
      </c>
      <c r="F1181" s="155">
        <v>16</v>
      </c>
      <c r="G1181" s="155">
        <v>67.2</v>
      </c>
      <c r="H1181" s="155" t="s">
        <v>34</v>
      </c>
      <c r="I1181" s="155" t="s">
        <v>610</v>
      </c>
      <c r="J1181" s="155"/>
    </row>
    <row r="1182" spans="1:10">
      <c r="A1182" s="155" t="s">
        <v>4734</v>
      </c>
      <c r="B1182" s="155" t="s">
        <v>4735</v>
      </c>
      <c r="C1182" s="155" t="s">
        <v>4736</v>
      </c>
      <c r="D1182" s="155" t="s">
        <v>1897</v>
      </c>
      <c r="E1182" s="155">
        <v>2.5</v>
      </c>
      <c r="F1182" s="155">
        <v>16</v>
      </c>
      <c r="G1182" s="155">
        <v>3</v>
      </c>
      <c r="H1182" s="155" t="s">
        <v>34</v>
      </c>
      <c r="I1182" s="155" t="s">
        <v>610</v>
      </c>
      <c r="J1182" s="155"/>
    </row>
    <row r="1183" spans="1:10">
      <c r="A1183" s="155" t="s">
        <v>4737</v>
      </c>
      <c r="B1183" s="155" t="s">
        <v>4738</v>
      </c>
      <c r="C1183" s="155" t="s">
        <v>4739</v>
      </c>
      <c r="D1183" s="155" t="s">
        <v>1897</v>
      </c>
      <c r="E1183" s="155">
        <v>6.5</v>
      </c>
      <c r="F1183" s="155">
        <v>2.6</v>
      </c>
      <c r="G1183" s="155">
        <v>10.7</v>
      </c>
      <c r="H1183" s="155" t="s">
        <v>34</v>
      </c>
      <c r="I1183" s="155" t="s">
        <v>1931</v>
      </c>
      <c r="J1183" s="155" t="s">
        <v>4740</v>
      </c>
    </row>
    <row r="1184" spans="1:10">
      <c r="A1184" s="155" t="s">
        <v>4741</v>
      </c>
      <c r="B1184" s="155" t="s">
        <v>4742</v>
      </c>
      <c r="C1184" s="155" t="s">
        <v>4743</v>
      </c>
      <c r="D1184" s="155" t="s">
        <v>2827</v>
      </c>
      <c r="E1184" s="155">
        <v>2</v>
      </c>
      <c r="F1184" s="155">
        <v>21</v>
      </c>
      <c r="G1184" s="155">
        <v>5.2</v>
      </c>
      <c r="H1184" s="155" t="s">
        <v>34</v>
      </c>
      <c r="I1184" s="155" t="s">
        <v>72</v>
      </c>
      <c r="J1184" s="155"/>
    </row>
    <row r="1185" spans="1:10">
      <c r="A1185" s="155" t="s">
        <v>4744</v>
      </c>
      <c r="B1185" s="155" t="s">
        <v>4745</v>
      </c>
      <c r="C1185" s="155" t="s">
        <v>4746</v>
      </c>
      <c r="D1185" s="155" t="s">
        <v>1668</v>
      </c>
      <c r="E1185" s="155">
        <v>13.6</v>
      </c>
      <c r="F1185" s="155">
        <v>125.5</v>
      </c>
      <c r="G1185" s="155">
        <v>41.2</v>
      </c>
      <c r="H1185" s="155" t="s">
        <v>34</v>
      </c>
      <c r="I1185" s="155" t="s">
        <v>1742</v>
      </c>
      <c r="J1185" s="155" t="s">
        <v>4747</v>
      </c>
    </row>
    <row r="1186" spans="1:10">
      <c r="A1186" s="155" t="s">
        <v>678</v>
      </c>
      <c r="B1186" s="155" t="s">
        <v>676</v>
      </c>
      <c r="C1186" s="155" t="s">
        <v>677</v>
      </c>
      <c r="D1186" s="155" t="s">
        <v>1671</v>
      </c>
      <c r="E1186" s="155">
        <v>9</v>
      </c>
      <c r="F1186" s="155">
        <v>1.7</v>
      </c>
      <c r="G1186" s="155">
        <v>12.4</v>
      </c>
      <c r="H1186" s="155" t="s">
        <v>34</v>
      </c>
      <c r="I1186" s="155" t="s">
        <v>679</v>
      </c>
      <c r="J1186" s="155" t="s">
        <v>4748</v>
      </c>
    </row>
    <row r="1187" spans="1:10">
      <c r="A1187" s="155" t="s">
        <v>682</v>
      </c>
      <c r="B1187" s="155" t="s">
        <v>680</v>
      </c>
      <c r="C1187" s="155" t="s">
        <v>681</v>
      </c>
      <c r="D1187" s="155" t="s">
        <v>1671</v>
      </c>
      <c r="E1187" s="155">
        <v>13</v>
      </c>
      <c r="F1187" s="155"/>
      <c r="G1187" s="155"/>
      <c r="H1187" s="155" t="s">
        <v>34</v>
      </c>
      <c r="I1187" s="155" t="s">
        <v>679</v>
      </c>
      <c r="J1187" s="155" t="s">
        <v>4749</v>
      </c>
    </row>
    <row r="1188" spans="1:10">
      <c r="A1188" s="155" t="s">
        <v>4750</v>
      </c>
      <c r="B1188" s="155" t="s">
        <v>4751</v>
      </c>
      <c r="C1188" s="155" t="s">
        <v>4752</v>
      </c>
      <c r="D1188" s="155" t="s">
        <v>1668</v>
      </c>
      <c r="E1188" s="155">
        <v>0</v>
      </c>
      <c r="F1188" s="155">
        <v>4.5</v>
      </c>
      <c r="G1188" s="155">
        <v>2.9</v>
      </c>
      <c r="H1188" s="155" t="s">
        <v>34</v>
      </c>
      <c r="I1188" s="155" t="s">
        <v>4025</v>
      </c>
      <c r="J1188" s="155" t="s">
        <v>1840</v>
      </c>
    </row>
    <row r="1189" spans="1:10">
      <c r="A1189" s="155" t="s">
        <v>4753</v>
      </c>
      <c r="B1189" s="155" t="s">
        <v>4754</v>
      </c>
      <c r="C1189" s="155" t="s">
        <v>4755</v>
      </c>
      <c r="D1189" s="155" t="s">
        <v>1668</v>
      </c>
      <c r="E1189" s="155">
        <v>2</v>
      </c>
      <c r="F1189" s="155">
        <v>4</v>
      </c>
      <c r="G1189" s="155">
        <v>2</v>
      </c>
      <c r="H1189" s="155" t="s">
        <v>34</v>
      </c>
      <c r="I1189" s="155" t="s">
        <v>147</v>
      </c>
      <c r="J1189" s="155"/>
    </row>
    <row r="1190" spans="1:10">
      <c r="A1190" s="155" t="s">
        <v>4756</v>
      </c>
      <c r="B1190" s="155" t="s">
        <v>4757</v>
      </c>
      <c r="C1190" s="155" t="s">
        <v>4758</v>
      </c>
      <c r="D1190" s="155" t="s">
        <v>1668</v>
      </c>
      <c r="E1190" s="155">
        <v>4</v>
      </c>
      <c r="F1190" s="155">
        <v>4</v>
      </c>
      <c r="G1190" s="155">
        <v>2</v>
      </c>
      <c r="H1190" s="155" t="s">
        <v>34</v>
      </c>
      <c r="I1190" s="155" t="s">
        <v>147</v>
      </c>
      <c r="J1190" s="155"/>
    </row>
    <row r="1191" spans="1:10">
      <c r="A1191" s="155" t="s">
        <v>4759</v>
      </c>
      <c r="B1191" s="155" t="s">
        <v>4760</v>
      </c>
      <c r="C1191" s="155" t="s">
        <v>4761</v>
      </c>
      <c r="D1191" s="155" t="s">
        <v>1668</v>
      </c>
      <c r="E1191" s="155">
        <v>2</v>
      </c>
      <c r="F1191" s="155">
        <v>1</v>
      </c>
      <c r="G1191" s="155">
        <v>1</v>
      </c>
      <c r="H1191" s="155" t="s">
        <v>34</v>
      </c>
      <c r="I1191" s="155" t="s">
        <v>147</v>
      </c>
      <c r="J1191" s="155"/>
    </row>
    <row r="1192" spans="1:10">
      <c r="A1192" s="155" t="s">
        <v>4762</v>
      </c>
      <c r="B1192" s="155" t="s">
        <v>4763</v>
      </c>
      <c r="C1192" s="155" t="s">
        <v>4764</v>
      </c>
      <c r="D1192" s="155" t="s">
        <v>1668</v>
      </c>
      <c r="E1192" s="155">
        <v>4</v>
      </c>
      <c r="F1192" s="155">
        <v>8</v>
      </c>
      <c r="G1192" s="155">
        <v>4</v>
      </c>
      <c r="H1192" s="155" t="s">
        <v>34</v>
      </c>
      <c r="I1192" s="155" t="s">
        <v>2684</v>
      </c>
      <c r="J1192" s="155"/>
    </row>
    <row r="1193" spans="1:10">
      <c r="A1193" s="155" t="s">
        <v>4765</v>
      </c>
      <c r="B1193" s="155" t="s">
        <v>4766</v>
      </c>
      <c r="C1193" s="155" t="s">
        <v>4767</v>
      </c>
      <c r="D1193" s="155" t="s">
        <v>1668</v>
      </c>
      <c r="E1193" s="155">
        <v>8</v>
      </c>
      <c r="F1193" s="155">
        <v>8.5</v>
      </c>
      <c r="G1193" s="155">
        <v>6.5</v>
      </c>
      <c r="H1193" s="155" t="s">
        <v>34</v>
      </c>
      <c r="I1193" s="155" t="s">
        <v>2684</v>
      </c>
      <c r="J1193" s="155"/>
    </row>
    <row r="1194" spans="1:10">
      <c r="A1194" s="155" t="s">
        <v>4768</v>
      </c>
      <c r="B1194" s="155" t="s">
        <v>4769</v>
      </c>
      <c r="C1194" s="155" t="s">
        <v>4770</v>
      </c>
      <c r="D1194" s="155" t="s">
        <v>1668</v>
      </c>
      <c r="E1194" s="155">
        <v>2</v>
      </c>
      <c r="F1194" s="155">
        <v>2</v>
      </c>
      <c r="G1194" s="155">
        <v>1</v>
      </c>
      <c r="H1194" s="155" t="s">
        <v>34</v>
      </c>
      <c r="I1194" s="155" t="s">
        <v>2684</v>
      </c>
      <c r="J1194" s="155"/>
    </row>
    <row r="1195" spans="1:10">
      <c r="A1195" s="155" t="s">
        <v>4771</v>
      </c>
      <c r="B1195" s="155" t="s">
        <v>4772</v>
      </c>
      <c r="C1195" s="155" t="s">
        <v>4773</v>
      </c>
      <c r="D1195" s="155" t="s">
        <v>1668</v>
      </c>
      <c r="E1195" s="155">
        <v>4</v>
      </c>
      <c r="F1195" s="155">
        <v>4</v>
      </c>
      <c r="G1195" s="155">
        <v>4</v>
      </c>
      <c r="H1195" s="155" t="s">
        <v>34</v>
      </c>
      <c r="I1195" s="155" t="s">
        <v>2684</v>
      </c>
      <c r="J1195" s="155"/>
    </row>
    <row r="1196" spans="1:10">
      <c r="A1196" s="155" t="s">
        <v>4774</v>
      </c>
      <c r="B1196" s="155" t="s">
        <v>4775</v>
      </c>
      <c r="C1196" s="155" t="s">
        <v>4776</v>
      </c>
      <c r="D1196" s="155" t="s">
        <v>1668</v>
      </c>
      <c r="E1196" s="155"/>
      <c r="F1196" s="155">
        <v>1.1000000000000001</v>
      </c>
      <c r="G1196" s="155">
        <v>2.2000000000000002</v>
      </c>
      <c r="H1196" s="155" t="s">
        <v>34</v>
      </c>
      <c r="I1196" s="155" t="s">
        <v>2073</v>
      </c>
      <c r="J1196" s="155"/>
    </row>
    <row r="1197" spans="1:10">
      <c r="A1197" s="155" t="s">
        <v>4777</v>
      </c>
      <c r="B1197" s="155" t="s">
        <v>4778</v>
      </c>
      <c r="C1197" s="155" t="s">
        <v>4779</v>
      </c>
      <c r="D1197" s="155" t="s">
        <v>1668</v>
      </c>
      <c r="E1197" s="155">
        <v>4</v>
      </c>
      <c r="F1197" s="155">
        <v>4</v>
      </c>
      <c r="G1197" s="155">
        <v>4</v>
      </c>
      <c r="H1197" s="155" t="s">
        <v>34</v>
      </c>
      <c r="I1197" s="155" t="s">
        <v>147</v>
      </c>
      <c r="J1197" s="155"/>
    </row>
    <row r="1198" spans="1:10">
      <c r="A1198" s="155" t="s">
        <v>4780</v>
      </c>
      <c r="B1198" s="155" t="s">
        <v>4781</v>
      </c>
      <c r="C1198" s="155" t="s">
        <v>4782</v>
      </c>
      <c r="D1198" s="155" t="s">
        <v>1668</v>
      </c>
      <c r="E1198" s="155">
        <v>6</v>
      </c>
      <c r="F1198" s="155">
        <v>5</v>
      </c>
      <c r="G1198" s="155">
        <v>1</v>
      </c>
      <c r="H1198" s="155" t="s">
        <v>34</v>
      </c>
      <c r="I1198" s="155" t="s">
        <v>147</v>
      </c>
      <c r="J1198" s="155"/>
    </row>
    <row r="1199" spans="1:10">
      <c r="A1199" s="155" t="s">
        <v>4783</v>
      </c>
      <c r="B1199" s="155" t="s">
        <v>4784</v>
      </c>
      <c r="C1199" s="155" t="s">
        <v>4785</v>
      </c>
      <c r="D1199" s="155" t="s">
        <v>1668</v>
      </c>
      <c r="E1199" s="155">
        <v>2</v>
      </c>
      <c r="F1199" s="155">
        <v>3</v>
      </c>
      <c r="G1199" s="155">
        <v>1.5</v>
      </c>
      <c r="H1199" s="155" t="s">
        <v>34</v>
      </c>
      <c r="I1199" s="155" t="s">
        <v>147</v>
      </c>
      <c r="J1199" s="155"/>
    </row>
    <row r="1200" spans="1:10">
      <c r="A1200" s="155" t="s">
        <v>4786</v>
      </c>
      <c r="B1200" s="155" t="s">
        <v>4787</v>
      </c>
      <c r="C1200" s="155" t="s">
        <v>4788</v>
      </c>
      <c r="D1200" s="155" t="s">
        <v>1668</v>
      </c>
      <c r="E1200" s="155">
        <v>2</v>
      </c>
      <c r="F1200" s="155">
        <v>1</v>
      </c>
      <c r="G1200" s="155">
        <v>1</v>
      </c>
      <c r="H1200" s="155" t="s">
        <v>34</v>
      </c>
      <c r="I1200" s="155" t="s">
        <v>147</v>
      </c>
      <c r="J1200" s="155"/>
    </row>
    <row r="1201" spans="1:10">
      <c r="A1201" s="155" t="s">
        <v>4789</v>
      </c>
      <c r="B1201" s="155" t="s">
        <v>4790</v>
      </c>
      <c r="C1201" s="155" t="s">
        <v>4791</v>
      </c>
      <c r="D1201" s="155" t="s">
        <v>1668</v>
      </c>
      <c r="E1201" s="155">
        <v>3</v>
      </c>
      <c r="F1201" s="155">
        <v>3</v>
      </c>
      <c r="G1201" s="155">
        <v>3</v>
      </c>
      <c r="H1201" s="155" t="s">
        <v>34</v>
      </c>
      <c r="I1201" s="155" t="s">
        <v>147</v>
      </c>
      <c r="J1201" s="155"/>
    </row>
    <row r="1202" spans="1:10">
      <c r="A1202" s="155" t="s">
        <v>4792</v>
      </c>
      <c r="B1202" s="155" t="s">
        <v>4793</v>
      </c>
      <c r="C1202" s="155" t="s">
        <v>4794</v>
      </c>
      <c r="D1202" s="155" t="s">
        <v>1668</v>
      </c>
      <c r="E1202" s="155">
        <v>2</v>
      </c>
      <c r="F1202" s="155">
        <v>2</v>
      </c>
      <c r="G1202" s="155">
        <v>2</v>
      </c>
      <c r="H1202" s="155" t="s">
        <v>34</v>
      </c>
      <c r="I1202" s="155" t="s">
        <v>2684</v>
      </c>
      <c r="J1202" s="155"/>
    </row>
    <row r="1203" spans="1:10">
      <c r="A1203" s="155" t="s">
        <v>4795</v>
      </c>
      <c r="B1203" s="155" t="s">
        <v>4796</v>
      </c>
      <c r="C1203" s="155" t="s">
        <v>4797</v>
      </c>
      <c r="D1203" s="155" t="s">
        <v>1668</v>
      </c>
      <c r="E1203" s="155">
        <v>10</v>
      </c>
      <c r="F1203" s="155">
        <v>10</v>
      </c>
      <c r="G1203" s="155">
        <v>5</v>
      </c>
      <c r="H1203" s="155" t="s">
        <v>34</v>
      </c>
      <c r="I1203" s="155" t="s">
        <v>4527</v>
      </c>
      <c r="J1203" s="155"/>
    </row>
    <row r="1204" spans="1:10">
      <c r="A1204" s="155" t="s">
        <v>4798</v>
      </c>
      <c r="B1204" s="155" t="s">
        <v>4799</v>
      </c>
      <c r="C1204" s="155" t="s">
        <v>4800</v>
      </c>
      <c r="D1204" s="155" t="s">
        <v>1668</v>
      </c>
      <c r="E1204" s="155">
        <v>2</v>
      </c>
      <c r="F1204" s="155">
        <v>2</v>
      </c>
      <c r="G1204" s="155">
        <v>2</v>
      </c>
      <c r="H1204" s="155" t="s">
        <v>34</v>
      </c>
      <c r="I1204" s="155" t="s">
        <v>2684</v>
      </c>
      <c r="J1204" s="155"/>
    </row>
    <row r="1205" spans="1:10">
      <c r="A1205" s="155" t="s">
        <v>4801</v>
      </c>
      <c r="B1205" s="155" t="s">
        <v>4802</v>
      </c>
      <c r="C1205" s="155" t="s">
        <v>4803</v>
      </c>
      <c r="D1205" s="155" t="s">
        <v>1668</v>
      </c>
      <c r="E1205" s="155">
        <v>2</v>
      </c>
      <c r="F1205" s="155">
        <v>2</v>
      </c>
      <c r="G1205" s="155">
        <v>1.6</v>
      </c>
      <c r="H1205" s="155" t="s">
        <v>34</v>
      </c>
      <c r="I1205" s="155" t="s">
        <v>4527</v>
      </c>
      <c r="J1205" s="155"/>
    </row>
    <row r="1206" spans="1:10">
      <c r="A1206" s="155" t="s">
        <v>4804</v>
      </c>
      <c r="B1206" s="155" t="s">
        <v>4805</v>
      </c>
      <c r="C1206" s="155" t="s">
        <v>4806</v>
      </c>
      <c r="D1206" s="155" t="s">
        <v>1668</v>
      </c>
      <c r="E1206" s="155">
        <v>3</v>
      </c>
      <c r="F1206" s="155">
        <v>3</v>
      </c>
      <c r="G1206" s="155">
        <v>1.5</v>
      </c>
      <c r="H1206" s="155" t="s">
        <v>34</v>
      </c>
      <c r="I1206" s="155" t="s">
        <v>2684</v>
      </c>
      <c r="J1206" s="155"/>
    </row>
    <row r="1207" spans="1:10">
      <c r="A1207" s="155" t="s">
        <v>4807</v>
      </c>
      <c r="B1207" s="155" t="s">
        <v>4808</v>
      </c>
      <c r="C1207" s="155" t="s">
        <v>4809</v>
      </c>
      <c r="D1207" s="155" t="s">
        <v>1668</v>
      </c>
      <c r="E1207" s="155">
        <v>2</v>
      </c>
      <c r="F1207" s="155">
        <v>9.5</v>
      </c>
      <c r="G1207" s="155">
        <v>6.8</v>
      </c>
      <c r="H1207" s="155" t="s">
        <v>34</v>
      </c>
      <c r="I1207" s="155" t="s">
        <v>3942</v>
      </c>
      <c r="J1207" s="155"/>
    </row>
    <row r="1208" spans="1:10">
      <c r="A1208" s="155" t="s">
        <v>4810</v>
      </c>
      <c r="B1208" s="155" t="s">
        <v>4811</v>
      </c>
      <c r="C1208" s="155" t="s">
        <v>4812</v>
      </c>
      <c r="D1208" s="155" t="s">
        <v>1668</v>
      </c>
      <c r="E1208" s="155">
        <v>2</v>
      </c>
      <c r="F1208" s="155">
        <v>1.2</v>
      </c>
      <c r="G1208" s="155">
        <v>1.1000000000000001</v>
      </c>
      <c r="H1208" s="155" t="s">
        <v>34</v>
      </c>
      <c r="I1208" s="155" t="s">
        <v>3942</v>
      </c>
      <c r="J1208" s="155"/>
    </row>
    <row r="1209" spans="1:10">
      <c r="A1209" s="155" t="s">
        <v>4813</v>
      </c>
      <c r="B1209" s="155" t="s">
        <v>4814</v>
      </c>
      <c r="C1209" s="155" t="s">
        <v>4815</v>
      </c>
      <c r="D1209" s="155" t="s">
        <v>1668</v>
      </c>
      <c r="E1209" s="155">
        <v>2</v>
      </c>
      <c r="F1209" s="155">
        <v>3</v>
      </c>
      <c r="G1209" s="155">
        <v>3</v>
      </c>
      <c r="H1209" s="155" t="s">
        <v>34</v>
      </c>
      <c r="I1209" s="155" t="s">
        <v>1951</v>
      </c>
      <c r="J1209" s="155"/>
    </row>
    <row r="1210" spans="1:10">
      <c r="A1210" s="155" t="s">
        <v>4816</v>
      </c>
      <c r="B1210" s="155" t="s">
        <v>4817</v>
      </c>
      <c r="C1210" s="155" t="s">
        <v>4818</v>
      </c>
      <c r="D1210" s="155" t="s">
        <v>1668</v>
      </c>
      <c r="E1210" s="155">
        <v>4</v>
      </c>
      <c r="F1210" s="155">
        <v>16.2</v>
      </c>
      <c r="G1210" s="155">
        <v>4.2</v>
      </c>
      <c r="H1210" s="155" t="s">
        <v>34</v>
      </c>
      <c r="I1210" s="155" t="s">
        <v>159</v>
      </c>
      <c r="J1210" s="155"/>
    </row>
    <row r="1211" spans="1:10">
      <c r="A1211" s="155" t="s">
        <v>4819</v>
      </c>
      <c r="B1211" s="155" t="s">
        <v>4820</v>
      </c>
      <c r="C1211" s="155" t="s">
        <v>4821</v>
      </c>
      <c r="D1211" s="155" t="s">
        <v>1668</v>
      </c>
      <c r="E1211" s="155">
        <v>8</v>
      </c>
      <c r="F1211" s="155">
        <v>8</v>
      </c>
      <c r="G1211" s="155">
        <v>3.5</v>
      </c>
      <c r="H1211" s="155" t="s">
        <v>34</v>
      </c>
      <c r="I1211" s="155" t="s">
        <v>159</v>
      </c>
      <c r="J1211" s="155"/>
    </row>
    <row r="1212" spans="1:10">
      <c r="A1212" s="155" t="s">
        <v>4822</v>
      </c>
      <c r="B1212" s="155" t="s">
        <v>4823</v>
      </c>
      <c r="C1212" s="155" t="s">
        <v>4824</v>
      </c>
      <c r="D1212" s="155" t="s">
        <v>1668</v>
      </c>
      <c r="E1212" s="155">
        <v>8</v>
      </c>
      <c r="F1212" s="155">
        <v>8</v>
      </c>
      <c r="G1212" s="155">
        <v>2</v>
      </c>
      <c r="H1212" s="155" t="s">
        <v>34</v>
      </c>
      <c r="I1212" s="155" t="s">
        <v>159</v>
      </c>
      <c r="J1212" s="155"/>
    </row>
    <row r="1213" spans="1:10">
      <c r="A1213" s="155" t="s">
        <v>4825</v>
      </c>
      <c r="B1213" s="155" t="s">
        <v>4826</v>
      </c>
      <c r="C1213" s="155" t="s">
        <v>4827</v>
      </c>
      <c r="D1213" s="155" t="s">
        <v>1668</v>
      </c>
      <c r="E1213" s="155">
        <v>6</v>
      </c>
      <c r="F1213" s="155">
        <v>6</v>
      </c>
      <c r="G1213" s="155">
        <v>6</v>
      </c>
      <c r="H1213" s="155" t="s">
        <v>34</v>
      </c>
      <c r="I1213" s="155" t="s">
        <v>159</v>
      </c>
      <c r="J1213" s="155"/>
    </row>
    <row r="1214" spans="1:10">
      <c r="A1214" s="155" t="s">
        <v>4828</v>
      </c>
      <c r="B1214" s="155" t="s">
        <v>4829</v>
      </c>
      <c r="C1214" s="155" t="s">
        <v>4830</v>
      </c>
      <c r="D1214" s="155" t="s">
        <v>1668</v>
      </c>
      <c r="E1214" s="155">
        <v>6.5</v>
      </c>
      <c r="F1214" s="155">
        <v>6.5</v>
      </c>
      <c r="G1214" s="155">
        <v>6.5</v>
      </c>
      <c r="H1214" s="155" t="s">
        <v>34</v>
      </c>
      <c r="I1214" s="155" t="s">
        <v>159</v>
      </c>
      <c r="J1214" s="155"/>
    </row>
    <row r="1215" spans="1:10">
      <c r="A1215" s="155" t="s">
        <v>4831</v>
      </c>
      <c r="B1215" s="155" t="s">
        <v>4832</v>
      </c>
      <c r="C1215" s="155" t="s">
        <v>4833</v>
      </c>
      <c r="D1215" s="155" t="s">
        <v>1668</v>
      </c>
      <c r="E1215" s="155">
        <v>8</v>
      </c>
      <c r="F1215" s="155">
        <v>12</v>
      </c>
      <c r="G1215" s="155">
        <v>6</v>
      </c>
      <c r="H1215" s="155" t="s">
        <v>34</v>
      </c>
      <c r="I1215" s="155" t="s">
        <v>159</v>
      </c>
      <c r="J1215" s="155"/>
    </row>
    <row r="1216" spans="1:10">
      <c r="A1216" s="155" t="s">
        <v>4834</v>
      </c>
      <c r="B1216" s="155" t="s">
        <v>4835</v>
      </c>
      <c r="C1216" s="155" t="s">
        <v>712</v>
      </c>
      <c r="D1216" s="155" t="s">
        <v>1668</v>
      </c>
      <c r="E1216" s="155">
        <v>12</v>
      </c>
      <c r="F1216" s="155">
        <v>12</v>
      </c>
      <c r="G1216" s="155">
        <v>6</v>
      </c>
      <c r="H1216" s="155" t="s">
        <v>34</v>
      </c>
      <c r="I1216" s="155" t="s">
        <v>360</v>
      </c>
      <c r="J1216" s="155"/>
    </row>
    <row r="1217" spans="1:10">
      <c r="A1217" s="155" t="s">
        <v>4836</v>
      </c>
      <c r="B1217" s="155" t="s">
        <v>4837</v>
      </c>
      <c r="C1217" s="155" t="s">
        <v>713</v>
      </c>
      <c r="D1217" s="155" t="s">
        <v>1668</v>
      </c>
      <c r="E1217" s="155">
        <v>120</v>
      </c>
      <c r="F1217" s="155">
        <v>120.5</v>
      </c>
      <c r="G1217" s="155">
        <v>53.3</v>
      </c>
      <c r="H1217" s="155" t="s">
        <v>34</v>
      </c>
      <c r="I1217" s="155" t="s">
        <v>360</v>
      </c>
      <c r="J1217" s="155"/>
    </row>
    <row r="1218" spans="1:10">
      <c r="A1218" s="155" t="s">
        <v>4838</v>
      </c>
      <c r="B1218" s="155" t="s">
        <v>4839</v>
      </c>
      <c r="C1218" s="155" t="s">
        <v>715</v>
      </c>
      <c r="D1218" s="155" t="s">
        <v>1668</v>
      </c>
      <c r="E1218" s="155">
        <v>22</v>
      </c>
      <c r="F1218" s="155">
        <v>22</v>
      </c>
      <c r="G1218" s="155">
        <v>106.1</v>
      </c>
      <c r="H1218" s="155" t="s">
        <v>34</v>
      </c>
      <c r="I1218" s="155" t="s">
        <v>360</v>
      </c>
      <c r="J1218" s="155"/>
    </row>
    <row r="1219" spans="1:10">
      <c r="A1219" s="155" t="s">
        <v>4840</v>
      </c>
      <c r="B1219" s="155" t="s">
        <v>4841</v>
      </c>
      <c r="C1219" s="155" t="s">
        <v>716</v>
      </c>
      <c r="D1219" s="155" t="s">
        <v>1668</v>
      </c>
      <c r="E1219" s="155">
        <v>5</v>
      </c>
      <c r="F1219" s="155">
        <v>5</v>
      </c>
      <c r="G1219" s="155">
        <v>5</v>
      </c>
      <c r="H1219" s="155" t="s">
        <v>34</v>
      </c>
      <c r="I1219" s="155" t="s">
        <v>360</v>
      </c>
      <c r="J1219" s="155"/>
    </row>
    <row r="1220" spans="1:10">
      <c r="A1220" s="155" t="s">
        <v>4842</v>
      </c>
      <c r="B1220" s="155" t="s">
        <v>4843</v>
      </c>
      <c r="C1220" s="155" t="s">
        <v>717</v>
      </c>
      <c r="D1220" s="155" t="s">
        <v>1668</v>
      </c>
      <c r="E1220" s="155">
        <v>3</v>
      </c>
      <c r="F1220" s="155">
        <v>3</v>
      </c>
      <c r="G1220" s="155">
        <v>1.5</v>
      </c>
      <c r="H1220" s="155" t="s">
        <v>34</v>
      </c>
      <c r="I1220" s="155" t="s">
        <v>360</v>
      </c>
      <c r="J1220" s="155"/>
    </row>
    <row r="1221" spans="1:10">
      <c r="A1221" s="155" t="s">
        <v>4844</v>
      </c>
      <c r="B1221" s="155" t="s">
        <v>4845</v>
      </c>
      <c r="C1221" s="155" t="s">
        <v>718</v>
      </c>
      <c r="D1221" s="155" t="s">
        <v>1668</v>
      </c>
      <c r="E1221" s="155">
        <v>3</v>
      </c>
      <c r="F1221" s="155">
        <v>3</v>
      </c>
      <c r="G1221" s="155">
        <v>3</v>
      </c>
      <c r="H1221" s="155" t="s">
        <v>34</v>
      </c>
      <c r="I1221" s="155" t="s">
        <v>360</v>
      </c>
      <c r="J1221" s="155"/>
    </row>
    <row r="1222" spans="1:10">
      <c r="A1222" s="155" t="s">
        <v>4846</v>
      </c>
      <c r="B1222" s="155" t="s">
        <v>4847</v>
      </c>
      <c r="C1222" s="155" t="s">
        <v>719</v>
      </c>
      <c r="D1222" s="155" t="s">
        <v>1668</v>
      </c>
      <c r="E1222" s="155">
        <v>13</v>
      </c>
      <c r="F1222" s="155">
        <v>13</v>
      </c>
      <c r="G1222" s="155">
        <v>105.7</v>
      </c>
      <c r="H1222" s="155" t="s">
        <v>34</v>
      </c>
      <c r="I1222" s="155" t="s">
        <v>360</v>
      </c>
      <c r="J1222" s="155"/>
    </row>
    <row r="1223" spans="1:10">
      <c r="A1223" s="155" t="s">
        <v>4848</v>
      </c>
      <c r="B1223" s="155" t="s">
        <v>4849</v>
      </c>
      <c r="C1223" s="155" t="s">
        <v>720</v>
      </c>
      <c r="D1223" s="155" t="s">
        <v>1668</v>
      </c>
      <c r="E1223" s="155">
        <v>3</v>
      </c>
      <c r="F1223" s="155">
        <v>3</v>
      </c>
      <c r="G1223" s="155">
        <v>3</v>
      </c>
      <c r="H1223" s="155" t="s">
        <v>34</v>
      </c>
      <c r="I1223" s="155" t="s">
        <v>360</v>
      </c>
      <c r="J1223" s="155"/>
    </row>
    <row r="1224" spans="1:10">
      <c r="A1224" s="155" t="s">
        <v>4850</v>
      </c>
      <c r="B1224" s="155" t="s">
        <v>4851</v>
      </c>
      <c r="C1224" s="155" t="s">
        <v>4852</v>
      </c>
      <c r="D1224" s="155" t="s">
        <v>1668</v>
      </c>
      <c r="E1224" s="155">
        <v>3</v>
      </c>
      <c r="F1224" s="155">
        <v>4</v>
      </c>
      <c r="G1224" s="155">
        <v>4.0999999999999996</v>
      </c>
      <c r="H1224" s="155" t="s">
        <v>34</v>
      </c>
      <c r="I1224" s="155" t="s">
        <v>2684</v>
      </c>
      <c r="J1224" s="155"/>
    </row>
    <row r="1225" spans="1:10">
      <c r="A1225" s="155" t="s">
        <v>4853</v>
      </c>
      <c r="B1225" s="155" t="s">
        <v>4854</v>
      </c>
      <c r="C1225" s="155" t="s">
        <v>4855</v>
      </c>
      <c r="D1225" s="155" t="s">
        <v>1668</v>
      </c>
      <c r="E1225" s="155">
        <v>5</v>
      </c>
      <c r="F1225" s="155">
        <v>5</v>
      </c>
      <c r="G1225" s="155">
        <v>2</v>
      </c>
      <c r="H1225" s="155" t="s">
        <v>34</v>
      </c>
      <c r="I1225" s="155" t="s">
        <v>2684</v>
      </c>
      <c r="J1225" s="155"/>
    </row>
    <row r="1226" spans="1:10">
      <c r="A1226" s="155" t="s">
        <v>4856</v>
      </c>
      <c r="B1226" s="155" t="s">
        <v>4857</v>
      </c>
      <c r="C1226" s="155" t="s">
        <v>721</v>
      </c>
      <c r="D1226" s="155" t="s">
        <v>1668</v>
      </c>
      <c r="E1226" s="155">
        <v>2</v>
      </c>
      <c r="F1226" s="155">
        <v>2</v>
      </c>
      <c r="G1226" s="155">
        <v>2</v>
      </c>
      <c r="H1226" s="155" t="s">
        <v>34</v>
      </c>
      <c r="I1226" s="155" t="s">
        <v>360</v>
      </c>
      <c r="J1226" s="155"/>
    </row>
    <row r="1227" spans="1:10">
      <c r="A1227" s="155" t="s">
        <v>4858</v>
      </c>
      <c r="B1227" s="155" t="s">
        <v>4859</v>
      </c>
      <c r="C1227" s="155" t="s">
        <v>4860</v>
      </c>
      <c r="D1227" s="155" t="s">
        <v>1668</v>
      </c>
      <c r="E1227" s="155"/>
      <c r="F1227" s="155">
        <v>10</v>
      </c>
      <c r="G1227" s="155">
        <v>2.5</v>
      </c>
      <c r="H1227" s="155" t="s">
        <v>34</v>
      </c>
      <c r="I1227" s="155" t="s">
        <v>2684</v>
      </c>
      <c r="J1227" s="155"/>
    </row>
    <row r="1228" spans="1:10">
      <c r="A1228" s="155" t="s">
        <v>4861</v>
      </c>
      <c r="B1228" s="155" t="s">
        <v>4862</v>
      </c>
      <c r="C1228" s="155" t="s">
        <v>4863</v>
      </c>
      <c r="D1228" s="155" t="s">
        <v>1668</v>
      </c>
      <c r="E1228" s="155">
        <v>4</v>
      </c>
      <c r="F1228" s="155">
        <v>5.5</v>
      </c>
      <c r="G1228" s="155">
        <v>2.9</v>
      </c>
      <c r="H1228" s="155" t="s">
        <v>34</v>
      </c>
      <c r="I1228" s="155" t="s">
        <v>159</v>
      </c>
      <c r="J1228" s="155"/>
    </row>
    <row r="1229" spans="1:10">
      <c r="A1229" s="155" t="s">
        <v>4864</v>
      </c>
      <c r="B1229" s="155" t="s">
        <v>4865</v>
      </c>
      <c r="C1229" s="155" t="s">
        <v>4866</v>
      </c>
      <c r="D1229" s="155" t="s">
        <v>1668</v>
      </c>
      <c r="E1229" s="155">
        <v>4</v>
      </c>
      <c r="F1229" s="155">
        <v>13</v>
      </c>
      <c r="G1229" s="155">
        <v>8</v>
      </c>
      <c r="H1229" s="155" t="s">
        <v>34</v>
      </c>
      <c r="I1229" s="155" t="s">
        <v>2165</v>
      </c>
      <c r="J1229" s="155"/>
    </row>
    <row r="1230" spans="1:10">
      <c r="A1230" s="155" t="s">
        <v>4867</v>
      </c>
      <c r="B1230" s="155" t="s">
        <v>4868</v>
      </c>
      <c r="C1230" s="155" t="s">
        <v>725</v>
      </c>
      <c r="D1230" s="155" t="s">
        <v>1668</v>
      </c>
      <c r="E1230" s="155">
        <v>24</v>
      </c>
      <c r="F1230" s="155">
        <v>24</v>
      </c>
      <c r="G1230" s="155">
        <v>128.6</v>
      </c>
      <c r="H1230" s="155" t="s">
        <v>34</v>
      </c>
      <c r="I1230" s="155" t="s">
        <v>360</v>
      </c>
      <c r="J1230" s="155"/>
    </row>
    <row r="1231" spans="1:10">
      <c r="A1231" s="155" t="s">
        <v>4869</v>
      </c>
      <c r="B1231" s="155" t="s">
        <v>4870</v>
      </c>
      <c r="C1231" s="155" t="s">
        <v>726</v>
      </c>
      <c r="D1231" s="155" t="s">
        <v>1668</v>
      </c>
      <c r="E1231" s="155">
        <v>24</v>
      </c>
      <c r="F1231" s="155">
        <v>24</v>
      </c>
      <c r="G1231" s="155">
        <v>8</v>
      </c>
      <c r="H1231" s="155" t="s">
        <v>34</v>
      </c>
      <c r="I1231" s="155" t="s">
        <v>360</v>
      </c>
      <c r="J1231" s="155"/>
    </row>
    <row r="1232" spans="1:10">
      <c r="A1232" s="155" t="s">
        <v>4871</v>
      </c>
      <c r="B1232" s="155" t="s">
        <v>4872</v>
      </c>
      <c r="C1232" s="155" t="s">
        <v>727</v>
      </c>
      <c r="D1232" s="155" t="s">
        <v>1668</v>
      </c>
      <c r="E1232" s="155">
        <v>47</v>
      </c>
      <c r="F1232" s="155">
        <v>47</v>
      </c>
      <c r="G1232" s="155">
        <v>56.1</v>
      </c>
      <c r="H1232" s="155" t="s">
        <v>34</v>
      </c>
      <c r="I1232" s="155" t="s">
        <v>360</v>
      </c>
      <c r="J1232" s="155"/>
    </row>
    <row r="1233" spans="1:10">
      <c r="A1233" s="155" t="s">
        <v>4873</v>
      </c>
      <c r="B1233" s="155" t="s">
        <v>4874</v>
      </c>
      <c r="C1233" s="155" t="s">
        <v>4875</v>
      </c>
      <c r="D1233" s="155" t="s">
        <v>1897</v>
      </c>
      <c r="E1233" s="155">
        <v>1.5</v>
      </c>
      <c r="F1233" s="155">
        <v>1.7</v>
      </c>
      <c r="G1233" s="155">
        <v>1</v>
      </c>
      <c r="H1233" s="155" t="s">
        <v>34</v>
      </c>
      <c r="I1233" s="155" t="s">
        <v>48</v>
      </c>
      <c r="J1233" s="155" t="s">
        <v>3610</v>
      </c>
    </row>
    <row r="1234" spans="1:10">
      <c r="A1234" s="155" t="s">
        <v>4876</v>
      </c>
      <c r="B1234" s="155" t="s">
        <v>4877</v>
      </c>
      <c r="C1234" s="155" t="s">
        <v>731</v>
      </c>
      <c r="D1234" s="155" t="s">
        <v>2827</v>
      </c>
      <c r="E1234" s="155">
        <v>2</v>
      </c>
      <c r="F1234" s="155">
        <v>4</v>
      </c>
      <c r="G1234" s="155">
        <v>4.4000000000000004</v>
      </c>
      <c r="H1234" s="155" t="s">
        <v>34</v>
      </c>
      <c r="I1234" s="155" t="s">
        <v>83</v>
      </c>
      <c r="J1234" s="155"/>
    </row>
    <row r="1235" spans="1:10">
      <c r="A1235" s="155" t="s">
        <v>4878</v>
      </c>
      <c r="B1235" s="155" t="s">
        <v>4879</v>
      </c>
      <c r="C1235" s="155" t="s">
        <v>733</v>
      </c>
      <c r="D1235" s="155" t="s">
        <v>1668</v>
      </c>
      <c r="E1235" s="155">
        <v>1</v>
      </c>
      <c r="F1235" s="155">
        <v>1</v>
      </c>
      <c r="G1235" s="155">
        <v>1</v>
      </c>
      <c r="H1235" s="155" t="s">
        <v>34</v>
      </c>
      <c r="I1235" s="155" t="s">
        <v>360</v>
      </c>
      <c r="J1235" s="155"/>
    </row>
    <row r="1236" spans="1:10">
      <c r="A1236" s="155" t="s">
        <v>4880</v>
      </c>
      <c r="B1236" s="155" t="s">
        <v>4881</v>
      </c>
      <c r="C1236" s="155" t="s">
        <v>734</v>
      </c>
      <c r="D1236" s="155" t="s">
        <v>1668</v>
      </c>
      <c r="E1236" s="155">
        <v>6.5</v>
      </c>
      <c r="F1236" s="155">
        <v>6.5</v>
      </c>
      <c r="G1236" s="155">
        <v>59.3</v>
      </c>
      <c r="H1236" s="155" t="s">
        <v>34</v>
      </c>
      <c r="I1236" s="155" t="s">
        <v>360</v>
      </c>
      <c r="J1236" s="155"/>
    </row>
    <row r="1237" spans="1:10">
      <c r="A1237" s="155" t="s">
        <v>4882</v>
      </c>
      <c r="B1237" s="155" t="s">
        <v>4883</v>
      </c>
      <c r="C1237" s="155" t="s">
        <v>4884</v>
      </c>
      <c r="D1237" s="155" t="s">
        <v>1668</v>
      </c>
      <c r="E1237" s="155">
        <v>0.2</v>
      </c>
      <c r="F1237" s="155">
        <v>1</v>
      </c>
      <c r="G1237" s="155">
        <v>1</v>
      </c>
      <c r="H1237" s="155" t="s">
        <v>34</v>
      </c>
      <c r="I1237" s="155" t="s">
        <v>271</v>
      </c>
      <c r="J1237" s="155" t="s">
        <v>1692</v>
      </c>
    </row>
    <row r="1238" spans="1:10">
      <c r="A1238" s="155" t="s">
        <v>4885</v>
      </c>
      <c r="B1238" s="155" t="s">
        <v>4886</v>
      </c>
      <c r="C1238" s="155" t="s">
        <v>4887</v>
      </c>
      <c r="D1238" s="155" t="s">
        <v>1668</v>
      </c>
      <c r="E1238" s="155">
        <v>8</v>
      </c>
      <c r="F1238" s="155">
        <v>3.1</v>
      </c>
      <c r="G1238" s="155">
        <v>1.4</v>
      </c>
      <c r="H1238" s="155" t="s">
        <v>34</v>
      </c>
      <c r="I1238" s="155" t="s">
        <v>2684</v>
      </c>
      <c r="J1238" s="155"/>
    </row>
    <row r="1239" spans="1:10">
      <c r="A1239" s="155" t="s">
        <v>4888</v>
      </c>
      <c r="B1239" s="155" t="s">
        <v>4889</v>
      </c>
      <c r="C1239" s="155" t="s">
        <v>735</v>
      </c>
      <c r="D1239" s="155" t="s">
        <v>1668</v>
      </c>
      <c r="E1239" s="155">
        <v>3.5</v>
      </c>
      <c r="F1239" s="155">
        <v>3</v>
      </c>
      <c r="G1239" s="155">
        <v>1.5</v>
      </c>
      <c r="H1239" s="155" t="s">
        <v>34</v>
      </c>
      <c r="I1239" s="155" t="s">
        <v>360</v>
      </c>
      <c r="J1239" s="155"/>
    </row>
    <row r="1240" spans="1:10">
      <c r="A1240" s="155" t="s">
        <v>4890</v>
      </c>
      <c r="B1240" s="155" t="s">
        <v>4891</v>
      </c>
      <c r="C1240" s="155" t="s">
        <v>736</v>
      </c>
      <c r="D1240" s="155" t="s">
        <v>1668</v>
      </c>
      <c r="E1240" s="155">
        <v>29</v>
      </c>
      <c r="F1240" s="155">
        <v>29</v>
      </c>
      <c r="G1240" s="155">
        <v>128.6</v>
      </c>
      <c r="H1240" s="155" t="s">
        <v>34</v>
      </c>
      <c r="I1240" s="155" t="s">
        <v>360</v>
      </c>
      <c r="J1240" s="155"/>
    </row>
    <row r="1241" spans="1:10">
      <c r="A1241" s="155" t="s">
        <v>4892</v>
      </c>
      <c r="B1241" s="155" t="s">
        <v>4893</v>
      </c>
      <c r="C1241" s="155" t="s">
        <v>741</v>
      </c>
      <c r="D1241" s="155" t="s">
        <v>1668</v>
      </c>
      <c r="E1241" s="155">
        <v>2</v>
      </c>
      <c r="F1241" s="155">
        <v>2</v>
      </c>
      <c r="G1241" s="155">
        <v>2</v>
      </c>
      <c r="H1241" s="155" t="s">
        <v>34</v>
      </c>
      <c r="I1241" s="155" t="s">
        <v>360</v>
      </c>
      <c r="J1241" s="155"/>
    </row>
    <row r="1242" spans="1:10">
      <c r="A1242" s="155" t="s">
        <v>4894</v>
      </c>
      <c r="B1242" s="155" t="s">
        <v>4895</v>
      </c>
      <c r="C1242" s="155" t="s">
        <v>4896</v>
      </c>
      <c r="D1242" s="155" t="s">
        <v>1668</v>
      </c>
      <c r="E1242" s="155">
        <v>8</v>
      </c>
      <c r="F1242" s="155">
        <v>11.1</v>
      </c>
      <c r="G1242" s="155">
        <v>3.6</v>
      </c>
      <c r="H1242" s="155" t="s">
        <v>34</v>
      </c>
      <c r="I1242" s="155" t="s">
        <v>2684</v>
      </c>
      <c r="J1242" s="155"/>
    </row>
    <row r="1243" spans="1:10">
      <c r="A1243" s="155" t="s">
        <v>4897</v>
      </c>
      <c r="B1243" s="155" t="s">
        <v>4898</v>
      </c>
      <c r="C1243" s="155" t="s">
        <v>4899</v>
      </c>
      <c r="D1243" s="155" t="s">
        <v>1668</v>
      </c>
      <c r="E1243" s="155">
        <v>4</v>
      </c>
      <c r="F1243" s="155">
        <v>5</v>
      </c>
      <c r="G1243" s="155">
        <v>2</v>
      </c>
      <c r="H1243" s="155" t="s">
        <v>34</v>
      </c>
      <c r="I1243" s="155" t="s">
        <v>2684</v>
      </c>
      <c r="J1243" s="155"/>
    </row>
    <row r="1244" spans="1:10">
      <c r="A1244" s="155" t="s">
        <v>4900</v>
      </c>
      <c r="B1244" s="155" t="s">
        <v>4901</v>
      </c>
      <c r="C1244" s="155" t="s">
        <v>746</v>
      </c>
      <c r="D1244" s="155" t="s">
        <v>1668</v>
      </c>
      <c r="E1244" s="155"/>
      <c r="F1244" s="155">
        <v>14</v>
      </c>
      <c r="G1244" s="155">
        <v>3.3</v>
      </c>
      <c r="H1244" s="155" t="s">
        <v>34</v>
      </c>
      <c r="I1244" s="155" t="s">
        <v>159</v>
      </c>
      <c r="J1244" s="155"/>
    </row>
    <row r="1245" spans="1:10">
      <c r="A1245" s="155" t="s">
        <v>4902</v>
      </c>
      <c r="B1245" s="155" t="s">
        <v>4903</v>
      </c>
      <c r="C1245" s="155" t="s">
        <v>748</v>
      </c>
      <c r="D1245" s="155" t="s">
        <v>1668</v>
      </c>
      <c r="E1245" s="155">
        <v>2</v>
      </c>
      <c r="F1245" s="155">
        <v>2</v>
      </c>
      <c r="G1245" s="155">
        <v>2</v>
      </c>
      <c r="H1245" s="155" t="s">
        <v>34</v>
      </c>
      <c r="I1245" s="155" t="s">
        <v>360</v>
      </c>
      <c r="J1245" s="155"/>
    </row>
    <row r="1246" spans="1:10">
      <c r="A1246" s="155" t="s">
        <v>4904</v>
      </c>
      <c r="B1246" s="155" t="s">
        <v>4905</v>
      </c>
      <c r="C1246" s="155" t="s">
        <v>749</v>
      </c>
      <c r="D1246" s="155" t="s">
        <v>1668</v>
      </c>
      <c r="E1246" s="155">
        <v>6</v>
      </c>
      <c r="F1246" s="155">
        <v>6</v>
      </c>
      <c r="G1246" s="155">
        <v>6</v>
      </c>
      <c r="H1246" s="155" t="s">
        <v>34</v>
      </c>
      <c r="I1246" s="155" t="s">
        <v>360</v>
      </c>
      <c r="J1246" s="155"/>
    </row>
    <row r="1247" spans="1:10">
      <c r="A1247" s="155" t="s">
        <v>4906</v>
      </c>
      <c r="B1247" s="155" t="s">
        <v>4907</v>
      </c>
      <c r="C1247" s="155" t="s">
        <v>751</v>
      </c>
      <c r="D1247" s="155" t="s">
        <v>1668</v>
      </c>
      <c r="E1247" s="155">
        <v>5</v>
      </c>
      <c r="F1247" s="155">
        <v>5</v>
      </c>
      <c r="G1247" s="155">
        <v>3</v>
      </c>
      <c r="H1247" s="155" t="s">
        <v>34</v>
      </c>
      <c r="I1247" s="155" t="s">
        <v>360</v>
      </c>
      <c r="J1247" s="155"/>
    </row>
    <row r="1248" spans="1:10">
      <c r="A1248" s="155" t="s">
        <v>4908</v>
      </c>
      <c r="B1248" s="155" t="s">
        <v>4909</v>
      </c>
      <c r="C1248" s="155" t="s">
        <v>752</v>
      </c>
      <c r="D1248" s="155" t="s">
        <v>1668</v>
      </c>
      <c r="E1248" s="155">
        <v>2</v>
      </c>
      <c r="F1248" s="155">
        <v>2</v>
      </c>
      <c r="G1248" s="155">
        <v>44.3</v>
      </c>
      <c r="H1248" s="155" t="s">
        <v>34</v>
      </c>
      <c r="I1248" s="155" t="s">
        <v>360</v>
      </c>
      <c r="J1248" s="155"/>
    </row>
    <row r="1249" spans="1:10">
      <c r="A1249" s="155" t="s">
        <v>4910</v>
      </c>
      <c r="B1249" s="155" t="s">
        <v>4911</v>
      </c>
      <c r="C1249" s="155" t="s">
        <v>753</v>
      </c>
      <c r="D1249" s="155" t="s">
        <v>1668</v>
      </c>
      <c r="E1249" s="155">
        <v>2</v>
      </c>
      <c r="F1249" s="155">
        <v>2</v>
      </c>
      <c r="G1249" s="155">
        <v>2</v>
      </c>
      <c r="H1249" s="155" t="s">
        <v>34</v>
      </c>
      <c r="I1249" s="155" t="s">
        <v>360</v>
      </c>
      <c r="J1249" s="155"/>
    </row>
    <row r="1250" spans="1:10">
      <c r="A1250" s="155" t="s">
        <v>4912</v>
      </c>
      <c r="B1250" s="155" t="s">
        <v>4913</v>
      </c>
      <c r="C1250" s="155" t="s">
        <v>755</v>
      </c>
      <c r="D1250" s="155" t="s">
        <v>1668</v>
      </c>
      <c r="E1250" s="155"/>
      <c r="F1250" s="155">
        <v>4.5</v>
      </c>
      <c r="G1250" s="155">
        <v>2.4</v>
      </c>
      <c r="H1250" s="155" t="s">
        <v>34</v>
      </c>
      <c r="I1250" s="155" t="s">
        <v>401</v>
      </c>
      <c r="J1250" s="155"/>
    </row>
    <row r="1251" spans="1:10">
      <c r="A1251" s="155" t="s">
        <v>4914</v>
      </c>
      <c r="B1251" s="155" t="s">
        <v>4915</v>
      </c>
      <c r="C1251" s="155" t="s">
        <v>758</v>
      </c>
      <c r="D1251" s="155" t="s">
        <v>1668</v>
      </c>
      <c r="E1251" s="155"/>
      <c r="F1251" s="155">
        <v>6</v>
      </c>
      <c r="G1251" s="155">
        <v>2.2000000000000002</v>
      </c>
      <c r="H1251" s="155" t="s">
        <v>34</v>
      </c>
      <c r="I1251" s="155" t="s">
        <v>69</v>
      </c>
      <c r="J1251" s="155"/>
    </row>
    <row r="1252" spans="1:10">
      <c r="A1252" s="155" t="s">
        <v>4916</v>
      </c>
      <c r="B1252" s="155" t="s">
        <v>4917</v>
      </c>
      <c r="C1252" s="155" t="s">
        <v>4918</v>
      </c>
      <c r="D1252" s="155" t="s">
        <v>1668</v>
      </c>
      <c r="E1252" s="155"/>
      <c r="F1252" s="155">
        <v>66.5</v>
      </c>
      <c r="G1252" s="155">
        <v>18.899999999999999</v>
      </c>
      <c r="H1252" s="155" t="s">
        <v>34</v>
      </c>
      <c r="I1252" s="155" t="s">
        <v>2045</v>
      </c>
      <c r="J1252" s="155"/>
    </row>
    <row r="1253" spans="1:10">
      <c r="A1253" s="155" t="s">
        <v>4919</v>
      </c>
      <c r="B1253" s="155" t="s">
        <v>4920</v>
      </c>
      <c r="C1253" s="155" t="s">
        <v>4921</v>
      </c>
      <c r="D1253" s="155" t="s">
        <v>1668</v>
      </c>
      <c r="E1253" s="155"/>
      <c r="F1253" s="155">
        <v>68</v>
      </c>
      <c r="G1253" s="155">
        <v>19.5</v>
      </c>
      <c r="H1253" s="155" t="s">
        <v>34</v>
      </c>
      <c r="I1253" s="155" t="s">
        <v>2045</v>
      </c>
      <c r="J1253" s="155"/>
    </row>
    <row r="1254" spans="1:10">
      <c r="A1254" s="155" t="s">
        <v>4922</v>
      </c>
      <c r="B1254" s="155" t="s">
        <v>4923</v>
      </c>
      <c r="C1254" s="155" t="s">
        <v>4924</v>
      </c>
      <c r="D1254" s="155" t="s">
        <v>1668</v>
      </c>
      <c r="E1254" s="155"/>
      <c r="F1254" s="155">
        <v>15.9</v>
      </c>
      <c r="G1254" s="155">
        <v>9.3000000000000007</v>
      </c>
      <c r="H1254" s="155" t="s">
        <v>34</v>
      </c>
      <c r="I1254" s="155" t="s">
        <v>122</v>
      </c>
      <c r="J1254" s="155"/>
    </row>
    <row r="1255" spans="1:10">
      <c r="A1255" s="92" t="s">
        <v>4925</v>
      </c>
      <c r="B1255" s="92" t="s">
        <v>4926</v>
      </c>
      <c r="C1255" s="92" t="s">
        <v>4927</v>
      </c>
      <c r="D1255" s="92" t="s">
        <v>1668</v>
      </c>
      <c r="E1255" s="92">
        <v>8</v>
      </c>
      <c r="F1255" s="92">
        <v>8</v>
      </c>
      <c r="G1255" s="92">
        <v>4</v>
      </c>
      <c r="H1255" s="92" t="s">
        <v>34</v>
      </c>
      <c r="I1255" s="92" t="s">
        <v>147</v>
      </c>
      <c r="J1255" s="92"/>
    </row>
    <row r="1256" spans="1:10">
      <c r="A1256" s="92" t="s">
        <v>4928</v>
      </c>
      <c r="B1256" s="92" t="s">
        <v>4929</v>
      </c>
      <c r="C1256" s="92" t="s">
        <v>4930</v>
      </c>
      <c r="D1256" s="92" t="s">
        <v>1668</v>
      </c>
      <c r="E1256" s="92">
        <v>4</v>
      </c>
      <c r="F1256" s="92">
        <v>5.5</v>
      </c>
      <c r="G1256" s="92">
        <v>2.5</v>
      </c>
      <c r="H1256" s="92" t="s">
        <v>34</v>
      </c>
      <c r="I1256" s="92" t="s">
        <v>147</v>
      </c>
      <c r="J1256" s="92"/>
    </row>
    <row r="1257" spans="1:10">
      <c r="A1257" s="92" t="s">
        <v>4931</v>
      </c>
      <c r="B1257" s="92" t="s">
        <v>4932</v>
      </c>
      <c r="C1257" s="92" t="s">
        <v>4933</v>
      </c>
      <c r="D1257" s="92" t="s">
        <v>1668</v>
      </c>
      <c r="E1257" s="92">
        <v>3</v>
      </c>
      <c r="F1257" s="92">
        <v>3.5</v>
      </c>
      <c r="G1257" s="92">
        <v>3.5</v>
      </c>
      <c r="H1257" s="92" t="s">
        <v>34</v>
      </c>
      <c r="I1257" s="92" t="s">
        <v>147</v>
      </c>
      <c r="J1257" s="92"/>
    </row>
    <row r="1258" spans="1:10">
      <c r="A1258" s="92" t="s">
        <v>4934</v>
      </c>
      <c r="B1258" s="92" t="s">
        <v>4935</v>
      </c>
      <c r="C1258" s="92" t="s">
        <v>4936</v>
      </c>
      <c r="D1258" s="92" t="s">
        <v>1668</v>
      </c>
      <c r="E1258" s="92"/>
      <c r="F1258" s="92">
        <v>5</v>
      </c>
      <c r="G1258" s="92">
        <v>125.5</v>
      </c>
      <c r="H1258" s="92" t="s">
        <v>34</v>
      </c>
      <c r="I1258" s="92" t="s">
        <v>147</v>
      </c>
      <c r="J1258" s="92"/>
    </row>
    <row r="1259" spans="1:10">
      <c r="A1259" s="92" t="s">
        <v>4937</v>
      </c>
      <c r="B1259" s="92" t="s">
        <v>4938</v>
      </c>
      <c r="C1259" s="92" t="s">
        <v>4939</v>
      </c>
      <c r="D1259" s="92" t="s">
        <v>1668</v>
      </c>
      <c r="E1259" s="92">
        <v>4</v>
      </c>
      <c r="F1259" s="92">
        <v>4</v>
      </c>
      <c r="G1259" s="92">
        <v>2</v>
      </c>
      <c r="H1259" s="92" t="s">
        <v>34</v>
      </c>
      <c r="I1259" s="92" t="s">
        <v>147</v>
      </c>
      <c r="J1259" s="92"/>
    </row>
    <row r="1260" spans="1:10">
      <c r="A1260" s="92" t="s">
        <v>4940</v>
      </c>
      <c r="B1260" s="92" t="s">
        <v>4941</v>
      </c>
      <c r="C1260" s="92" t="s">
        <v>4942</v>
      </c>
      <c r="D1260" s="92" t="s">
        <v>1668</v>
      </c>
      <c r="E1260" s="92">
        <v>6</v>
      </c>
      <c r="F1260" s="92">
        <v>9.8000000000000007</v>
      </c>
      <c r="G1260" s="92">
        <v>22.8</v>
      </c>
      <c r="H1260" s="92" t="s">
        <v>34</v>
      </c>
      <c r="I1260" s="92" t="s">
        <v>2237</v>
      </c>
      <c r="J1260" s="92"/>
    </row>
    <row r="1261" spans="1:10">
      <c r="A1261" s="92" t="s">
        <v>4943</v>
      </c>
      <c r="B1261" s="92" t="s">
        <v>4944</v>
      </c>
      <c r="C1261" s="92" t="s">
        <v>4945</v>
      </c>
      <c r="D1261" s="92" t="s">
        <v>1668</v>
      </c>
      <c r="E1261" s="92">
        <v>3</v>
      </c>
      <c r="F1261" s="92">
        <v>4.5</v>
      </c>
      <c r="G1261" s="92">
        <v>134.69999999999999</v>
      </c>
      <c r="H1261" s="92" t="s">
        <v>34</v>
      </c>
      <c r="I1261" s="92" t="s">
        <v>2237</v>
      </c>
      <c r="J1261" s="92"/>
    </row>
    <row r="1262" spans="1:10">
      <c r="A1262" s="92" t="s">
        <v>4946</v>
      </c>
      <c r="B1262" s="92" t="s">
        <v>4947</v>
      </c>
      <c r="C1262" s="92" t="s">
        <v>4948</v>
      </c>
      <c r="D1262" s="92" t="s">
        <v>1668</v>
      </c>
      <c r="E1262" s="92">
        <v>4</v>
      </c>
      <c r="F1262" s="92">
        <v>4</v>
      </c>
      <c r="G1262" s="92">
        <v>2</v>
      </c>
      <c r="H1262" s="92" t="s">
        <v>34</v>
      </c>
      <c r="I1262" s="92" t="s">
        <v>2684</v>
      </c>
      <c r="J1262" s="92"/>
    </row>
    <row r="1263" spans="1:10">
      <c r="A1263" s="92" t="s">
        <v>4949</v>
      </c>
      <c r="B1263" s="92" t="s">
        <v>4950</v>
      </c>
      <c r="C1263" s="92" t="s">
        <v>4951</v>
      </c>
      <c r="D1263" s="92" t="s">
        <v>1668</v>
      </c>
      <c r="E1263" s="92">
        <v>18</v>
      </c>
      <c r="F1263" s="92">
        <v>19</v>
      </c>
      <c r="G1263" s="92">
        <v>14.4</v>
      </c>
      <c r="H1263" s="92" t="s">
        <v>34</v>
      </c>
      <c r="I1263" s="92" t="s">
        <v>2684</v>
      </c>
      <c r="J1263" s="92"/>
    </row>
    <row r="1264" spans="1:10">
      <c r="A1264" s="92" t="s">
        <v>4952</v>
      </c>
      <c r="B1264" s="92" t="s">
        <v>4953</v>
      </c>
      <c r="C1264" s="92" t="s">
        <v>4954</v>
      </c>
      <c r="D1264" s="92" t="s">
        <v>1668</v>
      </c>
      <c r="E1264" s="92">
        <v>18</v>
      </c>
      <c r="F1264" s="92">
        <v>18.2</v>
      </c>
      <c r="G1264" s="92">
        <v>23.1</v>
      </c>
      <c r="H1264" s="92" t="s">
        <v>34</v>
      </c>
      <c r="I1264" s="92" t="s">
        <v>2684</v>
      </c>
      <c r="J1264" s="92"/>
    </row>
    <row r="1265" spans="1:10">
      <c r="A1265" s="92" t="s">
        <v>4955</v>
      </c>
      <c r="B1265" s="92" t="s">
        <v>4956</v>
      </c>
      <c r="C1265" s="92" t="s">
        <v>4957</v>
      </c>
      <c r="D1265" s="92" t="s">
        <v>1668</v>
      </c>
      <c r="E1265" s="92">
        <v>18</v>
      </c>
      <c r="F1265" s="92">
        <v>19</v>
      </c>
      <c r="G1265" s="92">
        <v>14.5</v>
      </c>
      <c r="H1265" s="92" t="s">
        <v>34</v>
      </c>
      <c r="I1265" s="92" t="s">
        <v>2684</v>
      </c>
      <c r="J1265" s="92"/>
    </row>
    <row r="1266" spans="1:10">
      <c r="A1266" s="92" t="s">
        <v>4958</v>
      </c>
      <c r="B1266" s="92" t="s">
        <v>4959</v>
      </c>
      <c r="C1266" s="92" t="s">
        <v>774</v>
      </c>
      <c r="D1266" s="92" t="s">
        <v>1668</v>
      </c>
      <c r="E1266" s="92">
        <v>4</v>
      </c>
      <c r="F1266" s="92">
        <v>4.5</v>
      </c>
      <c r="G1266" s="92">
        <v>4.5</v>
      </c>
      <c r="H1266" s="92" t="s">
        <v>34</v>
      </c>
      <c r="I1266" s="92" t="s">
        <v>178</v>
      </c>
      <c r="J1266" s="92"/>
    </row>
    <row r="1267" spans="1:10">
      <c r="A1267" s="92" t="s">
        <v>4960</v>
      </c>
      <c r="B1267" s="92" t="s">
        <v>4961</v>
      </c>
      <c r="C1267" s="92" t="s">
        <v>778</v>
      </c>
      <c r="D1267" s="92" t="s">
        <v>1668</v>
      </c>
      <c r="E1267" s="92">
        <v>4</v>
      </c>
      <c r="F1267" s="92">
        <v>4</v>
      </c>
      <c r="G1267" s="92">
        <v>4</v>
      </c>
      <c r="H1267" s="92" t="s">
        <v>34</v>
      </c>
      <c r="I1267" s="92" t="s">
        <v>178</v>
      </c>
      <c r="J1267" s="92"/>
    </row>
    <row r="1268" spans="1:10">
      <c r="A1268" s="92" t="s">
        <v>4962</v>
      </c>
      <c r="B1268" s="92" t="s">
        <v>4963</v>
      </c>
      <c r="C1268" s="92" t="s">
        <v>780</v>
      </c>
      <c r="D1268" s="92" t="s">
        <v>1668</v>
      </c>
      <c r="E1268" s="92">
        <v>2</v>
      </c>
      <c r="F1268" s="92">
        <v>2</v>
      </c>
      <c r="G1268" s="92">
        <v>1</v>
      </c>
      <c r="H1268" s="92" t="s">
        <v>34</v>
      </c>
      <c r="I1268" s="92" t="s">
        <v>178</v>
      </c>
      <c r="J1268" s="92"/>
    </row>
    <row r="1269" spans="1:10">
      <c r="A1269" s="92" t="s">
        <v>4964</v>
      </c>
      <c r="B1269" s="92" t="s">
        <v>4965</v>
      </c>
      <c r="C1269" s="92" t="s">
        <v>4966</v>
      </c>
      <c r="D1269" s="92" t="s">
        <v>1668</v>
      </c>
      <c r="E1269" s="92">
        <v>8</v>
      </c>
      <c r="F1269" s="92">
        <v>10.7</v>
      </c>
      <c r="G1269" s="92">
        <v>6.7</v>
      </c>
      <c r="H1269" s="92" t="s">
        <v>34</v>
      </c>
      <c r="I1269" s="92" t="s">
        <v>2684</v>
      </c>
      <c r="J1269" s="92"/>
    </row>
    <row r="1270" spans="1:10">
      <c r="A1270" s="92" t="s">
        <v>4967</v>
      </c>
      <c r="B1270" s="92" t="s">
        <v>4968</v>
      </c>
      <c r="C1270" s="92" t="s">
        <v>781</v>
      </c>
      <c r="D1270" s="92" t="s">
        <v>1668</v>
      </c>
      <c r="E1270" s="92">
        <v>3</v>
      </c>
      <c r="F1270" s="92">
        <v>4</v>
      </c>
      <c r="G1270" s="92">
        <v>4</v>
      </c>
      <c r="H1270" s="92" t="s">
        <v>34</v>
      </c>
      <c r="I1270" s="92" t="s">
        <v>178</v>
      </c>
      <c r="J1270" s="92"/>
    </row>
    <row r="1271" spans="1:10">
      <c r="A1271" s="92" t="s">
        <v>4969</v>
      </c>
      <c r="B1271" s="92" t="s">
        <v>4970</v>
      </c>
      <c r="C1271" s="92" t="s">
        <v>4971</v>
      </c>
      <c r="D1271" s="92" t="s">
        <v>1668</v>
      </c>
      <c r="E1271" s="92">
        <v>6</v>
      </c>
      <c r="F1271" s="92">
        <v>2</v>
      </c>
      <c r="G1271" s="92">
        <v>2</v>
      </c>
      <c r="H1271" s="92" t="s">
        <v>34</v>
      </c>
      <c r="I1271" s="92" t="s">
        <v>2995</v>
      </c>
      <c r="J1271" s="92"/>
    </row>
    <row r="1272" spans="1:10">
      <c r="A1272" s="92" t="s">
        <v>4972</v>
      </c>
      <c r="B1272" s="92" t="s">
        <v>4973</v>
      </c>
      <c r="C1272" s="92" t="s">
        <v>4974</v>
      </c>
      <c r="D1272" s="92" t="s">
        <v>1668</v>
      </c>
      <c r="E1272" s="92"/>
      <c r="F1272" s="92">
        <v>4</v>
      </c>
      <c r="G1272" s="92">
        <v>124.5</v>
      </c>
      <c r="H1272" s="92" t="s">
        <v>34</v>
      </c>
      <c r="I1272" s="92" t="s">
        <v>2995</v>
      </c>
      <c r="J1272" s="92"/>
    </row>
    <row r="1273" spans="1:10">
      <c r="A1273" s="92" t="s">
        <v>4975</v>
      </c>
      <c r="B1273" s="92" t="s">
        <v>4976</v>
      </c>
      <c r="C1273" s="92" t="s">
        <v>4977</v>
      </c>
      <c r="D1273" s="92" t="s">
        <v>1668</v>
      </c>
      <c r="E1273" s="92">
        <v>8</v>
      </c>
      <c r="F1273" s="92">
        <v>2.9</v>
      </c>
      <c r="G1273" s="92">
        <v>4.2</v>
      </c>
      <c r="H1273" s="92" t="s">
        <v>34</v>
      </c>
      <c r="I1273" s="92" t="s">
        <v>2995</v>
      </c>
      <c r="J1273" s="92"/>
    </row>
    <row r="1274" spans="1:10">
      <c r="A1274" s="92" t="s">
        <v>4978</v>
      </c>
      <c r="B1274" s="92" t="s">
        <v>4979</v>
      </c>
      <c r="C1274" s="92" t="s">
        <v>4980</v>
      </c>
      <c r="D1274" s="92" t="s">
        <v>1668</v>
      </c>
      <c r="E1274" s="92">
        <v>4</v>
      </c>
      <c r="F1274" s="92">
        <v>3</v>
      </c>
      <c r="G1274" s="92">
        <v>1.5</v>
      </c>
      <c r="H1274" s="92" t="s">
        <v>34</v>
      </c>
      <c r="I1274" s="92" t="s">
        <v>4981</v>
      </c>
      <c r="J1274" s="92"/>
    </row>
    <row r="1275" spans="1:10">
      <c r="A1275" s="92" t="s">
        <v>4982</v>
      </c>
      <c r="B1275" s="92" t="s">
        <v>4983</v>
      </c>
      <c r="C1275" s="92" t="s">
        <v>4984</v>
      </c>
      <c r="D1275" s="92" t="s">
        <v>1668</v>
      </c>
      <c r="E1275" s="92">
        <v>4</v>
      </c>
      <c r="F1275" s="92">
        <v>11</v>
      </c>
      <c r="G1275" s="92">
        <v>152.69999999999999</v>
      </c>
      <c r="H1275" s="92" t="s">
        <v>34</v>
      </c>
      <c r="I1275" s="92" t="s">
        <v>2995</v>
      </c>
      <c r="J1275" s="92"/>
    </row>
    <row r="1276" spans="1:10">
      <c r="A1276" s="92" t="s">
        <v>4985</v>
      </c>
      <c r="B1276" s="92" t="s">
        <v>4986</v>
      </c>
      <c r="C1276" s="92" t="s">
        <v>4987</v>
      </c>
      <c r="D1276" s="92" t="s">
        <v>1668</v>
      </c>
      <c r="E1276" s="92">
        <v>2</v>
      </c>
      <c r="F1276" s="92">
        <v>2</v>
      </c>
      <c r="G1276" s="92">
        <v>2</v>
      </c>
      <c r="H1276" s="92" t="s">
        <v>34</v>
      </c>
      <c r="I1276" s="92" t="s">
        <v>2774</v>
      </c>
      <c r="J1276" s="92"/>
    </row>
    <row r="1277" spans="1:10">
      <c r="A1277" s="92" t="s">
        <v>4988</v>
      </c>
      <c r="B1277" s="92" t="s">
        <v>4989</v>
      </c>
      <c r="C1277" s="92" t="s">
        <v>4990</v>
      </c>
      <c r="D1277" s="92" t="s">
        <v>1668</v>
      </c>
      <c r="E1277" s="92">
        <v>8</v>
      </c>
      <c r="F1277" s="92">
        <v>3.5</v>
      </c>
      <c r="G1277" s="92">
        <v>1.8</v>
      </c>
      <c r="H1277" s="92" t="s">
        <v>34</v>
      </c>
      <c r="I1277" s="92" t="s">
        <v>2774</v>
      </c>
      <c r="J1277" s="92"/>
    </row>
    <row r="1278" spans="1:10">
      <c r="A1278" s="92" t="s">
        <v>4991</v>
      </c>
      <c r="B1278" s="92" t="s">
        <v>4992</v>
      </c>
      <c r="C1278" s="92" t="s">
        <v>786</v>
      </c>
      <c r="D1278" s="92" t="s">
        <v>1668</v>
      </c>
      <c r="E1278" s="92">
        <v>2</v>
      </c>
      <c r="F1278" s="92">
        <v>2</v>
      </c>
      <c r="G1278" s="92">
        <v>2</v>
      </c>
      <c r="H1278" s="92" t="s">
        <v>34</v>
      </c>
      <c r="I1278" s="92" t="s">
        <v>80</v>
      </c>
      <c r="J1278" s="92"/>
    </row>
    <row r="1279" spans="1:10">
      <c r="A1279" s="92" t="s">
        <v>4993</v>
      </c>
      <c r="B1279" s="92" t="s">
        <v>4994</v>
      </c>
      <c r="C1279" s="92" t="s">
        <v>791</v>
      </c>
      <c r="D1279" s="92" t="s">
        <v>1668</v>
      </c>
      <c r="E1279" s="92">
        <v>4</v>
      </c>
      <c r="F1279" s="92">
        <v>5.8</v>
      </c>
      <c r="G1279" s="92">
        <v>2.1</v>
      </c>
      <c r="H1279" s="92" t="s">
        <v>34</v>
      </c>
      <c r="I1279" s="92" t="s">
        <v>41</v>
      </c>
      <c r="J1279" s="92"/>
    </row>
    <row r="1280" spans="1:10">
      <c r="A1280" s="92" t="s">
        <v>4995</v>
      </c>
      <c r="B1280" s="92" t="s">
        <v>4996</v>
      </c>
      <c r="C1280" s="92" t="s">
        <v>792</v>
      </c>
      <c r="D1280" s="92" t="s">
        <v>1668</v>
      </c>
      <c r="E1280" s="92">
        <v>4</v>
      </c>
      <c r="F1280" s="92">
        <v>6.2</v>
      </c>
      <c r="G1280" s="92">
        <v>2.5</v>
      </c>
      <c r="H1280" s="92" t="s">
        <v>34</v>
      </c>
      <c r="I1280" s="92" t="s">
        <v>41</v>
      </c>
      <c r="J1280" s="92"/>
    </row>
    <row r="1281" spans="1:10">
      <c r="A1281" s="92" t="s">
        <v>4997</v>
      </c>
      <c r="B1281" s="92" t="s">
        <v>4998</v>
      </c>
      <c r="C1281" s="92" t="s">
        <v>793</v>
      </c>
      <c r="D1281" s="92" t="s">
        <v>1668</v>
      </c>
      <c r="E1281" s="92"/>
      <c r="F1281" s="92">
        <v>1</v>
      </c>
      <c r="G1281" s="92">
        <v>1</v>
      </c>
      <c r="H1281" s="92" t="s">
        <v>34</v>
      </c>
      <c r="I1281" s="92" t="s">
        <v>41</v>
      </c>
      <c r="J1281" s="115"/>
    </row>
    <row r="1282" spans="1:10">
      <c r="A1282" s="115" t="s">
        <v>4999</v>
      </c>
      <c r="B1282" s="115" t="s">
        <v>5000</v>
      </c>
      <c r="C1282" s="115" t="s">
        <v>794</v>
      </c>
      <c r="D1282" s="115" t="s">
        <v>1668</v>
      </c>
      <c r="E1282" s="115"/>
      <c r="F1282" s="115">
        <v>3.5</v>
      </c>
      <c r="G1282" s="115">
        <v>3.5</v>
      </c>
      <c r="H1282" s="115" t="s">
        <v>34</v>
      </c>
      <c r="I1282" s="115" t="s">
        <v>41</v>
      </c>
      <c r="J1282" s="115"/>
    </row>
    <row r="1283" spans="1:10">
      <c r="A1283" s="115" t="s">
        <v>5001</v>
      </c>
      <c r="B1283" s="115" t="s">
        <v>5002</v>
      </c>
      <c r="C1283" s="115" t="s">
        <v>795</v>
      </c>
      <c r="D1283" s="115" t="s">
        <v>1668</v>
      </c>
      <c r="E1283" s="115"/>
      <c r="F1283" s="115">
        <v>3</v>
      </c>
      <c r="G1283" s="115">
        <v>3</v>
      </c>
      <c r="H1283" s="115" t="s">
        <v>34</v>
      </c>
      <c r="I1283" s="115" t="s">
        <v>41</v>
      </c>
      <c r="J1283" s="115"/>
    </row>
    <row r="1284" spans="1:10">
      <c r="A1284" s="115" t="s">
        <v>5003</v>
      </c>
      <c r="B1284" s="115" t="s">
        <v>5004</v>
      </c>
      <c r="C1284" s="115" t="s">
        <v>796</v>
      </c>
      <c r="D1284" s="115" t="s">
        <v>1668</v>
      </c>
      <c r="E1284" s="115">
        <v>4</v>
      </c>
      <c r="F1284" s="115">
        <v>4</v>
      </c>
      <c r="G1284" s="115">
        <v>2</v>
      </c>
      <c r="H1284" s="115" t="s">
        <v>34</v>
      </c>
      <c r="I1284" s="115" t="s">
        <v>41</v>
      </c>
      <c r="J1284" s="115"/>
    </row>
    <row r="1285" spans="1:10">
      <c r="A1285" s="115" t="s">
        <v>5005</v>
      </c>
      <c r="B1285" s="115" t="s">
        <v>5006</v>
      </c>
      <c r="C1285" s="115" t="s">
        <v>799</v>
      </c>
      <c r="D1285" s="115" t="s">
        <v>1668</v>
      </c>
      <c r="E1285" s="115"/>
      <c r="F1285" s="115">
        <v>3.5</v>
      </c>
      <c r="G1285" s="115">
        <v>3.5</v>
      </c>
      <c r="H1285" s="115" t="s">
        <v>34</v>
      </c>
      <c r="I1285" s="115" t="s">
        <v>41</v>
      </c>
      <c r="J1285" s="115"/>
    </row>
    <row r="1286" spans="1:10">
      <c r="A1286" s="115" t="s">
        <v>5007</v>
      </c>
      <c r="B1286" s="115" t="s">
        <v>5008</v>
      </c>
      <c r="C1286" s="115" t="s">
        <v>802</v>
      </c>
      <c r="D1286" s="115" t="s">
        <v>1668</v>
      </c>
      <c r="E1286" s="115"/>
      <c r="F1286" s="115">
        <v>3.5</v>
      </c>
      <c r="G1286" s="115">
        <v>3.5</v>
      </c>
      <c r="H1286" s="115" t="s">
        <v>34</v>
      </c>
      <c r="I1286" s="115" t="s">
        <v>41</v>
      </c>
      <c r="J1286" s="115"/>
    </row>
    <row r="1287" spans="1:10">
      <c r="A1287" s="115" t="s">
        <v>5009</v>
      </c>
      <c r="B1287" s="115" t="s">
        <v>5010</v>
      </c>
      <c r="C1287" s="115" t="s">
        <v>803</v>
      </c>
      <c r="D1287" s="115" t="s">
        <v>1668</v>
      </c>
      <c r="E1287" s="115"/>
      <c r="F1287" s="115">
        <v>3</v>
      </c>
      <c r="G1287" s="115">
        <v>3</v>
      </c>
      <c r="H1287" s="115" t="s">
        <v>34</v>
      </c>
      <c r="I1287" s="115" t="s">
        <v>41</v>
      </c>
      <c r="J1287" s="115"/>
    </row>
    <row r="1288" spans="1:10">
      <c r="A1288" s="115" t="s">
        <v>5011</v>
      </c>
      <c r="B1288" s="115" t="s">
        <v>5012</v>
      </c>
      <c r="C1288" s="115" t="s">
        <v>804</v>
      </c>
      <c r="D1288" s="115" t="s">
        <v>1668</v>
      </c>
      <c r="E1288" s="115"/>
      <c r="F1288" s="115">
        <v>1</v>
      </c>
      <c r="G1288" s="115">
        <v>1</v>
      </c>
      <c r="H1288" s="115" t="s">
        <v>34</v>
      </c>
      <c r="I1288" s="115" t="s">
        <v>41</v>
      </c>
      <c r="J1288" s="115"/>
    </row>
    <row r="1289" spans="1:10">
      <c r="A1289" s="115" t="s">
        <v>5013</v>
      </c>
      <c r="B1289" s="115" t="s">
        <v>5014</v>
      </c>
      <c r="C1289" s="115" t="s">
        <v>806</v>
      </c>
      <c r="D1289" s="115" t="s">
        <v>1668</v>
      </c>
      <c r="E1289" s="115"/>
      <c r="F1289" s="115">
        <v>3</v>
      </c>
      <c r="G1289" s="115">
        <v>3</v>
      </c>
      <c r="H1289" s="115" t="s">
        <v>34</v>
      </c>
      <c r="I1289" s="115" t="s">
        <v>41</v>
      </c>
      <c r="J1289" s="115"/>
    </row>
    <row r="1290" spans="1:10">
      <c r="A1290" s="115" t="s">
        <v>5015</v>
      </c>
      <c r="B1290" s="115" t="s">
        <v>5016</v>
      </c>
      <c r="C1290" s="115" t="s">
        <v>807</v>
      </c>
      <c r="D1290" s="115" t="s">
        <v>1668</v>
      </c>
      <c r="E1290" s="115"/>
      <c r="F1290" s="115">
        <v>1</v>
      </c>
      <c r="G1290" s="115">
        <v>1</v>
      </c>
      <c r="H1290" s="115" t="s">
        <v>34</v>
      </c>
      <c r="I1290" s="115" t="s">
        <v>41</v>
      </c>
      <c r="J1290" s="115"/>
    </row>
    <row r="1291" spans="1:10">
      <c r="A1291" s="115" t="s">
        <v>5017</v>
      </c>
      <c r="B1291" s="115" t="s">
        <v>5018</v>
      </c>
      <c r="C1291" s="115" t="s">
        <v>5019</v>
      </c>
      <c r="D1291" s="115" t="s">
        <v>1668</v>
      </c>
      <c r="E1291" s="115">
        <v>10</v>
      </c>
      <c r="F1291" s="115">
        <v>12.5</v>
      </c>
      <c r="G1291" s="115">
        <v>48.7</v>
      </c>
      <c r="H1291" s="115" t="s">
        <v>34</v>
      </c>
      <c r="I1291" s="115" t="s">
        <v>1979</v>
      </c>
      <c r="J1291" s="115"/>
    </row>
    <row r="1292" spans="1:10">
      <c r="A1292" s="115" t="s">
        <v>5020</v>
      </c>
      <c r="B1292" s="115" t="s">
        <v>5021</v>
      </c>
      <c r="C1292" s="115" t="s">
        <v>5022</v>
      </c>
      <c r="D1292" s="115" t="s">
        <v>1668</v>
      </c>
      <c r="E1292" s="115"/>
      <c r="F1292" s="115">
        <v>19.100000000000001</v>
      </c>
      <c r="G1292" s="115">
        <v>7.5</v>
      </c>
      <c r="H1292" s="115" t="s">
        <v>34</v>
      </c>
      <c r="I1292" s="115" t="s">
        <v>2995</v>
      </c>
      <c r="J1292" s="115"/>
    </row>
    <row r="1293" spans="1:10">
      <c r="A1293" s="115" t="s">
        <v>5023</v>
      </c>
      <c r="B1293" s="115" t="s">
        <v>5024</v>
      </c>
      <c r="C1293" s="115" t="s">
        <v>5025</v>
      </c>
      <c r="D1293" s="115" t="s">
        <v>1668</v>
      </c>
      <c r="E1293" s="115"/>
      <c r="F1293" s="115">
        <v>2.6</v>
      </c>
      <c r="G1293" s="115">
        <v>1.3</v>
      </c>
      <c r="H1293" s="115" t="s">
        <v>34</v>
      </c>
      <c r="I1293" s="115" t="s">
        <v>1965</v>
      </c>
      <c r="J1293" s="115" t="s">
        <v>5026</v>
      </c>
    </row>
    <row r="1294" spans="1:10">
      <c r="A1294" s="115" t="s">
        <v>5027</v>
      </c>
      <c r="B1294" s="115" t="s">
        <v>5028</v>
      </c>
      <c r="C1294" s="115" t="s">
        <v>5029</v>
      </c>
      <c r="D1294" s="115" t="s">
        <v>1668</v>
      </c>
      <c r="E1294" s="115"/>
      <c r="F1294" s="115">
        <v>4</v>
      </c>
      <c r="G1294" s="115">
        <v>2.2000000000000002</v>
      </c>
      <c r="H1294" s="115" t="s">
        <v>34</v>
      </c>
      <c r="I1294" s="115" t="s">
        <v>3704</v>
      </c>
      <c r="J1294" s="115" t="s">
        <v>5026</v>
      </c>
    </row>
    <row r="1295" spans="1:10">
      <c r="A1295" s="115" t="s">
        <v>5030</v>
      </c>
      <c r="B1295" s="115" t="s">
        <v>5031</v>
      </c>
      <c r="C1295" s="115" t="s">
        <v>5032</v>
      </c>
      <c r="D1295" s="115" t="s">
        <v>1668</v>
      </c>
      <c r="E1295" s="115"/>
      <c r="F1295" s="115">
        <v>0.2</v>
      </c>
      <c r="G1295" s="115">
        <v>0.2</v>
      </c>
      <c r="H1295" s="115" t="s">
        <v>34</v>
      </c>
      <c r="I1295" s="115" t="s">
        <v>38</v>
      </c>
      <c r="J1295" s="115"/>
    </row>
    <row r="1296" spans="1:10">
      <c r="A1296" s="115" t="s">
        <v>5033</v>
      </c>
      <c r="B1296" s="115" t="s">
        <v>5034</v>
      </c>
      <c r="C1296" s="115" t="s">
        <v>5035</v>
      </c>
      <c r="D1296" s="115" t="s">
        <v>1668</v>
      </c>
      <c r="E1296" s="115">
        <v>10</v>
      </c>
      <c r="F1296" s="115">
        <v>14</v>
      </c>
      <c r="G1296" s="115">
        <v>30</v>
      </c>
      <c r="H1296" s="115" t="s">
        <v>34</v>
      </c>
      <c r="I1296" s="115" t="s">
        <v>2995</v>
      </c>
      <c r="J1296" s="115"/>
    </row>
    <row r="1297" spans="1:10">
      <c r="A1297" s="115" t="s">
        <v>5036</v>
      </c>
      <c r="B1297" s="115" t="s">
        <v>5037</v>
      </c>
      <c r="C1297" s="115" t="s">
        <v>5038</v>
      </c>
      <c r="D1297" s="115" t="s">
        <v>1668</v>
      </c>
      <c r="E1297" s="115">
        <v>8</v>
      </c>
      <c r="F1297" s="115">
        <v>9</v>
      </c>
      <c r="G1297" s="115">
        <v>12.6</v>
      </c>
      <c r="H1297" s="115" t="s">
        <v>34</v>
      </c>
      <c r="I1297" s="115" t="s">
        <v>2995</v>
      </c>
      <c r="J1297" s="92"/>
    </row>
    <row r="1298" spans="1:10">
      <c r="A1298" s="115" t="s">
        <v>5039</v>
      </c>
      <c r="B1298" s="115" t="s">
        <v>5040</v>
      </c>
      <c r="C1298" s="115" t="s">
        <v>5041</v>
      </c>
      <c r="D1298" s="115" t="s">
        <v>1668</v>
      </c>
      <c r="E1298" s="115">
        <v>8</v>
      </c>
      <c r="F1298" s="115">
        <v>8</v>
      </c>
      <c r="G1298" s="115">
        <v>5</v>
      </c>
      <c r="H1298" s="115" t="s">
        <v>34</v>
      </c>
      <c r="I1298" s="115" t="s">
        <v>2995</v>
      </c>
      <c r="J1298" s="92"/>
    </row>
    <row r="1299" spans="1:10">
      <c r="A1299" s="115" t="s">
        <v>5042</v>
      </c>
      <c r="B1299" s="115" t="s">
        <v>5043</v>
      </c>
      <c r="C1299" s="115" t="s">
        <v>5044</v>
      </c>
      <c r="D1299" s="115" t="s">
        <v>1668</v>
      </c>
      <c r="E1299" s="115">
        <v>8</v>
      </c>
      <c r="F1299" s="115">
        <v>16.100000000000001</v>
      </c>
      <c r="G1299" s="115">
        <v>3.9</v>
      </c>
      <c r="H1299" s="115" t="s">
        <v>34</v>
      </c>
      <c r="I1299" s="115" t="s">
        <v>2774</v>
      </c>
      <c r="J1299" s="92"/>
    </row>
    <row r="1300" spans="1:10">
      <c r="A1300" s="115" t="s">
        <v>5045</v>
      </c>
      <c r="B1300" s="115" t="s">
        <v>5046</v>
      </c>
      <c r="C1300" s="115" t="s">
        <v>5047</v>
      </c>
      <c r="D1300" s="115" t="s">
        <v>1668</v>
      </c>
      <c r="E1300" s="115">
        <v>8</v>
      </c>
      <c r="F1300" s="115">
        <v>5</v>
      </c>
      <c r="G1300" s="115">
        <v>4.5999999999999996</v>
      </c>
      <c r="H1300" s="115" t="s">
        <v>34</v>
      </c>
      <c r="I1300" s="115" t="s">
        <v>2774</v>
      </c>
      <c r="J1300" s="92"/>
    </row>
    <row r="1301" spans="1:10">
      <c r="A1301" s="115" t="s">
        <v>5048</v>
      </c>
      <c r="B1301" s="115" t="s">
        <v>5049</v>
      </c>
      <c r="C1301" s="115" t="s">
        <v>5050</v>
      </c>
      <c r="D1301" s="115" t="s">
        <v>1668</v>
      </c>
      <c r="E1301" s="115"/>
      <c r="F1301" s="115">
        <v>28.8</v>
      </c>
      <c r="G1301" s="115">
        <v>16.3</v>
      </c>
      <c r="H1301" s="115" t="s">
        <v>34</v>
      </c>
      <c r="I1301" s="115" t="s">
        <v>122</v>
      </c>
      <c r="J1301" s="92" t="s">
        <v>5026</v>
      </c>
    </row>
    <row r="1302" spans="1:10">
      <c r="A1302" s="115" t="s">
        <v>5051</v>
      </c>
      <c r="B1302" s="115" t="s">
        <v>5052</v>
      </c>
      <c r="C1302" s="115" t="s">
        <v>5053</v>
      </c>
      <c r="D1302" s="115" t="s">
        <v>1668</v>
      </c>
      <c r="E1302" s="115">
        <v>6</v>
      </c>
      <c r="F1302" s="115">
        <v>6</v>
      </c>
      <c r="G1302" s="115">
        <v>2.1</v>
      </c>
      <c r="H1302" s="115" t="s">
        <v>34</v>
      </c>
      <c r="I1302" s="115" t="s">
        <v>38</v>
      </c>
      <c r="J1302" s="92"/>
    </row>
    <row r="1303" spans="1:10">
      <c r="A1303" s="115" t="s">
        <v>5054</v>
      </c>
      <c r="B1303" s="115" t="s">
        <v>5055</v>
      </c>
      <c r="C1303" s="115" t="s">
        <v>5056</v>
      </c>
      <c r="D1303" s="115" t="s">
        <v>1668</v>
      </c>
      <c r="E1303" s="115">
        <v>16</v>
      </c>
      <c r="F1303" s="115">
        <v>20</v>
      </c>
      <c r="G1303" s="115">
        <v>8.1</v>
      </c>
      <c r="H1303" s="115" t="s">
        <v>34</v>
      </c>
      <c r="I1303" s="115" t="s">
        <v>236</v>
      </c>
      <c r="J1303" s="92"/>
    </row>
    <row r="1304" spans="1:10">
      <c r="A1304" s="115" t="s">
        <v>5057</v>
      </c>
      <c r="B1304" s="115" t="s">
        <v>5058</v>
      </c>
      <c r="C1304" s="115" t="s">
        <v>5059</v>
      </c>
      <c r="D1304" s="115" t="s">
        <v>1668</v>
      </c>
      <c r="E1304" s="115">
        <v>16</v>
      </c>
      <c r="F1304" s="115">
        <v>2.7</v>
      </c>
      <c r="G1304" s="115">
        <v>98.4</v>
      </c>
      <c r="H1304" s="115" t="s">
        <v>34</v>
      </c>
      <c r="I1304" s="115" t="s">
        <v>276</v>
      </c>
      <c r="J1304" s="92"/>
    </row>
    <row r="1305" spans="1:10">
      <c r="A1305" s="115" t="s">
        <v>5060</v>
      </c>
      <c r="B1305" s="115" t="s">
        <v>5061</v>
      </c>
      <c r="C1305" s="115" t="s">
        <v>5062</v>
      </c>
      <c r="D1305" s="115" t="s">
        <v>1668</v>
      </c>
      <c r="E1305" s="115">
        <v>16</v>
      </c>
      <c r="F1305" s="115">
        <v>0.8</v>
      </c>
      <c r="G1305" s="115">
        <v>141.80000000000001</v>
      </c>
      <c r="H1305" s="115" t="s">
        <v>34</v>
      </c>
      <c r="I1305" s="115" t="s">
        <v>276</v>
      </c>
      <c r="J1305" s="92"/>
    </row>
    <row r="1306" spans="1:10">
      <c r="A1306" s="115" t="s">
        <v>5063</v>
      </c>
      <c r="B1306" s="115" t="s">
        <v>5064</v>
      </c>
      <c r="C1306" s="115" t="s">
        <v>5065</v>
      </c>
      <c r="D1306" s="115" t="s">
        <v>1668</v>
      </c>
      <c r="E1306" s="115"/>
      <c r="F1306" s="115">
        <v>29</v>
      </c>
      <c r="G1306" s="115">
        <v>23.5</v>
      </c>
      <c r="H1306" s="115" t="s">
        <v>34</v>
      </c>
      <c r="I1306" s="115" t="s">
        <v>5066</v>
      </c>
      <c r="J1306" s="92"/>
    </row>
    <row r="1307" spans="1:10">
      <c r="A1307" s="115" t="s">
        <v>5067</v>
      </c>
      <c r="B1307" s="115" t="s">
        <v>5068</v>
      </c>
      <c r="C1307" s="115" t="s">
        <v>815</v>
      </c>
      <c r="D1307" s="115" t="s">
        <v>1668</v>
      </c>
      <c r="E1307" s="115"/>
      <c r="F1307" s="115">
        <v>3.5</v>
      </c>
      <c r="G1307" s="115">
        <v>5.6</v>
      </c>
      <c r="H1307" s="115" t="s">
        <v>34</v>
      </c>
      <c r="I1307" s="115" t="s">
        <v>267</v>
      </c>
      <c r="J1307" s="92"/>
    </row>
    <row r="1308" spans="1:10">
      <c r="A1308" s="115" t="s">
        <v>5069</v>
      </c>
      <c r="B1308" s="115" t="s">
        <v>5070</v>
      </c>
      <c r="C1308" s="115" t="s">
        <v>5071</v>
      </c>
      <c r="D1308" s="115" t="s">
        <v>1668</v>
      </c>
      <c r="E1308" s="115">
        <v>16</v>
      </c>
      <c r="F1308" s="115">
        <v>3.2</v>
      </c>
      <c r="G1308" s="115">
        <v>97</v>
      </c>
      <c r="H1308" s="115" t="s">
        <v>34</v>
      </c>
      <c r="I1308" s="115" t="s">
        <v>276</v>
      </c>
      <c r="J1308" s="92"/>
    </row>
    <row r="1309" spans="1:10">
      <c r="A1309" s="115" t="s">
        <v>5072</v>
      </c>
      <c r="B1309" s="115" t="s">
        <v>5073</v>
      </c>
      <c r="C1309" s="115" t="s">
        <v>816</v>
      </c>
      <c r="D1309" s="115" t="s">
        <v>1668</v>
      </c>
      <c r="E1309" s="115"/>
      <c r="F1309" s="115">
        <v>4</v>
      </c>
      <c r="G1309" s="115">
        <v>6</v>
      </c>
      <c r="H1309" s="115" t="s">
        <v>34</v>
      </c>
      <c r="I1309" s="115" t="s">
        <v>267</v>
      </c>
      <c r="J1309" s="92"/>
    </row>
    <row r="1310" spans="1:10">
      <c r="A1310" s="115" t="s">
        <v>5074</v>
      </c>
      <c r="B1310" s="115" t="s">
        <v>5075</v>
      </c>
      <c r="C1310" s="115" t="s">
        <v>5076</v>
      </c>
      <c r="D1310" s="115" t="s">
        <v>1668</v>
      </c>
      <c r="E1310" s="115">
        <v>8</v>
      </c>
      <c r="F1310" s="115">
        <v>1.5</v>
      </c>
      <c r="G1310" s="115">
        <v>7.7</v>
      </c>
      <c r="H1310" s="115" t="s">
        <v>34</v>
      </c>
      <c r="I1310" s="115" t="s">
        <v>2684</v>
      </c>
      <c r="J1310" s="92"/>
    </row>
    <row r="1311" spans="1:10">
      <c r="A1311" s="115" t="s">
        <v>5077</v>
      </c>
      <c r="B1311" s="115" t="s">
        <v>5078</v>
      </c>
      <c r="C1311" s="115" t="s">
        <v>819</v>
      </c>
      <c r="D1311" s="115" t="s">
        <v>1668</v>
      </c>
      <c r="E1311" s="115">
        <v>1.5</v>
      </c>
      <c r="F1311" s="115">
        <v>11</v>
      </c>
      <c r="G1311" s="115">
        <v>3</v>
      </c>
      <c r="H1311" s="115" t="s">
        <v>34</v>
      </c>
      <c r="I1311" s="115" t="s">
        <v>178</v>
      </c>
      <c r="J1311" s="92"/>
    </row>
    <row r="1312" spans="1:10">
      <c r="A1312" s="115" t="s">
        <v>5079</v>
      </c>
      <c r="B1312" s="115" t="s">
        <v>5080</v>
      </c>
      <c r="C1312" s="115" t="s">
        <v>829</v>
      </c>
      <c r="D1312" s="115" t="s">
        <v>1668</v>
      </c>
      <c r="E1312" s="115">
        <v>2</v>
      </c>
      <c r="F1312" s="115">
        <v>2</v>
      </c>
      <c r="G1312" s="115">
        <v>2</v>
      </c>
      <c r="H1312" s="115" t="s">
        <v>34</v>
      </c>
      <c r="I1312" s="115" t="s">
        <v>178</v>
      </c>
      <c r="J1312" s="92"/>
    </row>
    <row r="1313" spans="1:10">
      <c r="A1313" s="115" t="s">
        <v>5081</v>
      </c>
      <c r="B1313" s="115" t="s">
        <v>5082</v>
      </c>
      <c r="C1313" s="115" t="s">
        <v>5083</v>
      </c>
      <c r="D1313" s="115" t="s">
        <v>1668</v>
      </c>
      <c r="E1313" s="115">
        <v>19.5</v>
      </c>
      <c r="F1313" s="115">
        <v>19.5</v>
      </c>
      <c r="G1313" s="115">
        <v>6.5</v>
      </c>
      <c r="H1313" s="115" t="s">
        <v>34</v>
      </c>
      <c r="I1313" s="115" t="s">
        <v>147</v>
      </c>
      <c r="J1313" s="92"/>
    </row>
    <row r="1314" spans="1:10">
      <c r="A1314" s="115" t="s">
        <v>5084</v>
      </c>
      <c r="B1314" s="115" t="s">
        <v>5085</v>
      </c>
      <c r="C1314" s="115" t="s">
        <v>5086</v>
      </c>
      <c r="D1314" s="115" t="s">
        <v>1668</v>
      </c>
      <c r="E1314" s="115"/>
      <c r="F1314" s="115">
        <v>11</v>
      </c>
      <c r="G1314" s="115">
        <v>129.19999999999999</v>
      </c>
      <c r="H1314" s="115" t="s">
        <v>34</v>
      </c>
      <c r="I1314" s="115" t="s">
        <v>38</v>
      </c>
      <c r="J1314" s="92"/>
    </row>
    <row r="1315" spans="1:10">
      <c r="A1315" s="115" t="s">
        <v>5087</v>
      </c>
      <c r="B1315" s="115" t="s">
        <v>5088</v>
      </c>
      <c r="C1315" s="115" t="s">
        <v>5089</v>
      </c>
      <c r="D1315" s="115" t="s">
        <v>1668</v>
      </c>
      <c r="E1315" s="115">
        <v>19.5</v>
      </c>
      <c r="F1315" s="115">
        <v>19.5</v>
      </c>
      <c r="G1315" s="115">
        <v>6.5</v>
      </c>
      <c r="H1315" s="115" t="s">
        <v>34</v>
      </c>
      <c r="I1315" s="115" t="s">
        <v>5090</v>
      </c>
      <c r="J1315" s="92"/>
    </row>
    <row r="1316" spans="1:10">
      <c r="A1316" s="115" t="s">
        <v>5091</v>
      </c>
      <c r="B1316" s="115" t="s">
        <v>5092</v>
      </c>
      <c r="C1316" s="115" t="s">
        <v>5093</v>
      </c>
      <c r="D1316" s="115" t="s">
        <v>1668</v>
      </c>
      <c r="E1316" s="115">
        <v>13</v>
      </c>
      <c r="F1316" s="115">
        <v>13.6</v>
      </c>
      <c r="G1316" s="115">
        <v>122.5</v>
      </c>
      <c r="H1316" s="115" t="s">
        <v>34</v>
      </c>
      <c r="I1316" s="115" t="s">
        <v>2684</v>
      </c>
      <c r="J1316" s="92"/>
    </row>
    <row r="1317" spans="1:10">
      <c r="A1317" s="115" t="s">
        <v>5094</v>
      </c>
      <c r="B1317" s="115" t="s">
        <v>5095</v>
      </c>
      <c r="C1317" s="115" t="s">
        <v>5096</v>
      </c>
      <c r="D1317" s="115" t="s">
        <v>1668</v>
      </c>
      <c r="E1317" s="115">
        <v>30</v>
      </c>
      <c r="F1317" s="115">
        <v>31</v>
      </c>
      <c r="G1317" s="115">
        <v>146.5</v>
      </c>
      <c r="H1317" s="115" t="s">
        <v>34</v>
      </c>
      <c r="I1317" s="115" t="s">
        <v>2684</v>
      </c>
      <c r="J1317" s="92"/>
    </row>
    <row r="1318" spans="1:10">
      <c r="A1318" s="115" t="s">
        <v>5097</v>
      </c>
      <c r="B1318" s="115" t="s">
        <v>5098</v>
      </c>
      <c r="C1318" s="115" t="s">
        <v>840</v>
      </c>
      <c r="D1318" s="115" t="s">
        <v>1668</v>
      </c>
      <c r="E1318" s="115">
        <v>4</v>
      </c>
      <c r="F1318" s="115">
        <v>4</v>
      </c>
      <c r="G1318" s="115">
        <v>2</v>
      </c>
      <c r="H1318" s="115" t="s">
        <v>34</v>
      </c>
      <c r="I1318" s="115" t="s">
        <v>41</v>
      </c>
      <c r="J1318" s="92"/>
    </row>
    <row r="1319" spans="1:10">
      <c r="A1319" s="115" t="s">
        <v>5099</v>
      </c>
      <c r="B1319" s="115" t="s">
        <v>5100</v>
      </c>
      <c r="C1319" s="115" t="s">
        <v>5101</v>
      </c>
      <c r="D1319" s="115" t="s">
        <v>1668</v>
      </c>
      <c r="E1319" s="115">
        <v>20</v>
      </c>
      <c r="F1319" s="115">
        <v>22.4</v>
      </c>
      <c r="G1319" s="115">
        <v>81.8</v>
      </c>
      <c r="H1319" s="115" t="s">
        <v>34</v>
      </c>
      <c r="I1319" s="115" t="s">
        <v>5102</v>
      </c>
      <c r="J1319" s="92"/>
    </row>
    <row r="1320" spans="1:10">
      <c r="A1320" s="115" t="s">
        <v>5103</v>
      </c>
      <c r="B1320" s="115" t="s">
        <v>5104</v>
      </c>
      <c r="C1320" s="115" t="s">
        <v>5105</v>
      </c>
      <c r="D1320" s="115" t="s">
        <v>1668</v>
      </c>
      <c r="E1320" s="115">
        <v>15</v>
      </c>
      <c r="F1320" s="115">
        <v>12.1</v>
      </c>
      <c r="G1320" s="115">
        <v>99.1</v>
      </c>
      <c r="H1320" s="115" t="s">
        <v>34</v>
      </c>
      <c r="I1320" s="115" t="s">
        <v>147</v>
      </c>
      <c r="J1320" s="92"/>
    </row>
    <row r="1321" spans="1:10">
      <c r="A1321" s="115" t="s">
        <v>5106</v>
      </c>
      <c r="B1321" s="115" t="s">
        <v>5107</v>
      </c>
      <c r="C1321" s="115" t="s">
        <v>851</v>
      </c>
      <c r="D1321" s="115" t="s">
        <v>1668</v>
      </c>
      <c r="E1321" s="115">
        <v>4</v>
      </c>
      <c r="F1321" s="115">
        <v>4</v>
      </c>
      <c r="G1321" s="115">
        <v>2</v>
      </c>
      <c r="H1321" s="115" t="s">
        <v>34</v>
      </c>
      <c r="I1321" s="115" t="s">
        <v>41</v>
      </c>
      <c r="J1321" s="92"/>
    </row>
    <row r="1322" spans="1:10">
      <c r="A1322" s="115" t="s">
        <v>5108</v>
      </c>
      <c r="B1322" s="115" t="s">
        <v>5109</v>
      </c>
      <c r="C1322" s="115" t="s">
        <v>852</v>
      </c>
      <c r="D1322" s="115" t="s">
        <v>1668</v>
      </c>
      <c r="E1322" s="115"/>
      <c r="F1322" s="115">
        <v>2</v>
      </c>
      <c r="G1322" s="115">
        <v>2</v>
      </c>
      <c r="H1322" s="115" t="s">
        <v>34</v>
      </c>
      <c r="I1322" s="115" t="s">
        <v>178</v>
      </c>
      <c r="J1322" s="92"/>
    </row>
    <row r="1323" spans="1:10">
      <c r="A1323" s="115" t="s">
        <v>5110</v>
      </c>
      <c r="B1323" s="115" t="s">
        <v>5111</v>
      </c>
      <c r="C1323" s="115" t="s">
        <v>5112</v>
      </c>
      <c r="D1323" s="115" t="s">
        <v>1668</v>
      </c>
      <c r="E1323" s="115">
        <v>8</v>
      </c>
      <c r="F1323" s="115">
        <v>17.600000000000001</v>
      </c>
      <c r="G1323" s="115">
        <v>26.4</v>
      </c>
      <c r="H1323" s="115" t="s">
        <v>34</v>
      </c>
      <c r="I1323" s="115" t="s">
        <v>2237</v>
      </c>
      <c r="J1323" s="92"/>
    </row>
    <row r="1324" spans="1:10">
      <c r="A1324" s="115" t="s">
        <v>5113</v>
      </c>
      <c r="B1324" s="115" t="s">
        <v>5114</v>
      </c>
      <c r="C1324" s="115" t="s">
        <v>5115</v>
      </c>
      <c r="D1324" s="115" t="s">
        <v>1668</v>
      </c>
      <c r="E1324" s="115">
        <v>8</v>
      </c>
      <c r="F1324" s="115">
        <v>11</v>
      </c>
      <c r="G1324" s="115">
        <v>2</v>
      </c>
      <c r="H1324" s="115" t="s">
        <v>34</v>
      </c>
      <c r="I1324" s="115" t="s">
        <v>2237</v>
      </c>
      <c r="J1324" s="92"/>
    </row>
    <row r="1325" spans="1:10">
      <c r="A1325" s="115" t="s">
        <v>5116</v>
      </c>
      <c r="B1325" s="115" t="s">
        <v>5117</v>
      </c>
      <c r="C1325" s="115" t="s">
        <v>5118</v>
      </c>
      <c r="D1325" s="115" t="s">
        <v>1668</v>
      </c>
      <c r="E1325" s="115">
        <v>2</v>
      </c>
      <c r="F1325" s="115">
        <v>2</v>
      </c>
      <c r="G1325" s="115">
        <v>2</v>
      </c>
      <c r="H1325" s="115" t="s">
        <v>34</v>
      </c>
      <c r="I1325" s="115" t="s">
        <v>2237</v>
      </c>
      <c r="J1325" s="92"/>
    </row>
    <row r="1326" spans="1:10">
      <c r="A1326" s="115" t="s">
        <v>5119</v>
      </c>
      <c r="B1326" s="115" t="s">
        <v>5120</v>
      </c>
      <c r="C1326" s="115" t="s">
        <v>5121</v>
      </c>
      <c r="D1326" s="115" t="s">
        <v>1668</v>
      </c>
      <c r="E1326" s="115">
        <v>30</v>
      </c>
      <c r="F1326" s="115">
        <v>29</v>
      </c>
      <c r="G1326" s="115">
        <v>6.5</v>
      </c>
      <c r="H1326" s="115" t="s">
        <v>34</v>
      </c>
      <c r="I1326" s="115" t="s">
        <v>5122</v>
      </c>
      <c r="J1326" s="92"/>
    </row>
    <row r="1327" spans="1:10">
      <c r="A1327" s="115" t="s">
        <v>5123</v>
      </c>
      <c r="B1327" s="115" t="s">
        <v>5124</v>
      </c>
      <c r="C1327" s="115" t="s">
        <v>5125</v>
      </c>
      <c r="D1327" s="115" t="s">
        <v>1668</v>
      </c>
      <c r="E1327" s="115">
        <v>6</v>
      </c>
      <c r="F1327" s="115">
        <v>6.5</v>
      </c>
      <c r="G1327" s="115">
        <v>2.5</v>
      </c>
      <c r="H1327" s="115" t="s">
        <v>34</v>
      </c>
      <c r="I1327" s="115" t="s">
        <v>2237</v>
      </c>
      <c r="J1327" s="92"/>
    </row>
    <row r="1328" spans="1:10">
      <c r="A1328" s="115" t="s">
        <v>5126</v>
      </c>
      <c r="B1328" s="115" t="s">
        <v>5127</v>
      </c>
      <c r="C1328" s="115" t="s">
        <v>5128</v>
      </c>
      <c r="D1328" s="115" t="s">
        <v>1668</v>
      </c>
      <c r="E1328" s="115">
        <v>3</v>
      </c>
      <c r="F1328" s="115">
        <v>0.5</v>
      </c>
      <c r="G1328" s="115">
        <v>0.5</v>
      </c>
      <c r="H1328" s="115" t="s">
        <v>34</v>
      </c>
      <c r="I1328" s="115" t="s">
        <v>4200</v>
      </c>
      <c r="J1328" s="92"/>
    </row>
    <row r="1329" spans="1:9">
      <c r="A1329" s="115" t="s">
        <v>5129</v>
      </c>
      <c r="B1329" s="115" t="s">
        <v>5130</v>
      </c>
      <c r="C1329" s="115" t="s">
        <v>5131</v>
      </c>
      <c r="D1329" s="115" t="s">
        <v>1668</v>
      </c>
      <c r="E1329" s="115">
        <v>4</v>
      </c>
      <c r="F1329" s="115">
        <v>1</v>
      </c>
      <c r="G1329" s="115">
        <v>0.6</v>
      </c>
      <c r="H1329" s="115" t="s">
        <v>34</v>
      </c>
      <c r="I1329" s="115" t="s">
        <v>2774</v>
      </c>
    </row>
    <row r="1330" spans="1:9">
      <c r="A1330" s="115" t="s">
        <v>5132</v>
      </c>
      <c r="B1330" s="115" t="s">
        <v>5133</v>
      </c>
      <c r="C1330" s="115" t="s">
        <v>5134</v>
      </c>
      <c r="D1330" s="115" t="s">
        <v>1668</v>
      </c>
      <c r="E1330" s="115">
        <v>4</v>
      </c>
      <c r="F1330" s="115">
        <v>0.5</v>
      </c>
      <c r="G1330" s="115">
        <v>0.5</v>
      </c>
      <c r="H1330" s="115" t="s">
        <v>34</v>
      </c>
      <c r="I1330" s="115" t="s">
        <v>2774</v>
      </c>
    </row>
    <row r="1331" spans="1:9">
      <c r="A1331" s="115" t="s">
        <v>5135</v>
      </c>
      <c r="B1331" s="115" t="s">
        <v>5136</v>
      </c>
      <c r="C1331" s="115" t="s">
        <v>856</v>
      </c>
      <c r="D1331" s="115" t="s">
        <v>1668</v>
      </c>
      <c r="E1331" s="115">
        <v>1.5</v>
      </c>
      <c r="F1331" s="115">
        <v>1.5</v>
      </c>
      <c r="G1331" s="115">
        <v>1.7</v>
      </c>
      <c r="H1331" s="115" t="s">
        <v>34</v>
      </c>
      <c r="I1331" s="115" t="s">
        <v>360</v>
      </c>
    </row>
    <row r="1332" spans="1:9">
      <c r="A1332" s="92" t="s">
        <v>5137</v>
      </c>
      <c r="B1332" s="92" t="s">
        <v>5138</v>
      </c>
      <c r="C1332" s="92" t="s">
        <v>863</v>
      </c>
      <c r="D1332" s="92" t="s">
        <v>1668</v>
      </c>
      <c r="E1332" s="92"/>
      <c r="F1332" s="92">
        <v>1.5</v>
      </c>
      <c r="G1332" s="92">
        <v>1.8</v>
      </c>
      <c r="H1332" s="92" t="s">
        <v>34</v>
      </c>
      <c r="I1332" s="92" t="s">
        <v>360</v>
      </c>
    </row>
    <row r="1333" spans="1:9">
      <c r="A1333" s="92" t="s">
        <v>5139</v>
      </c>
      <c r="B1333" s="92" t="s">
        <v>5140</v>
      </c>
      <c r="C1333" s="92" t="s">
        <v>864</v>
      </c>
      <c r="D1333" s="92" t="s">
        <v>1668</v>
      </c>
      <c r="E1333" s="92"/>
      <c r="F1333" s="92">
        <v>2.1</v>
      </c>
      <c r="G1333" s="92">
        <v>30.8</v>
      </c>
      <c r="H1333" s="92" t="s">
        <v>34</v>
      </c>
      <c r="I1333" s="92" t="s">
        <v>360</v>
      </c>
    </row>
    <row r="1334" spans="1:9">
      <c r="A1334" s="92" t="s">
        <v>5141</v>
      </c>
      <c r="B1334" s="92" t="s">
        <v>5142</v>
      </c>
      <c r="C1334" s="92" t="s">
        <v>865</v>
      </c>
      <c r="D1334" s="92" t="s">
        <v>1668</v>
      </c>
      <c r="E1334" s="92"/>
      <c r="F1334" s="92">
        <v>2.1</v>
      </c>
      <c r="G1334" s="92">
        <v>29.7</v>
      </c>
      <c r="H1334" s="92" t="s">
        <v>34</v>
      </c>
      <c r="I1334" s="92" t="s">
        <v>360</v>
      </c>
    </row>
    <row r="1335" spans="1:9">
      <c r="A1335" s="92" t="s">
        <v>5143</v>
      </c>
      <c r="B1335" s="92" t="s">
        <v>5144</v>
      </c>
      <c r="C1335" s="92" t="s">
        <v>866</v>
      </c>
      <c r="D1335" s="92" t="s">
        <v>1668</v>
      </c>
      <c r="E1335" s="92"/>
      <c r="F1335" s="92">
        <v>2.1</v>
      </c>
      <c r="G1335" s="92">
        <v>30.7</v>
      </c>
      <c r="H1335" s="92" t="s">
        <v>34</v>
      </c>
      <c r="I1335" s="92" t="s">
        <v>360</v>
      </c>
    </row>
    <row r="1336" spans="1:9">
      <c r="A1336" s="92" t="s">
        <v>5145</v>
      </c>
      <c r="B1336" s="92" t="s">
        <v>5146</v>
      </c>
      <c r="C1336" s="92" t="s">
        <v>867</v>
      </c>
      <c r="D1336" s="92" t="s">
        <v>1668</v>
      </c>
      <c r="E1336" s="92"/>
      <c r="F1336" s="92">
        <v>2.1</v>
      </c>
      <c r="G1336" s="92">
        <v>30.7</v>
      </c>
      <c r="H1336" s="92" t="s">
        <v>34</v>
      </c>
      <c r="I1336" s="92" t="s">
        <v>360</v>
      </c>
    </row>
    <row r="1337" spans="1:9">
      <c r="A1337" s="92" t="s">
        <v>5147</v>
      </c>
      <c r="B1337" s="92" t="s">
        <v>5148</v>
      </c>
      <c r="C1337" s="92" t="s">
        <v>5149</v>
      </c>
      <c r="D1337" s="92" t="s">
        <v>1668</v>
      </c>
      <c r="E1337" s="92">
        <v>8</v>
      </c>
      <c r="F1337" s="92">
        <v>24.1</v>
      </c>
      <c r="G1337" s="92">
        <v>99</v>
      </c>
      <c r="H1337" s="92" t="s">
        <v>34</v>
      </c>
      <c r="I1337" s="92" t="s">
        <v>2237</v>
      </c>
    </row>
    <row r="1338" spans="1:9">
      <c r="A1338" s="92" t="s">
        <v>5150</v>
      </c>
      <c r="B1338" s="92" t="s">
        <v>5151</v>
      </c>
      <c r="C1338" s="92" t="s">
        <v>5152</v>
      </c>
      <c r="D1338" s="92" t="s">
        <v>1668</v>
      </c>
      <c r="E1338" s="92">
        <v>2</v>
      </c>
      <c r="F1338" s="92">
        <v>2</v>
      </c>
      <c r="G1338" s="92">
        <v>2</v>
      </c>
      <c r="H1338" s="92" t="s">
        <v>34</v>
      </c>
      <c r="I1338" s="92" t="s">
        <v>2237</v>
      </c>
    </row>
    <row r="1339" spans="1:9">
      <c r="A1339" s="92" t="s">
        <v>5153</v>
      </c>
      <c r="B1339" s="92" t="s">
        <v>5154</v>
      </c>
      <c r="C1339" s="92" t="s">
        <v>5155</v>
      </c>
      <c r="D1339" s="92" t="s">
        <v>1668</v>
      </c>
      <c r="E1339" s="92">
        <v>4</v>
      </c>
      <c r="F1339" s="92">
        <v>2.2000000000000002</v>
      </c>
      <c r="G1339" s="92">
        <v>2</v>
      </c>
      <c r="H1339" s="92" t="s">
        <v>34</v>
      </c>
      <c r="I1339" s="92" t="s">
        <v>38</v>
      </c>
    </row>
    <row r="1340" spans="1:9">
      <c r="A1340" s="92" t="s">
        <v>5156</v>
      </c>
      <c r="B1340" s="92" t="s">
        <v>5157</v>
      </c>
      <c r="C1340" s="92" t="s">
        <v>5158</v>
      </c>
      <c r="D1340" s="92" t="s">
        <v>1668</v>
      </c>
      <c r="E1340" s="92">
        <v>8</v>
      </c>
      <c r="F1340" s="92">
        <v>1</v>
      </c>
      <c r="G1340" s="92">
        <v>0.6</v>
      </c>
      <c r="H1340" s="92" t="s">
        <v>34</v>
      </c>
      <c r="I1340" s="92" t="s">
        <v>2774</v>
      </c>
    </row>
    <row r="1341" spans="1:9">
      <c r="A1341" s="92" t="s">
        <v>5159</v>
      </c>
      <c r="B1341" s="92" t="s">
        <v>5160</v>
      </c>
      <c r="C1341" s="92" t="s">
        <v>872</v>
      </c>
      <c r="D1341" s="92" t="s">
        <v>1668</v>
      </c>
      <c r="E1341" s="92">
        <v>5</v>
      </c>
      <c r="F1341" s="92">
        <v>5</v>
      </c>
      <c r="G1341" s="92">
        <v>86.1</v>
      </c>
      <c r="H1341" s="92" t="s">
        <v>34</v>
      </c>
      <c r="I1341" s="92" t="s">
        <v>41</v>
      </c>
    </row>
    <row r="1342" spans="1:9">
      <c r="A1342" s="92" t="s">
        <v>5161</v>
      </c>
      <c r="B1342" s="92" t="s">
        <v>5162</v>
      </c>
      <c r="C1342" s="92" t="s">
        <v>875</v>
      </c>
      <c r="D1342" s="92" t="s">
        <v>1668</v>
      </c>
      <c r="E1342" s="92">
        <v>2</v>
      </c>
      <c r="F1342" s="92">
        <v>2</v>
      </c>
      <c r="G1342" s="92">
        <v>2</v>
      </c>
      <c r="H1342" s="92" t="s">
        <v>34</v>
      </c>
      <c r="I1342" s="92" t="s">
        <v>360</v>
      </c>
    </row>
    <row r="1343" spans="1:9">
      <c r="A1343" s="92" t="s">
        <v>5163</v>
      </c>
      <c r="B1343" s="92" t="s">
        <v>5164</v>
      </c>
      <c r="C1343" s="92" t="s">
        <v>5165</v>
      </c>
      <c r="D1343" s="92" t="s">
        <v>1668</v>
      </c>
      <c r="E1343" s="92"/>
      <c r="F1343" s="92">
        <v>62.8</v>
      </c>
      <c r="G1343" s="92">
        <v>96.2</v>
      </c>
      <c r="H1343" s="92" t="s">
        <v>34</v>
      </c>
      <c r="I1343" s="92" t="s">
        <v>5166</v>
      </c>
    </row>
    <row r="1344" spans="1:9">
      <c r="A1344" s="92" t="s">
        <v>5167</v>
      </c>
      <c r="B1344" s="92" t="s">
        <v>5168</v>
      </c>
      <c r="C1344" s="92" t="s">
        <v>5169</v>
      </c>
      <c r="D1344" s="92" t="s">
        <v>1668</v>
      </c>
      <c r="E1344" s="92"/>
      <c r="F1344" s="92">
        <v>6.8</v>
      </c>
      <c r="G1344" s="92">
        <v>61.3</v>
      </c>
      <c r="H1344" s="92" t="s">
        <v>34</v>
      </c>
      <c r="I1344" s="92" t="s">
        <v>586</v>
      </c>
    </row>
    <row r="1345" spans="1:9">
      <c r="A1345" s="92" t="s">
        <v>5170</v>
      </c>
      <c r="B1345" s="92" t="s">
        <v>5171</v>
      </c>
      <c r="C1345" s="92" t="s">
        <v>5172</v>
      </c>
      <c r="D1345" s="92" t="s">
        <v>1668</v>
      </c>
      <c r="E1345" s="92">
        <v>19</v>
      </c>
      <c r="F1345" s="92">
        <v>13</v>
      </c>
      <c r="G1345" s="92">
        <v>6.5</v>
      </c>
      <c r="H1345" s="92" t="s">
        <v>34</v>
      </c>
      <c r="I1345" s="92" t="s">
        <v>2684</v>
      </c>
    </row>
    <row r="1346" spans="1:9">
      <c r="A1346" s="92" t="s">
        <v>5173</v>
      </c>
      <c r="B1346" s="92" t="s">
        <v>5174</v>
      </c>
      <c r="C1346" s="92" t="s">
        <v>5175</v>
      </c>
      <c r="D1346" s="92" t="s">
        <v>1668</v>
      </c>
      <c r="E1346" s="92">
        <v>8</v>
      </c>
      <c r="F1346" s="92">
        <v>4.2</v>
      </c>
      <c r="G1346" s="92">
        <v>2</v>
      </c>
      <c r="H1346" s="92" t="s">
        <v>34</v>
      </c>
      <c r="I1346" s="92" t="s">
        <v>4344</v>
      </c>
    </row>
    <row r="1347" spans="1:9">
      <c r="A1347" s="92" t="s">
        <v>5176</v>
      </c>
      <c r="B1347" s="92" t="s">
        <v>5177</v>
      </c>
      <c r="C1347" s="92" t="s">
        <v>5178</v>
      </c>
      <c r="D1347" s="92" t="s">
        <v>1668</v>
      </c>
      <c r="E1347" s="92"/>
      <c r="F1347" s="92">
        <v>27.3</v>
      </c>
      <c r="G1347" s="92">
        <v>64.8</v>
      </c>
      <c r="H1347" s="92" t="s">
        <v>34</v>
      </c>
      <c r="I1347" s="92" t="s">
        <v>2684</v>
      </c>
    </row>
    <row r="1348" spans="1:9">
      <c r="A1348" s="92" t="s">
        <v>5179</v>
      </c>
      <c r="B1348" s="92" t="s">
        <v>5180</v>
      </c>
      <c r="C1348" s="92" t="s">
        <v>5181</v>
      </c>
      <c r="D1348" s="92" t="s">
        <v>1668</v>
      </c>
      <c r="E1348" s="92"/>
      <c r="F1348" s="92">
        <v>13.3</v>
      </c>
      <c r="G1348" s="92">
        <v>65.2</v>
      </c>
      <c r="H1348" s="92" t="s">
        <v>34</v>
      </c>
      <c r="I1348" s="92" t="s">
        <v>2684</v>
      </c>
    </row>
    <row r="1349" spans="1:9">
      <c r="A1349" s="92" t="s">
        <v>5182</v>
      </c>
      <c r="B1349" s="92" t="s">
        <v>5183</v>
      </c>
      <c r="C1349" s="92" t="s">
        <v>5184</v>
      </c>
      <c r="D1349" s="92" t="s">
        <v>1668</v>
      </c>
      <c r="E1349" s="92"/>
      <c r="F1349" s="92">
        <v>12.3</v>
      </c>
      <c r="G1349" s="92">
        <v>65.5</v>
      </c>
      <c r="H1349" s="92" t="s">
        <v>34</v>
      </c>
      <c r="I1349" s="92" t="s">
        <v>2684</v>
      </c>
    </row>
    <row r="1350" spans="1:9">
      <c r="A1350" s="92" t="s">
        <v>5185</v>
      </c>
      <c r="B1350" s="92" t="s">
        <v>5186</v>
      </c>
      <c r="C1350" s="92" t="s">
        <v>5187</v>
      </c>
      <c r="D1350" s="92" t="s">
        <v>1668</v>
      </c>
      <c r="E1350" s="92">
        <v>6</v>
      </c>
      <c r="F1350" s="92">
        <v>21.3</v>
      </c>
      <c r="G1350" s="92">
        <v>39</v>
      </c>
      <c r="H1350" s="92" t="s">
        <v>34</v>
      </c>
      <c r="I1350" s="92" t="s">
        <v>2684</v>
      </c>
    </row>
    <row r="1351" spans="1:9">
      <c r="A1351" s="92" t="s">
        <v>5188</v>
      </c>
      <c r="B1351" s="92" t="s">
        <v>5189</v>
      </c>
      <c r="C1351" s="92" t="s">
        <v>5190</v>
      </c>
      <c r="D1351" s="92" t="s">
        <v>1668</v>
      </c>
      <c r="E1351" s="92">
        <v>6</v>
      </c>
      <c r="F1351" s="92">
        <v>16.100000000000001</v>
      </c>
      <c r="G1351" s="92">
        <v>37.6</v>
      </c>
      <c r="H1351" s="92" t="s">
        <v>34</v>
      </c>
      <c r="I1351" s="92" t="s">
        <v>2684</v>
      </c>
    </row>
    <row r="1352" spans="1:9">
      <c r="A1352" s="92" t="s">
        <v>5191</v>
      </c>
      <c r="B1352" s="92" t="s">
        <v>5192</v>
      </c>
      <c r="C1352" s="92" t="s">
        <v>895</v>
      </c>
      <c r="D1352" s="92" t="s">
        <v>1668</v>
      </c>
      <c r="E1352" s="92">
        <v>24</v>
      </c>
      <c r="F1352" s="92">
        <v>24</v>
      </c>
      <c r="G1352" s="92">
        <v>8</v>
      </c>
      <c r="H1352" s="92" t="s">
        <v>34</v>
      </c>
      <c r="I1352" s="92" t="s">
        <v>360</v>
      </c>
    </row>
    <row r="1353" spans="1:9">
      <c r="A1353" s="92" t="s">
        <v>5193</v>
      </c>
      <c r="B1353" s="92" t="s">
        <v>5194</v>
      </c>
      <c r="C1353" s="92" t="s">
        <v>896</v>
      </c>
      <c r="D1353" s="92" t="s">
        <v>1668</v>
      </c>
      <c r="E1353" s="92">
        <v>12</v>
      </c>
      <c r="F1353" s="92">
        <v>12</v>
      </c>
      <c r="G1353" s="92">
        <v>61.4</v>
      </c>
      <c r="H1353" s="92" t="s">
        <v>34</v>
      </c>
      <c r="I1353" s="92" t="s">
        <v>360</v>
      </c>
    </row>
    <row r="1354" spans="1:9">
      <c r="A1354" s="92" t="s">
        <v>5195</v>
      </c>
      <c r="B1354" s="92" t="s">
        <v>5196</v>
      </c>
      <c r="C1354" s="92" t="s">
        <v>5197</v>
      </c>
      <c r="D1354" s="92" t="s">
        <v>1668</v>
      </c>
      <c r="E1354" s="92"/>
      <c r="F1354" s="92">
        <v>7</v>
      </c>
      <c r="G1354" s="92">
        <v>2.9</v>
      </c>
      <c r="H1354" s="92" t="s">
        <v>34</v>
      </c>
      <c r="I1354" s="92" t="s">
        <v>2244</v>
      </c>
    </row>
    <row r="1355" spans="1:9">
      <c r="A1355" s="92" t="s">
        <v>5198</v>
      </c>
      <c r="B1355" s="92" t="s">
        <v>5199</v>
      </c>
      <c r="C1355" s="92" t="s">
        <v>5200</v>
      </c>
      <c r="D1355" s="92" t="s">
        <v>1668</v>
      </c>
      <c r="E1355" s="92"/>
      <c r="F1355" s="92">
        <v>5</v>
      </c>
      <c r="G1355" s="92">
        <v>8.4</v>
      </c>
      <c r="H1355" s="92" t="s">
        <v>34</v>
      </c>
      <c r="I1355" s="92" t="s">
        <v>4405</v>
      </c>
    </row>
    <row r="1356" spans="1:9">
      <c r="A1356" s="92" t="s">
        <v>5201</v>
      </c>
      <c r="B1356" s="92" t="s">
        <v>5202</v>
      </c>
      <c r="C1356" s="92" t="s">
        <v>5203</v>
      </c>
      <c r="D1356" s="92" t="s">
        <v>1668</v>
      </c>
      <c r="E1356" s="92"/>
      <c r="F1356" s="92">
        <v>4.0999999999999996</v>
      </c>
      <c r="G1356" s="92">
        <v>2.7</v>
      </c>
      <c r="H1356" s="92" t="s">
        <v>34</v>
      </c>
      <c r="I1356" s="92" t="s">
        <v>4405</v>
      </c>
    </row>
    <row r="1357" spans="1:9">
      <c r="A1357" s="92" t="s">
        <v>5204</v>
      </c>
      <c r="B1357" s="92" t="s">
        <v>5205</v>
      </c>
      <c r="C1357" s="92" t="s">
        <v>5206</v>
      </c>
      <c r="D1357" s="92" t="s">
        <v>1668</v>
      </c>
      <c r="E1357" s="92"/>
      <c r="F1357" s="92">
        <v>4.0999999999999996</v>
      </c>
      <c r="G1357" s="92">
        <v>2.4</v>
      </c>
      <c r="H1357" s="92" t="s">
        <v>34</v>
      </c>
      <c r="I1357" s="92" t="s">
        <v>2244</v>
      </c>
    </row>
    <row r="1358" spans="1:9">
      <c r="A1358" s="92" t="s">
        <v>5207</v>
      </c>
      <c r="B1358" s="92" t="s">
        <v>5208</v>
      </c>
      <c r="C1358" s="92" t="s">
        <v>5209</v>
      </c>
      <c r="D1358" s="92" t="s">
        <v>1668</v>
      </c>
      <c r="E1358" s="92">
        <v>9</v>
      </c>
      <c r="F1358" s="92">
        <v>9</v>
      </c>
      <c r="G1358" s="92">
        <v>3</v>
      </c>
      <c r="H1358" s="92" t="s">
        <v>34</v>
      </c>
      <c r="I1358" s="92" t="s">
        <v>147</v>
      </c>
    </row>
    <row r="1359" spans="1:9">
      <c r="A1359" s="92" t="s">
        <v>5210</v>
      </c>
      <c r="B1359" s="92" t="s">
        <v>5211</v>
      </c>
      <c r="C1359" s="92" t="s">
        <v>5212</v>
      </c>
      <c r="D1359" s="92" t="s">
        <v>1668</v>
      </c>
      <c r="E1359" s="92"/>
      <c r="F1359" s="92">
        <v>12.3</v>
      </c>
      <c r="G1359" s="92">
        <v>69.8</v>
      </c>
      <c r="H1359" s="92" t="s">
        <v>34</v>
      </c>
      <c r="I1359" s="92" t="s">
        <v>5213</v>
      </c>
    </row>
    <row r="1360" spans="1:9">
      <c r="A1360" s="92" t="s">
        <v>5214</v>
      </c>
      <c r="B1360" s="92" t="s">
        <v>5215</v>
      </c>
      <c r="C1360" s="92" t="s">
        <v>5216</v>
      </c>
      <c r="D1360" s="92" t="s">
        <v>1668</v>
      </c>
      <c r="E1360" s="92">
        <v>8</v>
      </c>
      <c r="F1360" s="92">
        <v>16.100000000000001</v>
      </c>
      <c r="G1360" s="92">
        <v>3.7</v>
      </c>
      <c r="H1360" s="92" t="s">
        <v>34</v>
      </c>
      <c r="I1360" s="92" t="s">
        <v>4120</v>
      </c>
    </row>
    <row r="1361" spans="1:9">
      <c r="A1361" s="92" t="s">
        <v>5217</v>
      </c>
      <c r="B1361" s="92" t="s">
        <v>5218</v>
      </c>
      <c r="C1361" s="92" t="s">
        <v>5219</v>
      </c>
      <c r="D1361" s="92" t="s">
        <v>1668</v>
      </c>
      <c r="E1361" s="92"/>
      <c r="F1361" s="92">
        <v>7.2</v>
      </c>
      <c r="G1361" s="92">
        <v>63</v>
      </c>
      <c r="H1361" s="92" t="s">
        <v>34</v>
      </c>
      <c r="I1361" s="92" t="s">
        <v>586</v>
      </c>
    </row>
    <row r="1362" spans="1:9">
      <c r="A1362" s="92" t="s">
        <v>5220</v>
      </c>
      <c r="B1362" s="92" t="s">
        <v>5221</v>
      </c>
      <c r="C1362" s="92" t="s">
        <v>5222</v>
      </c>
      <c r="D1362" s="92" t="s">
        <v>1668</v>
      </c>
      <c r="E1362" s="92">
        <v>2</v>
      </c>
      <c r="F1362" s="92">
        <v>2</v>
      </c>
      <c r="G1362" s="92">
        <v>2.2999999999999998</v>
      </c>
      <c r="H1362" s="92" t="s">
        <v>34</v>
      </c>
      <c r="I1362" s="92" t="s">
        <v>3345</v>
      </c>
    </row>
    <row r="1363" spans="1:9">
      <c r="A1363" s="92" t="s">
        <v>5223</v>
      </c>
      <c r="B1363" s="92" t="s">
        <v>5224</v>
      </c>
      <c r="C1363" s="92" t="s">
        <v>901</v>
      </c>
      <c r="D1363" s="92" t="s">
        <v>1668</v>
      </c>
      <c r="E1363" s="92">
        <v>6.5</v>
      </c>
      <c r="F1363" s="92">
        <v>6.5</v>
      </c>
      <c r="G1363" s="92">
        <v>6.7</v>
      </c>
      <c r="H1363" s="92" t="s">
        <v>34</v>
      </c>
      <c r="I1363" s="92" t="s">
        <v>360</v>
      </c>
    </row>
    <row r="1364" spans="1:9">
      <c r="A1364" s="92" t="s">
        <v>5225</v>
      </c>
      <c r="B1364" s="92" t="s">
        <v>5226</v>
      </c>
      <c r="C1364" s="92" t="s">
        <v>5227</v>
      </c>
      <c r="D1364" s="92" t="s">
        <v>1668</v>
      </c>
      <c r="E1364" s="92">
        <v>4</v>
      </c>
      <c r="F1364" s="92">
        <v>1</v>
      </c>
      <c r="G1364" s="92">
        <v>1</v>
      </c>
      <c r="H1364" s="92" t="s">
        <v>34</v>
      </c>
      <c r="I1364" s="92" t="s">
        <v>1931</v>
      </c>
    </row>
    <row r="1365" spans="1:9">
      <c r="A1365" s="92" t="s">
        <v>5228</v>
      </c>
      <c r="B1365" s="92" t="s">
        <v>5229</v>
      </c>
      <c r="C1365" s="92" t="s">
        <v>5230</v>
      </c>
      <c r="D1365" s="92" t="s">
        <v>1668</v>
      </c>
      <c r="E1365" s="92">
        <v>8</v>
      </c>
      <c r="F1365" s="92">
        <v>9.4</v>
      </c>
      <c r="G1365" s="92">
        <v>56.1</v>
      </c>
      <c r="H1365" s="92" t="s">
        <v>34</v>
      </c>
      <c r="I1365" s="92" t="s">
        <v>3361</v>
      </c>
    </row>
    <row r="1366" spans="1:9">
      <c r="A1366" s="92" t="s">
        <v>5231</v>
      </c>
      <c r="B1366" s="92" t="s">
        <v>5232</v>
      </c>
      <c r="C1366" s="92" t="s">
        <v>5233</v>
      </c>
      <c r="D1366" s="92" t="s">
        <v>1668</v>
      </c>
      <c r="E1366" s="92">
        <v>8</v>
      </c>
      <c r="F1366" s="92">
        <v>2.8</v>
      </c>
      <c r="G1366" s="92">
        <v>2</v>
      </c>
      <c r="H1366" s="92" t="s">
        <v>34</v>
      </c>
      <c r="I1366" s="92" t="s">
        <v>276</v>
      </c>
    </row>
    <row r="1367" spans="1:9">
      <c r="A1367" s="92" t="s">
        <v>5234</v>
      </c>
      <c r="B1367" s="92" t="s">
        <v>5235</v>
      </c>
      <c r="C1367" s="92" t="s">
        <v>5236</v>
      </c>
      <c r="D1367" s="92" t="s">
        <v>1668</v>
      </c>
      <c r="E1367" s="92">
        <v>2</v>
      </c>
      <c r="F1367" s="92">
        <v>2</v>
      </c>
      <c r="G1367" s="92">
        <v>1</v>
      </c>
      <c r="H1367" s="92" t="s">
        <v>34</v>
      </c>
      <c r="I1367" s="92" t="s">
        <v>5237</v>
      </c>
    </row>
    <row r="1368" spans="1:9">
      <c r="A1368" s="92" t="s">
        <v>5238</v>
      </c>
      <c r="B1368" s="92" t="s">
        <v>5239</v>
      </c>
      <c r="C1368" s="92" t="s">
        <v>5240</v>
      </c>
      <c r="D1368" s="92" t="s">
        <v>1668</v>
      </c>
      <c r="E1368" s="92">
        <v>2</v>
      </c>
      <c r="F1368" s="92">
        <v>2</v>
      </c>
      <c r="G1368" s="92">
        <v>1</v>
      </c>
      <c r="H1368" s="92" t="s">
        <v>34</v>
      </c>
      <c r="I1368" s="92" t="s">
        <v>5237</v>
      </c>
    </row>
    <row r="1369" spans="1:9">
      <c r="A1369" s="92" t="s">
        <v>5241</v>
      </c>
      <c r="B1369" s="92" t="s">
        <v>5242</v>
      </c>
      <c r="C1369" s="92" t="s">
        <v>5243</v>
      </c>
      <c r="D1369" s="92" t="s">
        <v>1668</v>
      </c>
      <c r="E1369" s="92">
        <v>100</v>
      </c>
      <c r="F1369" s="92">
        <v>3.2</v>
      </c>
      <c r="G1369" s="92">
        <v>27</v>
      </c>
      <c r="H1369" s="92" t="s">
        <v>34</v>
      </c>
      <c r="I1369" s="92" t="s">
        <v>147</v>
      </c>
    </row>
    <row r="1370" spans="1:9">
      <c r="A1370" s="92" t="s">
        <v>5244</v>
      </c>
      <c r="B1370" s="92" t="s">
        <v>5245</v>
      </c>
      <c r="C1370" s="92" t="s">
        <v>5246</v>
      </c>
      <c r="D1370" s="92" t="s">
        <v>1668</v>
      </c>
      <c r="E1370" s="92">
        <v>6</v>
      </c>
      <c r="F1370" s="92">
        <v>8.3000000000000007</v>
      </c>
      <c r="G1370" s="92">
        <v>4</v>
      </c>
      <c r="H1370" s="92" t="s">
        <v>34</v>
      </c>
      <c r="I1370" s="92" t="s">
        <v>2995</v>
      </c>
    </row>
    <row r="1371" spans="1:9">
      <c r="A1371" s="92" t="s">
        <v>5247</v>
      </c>
      <c r="B1371" s="92" t="s">
        <v>5248</v>
      </c>
      <c r="C1371" s="92" t="s">
        <v>5249</v>
      </c>
      <c r="D1371" s="92" t="s">
        <v>1668</v>
      </c>
      <c r="E1371" s="92"/>
      <c r="F1371" s="92">
        <v>17.8</v>
      </c>
      <c r="G1371" s="92">
        <v>12.2</v>
      </c>
      <c r="H1371" s="92" t="s">
        <v>34</v>
      </c>
      <c r="I1371" s="92" t="s">
        <v>122</v>
      </c>
    </row>
    <row r="1372" spans="1:9">
      <c r="A1372" s="92" t="s">
        <v>5250</v>
      </c>
      <c r="B1372" s="92" t="s">
        <v>5251</v>
      </c>
      <c r="C1372" s="92" t="s">
        <v>5252</v>
      </c>
      <c r="D1372" s="92" t="s">
        <v>1668</v>
      </c>
      <c r="E1372" s="92">
        <v>16</v>
      </c>
      <c r="F1372" s="92">
        <v>13.5</v>
      </c>
      <c r="G1372" s="92">
        <v>6.6</v>
      </c>
      <c r="H1372" s="92" t="s">
        <v>34</v>
      </c>
      <c r="I1372" s="92" t="s">
        <v>3403</v>
      </c>
    </row>
    <row r="1373" spans="1:9">
      <c r="A1373" s="92" t="s">
        <v>5253</v>
      </c>
      <c r="B1373" s="92" t="s">
        <v>5254</v>
      </c>
      <c r="C1373" s="92" t="s">
        <v>5255</v>
      </c>
      <c r="D1373" s="92" t="s">
        <v>1668</v>
      </c>
      <c r="E1373" s="92">
        <v>4</v>
      </c>
      <c r="F1373" s="92">
        <v>12.6</v>
      </c>
      <c r="G1373" s="92">
        <v>3</v>
      </c>
      <c r="H1373" s="92" t="s">
        <v>34</v>
      </c>
      <c r="I1373" s="92" t="s">
        <v>3416</v>
      </c>
    </row>
    <row r="1374" spans="1:9">
      <c r="A1374" s="92" t="s">
        <v>5256</v>
      </c>
      <c r="B1374" s="92" t="s">
        <v>5257</v>
      </c>
      <c r="C1374" s="92" t="s">
        <v>615</v>
      </c>
      <c r="D1374" s="92" t="s">
        <v>2457</v>
      </c>
      <c r="E1374" s="92">
        <v>2</v>
      </c>
      <c r="F1374" s="92">
        <v>19</v>
      </c>
      <c r="G1374" s="92">
        <v>21.9</v>
      </c>
      <c r="H1374" s="92" t="s">
        <v>34</v>
      </c>
      <c r="I1374" s="92" t="s">
        <v>610</v>
      </c>
    </row>
    <row r="1375" spans="1:9">
      <c r="A1375" s="92" t="s">
        <v>5258</v>
      </c>
      <c r="B1375" s="92" t="s">
        <v>5259</v>
      </c>
      <c r="C1375" s="92" t="s">
        <v>903</v>
      </c>
      <c r="D1375" s="92" t="s">
        <v>1668</v>
      </c>
      <c r="E1375" s="92">
        <v>24</v>
      </c>
      <c r="F1375" s="92">
        <v>8</v>
      </c>
      <c r="G1375" s="92">
        <v>4.5</v>
      </c>
      <c r="H1375" s="92" t="s">
        <v>34</v>
      </c>
      <c r="I1375" s="92" t="s">
        <v>41</v>
      </c>
    </row>
    <row r="1376" spans="1:9">
      <c r="A1376" s="92" t="s">
        <v>5260</v>
      </c>
      <c r="B1376" s="92" t="s">
        <v>5261</v>
      </c>
      <c r="C1376" s="92" t="s">
        <v>5262</v>
      </c>
      <c r="D1376" s="92" t="s">
        <v>1668</v>
      </c>
      <c r="E1376" s="92">
        <v>16</v>
      </c>
      <c r="F1376" s="92">
        <v>17</v>
      </c>
      <c r="G1376" s="92">
        <v>6.5</v>
      </c>
      <c r="H1376" s="92" t="s">
        <v>34</v>
      </c>
      <c r="I1376" s="92" t="s">
        <v>1778</v>
      </c>
    </row>
    <row r="1377" spans="1:9">
      <c r="A1377" s="92" t="s">
        <v>5263</v>
      </c>
      <c r="B1377" s="92" t="s">
        <v>5264</v>
      </c>
      <c r="C1377" s="92" t="s">
        <v>5265</v>
      </c>
      <c r="D1377" s="92" t="s">
        <v>1668</v>
      </c>
      <c r="E1377" s="92">
        <v>6</v>
      </c>
      <c r="F1377" s="92">
        <v>4.0999999999999996</v>
      </c>
      <c r="G1377" s="92">
        <v>2.2000000000000002</v>
      </c>
      <c r="H1377" s="92" t="s">
        <v>34</v>
      </c>
      <c r="I1377" s="92" t="s">
        <v>586</v>
      </c>
    </row>
    <row r="1378" spans="1:9">
      <c r="A1378" s="92" t="s">
        <v>5266</v>
      </c>
      <c r="B1378" s="92" t="s">
        <v>5267</v>
      </c>
      <c r="C1378" s="92" t="s">
        <v>5268</v>
      </c>
      <c r="D1378" s="92" t="s">
        <v>1668</v>
      </c>
      <c r="E1378" s="92">
        <v>4</v>
      </c>
      <c r="F1378" s="92">
        <v>0.5</v>
      </c>
      <c r="G1378" s="92">
        <v>0.5</v>
      </c>
      <c r="H1378" s="92" t="s">
        <v>34</v>
      </c>
      <c r="I1378" s="92" t="s">
        <v>586</v>
      </c>
    </row>
    <row r="1379" spans="1:9">
      <c r="A1379" s="92" t="s">
        <v>5269</v>
      </c>
      <c r="B1379" s="92" t="s">
        <v>5270</v>
      </c>
      <c r="C1379" s="92" t="s">
        <v>5271</v>
      </c>
      <c r="D1379" s="92" t="s">
        <v>1668</v>
      </c>
      <c r="E1379" s="92">
        <v>8</v>
      </c>
      <c r="F1379" s="92">
        <v>8</v>
      </c>
      <c r="G1379" s="92">
        <v>4</v>
      </c>
      <c r="H1379" s="92" t="s">
        <v>34</v>
      </c>
      <c r="I1379" s="92" t="s">
        <v>38</v>
      </c>
    </row>
    <row r="1380" spans="1:9">
      <c r="A1380" s="115" t="s">
        <v>5272</v>
      </c>
      <c r="B1380" s="115" t="s">
        <v>5273</v>
      </c>
      <c r="C1380" s="115" t="s">
        <v>5274</v>
      </c>
      <c r="D1380" s="115" t="s">
        <v>1668</v>
      </c>
      <c r="E1380" s="115">
        <v>12</v>
      </c>
      <c r="F1380" s="115">
        <v>12.1</v>
      </c>
      <c r="G1380" s="115">
        <v>37.5</v>
      </c>
      <c r="H1380" s="115" t="s">
        <v>34</v>
      </c>
      <c r="I1380" s="115" t="s">
        <v>1741</v>
      </c>
    </row>
    <row r="1381" spans="1:9">
      <c r="A1381" s="115" t="s">
        <v>5275</v>
      </c>
      <c r="B1381" s="115" t="s">
        <v>5276</v>
      </c>
      <c r="C1381" s="115" t="s">
        <v>5277</v>
      </c>
      <c r="D1381" s="115" t="s">
        <v>1668</v>
      </c>
      <c r="E1381" s="115">
        <v>20</v>
      </c>
      <c r="F1381" s="115">
        <v>20.2</v>
      </c>
      <c r="G1381" s="115">
        <v>33.4</v>
      </c>
      <c r="H1381" s="115" t="s">
        <v>34</v>
      </c>
      <c r="I1381" s="115" t="s">
        <v>98</v>
      </c>
    </row>
    <row r="1382" spans="1:9">
      <c r="A1382" s="115" t="s">
        <v>930</v>
      </c>
      <c r="B1382" s="115" t="s">
        <v>928</v>
      </c>
      <c r="C1382" s="115" t="s">
        <v>929</v>
      </c>
      <c r="D1382" s="115" t="s">
        <v>1668</v>
      </c>
      <c r="E1382" s="115">
        <v>24</v>
      </c>
      <c r="F1382" s="115">
        <v>9</v>
      </c>
      <c r="G1382" s="115">
        <v>47.4</v>
      </c>
      <c r="H1382" s="115" t="s">
        <v>34</v>
      </c>
      <c r="I1382" s="115" t="s">
        <v>432</v>
      </c>
    </row>
    <row r="1383" spans="1:9">
      <c r="A1383" s="115" t="s">
        <v>933</v>
      </c>
      <c r="B1383" s="115" t="s">
        <v>931</v>
      </c>
      <c r="C1383" s="115" t="s">
        <v>932</v>
      </c>
      <c r="D1383" s="115" t="s">
        <v>1668</v>
      </c>
      <c r="E1383" s="115">
        <v>24</v>
      </c>
      <c r="F1383" s="115">
        <v>16.5</v>
      </c>
      <c r="G1383" s="115">
        <v>49.1</v>
      </c>
      <c r="H1383" s="115" t="s">
        <v>34</v>
      </c>
      <c r="I1383" s="115" t="s">
        <v>432</v>
      </c>
    </row>
    <row r="1384" spans="1:9">
      <c r="A1384" s="115" t="s">
        <v>5278</v>
      </c>
      <c r="B1384" s="115" t="s">
        <v>5279</v>
      </c>
      <c r="C1384" s="115" t="s">
        <v>5280</v>
      </c>
      <c r="D1384" s="115" t="s">
        <v>1668</v>
      </c>
      <c r="E1384" s="115"/>
      <c r="F1384" s="115">
        <v>6</v>
      </c>
      <c r="G1384" s="115">
        <v>2</v>
      </c>
      <c r="H1384" s="115" t="s">
        <v>34</v>
      </c>
      <c r="I1384" s="115" t="s">
        <v>586</v>
      </c>
    </row>
    <row r="1385" spans="1:9">
      <c r="A1385" s="115" t="s">
        <v>5281</v>
      </c>
      <c r="B1385" s="115" t="s">
        <v>5282</v>
      </c>
      <c r="C1385" s="115" t="s">
        <v>5283</v>
      </c>
      <c r="D1385" s="115" t="s">
        <v>1668</v>
      </c>
      <c r="E1385" s="115">
        <v>6</v>
      </c>
      <c r="F1385" s="115">
        <v>7</v>
      </c>
      <c r="G1385" s="115">
        <v>1.8</v>
      </c>
      <c r="H1385" s="115" t="s">
        <v>34</v>
      </c>
      <c r="I1385" s="115" t="s">
        <v>122</v>
      </c>
    </row>
    <row r="1386" spans="1:9">
      <c r="A1386" s="92" t="s">
        <v>5284</v>
      </c>
      <c r="B1386" s="92" t="s">
        <v>5285</v>
      </c>
      <c r="C1386" s="92" t="s">
        <v>5286</v>
      </c>
      <c r="D1386" s="92" t="s">
        <v>1668</v>
      </c>
      <c r="E1386" s="92">
        <v>6</v>
      </c>
      <c r="F1386" s="92">
        <v>7</v>
      </c>
      <c r="G1386" s="92">
        <v>1.6</v>
      </c>
      <c r="H1386" s="92" t="s">
        <v>34</v>
      </c>
      <c r="I1386" s="92" t="s">
        <v>122</v>
      </c>
    </row>
    <row r="1387" spans="1:9">
      <c r="A1387" s="92" t="s">
        <v>5287</v>
      </c>
      <c r="B1387" s="92" t="s">
        <v>5288</v>
      </c>
      <c r="C1387" s="92" t="s">
        <v>957</v>
      </c>
      <c r="D1387" s="92" t="s">
        <v>1668</v>
      </c>
      <c r="E1387" s="92">
        <v>9</v>
      </c>
      <c r="F1387" s="92">
        <v>10</v>
      </c>
      <c r="G1387" s="92">
        <v>5.2</v>
      </c>
      <c r="H1387" s="92" t="s">
        <v>34</v>
      </c>
      <c r="I1387" s="92" t="s">
        <v>98</v>
      </c>
    </row>
    <row r="1388" spans="1:9">
      <c r="A1388" s="92" t="s">
        <v>5289</v>
      </c>
      <c r="B1388" s="92" t="s">
        <v>5290</v>
      </c>
      <c r="C1388" s="92" t="s">
        <v>959</v>
      </c>
      <c r="D1388" s="92" t="s">
        <v>1668</v>
      </c>
      <c r="E1388" s="92">
        <v>7</v>
      </c>
      <c r="F1388" s="92">
        <v>8</v>
      </c>
      <c r="G1388" s="92">
        <v>5.0999999999999996</v>
      </c>
      <c r="H1388" s="92" t="s">
        <v>34</v>
      </c>
      <c r="I1388" s="92" t="s">
        <v>122</v>
      </c>
    </row>
    <row r="1389" spans="1:9">
      <c r="A1389" s="92" t="s">
        <v>5291</v>
      </c>
      <c r="B1389" s="92" t="s">
        <v>5292</v>
      </c>
      <c r="C1389" s="92" t="s">
        <v>960</v>
      </c>
      <c r="D1389" s="92" t="s">
        <v>1668</v>
      </c>
      <c r="E1389" s="92"/>
      <c r="F1389" s="92">
        <v>6.6</v>
      </c>
      <c r="G1389" s="92">
        <v>5.4</v>
      </c>
      <c r="H1389" s="92" t="s">
        <v>34</v>
      </c>
      <c r="I1389" s="92" t="s">
        <v>178</v>
      </c>
    </row>
    <row r="1390" spans="1:9">
      <c r="A1390" s="92" t="s">
        <v>5293</v>
      </c>
      <c r="B1390" s="92" t="s">
        <v>5294</v>
      </c>
      <c r="C1390" s="92" t="s">
        <v>5295</v>
      </c>
      <c r="D1390" s="92" t="s">
        <v>1668</v>
      </c>
      <c r="E1390" s="92"/>
      <c r="F1390" s="92">
        <v>9.8000000000000007</v>
      </c>
      <c r="G1390" s="92">
        <v>24.6</v>
      </c>
      <c r="H1390" s="92" t="s">
        <v>34</v>
      </c>
      <c r="I1390" s="92" t="s">
        <v>586</v>
      </c>
    </row>
    <row r="1391" spans="1:9">
      <c r="A1391" s="92" t="s">
        <v>5296</v>
      </c>
      <c r="B1391" s="92" t="s">
        <v>5297</v>
      </c>
      <c r="C1391" s="92" t="s">
        <v>5298</v>
      </c>
      <c r="D1391" s="92" t="s">
        <v>1668</v>
      </c>
      <c r="E1391" s="92">
        <v>7</v>
      </c>
      <c r="F1391" s="92">
        <v>8.1999999999999993</v>
      </c>
      <c r="G1391" s="92">
        <v>8.6</v>
      </c>
      <c r="H1391" s="92" t="s">
        <v>34</v>
      </c>
      <c r="I1391" s="92" t="s">
        <v>586</v>
      </c>
    </row>
    <row r="1392" spans="1:9">
      <c r="A1392" s="92" t="s">
        <v>5299</v>
      </c>
      <c r="B1392" s="92" t="s">
        <v>5300</v>
      </c>
      <c r="C1392" s="92" t="s">
        <v>5301</v>
      </c>
      <c r="D1392" s="92" t="s">
        <v>1668</v>
      </c>
      <c r="E1392" s="92"/>
      <c r="F1392" s="92">
        <v>5.5</v>
      </c>
      <c r="G1392" s="92">
        <v>7.7</v>
      </c>
      <c r="H1392" s="92" t="s">
        <v>34</v>
      </c>
      <c r="I1392" s="92" t="s">
        <v>4405</v>
      </c>
    </row>
    <row r="1393" spans="1:9">
      <c r="A1393" s="92" t="s">
        <v>5302</v>
      </c>
      <c r="B1393" s="92" t="s">
        <v>5303</v>
      </c>
      <c r="C1393" s="92" t="s">
        <v>5304</v>
      </c>
      <c r="D1393" s="92" t="s">
        <v>1668</v>
      </c>
      <c r="E1393" s="92">
        <v>9.8000000000000007</v>
      </c>
      <c r="F1393" s="92">
        <v>10.8</v>
      </c>
      <c r="G1393" s="92">
        <v>24.7</v>
      </c>
      <c r="H1393" s="92" t="s">
        <v>34</v>
      </c>
      <c r="I1393" s="92" t="s">
        <v>586</v>
      </c>
    </row>
    <row r="1394" spans="1:9">
      <c r="A1394" s="92" t="s">
        <v>5305</v>
      </c>
      <c r="B1394" s="92" t="s">
        <v>5306</v>
      </c>
      <c r="C1394" s="92" t="s">
        <v>5307</v>
      </c>
      <c r="D1394" s="92" t="s">
        <v>1668</v>
      </c>
      <c r="E1394" s="92">
        <v>8</v>
      </c>
      <c r="F1394" s="92">
        <v>9.1999999999999993</v>
      </c>
      <c r="G1394" s="92">
        <v>8.1999999999999993</v>
      </c>
      <c r="H1394" s="92" t="s">
        <v>34</v>
      </c>
      <c r="I1394" s="92" t="s">
        <v>586</v>
      </c>
    </row>
    <row r="1395" spans="1:9">
      <c r="A1395" s="92" t="s">
        <v>5308</v>
      </c>
      <c r="B1395" s="92" t="s">
        <v>5309</v>
      </c>
      <c r="C1395" s="92" t="s">
        <v>5310</v>
      </c>
      <c r="D1395" s="92" t="s">
        <v>1668</v>
      </c>
      <c r="E1395" s="92">
        <v>30</v>
      </c>
      <c r="F1395" s="92">
        <v>26</v>
      </c>
      <c r="G1395" s="92">
        <v>6.5</v>
      </c>
      <c r="H1395" s="92" t="s">
        <v>34</v>
      </c>
      <c r="I1395" s="92" t="s">
        <v>138</v>
      </c>
    </row>
    <row r="1396" spans="1:9">
      <c r="A1396" s="92" t="s">
        <v>5311</v>
      </c>
      <c r="B1396" s="92" t="s">
        <v>5312</v>
      </c>
      <c r="C1396" s="92" t="s">
        <v>5313</v>
      </c>
      <c r="D1396" s="92" t="s">
        <v>1668</v>
      </c>
      <c r="E1396" s="92"/>
      <c r="F1396" s="92">
        <v>2</v>
      </c>
      <c r="G1396" s="92">
        <v>2</v>
      </c>
      <c r="H1396" s="92" t="s">
        <v>34</v>
      </c>
      <c r="I1396" s="92" t="s">
        <v>1778</v>
      </c>
    </row>
    <row r="1397" spans="1:9">
      <c r="A1397" s="92" t="s">
        <v>5314</v>
      </c>
      <c r="B1397" s="92" t="s">
        <v>5315</v>
      </c>
      <c r="C1397" s="92" t="s">
        <v>5316</v>
      </c>
      <c r="D1397" s="92" t="s">
        <v>1668</v>
      </c>
      <c r="E1397" s="92">
        <v>8</v>
      </c>
      <c r="F1397" s="92">
        <v>15.1</v>
      </c>
      <c r="G1397" s="92">
        <v>96.8</v>
      </c>
      <c r="H1397" s="92" t="s">
        <v>34</v>
      </c>
      <c r="I1397" s="92" t="s">
        <v>2244</v>
      </c>
    </row>
    <row r="1398" spans="1:9">
      <c r="A1398" s="92" t="s">
        <v>5317</v>
      </c>
      <c r="B1398" s="92" t="s">
        <v>5318</v>
      </c>
      <c r="C1398" s="92" t="s">
        <v>5319</v>
      </c>
      <c r="D1398" s="92" t="s">
        <v>1668</v>
      </c>
      <c r="E1398" s="92">
        <v>8</v>
      </c>
      <c r="F1398" s="92">
        <v>2</v>
      </c>
      <c r="G1398" s="92">
        <v>2</v>
      </c>
      <c r="H1398" s="92" t="s">
        <v>34</v>
      </c>
      <c r="I1398" s="92" t="s">
        <v>1791</v>
      </c>
    </row>
    <row r="1399" spans="1:9">
      <c r="A1399" s="92" t="s">
        <v>5320</v>
      </c>
      <c r="B1399" s="92" t="s">
        <v>5321</v>
      </c>
      <c r="C1399" s="92" t="s">
        <v>5322</v>
      </c>
      <c r="D1399" s="92" t="s">
        <v>1668</v>
      </c>
      <c r="E1399" s="92">
        <v>32</v>
      </c>
      <c r="F1399" s="92">
        <v>31</v>
      </c>
      <c r="G1399" s="92">
        <v>7.5</v>
      </c>
      <c r="H1399" s="92" t="s">
        <v>34</v>
      </c>
      <c r="I1399" s="92" t="s">
        <v>3370</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2026-08-18T23:29:48Z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