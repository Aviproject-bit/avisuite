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STER" sheetId="1" state="visible" r:id="rId1"/>
  </sheets>
  <definedNames>
    <definedName name="_xlnm.Print_Area" localSheetId="0">'ROSTER'!$A$1:$AI$70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2">
    <font>
      <name val="Calibri"/>
      <family val="2"/>
      <color theme="1"/>
      <sz val="11"/>
      <scheme val="minor"/>
    </font>
    <font>
      <name val="Times New Roman"/>
      <b val="1"/>
      <color rgb="00FFFFFF"/>
      <sz val="13"/>
    </font>
    <font>
      <name val="Times New Roman"/>
      <b val="1"/>
      <color rgb="00000000"/>
      <sz val="8"/>
    </font>
    <font>
      <name val="Times New Roman"/>
      <b val="1"/>
      <color rgb="00B45309"/>
      <sz val="12"/>
    </font>
    <font>
      <name val="Times New Roman"/>
      <b val="1"/>
      <color rgb="0015803D"/>
      <sz val="12"/>
    </font>
    <font>
      <name val="Times New Roman"/>
      <b val="1"/>
      <color rgb="00FFFFFF"/>
      <sz val="11"/>
    </font>
    <font>
      <name val="Times New Roman"/>
      <b val="1"/>
      <color rgb="00000000"/>
      <sz val="10"/>
    </font>
    <font>
      <name val="Times New Roman"/>
      <b val="1"/>
      <color rgb="00000000"/>
      <sz val="9"/>
    </font>
    <font>
      <name val="Times New Roman"/>
      <color rgb="00000000"/>
      <sz val="10"/>
    </font>
    <font>
      <name val="Times New Roman"/>
      <color rgb="00000000"/>
      <sz val="11"/>
    </font>
    <font>
      <name val="Times New Roman"/>
      <color rgb="00000000"/>
      <sz val="12"/>
    </font>
    <font>
      <name val="Times New Roman"/>
      <b val="1"/>
      <color rgb="00000000"/>
      <sz val="12"/>
    </font>
    <font>
      <name val="Times New Roman"/>
      <b val="1"/>
      <color rgb="00000000"/>
      <sz val="11"/>
    </font>
    <font>
      <name val="Times New Roman"/>
      <b val="1"/>
      <color rgb="0015803D"/>
      <sz val="10"/>
    </font>
    <font>
      <name val="Times New Roman"/>
      <b val="1"/>
      <color rgb="0092400E"/>
      <sz val="11"/>
    </font>
    <font>
      <name val="Times New Roman"/>
      <b val="1"/>
      <color rgb="001A56DB"/>
      <sz val="11"/>
    </font>
    <font>
      <name val="Times New Roman"/>
      <b val="1"/>
      <color rgb="00065F46"/>
      <sz val="11"/>
    </font>
    <font>
      <name val="Times New Roman"/>
      <b val="1"/>
      <color rgb="0092400E"/>
      <sz val="10"/>
    </font>
    <font>
      <name val="Times New Roman"/>
      <color rgb="00000000"/>
      <sz val="9"/>
    </font>
    <font>
      <name val="Times New Roman"/>
      <b val="1"/>
      <color rgb="001A56DB"/>
      <sz val="10"/>
    </font>
    <font>
      <name val="Times New Roman"/>
      <b val="1"/>
      <color rgb="00065F46"/>
      <sz val="10"/>
    </font>
    <font>
      <name val="Times New Roman"/>
      <b val="1"/>
      <color rgb="005521B5"/>
      <sz val="10"/>
    </font>
    <font>
      <name val="Times New Roman"/>
      <b val="1"/>
      <color rgb="000E7490"/>
      <sz val="10"/>
    </font>
    <font>
      <name val="Times New Roman"/>
      <b val="1"/>
      <color rgb="006B7280"/>
      <sz val="10"/>
    </font>
    <font>
      <name val="Times New Roman"/>
      <b val="1"/>
      <color rgb="00F9FAFB"/>
      <sz val="10"/>
    </font>
    <font>
      <name val="Times New Roman"/>
      <b val="1"/>
      <color rgb="007E22CE"/>
      <sz val="10"/>
    </font>
    <font>
      <name val="Times New Roman"/>
      <b val="1"/>
      <color rgb="00C2410C"/>
      <sz val="10"/>
    </font>
    <font>
      <name val="Times New Roman"/>
      <b val="1"/>
      <color rgb="003730A3"/>
      <sz val="10"/>
    </font>
    <font>
      <name val="Times New Roman"/>
      <b val="1"/>
      <color rgb="00BE123C"/>
      <sz val="10"/>
    </font>
    <font>
      <name val="Times New Roman"/>
      <b val="1"/>
      <color rgb="003F6212"/>
      <sz val="10"/>
    </font>
    <font>
      <name val="Times New Roman"/>
      <b val="1"/>
      <color rgb="00475569"/>
      <sz val="10"/>
    </font>
    <font>
      <name val="Times New Roman"/>
      <b val="1"/>
      <color rgb="00713F12"/>
      <sz val="10"/>
    </font>
  </fonts>
  <fills count="24">
    <fill>
      <patternFill/>
    </fill>
    <fill>
      <patternFill patternType="gray125"/>
    </fill>
    <fill>
      <patternFill patternType="solid">
        <fgColor rgb="0015803D"/>
      </patternFill>
    </fill>
    <fill>
      <patternFill patternType="solid">
        <fgColor rgb="00196B24"/>
      </patternFill>
    </fill>
    <fill>
      <patternFill patternType="solid">
        <fgColor rgb="00EEF2F0"/>
      </patternFill>
    </fill>
    <fill>
      <patternFill patternType="solid">
        <fgColor rgb="00A5A5A5"/>
      </patternFill>
    </fill>
    <fill>
      <patternFill patternType="solid">
        <fgColor rgb="00D0CECE"/>
      </patternFill>
    </fill>
    <fill>
      <patternFill patternType="solid">
        <fgColor rgb="00FFFF99"/>
      </patternFill>
    </fill>
    <fill>
      <patternFill patternType="solid">
        <fgColor rgb="00DAE3F3"/>
      </patternFill>
    </fill>
    <fill>
      <patternFill patternType="solid">
        <fgColor rgb="00F2F2F2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D1FAE5"/>
      </patternFill>
    </fill>
    <fill>
      <patternFill patternType="solid">
        <fgColor rgb="00EDEBFE"/>
      </patternFill>
    </fill>
    <fill>
      <patternFill patternType="solid">
        <fgColor rgb="00CFFAFE"/>
      </patternFill>
    </fill>
    <fill>
      <patternFill patternType="solid">
        <fgColor rgb="00F3F4F6"/>
      </patternFill>
    </fill>
    <fill>
      <patternFill patternType="solid">
        <fgColor rgb="001F2937"/>
      </patternFill>
    </fill>
    <fill>
      <patternFill patternType="solid">
        <fgColor rgb="00FDF4FF"/>
      </patternFill>
    </fill>
    <fill>
      <patternFill patternType="solid">
        <fgColor rgb="00FFF7ED"/>
      </patternFill>
    </fill>
    <fill>
      <patternFill patternType="solid">
        <fgColor rgb="00E0E7FF"/>
      </patternFill>
    </fill>
    <fill>
      <patternFill patternType="solid">
        <fgColor rgb="00FFE4E6"/>
      </patternFill>
    </fill>
    <fill>
      <patternFill patternType="solid">
        <fgColor rgb="00ECFCCB"/>
      </patternFill>
    </fill>
    <fill>
      <patternFill patternType="solid">
        <fgColor rgb="00F1F5F9"/>
      </patternFill>
    </fill>
    <fill>
      <patternFill patternType="solid">
        <fgColor rgb="00FEF9C3"/>
      </patternFill>
    </fill>
  </fills>
  <borders count="2">
    <border>
      <left/>
      <right/>
      <top/>
      <bottom/>
      <diagonal/>
    </border>
    <border>
      <left style="thin">
        <color rgb="00C9CFD6"/>
      </left>
      <right style="thin">
        <color rgb="00C9CFD6"/>
      </right>
      <top style="thin">
        <color rgb="00C9CFD6"/>
      </top>
      <bottom style="thin">
        <color rgb="00C9CFD6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indent="1"/>
    </xf>
    <xf numFmtId="0" fontId="2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indent="1"/>
    </xf>
    <xf numFmtId="0" fontId="11" fillId="0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 indent="1"/>
    </xf>
    <xf numFmtId="0" fontId="6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0" pivotButton="0" quotePrefix="0" xfId="0"/>
    <xf numFmtId="0" fontId="14" fillId="1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17" fillId="1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9" fillId="11" borderId="1" applyAlignment="1" pivotButton="0" quotePrefix="0" xfId="0">
      <alignment horizontal="center" vertical="center"/>
    </xf>
    <xf numFmtId="0" fontId="20" fillId="12" borderId="1" applyAlignment="1" pivotButton="0" quotePrefix="0" xfId="0">
      <alignment horizontal="center" vertical="center"/>
    </xf>
    <xf numFmtId="0" fontId="21" fillId="13" borderId="1" applyAlignment="1" pivotButton="0" quotePrefix="0" xfId="0">
      <alignment horizontal="center" vertical="center"/>
    </xf>
    <xf numFmtId="0" fontId="22" fillId="14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23" fillId="15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7" fillId="19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28" fillId="20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30" fillId="22" borderId="1" applyAlignment="1" pivotButton="0" quotePrefix="0" xfId="0">
      <alignment horizontal="center" vertical="center"/>
    </xf>
    <xf numFmtId="0" fontId="31" fillId="23" borderId="1" applyAlignment="1" pivotButton="0" quotePrefix="0" xfId="0">
      <alignment horizontal="center" vertical="center"/>
    </xf>
    <xf numFmtId="0" fontId="23" fillId="0" borderId="0" pivotButton="0" quotePrefix="0" xfId="0"/>
    <xf numFmtId="0" fontId="9" fillId="0" borderId="1" applyAlignment="1" pivotButton="0" quotePrefix="0" xfId="0">
      <alignment horizontal="left" vertical="center" indent="1"/>
    </xf>
  </cellXfs>
  <cellStyles count="1">
    <cellStyle name="Normal" xfId="0" builtinId="0" hidden="0"/>
  </cellStyles>
  <dxfs count="16">
    <dxf>
      <font>
        <name val="Times New Roman"/>
        <b val="1"/>
        <color rgb="0092400E"/>
      </font>
      <fill>
        <patternFill>
          <bgColor rgb="00FEF3C7"/>
        </patternFill>
      </fill>
    </dxf>
    <dxf>
      <font>
        <name val="Times New Roman"/>
        <b val="1"/>
        <color rgb="001A56DB"/>
      </font>
      <fill>
        <patternFill>
          <bgColor rgb="00DBEAFE"/>
        </patternFill>
      </fill>
    </dxf>
    <dxf>
      <font>
        <name val="Times New Roman"/>
        <b val="1"/>
        <color rgb="00065F46"/>
      </font>
      <fill>
        <patternFill>
          <bgColor rgb="00D1FAE5"/>
        </patternFill>
      </fill>
    </dxf>
    <dxf>
      <font>
        <name val="Times New Roman"/>
        <b val="1"/>
        <color rgb="005521B5"/>
      </font>
      <fill>
        <patternFill>
          <bgColor rgb="00EDEBFE"/>
        </patternFill>
      </fill>
    </dxf>
    <dxf>
      <font>
        <name val="Times New Roman"/>
        <b val="1"/>
        <color rgb="000E7490"/>
      </font>
      <fill>
        <patternFill>
          <bgColor rgb="00CFFAFE"/>
        </patternFill>
      </fill>
    </dxf>
    <dxf>
      <font>
        <name val="Times New Roman"/>
        <b val="1"/>
        <color rgb="006B7280"/>
      </font>
      <fill>
        <patternFill>
          <bgColor rgb="00F3F4F6"/>
        </patternFill>
      </fill>
    </dxf>
    <dxf>
      <font>
        <name val="Times New Roman"/>
        <b val="1"/>
        <color rgb="00F9FAFB"/>
      </font>
      <fill>
        <patternFill>
          <bgColor rgb="001F2937"/>
        </patternFill>
      </fill>
    </dxf>
    <dxf>
      <font>
        <name val="Times New Roman"/>
        <b val="1"/>
        <color rgb="007E22CE"/>
      </font>
      <fill>
        <patternFill>
          <bgColor rgb="00FDF4FF"/>
        </patternFill>
      </fill>
    </dxf>
    <dxf>
      <font>
        <name val="Times New Roman"/>
        <b val="1"/>
        <color rgb="00C2410C"/>
      </font>
      <fill>
        <patternFill>
          <bgColor rgb="00FFF7ED"/>
        </patternFill>
      </fill>
    </dxf>
    <dxf>
      <font>
        <name val="Times New Roman"/>
        <b val="1"/>
        <color rgb="003730A3"/>
      </font>
      <fill>
        <patternFill>
          <bgColor rgb="00E0E7FF"/>
        </patternFill>
      </fill>
    </dxf>
    <dxf>
      <font>
        <name val="Times New Roman"/>
        <b val="1"/>
        <color rgb="00BE123C"/>
      </font>
      <fill>
        <patternFill>
          <bgColor rgb="00FFE4E6"/>
        </patternFill>
      </fill>
    </dxf>
    <dxf>
      <font>
        <name val="Times New Roman"/>
        <b val="1"/>
        <color rgb="003F6212"/>
      </font>
      <fill>
        <patternFill>
          <bgColor rgb="00ECFCCB"/>
        </patternFill>
      </fill>
    </dxf>
    <dxf>
      <font>
        <name val="Times New Roman"/>
        <b val="1"/>
        <color rgb="00475569"/>
      </font>
      <fill>
        <patternFill>
          <bgColor rgb="00F1F5F9"/>
        </patternFill>
      </fill>
    </dxf>
    <dxf>
      <font>
        <name val="Times New Roman"/>
        <b val="1"/>
        <color rgb="00713F12"/>
      </font>
      <fill>
        <patternFill>
          <bgColor rgb="00FEF9C3"/>
        </patternFill>
      </fill>
    </dxf>
    <dxf>
      <fill>
        <patternFill>
          <bgColor rgb="00E2EFDA"/>
        </patternFill>
      </fill>
    </dxf>
    <dxf>
      <fill>
        <patternFill>
          <bgColor rgb="00B4C6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K116"/>
  <sheetViews>
    <sheetView showGridLines="0" workbookViewId="0">
      <pane xSplit="4" topLeftCell="E1" activePane="topRight" state="frozen"/>
      <selection pane="topRight" activeCell="A1" sqref="A1"/>
    </sheetView>
  </sheetViews>
  <sheetFormatPr baseColWidth="8" defaultRowHeight="15"/>
  <cols>
    <col width="6.8" customWidth="1" min="1" max="1"/>
    <col width="11" customWidth="1" min="2" max="2"/>
    <col width="24" customWidth="1" min="3" max="3"/>
    <col width="10.5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4.6" customWidth="1" min="28" max="28"/>
    <col width="4.6" customWidth="1" min="29" max="29"/>
    <col width="4.6" customWidth="1" min="30" max="30"/>
    <col width="4.6" customWidth="1" min="31" max="31"/>
    <col width="4.6" customWidth="1" min="32" max="32"/>
    <col width="4.6" customWidth="1" min="33" max="33"/>
    <col width="4.6" customWidth="1" min="34" max="34"/>
    <col width="4.6" customWidth="1" min="35" max="35"/>
    <col hidden="1" width="13" customWidth="1" min="37" max="37"/>
  </cols>
  <sheetData>
    <row r="1" ht="24" customHeight="1">
      <c r="A1" s="1" t="inlineStr">
        <is>
          <t>SAUDIA TECHNIC — AIRCRAFT HEAVY MAINTENANCE · SPV CABIN MONTHLY ROSTER · CC: 264</t>
        </is>
      </c>
    </row>
    <row r="2" ht="18" customHeight="1">
      <c r="A2" s="2" t="inlineStr">
        <is>
          <t>MONTH</t>
        </is>
      </c>
      <c r="B2" s="3" t="inlineStr">
        <is>
          <t>JUL</t>
        </is>
      </c>
      <c r="C2" s="4" t="inlineStr">
        <is>
          <t>YEAR</t>
        </is>
      </c>
      <c r="D2" s="3" t="n">
        <v>2026</v>
      </c>
      <c r="E2" s="5">
        <f>TEXT(DATE($D$2,$AK$2,1),"mmmm yyyy")</f>
        <v/>
      </c>
      <c r="AK2">
        <f>IF(ISNUMBER($B$2),$B$2,MATCH(LEFT(UPPER(TRIM($B$2)),3),{"JAN","FEB","MAR","APR","MAY","JUN","JUL","AUG","SEP","OCT","NOV","DEC"},0))</f>
        <v/>
      </c>
    </row>
    <row r="3" ht="17" customHeight="1">
      <c r="A3" s="6" t="inlineStr">
        <is>
          <t>CREW 1</t>
        </is>
      </c>
    </row>
    <row r="4" ht="13" customHeight="1">
      <c r="E4" s="7">
        <f>IF(1&lt;=DAY(EOMONTH(DATE($D$2,$AK$2,1),0)),TEXT(DATE($D$2,$AK$2,1),"ddd"),"")</f>
        <v/>
      </c>
      <c r="F4" s="7">
        <f>IF(2&lt;=DAY(EOMONTH(DATE($D$2,$AK$2,1),0)),TEXT(DATE($D$2,$AK$2,2),"ddd"),"")</f>
        <v/>
      </c>
      <c r="G4" s="7">
        <f>IF(3&lt;=DAY(EOMONTH(DATE($D$2,$AK$2,1),0)),TEXT(DATE($D$2,$AK$2,3),"ddd"),"")</f>
        <v/>
      </c>
      <c r="H4" s="7">
        <f>IF(4&lt;=DAY(EOMONTH(DATE($D$2,$AK$2,1),0)),TEXT(DATE($D$2,$AK$2,4),"ddd"),"")</f>
        <v/>
      </c>
      <c r="I4" s="7">
        <f>IF(5&lt;=DAY(EOMONTH(DATE($D$2,$AK$2,1),0)),TEXT(DATE($D$2,$AK$2,5),"ddd"),"")</f>
        <v/>
      </c>
      <c r="J4" s="7">
        <f>IF(6&lt;=DAY(EOMONTH(DATE($D$2,$AK$2,1),0)),TEXT(DATE($D$2,$AK$2,6),"ddd"),"")</f>
        <v/>
      </c>
      <c r="K4" s="7">
        <f>IF(7&lt;=DAY(EOMONTH(DATE($D$2,$AK$2,1),0)),TEXT(DATE($D$2,$AK$2,7),"ddd"),"")</f>
        <v/>
      </c>
      <c r="L4" s="7">
        <f>IF(8&lt;=DAY(EOMONTH(DATE($D$2,$AK$2,1),0)),TEXT(DATE($D$2,$AK$2,8),"ddd"),"")</f>
        <v/>
      </c>
      <c r="M4" s="7">
        <f>IF(9&lt;=DAY(EOMONTH(DATE($D$2,$AK$2,1),0)),TEXT(DATE($D$2,$AK$2,9),"ddd"),"")</f>
        <v/>
      </c>
      <c r="N4" s="7">
        <f>IF(10&lt;=DAY(EOMONTH(DATE($D$2,$AK$2,1),0)),TEXT(DATE($D$2,$AK$2,10),"ddd"),"")</f>
        <v/>
      </c>
      <c r="O4" s="7">
        <f>IF(11&lt;=DAY(EOMONTH(DATE($D$2,$AK$2,1),0)),TEXT(DATE($D$2,$AK$2,11),"ddd"),"")</f>
        <v/>
      </c>
      <c r="P4" s="7">
        <f>IF(12&lt;=DAY(EOMONTH(DATE($D$2,$AK$2,1),0)),TEXT(DATE($D$2,$AK$2,12),"ddd"),"")</f>
        <v/>
      </c>
      <c r="Q4" s="7">
        <f>IF(13&lt;=DAY(EOMONTH(DATE($D$2,$AK$2,1),0)),TEXT(DATE($D$2,$AK$2,13),"ddd"),"")</f>
        <v/>
      </c>
      <c r="R4" s="7">
        <f>IF(14&lt;=DAY(EOMONTH(DATE($D$2,$AK$2,1),0)),TEXT(DATE($D$2,$AK$2,14),"ddd"),"")</f>
        <v/>
      </c>
      <c r="S4" s="7">
        <f>IF(15&lt;=DAY(EOMONTH(DATE($D$2,$AK$2,1),0)),TEXT(DATE($D$2,$AK$2,15),"ddd"),"")</f>
        <v/>
      </c>
      <c r="T4" s="7">
        <f>IF(16&lt;=DAY(EOMONTH(DATE($D$2,$AK$2,1),0)),TEXT(DATE($D$2,$AK$2,16),"ddd"),"")</f>
        <v/>
      </c>
      <c r="U4" s="7">
        <f>IF(17&lt;=DAY(EOMONTH(DATE($D$2,$AK$2,1),0)),TEXT(DATE($D$2,$AK$2,17),"ddd"),"")</f>
        <v/>
      </c>
      <c r="V4" s="7">
        <f>IF(18&lt;=DAY(EOMONTH(DATE($D$2,$AK$2,1),0)),TEXT(DATE($D$2,$AK$2,18),"ddd"),"")</f>
        <v/>
      </c>
      <c r="W4" s="7">
        <f>IF(19&lt;=DAY(EOMONTH(DATE($D$2,$AK$2,1),0)),TEXT(DATE($D$2,$AK$2,19),"ddd"),"")</f>
        <v/>
      </c>
      <c r="X4" s="7">
        <f>IF(20&lt;=DAY(EOMONTH(DATE($D$2,$AK$2,1),0)),TEXT(DATE($D$2,$AK$2,20),"ddd"),"")</f>
        <v/>
      </c>
      <c r="Y4" s="7">
        <f>IF(21&lt;=DAY(EOMONTH(DATE($D$2,$AK$2,1),0)),TEXT(DATE($D$2,$AK$2,21),"ddd"),"")</f>
        <v/>
      </c>
      <c r="Z4" s="7">
        <f>IF(22&lt;=DAY(EOMONTH(DATE($D$2,$AK$2,1),0)),TEXT(DATE($D$2,$AK$2,22),"ddd"),"")</f>
        <v/>
      </c>
      <c r="AA4" s="7">
        <f>IF(23&lt;=DAY(EOMONTH(DATE($D$2,$AK$2,1),0)),TEXT(DATE($D$2,$AK$2,23),"ddd"),"")</f>
        <v/>
      </c>
      <c r="AB4" s="7">
        <f>IF(24&lt;=DAY(EOMONTH(DATE($D$2,$AK$2,1),0)),TEXT(DATE($D$2,$AK$2,24),"ddd"),"")</f>
        <v/>
      </c>
      <c r="AC4" s="7">
        <f>IF(25&lt;=DAY(EOMONTH(DATE($D$2,$AK$2,1),0)),TEXT(DATE($D$2,$AK$2,25),"ddd"),"")</f>
        <v/>
      </c>
      <c r="AD4" s="7">
        <f>IF(26&lt;=DAY(EOMONTH(DATE($D$2,$AK$2,1),0)),TEXT(DATE($D$2,$AK$2,26),"ddd"),"")</f>
        <v/>
      </c>
      <c r="AE4" s="7">
        <f>IF(27&lt;=DAY(EOMONTH(DATE($D$2,$AK$2,1),0)),TEXT(DATE($D$2,$AK$2,27),"ddd"),"")</f>
        <v/>
      </c>
      <c r="AF4" s="7">
        <f>IF(28&lt;=DAY(EOMONTH(DATE($D$2,$AK$2,1),0)),TEXT(DATE($D$2,$AK$2,28),"ddd"),"")</f>
        <v/>
      </c>
      <c r="AG4" s="7">
        <f>IF(29&lt;=DAY(EOMONTH(DATE($D$2,$AK$2,1),0)),TEXT(DATE($D$2,$AK$2,29),"ddd"),"")</f>
        <v/>
      </c>
      <c r="AH4" s="7">
        <f>IF(30&lt;=DAY(EOMONTH(DATE($D$2,$AK$2,1),0)),TEXT(DATE($D$2,$AK$2,30),"ddd"),"")</f>
        <v/>
      </c>
      <c r="AI4" s="7">
        <f>IF(31&lt;=DAY(EOMONTH(DATE($D$2,$AK$2,1),0)),TEXT(DATE($D$2,$AK$2,31),"ddd"),"")</f>
        <v/>
      </c>
    </row>
    <row r="5" ht="16" customHeight="1">
      <c r="A5" s="8" t="inlineStr">
        <is>
          <t>#</t>
        </is>
      </c>
      <c r="B5" s="8" t="inlineStr">
        <is>
          <t>PRN</t>
        </is>
      </c>
      <c r="C5" s="8" t="inlineStr">
        <is>
          <t>NAME</t>
        </is>
      </c>
      <c r="D5" s="8" t="inlineStr">
        <is>
          <t>Posn</t>
        </is>
      </c>
      <c r="E5" s="9">
        <f>IF(1&lt;=DAY(EOMONTH(DATE($D$2,$AK$2,1),0)),1,"")</f>
        <v/>
      </c>
      <c r="F5" s="9">
        <f>IF(2&lt;=DAY(EOMONTH(DATE($D$2,$AK$2,1),0)),2,"")</f>
        <v/>
      </c>
      <c r="G5" s="9">
        <f>IF(3&lt;=DAY(EOMONTH(DATE($D$2,$AK$2,1),0)),3,"")</f>
        <v/>
      </c>
      <c r="H5" s="9">
        <f>IF(4&lt;=DAY(EOMONTH(DATE($D$2,$AK$2,1),0)),4,"")</f>
        <v/>
      </c>
      <c r="I5" s="9">
        <f>IF(5&lt;=DAY(EOMONTH(DATE($D$2,$AK$2,1),0)),5,"")</f>
        <v/>
      </c>
      <c r="J5" s="9">
        <f>IF(6&lt;=DAY(EOMONTH(DATE($D$2,$AK$2,1),0)),6,"")</f>
        <v/>
      </c>
      <c r="K5" s="9">
        <f>IF(7&lt;=DAY(EOMONTH(DATE($D$2,$AK$2,1),0)),7,"")</f>
        <v/>
      </c>
      <c r="L5" s="9">
        <f>IF(8&lt;=DAY(EOMONTH(DATE($D$2,$AK$2,1),0)),8,"")</f>
        <v/>
      </c>
      <c r="M5" s="9">
        <f>IF(9&lt;=DAY(EOMONTH(DATE($D$2,$AK$2,1),0)),9,"")</f>
        <v/>
      </c>
      <c r="N5" s="9">
        <f>IF(10&lt;=DAY(EOMONTH(DATE($D$2,$AK$2,1),0)),10,"")</f>
        <v/>
      </c>
      <c r="O5" s="9">
        <f>IF(11&lt;=DAY(EOMONTH(DATE($D$2,$AK$2,1),0)),11,"")</f>
        <v/>
      </c>
      <c r="P5" s="9">
        <f>IF(12&lt;=DAY(EOMONTH(DATE($D$2,$AK$2,1),0)),12,"")</f>
        <v/>
      </c>
      <c r="Q5" s="9">
        <f>IF(13&lt;=DAY(EOMONTH(DATE($D$2,$AK$2,1),0)),13,"")</f>
        <v/>
      </c>
      <c r="R5" s="9">
        <f>IF(14&lt;=DAY(EOMONTH(DATE($D$2,$AK$2,1),0)),14,"")</f>
        <v/>
      </c>
      <c r="S5" s="9">
        <f>IF(15&lt;=DAY(EOMONTH(DATE($D$2,$AK$2,1),0)),15,"")</f>
        <v/>
      </c>
      <c r="T5" s="9">
        <f>IF(16&lt;=DAY(EOMONTH(DATE($D$2,$AK$2,1),0)),16,"")</f>
        <v/>
      </c>
      <c r="U5" s="9">
        <f>IF(17&lt;=DAY(EOMONTH(DATE($D$2,$AK$2,1),0)),17,"")</f>
        <v/>
      </c>
      <c r="V5" s="9">
        <f>IF(18&lt;=DAY(EOMONTH(DATE($D$2,$AK$2,1),0)),18,"")</f>
        <v/>
      </c>
      <c r="W5" s="9">
        <f>IF(19&lt;=DAY(EOMONTH(DATE($D$2,$AK$2,1),0)),19,"")</f>
        <v/>
      </c>
      <c r="X5" s="9">
        <f>IF(20&lt;=DAY(EOMONTH(DATE($D$2,$AK$2,1),0)),20,"")</f>
        <v/>
      </c>
      <c r="Y5" s="9">
        <f>IF(21&lt;=DAY(EOMONTH(DATE($D$2,$AK$2,1),0)),21,"")</f>
        <v/>
      </c>
      <c r="Z5" s="9">
        <f>IF(22&lt;=DAY(EOMONTH(DATE($D$2,$AK$2,1),0)),22,"")</f>
        <v/>
      </c>
      <c r="AA5" s="9">
        <f>IF(23&lt;=DAY(EOMONTH(DATE($D$2,$AK$2,1),0)),23,"")</f>
        <v/>
      </c>
      <c r="AB5" s="9">
        <f>IF(24&lt;=DAY(EOMONTH(DATE($D$2,$AK$2,1),0)),24,"")</f>
        <v/>
      </c>
      <c r="AC5" s="9">
        <f>IF(25&lt;=DAY(EOMONTH(DATE($D$2,$AK$2,1),0)),25,"")</f>
        <v/>
      </c>
      <c r="AD5" s="9">
        <f>IF(26&lt;=DAY(EOMONTH(DATE($D$2,$AK$2,1),0)),26,"")</f>
        <v/>
      </c>
      <c r="AE5" s="9">
        <f>IF(27&lt;=DAY(EOMONTH(DATE($D$2,$AK$2,1),0)),27,"")</f>
        <v/>
      </c>
      <c r="AF5" s="9">
        <f>IF(28&lt;=DAY(EOMONTH(DATE($D$2,$AK$2,1),0)),28,"")</f>
        <v/>
      </c>
      <c r="AG5" s="9">
        <f>IF(29&lt;=DAY(EOMONTH(DATE($D$2,$AK$2,1),0)),29,"")</f>
        <v/>
      </c>
      <c r="AH5" s="9">
        <f>IF(30&lt;=DAY(EOMONTH(DATE($D$2,$AK$2,1),0)),30,"")</f>
        <v/>
      </c>
      <c r="AI5" s="9">
        <f>IF(31&lt;=DAY(EOMONTH(DATE($D$2,$AK$2,1),0)),31,"")</f>
        <v/>
      </c>
    </row>
    <row r="6" ht="17" customHeight="1">
      <c r="A6" s="10">
        <f>IF($C6="","",ROW()-5)</f>
        <v/>
      </c>
      <c r="B6" s="11" t="n"/>
      <c r="C6" s="12" t="n"/>
      <c r="D6" s="11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3" t="n"/>
      <c r="Y6" s="13" t="n"/>
      <c r="Z6" s="13" t="n"/>
      <c r="AA6" s="13" t="n"/>
      <c r="AB6" s="13" t="n"/>
      <c r="AC6" s="13" t="n"/>
      <c r="AD6" s="13" t="n"/>
      <c r="AE6" s="13" t="n"/>
      <c r="AF6" s="13" t="n"/>
      <c r="AG6" s="13" t="n"/>
      <c r="AH6" s="13" t="n"/>
      <c r="AI6" s="13" t="n"/>
    </row>
    <row r="7" ht="17" customHeight="1">
      <c r="A7" s="10">
        <f>IF($C7="","",ROW()-5)</f>
        <v/>
      </c>
      <c r="B7" s="11" t="n"/>
      <c r="C7" s="12" t="n"/>
      <c r="D7" s="11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  <c r="Z7" s="13" t="n"/>
      <c r="AA7" s="13" t="n"/>
      <c r="AB7" s="13" t="n"/>
      <c r="AC7" s="13" t="n"/>
      <c r="AD7" s="13" t="n"/>
      <c r="AE7" s="13" t="n"/>
      <c r="AF7" s="13" t="n"/>
      <c r="AG7" s="13" t="n"/>
      <c r="AH7" s="13" t="n"/>
      <c r="AI7" s="13" t="n"/>
    </row>
    <row r="8" ht="17" customHeight="1">
      <c r="A8" s="10">
        <f>IF($C8="","",ROW()-5)</f>
        <v/>
      </c>
      <c r="B8" s="11" t="n"/>
      <c r="C8" s="12" t="n"/>
      <c r="D8" s="11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  <c r="Z8" s="13" t="n"/>
      <c r="AA8" s="13" t="n"/>
      <c r="AB8" s="13" t="n"/>
      <c r="AC8" s="13" t="n"/>
      <c r="AD8" s="13" t="n"/>
      <c r="AE8" s="13" t="n"/>
      <c r="AF8" s="13" t="n"/>
      <c r="AG8" s="13" t="n"/>
      <c r="AH8" s="13" t="n"/>
      <c r="AI8" s="13" t="n"/>
    </row>
    <row r="9" ht="17" customHeight="1">
      <c r="A9" s="10">
        <f>IF($C9="","",ROW()-5)</f>
        <v/>
      </c>
      <c r="B9" s="11" t="n"/>
      <c r="C9" s="12" t="n"/>
      <c r="D9" s="11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3" t="n"/>
      <c r="AI9" s="13" t="n"/>
    </row>
    <row r="10" ht="17" customHeight="1">
      <c r="A10" s="10">
        <f>IF($C10="","",ROW()-5)</f>
        <v/>
      </c>
      <c r="B10" s="11" t="n"/>
      <c r="C10" s="12" t="n"/>
      <c r="D10" s="11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</row>
    <row r="11" ht="17" customHeight="1">
      <c r="A11" s="10">
        <f>IF($C11="","",ROW()-5)</f>
        <v/>
      </c>
      <c r="B11" s="11" t="n"/>
      <c r="C11" s="12" t="n"/>
      <c r="D11" s="11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  <c r="Z11" s="13" t="n"/>
      <c r="AA11" s="13" t="n"/>
      <c r="AB11" s="13" t="n"/>
      <c r="AC11" s="13" t="n"/>
      <c r="AD11" s="13" t="n"/>
      <c r="AE11" s="13" t="n"/>
      <c r="AF11" s="13" t="n"/>
      <c r="AG11" s="13" t="n"/>
      <c r="AH11" s="13" t="n"/>
      <c r="AI11" s="13" t="n"/>
    </row>
    <row r="12" ht="17" customHeight="1">
      <c r="A12" s="10">
        <f>IF($C12="","",ROW()-5)</f>
        <v/>
      </c>
      <c r="B12" s="11" t="n"/>
      <c r="C12" s="12" t="n"/>
      <c r="D12" s="11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  <c r="AG12" s="13" t="n"/>
      <c r="AH12" s="13" t="n"/>
      <c r="AI12" s="13" t="n"/>
    </row>
    <row r="13" ht="17" customHeight="1">
      <c r="A13" s="10">
        <f>IF($C13="","",ROW()-5)</f>
        <v/>
      </c>
      <c r="B13" s="11" t="n"/>
      <c r="C13" s="12" t="n"/>
      <c r="D13" s="11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  <c r="AA13" s="13" t="n"/>
      <c r="AB13" s="13" t="n"/>
      <c r="AC13" s="13" t="n"/>
      <c r="AD13" s="13" t="n"/>
      <c r="AE13" s="13" t="n"/>
      <c r="AF13" s="13" t="n"/>
      <c r="AG13" s="13" t="n"/>
      <c r="AH13" s="13" t="n"/>
      <c r="AI13" s="13" t="n"/>
    </row>
    <row r="14" ht="17" customHeight="1">
      <c r="A14" s="10">
        <f>IF($C14="","",ROW()-5)</f>
        <v/>
      </c>
      <c r="B14" s="11" t="n"/>
      <c r="C14" s="12" t="n"/>
      <c r="D14" s="11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  <c r="AA14" s="13" t="n"/>
      <c r="AB14" s="13" t="n"/>
      <c r="AC14" s="13" t="n"/>
      <c r="AD14" s="13" t="n"/>
      <c r="AE14" s="13" t="n"/>
      <c r="AF14" s="13" t="n"/>
      <c r="AG14" s="13" t="n"/>
      <c r="AH14" s="13" t="n"/>
      <c r="AI14" s="13" t="n"/>
    </row>
    <row r="15" ht="17" customHeight="1">
      <c r="A15" s="10">
        <f>IF($C15="","",ROW()-5)</f>
        <v/>
      </c>
      <c r="B15" s="11" t="n"/>
      <c r="C15" s="12" t="n"/>
      <c r="D15" s="11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  <c r="AA15" s="13" t="n"/>
      <c r="AB15" s="13" t="n"/>
      <c r="AC15" s="13" t="n"/>
      <c r="AD15" s="13" t="n"/>
      <c r="AE15" s="13" t="n"/>
      <c r="AF15" s="13" t="n"/>
      <c r="AG15" s="13" t="n"/>
      <c r="AH15" s="13" t="n"/>
      <c r="AI15" s="13" t="n"/>
    </row>
    <row r="16" ht="17" customHeight="1">
      <c r="A16" s="10">
        <f>IF($C16="","",ROW()-5)</f>
        <v/>
      </c>
      <c r="B16" s="11" t="n"/>
      <c r="C16" s="12" t="n"/>
      <c r="D16" s="11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  <c r="AA16" s="13" t="n"/>
      <c r="AB16" s="13" t="n"/>
      <c r="AC16" s="13" t="n"/>
      <c r="AD16" s="13" t="n"/>
      <c r="AE16" s="13" t="n"/>
      <c r="AF16" s="13" t="n"/>
      <c r="AG16" s="13" t="n"/>
      <c r="AH16" s="13" t="n"/>
      <c r="AI16" s="13" t="n"/>
    </row>
    <row r="17" ht="17" customHeight="1">
      <c r="A17" s="10">
        <f>IF($C17="","",ROW()-5)</f>
        <v/>
      </c>
      <c r="B17" s="11" t="n"/>
      <c r="C17" s="12" t="n"/>
      <c r="D17" s="11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  <c r="AA17" s="13" t="n"/>
      <c r="AB17" s="13" t="n"/>
      <c r="AC17" s="13" t="n"/>
      <c r="AD17" s="13" t="n"/>
      <c r="AE17" s="13" t="n"/>
      <c r="AF17" s="13" t="n"/>
      <c r="AG17" s="13" t="n"/>
      <c r="AH17" s="13" t="n"/>
      <c r="AI17" s="13" t="n"/>
    </row>
    <row r="18" ht="17" customHeight="1">
      <c r="A18" s="10">
        <f>IF($C18="","",ROW()-5)</f>
        <v/>
      </c>
      <c r="B18" s="11" t="n"/>
      <c r="C18" s="12" t="n"/>
      <c r="D18" s="11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  <c r="Z18" s="13" t="n"/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3" t="n"/>
    </row>
    <row r="19" ht="17" customHeight="1">
      <c r="A19" s="10">
        <f>IF($C19="","",ROW()-5)</f>
        <v/>
      </c>
      <c r="B19" s="11" t="n"/>
      <c r="C19" s="12" t="n"/>
      <c r="D19" s="11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  <c r="AA19" s="13" t="n"/>
      <c r="AB19" s="13" t="n"/>
      <c r="AC19" s="13" t="n"/>
      <c r="AD19" s="13" t="n"/>
      <c r="AE19" s="13" t="n"/>
      <c r="AF19" s="13" t="n"/>
      <c r="AG19" s="13" t="n"/>
      <c r="AH19" s="13" t="n"/>
      <c r="AI19" s="13" t="n"/>
    </row>
    <row r="20" ht="17" customHeight="1">
      <c r="A20" s="10">
        <f>IF($C20="","",ROW()-5)</f>
        <v/>
      </c>
      <c r="B20" s="11" t="n"/>
      <c r="C20" s="12" t="n"/>
      <c r="D20" s="11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  <c r="Z20" s="13" t="n"/>
      <c r="AA20" s="13" t="n"/>
      <c r="AB20" s="13" t="n"/>
      <c r="AC20" s="13" t="n"/>
      <c r="AD20" s="13" t="n"/>
      <c r="AE20" s="13" t="n"/>
      <c r="AF20" s="13" t="n"/>
      <c r="AG20" s="13" t="n"/>
      <c r="AH20" s="13" t="n"/>
      <c r="AI20" s="13" t="n"/>
    </row>
    <row r="21" ht="17" customHeight="1">
      <c r="A21" s="10">
        <f>IF($C21="","",ROW()-5)</f>
        <v/>
      </c>
      <c r="B21" s="11" t="n"/>
      <c r="C21" s="12" t="n"/>
      <c r="D21" s="11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  <c r="AA21" s="13" t="n"/>
      <c r="AB21" s="13" t="n"/>
      <c r="AC21" s="13" t="n"/>
      <c r="AD21" s="13" t="n"/>
      <c r="AE21" s="13" t="n"/>
      <c r="AF21" s="13" t="n"/>
      <c r="AG21" s="13" t="n"/>
      <c r="AH21" s="13" t="n"/>
      <c r="AI21" s="13" t="n"/>
    </row>
    <row r="22" ht="17" customHeight="1">
      <c r="A22" s="10">
        <f>IF($C22="","",ROW()-5)</f>
        <v/>
      </c>
      <c r="B22" s="11" t="n"/>
      <c r="C22" s="12" t="n"/>
      <c r="D22" s="11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</row>
    <row r="23" ht="17" customHeight="1">
      <c r="A23" s="10">
        <f>IF($C23="","",ROW()-5)</f>
        <v/>
      </c>
      <c r="B23" s="11" t="n"/>
      <c r="C23" s="12" t="n"/>
      <c r="D23" s="11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3" t="n"/>
      <c r="AE23" s="13" t="n"/>
      <c r="AF23" s="13" t="n"/>
      <c r="AG23" s="13" t="n"/>
      <c r="AH23" s="13" t="n"/>
      <c r="AI23" s="13" t="n"/>
    </row>
    <row r="24" ht="17" customHeight="1">
      <c r="A24" s="6" t="inlineStr">
        <is>
          <t>CREW 2</t>
        </is>
      </c>
    </row>
    <row r="25" ht="13" customHeight="1">
      <c r="E25" s="7">
        <f>IF(1&lt;=DAY(EOMONTH(DATE($D$2,$AK$2,1),0)),TEXT(DATE($D$2,$AK$2,1),"ddd"),"")</f>
        <v/>
      </c>
      <c r="F25" s="7">
        <f>IF(2&lt;=DAY(EOMONTH(DATE($D$2,$AK$2,1),0)),TEXT(DATE($D$2,$AK$2,2),"ddd"),"")</f>
        <v/>
      </c>
      <c r="G25" s="7">
        <f>IF(3&lt;=DAY(EOMONTH(DATE($D$2,$AK$2,1),0)),TEXT(DATE($D$2,$AK$2,3),"ddd"),"")</f>
        <v/>
      </c>
      <c r="H25" s="7">
        <f>IF(4&lt;=DAY(EOMONTH(DATE($D$2,$AK$2,1),0)),TEXT(DATE($D$2,$AK$2,4),"ddd"),"")</f>
        <v/>
      </c>
      <c r="I25" s="7">
        <f>IF(5&lt;=DAY(EOMONTH(DATE($D$2,$AK$2,1),0)),TEXT(DATE($D$2,$AK$2,5),"ddd"),"")</f>
        <v/>
      </c>
      <c r="J25" s="7">
        <f>IF(6&lt;=DAY(EOMONTH(DATE($D$2,$AK$2,1),0)),TEXT(DATE($D$2,$AK$2,6),"ddd"),"")</f>
        <v/>
      </c>
      <c r="K25" s="7">
        <f>IF(7&lt;=DAY(EOMONTH(DATE($D$2,$AK$2,1),0)),TEXT(DATE($D$2,$AK$2,7),"ddd"),"")</f>
        <v/>
      </c>
      <c r="L25" s="7">
        <f>IF(8&lt;=DAY(EOMONTH(DATE($D$2,$AK$2,1),0)),TEXT(DATE($D$2,$AK$2,8),"ddd"),"")</f>
        <v/>
      </c>
      <c r="M25" s="7">
        <f>IF(9&lt;=DAY(EOMONTH(DATE($D$2,$AK$2,1),0)),TEXT(DATE($D$2,$AK$2,9),"ddd"),"")</f>
        <v/>
      </c>
      <c r="N25" s="7">
        <f>IF(10&lt;=DAY(EOMONTH(DATE($D$2,$AK$2,1),0)),TEXT(DATE($D$2,$AK$2,10),"ddd"),"")</f>
        <v/>
      </c>
      <c r="O25" s="7">
        <f>IF(11&lt;=DAY(EOMONTH(DATE($D$2,$AK$2,1),0)),TEXT(DATE($D$2,$AK$2,11),"ddd"),"")</f>
        <v/>
      </c>
      <c r="P25" s="7">
        <f>IF(12&lt;=DAY(EOMONTH(DATE($D$2,$AK$2,1),0)),TEXT(DATE($D$2,$AK$2,12),"ddd"),"")</f>
        <v/>
      </c>
      <c r="Q25" s="7">
        <f>IF(13&lt;=DAY(EOMONTH(DATE($D$2,$AK$2,1),0)),TEXT(DATE($D$2,$AK$2,13),"ddd"),"")</f>
        <v/>
      </c>
      <c r="R25" s="7">
        <f>IF(14&lt;=DAY(EOMONTH(DATE($D$2,$AK$2,1),0)),TEXT(DATE($D$2,$AK$2,14),"ddd"),"")</f>
        <v/>
      </c>
      <c r="S25" s="7">
        <f>IF(15&lt;=DAY(EOMONTH(DATE($D$2,$AK$2,1),0)),TEXT(DATE($D$2,$AK$2,15),"ddd"),"")</f>
        <v/>
      </c>
      <c r="T25" s="7">
        <f>IF(16&lt;=DAY(EOMONTH(DATE($D$2,$AK$2,1),0)),TEXT(DATE($D$2,$AK$2,16),"ddd"),"")</f>
        <v/>
      </c>
      <c r="U25" s="7">
        <f>IF(17&lt;=DAY(EOMONTH(DATE($D$2,$AK$2,1),0)),TEXT(DATE($D$2,$AK$2,17),"ddd"),"")</f>
        <v/>
      </c>
      <c r="V25" s="7">
        <f>IF(18&lt;=DAY(EOMONTH(DATE($D$2,$AK$2,1),0)),TEXT(DATE($D$2,$AK$2,18),"ddd"),"")</f>
        <v/>
      </c>
      <c r="W25" s="7">
        <f>IF(19&lt;=DAY(EOMONTH(DATE($D$2,$AK$2,1),0)),TEXT(DATE($D$2,$AK$2,19),"ddd"),"")</f>
        <v/>
      </c>
      <c r="X25" s="7">
        <f>IF(20&lt;=DAY(EOMONTH(DATE($D$2,$AK$2,1),0)),TEXT(DATE($D$2,$AK$2,20),"ddd"),"")</f>
        <v/>
      </c>
      <c r="Y25" s="7">
        <f>IF(21&lt;=DAY(EOMONTH(DATE($D$2,$AK$2,1),0)),TEXT(DATE($D$2,$AK$2,21),"ddd"),"")</f>
        <v/>
      </c>
      <c r="Z25" s="7">
        <f>IF(22&lt;=DAY(EOMONTH(DATE($D$2,$AK$2,1),0)),TEXT(DATE($D$2,$AK$2,22),"ddd"),"")</f>
        <v/>
      </c>
      <c r="AA25" s="7">
        <f>IF(23&lt;=DAY(EOMONTH(DATE($D$2,$AK$2,1),0)),TEXT(DATE($D$2,$AK$2,23),"ddd"),"")</f>
        <v/>
      </c>
      <c r="AB25" s="7">
        <f>IF(24&lt;=DAY(EOMONTH(DATE($D$2,$AK$2,1),0)),TEXT(DATE($D$2,$AK$2,24),"ddd"),"")</f>
        <v/>
      </c>
      <c r="AC25" s="7">
        <f>IF(25&lt;=DAY(EOMONTH(DATE($D$2,$AK$2,1),0)),TEXT(DATE($D$2,$AK$2,25),"ddd"),"")</f>
        <v/>
      </c>
      <c r="AD25" s="7">
        <f>IF(26&lt;=DAY(EOMONTH(DATE($D$2,$AK$2,1),0)),TEXT(DATE($D$2,$AK$2,26),"ddd"),"")</f>
        <v/>
      </c>
      <c r="AE25" s="7">
        <f>IF(27&lt;=DAY(EOMONTH(DATE($D$2,$AK$2,1),0)),TEXT(DATE($D$2,$AK$2,27),"ddd"),"")</f>
        <v/>
      </c>
      <c r="AF25" s="7">
        <f>IF(28&lt;=DAY(EOMONTH(DATE($D$2,$AK$2,1),0)),TEXT(DATE($D$2,$AK$2,28),"ddd"),"")</f>
        <v/>
      </c>
      <c r="AG25" s="7">
        <f>IF(29&lt;=DAY(EOMONTH(DATE($D$2,$AK$2,1),0)),TEXT(DATE($D$2,$AK$2,29),"ddd"),"")</f>
        <v/>
      </c>
      <c r="AH25" s="7">
        <f>IF(30&lt;=DAY(EOMONTH(DATE($D$2,$AK$2,1),0)),TEXT(DATE($D$2,$AK$2,30),"ddd"),"")</f>
        <v/>
      </c>
      <c r="AI25" s="7">
        <f>IF(31&lt;=DAY(EOMONTH(DATE($D$2,$AK$2,1),0)),TEXT(DATE($D$2,$AK$2,31),"ddd"),"")</f>
        <v/>
      </c>
    </row>
    <row r="26" ht="16" customHeight="1">
      <c r="A26" s="8" t="inlineStr">
        <is>
          <t>#</t>
        </is>
      </c>
      <c r="B26" s="8" t="inlineStr">
        <is>
          <t>PRN</t>
        </is>
      </c>
      <c r="C26" s="8" t="inlineStr">
        <is>
          <t>NAME</t>
        </is>
      </c>
      <c r="D26" s="8" t="inlineStr">
        <is>
          <t>Posn</t>
        </is>
      </c>
      <c r="E26" s="9">
        <f>IF(1&lt;=DAY(EOMONTH(DATE($D$2,$AK$2,1),0)),1,"")</f>
        <v/>
      </c>
      <c r="F26" s="9">
        <f>IF(2&lt;=DAY(EOMONTH(DATE($D$2,$AK$2,1),0)),2,"")</f>
        <v/>
      </c>
      <c r="G26" s="9">
        <f>IF(3&lt;=DAY(EOMONTH(DATE($D$2,$AK$2,1),0)),3,"")</f>
        <v/>
      </c>
      <c r="H26" s="9">
        <f>IF(4&lt;=DAY(EOMONTH(DATE($D$2,$AK$2,1),0)),4,"")</f>
        <v/>
      </c>
      <c r="I26" s="9">
        <f>IF(5&lt;=DAY(EOMONTH(DATE($D$2,$AK$2,1),0)),5,"")</f>
        <v/>
      </c>
      <c r="J26" s="9">
        <f>IF(6&lt;=DAY(EOMONTH(DATE($D$2,$AK$2,1),0)),6,"")</f>
        <v/>
      </c>
      <c r="K26" s="9">
        <f>IF(7&lt;=DAY(EOMONTH(DATE($D$2,$AK$2,1),0)),7,"")</f>
        <v/>
      </c>
      <c r="L26" s="9">
        <f>IF(8&lt;=DAY(EOMONTH(DATE($D$2,$AK$2,1),0)),8,"")</f>
        <v/>
      </c>
      <c r="M26" s="9">
        <f>IF(9&lt;=DAY(EOMONTH(DATE($D$2,$AK$2,1),0)),9,"")</f>
        <v/>
      </c>
      <c r="N26" s="9">
        <f>IF(10&lt;=DAY(EOMONTH(DATE($D$2,$AK$2,1),0)),10,"")</f>
        <v/>
      </c>
      <c r="O26" s="9">
        <f>IF(11&lt;=DAY(EOMONTH(DATE($D$2,$AK$2,1),0)),11,"")</f>
        <v/>
      </c>
      <c r="P26" s="9">
        <f>IF(12&lt;=DAY(EOMONTH(DATE($D$2,$AK$2,1),0)),12,"")</f>
        <v/>
      </c>
      <c r="Q26" s="9">
        <f>IF(13&lt;=DAY(EOMONTH(DATE($D$2,$AK$2,1),0)),13,"")</f>
        <v/>
      </c>
      <c r="R26" s="9">
        <f>IF(14&lt;=DAY(EOMONTH(DATE($D$2,$AK$2,1),0)),14,"")</f>
        <v/>
      </c>
      <c r="S26" s="9">
        <f>IF(15&lt;=DAY(EOMONTH(DATE($D$2,$AK$2,1),0)),15,"")</f>
        <v/>
      </c>
      <c r="T26" s="9">
        <f>IF(16&lt;=DAY(EOMONTH(DATE($D$2,$AK$2,1),0)),16,"")</f>
        <v/>
      </c>
      <c r="U26" s="9">
        <f>IF(17&lt;=DAY(EOMONTH(DATE($D$2,$AK$2,1),0)),17,"")</f>
        <v/>
      </c>
      <c r="V26" s="9">
        <f>IF(18&lt;=DAY(EOMONTH(DATE($D$2,$AK$2,1),0)),18,"")</f>
        <v/>
      </c>
      <c r="W26" s="9">
        <f>IF(19&lt;=DAY(EOMONTH(DATE($D$2,$AK$2,1),0)),19,"")</f>
        <v/>
      </c>
      <c r="X26" s="9">
        <f>IF(20&lt;=DAY(EOMONTH(DATE($D$2,$AK$2,1),0)),20,"")</f>
        <v/>
      </c>
      <c r="Y26" s="9">
        <f>IF(21&lt;=DAY(EOMONTH(DATE($D$2,$AK$2,1),0)),21,"")</f>
        <v/>
      </c>
      <c r="Z26" s="9">
        <f>IF(22&lt;=DAY(EOMONTH(DATE($D$2,$AK$2,1),0)),22,"")</f>
        <v/>
      </c>
      <c r="AA26" s="9">
        <f>IF(23&lt;=DAY(EOMONTH(DATE($D$2,$AK$2,1),0)),23,"")</f>
        <v/>
      </c>
      <c r="AB26" s="9">
        <f>IF(24&lt;=DAY(EOMONTH(DATE($D$2,$AK$2,1),0)),24,"")</f>
        <v/>
      </c>
      <c r="AC26" s="9">
        <f>IF(25&lt;=DAY(EOMONTH(DATE($D$2,$AK$2,1),0)),25,"")</f>
        <v/>
      </c>
      <c r="AD26" s="9">
        <f>IF(26&lt;=DAY(EOMONTH(DATE($D$2,$AK$2,1),0)),26,"")</f>
        <v/>
      </c>
      <c r="AE26" s="9">
        <f>IF(27&lt;=DAY(EOMONTH(DATE($D$2,$AK$2,1),0)),27,"")</f>
        <v/>
      </c>
      <c r="AF26" s="9">
        <f>IF(28&lt;=DAY(EOMONTH(DATE($D$2,$AK$2,1),0)),28,"")</f>
        <v/>
      </c>
      <c r="AG26" s="9">
        <f>IF(29&lt;=DAY(EOMONTH(DATE($D$2,$AK$2,1),0)),29,"")</f>
        <v/>
      </c>
      <c r="AH26" s="9">
        <f>IF(30&lt;=DAY(EOMONTH(DATE($D$2,$AK$2,1),0)),30,"")</f>
        <v/>
      </c>
      <c r="AI26" s="9">
        <f>IF(31&lt;=DAY(EOMONTH(DATE($D$2,$AK$2,1),0)),31,"")</f>
        <v/>
      </c>
    </row>
    <row r="27" ht="17" customHeight="1">
      <c r="A27" s="10">
        <f>IF($C27="","",ROW()-26)</f>
        <v/>
      </c>
      <c r="B27" s="11" t="n"/>
      <c r="C27" s="12" t="n"/>
      <c r="D27" s="11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</row>
    <row r="28" ht="17" customHeight="1">
      <c r="A28" s="10">
        <f>IF($C28="","",ROW()-26)</f>
        <v/>
      </c>
      <c r="B28" s="11" t="n"/>
      <c r="C28" s="12" t="n"/>
      <c r="D28" s="11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3" t="n"/>
      <c r="AC28" s="13" t="n"/>
      <c r="AD28" s="13" t="n"/>
      <c r="AE28" s="13" t="n"/>
      <c r="AF28" s="13" t="n"/>
      <c r="AG28" s="13" t="n"/>
      <c r="AH28" s="13" t="n"/>
      <c r="AI28" s="13" t="n"/>
    </row>
    <row r="29" ht="17" customHeight="1">
      <c r="A29" s="10">
        <f>IF($C29="","",ROW()-26)</f>
        <v/>
      </c>
      <c r="B29" s="11" t="n"/>
      <c r="C29" s="12" t="n"/>
      <c r="D29" s="11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13" t="n"/>
    </row>
    <row r="30" ht="17" customHeight="1">
      <c r="A30" s="10">
        <f>IF($C30="","",ROW()-26)</f>
        <v/>
      </c>
      <c r="B30" s="11" t="n"/>
      <c r="C30" s="12" t="n"/>
      <c r="D30" s="11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3" t="n"/>
      <c r="AC30" s="13" t="n"/>
      <c r="AD30" s="13" t="n"/>
      <c r="AE30" s="13" t="n"/>
      <c r="AF30" s="13" t="n"/>
      <c r="AG30" s="13" t="n"/>
      <c r="AH30" s="13" t="n"/>
      <c r="AI30" s="13" t="n"/>
    </row>
    <row r="31" ht="17" customHeight="1">
      <c r="A31" s="10">
        <f>IF($C31="","",ROW()-26)</f>
        <v/>
      </c>
      <c r="B31" s="11" t="n"/>
      <c r="C31" s="12" t="n"/>
      <c r="D31" s="11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3" t="n"/>
      <c r="AE31" s="13" t="n"/>
      <c r="AF31" s="13" t="n"/>
      <c r="AG31" s="13" t="n"/>
      <c r="AH31" s="13" t="n"/>
      <c r="AI31" s="13" t="n"/>
    </row>
    <row r="32" ht="17" customHeight="1">
      <c r="A32" s="10">
        <f>IF($C32="","",ROW()-26)</f>
        <v/>
      </c>
      <c r="B32" s="11" t="n"/>
      <c r="C32" s="12" t="n"/>
      <c r="D32" s="11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  <c r="AG32" s="13" t="n"/>
      <c r="AH32" s="13" t="n"/>
      <c r="AI32" s="13" t="n"/>
    </row>
    <row r="33" ht="17" customHeight="1">
      <c r="A33" s="10">
        <f>IF($C33="","",ROW()-26)</f>
        <v/>
      </c>
      <c r="B33" s="11" t="n"/>
      <c r="C33" s="12" t="n"/>
      <c r="D33" s="11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  <c r="W33" s="13" t="n"/>
      <c r="X33" s="13" t="n"/>
      <c r="Y33" s="13" t="n"/>
      <c r="Z33" s="13" t="n"/>
      <c r="AA33" s="13" t="n"/>
      <c r="AB33" s="13" t="n"/>
      <c r="AC33" s="13" t="n"/>
      <c r="AD33" s="13" t="n"/>
      <c r="AE33" s="13" t="n"/>
      <c r="AF33" s="13" t="n"/>
      <c r="AG33" s="13" t="n"/>
      <c r="AH33" s="13" t="n"/>
      <c r="AI33" s="13" t="n"/>
    </row>
    <row r="34" ht="17" customHeight="1">
      <c r="A34" s="10">
        <f>IF($C34="","",ROW()-26)</f>
        <v/>
      </c>
      <c r="B34" s="11" t="n"/>
      <c r="C34" s="12" t="n"/>
      <c r="D34" s="11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  <c r="W34" s="13" t="n"/>
      <c r="X34" s="13" t="n"/>
      <c r="Y34" s="13" t="n"/>
      <c r="Z34" s="13" t="n"/>
      <c r="AA34" s="13" t="n"/>
      <c r="AB34" s="13" t="n"/>
      <c r="AC34" s="13" t="n"/>
      <c r="AD34" s="13" t="n"/>
      <c r="AE34" s="13" t="n"/>
      <c r="AF34" s="13" t="n"/>
      <c r="AG34" s="13" t="n"/>
      <c r="AH34" s="13" t="n"/>
      <c r="AI34" s="13" t="n"/>
    </row>
    <row r="35" ht="17" customHeight="1">
      <c r="A35" s="10">
        <f>IF($C35="","",ROW()-26)</f>
        <v/>
      </c>
      <c r="B35" s="11" t="n"/>
      <c r="C35" s="12" t="n"/>
      <c r="D35" s="11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  <c r="W35" s="13" t="n"/>
      <c r="X35" s="13" t="n"/>
      <c r="Y35" s="13" t="n"/>
      <c r="Z35" s="13" t="n"/>
      <c r="AA35" s="13" t="n"/>
      <c r="AB35" s="13" t="n"/>
      <c r="AC35" s="13" t="n"/>
      <c r="AD35" s="13" t="n"/>
      <c r="AE35" s="13" t="n"/>
      <c r="AF35" s="13" t="n"/>
      <c r="AG35" s="13" t="n"/>
      <c r="AH35" s="13" t="n"/>
      <c r="AI35" s="13" t="n"/>
    </row>
    <row r="36" ht="17" customHeight="1">
      <c r="A36" s="10">
        <f>IF($C36="","",ROW()-26)</f>
        <v/>
      </c>
      <c r="B36" s="11" t="n"/>
      <c r="C36" s="12" t="n"/>
      <c r="D36" s="11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  <c r="W36" s="13" t="n"/>
      <c r="X36" s="13" t="n"/>
      <c r="Y36" s="13" t="n"/>
      <c r="Z36" s="13" t="n"/>
      <c r="AA36" s="13" t="n"/>
      <c r="AB36" s="13" t="n"/>
      <c r="AC36" s="13" t="n"/>
      <c r="AD36" s="13" t="n"/>
      <c r="AE36" s="13" t="n"/>
      <c r="AF36" s="13" t="n"/>
      <c r="AG36" s="13" t="n"/>
      <c r="AH36" s="13" t="n"/>
      <c r="AI36" s="13" t="n"/>
    </row>
    <row r="37" ht="17" customHeight="1">
      <c r="A37" s="10">
        <f>IF($C37="","",ROW()-26)</f>
        <v/>
      </c>
      <c r="B37" s="11" t="n"/>
      <c r="C37" s="12" t="n"/>
      <c r="D37" s="11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  <c r="W37" s="13" t="n"/>
      <c r="X37" s="13" t="n"/>
      <c r="Y37" s="13" t="n"/>
      <c r="Z37" s="13" t="n"/>
      <c r="AA37" s="13" t="n"/>
      <c r="AB37" s="13" t="n"/>
      <c r="AC37" s="13" t="n"/>
      <c r="AD37" s="13" t="n"/>
      <c r="AE37" s="13" t="n"/>
      <c r="AF37" s="13" t="n"/>
      <c r="AG37" s="13" t="n"/>
      <c r="AH37" s="13" t="n"/>
      <c r="AI37" s="13" t="n"/>
    </row>
    <row r="38" ht="17" customHeight="1">
      <c r="A38" s="10">
        <f>IF($C38="","",ROW()-26)</f>
        <v/>
      </c>
      <c r="B38" s="11" t="n"/>
      <c r="C38" s="12" t="n"/>
      <c r="D38" s="11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  <c r="W38" s="13" t="n"/>
      <c r="X38" s="13" t="n"/>
      <c r="Y38" s="13" t="n"/>
      <c r="Z38" s="13" t="n"/>
      <c r="AA38" s="13" t="n"/>
      <c r="AB38" s="13" t="n"/>
      <c r="AC38" s="13" t="n"/>
      <c r="AD38" s="13" t="n"/>
      <c r="AE38" s="13" t="n"/>
      <c r="AF38" s="13" t="n"/>
      <c r="AG38" s="13" t="n"/>
      <c r="AH38" s="13" t="n"/>
      <c r="AI38" s="13" t="n"/>
    </row>
    <row r="39" ht="17" customHeight="1">
      <c r="A39" s="10">
        <f>IF($C39="","",ROW()-26)</f>
        <v/>
      </c>
      <c r="B39" s="11" t="n"/>
      <c r="C39" s="12" t="n"/>
      <c r="D39" s="11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  <c r="W39" s="13" t="n"/>
      <c r="X39" s="13" t="n"/>
      <c r="Y39" s="13" t="n"/>
      <c r="Z39" s="13" t="n"/>
      <c r="AA39" s="13" t="n"/>
      <c r="AB39" s="13" t="n"/>
      <c r="AC39" s="13" t="n"/>
      <c r="AD39" s="13" t="n"/>
      <c r="AE39" s="13" t="n"/>
      <c r="AF39" s="13" t="n"/>
      <c r="AG39" s="13" t="n"/>
      <c r="AH39" s="13" t="n"/>
      <c r="AI39" s="13" t="n"/>
    </row>
    <row r="40" ht="17" customHeight="1">
      <c r="A40" s="10">
        <f>IF($C40="","",ROW()-26)</f>
        <v/>
      </c>
      <c r="B40" s="11" t="n"/>
      <c r="C40" s="12" t="n"/>
      <c r="D40" s="11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13" t="n"/>
      <c r="X40" s="13" t="n"/>
      <c r="Y40" s="13" t="n"/>
      <c r="Z40" s="13" t="n"/>
      <c r="AA40" s="13" t="n"/>
      <c r="AB40" s="13" t="n"/>
      <c r="AC40" s="13" t="n"/>
      <c r="AD40" s="13" t="n"/>
      <c r="AE40" s="13" t="n"/>
      <c r="AF40" s="13" t="n"/>
      <c r="AG40" s="13" t="n"/>
      <c r="AH40" s="13" t="n"/>
      <c r="AI40" s="13" t="n"/>
    </row>
    <row r="41" ht="17" customHeight="1">
      <c r="A41" s="10">
        <f>IF($C41="","",ROW()-26)</f>
        <v/>
      </c>
      <c r="B41" s="11" t="n"/>
      <c r="C41" s="12" t="n"/>
      <c r="D41" s="11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  <c r="W41" s="13" t="n"/>
      <c r="X41" s="13" t="n"/>
      <c r="Y41" s="13" t="n"/>
      <c r="Z41" s="13" t="n"/>
      <c r="AA41" s="13" t="n"/>
      <c r="AB41" s="13" t="n"/>
      <c r="AC41" s="13" t="n"/>
      <c r="AD41" s="13" t="n"/>
      <c r="AE41" s="13" t="n"/>
      <c r="AF41" s="13" t="n"/>
      <c r="AG41" s="13" t="n"/>
      <c r="AH41" s="13" t="n"/>
      <c r="AI41" s="13" t="n"/>
    </row>
    <row r="42" ht="17" customHeight="1">
      <c r="A42" s="10">
        <f>IF($C42="","",ROW()-26)</f>
        <v/>
      </c>
      <c r="B42" s="11" t="n"/>
      <c r="C42" s="12" t="n"/>
      <c r="D42" s="11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13" t="n"/>
      <c r="X42" s="13" t="n"/>
      <c r="Y42" s="13" t="n"/>
      <c r="Z42" s="13" t="n"/>
      <c r="AA42" s="13" t="n"/>
      <c r="AB42" s="13" t="n"/>
      <c r="AC42" s="13" t="n"/>
      <c r="AD42" s="13" t="n"/>
      <c r="AE42" s="13" t="n"/>
      <c r="AF42" s="13" t="n"/>
      <c r="AG42" s="13" t="n"/>
      <c r="AH42" s="13" t="n"/>
      <c r="AI42" s="13" t="n"/>
    </row>
    <row r="43" ht="17" customHeight="1">
      <c r="A43" s="10">
        <f>IF($C43="","",ROW()-26)</f>
        <v/>
      </c>
      <c r="B43" s="11" t="n"/>
      <c r="C43" s="12" t="n"/>
      <c r="D43" s="11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  <c r="W43" s="13" t="n"/>
      <c r="X43" s="13" t="n"/>
      <c r="Y43" s="13" t="n"/>
      <c r="Z43" s="13" t="n"/>
      <c r="AA43" s="13" t="n"/>
      <c r="AB43" s="13" t="n"/>
      <c r="AC43" s="13" t="n"/>
      <c r="AD43" s="13" t="n"/>
      <c r="AE43" s="13" t="n"/>
      <c r="AF43" s="13" t="n"/>
      <c r="AG43" s="13" t="n"/>
      <c r="AH43" s="13" t="n"/>
      <c r="AI43" s="13" t="n"/>
    </row>
    <row r="44" ht="17" customHeight="1">
      <c r="A44" s="10">
        <f>IF($C44="","",ROW()-26)</f>
        <v/>
      </c>
      <c r="B44" s="11" t="n"/>
      <c r="C44" s="12" t="n"/>
      <c r="D44" s="11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  <c r="W44" s="13" t="n"/>
      <c r="X44" s="13" t="n"/>
      <c r="Y44" s="13" t="n"/>
      <c r="Z44" s="13" t="n"/>
      <c r="AA44" s="13" t="n"/>
      <c r="AB44" s="13" t="n"/>
      <c r="AC44" s="13" t="n"/>
      <c r="AD44" s="13" t="n"/>
      <c r="AE44" s="13" t="n"/>
      <c r="AF44" s="13" t="n"/>
      <c r="AG44" s="13" t="n"/>
      <c r="AH44" s="13" t="n"/>
      <c r="AI44" s="13" t="n"/>
    </row>
    <row r="45" ht="17" customHeight="1">
      <c r="A45" s="14" t="inlineStr">
        <is>
          <t>SPECIAL SHIFTING</t>
        </is>
      </c>
    </row>
    <row r="46" ht="13" customHeight="1">
      <c r="E46" s="7">
        <f>IF(1&lt;=DAY(EOMONTH(DATE($D$2,$AK$2,1),0)),TEXT(DATE($D$2,$AK$2,1),"ddd"),"")</f>
        <v/>
      </c>
      <c r="F46" s="7">
        <f>IF(2&lt;=DAY(EOMONTH(DATE($D$2,$AK$2,1),0)),TEXT(DATE($D$2,$AK$2,2),"ddd"),"")</f>
        <v/>
      </c>
      <c r="G46" s="7">
        <f>IF(3&lt;=DAY(EOMONTH(DATE($D$2,$AK$2,1),0)),TEXT(DATE($D$2,$AK$2,3),"ddd"),"")</f>
        <v/>
      </c>
      <c r="H46" s="7">
        <f>IF(4&lt;=DAY(EOMONTH(DATE($D$2,$AK$2,1),0)),TEXT(DATE($D$2,$AK$2,4),"ddd"),"")</f>
        <v/>
      </c>
      <c r="I46" s="7">
        <f>IF(5&lt;=DAY(EOMONTH(DATE($D$2,$AK$2,1),0)),TEXT(DATE($D$2,$AK$2,5),"ddd"),"")</f>
        <v/>
      </c>
      <c r="J46" s="7">
        <f>IF(6&lt;=DAY(EOMONTH(DATE($D$2,$AK$2,1),0)),TEXT(DATE($D$2,$AK$2,6),"ddd"),"")</f>
        <v/>
      </c>
      <c r="K46" s="7">
        <f>IF(7&lt;=DAY(EOMONTH(DATE($D$2,$AK$2,1),0)),TEXT(DATE($D$2,$AK$2,7),"ddd"),"")</f>
        <v/>
      </c>
      <c r="L46" s="7">
        <f>IF(8&lt;=DAY(EOMONTH(DATE($D$2,$AK$2,1),0)),TEXT(DATE($D$2,$AK$2,8),"ddd"),"")</f>
        <v/>
      </c>
      <c r="M46" s="7">
        <f>IF(9&lt;=DAY(EOMONTH(DATE($D$2,$AK$2,1),0)),TEXT(DATE($D$2,$AK$2,9),"ddd"),"")</f>
        <v/>
      </c>
      <c r="N46" s="7">
        <f>IF(10&lt;=DAY(EOMONTH(DATE($D$2,$AK$2,1),0)),TEXT(DATE($D$2,$AK$2,10),"ddd"),"")</f>
        <v/>
      </c>
      <c r="O46" s="7">
        <f>IF(11&lt;=DAY(EOMONTH(DATE($D$2,$AK$2,1),0)),TEXT(DATE($D$2,$AK$2,11),"ddd"),"")</f>
        <v/>
      </c>
      <c r="P46" s="7">
        <f>IF(12&lt;=DAY(EOMONTH(DATE($D$2,$AK$2,1),0)),TEXT(DATE($D$2,$AK$2,12),"ddd"),"")</f>
        <v/>
      </c>
      <c r="Q46" s="7">
        <f>IF(13&lt;=DAY(EOMONTH(DATE($D$2,$AK$2,1),0)),TEXT(DATE($D$2,$AK$2,13),"ddd"),"")</f>
        <v/>
      </c>
      <c r="R46" s="7">
        <f>IF(14&lt;=DAY(EOMONTH(DATE($D$2,$AK$2,1),0)),TEXT(DATE($D$2,$AK$2,14),"ddd"),"")</f>
        <v/>
      </c>
      <c r="S46" s="7">
        <f>IF(15&lt;=DAY(EOMONTH(DATE($D$2,$AK$2,1),0)),TEXT(DATE($D$2,$AK$2,15),"ddd"),"")</f>
        <v/>
      </c>
      <c r="T46" s="7">
        <f>IF(16&lt;=DAY(EOMONTH(DATE($D$2,$AK$2,1),0)),TEXT(DATE($D$2,$AK$2,16),"ddd"),"")</f>
        <v/>
      </c>
      <c r="U46" s="7">
        <f>IF(17&lt;=DAY(EOMONTH(DATE($D$2,$AK$2,1),0)),TEXT(DATE($D$2,$AK$2,17),"ddd"),"")</f>
        <v/>
      </c>
      <c r="V46" s="7">
        <f>IF(18&lt;=DAY(EOMONTH(DATE($D$2,$AK$2,1),0)),TEXT(DATE($D$2,$AK$2,18),"ddd"),"")</f>
        <v/>
      </c>
      <c r="W46" s="7">
        <f>IF(19&lt;=DAY(EOMONTH(DATE($D$2,$AK$2,1),0)),TEXT(DATE($D$2,$AK$2,19),"ddd"),"")</f>
        <v/>
      </c>
      <c r="X46" s="7">
        <f>IF(20&lt;=DAY(EOMONTH(DATE($D$2,$AK$2,1),0)),TEXT(DATE($D$2,$AK$2,20),"ddd"),"")</f>
        <v/>
      </c>
      <c r="Y46" s="7">
        <f>IF(21&lt;=DAY(EOMONTH(DATE($D$2,$AK$2,1),0)),TEXT(DATE($D$2,$AK$2,21),"ddd"),"")</f>
        <v/>
      </c>
      <c r="Z46" s="7">
        <f>IF(22&lt;=DAY(EOMONTH(DATE($D$2,$AK$2,1),0)),TEXT(DATE($D$2,$AK$2,22),"ddd"),"")</f>
        <v/>
      </c>
      <c r="AA46" s="7">
        <f>IF(23&lt;=DAY(EOMONTH(DATE($D$2,$AK$2,1),0)),TEXT(DATE($D$2,$AK$2,23),"ddd"),"")</f>
        <v/>
      </c>
      <c r="AB46" s="7">
        <f>IF(24&lt;=DAY(EOMONTH(DATE($D$2,$AK$2,1),0)),TEXT(DATE($D$2,$AK$2,24),"ddd"),"")</f>
        <v/>
      </c>
      <c r="AC46" s="7">
        <f>IF(25&lt;=DAY(EOMONTH(DATE($D$2,$AK$2,1),0)),TEXT(DATE($D$2,$AK$2,25),"ddd"),"")</f>
        <v/>
      </c>
      <c r="AD46" s="7">
        <f>IF(26&lt;=DAY(EOMONTH(DATE($D$2,$AK$2,1),0)),TEXT(DATE($D$2,$AK$2,26),"ddd"),"")</f>
        <v/>
      </c>
      <c r="AE46" s="7">
        <f>IF(27&lt;=DAY(EOMONTH(DATE($D$2,$AK$2,1),0)),TEXT(DATE($D$2,$AK$2,27),"ddd"),"")</f>
        <v/>
      </c>
      <c r="AF46" s="7">
        <f>IF(28&lt;=DAY(EOMONTH(DATE($D$2,$AK$2,1),0)),TEXT(DATE($D$2,$AK$2,28),"ddd"),"")</f>
        <v/>
      </c>
      <c r="AG46" s="7">
        <f>IF(29&lt;=DAY(EOMONTH(DATE($D$2,$AK$2,1),0)),TEXT(DATE($D$2,$AK$2,29),"ddd"),"")</f>
        <v/>
      </c>
      <c r="AH46" s="7">
        <f>IF(30&lt;=DAY(EOMONTH(DATE($D$2,$AK$2,1),0)),TEXT(DATE($D$2,$AK$2,30),"ddd"),"")</f>
        <v/>
      </c>
      <c r="AI46" s="7">
        <f>IF(31&lt;=DAY(EOMONTH(DATE($D$2,$AK$2,1),0)),TEXT(DATE($D$2,$AK$2,31),"ddd"),"")</f>
        <v/>
      </c>
    </row>
    <row r="47" ht="16" customHeight="1">
      <c r="A47" s="8" t="inlineStr">
        <is>
          <t>#</t>
        </is>
      </c>
      <c r="B47" s="8" t="inlineStr">
        <is>
          <t>PRN</t>
        </is>
      </c>
      <c r="C47" s="8" t="inlineStr">
        <is>
          <t>NAME</t>
        </is>
      </c>
      <c r="D47" s="8" t="inlineStr">
        <is>
          <t>Posn</t>
        </is>
      </c>
      <c r="E47" s="9">
        <f>IF(1&lt;=DAY(EOMONTH(DATE($D$2,$AK$2,1),0)),1,"")</f>
        <v/>
      </c>
      <c r="F47" s="9">
        <f>IF(2&lt;=DAY(EOMONTH(DATE($D$2,$AK$2,1),0)),2,"")</f>
        <v/>
      </c>
      <c r="G47" s="9">
        <f>IF(3&lt;=DAY(EOMONTH(DATE($D$2,$AK$2,1),0)),3,"")</f>
        <v/>
      </c>
      <c r="H47" s="9">
        <f>IF(4&lt;=DAY(EOMONTH(DATE($D$2,$AK$2,1),0)),4,"")</f>
        <v/>
      </c>
      <c r="I47" s="9">
        <f>IF(5&lt;=DAY(EOMONTH(DATE($D$2,$AK$2,1),0)),5,"")</f>
        <v/>
      </c>
      <c r="J47" s="9">
        <f>IF(6&lt;=DAY(EOMONTH(DATE($D$2,$AK$2,1),0)),6,"")</f>
        <v/>
      </c>
      <c r="K47" s="9">
        <f>IF(7&lt;=DAY(EOMONTH(DATE($D$2,$AK$2,1),0)),7,"")</f>
        <v/>
      </c>
      <c r="L47" s="9">
        <f>IF(8&lt;=DAY(EOMONTH(DATE($D$2,$AK$2,1),0)),8,"")</f>
        <v/>
      </c>
      <c r="M47" s="9">
        <f>IF(9&lt;=DAY(EOMONTH(DATE($D$2,$AK$2,1),0)),9,"")</f>
        <v/>
      </c>
      <c r="N47" s="9">
        <f>IF(10&lt;=DAY(EOMONTH(DATE($D$2,$AK$2,1),0)),10,"")</f>
        <v/>
      </c>
      <c r="O47" s="9">
        <f>IF(11&lt;=DAY(EOMONTH(DATE($D$2,$AK$2,1),0)),11,"")</f>
        <v/>
      </c>
      <c r="P47" s="9">
        <f>IF(12&lt;=DAY(EOMONTH(DATE($D$2,$AK$2,1),0)),12,"")</f>
        <v/>
      </c>
      <c r="Q47" s="9">
        <f>IF(13&lt;=DAY(EOMONTH(DATE($D$2,$AK$2,1),0)),13,"")</f>
        <v/>
      </c>
      <c r="R47" s="9">
        <f>IF(14&lt;=DAY(EOMONTH(DATE($D$2,$AK$2,1),0)),14,"")</f>
        <v/>
      </c>
      <c r="S47" s="9">
        <f>IF(15&lt;=DAY(EOMONTH(DATE($D$2,$AK$2,1),0)),15,"")</f>
        <v/>
      </c>
      <c r="T47" s="9">
        <f>IF(16&lt;=DAY(EOMONTH(DATE($D$2,$AK$2,1),0)),16,"")</f>
        <v/>
      </c>
      <c r="U47" s="9">
        <f>IF(17&lt;=DAY(EOMONTH(DATE($D$2,$AK$2,1),0)),17,"")</f>
        <v/>
      </c>
      <c r="V47" s="9">
        <f>IF(18&lt;=DAY(EOMONTH(DATE($D$2,$AK$2,1),0)),18,"")</f>
        <v/>
      </c>
      <c r="W47" s="9">
        <f>IF(19&lt;=DAY(EOMONTH(DATE($D$2,$AK$2,1),0)),19,"")</f>
        <v/>
      </c>
      <c r="X47" s="9">
        <f>IF(20&lt;=DAY(EOMONTH(DATE($D$2,$AK$2,1),0)),20,"")</f>
        <v/>
      </c>
      <c r="Y47" s="9">
        <f>IF(21&lt;=DAY(EOMONTH(DATE($D$2,$AK$2,1),0)),21,"")</f>
        <v/>
      </c>
      <c r="Z47" s="9">
        <f>IF(22&lt;=DAY(EOMONTH(DATE($D$2,$AK$2,1),0)),22,"")</f>
        <v/>
      </c>
      <c r="AA47" s="9">
        <f>IF(23&lt;=DAY(EOMONTH(DATE($D$2,$AK$2,1),0)),23,"")</f>
        <v/>
      </c>
      <c r="AB47" s="9">
        <f>IF(24&lt;=DAY(EOMONTH(DATE($D$2,$AK$2,1),0)),24,"")</f>
        <v/>
      </c>
      <c r="AC47" s="9">
        <f>IF(25&lt;=DAY(EOMONTH(DATE($D$2,$AK$2,1),0)),25,"")</f>
        <v/>
      </c>
      <c r="AD47" s="9">
        <f>IF(26&lt;=DAY(EOMONTH(DATE($D$2,$AK$2,1),0)),26,"")</f>
        <v/>
      </c>
      <c r="AE47" s="9">
        <f>IF(27&lt;=DAY(EOMONTH(DATE($D$2,$AK$2,1),0)),27,"")</f>
        <v/>
      </c>
      <c r="AF47" s="9">
        <f>IF(28&lt;=DAY(EOMONTH(DATE($D$2,$AK$2,1),0)),28,"")</f>
        <v/>
      </c>
      <c r="AG47" s="9">
        <f>IF(29&lt;=DAY(EOMONTH(DATE($D$2,$AK$2,1),0)),29,"")</f>
        <v/>
      </c>
      <c r="AH47" s="9">
        <f>IF(30&lt;=DAY(EOMONTH(DATE($D$2,$AK$2,1),0)),30,"")</f>
        <v/>
      </c>
      <c r="AI47" s="9">
        <f>IF(31&lt;=DAY(EOMONTH(DATE($D$2,$AK$2,1),0)),31,"")</f>
        <v/>
      </c>
    </row>
    <row r="48" ht="17" customHeight="1">
      <c r="A48" s="10">
        <f>IF($C48="","",ROW()-47)</f>
        <v/>
      </c>
      <c r="B48" s="11" t="n"/>
      <c r="C48" s="12" t="n"/>
      <c r="D48" s="11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  <c r="AA48" s="13" t="n"/>
      <c r="AB48" s="13" t="n"/>
      <c r="AC48" s="13" t="n"/>
      <c r="AD48" s="13" t="n"/>
      <c r="AE48" s="13" t="n"/>
      <c r="AF48" s="13" t="n"/>
      <c r="AG48" s="13" t="n"/>
      <c r="AH48" s="13" t="n"/>
      <c r="AI48" s="13" t="n"/>
    </row>
    <row r="49" ht="17" customHeight="1">
      <c r="A49" s="10">
        <f>IF($C49="","",ROW()-47)</f>
        <v/>
      </c>
      <c r="B49" s="11" t="n"/>
      <c r="C49" s="12" t="n"/>
      <c r="D49" s="11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  <c r="AI49" s="13" t="n"/>
    </row>
    <row r="50" ht="17" customHeight="1">
      <c r="A50" s="10">
        <f>IF($C50="","",ROW()-47)</f>
        <v/>
      </c>
      <c r="B50" s="11" t="n"/>
      <c r="C50" s="12" t="n"/>
      <c r="D50" s="11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  <c r="AI50" s="13" t="n"/>
    </row>
    <row r="51" ht="17" customHeight="1">
      <c r="A51" s="10">
        <f>IF($C51="","",ROW()-47)</f>
        <v/>
      </c>
      <c r="B51" s="11" t="n"/>
      <c r="C51" s="12" t="n"/>
      <c r="D51" s="11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  <c r="AI51" s="13" t="n"/>
    </row>
    <row r="52" ht="17" customHeight="1">
      <c r="A52" s="10">
        <f>IF($C52="","",ROW()-47)</f>
        <v/>
      </c>
      <c r="B52" s="11" t="n"/>
      <c r="C52" s="12" t="n"/>
      <c r="D52" s="11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13" t="n"/>
      <c r="W52" s="13" t="n"/>
      <c r="X52" s="13" t="n"/>
      <c r="Y52" s="13" t="n"/>
      <c r="Z52" s="13" t="n"/>
      <c r="AA52" s="13" t="n"/>
      <c r="AB52" s="13" t="n"/>
      <c r="AC52" s="13" t="n"/>
      <c r="AD52" s="13" t="n"/>
      <c r="AE52" s="13" t="n"/>
      <c r="AF52" s="13" t="n"/>
      <c r="AG52" s="13" t="n"/>
      <c r="AH52" s="13" t="n"/>
      <c r="AI52" s="13" t="n"/>
    </row>
    <row r="53" ht="17" customHeight="1">
      <c r="A53" s="10">
        <f>IF($C53="","",ROW()-47)</f>
        <v/>
      </c>
      <c r="B53" s="11" t="n"/>
      <c r="C53" s="12" t="n"/>
      <c r="D53" s="11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13" t="n"/>
      <c r="V53" s="13" t="n"/>
      <c r="W53" s="13" t="n"/>
      <c r="X53" s="13" t="n"/>
      <c r="Y53" s="13" t="n"/>
      <c r="Z53" s="13" t="n"/>
      <c r="AA53" s="13" t="n"/>
      <c r="AB53" s="13" t="n"/>
      <c r="AC53" s="13" t="n"/>
      <c r="AD53" s="13" t="n"/>
      <c r="AE53" s="13" t="n"/>
      <c r="AF53" s="13" t="n"/>
      <c r="AG53" s="13" t="n"/>
      <c r="AH53" s="13" t="n"/>
      <c r="AI53" s="13" t="n"/>
    </row>
    <row r="54" ht="17" customHeight="1">
      <c r="A54" s="10">
        <f>IF($C54="","",ROW()-47)</f>
        <v/>
      </c>
      <c r="B54" s="11" t="n"/>
      <c r="C54" s="12" t="n"/>
      <c r="D54" s="11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13" t="n"/>
      <c r="W54" s="13" t="n"/>
      <c r="X54" s="13" t="n"/>
      <c r="Y54" s="13" t="n"/>
      <c r="Z54" s="13" t="n"/>
      <c r="AA54" s="13" t="n"/>
      <c r="AB54" s="13" t="n"/>
      <c r="AC54" s="13" t="n"/>
      <c r="AD54" s="13" t="n"/>
      <c r="AE54" s="13" t="n"/>
      <c r="AF54" s="13" t="n"/>
      <c r="AG54" s="13" t="n"/>
      <c r="AH54" s="13" t="n"/>
      <c r="AI54" s="13" t="n"/>
    </row>
    <row r="55" ht="17" customHeight="1">
      <c r="A55" s="10">
        <f>IF($C55="","",ROW()-47)</f>
        <v/>
      </c>
      <c r="B55" s="11" t="n"/>
      <c r="C55" s="12" t="n"/>
      <c r="D55" s="11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  <c r="V55" s="13" t="n"/>
      <c r="W55" s="13" t="n"/>
      <c r="X55" s="13" t="n"/>
      <c r="Y55" s="13" t="n"/>
      <c r="Z55" s="13" t="n"/>
      <c r="AA55" s="13" t="n"/>
      <c r="AB55" s="13" t="n"/>
      <c r="AC55" s="13" t="n"/>
      <c r="AD55" s="13" t="n"/>
      <c r="AE55" s="13" t="n"/>
      <c r="AF55" s="13" t="n"/>
      <c r="AG55" s="13" t="n"/>
      <c r="AH55" s="13" t="n"/>
      <c r="AI55" s="13" t="n"/>
    </row>
    <row r="56" ht="17" customHeight="1">
      <c r="A56" s="10">
        <f>IF($C56="","",ROW()-47)</f>
        <v/>
      </c>
      <c r="B56" s="11" t="n"/>
      <c r="C56" s="12" t="n"/>
      <c r="D56" s="11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13" t="n"/>
      <c r="W56" s="13" t="n"/>
      <c r="X56" s="13" t="n"/>
      <c r="Y56" s="13" t="n"/>
      <c r="Z56" s="13" t="n"/>
      <c r="AA56" s="13" t="n"/>
      <c r="AB56" s="13" t="n"/>
      <c r="AC56" s="13" t="n"/>
      <c r="AD56" s="13" t="n"/>
      <c r="AE56" s="13" t="n"/>
      <c r="AF56" s="13" t="n"/>
      <c r="AG56" s="13" t="n"/>
      <c r="AH56" s="13" t="n"/>
      <c r="AI56" s="13" t="n"/>
    </row>
    <row r="57" ht="17" customHeight="1">
      <c r="A57" s="10">
        <f>IF($C57="","",ROW()-47)</f>
        <v/>
      </c>
      <c r="B57" s="11" t="n"/>
      <c r="C57" s="12" t="n"/>
      <c r="D57" s="11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13" t="n"/>
      <c r="V57" s="13" t="n"/>
      <c r="W57" s="13" t="n"/>
      <c r="X57" s="13" t="n"/>
      <c r="Y57" s="13" t="n"/>
      <c r="Z57" s="13" t="n"/>
      <c r="AA57" s="13" t="n"/>
      <c r="AB57" s="13" t="n"/>
      <c r="AC57" s="13" t="n"/>
      <c r="AD57" s="13" t="n"/>
      <c r="AE57" s="13" t="n"/>
      <c r="AF57" s="13" t="n"/>
      <c r="AG57" s="13" t="n"/>
      <c r="AH57" s="13" t="n"/>
      <c r="AI57" s="13" t="n"/>
    </row>
    <row r="58" ht="17" customHeight="1">
      <c r="A58" s="10">
        <f>IF($C58="","",ROW()-47)</f>
        <v/>
      </c>
      <c r="B58" s="11" t="n"/>
      <c r="C58" s="12" t="n"/>
      <c r="D58" s="11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  <c r="Q58" s="13" t="n"/>
      <c r="R58" s="13" t="n"/>
      <c r="S58" s="13" t="n"/>
      <c r="T58" s="13" t="n"/>
      <c r="U58" s="13" t="n"/>
      <c r="V58" s="13" t="n"/>
      <c r="W58" s="13" t="n"/>
      <c r="X58" s="13" t="n"/>
      <c r="Y58" s="13" t="n"/>
      <c r="Z58" s="13" t="n"/>
      <c r="AA58" s="13" t="n"/>
      <c r="AB58" s="13" t="n"/>
      <c r="AC58" s="13" t="n"/>
      <c r="AD58" s="13" t="n"/>
      <c r="AE58" s="13" t="n"/>
      <c r="AF58" s="13" t="n"/>
      <c r="AG58" s="13" t="n"/>
      <c r="AH58" s="13" t="n"/>
      <c r="AI58" s="13" t="n"/>
    </row>
    <row r="59" ht="17" customHeight="1">
      <c r="A59" s="10">
        <f>IF($C59="","",ROW()-47)</f>
        <v/>
      </c>
      <c r="B59" s="11" t="n"/>
      <c r="C59" s="12" t="n"/>
      <c r="D59" s="11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13" t="n"/>
      <c r="V59" s="13" t="n"/>
      <c r="W59" s="13" t="n"/>
      <c r="X59" s="13" t="n"/>
      <c r="Y59" s="13" t="n"/>
      <c r="Z59" s="13" t="n"/>
      <c r="AA59" s="13" t="n"/>
      <c r="AB59" s="13" t="n"/>
      <c r="AC59" s="13" t="n"/>
      <c r="AD59" s="13" t="n"/>
      <c r="AE59" s="13" t="n"/>
      <c r="AF59" s="13" t="n"/>
      <c r="AG59" s="13" t="n"/>
      <c r="AH59" s="13" t="n"/>
      <c r="AI59" s="13" t="n"/>
    </row>
    <row r="61">
      <c r="A61" s="15" t="inlineStr">
        <is>
          <t>TOTAL DAILY
CREWS MANPOWER</t>
        </is>
      </c>
      <c r="B61" s="16" t="n"/>
      <c r="C61" s="16" t="n"/>
      <c r="D61" s="17" t="inlineStr">
        <is>
          <t>SHIFT</t>
        </is>
      </c>
      <c r="E61" s="18">
        <f>E5</f>
        <v/>
      </c>
      <c r="F61" s="18">
        <f>F5</f>
        <v/>
      </c>
      <c r="G61" s="18">
        <f>G5</f>
        <v/>
      </c>
      <c r="H61" s="18">
        <f>H5</f>
        <v/>
      </c>
      <c r="I61" s="18">
        <f>I5</f>
        <v/>
      </c>
      <c r="J61" s="18">
        <f>J5</f>
        <v/>
      </c>
      <c r="K61" s="18">
        <f>K5</f>
        <v/>
      </c>
      <c r="L61" s="18">
        <f>L5</f>
        <v/>
      </c>
      <c r="M61" s="18">
        <f>M5</f>
        <v/>
      </c>
      <c r="N61" s="18">
        <f>N5</f>
        <v/>
      </c>
      <c r="O61" s="18">
        <f>O5</f>
        <v/>
      </c>
      <c r="P61" s="18">
        <f>P5</f>
        <v/>
      </c>
      <c r="Q61" s="18">
        <f>Q5</f>
        <v/>
      </c>
      <c r="R61" s="18">
        <f>R5</f>
        <v/>
      </c>
      <c r="S61" s="18">
        <f>S5</f>
        <v/>
      </c>
      <c r="T61" s="18">
        <f>T5</f>
        <v/>
      </c>
      <c r="U61" s="18">
        <f>U5</f>
        <v/>
      </c>
      <c r="V61" s="18">
        <f>V5</f>
        <v/>
      </c>
      <c r="W61" s="18">
        <f>W5</f>
        <v/>
      </c>
      <c r="X61" s="18">
        <f>X5</f>
        <v/>
      </c>
      <c r="Y61" s="18">
        <f>Y5</f>
        <v/>
      </c>
      <c r="Z61" s="18">
        <f>Z5</f>
        <v/>
      </c>
      <c r="AA61" s="18">
        <f>AA5</f>
        <v/>
      </c>
      <c r="AB61" s="18">
        <f>AB5</f>
        <v/>
      </c>
      <c r="AC61" s="18">
        <f>AC5</f>
        <v/>
      </c>
      <c r="AD61" s="18">
        <f>AD5</f>
        <v/>
      </c>
      <c r="AE61" s="18">
        <f>AE5</f>
        <v/>
      </c>
      <c r="AF61" s="18">
        <f>AF5</f>
        <v/>
      </c>
      <c r="AG61" s="18">
        <f>AG5</f>
        <v/>
      </c>
      <c r="AH61" s="18">
        <f>AH5</f>
        <v/>
      </c>
      <c r="AI61" s="18">
        <f>AI5</f>
        <v/>
      </c>
    </row>
    <row r="62" ht="15" customHeight="1">
      <c r="A62" s="16" t="n"/>
      <c r="B62" s="16" t="n"/>
      <c r="C62" s="16" t="n"/>
      <c r="D62" s="19" t="inlineStr">
        <is>
          <t>D</t>
        </is>
      </c>
      <c r="E62" s="20">
        <f>IF(E$5="","",COUNTIF(E6:E59,"D"))</f>
        <v/>
      </c>
      <c r="F62" s="20">
        <f>IF(F$5="","",COUNTIF(F6:F59,"D"))</f>
        <v/>
      </c>
      <c r="G62" s="20">
        <f>IF(G$5="","",COUNTIF(G6:G59,"D"))</f>
        <v/>
      </c>
      <c r="H62" s="20">
        <f>IF(H$5="","",COUNTIF(H6:H59,"D"))</f>
        <v/>
      </c>
      <c r="I62" s="20">
        <f>IF(I$5="","",COUNTIF(I6:I59,"D"))</f>
        <v/>
      </c>
      <c r="J62" s="20">
        <f>IF(J$5="","",COUNTIF(J6:J59,"D"))</f>
        <v/>
      </c>
      <c r="K62" s="20">
        <f>IF(K$5="","",COUNTIF(K6:K59,"D"))</f>
        <v/>
      </c>
      <c r="L62" s="20">
        <f>IF(L$5="","",COUNTIF(L6:L59,"D"))</f>
        <v/>
      </c>
      <c r="M62" s="20">
        <f>IF(M$5="","",COUNTIF(M6:M59,"D"))</f>
        <v/>
      </c>
      <c r="N62" s="20">
        <f>IF(N$5="","",COUNTIF(N6:N59,"D"))</f>
        <v/>
      </c>
      <c r="O62" s="20">
        <f>IF(O$5="","",COUNTIF(O6:O59,"D"))</f>
        <v/>
      </c>
      <c r="P62" s="20">
        <f>IF(P$5="","",COUNTIF(P6:P59,"D"))</f>
        <v/>
      </c>
      <c r="Q62" s="20">
        <f>IF(Q$5="","",COUNTIF(Q6:Q59,"D"))</f>
        <v/>
      </c>
      <c r="R62" s="20">
        <f>IF(R$5="","",COUNTIF(R6:R59,"D"))</f>
        <v/>
      </c>
      <c r="S62" s="20">
        <f>IF(S$5="","",COUNTIF(S6:S59,"D"))</f>
        <v/>
      </c>
      <c r="T62" s="20">
        <f>IF(T$5="","",COUNTIF(T6:T59,"D"))</f>
        <v/>
      </c>
      <c r="U62" s="20">
        <f>IF(U$5="","",COUNTIF(U6:U59,"D"))</f>
        <v/>
      </c>
      <c r="V62" s="20">
        <f>IF(V$5="","",COUNTIF(V6:V59,"D"))</f>
        <v/>
      </c>
      <c r="W62" s="20">
        <f>IF(W$5="","",COUNTIF(W6:W59,"D"))</f>
        <v/>
      </c>
      <c r="X62" s="20">
        <f>IF(X$5="","",COUNTIF(X6:X59,"D"))</f>
        <v/>
      </c>
      <c r="Y62" s="20">
        <f>IF(Y$5="","",COUNTIF(Y6:Y59,"D"))</f>
        <v/>
      </c>
      <c r="Z62" s="20">
        <f>IF(Z$5="","",COUNTIF(Z6:Z59,"D"))</f>
        <v/>
      </c>
      <c r="AA62" s="20">
        <f>IF(AA$5="","",COUNTIF(AA6:AA59,"D"))</f>
        <v/>
      </c>
      <c r="AB62" s="20">
        <f>IF(AB$5="","",COUNTIF(AB6:AB59,"D"))</f>
        <v/>
      </c>
      <c r="AC62" s="20">
        <f>IF(AC$5="","",COUNTIF(AC6:AC59,"D"))</f>
        <v/>
      </c>
      <c r="AD62" s="20">
        <f>IF(AD$5="","",COUNTIF(AD6:AD59,"D"))</f>
        <v/>
      </c>
      <c r="AE62" s="20">
        <f>IF(AE$5="","",COUNTIF(AE6:AE59,"D"))</f>
        <v/>
      </c>
      <c r="AF62" s="20">
        <f>IF(AF$5="","",COUNTIF(AF6:AF59,"D"))</f>
        <v/>
      </c>
      <c r="AG62" s="20">
        <f>IF(AG$5="","",COUNTIF(AG6:AG59,"D"))</f>
        <v/>
      </c>
      <c r="AH62" s="20">
        <f>IF(AH$5="","",COUNTIF(AH6:AH59,"D"))</f>
        <v/>
      </c>
      <c r="AI62" s="20">
        <f>IF(AI$5="","",COUNTIF(AI6:AI59,"D"))</f>
        <v/>
      </c>
    </row>
    <row r="63" ht="15" customHeight="1">
      <c r="A63" s="16" t="n"/>
      <c r="B63" s="16" t="n"/>
      <c r="C63" s="16" t="n"/>
      <c r="D63" s="21" t="inlineStr">
        <is>
          <t>T</t>
        </is>
      </c>
      <c r="E63" s="22">
        <f>IF(E$5="","",COUNTIF(E6:E59,"T"))</f>
        <v/>
      </c>
      <c r="F63" s="22">
        <f>IF(F$5="","",COUNTIF(F6:F59,"T"))</f>
        <v/>
      </c>
      <c r="G63" s="22">
        <f>IF(G$5="","",COUNTIF(G6:G59,"T"))</f>
        <v/>
      </c>
      <c r="H63" s="22">
        <f>IF(H$5="","",COUNTIF(H6:H59,"T"))</f>
        <v/>
      </c>
      <c r="I63" s="22">
        <f>IF(I$5="","",COUNTIF(I6:I59,"T"))</f>
        <v/>
      </c>
      <c r="J63" s="22">
        <f>IF(J$5="","",COUNTIF(J6:J59,"T"))</f>
        <v/>
      </c>
      <c r="K63" s="22">
        <f>IF(K$5="","",COUNTIF(K6:K59,"T"))</f>
        <v/>
      </c>
      <c r="L63" s="22">
        <f>IF(L$5="","",COUNTIF(L6:L59,"T"))</f>
        <v/>
      </c>
      <c r="M63" s="22">
        <f>IF(M$5="","",COUNTIF(M6:M59,"T"))</f>
        <v/>
      </c>
      <c r="N63" s="22">
        <f>IF(N$5="","",COUNTIF(N6:N59,"T"))</f>
        <v/>
      </c>
      <c r="O63" s="22">
        <f>IF(O$5="","",COUNTIF(O6:O59,"T"))</f>
        <v/>
      </c>
      <c r="P63" s="22">
        <f>IF(P$5="","",COUNTIF(P6:P59,"T"))</f>
        <v/>
      </c>
      <c r="Q63" s="22">
        <f>IF(Q$5="","",COUNTIF(Q6:Q59,"T"))</f>
        <v/>
      </c>
      <c r="R63" s="22">
        <f>IF(R$5="","",COUNTIF(R6:R59,"T"))</f>
        <v/>
      </c>
      <c r="S63" s="22">
        <f>IF(S$5="","",COUNTIF(S6:S59,"T"))</f>
        <v/>
      </c>
      <c r="T63" s="22">
        <f>IF(T$5="","",COUNTIF(T6:T59,"T"))</f>
        <v/>
      </c>
      <c r="U63" s="22">
        <f>IF(U$5="","",COUNTIF(U6:U59,"T"))</f>
        <v/>
      </c>
      <c r="V63" s="22">
        <f>IF(V$5="","",COUNTIF(V6:V59,"T"))</f>
        <v/>
      </c>
      <c r="W63" s="22">
        <f>IF(W$5="","",COUNTIF(W6:W59,"T"))</f>
        <v/>
      </c>
      <c r="X63" s="22">
        <f>IF(X$5="","",COUNTIF(X6:X59,"T"))</f>
        <v/>
      </c>
      <c r="Y63" s="22">
        <f>IF(Y$5="","",COUNTIF(Y6:Y59,"T"))</f>
        <v/>
      </c>
      <c r="Z63" s="22">
        <f>IF(Z$5="","",COUNTIF(Z6:Z59,"T"))</f>
        <v/>
      </c>
      <c r="AA63" s="22">
        <f>IF(AA$5="","",COUNTIF(AA6:AA59,"T"))</f>
        <v/>
      </c>
      <c r="AB63" s="22">
        <f>IF(AB$5="","",COUNTIF(AB6:AB59,"T"))</f>
        <v/>
      </c>
      <c r="AC63" s="22">
        <f>IF(AC$5="","",COUNTIF(AC6:AC59,"T"))</f>
        <v/>
      </c>
      <c r="AD63" s="22">
        <f>IF(AD$5="","",COUNTIF(AD6:AD59,"T"))</f>
        <v/>
      </c>
      <c r="AE63" s="22">
        <f>IF(AE$5="","",COUNTIF(AE6:AE59,"T"))</f>
        <v/>
      </c>
      <c r="AF63" s="22">
        <f>IF(AF$5="","",COUNTIF(AF6:AF59,"T"))</f>
        <v/>
      </c>
      <c r="AG63" s="22">
        <f>IF(AG$5="","",COUNTIF(AG6:AG59,"T"))</f>
        <v/>
      </c>
      <c r="AH63" s="22">
        <f>IF(AH$5="","",COUNTIF(AH6:AH59,"T"))</f>
        <v/>
      </c>
      <c r="AI63" s="22">
        <f>IF(AI$5="","",COUNTIF(AI6:AI59,"T"))</f>
        <v/>
      </c>
    </row>
    <row r="64" ht="15" customHeight="1">
      <c r="A64" s="16" t="n"/>
      <c r="B64" s="16" t="n"/>
      <c r="C64" s="16" t="n"/>
      <c r="D64" s="23" t="inlineStr">
        <is>
          <t>G</t>
        </is>
      </c>
      <c r="E64" s="24">
        <f>IF(E$5="","",COUNTIF(E6:E59,"G"))</f>
        <v/>
      </c>
      <c r="F64" s="24">
        <f>IF(F$5="","",COUNTIF(F6:F59,"G"))</f>
        <v/>
      </c>
      <c r="G64" s="24">
        <f>IF(G$5="","",COUNTIF(G6:G59,"G"))</f>
        <v/>
      </c>
      <c r="H64" s="24">
        <f>IF(H$5="","",COUNTIF(H6:H59,"G"))</f>
        <v/>
      </c>
      <c r="I64" s="24">
        <f>IF(I$5="","",COUNTIF(I6:I59,"G"))</f>
        <v/>
      </c>
      <c r="J64" s="24">
        <f>IF(J$5="","",COUNTIF(J6:J59,"G"))</f>
        <v/>
      </c>
      <c r="K64" s="24">
        <f>IF(K$5="","",COUNTIF(K6:K59,"G"))</f>
        <v/>
      </c>
      <c r="L64" s="24">
        <f>IF(L$5="","",COUNTIF(L6:L59,"G"))</f>
        <v/>
      </c>
      <c r="M64" s="24">
        <f>IF(M$5="","",COUNTIF(M6:M59,"G"))</f>
        <v/>
      </c>
      <c r="N64" s="24">
        <f>IF(N$5="","",COUNTIF(N6:N59,"G"))</f>
        <v/>
      </c>
      <c r="O64" s="24">
        <f>IF(O$5="","",COUNTIF(O6:O59,"G"))</f>
        <v/>
      </c>
      <c r="P64" s="24">
        <f>IF(P$5="","",COUNTIF(P6:P59,"G"))</f>
        <v/>
      </c>
      <c r="Q64" s="24">
        <f>IF(Q$5="","",COUNTIF(Q6:Q59,"G"))</f>
        <v/>
      </c>
      <c r="R64" s="24">
        <f>IF(R$5="","",COUNTIF(R6:R59,"G"))</f>
        <v/>
      </c>
      <c r="S64" s="24">
        <f>IF(S$5="","",COUNTIF(S6:S59,"G"))</f>
        <v/>
      </c>
      <c r="T64" s="24">
        <f>IF(T$5="","",COUNTIF(T6:T59,"G"))</f>
        <v/>
      </c>
      <c r="U64" s="24">
        <f>IF(U$5="","",COUNTIF(U6:U59,"G"))</f>
        <v/>
      </c>
      <c r="V64" s="24">
        <f>IF(V$5="","",COUNTIF(V6:V59,"G"))</f>
        <v/>
      </c>
      <c r="W64" s="24">
        <f>IF(W$5="","",COUNTIF(W6:W59,"G"))</f>
        <v/>
      </c>
      <c r="X64" s="24">
        <f>IF(X$5="","",COUNTIF(X6:X59,"G"))</f>
        <v/>
      </c>
      <c r="Y64" s="24">
        <f>IF(Y$5="","",COUNTIF(Y6:Y59,"G"))</f>
        <v/>
      </c>
      <c r="Z64" s="24">
        <f>IF(Z$5="","",COUNTIF(Z6:Z59,"G"))</f>
        <v/>
      </c>
      <c r="AA64" s="24">
        <f>IF(AA$5="","",COUNTIF(AA6:AA59,"G"))</f>
        <v/>
      </c>
      <c r="AB64" s="24">
        <f>IF(AB$5="","",COUNTIF(AB6:AB59,"G"))</f>
        <v/>
      </c>
      <c r="AC64" s="24">
        <f>IF(AC$5="","",COUNTIF(AC6:AC59,"G"))</f>
        <v/>
      </c>
      <c r="AD64" s="24">
        <f>IF(AD$5="","",COUNTIF(AD6:AD59,"G"))</f>
        <v/>
      </c>
      <c r="AE64" s="24">
        <f>IF(AE$5="","",COUNTIF(AE6:AE59,"G"))</f>
        <v/>
      </c>
      <c r="AF64" s="24">
        <f>IF(AF$5="","",COUNTIF(AF6:AF59,"G"))</f>
        <v/>
      </c>
      <c r="AG64" s="24">
        <f>IF(AG$5="","",COUNTIF(AG6:AG59,"G"))</f>
        <v/>
      </c>
      <c r="AH64" s="24">
        <f>IF(AH$5="","",COUNTIF(AH6:AH59,"G"))</f>
        <v/>
      </c>
      <c r="AI64" s="24">
        <f>IF(AI$5="","",COUNTIF(AI6:AI59,"G"))</f>
        <v/>
      </c>
    </row>
    <row r="65" ht="15" customHeight="1">
      <c r="A65" s="16" t="n"/>
      <c r="B65" s="16" t="n"/>
      <c r="C65" s="16" t="n"/>
      <c r="D65" s="25" t="inlineStr">
        <is>
          <t>TOT</t>
        </is>
      </c>
      <c r="E65" s="26">
        <f>IF(E$5="","",SUM(E62:E64))</f>
        <v/>
      </c>
      <c r="F65" s="26">
        <f>IF(F$5="","",SUM(F62:F64))</f>
        <v/>
      </c>
      <c r="G65" s="26">
        <f>IF(G$5="","",SUM(G62:G64))</f>
        <v/>
      </c>
      <c r="H65" s="26">
        <f>IF(H$5="","",SUM(H62:H64))</f>
        <v/>
      </c>
      <c r="I65" s="26">
        <f>IF(I$5="","",SUM(I62:I64))</f>
        <v/>
      </c>
      <c r="J65" s="26">
        <f>IF(J$5="","",SUM(J62:J64))</f>
        <v/>
      </c>
      <c r="K65" s="26">
        <f>IF(K$5="","",SUM(K62:K64))</f>
        <v/>
      </c>
      <c r="L65" s="26">
        <f>IF(L$5="","",SUM(L62:L64))</f>
        <v/>
      </c>
      <c r="M65" s="26">
        <f>IF(M$5="","",SUM(M62:M64))</f>
        <v/>
      </c>
      <c r="N65" s="26">
        <f>IF(N$5="","",SUM(N62:N64))</f>
        <v/>
      </c>
      <c r="O65" s="26">
        <f>IF(O$5="","",SUM(O62:O64))</f>
        <v/>
      </c>
      <c r="P65" s="26">
        <f>IF(P$5="","",SUM(P62:P64))</f>
        <v/>
      </c>
      <c r="Q65" s="26">
        <f>IF(Q$5="","",SUM(Q62:Q64))</f>
        <v/>
      </c>
      <c r="R65" s="26">
        <f>IF(R$5="","",SUM(R62:R64))</f>
        <v/>
      </c>
      <c r="S65" s="26">
        <f>IF(S$5="","",SUM(S62:S64))</f>
        <v/>
      </c>
      <c r="T65" s="26">
        <f>IF(T$5="","",SUM(T62:T64))</f>
        <v/>
      </c>
      <c r="U65" s="26">
        <f>IF(U$5="","",SUM(U62:U64))</f>
        <v/>
      </c>
      <c r="V65" s="26">
        <f>IF(V$5="","",SUM(V62:V64))</f>
        <v/>
      </c>
      <c r="W65" s="26">
        <f>IF(W$5="","",SUM(W62:W64))</f>
        <v/>
      </c>
      <c r="X65" s="26">
        <f>IF(X$5="","",SUM(X62:X64))</f>
        <v/>
      </c>
      <c r="Y65" s="26">
        <f>IF(Y$5="","",SUM(Y62:Y64))</f>
        <v/>
      </c>
      <c r="Z65" s="26">
        <f>IF(Z$5="","",SUM(Z62:Z64))</f>
        <v/>
      </c>
      <c r="AA65" s="26">
        <f>IF(AA$5="","",SUM(AA62:AA64))</f>
        <v/>
      </c>
      <c r="AB65" s="26">
        <f>IF(AB$5="","",SUM(AB62:AB64))</f>
        <v/>
      </c>
      <c r="AC65" s="26">
        <f>IF(AC$5="","",SUM(AC62:AC64))</f>
        <v/>
      </c>
      <c r="AD65" s="26">
        <f>IF(AD$5="","",SUM(AD62:AD64))</f>
        <v/>
      </c>
      <c r="AE65" s="26">
        <f>IF(AE$5="","",SUM(AE62:AE64))</f>
        <v/>
      </c>
      <c r="AF65" s="26">
        <f>IF(AF$5="","",SUM(AF62:AF64))</f>
        <v/>
      </c>
      <c r="AG65" s="26">
        <f>IF(AG$5="","",SUM(AG62:AG64))</f>
        <v/>
      </c>
      <c r="AH65" s="26">
        <f>IF(AH$5="","",SUM(AH62:AH64))</f>
        <v/>
      </c>
      <c r="AI65" s="26">
        <f>IF(AI$5="","",SUM(AI62:AI64))</f>
        <v/>
      </c>
    </row>
    <row r="67">
      <c r="A67" s="27" t="inlineStr">
        <is>
          <t>SHIFT TIMES</t>
        </is>
      </c>
      <c r="F67" s="27" t="inlineStr">
        <is>
          <t>CODE LEGEND</t>
        </is>
      </c>
    </row>
    <row r="68" ht="16" customHeight="1">
      <c r="B68" s="28" t="inlineStr">
        <is>
          <t>D</t>
        </is>
      </c>
      <c r="C68" s="29" t="inlineStr">
        <is>
          <t>DAY (07:00 - 15:00)</t>
        </is>
      </c>
      <c r="F68" s="30" t="inlineStr">
        <is>
          <t>D</t>
        </is>
      </c>
      <c r="G68" s="16" t="n"/>
      <c r="H68" s="31" t="inlineStr">
        <is>
          <t>DAY</t>
        </is>
      </c>
      <c r="L68" s="32" t="inlineStr">
        <is>
          <t>T</t>
        </is>
      </c>
      <c r="M68" s="16" t="n"/>
      <c r="N68" s="31" t="inlineStr">
        <is>
          <t>TWILIGHT</t>
        </is>
      </c>
      <c r="R68" s="33" t="inlineStr">
        <is>
          <t>G</t>
        </is>
      </c>
      <c r="S68" s="16" t="n"/>
      <c r="T68" s="31" t="inlineStr">
        <is>
          <t>GRAVEYARD</t>
        </is>
      </c>
      <c r="X68" s="34" t="inlineStr">
        <is>
          <t>TR</t>
        </is>
      </c>
      <c r="Y68" s="16" t="n"/>
      <c r="Z68" s="31" t="inlineStr">
        <is>
          <t>TRAINING</t>
        </is>
      </c>
      <c r="AD68" s="35" t="inlineStr">
        <is>
          <t>V</t>
        </is>
      </c>
      <c r="AE68" s="16" t="n"/>
      <c r="AF68" s="31" t="inlineStr">
        <is>
          <t>VACATION</t>
        </is>
      </c>
    </row>
    <row r="69" ht="16" customHeight="1">
      <c r="B69" s="36" t="inlineStr">
        <is>
          <t>T</t>
        </is>
      </c>
      <c r="C69" s="29" t="inlineStr">
        <is>
          <t>TWI (15:00 - 23:00)</t>
        </is>
      </c>
      <c r="F69" s="37" t="inlineStr">
        <is>
          <t>R</t>
        </is>
      </c>
      <c r="G69" s="16" t="n"/>
      <c r="H69" s="31" t="inlineStr">
        <is>
          <t>REST/RDO</t>
        </is>
      </c>
      <c r="L69" s="38" t="inlineStr">
        <is>
          <t>A</t>
        </is>
      </c>
      <c r="M69" s="16" t="n"/>
      <c r="N69" s="31" t="inlineStr">
        <is>
          <t>ABSENT</t>
        </is>
      </c>
      <c r="R69" s="39" t="inlineStr">
        <is>
          <t>H</t>
        </is>
      </c>
      <c r="S69" s="16" t="n"/>
      <c r="T69" s="31" t="inlineStr">
        <is>
          <t>HOLIDAY</t>
        </is>
      </c>
      <c r="X69" s="40" t="inlineStr">
        <is>
          <t>OT</t>
        </is>
      </c>
      <c r="Y69" s="16" t="n"/>
      <c r="Z69" s="31" t="inlineStr">
        <is>
          <t>OVERTIME</t>
        </is>
      </c>
      <c r="AD69" s="41" t="inlineStr">
        <is>
          <t>OS</t>
        </is>
      </c>
      <c r="AE69" s="16" t="n"/>
      <c r="AF69" s="31" t="inlineStr">
        <is>
          <t>OUTSTATION</t>
        </is>
      </c>
    </row>
    <row r="70" ht="16" customHeight="1">
      <c r="B70" s="42" t="inlineStr">
        <is>
          <t>G</t>
        </is>
      </c>
      <c r="C70" s="29" t="inlineStr">
        <is>
          <t>GRV (23:00 - 07:00)</t>
        </is>
      </c>
      <c r="F70" s="43" t="inlineStr">
        <is>
          <t>S/L</t>
        </is>
      </c>
      <c r="G70" s="16" t="n"/>
      <c r="H70" s="31" t="inlineStr">
        <is>
          <t>SICK LEAVE</t>
        </is>
      </c>
      <c r="L70" s="44" t="inlineStr">
        <is>
          <t>C/T</t>
        </is>
      </c>
      <c r="M70" s="16" t="n"/>
      <c r="N70" s="31" t="inlineStr">
        <is>
          <t>COMP TIME</t>
        </is>
      </c>
      <c r="R70" s="45" t="inlineStr">
        <is>
          <t>L</t>
        </is>
      </c>
      <c r="S70" s="16" t="n"/>
      <c r="T70" s="31" t="inlineStr">
        <is>
          <t>LATE/LEAVE</t>
        </is>
      </c>
      <c r="X70" s="46" t="inlineStr">
        <is>
          <t>N</t>
        </is>
      </c>
      <c r="Y70" s="16" t="n"/>
      <c r="Z70" s="31" t="inlineStr">
        <is>
          <t>NOTE</t>
        </is>
      </c>
    </row>
    <row r="72">
      <c r="A72" s="47" t="inlineStr">
        <is>
          <t>STAFF LIST — copy into crews above (excluded from print)</t>
        </is>
      </c>
    </row>
    <row r="73">
      <c r="A73" s="8" t="inlineStr">
        <is>
          <t>#</t>
        </is>
      </c>
      <c r="B73" s="8" t="inlineStr">
        <is>
          <t>PRN</t>
        </is>
      </c>
      <c r="C73" s="8" t="inlineStr">
        <is>
          <t>NAME</t>
        </is>
      </c>
      <c r="D73" s="8" t="inlineStr">
        <is>
          <t>Posn</t>
        </is>
      </c>
    </row>
    <row r="74">
      <c r="A74" s="10" t="n">
        <v>1</v>
      </c>
      <c r="B74" s="11" t="inlineStr">
        <is>
          <t>13006435</t>
        </is>
      </c>
      <c r="C74" s="48" t="inlineStr">
        <is>
          <t>HOMAID ALJAHDALI</t>
        </is>
      </c>
      <c r="D74" s="10" t="inlineStr">
        <is>
          <t>ACT/SUPV</t>
        </is>
      </c>
    </row>
    <row r="75">
      <c r="A75" s="10" t="n">
        <v>2</v>
      </c>
      <c r="B75" s="11" t="inlineStr">
        <is>
          <t>13008931</t>
        </is>
      </c>
      <c r="C75" s="48" t="inlineStr">
        <is>
          <t>RONILO NOGADAS AMEN</t>
        </is>
      </c>
      <c r="D75" s="10" t="inlineStr">
        <is>
          <t>ACT/SUPV</t>
        </is>
      </c>
    </row>
    <row r="76">
      <c r="A76" s="10" t="n">
        <v>3</v>
      </c>
      <c r="B76" s="11" t="inlineStr">
        <is>
          <t>13010279</t>
        </is>
      </c>
      <c r="C76" s="48" t="inlineStr">
        <is>
          <t>AHMED M. ALWAHBI</t>
        </is>
      </c>
      <c r="D76" s="10" t="inlineStr">
        <is>
          <t>ACT/SUPV</t>
        </is>
      </c>
    </row>
    <row r="77">
      <c r="A77" s="10" t="n">
        <v>4</v>
      </c>
      <c r="B77" s="11" t="inlineStr">
        <is>
          <t>13007568</t>
        </is>
      </c>
      <c r="C77" s="48" t="inlineStr">
        <is>
          <t>NAIF ALANEZI</t>
        </is>
      </c>
      <c r="D77" s="10" t="inlineStr">
        <is>
          <t>ACT/SUPV</t>
        </is>
      </c>
    </row>
    <row r="78">
      <c r="A78" s="10" t="n">
        <v>5</v>
      </c>
      <c r="B78" s="11" t="inlineStr">
        <is>
          <t>30005295</t>
        </is>
      </c>
      <c r="C78" s="48" t="inlineStr">
        <is>
          <t>RODEL CLEMENTE</t>
        </is>
      </c>
      <c r="D78" s="10" t="inlineStr">
        <is>
          <t>TECH</t>
        </is>
      </c>
    </row>
    <row r="79">
      <c r="A79" s="10" t="n">
        <v>6</v>
      </c>
      <c r="B79" s="11" t="inlineStr">
        <is>
          <t>30001593</t>
        </is>
      </c>
      <c r="C79" s="48" t="inlineStr">
        <is>
          <t>FYSAL M. ALEDAINI</t>
        </is>
      </c>
      <c r="D79" s="10" t="inlineStr">
        <is>
          <t>OJT</t>
        </is>
      </c>
    </row>
    <row r="80">
      <c r="A80" s="10" t="n">
        <v>7</v>
      </c>
      <c r="B80" s="11" t="inlineStr">
        <is>
          <t>30001338</t>
        </is>
      </c>
      <c r="C80" s="48" t="inlineStr">
        <is>
          <t>MASHHOUR ALSULAIMANI</t>
        </is>
      </c>
      <c r="D80" s="10" t="inlineStr">
        <is>
          <t>OJT</t>
        </is>
      </c>
    </row>
    <row r="81">
      <c r="A81" s="10" t="n">
        <v>8</v>
      </c>
      <c r="B81" s="11" t="inlineStr">
        <is>
          <t>30001573</t>
        </is>
      </c>
      <c r="C81" s="48" t="inlineStr">
        <is>
          <t>JEHAD M. HAKAMI</t>
        </is>
      </c>
      <c r="D81" s="10" t="inlineStr">
        <is>
          <t>OJT</t>
        </is>
      </c>
    </row>
    <row r="82">
      <c r="A82" s="10" t="n">
        <v>9</v>
      </c>
      <c r="B82" s="11" t="inlineStr">
        <is>
          <t>30001366</t>
        </is>
      </c>
      <c r="C82" s="48" t="inlineStr">
        <is>
          <t>ABDULAZIZ ZAKOUR</t>
        </is>
      </c>
      <c r="D82" s="10" t="inlineStr">
        <is>
          <t>OJT</t>
        </is>
      </c>
    </row>
    <row r="83">
      <c r="A83" s="10" t="n">
        <v>10</v>
      </c>
      <c r="B83" s="11" t="inlineStr">
        <is>
          <t>30001450</t>
        </is>
      </c>
      <c r="C83" s="48" t="inlineStr">
        <is>
          <t>MUHAMMED ALSHAIKH</t>
        </is>
      </c>
      <c r="D83" s="10" t="inlineStr">
        <is>
          <t>OJT</t>
        </is>
      </c>
    </row>
    <row r="84">
      <c r="A84" s="10" t="n">
        <v>11</v>
      </c>
      <c r="B84" s="11" t="inlineStr">
        <is>
          <t>30001602</t>
        </is>
      </c>
      <c r="C84" s="48" t="inlineStr">
        <is>
          <t>AHMED M. ALYAMANI</t>
        </is>
      </c>
      <c r="D84" s="10" t="inlineStr">
        <is>
          <t>OJT</t>
        </is>
      </c>
    </row>
    <row r="85">
      <c r="A85" s="10" t="n">
        <v>12</v>
      </c>
      <c r="B85" s="11" t="inlineStr">
        <is>
          <t>40001135</t>
        </is>
      </c>
      <c r="C85" s="48" t="inlineStr">
        <is>
          <t>SYAHLENDRA SYAMSOE</t>
        </is>
      </c>
      <c r="D85" s="10" t="inlineStr">
        <is>
          <t>FITTER</t>
        </is>
      </c>
    </row>
    <row r="86">
      <c r="A86" s="10" t="n">
        <v>13</v>
      </c>
      <c r="B86" s="11" t="inlineStr">
        <is>
          <t>70010082</t>
        </is>
      </c>
      <c r="C86" s="48" t="inlineStr">
        <is>
          <t>MOHAMMAD KAIFI</t>
        </is>
      </c>
      <c r="D86" s="10" t="inlineStr">
        <is>
          <t>FITTER</t>
        </is>
      </c>
    </row>
    <row r="87">
      <c r="A87" s="10" t="n">
        <v>14</v>
      </c>
      <c r="B87" s="11" t="inlineStr">
        <is>
          <t>13009258</t>
        </is>
      </c>
      <c r="C87" s="48" t="inlineStr">
        <is>
          <t>ALI ALAHMADI</t>
        </is>
      </c>
      <c r="D87" s="10" t="inlineStr">
        <is>
          <t>FITTER</t>
        </is>
      </c>
    </row>
    <row r="88">
      <c r="A88" s="10" t="n">
        <v>15</v>
      </c>
      <c r="B88" s="11" t="inlineStr">
        <is>
          <t>13009255</t>
        </is>
      </c>
      <c r="C88" s="48" t="inlineStr">
        <is>
          <t>HOSSAM ALGHAMDI</t>
        </is>
      </c>
      <c r="D88" s="10" t="inlineStr">
        <is>
          <t>FITTER</t>
        </is>
      </c>
    </row>
    <row r="89">
      <c r="A89" s="10" t="n">
        <v>16</v>
      </c>
      <c r="B89" s="11" t="inlineStr">
        <is>
          <t>13009047</t>
        </is>
      </c>
      <c r="C89" s="48" t="inlineStr">
        <is>
          <t>JIMRICKS AQINO</t>
        </is>
      </c>
      <c r="D89" s="10" t="inlineStr">
        <is>
          <t>FITTER</t>
        </is>
      </c>
    </row>
    <row r="90">
      <c r="A90" s="10" t="n">
        <v>17</v>
      </c>
      <c r="B90" s="11" t="inlineStr">
        <is>
          <t>13006567</t>
        </is>
      </c>
      <c r="C90" s="48" t="inlineStr">
        <is>
          <t>AHMED AL-GHAMDI</t>
        </is>
      </c>
      <c r="D90" s="10" t="inlineStr">
        <is>
          <t>ACT/SUPV</t>
        </is>
      </c>
    </row>
    <row r="91">
      <c r="A91" s="10" t="n">
        <v>18</v>
      </c>
      <c r="B91" s="11" t="inlineStr">
        <is>
          <t>13010253</t>
        </is>
      </c>
      <c r="C91" s="48" t="inlineStr">
        <is>
          <t>AHMED S. ALGHAMDI</t>
        </is>
      </c>
      <c r="D91" s="10" t="inlineStr">
        <is>
          <t>ACT/SUPV</t>
        </is>
      </c>
    </row>
    <row r="92">
      <c r="A92" s="10" t="n">
        <v>19</v>
      </c>
      <c r="B92" s="11" t="inlineStr">
        <is>
          <t>13007276</t>
        </is>
      </c>
      <c r="C92" s="48" t="inlineStr">
        <is>
          <t>MOHAMMED BAROOM</t>
        </is>
      </c>
      <c r="D92" s="10" t="inlineStr">
        <is>
          <t>TECH</t>
        </is>
      </c>
    </row>
    <row r="93">
      <c r="A93" s="10" t="n">
        <v>20</v>
      </c>
      <c r="B93" s="11" t="inlineStr">
        <is>
          <t>13010286</t>
        </is>
      </c>
      <c r="C93" s="48" t="inlineStr">
        <is>
          <t>ABDULAZIZ F. ALBOUQ</t>
        </is>
      </c>
      <c r="D93" s="10" t="inlineStr">
        <is>
          <t>TECH</t>
        </is>
      </c>
    </row>
    <row r="94">
      <c r="A94" s="10" t="n">
        <v>21</v>
      </c>
      <c r="B94" s="11" t="inlineStr">
        <is>
          <t>30004221</t>
        </is>
      </c>
      <c r="C94" s="48" t="inlineStr">
        <is>
          <t>YOUSEF BARIFAH</t>
        </is>
      </c>
      <c r="D94" s="10" t="inlineStr">
        <is>
          <t>TECH</t>
        </is>
      </c>
    </row>
    <row r="95">
      <c r="A95" s="10" t="n">
        <v>22</v>
      </c>
      <c r="B95" s="11" t="inlineStr">
        <is>
          <t>30001345</t>
        </is>
      </c>
      <c r="C95" s="48" t="inlineStr">
        <is>
          <t>AHMED ALSHARIF</t>
        </is>
      </c>
      <c r="D95" s="10" t="inlineStr">
        <is>
          <t>OJT</t>
        </is>
      </c>
    </row>
    <row r="96">
      <c r="A96" s="10" t="n">
        <v>23</v>
      </c>
      <c r="B96" s="11" t="inlineStr">
        <is>
          <t>30001351</t>
        </is>
      </c>
      <c r="C96" s="48" t="inlineStr">
        <is>
          <t>KHALID ALSHUBRAMI</t>
        </is>
      </c>
      <c r="D96" s="10" t="inlineStr">
        <is>
          <t>OJT</t>
        </is>
      </c>
    </row>
    <row r="97">
      <c r="A97" s="10" t="n">
        <v>24</v>
      </c>
      <c r="B97" s="11" t="inlineStr">
        <is>
          <t>30001451</t>
        </is>
      </c>
      <c r="C97" s="48" t="inlineStr">
        <is>
          <t>MUHAMMED ALHARBI</t>
        </is>
      </c>
      <c r="D97" s="10" t="inlineStr">
        <is>
          <t>OJT</t>
        </is>
      </c>
    </row>
    <row r="98">
      <c r="A98" s="10" t="n">
        <v>25</v>
      </c>
      <c r="B98" s="11" t="inlineStr">
        <is>
          <t>30001452</t>
        </is>
      </c>
      <c r="C98" s="48" t="inlineStr">
        <is>
          <t>SAAD ALDOSARI</t>
        </is>
      </c>
      <c r="D98" s="10" t="inlineStr">
        <is>
          <t>OJT</t>
        </is>
      </c>
    </row>
    <row r="99">
      <c r="A99" s="10" t="n">
        <v>26</v>
      </c>
      <c r="B99" s="11" t="inlineStr">
        <is>
          <t>30001461</t>
        </is>
      </c>
      <c r="C99" s="48" t="inlineStr">
        <is>
          <t>HUSSAM ALTHUBAITI</t>
        </is>
      </c>
      <c r="D99" s="10" t="inlineStr">
        <is>
          <t>OJT</t>
        </is>
      </c>
    </row>
    <row r="100">
      <c r="A100" s="10" t="n">
        <v>27</v>
      </c>
      <c r="B100" s="11" t="inlineStr">
        <is>
          <t>30001575</t>
        </is>
      </c>
      <c r="C100" s="48" t="inlineStr">
        <is>
          <t>FADUL A. FADUL</t>
        </is>
      </c>
      <c r="D100" s="10" t="inlineStr">
        <is>
          <t>OJT</t>
        </is>
      </c>
    </row>
    <row r="101">
      <c r="A101" s="10" t="n">
        <v>28</v>
      </c>
      <c r="B101" s="11" t="inlineStr">
        <is>
          <t>30001577</t>
        </is>
      </c>
      <c r="C101" s="48" t="inlineStr">
        <is>
          <t>FOUAD A. MOJALLY</t>
        </is>
      </c>
      <c r="D101" s="10" t="inlineStr">
        <is>
          <t>OJT</t>
        </is>
      </c>
    </row>
    <row r="102">
      <c r="A102" s="10" t="n">
        <v>29</v>
      </c>
      <c r="B102" s="11" t="inlineStr">
        <is>
          <t>30001774</t>
        </is>
      </c>
      <c r="C102" s="48" t="inlineStr">
        <is>
          <t>SAAD A. ALQAHTANI</t>
        </is>
      </c>
      <c r="D102" s="10" t="inlineStr">
        <is>
          <t>OJT</t>
        </is>
      </c>
    </row>
    <row r="103">
      <c r="A103" s="10" t="n">
        <v>30</v>
      </c>
      <c r="B103" s="11" t="inlineStr">
        <is>
          <t>40000188</t>
        </is>
      </c>
      <c r="C103" s="48" t="inlineStr">
        <is>
          <t>RAKAN AGILY</t>
        </is>
      </c>
      <c r="D103" s="10" t="inlineStr">
        <is>
          <t>FITTER</t>
        </is>
      </c>
    </row>
    <row r="104">
      <c r="A104" s="10" t="n">
        <v>31</v>
      </c>
      <c r="B104" s="11" t="inlineStr">
        <is>
          <t>13009042</t>
        </is>
      </c>
      <c r="C104" s="48" t="inlineStr">
        <is>
          <t>OLANDRES JR BEINVENIDO</t>
        </is>
      </c>
      <c r="D104" s="10" t="inlineStr">
        <is>
          <t>FITTER</t>
        </is>
      </c>
    </row>
    <row r="105">
      <c r="A105" s="10" t="n">
        <v>32</v>
      </c>
      <c r="B105" s="11" t="inlineStr">
        <is>
          <t>40000706</t>
        </is>
      </c>
      <c r="C105" s="48" t="inlineStr">
        <is>
          <t>JASON C. GUEVARRA</t>
        </is>
      </c>
      <c r="D105" s="10" t="inlineStr">
        <is>
          <t>FITTER</t>
        </is>
      </c>
    </row>
    <row r="106">
      <c r="A106" s="10" t="n">
        <v>33</v>
      </c>
      <c r="B106" s="11" t="inlineStr">
        <is>
          <t>13009023</t>
        </is>
      </c>
      <c r="C106" s="48" t="inlineStr">
        <is>
          <t>SAMEER ALDUSUQI</t>
        </is>
      </c>
      <c r="D106" s="10" t="inlineStr">
        <is>
          <t>FITTER</t>
        </is>
      </c>
    </row>
    <row r="107">
      <c r="A107" s="10" t="n">
        <v>34</v>
      </c>
      <c r="B107" s="11" t="inlineStr">
        <is>
          <t>13004037</t>
        </is>
      </c>
      <c r="C107" s="48" t="inlineStr">
        <is>
          <t>KHALID FAISAL AL-ALAWI</t>
        </is>
      </c>
      <c r="D107" s="10" t="inlineStr">
        <is>
          <t>SUPV</t>
        </is>
      </c>
    </row>
    <row r="108">
      <c r="A108" s="10" t="n">
        <v>35</v>
      </c>
      <c r="B108" s="11" t="inlineStr">
        <is>
          <t>13010931</t>
        </is>
      </c>
      <c r="C108" s="48" t="inlineStr">
        <is>
          <t>SULTAN ALMASRI</t>
        </is>
      </c>
      <c r="D108" s="10" t="inlineStr">
        <is>
          <t>TECH</t>
        </is>
      </c>
    </row>
    <row r="109">
      <c r="A109" s="10" t="n">
        <v>36</v>
      </c>
      <c r="B109" s="11" t="inlineStr">
        <is>
          <t>30003319</t>
        </is>
      </c>
      <c r="C109" s="48" t="inlineStr">
        <is>
          <t>MANSOUR ALHARBI</t>
        </is>
      </c>
      <c r="D109" s="10" t="inlineStr">
        <is>
          <t>TECH</t>
        </is>
      </c>
    </row>
    <row r="110">
      <c r="A110" s="10" t="n">
        <v>37</v>
      </c>
      <c r="B110" s="11" t="inlineStr">
        <is>
          <t>30003362</t>
        </is>
      </c>
      <c r="C110" s="48" t="inlineStr">
        <is>
          <t>AYMAN HAMED</t>
        </is>
      </c>
      <c r="D110" s="10" t="inlineStr">
        <is>
          <t>TECH</t>
        </is>
      </c>
    </row>
    <row r="111">
      <c r="A111" s="10" t="n">
        <v>38</v>
      </c>
      <c r="B111" s="11" t="inlineStr">
        <is>
          <t>30003449</t>
        </is>
      </c>
      <c r="C111" s="48" t="inlineStr">
        <is>
          <t>HAZEM ALSUBHI</t>
        </is>
      </c>
      <c r="D111" s="10" t="inlineStr">
        <is>
          <t>TECH</t>
        </is>
      </c>
    </row>
    <row r="112">
      <c r="A112" s="10" t="n">
        <v>39</v>
      </c>
      <c r="B112" s="11" t="inlineStr">
        <is>
          <t>30003471</t>
        </is>
      </c>
      <c r="C112" s="48" t="inlineStr">
        <is>
          <t>MOHAMMED ALOQBA</t>
        </is>
      </c>
      <c r="D112" s="10" t="inlineStr">
        <is>
          <t>TECH</t>
        </is>
      </c>
    </row>
    <row r="113">
      <c r="A113" s="10" t="n">
        <v>40</v>
      </c>
      <c r="B113" s="11" t="inlineStr">
        <is>
          <t>30003607</t>
        </is>
      </c>
      <c r="C113" s="48" t="inlineStr">
        <is>
          <t>SIRAJ KHAYAT</t>
        </is>
      </c>
      <c r="D113" s="10" t="inlineStr">
        <is>
          <t>TECH</t>
        </is>
      </c>
    </row>
    <row r="114">
      <c r="A114" s="10" t="n">
        <v>41</v>
      </c>
      <c r="B114" s="11" t="inlineStr">
        <is>
          <t>30004358</t>
        </is>
      </c>
      <c r="C114" s="48" t="inlineStr">
        <is>
          <t>SALMAN ALJAADANI</t>
        </is>
      </c>
      <c r="D114" s="10" t="inlineStr">
        <is>
          <t>TECH</t>
        </is>
      </c>
    </row>
    <row r="115">
      <c r="A115" s="10" t="n">
        <v>42</v>
      </c>
      <c r="B115" s="11" t="inlineStr">
        <is>
          <t>30004434</t>
        </is>
      </c>
      <c r="C115" s="48" t="inlineStr">
        <is>
          <t>EID ALRIFAI</t>
        </is>
      </c>
      <c r="D115" s="10" t="inlineStr">
        <is>
          <t>TECH</t>
        </is>
      </c>
    </row>
    <row r="116">
      <c r="A116" s="10" t="n">
        <v>43</v>
      </c>
      <c r="B116" s="11" t="inlineStr">
        <is>
          <t>30004838</t>
        </is>
      </c>
      <c r="C116" s="48" t="inlineStr">
        <is>
          <t>MUAED MEERA</t>
        </is>
      </c>
      <c r="D116" s="10" t="inlineStr">
        <is>
          <t>TECH</t>
        </is>
      </c>
    </row>
  </sheetData>
  <mergeCells count="38">
    <mergeCell ref="X70:Y70"/>
    <mergeCell ref="T70:W70"/>
    <mergeCell ref="F69:G69"/>
    <mergeCell ref="C68:D68"/>
    <mergeCell ref="AD68:AE68"/>
    <mergeCell ref="N69:Q69"/>
    <mergeCell ref="T69:W69"/>
    <mergeCell ref="E2:AI2"/>
    <mergeCell ref="F68:G68"/>
    <mergeCell ref="Z69:AC69"/>
    <mergeCell ref="A72:J72"/>
    <mergeCell ref="A24:AI24"/>
    <mergeCell ref="R69:S69"/>
    <mergeCell ref="L68:M68"/>
    <mergeCell ref="AD69:AE69"/>
    <mergeCell ref="N70:Q70"/>
    <mergeCell ref="A45:AI45"/>
    <mergeCell ref="A1:AI1"/>
    <mergeCell ref="F70:G70"/>
    <mergeCell ref="X68:Y68"/>
    <mergeCell ref="R70:S70"/>
    <mergeCell ref="Z70:AC70"/>
    <mergeCell ref="A3:AI3"/>
    <mergeCell ref="H68:K68"/>
    <mergeCell ref="T68:W68"/>
    <mergeCell ref="AF69:AI69"/>
    <mergeCell ref="C70:D70"/>
    <mergeCell ref="L69:M69"/>
    <mergeCell ref="N68:Q68"/>
    <mergeCell ref="AF68:AI68"/>
    <mergeCell ref="X69:Y69"/>
    <mergeCell ref="H70:K70"/>
    <mergeCell ref="R68:S68"/>
    <mergeCell ref="H69:K69"/>
    <mergeCell ref="Z68:AC68"/>
    <mergeCell ref="A61:C65"/>
    <mergeCell ref="C69:D69"/>
    <mergeCell ref="L70:M70"/>
  </mergeCells>
  <conditionalFormatting sqref="E6:AI59">
    <cfRule type="cellIs" priority="1" operator="equal" dxfId="0">
      <formula>"D"</formula>
    </cfRule>
    <cfRule type="cellIs" priority="2" operator="equal" dxfId="1">
      <formula>"T"</formula>
    </cfRule>
    <cfRule type="cellIs" priority="3" operator="equal" dxfId="2">
      <formula>"G"</formula>
    </cfRule>
    <cfRule type="cellIs" priority="4" operator="equal" dxfId="3">
      <formula>"TR"</formula>
    </cfRule>
    <cfRule type="cellIs" priority="5" operator="equal" dxfId="4">
      <formula>"V"</formula>
    </cfRule>
    <cfRule type="cellIs" priority="6" operator="equal" dxfId="5">
      <formula>"R"</formula>
    </cfRule>
    <cfRule type="cellIs" priority="7" operator="equal" dxfId="6">
      <formula>"A"</formula>
    </cfRule>
    <cfRule type="cellIs" priority="8" operator="equal" dxfId="7">
      <formula>"H"</formula>
    </cfRule>
    <cfRule type="cellIs" priority="9" operator="equal" dxfId="8">
      <formula>"OT"</formula>
    </cfRule>
    <cfRule type="cellIs" priority="10" operator="equal" dxfId="9">
      <formula>"OS"</formula>
    </cfRule>
    <cfRule type="cellIs" priority="11" operator="equal" dxfId="10">
      <formula>"S/L"</formula>
    </cfRule>
    <cfRule type="cellIs" priority="12" operator="equal" dxfId="11">
      <formula>"C/T"</formula>
    </cfRule>
    <cfRule type="cellIs" priority="13" operator="equal" dxfId="12">
      <formula>"L"</formula>
    </cfRule>
    <cfRule type="cellIs" priority="14" operator="equal" dxfId="13">
      <formula>"N"</formula>
    </cfRule>
  </conditionalFormatting>
  <conditionalFormatting sqref="A6:D116">
    <cfRule type="expression" priority="15" dxfId="14">
      <formula>$D6="OJT"</formula>
    </cfRule>
    <cfRule type="expression" priority="16" dxfId="15">
      <formula>$D6="ACT/SUPV"</formula>
    </cfRule>
  </conditionalFormatting>
  <printOptions horizontalCentered="1"/>
  <pageMargins left="0.25" right="0.25" top="0.3" bottom="0.3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2026-09-09T16:32:09Z</dcterms:created>
  <dcterms:modified xmlns:dcterms="http://purl.org/dc/terms/" xmlns:xsi="http://www.w3.org/2001/XMLSchema-instance" xsi:type="dcterms:W3CDTF">2026-09-09T16:32:09Z</dcterms:modified>
</cp:coreProperties>
</file>