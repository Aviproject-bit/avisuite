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Print_Area" localSheetId="0">'ROSTER'!$A$1:$AI$89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36">
    <font>
      <name val="Aptos Narrow"/>
      <family val="2"/>
      <color theme="1"/>
      <sz val="11"/>
      <scheme val="minor"/>
    </font>
    <font>
      <name val="Times New Roman"/>
      <family val="1"/>
      <b val="1"/>
      <color rgb="FFFFFFFF"/>
      <sz val="16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b val="1"/>
      <color theme="0"/>
      <sz val="16"/>
    </font>
    <font>
      <name val="Times New Roman"/>
      <family val="1"/>
      <b val="1"/>
      <color theme="0"/>
      <sz val="24"/>
    </font>
    <font>
      <name val="Aptos Narrow"/>
      <family val="2"/>
      <sz val="8"/>
      <scheme val="minor"/>
    </font>
    <font>
      <name val="Times New Roman"/>
      <family val="1"/>
      <b val="1"/>
      <sz val="12"/>
    </font>
    <font>
      <name val="Times New Roman"/>
      <b val="1"/>
      <color rgb="00FFFFFF"/>
      <sz val="10"/>
    </font>
    <font>
      <name val="Times New Roman"/>
      <b val="1"/>
      <sz val="9"/>
    </font>
    <font>
      <name val="Times New Roman"/>
      <b val="1"/>
      <color rgb="00B45309"/>
      <sz val="13"/>
    </font>
    <font>
      <name val="Times New Roman"/>
      <i val="1"/>
      <color rgb="006B7280"/>
      <sz val="8"/>
    </font>
    <font>
      <name val="Times New Roman"/>
      <b val="1"/>
      <sz val="8"/>
    </font>
    <font>
      <name val="Times New Roman"/>
      <b val="1"/>
      <sz val="10"/>
    </font>
    <font>
      <name val="Times New Roman"/>
      <b val="1"/>
      <color rgb="0092400E"/>
      <sz val="11"/>
    </font>
    <font>
      <name val="Times New Roman"/>
      <b val="1"/>
      <color rgb="001A56DB"/>
      <sz val="11"/>
    </font>
    <font>
      <name val="Times New Roman"/>
      <b val="1"/>
      <color rgb="00065F46"/>
      <sz val="11"/>
    </font>
    <font>
      <name val="Times New Roman"/>
      <b val="1"/>
      <color rgb="00196B24"/>
      <sz val="10"/>
    </font>
    <font>
      <name val="Times New Roman"/>
      <b val="1"/>
      <color rgb="0092400E"/>
      <sz val="10"/>
    </font>
    <font>
      <name val="Times New Roman"/>
      <sz val="9"/>
    </font>
    <font>
      <name val="Times New Roman"/>
      <b val="1"/>
      <color rgb="001A56DB"/>
      <sz val="10"/>
    </font>
    <font>
      <name val="Times New Roman"/>
      <b val="1"/>
      <color rgb="00065F46"/>
      <sz val="10"/>
    </font>
    <font>
      <name val="Times New Roman"/>
      <b val="1"/>
      <color rgb="005521B5"/>
      <sz val="10"/>
    </font>
    <font>
      <name val="Times New Roman"/>
      <b val="1"/>
      <color rgb="000E7490"/>
      <sz val="10"/>
    </font>
    <font>
      <name val="Times New Roman"/>
      <b val="1"/>
      <color rgb="00000000"/>
      <sz val="10"/>
    </font>
    <font>
      <name val="Times New Roman"/>
      <b val="1"/>
      <color rgb="00F9FAFB"/>
      <sz val="10"/>
    </font>
    <font>
      <name val="Times New Roman"/>
      <b val="1"/>
      <color rgb="007E22CE"/>
      <sz val="10"/>
    </font>
    <font>
      <name val="Times New Roman"/>
      <b val="1"/>
      <color rgb="00C2410C"/>
      <sz val="10"/>
    </font>
    <font>
      <name val="Times New Roman"/>
      <b val="1"/>
      <color rgb="003730A3"/>
      <sz val="10"/>
    </font>
    <font>
      <name val="Times New Roman"/>
      <b val="1"/>
      <color rgb="00BE123C"/>
      <sz val="10"/>
    </font>
    <font>
      <name val="Times New Roman"/>
      <b val="1"/>
      <color rgb="003F6212"/>
      <sz val="10"/>
    </font>
    <font>
      <name val="Times New Roman"/>
      <b val="1"/>
      <color rgb="00475569"/>
      <sz val="10"/>
    </font>
    <font>
      <name val="Times New Roman"/>
      <b val="1"/>
      <color rgb="00713F12"/>
      <sz val="10"/>
    </font>
  </fonts>
  <fills count="28">
    <fill>
      <patternFill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96B24"/>
      </patternFill>
    </fill>
    <fill>
      <patternFill patternType="solid">
        <fgColor rgb="00FFF8E1"/>
      </patternFill>
    </fill>
    <fill>
      <patternFill patternType="solid">
        <fgColor rgb="00D0CECE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BFE"/>
      </patternFill>
    </fill>
    <fill>
      <patternFill patternType="solid">
        <fgColor rgb="00CFFAFE"/>
      </patternFill>
    </fill>
    <fill>
      <patternFill patternType="solid">
        <fgColor rgb="00FFFFFF"/>
      </patternFill>
    </fill>
    <fill>
      <patternFill patternType="solid">
        <fgColor rgb="001F2937"/>
      </patternFill>
    </fill>
    <fill>
      <patternFill patternType="solid">
        <fgColor rgb="00FDF4FF"/>
      </patternFill>
    </fill>
    <fill>
      <patternFill patternType="solid">
        <fgColor rgb="00FFF7ED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ECFCCB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/>
      <right/>
      <top style="thin">
        <color rgb="007F8C8D"/>
      </top>
      <bottom/>
      <diagonal/>
    </border>
    <border>
      <left/>
      <right style="thin">
        <color rgb="007F8C8D"/>
      </right>
      <top style="thin">
        <color rgb="007F8C8D"/>
      </top>
      <bottom/>
      <diagonal/>
    </border>
    <border>
      <left/>
      <right/>
      <top style="thin">
        <color rgb="007F8C8D"/>
      </top>
      <bottom style="thin">
        <color rgb="007F8C8D"/>
      </bottom>
      <diagonal/>
    </border>
    <border>
      <left/>
      <right style="thin">
        <color rgb="007F8C8D"/>
      </right>
      <top style="thin">
        <color rgb="007F8C8D"/>
      </top>
      <bottom style="thin">
        <color rgb="007F8C8D"/>
      </bottom>
      <diagonal/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2" fillId="3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6" fillId="9" borderId="1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4" borderId="14" applyAlignment="1" pivotButton="0" quotePrefix="0" xfId="0">
      <alignment horizontal="left" vertical="center"/>
    </xf>
    <xf numFmtId="0" fontId="5" fillId="4" borderId="15" applyAlignment="1" pivotButton="0" quotePrefix="0" xfId="0">
      <alignment horizontal="left" vertical="center"/>
    </xf>
    <xf numFmtId="0" fontId="5" fillId="4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/>
    </xf>
    <xf numFmtId="0" fontId="5" fillId="5" borderId="14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0" fillId="7" borderId="14" applyAlignment="1" pivotButton="0" quotePrefix="0" xfId="0">
      <alignment horizontal="center" vertical="center"/>
    </xf>
    <xf numFmtId="0" fontId="10" fillId="8" borderId="14" applyAlignment="1" pivotButton="0" quotePrefix="0" xfId="0">
      <alignment horizontal="center" vertical="center"/>
    </xf>
    <xf numFmtId="0" fontId="10" fillId="9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/>
    </xf>
    <xf numFmtId="16" fontId="1" fillId="2" borderId="1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6" fillId="10" borderId="28" applyAlignment="1" pivotButton="0" quotePrefix="0" xfId="0">
      <alignment horizontal="center" vertical="center"/>
    </xf>
    <xf numFmtId="0" fontId="6" fillId="10" borderId="16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10" fillId="7" borderId="15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0" fillId="8" borderId="15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6" fillId="9" borderId="15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9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4" fontId="3" fillId="0" borderId="3" applyAlignment="1" pivotButton="0" quotePrefix="0" xfId="0">
      <alignment horizontal="center"/>
    </xf>
    <xf numFmtId="164" fontId="1" fillId="2" borderId="7" applyAlignment="1" pivotButton="0" quotePrefix="0" xfId="0">
      <alignment horizontal="center" vertical="center"/>
    </xf>
    <xf numFmtId="164" fontId="1" fillId="2" borderId="8" applyAlignment="1" pivotButton="0" quotePrefix="0" xfId="0">
      <alignment horizontal="center" vertical="center"/>
    </xf>
    <xf numFmtId="164" fontId="1" fillId="2" borderId="9" applyAlignment="1" pivotButton="0" quotePrefix="0" xfId="0">
      <alignment horizontal="center" vertical="center"/>
    </xf>
    <xf numFmtId="164" fontId="1" fillId="2" borderId="10" applyAlignment="1" pivotButton="0" quotePrefix="0" xfId="0">
      <alignment horizontal="center" vertical="center"/>
    </xf>
    <xf numFmtId="16" fontId="1" fillId="2" borderId="14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164" fontId="1" fillId="2" borderId="14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5" fillId="3" borderId="34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0" fillId="0" borderId="5" pivotButton="0" quotePrefix="0" xfId="0"/>
    <xf numFmtId="0" fontId="16" fillId="13" borderId="3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12" borderId="3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6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4" pivotButton="0" quotePrefix="0" xfId="0"/>
    <xf numFmtId="0" fontId="6" fillId="10" borderId="1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8" fillId="6" borderId="14" applyAlignment="1" pivotButton="0" quotePrefix="0" xfId="0">
      <alignment horizontal="center" vertical="center" wrapText="1"/>
    </xf>
    <xf numFmtId="0" fontId="0" fillId="0" borderId="18" pivotButton="0" quotePrefix="0" xfId="0"/>
    <xf numFmtId="0" fontId="17" fillId="14" borderId="14" applyAlignment="1" pivotButton="0" quotePrefix="0" xfId="0">
      <alignment horizontal="center" vertical="center"/>
    </xf>
    <xf numFmtId="0" fontId="18" fillId="15" borderId="14" applyAlignment="1" pivotButton="0" quotePrefix="0" xfId="0">
      <alignment horizontal="center" vertical="center"/>
    </xf>
    <xf numFmtId="0" fontId="19" fillId="16" borderId="6" applyAlignment="1" pivotButton="0" quotePrefix="0" xfId="0">
      <alignment horizontal="center" vertical="center"/>
    </xf>
    <xf numFmtId="0" fontId="20" fillId="0" borderId="0" pivotButton="0" quotePrefix="0" xfId="0"/>
    <xf numFmtId="0" fontId="21" fillId="14" borderId="34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0" fontId="23" fillId="15" borderId="34" applyAlignment="1" pivotButton="0" quotePrefix="0" xfId="0">
      <alignment horizontal="center" vertical="center"/>
    </xf>
    <xf numFmtId="0" fontId="24" fillId="16" borderId="34" applyAlignment="1" pivotButton="0" quotePrefix="0" xfId="0">
      <alignment horizontal="center" vertical="center"/>
    </xf>
    <xf numFmtId="0" fontId="25" fillId="17" borderId="34" applyAlignment="1" pivotButton="0" quotePrefix="0" xfId="0">
      <alignment horizontal="center" vertical="center"/>
    </xf>
    <xf numFmtId="0" fontId="26" fillId="18" borderId="34" applyAlignment="1" pivotButton="0" quotePrefix="0" xfId="0">
      <alignment horizontal="center" vertical="center"/>
    </xf>
    <xf numFmtId="0" fontId="27" fillId="19" borderId="34" applyAlignment="1" pivotButton="0" quotePrefix="0" xfId="0">
      <alignment horizontal="center" vertical="center"/>
    </xf>
    <xf numFmtId="0" fontId="28" fillId="20" borderId="34" applyAlignment="1" pivotButton="0" quotePrefix="0" xfId="0">
      <alignment horizontal="center" vertical="center"/>
    </xf>
    <xf numFmtId="0" fontId="29" fillId="21" borderId="34" applyAlignment="1" pivotButton="0" quotePrefix="0" xfId="0">
      <alignment horizontal="center" vertical="center"/>
    </xf>
    <xf numFmtId="0" fontId="30" fillId="22" borderId="34" applyAlignment="1" pivotButton="0" quotePrefix="0" xfId="0">
      <alignment horizontal="center" vertical="center"/>
    </xf>
    <xf numFmtId="0" fontId="31" fillId="23" borderId="34" applyAlignment="1" pivotButton="0" quotePrefix="0" xfId="0">
      <alignment horizontal="center" vertical="center"/>
    </xf>
    <xf numFmtId="0" fontId="32" fillId="24" borderId="34" applyAlignment="1" pivotButton="0" quotePrefix="0" xfId="0">
      <alignment horizontal="center" vertical="center"/>
    </xf>
    <xf numFmtId="0" fontId="33" fillId="25" borderId="34" applyAlignment="1" pivotButton="0" quotePrefix="0" xfId="0">
      <alignment horizontal="center" vertical="center"/>
    </xf>
    <xf numFmtId="0" fontId="34" fillId="26" borderId="34" applyAlignment="1" pivotButton="0" quotePrefix="0" xfId="0">
      <alignment horizontal="center" vertical="center"/>
    </xf>
    <xf numFmtId="0" fontId="35" fillId="27" borderId="3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6" fillId="0" borderId="28" applyAlignment="1" pivotButton="0" quotePrefix="0" xfId="0">
      <alignment horizontal="center" vertical="center"/>
    </xf>
  </cellXfs>
  <cellStyles count="1">
    <cellStyle name="عادي" xfId="0" builtinId="0"/>
  </cellStyles>
  <dxfs count="27"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8" tint="0.5999633777886288"/>
        </patternFill>
      </fill>
    </dxf>
    <dxf>
      <font>
        <name val="Times New Roman"/>
        <b val="1"/>
        <color rgb="0092400E"/>
      </font>
      <fill>
        <patternFill>
          <bgColor rgb="00FEF3C7"/>
        </patternFill>
      </fill>
    </dxf>
    <dxf>
      <font>
        <name val="Times New Roman"/>
        <b val="1"/>
        <color rgb="001A56DB"/>
      </font>
      <fill>
        <patternFill>
          <bgColor rgb="00DBEAFE"/>
        </patternFill>
      </fill>
    </dxf>
    <dxf>
      <font>
        <name val="Times New Roman"/>
        <b val="1"/>
        <color rgb="00065F46"/>
      </font>
      <fill>
        <patternFill>
          <bgColor rgb="00D1FAE5"/>
        </patternFill>
      </fill>
    </dxf>
    <dxf>
      <font>
        <name val="Times New Roman"/>
        <b val="1"/>
        <color rgb="005521B5"/>
      </font>
      <fill>
        <patternFill>
          <bgColor rgb="00EDEBFE"/>
        </patternFill>
      </fill>
    </dxf>
    <dxf>
      <font>
        <name val="Times New Roman"/>
        <b val="1"/>
        <color rgb="000E7490"/>
      </font>
      <fill>
        <patternFill>
          <bgColor rgb="00CFFAFE"/>
        </patternFill>
      </fill>
    </dxf>
    <dxf>
      <font>
        <name val="Times New Roman"/>
        <b val="1"/>
        <color rgb="00F9FAFB"/>
      </font>
      <fill>
        <patternFill>
          <bgColor rgb="001F2937"/>
        </patternFill>
      </fill>
    </dxf>
    <dxf>
      <font>
        <name val="Times New Roman"/>
        <b val="1"/>
        <color rgb="007E22CE"/>
      </font>
      <fill>
        <patternFill>
          <bgColor rgb="00FDF4FF"/>
        </patternFill>
      </fill>
    </dxf>
    <dxf>
      <font>
        <name val="Times New Roman"/>
        <b val="1"/>
        <color rgb="00C2410C"/>
      </font>
      <fill>
        <patternFill>
          <bgColor rgb="00FFF7ED"/>
        </patternFill>
      </fill>
    </dxf>
    <dxf>
      <font>
        <name val="Times New Roman"/>
        <b val="1"/>
        <color rgb="003730A3"/>
      </font>
      <fill>
        <patternFill>
          <bgColor rgb="00E0E7FF"/>
        </patternFill>
      </fill>
    </dxf>
    <dxf>
      <font>
        <name val="Times New Roman"/>
        <b val="1"/>
        <color rgb="00BE123C"/>
      </font>
      <fill>
        <patternFill>
          <bgColor rgb="00FFE4E6"/>
        </patternFill>
      </fill>
    </dxf>
    <dxf>
      <font>
        <name val="Times New Roman"/>
        <b val="1"/>
        <color rgb="003F6212"/>
      </font>
      <fill>
        <patternFill>
          <bgColor rgb="00ECFCCB"/>
        </patternFill>
      </fill>
    </dxf>
    <dxf>
      <font>
        <name val="Times New Roman"/>
        <b val="1"/>
        <color rgb="00475569"/>
      </font>
      <fill>
        <patternFill>
          <bgColor rgb="00F1F5F9"/>
        </patternFill>
      </fill>
    </dxf>
    <dxf>
      <font>
        <name val="Times New Roman"/>
        <b val="1"/>
        <color rgb="00713F12"/>
      </font>
      <fill>
        <patternFill>
          <bgColor rgb="00FEF9C3"/>
        </patternFill>
      </fill>
    </dxf>
    <dxf>
      <fill>
        <patternFill>
          <bgColor rgb="00DBEDD5"/>
        </patternFill>
      </fill>
    </dxf>
    <dxf>
      <fill>
        <patternFill>
          <bgColor rgb="00A1B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88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Z14" sqref="Z14"/>
    </sheetView>
  </sheetViews>
  <sheetFormatPr baseColWidth="8" defaultRowHeight="14.4"/>
  <cols>
    <col width="7" customWidth="1" min="1" max="1"/>
    <col width="13" customWidth="1" min="2" max="2"/>
    <col width="34.6640625" customWidth="1" min="3" max="3"/>
    <col width="13.44140625" customWidth="1" min="4" max="4"/>
    <col width="4.5546875" customWidth="1" min="5" max="35"/>
    <col width="8" customWidth="1" min="37" max="37"/>
    <col width="5" customWidth="1" min="38" max="38"/>
    <col width="5" customWidth="1" min="39" max="39"/>
    <col width="5" customWidth="1" min="40" max="40"/>
    <col hidden="1" width="13" customWidth="1" min="42" max="42"/>
  </cols>
  <sheetData>
    <row r="1" ht="21" customHeight="1" thickBot="1">
      <c r="A1" s="101" t="inlineStr">
        <is>
          <t>#</t>
        </is>
      </c>
      <c r="B1" s="102" t="inlineStr">
        <is>
          <t>PRN</t>
        </is>
      </c>
      <c r="C1" s="102" t="inlineStr">
        <is>
          <t>NAME</t>
        </is>
      </c>
      <c r="D1" s="102" t="inlineStr">
        <is>
          <t>Posn</t>
        </is>
      </c>
      <c r="E1" s="102" t="inlineStr">
        <is>
          <t>SPV Cabin Employee Roster</t>
        </is>
      </c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4" t="n"/>
      <c r="AD1" s="80" t="inlineStr">
        <is>
          <t>CC: 264</t>
        </is>
      </c>
    </row>
    <row r="2" ht="21" customHeight="1" thickBot="1">
      <c r="A2" s="105" t="n"/>
      <c r="B2" s="105" t="n"/>
      <c r="C2" s="105" t="n"/>
      <c r="D2" s="105" t="n"/>
      <c r="E2" s="106">
        <f>UPPER(TEXT(DATE($AL$5,$AP$2,1),"mmmm yyyy"))</f>
        <v/>
      </c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4" t="n"/>
      <c r="AD2" s="107" t="n"/>
      <c r="AE2" s="108" t="n"/>
      <c r="AF2" s="108" t="n"/>
      <c r="AG2" s="108" t="n"/>
      <c r="AH2" s="108" t="n"/>
      <c r="AI2" s="108" t="n"/>
      <c r="AP2">
        <f>IF(ISNUMBER($AL$4),$AL$4,MATCH(LEFT(UPPER(TRIM($AL$4)),3),{"JAN","FEB","MAR","APR","MAY","JUN","JUL","AUG","SEP","OCT","NOV","DEC"},0))</f>
        <v/>
      </c>
    </row>
    <row r="3" ht="15" customHeight="1" thickBot="1">
      <c r="A3" s="47" t="inlineStr">
        <is>
          <t>CREW 1</t>
        </is>
      </c>
      <c r="E3" s="109">
        <f>IF(1&lt;=DAY(EOMONTH(DATE($AL$5,$AP$2,1),0)),TEXT(DATE($AL$5,$AP$2,1),"ddd"),"")</f>
        <v/>
      </c>
      <c r="F3" s="109">
        <f>IF(2&lt;=DAY(EOMONTH(DATE($AL$5,$AP$2,1),0)),TEXT(DATE($AL$5,$AP$2,2),"ddd"),"")</f>
        <v/>
      </c>
      <c r="G3" s="109">
        <f>IF(3&lt;=DAY(EOMONTH(DATE($AL$5,$AP$2,1),0)),TEXT(DATE($AL$5,$AP$2,3),"ddd"),"")</f>
        <v/>
      </c>
      <c r="H3" s="109">
        <f>IF(4&lt;=DAY(EOMONTH(DATE($AL$5,$AP$2,1),0)),TEXT(DATE($AL$5,$AP$2,4),"ddd"),"")</f>
        <v/>
      </c>
      <c r="I3" s="109">
        <f>IF(5&lt;=DAY(EOMONTH(DATE($AL$5,$AP$2,1),0)),TEXT(DATE($AL$5,$AP$2,5),"ddd"),"")</f>
        <v/>
      </c>
      <c r="J3" s="109">
        <f>IF(6&lt;=DAY(EOMONTH(DATE($AL$5,$AP$2,1),0)),TEXT(DATE($AL$5,$AP$2,6),"ddd"),"")</f>
        <v/>
      </c>
      <c r="K3" s="109">
        <f>IF(7&lt;=DAY(EOMONTH(DATE($AL$5,$AP$2,1),0)),TEXT(DATE($AL$5,$AP$2,7),"ddd"),"")</f>
        <v/>
      </c>
      <c r="L3" s="109">
        <f>IF(8&lt;=DAY(EOMONTH(DATE($AL$5,$AP$2,1),0)),TEXT(DATE($AL$5,$AP$2,8),"ddd"),"")</f>
        <v/>
      </c>
      <c r="M3" s="109">
        <f>IF(9&lt;=DAY(EOMONTH(DATE($AL$5,$AP$2,1),0)),TEXT(DATE($AL$5,$AP$2,9),"ddd"),"")</f>
        <v/>
      </c>
      <c r="N3" s="109">
        <f>IF(10&lt;=DAY(EOMONTH(DATE($AL$5,$AP$2,1),0)),TEXT(DATE($AL$5,$AP$2,10),"ddd"),"")</f>
        <v/>
      </c>
      <c r="O3" s="109">
        <f>IF(11&lt;=DAY(EOMONTH(DATE($AL$5,$AP$2,1),0)),TEXT(DATE($AL$5,$AP$2,11),"ddd"),"")</f>
        <v/>
      </c>
      <c r="P3" s="109">
        <f>IF(12&lt;=DAY(EOMONTH(DATE($AL$5,$AP$2,1),0)),TEXT(DATE($AL$5,$AP$2,12),"ddd"),"")</f>
        <v/>
      </c>
      <c r="Q3" s="109">
        <f>IF(13&lt;=DAY(EOMONTH(DATE($AL$5,$AP$2,1),0)),TEXT(DATE($AL$5,$AP$2,13),"ddd"),"")</f>
        <v/>
      </c>
      <c r="R3" s="109">
        <f>IF(14&lt;=DAY(EOMONTH(DATE($AL$5,$AP$2,1),0)),TEXT(DATE($AL$5,$AP$2,14),"ddd"),"")</f>
        <v/>
      </c>
      <c r="S3" s="109">
        <f>IF(15&lt;=DAY(EOMONTH(DATE($AL$5,$AP$2,1),0)),TEXT(DATE($AL$5,$AP$2,15),"ddd"),"")</f>
        <v/>
      </c>
      <c r="T3" s="109">
        <f>IF(16&lt;=DAY(EOMONTH(DATE($AL$5,$AP$2,1),0)),TEXT(DATE($AL$5,$AP$2,16),"ddd"),"")</f>
        <v/>
      </c>
      <c r="U3" s="109">
        <f>IF(17&lt;=DAY(EOMONTH(DATE($AL$5,$AP$2,1),0)),TEXT(DATE($AL$5,$AP$2,17),"ddd"),"")</f>
        <v/>
      </c>
      <c r="V3" s="109">
        <f>IF(18&lt;=DAY(EOMONTH(DATE($AL$5,$AP$2,1),0)),TEXT(DATE($AL$5,$AP$2,18),"ddd"),"")</f>
        <v/>
      </c>
      <c r="W3" s="109">
        <f>IF(19&lt;=DAY(EOMONTH(DATE($AL$5,$AP$2,1),0)),TEXT(DATE($AL$5,$AP$2,19),"ddd"),"")</f>
        <v/>
      </c>
      <c r="X3" s="109">
        <f>IF(20&lt;=DAY(EOMONTH(DATE($AL$5,$AP$2,1),0)),TEXT(DATE($AL$5,$AP$2,20),"ddd"),"")</f>
        <v/>
      </c>
      <c r="Y3" s="109">
        <f>IF(21&lt;=DAY(EOMONTH(DATE($AL$5,$AP$2,1),0)),TEXT(DATE($AL$5,$AP$2,21),"ddd"),"")</f>
        <v/>
      </c>
      <c r="Z3" s="109">
        <f>IF(22&lt;=DAY(EOMONTH(DATE($AL$5,$AP$2,1),0)),TEXT(DATE($AL$5,$AP$2,22),"ddd"),"")</f>
        <v/>
      </c>
      <c r="AA3" s="109">
        <f>IF(23&lt;=DAY(EOMONTH(DATE($AL$5,$AP$2,1),0)),TEXT(DATE($AL$5,$AP$2,23),"ddd"),"")</f>
        <v/>
      </c>
      <c r="AB3" s="109">
        <f>IF(24&lt;=DAY(EOMONTH(DATE($AL$5,$AP$2,1),0)),TEXT(DATE($AL$5,$AP$2,24),"ddd"),"")</f>
        <v/>
      </c>
      <c r="AC3" s="109">
        <f>IF(25&lt;=DAY(EOMONTH(DATE($AL$5,$AP$2,1),0)),TEXT(DATE($AL$5,$AP$2,25),"ddd"),"")</f>
        <v/>
      </c>
      <c r="AD3" s="109">
        <f>IF(26&lt;=DAY(EOMONTH(DATE($AL$5,$AP$2,1),0)),TEXT(DATE($AL$5,$AP$2,26),"ddd"),"")</f>
        <v/>
      </c>
      <c r="AE3" s="109">
        <f>IF(27&lt;=DAY(EOMONTH(DATE($AL$5,$AP$2,1),0)),TEXT(DATE($AL$5,$AP$2,27),"ddd"),"")</f>
        <v/>
      </c>
      <c r="AF3" s="109">
        <f>IF(28&lt;=DAY(EOMONTH(DATE($AL$5,$AP$2,1),0)),TEXT(DATE($AL$5,$AP$2,28),"ddd"),"")</f>
        <v/>
      </c>
      <c r="AG3" s="109">
        <f>IF(29&lt;=DAY(EOMONTH(DATE($AL$5,$AP$2,1),0)),TEXT(DATE($AL$5,$AP$2,29),"ddd"),"")</f>
        <v/>
      </c>
      <c r="AH3" s="109">
        <f>IF(30&lt;=DAY(EOMONTH(DATE($AL$5,$AP$2,1),0)),TEXT(DATE($AL$5,$AP$2,30),"ddd"),"")</f>
        <v/>
      </c>
      <c r="AI3" s="109">
        <f>IF(31&lt;=DAY(EOMONTH(DATE($AL$5,$AP$2,1),0)),TEXT(DATE($AL$5,$AP$2,31),"ddd"),"")</f>
        <v/>
      </c>
      <c r="AK3" s="110" t="inlineStr">
        <is>
          <t>ROSTER PERIOD</t>
        </is>
      </c>
    </row>
    <row r="4" ht="16.2" customHeight="1" thickBot="1">
      <c r="A4" s="111" t="n"/>
      <c r="E4" s="112">
        <f>IF(1&lt;=DAY(EOMONTH(DATE($AL$5,$AP$2,1),0)),1,"")</f>
        <v/>
      </c>
      <c r="F4" s="112">
        <f>IF(2&lt;=DAY(EOMONTH(DATE($AL$5,$AP$2,1),0)),2,"")</f>
        <v/>
      </c>
      <c r="G4" s="112">
        <f>IF(3&lt;=DAY(EOMONTH(DATE($AL$5,$AP$2,1),0)),3,"")</f>
        <v/>
      </c>
      <c r="H4" s="112">
        <f>IF(4&lt;=DAY(EOMONTH(DATE($AL$5,$AP$2,1),0)),4,"")</f>
        <v/>
      </c>
      <c r="I4" s="112">
        <f>IF(5&lt;=DAY(EOMONTH(DATE($AL$5,$AP$2,1),0)),5,"")</f>
        <v/>
      </c>
      <c r="J4" s="112">
        <f>IF(6&lt;=DAY(EOMONTH(DATE($AL$5,$AP$2,1),0)),6,"")</f>
        <v/>
      </c>
      <c r="K4" s="112">
        <f>IF(7&lt;=DAY(EOMONTH(DATE($AL$5,$AP$2,1),0)),7,"")</f>
        <v/>
      </c>
      <c r="L4" s="112">
        <f>IF(8&lt;=DAY(EOMONTH(DATE($AL$5,$AP$2,1),0)),8,"")</f>
        <v/>
      </c>
      <c r="M4" s="112">
        <f>IF(9&lt;=DAY(EOMONTH(DATE($AL$5,$AP$2,1),0)),9,"")</f>
        <v/>
      </c>
      <c r="N4" s="112">
        <f>IF(10&lt;=DAY(EOMONTH(DATE($AL$5,$AP$2,1),0)),10,"")</f>
        <v/>
      </c>
      <c r="O4" s="112">
        <f>IF(11&lt;=DAY(EOMONTH(DATE($AL$5,$AP$2,1),0)),11,"")</f>
        <v/>
      </c>
      <c r="P4" s="112">
        <f>IF(12&lt;=DAY(EOMONTH(DATE($AL$5,$AP$2,1),0)),12,"")</f>
        <v/>
      </c>
      <c r="Q4" s="112">
        <f>IF(13&lt;=DAY(EOMONTH(DATE($AL$5,$AP$2,1),0)),13,"")</f>
        <v/>
      </c>
      <c r="R4" s="112">
        <f>IF(14&lt;=DAY(EOMONTH(DATE($AL$5,$AP$2,1),0)),14,"")</f>
        <v/>
      </c>
      <c r="S4" s="112">
        <f>IF(15&lt;=DAY(EOMONTH(DATE($AL$5,$AP$2,1),0)),15,"")</f>
        <v/>
      </c>
      <c r="T4" s="112">
        <f>IF(16&lt;=DAY(EOMONTH(DATE($AL$5,$AP$2,1),0)),16,"")</f>
        <v/>
      </c>
      <c r="U4" s="112">
        <f>IF(17&lt;=DAY(EOMONTH(DATE($AL$5,$AP$2,1),0)),17,"")</f>
        <v/>
      </c>
      <c r="V4" s="112">
        <f>IF(18&lt;=DAY(EOMONTH(DATE($AL$5,$AP$2,1),0)),18,"")</f>
        <v/>
      </c>
      <c r="W4" s="112">
        <f>IF(19&lt;=DAY(EOMONTH(DATE($AL$5,$AP$2,1),0)),19,"")</f>
        <v/>
      </c>
      <c r="X4" s="112">
        <f>IF(20&lt;=DAY(EOMONTH(DATE($AL$5,$AP$2,1),0)),20,"")</f>
        <v/>
      </c>
      <c r="Y4" s="112">
        <f>IF(21&lt;=DAY(EOMONTH(DATE($AL$5,$AP$2,1),0)),21,"")</f>
        <v/>
      </c>
      <c r="Z4" s="112">
        <f>IF(22&lt;=DAY(EOMONTH(DATE($AL$5,$AP$2,1),0)),22,"")</f>
        <v/>
      </c>
      <c r="AA4" s="112">
        <f>IF(23&lt;=DAY(EOMONTH(DATE($AL$5,$AP$2,1),0)),23,"")</f>
        <v/>
      </c>
      <c r="AB4" s="112">
        <f>IF(24&lt;=DAY(EOMONTH(DATE($AL$5,$AP$2,1),0)),24,"")</f>
        <v/>
      </c>
      <c r="AC4" s="112">
        <f>IF(25&lt;=DAY(EOMONTH(DATE($AL$5,$AP$2,1),0)),25,"")</f>
        <v/>
      </c>
      <c r="AD4" s="112">
        <f>IF(26&lt;=DAY(EOMONTH(DATE($AL$5,$AP$2,1),0)),26,"")</f>
        <v/>
      </c>
      <c r="AE4" s="112">
        <f>IF(27&lt;=DAY(EOMONTH(DATE($AL$5,$AP$2,1),0)),27,"")</f>
        <v/>
      </c>
      <c r="AF4" s="112">
        <f>IF(28&lt;=DAY(EOMONTH(DATE($AL$5,$AP$2,1),0)),28,"")</f>
        <v/>
      </c>
      <c r="AG4" s="112">
        <f>IF(29&lt;=DAY(EOMONTH(DATE($AL$5,$AP$2,1),0)),29,"")</f>
        <v/>
      </c>
      <c r="AH4" s="112">
        <f>IF(30&lt;=DAY(EOMONTH(DATE($AL$5,$AP$2,1),0)),30,"")</f>
        <v/>
      </c>
      <c r="AI4" s="112">
        <f>IF(31&lt;=DAY(EOMONTH(DATE($AL$5,$AP$2,1),0)),31,"")</f>
        <v/>
      </c>
      <c r="AK4" s="113" t="inlineStr">
        <is>
          <t>MONTH</t>
        </is>
      </c>
      <c r="AL4" s="114" t="inlineStr">
        <is>
          <t>JUL</t>
        </is>
      </c>
      <c r="AM4" s="146" t="n"/>
      <c r="AN4" s="147" t="n"/>
    </row>
    <row r="5" ht="16.2" customHeight="1" thickBot="1">
      <c r="A5" s="5" t="n">
        <v>1</v>
      </c>
      <c r="B5" s="37" t="n"/>
      <c r="C5" s="37" t="n"/>
      <c r="D5" s="40" t="n"/>
      <c r="E5" s="6" t="n"/>
      <c r="F5" s="6" t="n"/>
      <c r="G5" s="7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26" t="n"/>
      <c r="AI5" s="23" t="n"/>
      <c r="AK5" s="113" t="inlineStr">
        <is>
          <t>YEAR</t>
        </is>
      </c>
      <c r="AL5" s="114" t="n">
        <v>2026</v>
      </c>
      <c r="AM5" s="146" t="n"/>
      <c r="AN5" s="147" t="n"/>
    </row>
    <row r="6" ht="16.2" customHeight="1" thickBot="1">
      <c r="A6" s="5" t="n">
        <v>2</v>
      </c>
      <c r="B6" s="37" t="n"/>
      <c r="C6" s="37" t="n"/>
      <c r="D6" s="37" t="n"/>
      <c r="E6" s="6" t="n"/>
      <c r="F6" s="6" t="n"/>
      <c r="G6" s="7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26" t="n"/>
      <c r="AI6" s="23" t="n"/>
      <c r="AK6" s="115" t="inlineStr">
        <is>
          <t>type JUL / JULY / 7</t>
        </is>
      </c>
    </row>
    <row r="7" ht="16.2" customHeight="1" thickBot="1">
      <c r="A7" s="5" t="n">
        <v>3</v>
      </c>
      <c r="B7" s="36" t="n"/>
      <c r="C7" s="37" t="n"/>
      <c r="D7" s="37" t="n"/>
      <c r="E7" s="6" t="n"/>
      <c r="F7" s="6" t="n"/>
      <c r="G7" s="7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26" t="n"/>
      <c r="AI7" s="23" t="n"/>
    </row>
    <row r="8" ht="16.2" customHeight="1" thickBot="1">
      <c r="A8" s="5" t="n">
        <v>4</v>
      </c>
      <c r="B8" s="37" t="n"/>
      <c r="C8" s="37" t="n"/>
      <c r="D8" s="37" t="n"/>
      <c r="E8" s="6" t="n"/>
      <c r="F8" s="6" t="n"/>
      <c r="G8" s="7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26" t="n"/>
      <c r="AI8" s="23" t="n"/>
    </row>
    <row r="9" ht="16.2" customHeight="1" thickBot="1">
      <c r="A9" s="5" t="n">
        <v>5</v>
      </c>
      <c r="B9" s="36" t="n"/>
      <c r="C9" s="36" t="n"/>
      <c r="D9" s="37" t="n"/>
      <c r="E9" s="6" t="n"/>
      <c r="F9" s="6" t="n"/>
      <c r="G9" s="7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26" t="n"/>
      <c r="AI9" s="23" t="n"/>
    </row>
    <row r="10" ht="16.2" customHeight="1" thickBot="1">
      <c r="A10" s="10" t="n">
        <v>6</v>
      </c>
      <c r="B10" s="37" t="n"/>
      <c r="C10" s="37" t="n"/>
      <c r="D10" s="37" t="n"/>
      <c r="E10" s="6" t="n"/>
      <c r="F10" s="6" t="n"/>
      <c r="G10" s="7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26" t="n"/>
      <c r="AI10" s="23" t="n"/>
    </row>
    <row r="11" ht="16.2" customHeight="1" thickBot="1">
      <c r="A11" s="10" t="n">
        <v>7</v>
      </c>
      <c r="B11" s="37" t="n"/>
      <c r="C11" s="37" t="n"/>
      <c r="D11" s="37" t="n"/>
      <c r="E11" s="6" t="n"/>
      <c r="F11" s="6" t="n"/>
      <c r="G11" s="7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26" t="n"/>
      <c r="AI11" s="23" t="n"/>
    </row>
    <row r="12" ht="16.2" customHeight="1" thickBot="1">
      <c r="A12" s="10" t="n">
        <v>8</v>
      </c>
      <c r="B12" s="37" t="n"/>
      <c r="C12" s="37" t="n"/>
      <c r="D12" s="37" t="n"/>
      <c r="E12" s="6" t="n"/>
      <c r="F12" s="6" t="n"/>
      <c r="G12" s="7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26" t="n"/>
      <c r="AI12" s="23" t="n"/>
    </row>
    <row r="13" ht="16.2" customHeight="1" thickBot="1">
      <c r="A13" s="10" t="n">
        <v>9</v>
      </c>
      <c r="B13" s="37" t="n"/>
      <c r="C13" s="37" t="n"/>
      <c r="D13" s="37" t="n"/>
      <c r="E13" s="6" t="n"/>
      <c r="F13" s="6" t="n"/>
      <c r="G13" s="7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26" t="n"/>
      <c r="AI13" s="23" t="n"/>
    </row>
    <row r="14" ht="16.2" customHeight="1" thickBot="1">
      <c r="A14" s="10" t="n">
        <v>10</v>
      </c>
      <c r="B14" s="37" t="n"/>
      <c r="C14" s="37" t="n"/>
      <c r="D14" s="37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23" t="n"/>
    </row>
    <row r="15" ht="16.2" customHeight="1" thickBot="1">
      <c r="A15" s="10" t="n">
        <v>11</v>
      </c>
      <c r="B15" s="37" t="n"/>
      <c r="C15" s="37" t="n"/>
      <c r="D15" s="37" t="n"/>
      <c r="E15" s="6" t="n"/>
      <c r="F15" s="6" t="n"/>
      <c r="G15" s="7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26" t="n"/>
      <c r="AI15" s="23" t="n"/>
    </row>
    <row r="16" ht="16.2" customHeight="1" thickBot="1">
      <c r="A16" s="8" t="n">
        <v>12</v>
      </c>
      <c r="B16" s="36" t="n"/>
      <c r="C16" s="36" t="n"/>
      <c r="D16" s="39" t="n"/>
      <c r="E16" s="6" t="n"/>
      <c r="F16" s="6" t="n"/>
      <c r="G16" s="7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26" t="n"/>
      <c r="AI16" s="23" t="n"/>
    </row>
    <row r="17" ht="16.2" customHeight="1" thickBot="1">
      <c r="A17" s="8" t="n">
        <v>13</v>
      </c>
      <c r="B17" s="36" t="n"/>
      <c r="C17" s="36" t="n"/>
      <c r="D17" s="37" t="n"/>
      <c r="E17" s="6" t="n"/>
      <c r="F17" s="6" t="n"/>
      <c r="G17" s="7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26" t="n"/>
      <c r="AI17" s="23" t="n"/>
    </row>
    <row r="18" ht="16.2" customHeight="1" thickBot="1">
      <c r="A18" s="8" t="n">
        <v>14</v>
      </c>
      <c r="B18" s="36" t="n"/>
      <c r="C18" s="36" t="n"/>
      <c r="D18" s="39" t="n"/>
      <c r="E18" s="6" t="n"/>
      <c r="F18" s="6" t="n"/>
      <c r="G18" s="7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26" t="n"/>
      <c r="AI18" s="23" t="n"/>
    </row>
    <row r="19" ht="16.2" customHeight="1" thickBot="1">
      <c r="A19" s="8" t="n">
        <v>15</v>
      </c>
      <c r="B19" s="36" t="n"/>
      <c r="C19" s="36" t="n"/>
      <c r="D19" s="37" t="n"/>
      <c r="E19" s="6" t="n"/>
      <c r="F19" s="6" t="n"/>
      <c r="G19" s="7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26" t="n"/>
      <c r="AI19" s="23" t="n"/>
    </row>
    <row r="20" ht="16.2" customHeight="1" thickBot="1">
      <c r="A20" s="8" t="n">
        <v>16</v>
      </c>
      <c r="B20" s="36" t="n"/>
      <c r="C20" s="36" t="n"/>
      <c r="D20" s="37" t="n"/>
      <c r="E20" s="27" t="n"/>
      <c r="F20" s="27" t="n"/>
      <c r="G20" s="28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9" t="n"/>
      <c r="AI20" s="23" t="n"/>
    </row>
    <row r="21" ht="16.2" customHeight="1" thickBot="1">
      <c r="A21" s="12" t="n"/>
      <c r="C21" s="13" t="n"/>
      <c r="D21" s="13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 ht="15" customHeight="1" thickBot="1">
      <c r="A22" s="74" t="inlineStr">
        <is>
          <t>CREW 2</t>
        </is>
      </c>
      <c r="B22" s="116" t="n"/>
      <c r="C22" s="116" t="n"/>
      <c r="D22" s="116" t="n"/>
      <c r="E22" s="109">
        <f>IF(1&lt;=DAY(EOMONTH(DATE($AL$5,$AP$2,1),0)),TEXT(DATE($AL$5,$AP$2,1),"ddd"),"")</f>
        <v/>
      </c>
      <c r="F22" s="109">
        <f>IF(2&lt;=DAY(EOMONTH(DATE($AL$5,$AP$2,1),0)),TEXT(DATE($AL$5,$AP$2,2),"ddd"),"")</f>
        <v/>
      </c>
      <c r="G22" s="109">
        <f>IF(3&lt;=DAY(EOMONTH(DATE($AL$5,$AP$2,1),0)),TEXT(DATE($AL$5,$AP$2,3),"ddd"),"")</f>
        <v/>
      </c>
      <c r="H22" s="109">
        <f>IF(4&lt;=DAY(EOMONTH(DATE($AL$5,$AP$2,1),0)),TEXT(DATE($AL$5,$AP$2,4),"ddd"),"")</f>
        <v/>
      </c>
      <c r="I22" s="109">
        <f>IF(5&lt;=DAY(EOMONTH(DATE($AL$5,$AP$2,1),0)),TEXT(DATE($AL$5,$AP$2,5),"ddd"),"")</f>
        <v/>
      </c>
      <c r="J22" s="109">
        <f>IF(6&lt;=DAY(EOMONTH(DATE($AL$5,$AP$2,1),0)),TEXT(DATE($AL$5,$AP$2,6),"ddd"),"")</f>
        <v/>
      </c>
      <c r="K22" s="109">
        <f>IF(7&lt;=DAY(EOMONTH(DATE($AL$5,$AP$2,1),0)),TEXT(DATE($AL$5,$AP$2,7),"ddd"),"")</f>
        <v/>
      </c>
      <c r="L22" s="109">
        <f>IF(8&lt;=DAY(EOMONTH(DATE($AL$5,$AP$2,1),0)),TEXT(DATE($AL$5,$AP$2,8),"ddd"),"")</f>
        <v/>
      </c>
      <c r="M22" s="109">
        <f>IF(9&lt;=DAY(EOMONTH(DATE($AL$5,$AP$2,1),0)),TEXT(DATE($AL$5,$AP$2,9),"ddd"),"")</f>
        <v/>
      </c>
      <c r="N22" s="109">
        <f>IF(10&lt;=DAY(EOMONTH(DATE($AL$5,$AP$2,1),0)),TEXT(DATE($AL$5,$AP$2,10),"ddd"),"")</f>
        <v/>
      </c>
      <c r="O22" s="109">
        <f>IF(11&lt;=DAY(EOMONTH(DATE($AL$5,$AP$2,1),0)),TEXT(DATE($AL$5,$AP$2,11),"ddd"),"")</f>
        <v/>
      </c>
      <c r="P22" s="109">
        <f>IF(12&lt;=DAY(EOMONTH(DATE($AL$5,$AP$2,1),0)),TEXT(DATE($AL$5,$AP$2,12),"ddd"),"")</f>
        <v/>
      </c>
      <c r="Q22" s="109">
        <f>IF(13&lt;=DAY(EOMONTH(DATE($AL$5,$AP$2,1),0)),TEXT(DATE($AL$5,$AP$2,13),"ddd"),"")</f>
        <v/>
      </c>
      <c r="R22" s="109">
        <f>IF(14&lt;=DAY(EOMONTH(DATE($AL$5,$AP$2,1),0)),TEXT(DATE($AL$5,$AP$2,14),"ddd"),"")</f>
        <v/>
      </c>
      <c r="S22" s="109">
        <f>IF(15&lt;=DAY(EOMONTH(DATE($AL$5,$AP$2,1),0)),TEXT(DATE($AL$5,$AP$2,15),"ddd"),"")</f>
        <v/>
      </c>
      <c r="T22" s="109">
        <f>IF(16&lt;=DAY(EOMONTH(DATE($AL$5,$AP$2,1),0)),TEXT(DATE($AL$5,$AP$2,16),"ddd"),"")</f>
        <v/>
      </c>
      <c r="U22" s="109">
        <f>IF(17&lt;=DAY(EOMONTH(DATE($AL$5,$AP$2,1),0)),TEXT(DATE($AL$5,$AP$2,17),"ddd"),"")</f>
        <v/>
      </c>
      <c r="V22" s="109">
        <f>IF(18&lt;=DAY(EOMONTH(DATE($AL$5,$AP$2,1),0)),TEXT(DATE($AL$5,$AP$2,18),"ddd"),"")</f>
        <v/>
      </c>
      <c r="W22" s="109">
        <f>IF(19&lt;=DAY(EOMONTH(DATE($AL$5,$AP$2,1),0)),TEXT(DATE($AL$5,$AP$2,19),"ddd"),"")</f>
        <v/>
      </c>
      <c r="X22" s="109">
        <f>IF(20&lt;=DAY(EOMONTH(DATE($AL$5,$AP$2,1),0)),TEXT(DATE($AL$5,$AP$2,20),"ddd"),"")</f>
        <v/>
      </c>
      <c r="Y22" s="109">
        <f>IF(21&lt;=DAY(EOMONTH(DATE($AL$5,$AP$2,1),0)),TEXT(DATE($AL$5,$AP$2,21),"ddd"),"")</f>
        <v/>
      </c>
      <c r="Z22" s="109">
        <f>IF(22&lt;=DAY(EOMONTH(DATE($AL$5,$AP$2,1),0)),TEXT(DATE($AL$5,$AP$2,22),"ddd"),"")</f>
        <v/>
      </c>
      <c r="AA22" s="109">
        <f>IF(23&lt;=DAY(EOMONTH(DATE($AL$5,$AP$2,1),0)),TEXT(DATE($AL$5,$AP$2,23),"ddd"),"")</f>
        <v/>
      </c>
      <c r="AB22" s="109">
        <f>IF(24&lt;=DAY(EOMONTH(DATE($AL$5,$AP$2,1),0)),TEXT(DATE($AL$5,$AP$2,24),"ddd"),"")</f>
        <v/>
      </c>
      <c r="AC22" s="109">
        <f>IF(25&lt;=DAY(EOMONTH(DATE($AL$5,$AP$2,1),0)),TEXT(DATE($AL$5,$AP$2,25),"ddd"),"")</f>
        <v/>
      </c>
      <c r="AD22" s="109">
        <f>IF(26&lt;=DAY(EOMONTH(DATE($AL$5,$AP$2,1),0)),TEXT(DATE($AL$5,$AP$2,26),"ddd"),"")</f>
        <v/>
      </c>
      <c r="AE22" s="109">
        <f>IF(27&lt;=DAY(EOMONTH(DATE($AL$5,$AP$2,1),0)),TEXT(DATE($AL$5,$AP$2,27),"ddd"),"")</f>
        <v/>
      </c>
      <c r="AF22" s="109">
        <f>IF(28&lt;=DAY(EOMONTH(DATE($AL$5,$AP$2,1),0)),TEXT(DATE($AL$5,$AP$2,28),"ddd"),"")</f>
        <v/>
      </c>
      <c r="AG22" s="109">
        <f>IF(29&lt;=DAY(EOMONTH(DATE($AL$5,$AP$2,1),0)),TEXT(DATE($AL$5,$AP$2,29),"ddd"),"")</f>
        <v/>
      </c>
      <c r="AH22" s="109">
        <f>IF(30&lt;=DAY(EOMONTH(DATE($AL$5,$AP$2,1),0)),TEXT(DATE($AL$5,$AP$2,30),"ddd"),"")</f>
        <v/>
      </c>
      <c r="AI22" s="109">
        <f>IF(31&lt;=DAY(EOMONTH(DATE($AL$5,$AP$2,1),0)),TEXT(DATE($AL$5,$AP$2,31),"ddd"),"")</f>
        <v/>
      </c>
    </row>
    <row r="23" ht="16.2" customHeight="1" thickBot="1">
      <c r="A23" s="117" t="n"/>
      <c r="B23" s="118" t="n"/>
      <c r="C23" s="118" t="n"/>
      <c r="D23" s="118" t="n"/>
      <c r="E23" s="112">
        <f>IF(1&lt;=DAY(EOMONTH(DATE($AL$5,$AP$2,1),0)),1,"")</f>
        <v/>
      </c>
      <c r="F23" s="112">
        <f>IF(2&lt;=DAY(EOMONTH(DATE($AL$5,$AP$2,1),0)),2,"")</f>
        <v/>
      </c>
      <c r="G23" s="112">
        <f>IF(3&lt;=DAY(EOMONTH(DATE($AL$5,$AP$2,1),0)),3,"")</f>
        <v/>
      </c>
      <c r="H23" s="112">
        <f>IF(4&lt;=DAY(EOMONTH(DATE($AL$5,$AP$2,1),0)),4,"")</f>
        <v/>
      </c>
      <c r="I23" s="112">
        <f>IF(5&lt;=DAY(EOMONTH(DATE($AL$5,$AP$2,1),0)),5,"")</f>
        <v/>
      </c>
      <c r="J23" s="112">
        <f>IF(6&lt;=DAY(EOMONTH(DATE($AL$5,$AP$2,1),0)),6,"")</f>
        <v/>
      </c>
      <c r="K23" s="112">
        <f>IF(7&lt;=DAY(EOMONTH(DATE($AL$5,$AP$2,1),0)),7,"")</f>
        <v/>
      </c>
      <c r="L23" s="112">
        <f>IF(8&lt;=DAY(EOMONTH(DATE($AL$5,$AP$2,1),0)),8,"")</f>
        <v/>
      </c>
      <c r="M23" s="112">
        <f>IF(9&lt;=DAY(EOMONTH(DATE($AL$5,$AP$2,1),0)),9,"")</f>
        <v/>
      </c>
      <c r="N23" s="112">
        <f>IF(10&lt;=DAY(EOMONTH(DATE($AL$5,$AP$2,1),0)),10,"")</f>
        <v/>
      </c>
      <c r="O23" s="112">
        <f>IF(11&lt;=DAY(EOMONTH(DATE($AL$5,$AP$2,1),0)),11,"")</f>
        <v/>
      </c>
      <c r="P23" s="112">
        <f>IF(12&lt;=DAY(EOMONTH(DATE($AL$5,$AP$2,1),0)),12,"")</f>
        <v/>
      </c>
      <c r="Q23" s="112">
        <f>IF(13&lt;=DAY(EOMONTH(DATE($AL$5,$AP$2,1),0)),13,"")</f>
        <v/>
      </c>
      <c r="R23" s="112">
        <f>IF(14&lt;=DAY(EOMONTH(DATE($AL$5,$AP$2,1),0)),14,"")</f>
        <v/>
      </c>
      <c r="S23" s="112">
        <f>IF(15&lt;=DAY(EOMONTH(DATE($AL$5,$AP$2,1),0)),15,"")</f>
        <v/>
      </c>
      <c r="T23" s="112">
        <f>IF(16&lt;=DAY(EOMONTH(DATE($AL$5,$AP$2,1),0)),16,"")</f>
        <v/>
      </c>
      <c r="U23" s="112">
        <f>IF(17&lt;=DAY(EOMONTH(DATE($AL$5,$AP$2,1),0)),17,"")</f>
        <v/>
      </c>
      <c r="V23" s="112">
        <f>IF(18&lt;=DAY(EOMONTH(DATE($AL$5,$AP$2,1),0)),18,"")</f>
        <v/>
      </c>
      <c r="W23" s="112">
        <f>IF(19&lt;=DAY(EOMONTH(DATE($AL$5,$AP$2,1),0)),19,"")</f>
        <v/>
      </c>
      <c r="X23" s="112">
        <f>IF(20&lt;=DAY(EOMONTH(DATE($AL$5,$AP$2,1),0)),20,"")</f>
        <v/>
      </c>
      <c r="Y23" s="112">
        <f>IF(21&lt;=DAY(EOMONTH(DATE($AL$5,$AP$2,1),0)),21,"")</f>
        <v/>
      </c>
      <c r="Z23" s="112">
        <f>IF(22&lt;=DAY(EOMONTH(DATE($AL$5,$AP$2,1),0)),22,"")</f>
        <v/>
      </c>
      <c r="AA23" s="112">
        <f>IF(23&lt;=DAY(EOMONTH(DATE($AL$5,$AP$2,1),0)),23,"")</f>
        <v/>
      </c>
      <c r="AB23" s="112">
        <f>IF(24&lt;=DAY(EOMONTH(DATE($AL$5,$AP$2,1),0)),24,"")</f>
        <v/>
      </c>
      <c r="AC23" s="112">
        <f>IF(25&lt;=DAY(EOMONTH(DATE($AL$5,$AP$2,1),0)),25,"")</f>
        <v/>
      </c>
      <c r="AD23" s="112">
        <f>IF(26&lt;=DAY(EOMONTH(DATE($AL$5,$AP$2,1),0)),26,"")</f>
        <v/>
      </c>
      <c r="AE23" s="112">
        <f>IF(27&lt;=DAY(EOMONTH(DATE($AL$5,$AP$2,1),0)),27,"")</f>
        <v/>
      </c>
      <c r="AF23" s="112">
        <f>IF(28&lt;=DAY(EOMONTH(DATE($AL$5,$AP$2,1),0)),28,"")</f>
        <v/>
      </c>
      <c r="AG23" s="112">
        <f>IF(29&lt;=DAY(EOMONTH(DATE($AL$5,$AP$2,1),0)),29,"")</f>
        <v/>
      </c>
      <c r="AH23" s="112">
        <f>IF(30&lt;=DAY(EOMONTH(DATE($AL$5,$AP$2,1),0)),30,"")</f>
        <v/>
      </c>
      <c r="AI23" s="112">
        <f>IF(31&lt;=DAY(EOMONTH(DATE($AL$5,$AP$2,1),0)),31,"")</f>
        <v/>
      </c>
    </row>
    <row r="24" ht="16.2" customHeight="1" thickBot="1">
      <c r="A24" s="5" t="n">
        <v>1</v>
      </c>
      <c r="B24" s="37" t="n"/>
      <c r="C24" s="37" t="n"/>
      <c r="D24" s="3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26" t="n"/>
    </row>
    <row r="25" ht="16.2" customHeight="1" thickBot="1">
      <c r="A25" s="5" t="n">
        <v>2</v>
      </c>
      <c r="B25" s="37" t="n"/>
      <c r="C25" s="37" t="n"/>
      <c r="D25" s="37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26" t="n"/>
    </row>
    <row r="26" ht="16.2" customHeight="1" thickBot="1">
      <c r="A26" s="5" t="n">
        <v>3</v>
      </c>
      <c r="B26" s="36" t="n"/>
      <c r="C26" s="36" t="n"/>
      <c r="D26" s="40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26" t="n"/>
    </row>
    <row r="27" ht="16.2" customHeight="1" thickBot="1">
      <c r="A27" s="5" t="n">
        <v>4</v>
      </c>
      <c r="B27" s="36" t="n"/>
      <c r="C27" s="36" t="n"/>
      <c r="D27" s="40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26" t="n"/>
    </row>
    <row r="28" ht="16.2" customHeight="1" thickBot="1">
      <c r="A28" s="5" t="n">
        <v>5</v>
      </c>
      <c r="B28" s="36" t="n"/>
      <c r="C28" s="36" t="n"/>
      <c r="D28" s="40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26" t="n"/>
    </row>
    <row r="29" ht="16.2" customHeight="1" thickBot="1">
      <c r="A29" s="10" t="n">
        <v>6</v>
      </c>
      <c r="B29" s="37" t="n"/>
      <c r="C29" s="37" t="n"/>
      <c r="D29" s="37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26" t="n"/>
    </row>
    <row r="30" ht="16.2" customHeight="1" thickBot="1">
      <c r="A30" s="10" t="n">
        <v>7</v>
      </c>
      <c r="B30" s="37" t="n"/>
      <c r="C30" s="37" t="n"/>
      <c r="D30" s="37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26" t="n"/>
    </row>
    <row r="31" ht="16.2" customHeight="1" thickBot="1">
      <c r="A31" s="10" t="n">
        <v>8</v>
      </c>
      <c r="B31" s="37" t="n"/>
      <c r="C31" s="37" t="n"/>
      <c r="D31" s="3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26" t="n"/>
    </row>
    <row r="32" ht="16.2" customHeight="1" thickBot="1">
      <c r="A32" s="10" t="n">
        <v>9</v>
      </c>
      <c r="B32" s="37" t="n"/>
      <c r="C32" s="37" t="n"/>
      <c r="D32" s="3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26" t="n"/>
    </row>
    <row r="33" ht="16.2" customHeight="1" thickBot="1">
      <c r="A33" s="10" t="n">
        <v>10</v>
      </c>
      <c r="B33" s="37" t="n"/>
      <c r="C33" s="37" t="n"/>
      <c r="D33" s="37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26" t="n"/>
    </row>
    <row r="34" ht="16.2" customHeight="1" thickBot="1">
      <c r="A34" s="10" t="n">
        <v>11</v>
      </c>
      <c r="B34" s="37" t="n"/>
      <c r="C34" s="37" t="n"/>
      <c r="D34" s="37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26" t="n"/>
    </row>
    <row r="35" ht="16.2" customHeight="1" thickBot="1">
      <c r="A35" s="10" t="n">
        <v>12</v>
      </c>
      <c r="B35" s="37" t="n"/>
      <c r="C35" s="37" t="n"/>
      <c r="D35" s="37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26" t="n"/>
    </row>
    <row r="36" ht="16.2" customHeight="1" thickBot="1">
      <c r="A36" s="10" t="n">
        <v>13</v>
      </c>
      <c r="B36" s="37" t="n"/>
      <c r="C36" s="37" t="n"/>
      <c r="D36" s="37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26" t="n"/>
    </row>
    <row r="37" ht="16.2" customHeight="1" thickBot="1">
      <c r="A37" s="8" t="n">
        <v>14</v>
      </c>
      <c r="B37" s="36" t="n"/>
      <c r="C37" s="36" t="n"/>
      <c r="D37" s="3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26" t="n"/>
    </row>
    <row r="38" ht="16.2" customHeight="1" thickBot="1">
      <c r="A38" s="8" t="n">
        <v>15</v>
      </c>
      <c r="B38" s="36" t="n"/>
      <c r="C38" s="36" t="n"/>
      <c r="D38" s="3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26" t="n"/>
    </row>
    <row r="39" ht="16.2" customHeight="1" thickBot="1">
      <c r="A39" s="8" t="n">
        <v>16</v>
      </c>
      <c r="B39" s="36" t="n"/>
      <c r="C39" s="36" t="n"/>
      <c r="D39" s="3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26" t="n"/>
    </row>
    <row r="40" ht="16.2" customHeight="1" thickBot="1">
      <c r="A40" s="8" t="n">
        <v>17</v>
      </c>
      <c r="B40" s="36" t="n"/>
      <c r="C40" s="36" t="n"/>
      <c r="D40" s="36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9" t="n"/>
    </row>
    <row r="41" ht="15" customHeight="1" thickBot="1"/>
    <row r="42" ht="15" customHeight="1" thickBot="1">
      <c r="A42" s="119" t="inlineStr">
        <is>
          <t>SPECIAL SHIFTING</t>
        </is>
      </c>
      <c r="B42" s="116" t="n"/>
      <c r="C42" s="116" t="n"/>
      <c r="D42" s="120" t="n"/>
      <c r="E42" s="109">
        <f>IF(1&lt;=DAY(EOMONTH(DATE($AL$5,$AP$2,1),0)),TEXT(DATE($AL$5,$AP$2,1),"ddd"),"")</f>
        <v/>
      </c>
      <c r="F42" s="109">
        <f>IF(2&lt;=DAY(EOMONTH(DATE($AL$5,$AP$2,1),0)),TEXT(DATE($AL$5,$AP$2,2),"ddd"),"")</f>
        <v/>
      </c>
      <c r="G42" s="109">
        <f>IF(3&lt;=DAY(EOMONTH(DATE($AL$5,$AP$2,1),0)),TEXT(DATE($AL$5,$AP$2,3),"ddd"),"")</f>
        <v/>
      </c>
      <c r="H42" s="109">
        <f>IF(4&lt;=DAY(EOMONTH(DATE($AL$5,$AP$2,1),0)),TEXT(DATE($AL$5,$AP$2,4),"ddd"),"")</f>
        <v/>
      </c>
      <c r="I42" s="109">
        <f>IF(5&lt;=DAY(EOMONTH(DATE($AL$5,$AP$2,1),0)),TEXT(DATE($AL$5,$AP$2,5),"ddd"),"")</f>
        <v/>
      </c>
      <c r="J42" s="109">
        <f>IF(6&lt;=DAY(EOMONTH(DATE($AL$5,$AP$2,1),0)),TEXT(DATE($AL$5,$AP$2,6),"ddd"),"")</f>
        <v/>
      </c>
      <c r="K42" s="109">
        <f>IF(7&lt;=DAY(EOMONTH(DATE($AL$5,$AP$2,1),0)),TEXT(DATE($AL$5,$AP$2,7),"ddd"),"")</f>
        <v/>
      </c>
      <c r="L42" s="109">
        <f>IF(8&lt;=DAY(EOMONTH(DATE($AL$5,$AP$2,1),0)),TEXT(DATE($AL$5,$AP$2,8),"ddd"),"")</f>
        <v/>
      </c>
      <c r="M42" s="109">
        <f>IF(9&lt;=DAY(EOMONTH(DATE($AL$5,$AP$2,1),0)),TEXT(DATE($AL$5,$AP$2,9),"ddd"),"")</f>
        <v/>
      </c>
      <c r="N42" s="109">
        <f>IF(10&lt;=DAY(EOMONTH(DATE($AL$5,$AP$2,1),0)),TEXT(DATE($AL$5,$AP$2,10),"ddd"),"")</f>
        <v/>
      </c>
      <c r="O42" s="109">
        <f>IF(11&lt;=DAY(EOMONTH(DATE($AL$5,$AP$2,1),0)),TEXT(DATE($AL$5,$AP$2,11),"ddd"),"")</f>
        <v/>
      </c>
      <c r="P42" s="109">
        <f>IF(12&lt;=DAY(EOMONTH(DATE($AL$5,$AP$2,1),0)),TEXT(DATE($AL$5,$AP$2,12),"ddd"),"")</f>
        <v/>
      </c>
      <c r="Q42" s="109">
        <f>IF(13&lt;=DAY(EOMONTH(DATE($AL$5,$AP$2,1),0)),TEXT(DATE($AL$5,$AP$2,13),"ddd"),"")</f>
        <v/>
      </c>
      <c r="R42" s="109">
        <f>IF(14&lt;=DAY(EOMONTH(DATE($AL$5,$AP$2,1),0)),TEXT(DATE($AL$5,$AP$2,14),"ddd"),"")</f>
        <v/>
      </c>
      <c r="S42" s="109">
        <f>IF(15&lt;=DAY(EOMONTH(DATE($AL$5,$AP$2,1),0)),TEXT(DATE($AL$5,$AP$2,15),"ddd"),"")</f>
        <v/>
      </c>
      <c r="T42" s="109">
        <f>IF(16&lt;=DAY(EOMONTH(DATE($AL$5,$AP$2,1),0)),TEXT(DATE($AL$5,$AP$2,16),"ddd"),"")</f>
        <v/>
      </c>
      <c r="U42" s="109">
        <f>IF(17&lt;=DAY(EOMONTH(DATE($AL$5,$AP$2,1),0)),TEXT(DATE($AL$5,$AP$2,17),"ddd"),"")</f>
        <v/>
      </c>
      <c r="V42" s="109">
        <f>IF(18&lt;=DAY(EOMONTH(DATE($AL$5,$AP$2,1),0)),TEXT(DATE($AL$5,$AP$2,18),"ddd"),"")</f>
        <v/>
      </c>
      <c r="W42" s="109">
        <f>IF(19&lt;=DAY(EOMONTH(DATE($AL$5,$AP$2,1),0)),TEXT(DATE($AL$5,$AP$2,19),"ddd"),"")</f>
        <v/>
      </c>
      <c r="X42" s="109">
        <f>IF(20&lt;=DAY(EOMONTH(DATE($AL$5,$AP$2,1),0)),TEXT(DATE($AL$5,$AP$2,20),"ddd"),"")</f>
        <v/>
      </c>
      <c r="Y42" s="109">
        <f>IF(21&lt;=DAY(EOMONTH(DATE($AL$5,$AP$2,1),0)),TEXT(DATE($AL$5,$AP$2,21),"ddd"),"")</f>
        <v/>
      </c>
      <c r="Z42" s="109">
        <f>IF(22&lt;=DAY(EOMONTH(DATE($AL$5,$AP$2,1),0)),TEXT(DATE($AL$5,$AP$2,22),"ddd"),"")</f>
        <v/>
      </c>
      <c r="AA42" s="109">
        <f>IF(23&lt;=DAY(EOMONTH(DATE($AL$5,$AP$2,1),0)),TEXT(DATE($AL$5,$AP$2,23),"ddd"),"")</f>
        <v/>
      </c>
      <c r="AB42" s="109">
        <f>IF(24&lt;=DAY(EOMONTH(DATE($AL$5,$AP$2,1),0)),TEXT(DATE($AL$5,$AP$2,24),"ddd"),"")</f>
        <v/>
      </c>
      <c r="AC42" s="109">
        <f>IF(25&lt;=DAY(EOMONTH(DATE($AL$5,$AP$2,1),0)),TEXT(DATE($AL$5,$AP$2,25),"ddd"),"")</f>
        <v/>
      </c>
      <c r="AD42" s="109">
        <f>IF(26&lt;=DAY(EOMONTH(DATE($AL$5,$AP$2,1),0)),TEXT(DATE($AL$5,$AP$2,26),"ddd"),"")</f>
        <v/>
      </c>
      <c r="AE42" s="109">
        <f>IF(27&lt;=DAY(EOMONTH(DATE($AL$5,$AP$2,1),0)),TEXT(DATE($AL$5,$AP$2,27),"ddd"),"")</f>
        <v/>
      </c>
      <c r="AF42" s="109">
        <f>IF(28&lt;=DAY(EOMONTH(DATE($AL$5,$AP$2,1),0)),TEXT(DATE($AL$5,$AP$2,28),"ddd"),"")</f>
        <v/>
      </c>
      <c r="AG42" s="109">
        <f>IF(29&lt;=DAY(EOMONTH(DATE($AL$5,$AP$2,1),0)),TEXT(DATE($AL$5,$AP$2,29),"ddd"),"")</f>
        <v/>
      </c>
      <c r="AH42" s="109">
        <f>IF(30&lt;=DAY(EOMONTH(DATE($AL$5,$AP$2,1),0)),TEXT(DATE($AL$5,$AP$2,30),"ddd"),"")</f>
        <v/>
      </c>
      <c r="AI42" s="109">
        <f>IF(31&lt;=DAY(EOMONTH(DATE($AL$5,$AP$2,1),0)),TEXT(DATE($AL$5,$AP$2,31),"ddd"),"")</f>
        <v/>
      </c>
    </row>
    <row r="43" ht="16.2" customHeight="1" thickBot="1">
      <c r="A43" s="117" t="n"/>
      <c r="B43" s="118" t="n"/>
      <c r="C43" s="118" t="n"/>
      <c r="D43" s="121" t="n"/>
      <c r="E43" s="112">
        <f>IF(1&lt;=DAY(EOMONTH(DATE($AL$5,$AP$2,1),0)),1,"")</f>
        <v/>
      </c>
      <c r="F43" s="112">
        <f>IF(2&lt;=DAY(EOMONTH(DATE($AL$5,$AP$2,1),0)),2,"")</f>
        <v/>
      </c>
      <c r="G43" s="112">
        <f>IF(3&lt;=DAY(EOMONTH(DATE($AL$5,$AP$2,1),0)),3,"")</f>
        <v/>
      </c>
      <c r="H43" s="112">
        <f>IF(4&lt;=DAY(EOMONTH(DATE($AL$5,$AP$2,1),0)),4,"")</f>
        <v/>
      </c>
      <c r="I43" s="112">
        <f>IF(5&lt;=DAY(EOMONTH(DATE($AL$5,$AP$2,1),0)),5,"")</f>
        <v/>
      </c>
      <c r="J43" s="112">
        <f>IF(6&lt;=DAY(EOMONTH(DATE($AL$5,$AP$2,1),0)),6,"")</f>
        <v/>
      </c>
      <c r="K43" s="112">
        <f>IF(7&lt;=DAY(EOMONTH(DATE($AL$5,$AP$2,1),0)),7,"")</f>
        <v/>
      </c>
      <c r="L43" s="112">
        <f>IF(8&lt;=DAY(EOMONTH(DATE($AL$5,$AP$2,1),0)),8,"")</f>
        <v/>
      </c>
      <c r="M43" s="112">
        <f>IF(9&lt;=DAY(EOMONTH(DATE($AL$5,$AP$2,1),0)),9,"")</f>
        <v/>
      </c>
      <c r="N43" s="112">
        <f>IF(10&lt;=DAY(EOMONTH(DATE($AL$5,$AP$2,1),0)),10,"")</f>
        <v/>
      </c>
      <c r="O43" s="112">
        <f>IF(11&lt;=DAY(EOMONTH(DATE($AL$5,$AP$2,1),0)),11,"")</f>
        <v/>
      </c>
      <c r="P43" s="112">
        <f>IF(12&lt;=DAY(EOMONTH(DATE($AL$5,$AP$2,1),0)),12,"")</f>
        <v/>
      </c>
      <c r="Q43" s="112">
        <f>IF(13&lt;=DAY(EOMONTH(DATE($AL$5,$AP$2,1),0)),13,"")</f>
        <v/>
      </c>
      <c r="R43" s="112">
        <f>IF(14&lt;=DAY(EOMONTH(DATE($AL$5,$AP$2,1),0)),14,"")</f>
        <v/>
      </c>
      <c r="S43" s="112">
        <f>IF(15&lt;=DAY(EOMONTH(DATE($AL$5,$AP$2,1),0)),15,"")</f>
        <v/>
      </c>
      <c r="T43" s="112">
        <f>IF(16&lt;=DAY(EOMONTH(DATE($AL$5,$AP$2,1),0)),16,"")</f>
        <v/>
      </c>
      <c r="U43" s="112">
        <f>IF(17&lt;=DAY(EOMONTH(DATE($AL$5,$AP$2,1),0)),17,"")</f>
        <v/>
      </c>
      <c r="V43" s="112">
        <f>IF(18&lt;=DAY(EOMONTH(DATE($AL$5,$AP$2,1),0)),18,"")</f>
        <v/>
      </c>
      <c r="W43" s="112">
        <f>IF(19&lt;=DAY(EOMONTH(DATE($AL$5,$AP$2,1),0)),19,"")</f>
        <v/>
      </c>
      <c r="X43" s="112">
        <f>IF(20&lt;=DAY(EOMONTH(DATE($AL$5,$AP$2,1),0)),20,"")</f>
        <v/>
      </c>
      <c r="Y43" s="112">
        <f>IF(21&lt;=DAY(EOMONTH(DATE($AL$5,$AP$2,1),0)),21,"")</f>
        <v/>
      </c>
      <c r="Z43" s="112">
        <f>IF(22&lt;=DAY(EOMONTH(DATE($AL$5,$AP$2,1),0)),22,"")</f>
        <v/>
      </c>
      <c r="AA43" s="112">
        <f>IF(23&lt;=DAY(EOMONTH(DATE($AL$5,$AP$2,1),0)),23,"")</f>
        <v/>
      </c>
      <c r="AB43" s="112">
        <f>IF(24&lt;=DAY(EOMONTH(DATE($AL$5,$AP$2,1),0)),24,"")</f>
        <v/>
      </c>
      <c r="AC43" s="112">
        <f>IF(25&lt;=DAY(EOMONTH(DATE($AL$5,$AP$2,1),0)),25,"")</f>
        <v/>
      </c>
      <c r="AD43" s="112">
        <f>IF(26&lt;=DAY(EOMONTH(DATE($AL$5,$AP$2,1),0)),26,"")</f>
        <v/>
      </c>
      <c r="AE43" s="112">
        <f>IF(27&lt;=DAY(EOMONTH(DATE($AL$5,$AP$2,1),0)),27,"")</f>
        <v/>
      </c>
      <c r="AF43" s="112">
        <f>IF(28&lt;=DAY(EOMONTH(DATE($AL$5,$AP$2,1),0)),28,"")</f>
        <v/>
      </c>
      <c r="AG43" s="112">
        <f>IF(29&lt;=DAY(EOMONTH(DATE($AL$5,$AP$2,1),0)),29,"")</f>
        <v/>
      </c>
      <c r="AH43" s="112">
        <f>IF(30&lt;=DAY(EOMONTH(DATE($AL$5,$AP$2,1),0)),30,"")</f>
        <v/>
      </c>
      <c r="AI43" s="112">
        <f>IF(31&lt;=DAY(EOMONTH(DATE($AL$5,$AP$2,1),0)),31,"")</f>
        <v/>
      </c>
    </row>
    <row r="44" ht="16.2" customHeight="1" thickBot="1">
      <c r="A44" s="5" t="n">
        <v>1</v>
      </c>
      <c r="B44" s="37" t="n"/>
      <c r="C44" s="37" t="n"/>
      <c r="D44" s="3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29" t="n"/>
    </row>
    <row r="45" ht="16.2" customHeight="1" thickBot="1">
      <c r="A45" s="12" t="n"/>
      <c r="B45" s="13" t="n"/>
      <c r="C45" s="13" t="n"/>
      <c r="D45" s="13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  <row r="46" ht="15" customHeight="1" thickBot="1">
      <c r="A46" s="119" t="inlineStr">
        <is>
          <t>TRANSFERRED-IN MANPOWER</t>
        </is>
      </c>
      <c r="B46" s="116" t="n"/>
      <c r="C46" s="116" t="n"/>
      <c r="D46" s="120" t="n"/>
      <c r="E46" s="109">
        <f>IF(1&lt;=DAY(EOMONTH(DATE($AL$5,$AP$2,1),0)),TEXT(DATE($AL$5,$AP$2,1),"ddd"),"")</f>
        <v/>
      </c>
      <c r="F46" s="109">
        <f>IF(2&lt;=DAY(EOMONTH(DATE($AL$5,$AP$2,1),0)),TEXT(DATE($AL$5,$AP$2,2),"ddd"),"")</f>
        <v/>
      </c>
      <c r="G46" s="109">
        <f>IF(3&lt;=DAY(EOMONTH(DATE($AL$5,$AP$2,1),0)),TEXT(DATE($AL$5,$AP$2,3),"ddd"),"")</f>
        <v/>
      </c>
      <c r="H46" s="109">
        <f>IF(4&lt;=DAY(EOMONTH(DATE($AL$5,$AP$2,1),0)),TEXT(DATE($AL$5,$AP$2,4),"ddd"),"")</f>
        <v/>
      </c>
      <c r="I46" s="109">
        <f>IF(5&lt;=DAY(EOMONTH(DATE($AL$5,$AP$2,1),0)),TEXT(DATE($AL$5,$AP$2,5),"ddd"),"")</f>
        <v/>
      </c>
      <c r="J46" s="109">
        <f>IF(6&lt;=DAY(EOMONTH(DATE($AL$5,$AP$2,1),0)),TEXT(DATE($AL$5,$AP$2,6),"ddd"),"")</f>
        <v/>
      </c>
      <c r="K46" s="109">
        <f>IF(7&lt;=DAY(EOMONTH(DATE($AL$5,$AP$2,1),0)),TEXT(DATE($AL$5,$AP$2,7),"ddd"),"")</f>
        <v/>
      </c>
      <c r="L46" s="109">
        <f>IF(8&lt;=DAY(EOMONTH(DATE($AL$5,$AP$2,1),0)),TEXT(DATE($AL$5,$AP$2,8),"ddd"),"")</f>
        <v/>
      </c>
      <c r="M46" s="109">
        <f>IF(9&lt;=DAY(EOMONTH(DATE($AL$5,$AP$2,1),0)),TEXT(DATE($AL$5,$AP$2,9),"ddd"),"")</f>
        <v/>
      </c>
      <c r="N46" s="109">
        <f>IF(10&lt;=DAY(EOMONTH(DATE($AL$5,$AP$2,1),0)),TEXT(DATE($AL$5,$AP$2,10),"ddd"),"")</f>
        <v/>
      </c>
      <c r="O46" s="109">
        <f>IF(11&lt;=DAY(EOMONTH(DATE($AL$5,$AP$2,1),0)),TEXT(DATE($AL$5,$AP$2,11),"ddd"),"")</f>
        <v/>
      </c>
      <c r="P46" s="109">
        <f>IF(12&lt;=DAY(EOMONTH(DATE($AL$5,$AP$2,1),0)),TEXT(DATE($AL$5,$AP$2,12),"ddd"),"")</f>
        <v/>
      </c>
      <c r="Q46" s="109">
        <f>IF(13&lt;=DAY(EOMONTH(DATE($AL$5,$AP$2,1),0)),TEXT(DATE($AL$5,$AP$2,13),"ddd"),"")</f>
        <v/>
      </c>
      <c r="R46" s="109">
        <f>IF(14&lt;=DAY(EOMONTH(DATE($AL$5,$AP$2,1),0)),TEXT(DATE($AL$5,$AP$2,14),"ddd"),"")</f>
        <v/>
      </c>
      <c r="S46" s="109">
        <f>IF(15&lt;=DAY(EOMONTH(DATE($AL$5,$AP$2,1),0)),TEXT(DATE($AL$5,$AP$2,15),"ddd"),"")</f>
        <v/>
      </c>
      <c r="T46" s="109">
        <f>IF(16&lt;=DAY(EOMONTH(DATE($AL$5,$AP$2,1),0)),TEXT(DATE($AL$5,$AP$2,16),"ddd"),"")</f>
        <v/>
      </c>
      <c r="U46" s="109">
        <f>IF(17&lt;=DAY(EOMONTH(DATE($AL$5,$AP$2,1),0)),TEXT(DATE($AL$5,$AP$2,17),"ddd"),"")</f>
        <v/>
      </c>
      <c r="V46" s="109">
        <f>IF(18&lt;=DAY(EOMONTH(DATE($AL$5,$AP$2,1),0)),TEXT(DATE($AL$5,$AP$2,18),"ddd"),"")</f>
        <v/>
      </c>
      <c r="W46" s="109">
        <f>IF(19&lt;=DAY(EOMONTH(DATE($AL$5,$AP$2,1),0)),TEXT(DATE($AL$5,$AP$2,19),"ddd"),"")</f>
        <v/>
      </c>
      <c r="X46" s="109">
        <f>IF(20&lt;=DAY(EOMONTH(DATE($AL$5,$AP$2,1),0)),TEXT(DATE($AL$5,$AP$2,20),"ddd"),"")</f>
        <v/>
      </c>
      <c r="Y46" s="109">
        <f>IF(21&lt;=DAY(EOMONTH(DATE($AL$5,$AP$2,1),0)),TEXT(DATE($AL$5,$AP$2,21),"ddd"),"")</f>
        <v/>
      </c>
      <c r="Z46" s="109">
        <f>IF(22&lt;=DAY(EOMONTH(DATE($AL$5,$AP$2,1),0)),TEXT(DATE($AL$5,$AP$2,22),"ddd"),"")</f>
        <v/>
      </c>
      <c r="AA46" s="109">
        <f>IF(23&lt;=DAY(EOMONTH(DATE($AL$5,$AP$2,1),0)),TEXT(DATE($AL$5,$AP$2,23),"ddd"),"")</f>
        <v/>
      </c>
      <c r="AB46" s="109">
        <f>IF(24&lt;=DAY(EOMONTH(DATE($AL$5,$AP$2,1),0)),TEXT(DATE($AL$5,$AP$2,24),"ddd"),"")</f>
        <v/>
      </c>
      <c r="AC46" s="109">
        <f>IF(25&lt;=DAY(EOMONTH(DATE($AL$5,$AP$2,1),0)),TEXT(DATE($AL$5,$AP$2,25),"ddd"),"")</f>
        <v/>
      </c>
      <c r="AD46" s="109">
        <f>IF(26&lt;=DAY(EOMONTH(DATE($AL$5,$AP$2,1),0)),TEXT(DATE($AL$5,$AP$2,26),"ddd"),"")</f>
        <v/>
      </c>
      <c r="AE46" s="109">
        <f>IF(27&lt;=DAY(EOMONTH(DATE($AL$5,$AP$2,1),0)),TEXT(DATE($AL$5,$AP$2,27),"ddd"),"")</f>
        <v/>
      </c>
      <c r="AF46" s="109">
        <f>IF(28&lt;=DAY(EOMONTH(DATE($AL$5,$AP$2,1),0)),TEXT(DATE($AL$5,$AP$2,28),"ddd"),"")</f>
        <v/>
      </c>
      <c r="AG46" s="109">
        <f>IF(29&lt;=DAY(EOMONTH(DATE($AL$5,$AP$2,1),0)),TEXT(DATE($AL$5,$AP$2,29),"ddd"),"")</f>
        <v/>
      </c>
      <c r="AH46" s="109">
        <f>IF(30&lt;=DAY(EOMONTH(DATE($AL$5,$AP$2,1),0)),TEXT(DATE($AL$5,$AP$2,30),"ddd"),"")</f>
        <v/>
      </c>
      <c r="AI46" s="109">
        <f>IF(31&lt;=DAY(EOMONTH(DATE($AL$5,$AP$2,1),0)),TEXT(DATE($AL$5,$AP$2,31),"ddd"),"")</f>
        <v/>
      </c>
    </row>
    <row r="47" ht="16.2" customHeight="1" thickBot="1">
      <c r="A47" s="117" t="n"/>
      <c r="B47" s="118" t="n"/>
      <c r="C47" s="118" t="n"/>
      <c r="D47" s="121" t="n"/>
      <c r="E47" s="112">
        <f>IF(1&lt;=DAY(EOMONTH(DATE($AL$5,$AP$2,1),0)),1,"")</f>
        <v/>
      </c>
      <c r="F47" s="112">
        <f>IF(2&lt;=DAY(EOMONTH(DATE($AL$5,$AP$2,1),0)),2,"")</f>
        <v/>
      </c>
      <c r="G47" s="112">
        <f>IF(3&lt;=DAY(EOMONTH(DATE($AL$5,$AP$2,1),0)),3,"")</f>
        <v/>
      </c>
      <c r="H47" s="112">
        <f>IF(4&lt;=DAY(EOMONTH(DATE($AL$5,$AP$2,1),0)),4,"")</f>
        <v/>
      </c>
      <c r="I47" s="112">
        <f>IF(5&lt;=DAY(EOMONTH(DATE($AL$5,$AP$2,1),0)),5,"")</f>
        <v/>
      </c>
      <c r="J47" s="112">
        <f>IF(6&lt;=DAY(EOMONTH(DATE($AL$5,$AP$2,1),0)),6,"")</f>
        <v/>
      </c>
      <c r="K47" s="112">
        <f>IF(7&lt;=DAY(EOMONTH(DATE($AL$5,$AP$2,1),0)),7,"")</f>
        <v/>
      </c>
      <c r="L47" s="112">
        <f>IF(8&lt;=DAY(EOMONTH(DATE($AL$5,$AP$2,1),0)),8,"")</f>
        <v/>
      </c>
      <c r="M47" s="112">
        <f>IF(9&lt;=DAY(EOMONTH(DATE($AL$5,$AP$2,1),0)),9,"")</f>
        <v/>
      </c>
      <c r="N47" s="112">
        <f>IF(10&lt;=DAY(EOMONTH(DATE($AL$5,$AP$2,1),0)),10,"")</f>
        <v/>
      </c>
      <c r="O47" s="112">
        <f>IF(11&lt;=DAY(EOMONTH(DATE($AL$5,$AP$2,1),0)),11,"")</f>
        <v/>
      </c>
      <c r="P47" s="112">
        <f>IF(12&lt;=DAY(EOMONTH(DATE($AL$5,$AP$2,1),0)),12,"")</f>
        <v/>
      </c>
      <c r="Q47" s="112">
        <f>IF(13&lt;=DAY(EOMONTH(DATE($AL$5,$AP$2,1),0)),13,"")</f>
        <v/>
      </c>
      <c r="R47" s="112">
        <f>IF(14&lt;=DAY(EOMONTH(DATE($AL$5,$AP$2,1),0)),14,"")</f>
        <v/>
      </c>
      <c r="S47" s="112">
        <f>IF(15&lt;=DAY(EOMONTH(DATE($AL$5,$AP$2,1),0)),15,"")</f>
        <v/>
      </c>
      <c r="T47" s="112">
        <f>IF(16&lt;=DAY(EOMONTH(DATE($AL$5,$AP$2,1),0)),16,"")</f>
        <v/>
      </c>
      <c r="U47" s="112">
        <f>IF(17&lt;=DAY(EOMONTH(DATE($AL$5,$AP$2,1),0)),17,"")</f>
        <v/>
      </c>
      <c r="V47" s="112">
        <f>IF(18&lt;=DAY(EOMONTH(DATE($AL$5,$AP$2,1),0)),18,"")</f>
        <v/>
      </c>
      <c r="W47" s="112">
        <f>IF(19&lt;=DAY(EOMONTH(DATE($AL$5,$AP$2,1),0)),19,"")</f>
        <v/>
      </c>
      <c r="X47" s="112">
        <f>IF(20&lt;=DAY(EOMONTH(DATE($AL$5,$AP$2,1),0)),20,"")</f>
        <v/>
      </c>
      <c r="Y47" s="112">
        <f>IF(21&lt;=DAY(EOMONTH(DATE($AL$5,$AP$2,1),0)),21,"")</f>
        <v/>
      </c>
      <c r="Z47" s="112">
        <f>IF(22&lt;=DAY(EOMONTH(DATE($AL$5,$AP$2,1),0)),22,"")</f>
        <v/>
      </c>
      <c r="AA47" s="112">
        <f>IF(23&lt;=DAY(EOMONTH(DATE($AL$5,$AP$2,1),0)),23,"")</f>
        <v/>
      </c>
      <c r="AB47" s="112">
        <f>IF(24&lt;=DAY(EOMONTH(DATE($AL$5,$AP$2,1),0)),24,"")</f>
        <v/>
      </c>
      <c r="AC47" s="112">
        <f>IF(25&lt;=DAY(EOMONTH(DATE($AL$5,$AP$2,1),0)),25,"")</f>
        <v/>
      </c>
      <c r="AD47" s="112">
        <f>IF(26&lt;=DAY(EOMONTH(DATE($AL$5,$AP$2,1),0)),26,"")</f>
        <v/>
      </c>
      <c r="AE47" s="112">
        <f>IF(27&lt;=DAY(EOMONTH(DATE($AL$5,$AP$2,1),0)),27,"")</f>
        <v/>
      </c>
      <c r="AF47" s="112">
        <f>IF(28&lt;=DAY(EOMONTH(DATE($AL$5,$AP$2,1),0)),28,"")</f>
        <v/>
      </c>
      <c r="AG47" s="112">
        <f>IF(29&lt;=DAY(EOMONTH(DATE($AL$5,$AP$2,1),0)),29,"")</f>
        <v/>
      </c>
      <c r="AH47" s="112">
        <f>IF(30&lt;=DAY(EOMONTH(DATE($AL$5,$AP$2,1),0)),30,"")</f>
        <v/>
      </c>
      <c r="AI47" s="112">
        <f>IF(31&lt;=DAY(EOMONTH(DATE($AL$5,$AP$2,1),0)),31,"")</f>
        <v/>
      </c>
    </row>
    <row r="48" ht="16.2" customHeight="1" thickBot="1">
      <c r="A48" s="9" t="n">
        <v>1</v>
      </c>
      <c r="B48" s="37" t="n"/>
      <c r="C48" s="37" t="n"/>
      <c r="D48" s="3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</row>
    <row r="49" ht="16.2" customHeight="1" thickBot="1">
      <c r="A49" s="9" t="n">
        <v>2</v>
      </c>
      <c r="B49" s="37" t="n"/>
      <c r="C49" s="37" t="n"/>
      <c r="D49" s="37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</row>
    <row r="50" ht="16.2" customHeight="1" thickBot="1">
      <c r="A50" s="9" t="n">
        <v>3</v>
      </c>
      <c r="B50" s="37" t="n"/>
      <c r="C50" s="37" t="n"/>
      <c r="D50" s="37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</row>
    <row r="51" ht="16.2" customHeight="1" thickBot="1">
      <c r="A51" s="9" t="n">
        <v>4</v>
      </c>
      <c r="B51" s="37" t="n"/>
      <c r="C51" s="37" t="n"/>
      <c r="D51" s="37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</row>
    <row r="52" ht="16.2" customHeight="1" thickBot="1">
      <c r="A52" s="9" t="n">
        <v>5</v>
      </c>
      <c r="B52" s="37" t="n"/>
      <c r="C52" s="37" t="n"/>
      <c r="D52" s="37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</row>
    <row r="53" ht="16.2" customHeight="1" thickBot="1">
      <c r="A53" s="9" t="n">
        <v>6</v>
      </c>
      <c r="B53" s="37" t="n"/>
      <c r="C53" s="37" t="n"/>
      <c r="D53" s="37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</row>
    <row r="54" ht="16.2" customHeight="1" thickBot="1">
      <c r="A54" s="9" t="n">
        <v>7</v>
      </c>
      <c r="B54" s="37" t="n"/>
      <c r="C54" s="37" t="n"/>
      <c r="D54" s="37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</row>
    <row r="55" ht="16.2" customHeight="1" thickBot="1">
      <c r="A55" s="9" t="n">
        <v>8</v>
      </c>
      <c r="B55" s="37" t="n"/>
      <c r="C55" s="37" t="n"/>
      <c r="D55" s="37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</row>
    <row r="56" ht="16.2" customHeight="1" thickBot="1">
      <c r="A56" s="9" t="n">
        <v>9</v>
      </c>
      <c r="B56" s="37" t="n"/>
      <c r="C56" s="37" t="n"/>
      <c r="D56" s="37" t="n"/>
      <c r="E56" s="32" t="n"/>
      <c r="F56" s="32" t="n"/>
      <c r="G56" s="32" t="n"/>
      <c r="H56" s="32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</row>
    <row r="57" ht="16.2" customHeight="1" thickBot="1">
      <c r="A57" s="9" t="n">
        <v>10</v>
      </c>
      <c r="B57" s="37" t="n"/>
      <c r="C57" s="37" t="n"/>
      <c r="D57" s="40" t="n"/>
      <c r="E57" s="6" t="n"/>
      <c r="I57" s="23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</row>
    <row r="58" ht="16.2" customHeight="1" thickBot="1">
      <c r="A58" s="9" t="n">
        <v>11</v>
      </c>
      <c r="B58" s="37" t="n"/>
      <c r="C58" s="37" t="n"/>
      <c r="D58" s="40" t="n"/>
      <c r="E58" s="6" t="n"/>
      <c r="I58" s="23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</row>
    <row r="59" ht="16.2" customHeight="1" thickBot="1">
      <c r="A59" s="9" t="n">
        <v>12</v>
      </c>
      <c r="B59" s="37" t="n"/>
      <c r="C59" s="37" t="n"/>
      <c r="D59" s="40" t="n"/>
      <c r="E59" s="6" t="n"/>
      <c r="F59" s="123" t="n"/>
      <c r="G59" s="123" t="n"/>
      <c r="H59" s="124" t="n"/>
      <c r="I59" s="23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</row>
    <row r="60" ht="16.2" customHeight="1" thickBot="1">
      <c r="A60" s="9" t="n">
        <v>13</v>
      </c>
      <c r="B60" s="37" t="n"/>
      <c r="C60" s="37" t="n"/>
      <c r="D60" s="40" t="n"/>
      <c r="E60" s="6" t="n"/>
      <c r="F60" s="123" t="n"/>
      <c r="G60" s="123" t="n"/>
      <c r="H60" s="124" t="n"/>
      <c r="I60" s="23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</row>
    <row r="61" ht="16.2" customHeight="1" thickBot="1">
      <c r="A61" s="9" t="n">
        <v>14</v>
      </c>
      <c r="B61" s="37" t="n"/>
      <c r="C61" s="37" t="n"/>
      <c r="D61" s="40" t="n"/>
      <c r="E61" s="6" t="n"/>
      <c r="I61" s="23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</row>
    <row r="62" ht="16.2" customHeight="1" thickBot="1">
      <c r="A62" s="9" t="n">
        <v>15</v>
      </c>
      <c r="B62" s="37" t="n"/>
      <c r="C62" s="37" t="n"/>
      <c r="D62" s="40" t="n"/>
      <c r="E62" s="6" t="n"/>
      <c r="F62" s="123" t="n"/>
      <c r="G62" s="123" t="n"/>
      <c r="H62" s="124" t="n"/>
      <c r="I62" s="23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</row>
    <row r="63" ht="16.2" customHeight="1" thickBot="1">
      <c r="A63" s="9" t="n">
        <v>16</v>
      </c>
      <c r="B63" s="37" t="n"/>
      <c r="C63" s="37" t="n"/>
      <c r="D63" s="40" t="n"/>
      <c r="E63" s="6" t="n"/>
      <c r="F63" s="123" t="n"/>
      <c r="G63" s="123" t="n"/>
      <c r="H63" s="124" t="n"/>
      <c r="I63" s="23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</row>
    <row r="64" ht="16.2" customHeight="1" thickBot="1">
      <c r="A64" s="9" t="n">
        <v>17</v>
      </c>
      <c r="B64" s="37" t="n"/>
      <c r="C64" s="37" t="n"/>
      <c r="D64" s="40" t="n"/>
      <c r="E64" s="6" t="n"/>
      <c r="F64" s="123" t="n"/>
      <c r="G64" s="123" t="n"/>
      <c r="H64" s="124" t="n"/>
      <c r="I64" s="23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</row>
    <row r="65" ht="16.2" customHeight="1" thickBot="1">
      <c r="A65" s="9" t="n">
        <v>18</v>
      </c>
      <c r="B65" s="37" t="n"/>
      <c r="C65" s="37" t="n"/>
      <c r="D65" s="40" t="n"/>
      <c r="E65" s="6" t="n"/>
      <c r="F65" s="123" t="n"/>
      <c r="G65" s="123" t="n"/>
      <c r="H65" s="124" t="n"/>
      <c r="I65" s="23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</row>
    <row r="66" ht="16.2" customHeight="1" thickBot="1">
      <c r="A66" s="9" t="n">
        <v>19</v>
      </c>
      <c r="B66" s="37" t="n"/>
      <c r="C66" s="37" t="n"/>
      <c r="D66" s="40" t="n"/>
      <c r="E66" s="148" t="n"/>
      <c r="F66" s="7" t="n"/>
      <c r="G66" s="7" t="n"/>
      <c r="H66" s="23" t="n"/>
      <c r="I66" s="23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</row>
    <row r="67" ht="16.2" customHeight="1" thickBot="1">
      <c r="A67" s="9" t="n">
        <v>20</v>
      </c>
      <c r="B67" s="37" t="n"/>
      <c r="C67" s="37" t="n"/>
      <c r="D67" s="40" t="n"/>
      <c r="E67" s="148" t="n"/>
      <c r="F67" s="7" t="n"/>
      <c r="G67" s="7" t="n"/>
      <c r="H67" s="23" t="n"/>
      <c r="I67" s="23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</row>
    <row r="68" ht="16.2" customHeight="1" thickBot="1">
      <c r="A68" s="9" t="n">
        <v>21</v>
      </c>
      <c r="B68" s="37" t="n"/>
      <c r="C68" s="37" t="n"/>
      <c r="D68" s="40" t="n"/>
      <c r="E68" s="148" t="n"/>
      <c r="F68" s="7" t="n"/>
      <c r="G68" s="7" t="n"/>
      <c r="H68" s="23" t="n"/>
      <c r="I68" s="23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</row>
    <row r="69" ht="16.2" customHeight="1" thickBot="1">
      <c r="A69" s="9" t="n">
        <v>22</v>
      </c>
      <c r="B69" s="37" t="n"/>
      <c r="C69" s="37" t="n"/>
      <c r="D69" s="40" t="n"/>
      <c r="E69" s="148" t="n"/>
      <c r="F69" s="7" t="n"/>
      <c r="G69" s="7" t="n"/>
      <c r="H69" s="23" t="n"/>
      <c r="I69" s="23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</row>
    <row r="70" ht="16.2" customHeight="1" thickBot="1">
      <c r="A70" s="9" t="n">
        <v>23</v>
      </c>
      <c r="B70" s="37" t="n"/>
      <c r="C70" s="37" t="n"/>
      <c r="D70" s="40" t="n"/>
      <c r="E70" s="148" t="n"/>
      <c r="F70" s="7" t="n"/>
      <c r="G70" s="7" t="n"/>
      <c r="H70" s="23" t="n"/>
      <c r="I70" s="23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</row>
    <row r="71" ht="16.2" customHeight="1" thickBot="1">
      <c r="A71" s="9" t="n">
        <v>24</v>
      </c>
      <c r="B71" s="37" t="n"/>
      <c r="C71" s="37" t="n"/>
      <c r="D71" s="40" t="n"/>
      <c r="E71" s="148" t="n"/>
      <c r="F71" s="7" t="n"/>
      <c r="G71" s="7" t="n"/>
      <c r="H71" s="23" t="n"/>
      <c r="I71" s="23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</row>
    <row r="72" ht="16.2" customHeight="1" thickBot="1">
      <c r="A72" s="9" t="n">
        <v>25</v>
      </c>
      <c r="B72" s="37" t="n"/>
      <c r="C72" s="37" t="n"/>
      <c r="D72" s="40" t="n"/>
      <c r="E72" s="6" t="n"/>
      <c r="I72" s="23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</row>
    <row r="73" ht="16.2" customHeight="1" thickBot="1">
      <c r="A73" s="13" t="n"/>
      <c r="B73" s="13" t="n"/>
      <c r="C73" s="13" t="n"/>
      <c r="D73" s="13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</row>
    <row r="74" ht="15" customHeight="1" thickBot="1">
      <c r="A74" s="125" t="inlineStr">
        <is>
          <t>TOTAL DAILY CREWS MANPOWER</t>
        </is>
      </c>
      <c r="B74" s="116" t="n"/>
      <c r="C74" s="120" t="n"/>
      <c r="D74" s="119" t="inlineStr">
        <is>
          <t>SHIFT</t>
        </is>
      </c>
      <c r="E74" s="109">
        <f>IF(1&lt;=DAY(EOMONTH(DATE($AL$5,$AP$2,1),0)),TEXT(DATE($AL$5,$AP$2,1),"ddd"),"")</f>
        <v/>
      </c>
      <c r="F74" s="109">
        <f>IF(2&lt;=DAY(EOMONTH(DATE($AL$5,$AP$2,1),0)),TEXT(DATE($AL$5,$AP$2,2),"ddd"),"")</f>
        <v/>
      </c>
      <c r="G74" s="109">
        <f>IF(3&lt;=DAY(EOMONTH(DATE($AL$5,$AP$2,1),0)),TEXT(DATE($AL$5,$AP$2,3),"ddd"),"")</f>
        <v/>
      </c>
      <c r="H74" s="109">
        <f>IF(4&lt;=DAY(EOMONTH(DATE($AL$5,$AP$2,1),0)),TEXT(DATE($AL$5,$AP$2,4),"ddd"),"")</f>
        <v/>
      </c>
      <c r="I74" s="109">
        <f>IF(5&lt;=DAY(EOMONTH(DATE($AL$5,$AP$2,1),0)),TEXT(DATE($AL$5,$AP$2,5),"ddd"),"")</f>
        <v/>
      </c>
      <c r="J74" s="109">
        <f>IF(6&lt;=DAY(EOMONTH(DATE($AL$5,$AP$2,1),0)),TEXT(DATE($AL$5,$AP$2,6),"ddd"),"")</f>
        <v/>
      </c>
      <c r="K74" s="109">
        <f>IF(7&lt;=DAY(EOMONTH(DATE($AL$5,$AP$2,1),0)),TEXT(DATE($AL$5,$AP$2,7),"ddd"),"")</f>
        <v/>
      </c>
      <c r="L74" s="109">
        <f>IF(8&lt;=DAY(EOMONTH(DATE($AL$5,$AP$2,1),0)),TEXT(DATE($AL$5,$AP$2,8),"ddd"),"")</f>
        <v/>
      </c>
      <c r="M74" s="109">
        <f>IF(9&lt;=DAY(EOMONTH(DATE($AL$5,$AP$2,1),0)),TEXT(DATE($AL$5,$AP$2,9),"ddd"),"")</f>
        <v/>
      </c>
      <c r="N74" s="109">
        <f>IF(10&lt;=DAY(EOMONTH(DATE($AL$5,$AP$2,1),0)),TEXT(DATE($AL$5,$AP$2,10),"ddd"),"")</f>
        <v/>
      </c>
      <c r="O74" s="109">
        <f>IF(11&lt;=DAY(EOMONTH(DATE($AL$5,$AP$2,1),0)),TEXT(DATE($AL$5,$AP$2,11),"ddd"),"")</f>
        <v/>
      </c>
      <c r="P74" s="109">
        <f>IF(12&lt;=DAY(EOMONTH(DATE($AL$5,$AP$2,1),0)),TEXT(DATE($AL$5,$AP$2,12),"ddd"),"")</f>
        <v/>
      </c>
      <c r="Q74" s="109">
        <f>IF(13&lt;=DAY(EOMONTH(DATE($AL$5,$AP$2,1),0)),TEXT(DATE($AL$5,$AP$2,13),"ddd"),"")</f>
        <v/>
      </c>
      <c r="R74" s="109">
        <f>IF(14&lt;=DAY(EOMONTH(DATE($AL$5,$AP$2,1),0)),TEXT(DATE($AL$5,$AP$2,14),"ddd"),"")</f>
        <v/>
      </c>
      <c r="S74" s="109">
        <f>IF(15&lt;=DAY(EOMONTH(DATE($AL$5,$AP$2,1),0)),TEXT(DATE($AL$5,$AP$2,15),"ddd"),"")</f>
        <v/>
      </c>
      <c r="T74" s="109">
        <f>IF(16&lt;=DAY(EOMONTH(DATE($AL$5,$AP$2,1),0)),TEXT(DATE($AL$5,$AP$2,16),"ddd"),"")</f>
        <v/>
      </c>
      <c r="U74" s="109">
        <f>IF(17&lt;=DAY(EOMONTH(DATE($AL$5,$AP$2,1),0)),TEXT(DATE($AL$5,$AP$2,17),"ddd"),"")</f>
        <v/>
      </c>
      <c r="V74" s="109">
        <f>IF(18&lt;=DAY(EOMONTH(DATE($AL$5,$AP$2,1),0)),TEXT(DATE($AL$5,$AP$2,18),"ddd"),"")</f>
        <v/>
      </c>
      <c r="W74" s="109">
        <f>IF(19&lt;=DAY(EOMONTH(DATE($AL$5,$AP$2,1),0)),TEXT(DATE($AL$5,$AP$2,19),"ddd"),"")</f>
        <v/>
      </c>
      <c r="X74" s="109">
        <f>IF(20&lt;=DAY(EOMONTH(DATE($AL$5,$AP$2,1),0)),TEXT(DATE($AL$5,$AP$2,20),"ddd"),"")</f>
        <v/>
      </c>
      <c r="Y74" s="109">
        <f>IF(21&lt;=DAY(EOMONTH(DATE($AL$5,$AP$2,1),0)),TEXT(DATE($AL$5,$AP$2,21),"ddd"),"")</f>
        <v/>
      </c>
      <c r="Z74" s="109">
        <f>IF(22&lt;=DAY(EOMONTH(DATE($AL$5,$AP$2,1),0)),TEXT(DATE($AL$5,$AP$2,22),"ddd"),"")</f>
        <v/>
      </c>
      <c r="AA74" s="109">
        <f>IF(23&lt;=DAY(EOMONTH(DATE($AL$5,$AP$2,1),0)),TEXT(DATE($AL$5,$AP$2,23),"ddd"),"")</f>
        <v/>
      </c>
      <c r="AB74" s="109">
        <f>IF(24&lt;=DAY(EOMONTH(DATE($AL$5,$AP$2,1),0)),TEXT(DATE($AL$5,$AP$2,24),"ddd"),"")</f>
        <v/>
      </c>
      <c r="AC74" s="109">
        <f>IF(25&lt;=DAY(EOMONTH(DATE($AL$5,$AP$2,1),0)),TEXT(DATE($AL$5,$AP$2,25),"ddd"),"")</f>
        <v/>
      </c>
      <c r="AD74" s="109">
        <f>IF(26&lt;=DAY(EOMONTH(DATE($AL$5,$AP$2,1),0)),TEXT(DATE($AL$5,$AP$2,26),"ddd"),"")</f>
        <v/>
      </c>
      <c r="AE74" s="109">
        <f>IF(27&lt;=DAY(EOMONTH(DATE($AL$5,$AP$2,1),0)),TEXT(DATE($AL$5,$AP$2,27),"ddd"),"")</f>
        <v/>
      </c>
      <c r="AF74" s="109">
        <f>IF(28&lt;=DAY(EOMONTH(DATE($AL$5,$AP$2,1),0)),TEXT(DATE($AL$5,$AP$2,28),"ddd"),"")</f>
        <v/>
      </c>
      <c r="AG74" s="109">
        <f>IF(29&lt;=DAY(EOMONTH(DATE($AL$5,$AP$2,1),0)),TEXT(DATE($AL$5,$AP$2,29),"ddd"),"")</f>
        <v/>
      </c>
      <c r="AH74" s="109">
        <f>IF(30&lt;=DAY(EOMONTH(DATE($AL$5,$AP$2,1),0)),TEXT(DATE($AL$5,$AP$2,30),"ddd"),"")</f>
        <v/>
      </c>
      <c r="AI74" s="109">
        <f>IF(31&lt;=DAY(EOMONTH(DATE($AL$5,$AP$2,1),0)),TEXT(DATE($AL$5,$AP$2,31),"ddd"),"")</f>
        <v/>
      </c>
    </row>
    <row r="75" ht="16.2" customHeight="1" thickBot="1">
      <c r="A75" s="111" t="n"/>
      <c r="C75" s="126" t="n"/>
      <c r="D75" s="105" t="n"/>
      <c r="E75" s="112">
        <f>IF(1&lt;=DAY(EOMONTH(DATE($AL$5,$AP$2,1),0)),1,"")</f>
        <v/>
      </c>
      <c r="F75" s="112">
        <f>IF(2&lt;=DAY(EOMONTH(DATE($AL$5,$AP$2,1),0)),2,"")</f>
        <v/>
      </c>
      <c r="G75" s="112">
        <f>IF(3&lt;=DAY(EOMONTH(DATE($AL$5,$AP$2,1),0)),3,"")</f>
        <v/>
      </c>
      <c r="H75" s="112">
        <f>IF(4&lt;=DAY(EOMONTH(DATE($AL$5,$AP$2,1),0)),4,"")</f>
        <v/>
      </c>
      <c r="I75" s="112">
        <f>IF(5&lt;=DAY(EOMONTH(DATE($AL$5,$AP$2,1),0)),5,"")</f>
        <v/>
      </c>
      <c r="J75" s="112">
        <f>IF(6&lt;=DAY(EOMONTH(DATE($AL$5,$AP$2,1),0)),6,"")</f>
        <v/>
      </c>
      <c r="K75" s="112">
        <f>IF(7&lt;=DAY(EOMONTH(DATE($AL$5,$AP$2,1),0)),7,"")</f>
        <v/>
      </c>
      <c r="L75" s="112">
        <f>IF(8&lt;=DAY(EOMONTH(DATE($AL$5,$AP$2,1),0)),8,"")</f>
        <v/>
      </c>
      <c r="M75" s="112">
        <f>IF(9&lt;=DAY(EOMONTH(DATE($AL$5,$AP$2,1),0)),9,"")</f>
        <v/>
      </c>
      <c r="N75" s="112">
        <f>IF(10&lt;=DAY(EOMONTH(DATE($AL$5,$AP$2,1),0)),10,"")</f>
        <v/>
      </c>
      <c r="O75" s="112">
        <f>IF(11&lt;=DAY(EOMONTH(DATE($AL$5,$AP$2,1),0)),11,"")</f>
        <v/>
      </c>
      <c r="P75" s="112">
        <f>IF(12&lt;=DAY(EOMONTH(DATE($AL$5,$AP$2,1),0)),12,"")</f>
        <v/>
      </c>
      <c r="Q75" s="112">
        <f>IF(13&lt;=DAY(EOMONTH(DATE($AL$5,$AP$2,1),0)),13,"")</f>
        <v/>
      </c>
      <c r="R75" s="112">
        <f>IF(14&lt;=DAY(EOMONTH(DATE($AL$5,$AP$2,1),0)),14,"")</f>
        <v/>
      </c>
      <c r="S75" s="112">
        <f>IF(15&lt;=DAY(EOMONTH(DATE($AL$5,$AP$2,1),0)),15,"")</f>
        <v/>
      </c>
      <c r="T75" s="112">
        <f>IF(16&lt;=DAY(EOMONTH(DATE($AL$5,$AP$2,1),0)),16,"")</f>
        <v/>
      </c>
      <c r="U75" s="112">
        <f>IF(17&lt;=DAY(EOMONTH(DATE($AL$5,$AP$2,1),0)),17,"")</f>
        <v/>
      </c>
      <c r="V75" s="112">
        <f>IF(18&lt;=DAY(EOMONTH(DATE($AL$5,$AP$2,1),0)),18,"")</f>
        <v/>
      </c>
      <c r="W75" s="112">
        <f>IF(19&lt;=DAY(EOMONTH(DATE($AL$5,$AP$2,1),0)),19,"")</f>
        <v/>
      </c>
      <c r="X75" s="112">
        <f>IF(20&lt;=DAY(EOMONTH(DATE($AL$5,$AP$2,1),0)),20,"")</f>
        <v/>
      </c>
      <c r="Y75" s="112">
        <f>IF(21&lt;=DAY(EOMONTH(DATE($AL$5,$AP$2,1),0)),21,"")</f>
        <v/>
      </c>
      <c r="Z75" s="112">
        <f>IF(22&lt;=DAY(EOMONTH(DATE($AL$5,$AP$2,1),0)),22,"")</f>
        <v/>
      </c>
      <c r="AA75" s="112">
        <f>IF(23&lt;=DAY(EOMONTH(DATE($AL$5,$AP$2,1),0)),23,"")</f>
        <v/>
      </c>
      <c r="AB75" s="112">
        <f>IF(24&lt;=DAY(EOMONTH(DATE($AL$5,$AP$2,1),0)),24,"")</f>
        <v/>
      </c>
      <c r="AC75" s="112">
        <f>IF(25&lt;=DAY(EOMONTH(DATE($AL$5,$AP$2,1),0)),25,"")</f>
        <v/>
      </c>
      <c r="AD75" s="112">
        <f>IF(26&lt;=DAY(EOMONTH(DATE($AL$5,$AP$2,1),0)),26,"")</f>
        <v/>
      </c>
      <c r="AE75" s="112">
        <f>IF(27&lt;=DAY(EOMONTH(DATE($AL$5,$AP$2,1),0)),27,"")</f>
        <v/>
      </c>
      <c r="AF75" s="112">
        <f>IF(28&lt;=DAY(EOMONTH(DATE($AL$5,$AP$2,1),0)),28,"")</f>
        <v/>
      </c>
      <c r="AG75" s="112">
        <f>IF(29&lt;=DAY(EOMONTH(DATE($AL$5,$AP$2,1),0)),29,"")</f>
        <v/>
      </c>
      <c r="AH75" s="112">
        <f>IF(30&lt;=DAY(EOMONTH(DATE($AL$5,$AP$2,1),0)),30,"")</f>
        <v/>
      </c>
      <c r="AI75" s="112">
        <f>IF(31&lt;=DAY(EOMONTH(DATE($AL$5,$AP$2,1),0)),31,"")</f>
        <v/>
      </c>
    </row>
    <row r="76" ht="16.2" customHeight="1" thickBot="1">
      <c r="A76" s="111" t="n"/>
      <c r="C76" s="126" t="n"/>
      <c r="D76" s="15" t="inlineStr">
        <is>
          <t>D</t>
        </is>
      </c>
      <c r="E76" s="16">
        <f>COUNTIF(E1:E73,"D")</f>
        <v/>
      </c>
      <c r="F76" s="16">
        <f>COUNTIF(F1:F73,"D")</f>
        <v/>
      </c>
      <c r="G76" s="16">
        <f>COUNTIF(G1:G73,"D")</f>
        <v/>
      </c>
      <c r="H76" s="16">
        <f>COUNTIF(H1:H73,"D")</f>
        <v/>
      </c>
      <c r="I76" s="16">
        <f>COUNTIF(I1:I73,"D")</f>
        <v/>
      </c>
      <c r="J76" s="16">
        <f>COUNTIF(J1:J73,"D")</f>
        <v/>
      </c>
      <c r="K76" s="16">
        <f>COUNTIF(K1:K73,"D")</f>
        <v/>
      </c>
      <c r="L76" s="16">
        <f>COUNTIF(L1:L73,"D")</f>
        <v/>
      </c>
      <c r="M76" s="16">
        <f>COUNTIF(M1:M73,"D")</f>
        <v/>
      </c>
      <c r="N76" s="16">
        <f>COUNTIF(N1:N73,"D")</f>
        <v/>
      </c>
      <c r="O76" s="16">
        <f>COUNTIF(O1:O73,"D")</f>
        <v/>
      </c>
      <c r="P76" s="16">
        <f>COUNTIF(P1:P73,"D")</f>
        <v/>
      </c>
      <c r="Q76" s="16">
        <f>COUNTIF(Q1:Q73,"D")</f>
        <v/>
      </c>
      <c r="R76" s="16">
        <f>COUNTIF(R1:R73,"D")</f>
        <v/>
      </c>
      <c r="S76" s="16">
        <f>COUNTIF(S1:S73,"D")</f>
        <v/>
      </c>
      <c r="T76" s="16">
        <f>COUNTIF(T1:T73,"D")</f>
        <v/>
      </c>
      <c r="U76" s="16">
        <f>COUNTIF(U1:U73,"D")</f>
        <v/>
      </c>
      <c r="V76" s="16">
        <f>COUNTIF(V1:V73,"D")</f>
        <v/>
      </c>
      <c r="W76" s="16">
        <f>COUNTIF(W1:W73,"D")</f>
        <v/>
      </c>
      <c r="X76" s="16">
        <f>COUNTIF(X1:X73,"D")</f>
        <v/>
      </c>
      <c r="Y76" s="16">
        <f>COUNTIF(Y1:Y73,"D")</f>
        <v/>
      </c>
      <c r="Z76" s="16">
        <f>COUNTIF(Z1:Z73,"D")</f>
        <v/>
      </c>
      <c r="AA76" s="16">
        <f>COUNTIF(AA1:AA73,"D")</f>
        <v/>
      </c>
      <c r="AB76" s="16">
        <f>COUNTIF(AB1:AB73,"D")</f>
        <v/>
      </c>
      <c r="AC76" s="16">
        <f>COUNTIF(AC1:AC73,"D")</f>
        <v/>
      </c>
      <c r="AD76" s="16">
        <f>COUNTIF(AD1:AD73,"D")</f>
        <v/>
      </c>
      <c r="AE76" s="16">
        <f>COUNTIF(AE1:AE73,"D")</f>
        <v/>
      </c>
      <c r="AF76" s="16">
        <f>COUNTIF(AF1:AF73,"D")</f>
        <v/>
      </c>
      <c r="AG76" s="16">
        <f>COUNTIF(AG1:AG73,"D")</f>
        <v/>
      </c>
      <c r="AH76" s="16">
        <f>COUNTIF(AH1:AH73,"D")</f>
        <v/>
      </c>
      <c r="AI76" s="16">
        <f>COUNTIF(AI1:AI73,"D")</f>
        <v/>
      </c>
    </row>
    <row r="77" ht="16.2" customHeight="1" thickBot="1">
      <c r="A77" s="111" t="n"/>
      <c r="C77" s="126" t="n"/>
      <c r="D77" s="17" t="inlineStr">
        <is>
          <t>T</t>
        </is>
      </c>
      <c r="E77" s="18">
        <f>COUNTIF(E1:E73,"T")</f>
        <v/>
      </c>
      <c r="F77" s="18">
        <f>COUNTIF(F1:F73,"T")</f>
        <v/>
      </c>
      <c r="G77" s="18">
        <f>COUNTIF(G1:G73,"T")</f>
        <v/>
      </c>
      <c r="H77" s="18">
        <f>COUNTIF(H1:H73,"T")</f>
        <v/>
      </c>
      <c r="I77" s="18">
        <f>COUNTIF(I1:I73,"T")</f>
        <v/>
      </c>
      <c r="J77" s="18">
        <f>COUNTIF(J1:J73,"T")</f>
        <v/>
      </c>
      <c r="K77" s="18">
        <f>COUNTIF(K1:K73,"T")</f>
        <v/>
      </c>
      <c r="L77" s="18">
        <f>COUNTIF(L1:L73,"T")</f>
        <v/>
      </c>
      <c r="M77" s="18">
        <f>COUNTIF(M1:M73,"T")</f>
        <v/>
      </c>
      <c r="N77" s="18">
        <f>COUNTIF(N1:N73,"T")</f>
        <v/>
      </c>
      <c r="O77" s="18">
        <f>COUNTIF(O1:O73,"T")</f>
        <v/>
      </c>
      <c r="P77" s="18">
        <f>COUNTIF(P1:P73,"T")</f>
        <v/>
      </c>
      <c r="Q77" s="18">
        <f>COUNTIF(Q1:Q73,"T")</f>
        <v/>
      </c>
      <c r="R77" s="18">
        <f>COUNTIF(R1:R73,"T")</f>
        <v/>
      </c>
      <c r="S77" s="18">
        <f>COUNTIF(S1:S73,"T")</f>
        <v/>
      </c>
      <c r="T77" s="18">
        <f>COUNTIF(T1:T73,"T")</f>
        <v/>
      </c>
      <c r="U77" s="18">
        <f>COUNTIF(U1:U73,"T")</f>
        <v/>
      </c>
      <c r="V77" s="18">
        <f>COUNTIF(V1:V73,"T")</f>
        <v/>
      </c>
      <c r="W77" s="18">
        <f>COUNTIF(W1:W73,"T")</f>
        <v/>
      </c>
      <c r="X77" s="18">
        <f>COUNTIF(X1:X73,"T")</f>
        <v/>
      </c>
      <c r="Y77" s="18">
        <f>COUNTIF(Y1:Y73,"T")</f>
        <v/>
      </c>
      <c r="Z77" s="18">
        <f>COUNTIF(Z1:Z73,"T")</f>
        <v/>
      </c>
      <c r="AA77" s="18">
        <f>COUNTIF(AA1:AA73,"T")</f>
        <v/>
      </c>
      <c r="AB77" s="18">
        <f>COUNTIF(AB1:AB73,"T")</f>
        <v/>
      </c>
      <c r="AC77" s="18">
        <f>COUNTIF(AC1:AC73,"T")</f>
        <v/>
      </c>
      <c r="AD77" s="18">
        <f>COUNTIF(AD1:AD73,"T")</f>
        <v/>
      </c>
      <c r="AE77" s="18">
        <f>COUNTIF(AE1:AE73,"T")</f>
        <v/>
      </c>
      <c r="AF77" s="18">
        <f>COUNTIF(AF1:AF73,"T")</f>
        <v/>
      </c>
      <c r="AG77" s="18">
        <f>COUNTIF(AG1:AG73,"T")</f>
        <v/>
      </c>
      <c r="AH77" s="18">
        <f>COUNTIF(AH1:AH73,"T")</f>
        <v/>
      </c>
      <c r="AI77" s="18">
        <f>COUNTIF(AI1:AI73,"T")</f>
        <v/>
      </c>
    </row>
    <row r="78" ht="16.2" customHeight="1" thickBot="1">
      <c r="A78" s="117" t="n"/>
      <c r="B78" s="118" t="n"/>
      <c r="C78" s="121" t="n"/>
      <c r="D78" s="19" t="inlineStr">
        <is>
          <t>G</t>
        </is>
      </c>
      <c r="E78" s="20">
        <f>COUNTIF(E1:E73,"G")</f>
        <v/>
      </c>
      <c r="F78" s="20">
        <f>COUNTIF(F1:F73,"G")</f>
        <v/>
      </c>
      <c r="G78" s="20">
        <f>COUNTIF(G1:G73,"G")</f>
        <v/>
      </c>
      <c r="H78" s="20">
        <f>COUNTIF(H1:H73,"G")</f>
        <v/>
      </c>
      <c r="I78" s="20">
        <f>COUNTIF(I1:I73,"G")</f>
        <v/>
      </c>
      <c r="J78" s="20">
        <f>COUNTIF(J1:J73,"G")</f>
        <v/>
      </c>
      <c r="K78" s="20">
        <f>COUNTIF(K1:K73,"G")</f>
        <v/>
      </c>
      <c r="L78" s="20">
        <f>COUNTIF(L1:L73,"G")</f>
        <v/>
      </c>
      <c r="M78" s="20">
        <f>COUNTIF(M1:M73,"G")</f>
        <v/>
      </c>
      <c r="N78" s="20">
        <f>COUNTIF(N1:N73,"G")</f>
        <v/>
      </c>
      <c r="O78" s="20">
        <f>COUNTIF(O1:O73,"G")</f>
        <v/>
      </c>
      <c r="P78" s="20">
        <f>COUNTIF(P1:P73,"G")</f>
        <v/>
      </c>
      <c r="Q78" s="20">
        <f>COUNTIF(Q1:Q73,"G")</f>
        <v/>
      </c>
      <c r="R78" s="20">
        <f>COUNTIF(R1:R73,"G")</f>
        <v/>
      </c>
      <c r="S78" s="20">
        <f>COUNTIF(S1:S73,"G")</f>
        <v/>
      </c>
      <c r="T78" s="20">
        <f>COUNTIF(T1:T73,"G")</f>
        <v/>
      </c>
      <c r="U78" s="20">
        <f>COUNTIF(U1:U73,"G")</f>
        <v/>
      </c>
      <c r="V78" s="20">
        <f>COUNTIF(V1:V73,"G")</f>
        <v/>
      </c>
      <c r="W78" s="20">
        <f>COUNTIF(W1:W73,"G")</f>
        <v/>
      </c>
      <c r="X78" s="20">
        <f>COUNTIF(X1:X73,"G")</f>
        <v/>
      </c>
      <c r="Y78" s="20">
        <f>COUNTIF(Y1:Y73,"G")</f>
        <v/>
      </c>
      <c r="Z78" s="20">
        <f>COUNTIF(Z1:Z73,"G")</f>
        <v/>
      </c>
      <c r="AA78" s="20">
        <f>COUNTIF(AA1:AA73,"G")</f>
        <v/>
      </c>
      <c r="AB78" s="20">
        <f>COUNTIF(AB1:AB73,"G")</f>
        <v/>
      </c>
      <c r="AC78" s="20">
        <f>COUNTIF(AC1:AC73,"G")</f>
        <v/>
      </c>
      <c r="AD78" s="20">
        <f>COUNTIF(AD1:AD73,"G")</f>
        <v/>
      </c>
      <c r="AE78" s="20">
        <f>COUNTIF(AE1:AE73,"G")</f>
        <v/>
      </c>
      <c r="AF78" s="20">
        <f>COUNTIF(AF1:AF73,"G")</f>
        <v/>
      </c>
      <c r="AG78" s="20">
        <f>COUNTIF(AG1:AG73,"G")</f>
        <v/>
      </c>
      <c r="AH78" s="20">
        <f>COUNTIF(AH1:AH73,"G")</f>
        <v/>
      </c>
      <c r="AI78" s="20">
        <f>COUNTIF(AI1:AI73,"G")</f>
        <v/>
      </c>
    </row>
    <row r="79" ht="15" customHeight="1" thickBot="1"/>
    <row r="80" ht="21" customHeight="1" thickBot="1">
      <c r="E80" s="119" t="inlineStr">
        <is>
          <t>SHIFT</t>
        </is>
      </c>
      <c r="F80" s="103" t="n"/>
      <c r="G80" s="103" t="n"/>
      <c r="H80" s="103" t="n"/>
      <c r="I80" s="103" t="n"/>
      <c r="J80" s="104" t="n"/>
    </row>
    <row r="81" ht="16.2" customHeight="1" thickBot="1">
      <c r="E81" s="127" t="inlineStr">
        <is>
          <t>D</t>
        </is>
      </c>
      <c r="F81" s="44" t="inlineStr">
        <is>
          <t>DAY (07:00 - 15:00)</t>
        </is>
      </c>
      <c r="G81" s="103" t="n"/>
      <c r="H81" s="103" t="n"/>
      <c r="I81" s="103" t="n"/>
      <c r="J81" s="104" t="n"/>
    </row>
    <row r="82" ht="16.2" customHeight="1" thickBot="1">
      <c r="E82" s="128" t="inlineStr">
        <is>
          <t>T</t>
        </is>
      </c>
      <c r="F82" s="45" t="inlineStr">
        <is>
          <t>TWI (15:00 - 23:00)</t>
        </is>
      </c>
      <c r="G82" s="103" t="n"/>
      <c r="H82" s="103" t="n"/>
      <c r="I82" s="103" t="n"/>
      <c r="J82" s="104" t="n"/>
      <c r="M82" s="95" t="inlineStr">
        <is>
          <t>ABDULLAH A. ALSHEHRY</t>
        </is>
      </c>
      <c r="N82" s="118" t="n"/>
      <c r="O82" s="118" t="n"/>
      <c r="P82" s="118" t="n"/>
      <c r="Q82" s="118" t="n"/>
      <c r="R82" s="118" t="n"/>
      <c r="S82" s="118" t="n"/>
      <c r="W82" s="96">
        <f>UPPER(TEXT(TODAY(),"DDDD dd/mm/yyyy"))</f>
        <v/>
      </c>
      <c r="X82" s="118" t="n"/>
      <c r="Y82" s="118" t="n"/>
      <c r="Z82" s="118" t="n"/>
      <c r="AA82" s="118" t="n"/>
      <c r="AB82" s="118" t="n"/>
      <c r="AC82" s="118" t="n"/>
    </row>
    <row r="83" ht="16.2" customHeight="1" thickBot="1">
      <c r="E83" s="129" t="inlineStr">
        <is>
          <t>G</t>
        </is>
      </c>
      <c r="F83" s="20" t="inlineStr">
        <is>
          <t>GRV (23:00 - 07:00)</t>
        </is>
      </c>
      <c r="G83" s="103" t="n"/>
      <c r="H83" s="103" t="n"/>
      <c r="I83" s="103" t="n"/>
      <c r="J83" s="104" t="n"/>
      <c r="M83" s="94" t="inlineStr">
        <is>
          <t>SPV CABIN SEC MGR</t>
        </is>
      </c>
      <c r="W83" s="94" t="inlineStr">
        <is>
          <t>DATE</t>
        </is>
      </c>
    </row>
    <row r="85">
      <c r="E85" s="130" t="inlineStr">
        <is>
          <t>CODE LEGEND — ALL CODES</t>
        </is>
      </c>
    </row>
    <row r="86" ht="16" customHeight="1">
      <c r="E86" s="131" t="inlineStr">
        <is>
          <t>D</t>
        </is>
      </c>
      <c r="F86" s="132" t="inlineStr">
        <is>
          <t>DAY</t>
        </is>
      </c>
      <c r="K86" s="133" t="inlineStr">
        <is>
          <t>T</t>
        </is>
      </c>
      <c r="L86" s="132" t="inlineStr">
        <is>
          <t>TWILIGHT</t>
        </is>
      </c>
      <c r="Q86" s="134" t="inlineStr">
        <is>
          <t>G</t>
        </is>
      </c>
      <c r="R86" s="132" t="inlineStr">
        <is>
          <t>GRAVEYARD</t>
        </is>
      </c>
      <c r="W86" s="135" t="inlineStr">
        <is>
          <t>TR</t>
        </is>
      </c>
      <c r="X86" s="132" t="inlineStr">
        <is>
          <t>TRAINING</t>
        </is>
      </c>
      <c r="AC86" s="136" t="inlineStr">
        <is>
          <t>V</t>
        </is>
      </c>
      <c r="AD86" s="132" t="inlineStr">
        <is>
          <t>VACATION</t>
        </is>
      </c>
    </row>
    <row r="87" ht="16" customHeight="1">
      <c r="E87" s="137" t="inlineStr">
        <is>
          <t>R</t>
        </is>
      </c>
      <c r="F87" s="132" t="inlineStr">
        <is>
          <t>REST/RDO</t>
        </is>
      </c>
      <c r="K87" s="138" t="inlineStr">
        <is>
          <t>A</t>
        </is>
      </c>
      <c r="L87" s="132" t="inlineStr">
        <is>
          <t>ABSENT</t>
        </is>
      </c>
      <c r="Q87" s="139" t="inlineStr">
        <is>
          <t>H</t>
        </is>
      </c>
      <c r="R87" s="132" t="inlineStr">
        <is>
          <t>HOLIDAY</t>
        </is>
      </c>
      <c r="W87" s="140" t="inlineStr">
        <is>
          <t>OT</t>
        </is>
      </c>
      <c r="X87" s="132" t="inlineStr">
        <is>
          <t>OVERTIME</t>
        </is>
      </c>
      <c r="AC87" s="141" t="inlineStr">
        <is>
          <t>OS</t>
        </is>
      </c>
      <c r="AD87" s="132" t="inlineStr">
        <is>
          <t>OUTSTATION</t>
        </is>
      </c>
    </row>
    <row r="88" ht="16" customHeight="1">
      <c r="E88" s="142" t="inlineStr">
        <is>
          <t>S/L</t>
        </is>
      </c>
      <c r="F88" s="132" t="inlineStr">
        <is>
          <t>SICK LEAVE</t>
        </is>
      </c>
      <c r="K88" s="143" t="inlineStr">
        <is>
          <t>C/T</t>
        </is>
      </c>
      <c r="L88" s="132" t="inlineStr">
        <is>
          <t>COMP TIME</t>
        </is>
      </c>
      <c r="Q88" s="144" t="inlineStr">
        <is>
          <t>L</t>
        </is>
      </c>
      <c r="R88" s="132" t="inlineStr">
        <is>
          <t>LATE/LEAVE</t>
        </is>
      </c>
      <c r="W88" s="145" t="inlineStr">
        <is>
          <t>N</t>
        </is>
      </c>
      <c r="X88" s="132" t="inlineStr">
        <is>
          <t>NOTE</t>
        </is>
      </c>
    </row>
  </sheetData>
  <mergeCells count="45">
    <mergeCell ref="X88:AA88"/>
    <mergeCell ref="E2:AC2"/>
    <mergeCell ref="C1:C2"/>
    <mergeCell ref="AD87:AG87"/>
    <mergeCell ref="AK6:AN6"/>
    <mergeCell ref="A74:C78"/>
    <mergeCell ref="W82:AC82"/>
    <mergeCell ref="E80:J80"/>
    <mergeCell ref="F83:J83"/>
    <mergeCell ref="F88:I88"/>
    <mergeCell ref="L86:O86"/>
    <mergeCell ref="AL5:AN5"/>
    <mergeCell ref="A46:D47"/>
    <mergeCell ref="AD1:AI2"/>
    <mergeCell ref="A3:D4"/>
    <mergeCell ref="F87:I87"/>
    <mergeCell ref="E62:H62"/>
    <mergeCell ref="B1:B2"/>
    <mergeCell ref="M83:S83"/>
    <mergeCell ref="X86:AA86"/>
    <mergeCell ref="AL4:AN4"/>
    <mergeCell ref="R88:U88"/>
    <mergeCell ref="E64:H64"/>
    <mergeCell ref="R87:U87"/>
    <mergeCell ref="F81:J81"/>
    <mergeCell ref="A22:D23"/>
    <mergeCell ref="D74:D75"/>
    <mergeCell ref="W83:AC83"/>
    <mergeCell ref="A42:D43"/>
    <mergeCell ref="AK3:AN3"/>
    <mergeCell ref="M82:S82"/>
    <mergeCell ref="L87:O87"/>
    <mergeCell ref="X87:AA87"/>
    <mergeCell ref="F86:I86"/>
    <mergeCell ref="E63:H63"/>
    <mergeCell ref="E60:H60"/>
    <mergeCell ref="E1:AC1"/>
    <mergeCell ref="E65:H65"/>
    <mergeCell ref="L88:O88"/>
    <mergeCell ref="F82:J82"/>
    <mergeCell ref="R86:U86"/>
    <mergeCell ref="D1:D2"/>
    <mergeCell ref="E59:H59"/>
    <mergeCell ref="AD86:AG86"/>
    <mergeCell ref="A1:A2"/>
  </mergeCells>
  <conditionalFormatting sqref="E5:AI73">
    <cfRule type="cellIs" priority="13" operator="equal" dxfId="12">
      <formula>"D"</formula>
    </cfRule>
    <cfRule type="cellIs" priority="14" operator="equal" dxfId="13">
      <formula>"T"</formula>
    </cfRule>
    <cfRule type="cellIs" priority="15" operator="equal" dxfId="14">
      <formula>"G"</formula>
    </cfRule>
    <cfRule type="cellIs" priority="16" operator="equal" dxfId="15">
      <formula>"TR"</formula>
    </cfRule>
    <cfRule type="cellIs" priority="17" operator="equal" dxfId="16">
      <formula>"V"</formula>
    </cfRule>
    <cfRule type="cellIs" priority="18" operator="equal" dxfId="17">
      <formula>"A"</formula>
    </cfRule>
    <cfRule type="cellIs" priority="19" operator="equal" dxfId="18">
      <formula>"H"</formula>
    </cfRule>
    <cfRule type="cellIs" priority="20" operator="equal" dxfId="19">
      <formula>"OT"</formula>
    </cfRule>
    <cfRule type="cellIs" priority="21" operator="equal" dxfId="20">
      <formula>"OS"</formula>
    </cfRule>
    <cfRule type="cellIs" priority="22" operator="equal" dxfId="21">
      <formula>"S/L"</formula>
    </cfRule>
    <cfRule type="cellIs" priority="23" operator="equal" dxfId="22">
      <formula>"C/T"</formula>
    </cfRule>
    <cfRule type="cellIs" priority="24" operator="equal" dxfId="23">
      <formula>"L"</formula>
    </cfRule>
    <cfRule type="cellIs" priority="25" operator="equal" dxfId="24">
      <formula>"N"</formula>
    </cfRule>
  </conditionalFormatting>
  <conditionalFormatting sqref="A5:D73">
    <cfRule type="expression" priority="26" dxfId="25">
      <formula>$D5="OJT"</formula>
    </cfRule>
    <cfRule type="expression" priority="27" dxfId="26">
      <formula>$D5="ACT/SUPV"</formula>
    </cfRule>
  </conditionalFormatting>
  <printOptions horizontalCentered="1"/>
  <pageMargins left="0.25" right="0.25" top="0.3" bottom="0.3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Saeed Alghamdi</dc:creator>
  <dcterms:created xmlns:dcterms="http://purl.org/dc/terms/" xmlns:xsi="http://www.w3.org/2001/XMLSchema-instance" xsi:type="dcterms:W3CDTF">2026-07-02T08:03:38Z</dcterms:created>
  <dcterms:modified xmlns:dcterms="http://purl.org/dc/terms/" xmlns:xsi="http://www.w3.org/2001/XMLSchema-instance" xsi:type="dcterms:W3CDTF">2026-09-09T17:41:36Z</dcterms:modified>
  <cp:lastModifiedBy>Ahmed Saeed Alghamdi</cp:lastModifiedBy>
</cp:coreProperties>
</file>