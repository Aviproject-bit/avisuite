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25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b val="1"/>
      <color rgb="00196B24"/>
      <sz val="10"/>
    </font>
    <font>
      <name val="Times New Roman"/>
      <b val="1"/>
      <color rgb="00F9FAFB"/>
      <sz val="10"/>
    </font>
    <font>
      <name val="Times New Roman"/>
      <sz val="9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1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>
      <left/>
      <right/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/>
      <diagonal/>
    </border>
    <border>
      <left/>
      <right/>
      <top style="thin">
        <color rgb="007F8C8D"/>
      </top>
      <bottom style="thin">
        <color rgb="007F8C8D"/>
      </bottom>
      <diagonal/>
    </border>
    <border>
      <left/>
      <right style="thin">
        <color rgb="007F8C8D"/>
      </right>
      <top style="thin">
        <color rgb="007F8C8D"/>
      </top>
      <bottom style="thin">
        <color rgb="007F8C8D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6" fillId="10" borderId="1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9" pivotButton="0" quotePrefix="0" xfId="0"/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5" fillId="0" borderId="0" pivotButton="0" quotePrefix="0" xfId="0"/>
    <xf numFmtId="0" fontId="16" fillId="13" borderId="34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8" fillId="14" borderId="34" applyAlignment="1" pivotButton="0" quotePrefix="0" xfId="0">
      <alignment horizontal="center" vertical="center"/>
    </xf>
    <xf numFmtId="0" fontId="19" fillId="15" borderId="34" applyAlignment="1" pivotButton="0" quotePrefix="0" xfId="0">
      <alignment horizontal="center" vertical="center"/>
    </xf>
    <xf numFmtId="0" fontId="20" fillId="16" borderId="34" applyAlignment="1" pivotButton="0" quotePrefix="0" xfId="0">
      <alignment horizontal="center" vertical="center"/>
    </xf>
    <xf numFmtId="0" fontId="21" fillId="17" borderId="34" applyAlignment="1" pivotButton="0" quotePrefix="0" xfId="0">
      <alignment horizontal="center" vertical="center"/>
    </xf>
    <xf numFmtId="0" fontId="22" fillId="18" borderId="34" applyAlignment="1" pivotButton="0" quotePrefix="0" xfId="0">
      <alignment horizontal="center" vertical="center"/>
    </xf>
    <xf numFmtId="0" fontId="23" fillId="19" borderId="34" applyAlignment="1" pivotButton="0" quotePrefix="0" xfId="0">
      <alignment horizontal="center" vertical="center"/>
    </xf>
    <xf numFmtId="0" fontId="24" fillId="20" borderId="34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6" fillId="0" borderId="28" applyAlignment="1" pivotButton="0" quotePrefix="0" xfId="0">
      <alignment horizontal="center" vertical="center"/>
    </xf>
  </cellXfs>
  <cellStyles count="1">
    <cellStyle name="عادي" xfId="0" builtinId="0"/>
  </cellStyles>
  <dxfs count="20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6B7280"/>
      </font>
      <fill>
        <patternFill>
          <bgColor rgb="00F3F4F6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7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">
        <f>IF(1&lt;=DAY(EOMONTH(DATE($AL$5,$AP$2,1),0)),TEXT(DATE($AL$5,$AP$2,1),"ddd"),"")</f>
        <v/>
      </c>
      <c r="F3" s="1">
        <f>IF(2&lt;=DAY(EOMONTH(DATE($AL$5,$AP$2,1),0)),TEXT(DATE($AL$5,$AP$2,2),"ddd"),"")</f>
        <v/>
      </c>
      <c r="G3" s="1">
        <f>IF(3&lt;=DAY(EOMONTH(DATE($AL$5,$AP$2,1),0)),TEXT(DATE($AL$5,$AP$2,3),"ddd"),"")</f>
        <v/>
      </c>
      <c r="H3" s="1">
        <f>IF(4&lt;=DAY(EOMONTH(DATE($AL$5,$AP$2,1),0)),TEXT(DATE($AL$5,$AP$2,4),"ddd"),"")</f>
        <v/>
      </c>
      <c r="I3" s="1">
        <f>IF(5&lt;=DAY(EOMONTH(DATE($AL$5,$AP$2,1),0)),TEXT(DATE($AL$5,$AP$2,5),"ddd"),"")</f>
        <v/>
      </c>
      <c r="J3" s="1">
        <f>IF(6&lt;=DAY(EOMONTH(DATE($AL$5,$AP$2,1),0)),TEXT(DATE($AL$5,$AP$2,6),"ddd"),"")</f>
        <v/>
      </c>
      <c r="K3" s="1">
        <f>IF(7&lt;=DAY(EOMONTH(DATE($AL$5,$AP$2,1),0)),TEXT(DATE($AL$5,$AP$2,7),"ddd"),"")</f>
        <v/>
      </c>
      <c r="L3" s="1">
        <f>IF(8&lt;=DAY(EOMONTH(DATE($AL$5,$AP$2,1),0)),TEXT(DATE($AL$5,$AP$2,8),"ddd"),"")</f>
        <v/>
      </c>
      <c r="M3" s="1">
        <f>IF(9&lt;=DAY(EOMONTH(DATE($AL$5,$AP$2,1),0)),TEXT(DATE($AL$5,$AP$2,9),"ddd"),"")</f>
        <v/>
      </c>
      <c r="N3" s="1">
        <f>IF(10&lt;=DAY(EOMONTH(DATE($AL$5,$AP$2,1),0)),TEXT(DATE($AL$5,$AP$2,10),"ddd"),"")</f>
        <v/>
      </c>
      <c r="O3" s="1">
        <f>IF(11&lt;=DAY(EOMONTH(DATE($AL$5,$AP$2,1),0)),TEXT(DATE($AL$5,$AP$2,11),"ddd"),"")</f>
        <v/>
      </c>
      <c r="P3" s="1">
        <f>IF(12&lt;=DAY(EOMONTH(DATE($AL$5,$AP$2,1),0)),TEXT(DATE($AL$5,$AP$2,12),"ddd"),"")</f>
        <v/>
      </c>
      <c r="Q3" s="1">
        <f>IF(13&lt;=DAY(EOMONTH(DATE($AL$5,$AP$2,1),0)),TEXT(DATE($AL$5,$AP$2,13),"ddd"),"")</f>
        <v/>
      </c>
      <c r="R3" s="1">
        <f>IF(14&lt;=DAY(EOMONTH(DATE($AL$5,$AP$2,1),0)),TEXT(DATE($AL$5,$AP$2,14),"ddd"),"")</f>
        <v/>
      </c>
      <c r="S3" s="1">
        <f>IF(15&lt;=DAY(EOMONTH(DATE($AL$5,$AP$2,1),0)),TEXT(DATE($AL$5,$AP$2,15),"ddd"),"")</f>
        <v/>
      </c>
      <c r="T3" s="1">
        <f>IF(16&lt;=DAY(EOMONTH(DATE($AL$5,$AP$2,1),0)),TEXT(DATE($AL$5,$AP$2,16),"ddd"),"")</f>
        <v/>
      </c>
      <c r="U3" s="1">
        <f>IF(17&lt;=DAY(EOMONTH(DATE($AL$5,$AP$2,1),0)),TEXT(DATE($AL$5,$AP$2,17),"ddd"),"")</f>
        <v/>
      </c>
      <c r="V3" s="1">
        <f>IF(18&lt;=DAY(EOMONTH(DATE($AL$5,$AP$2,1),0)),TEXT(DATE($AL$5,$AP$2,18),"ddd"),"")</f>
        <v/>
      </c>
      <c r="W3" s="1">
        <f>IF(19&lt;=DAY(EOMONTH(DATE($AL$5,$AP$2,1),0)),TEXT(DATE($AL$5,$AP$2,19),"ddd"),"")</f>
        <v/>
      </c>
      <c r="X3" s="1">
        <f>IF(20&lt;=DAY(EOMONTH(DATE($AL$5,$AP$2,1),0)),TEXT(DATE($AL$5,$AP$2,20),"ddd"),"")</f>
        <v/>
      </c>
      <c r="Y3" s="1">
        <f>IF(21&lt;=DAY(EOMONTH(DATE($AL$5,$AP$2,1),0)),TEXT(DATE($AL$5,$AP$2,21),"ddd"),"")</f>
        <v/>
      </c>
      <c r="Z3" s="1">
        <f>IF(22&lt;=DAY(EOMONTH(DATE($AL$5,$AP$2,1),0)),TEXT(DATE($AL$5,$AP$2,22),"ddd"),"")</f>
        <v/>
      </c>
      <c r="AA3" s="1">
        <f>IF(23&lt;=DAY(EOMONTH(DATE($AL$5,$AP$2,1),0)),TEXT(DATE($AL$5,$AP$2,23),"ddd"),"")</f>
        <v/>
      </c>
      <c r="AB3" s="1">
        <f>IF(24&lt;=DAY(EOMONTH(DATE($AL$5,$AP$2,1),0)),TEXT(DATE($AL$5,$AP$2,24),"ddd"),"")</f>
        <v/>
      </c>
      <c r="AC3" s="1">
        <f>IF(25&lt;=DAY(EOMONTH(DATE($AL$5,$AP$2,1),0)),TEXT(DATE($AL$5,$AP$2,25),"ddd"),"")</f>
        <v/>
      </c>
      <c r="AD3" s="1">
        <f>IF(26&lt;=DAY(EOMONTH(DATE($AL$5,$AP$2,1),0)),TEXT(DATE($AL$5,$AP$2,26),"ddd"),"")</f>
        <v/>
      </c>
      <c r="AE3" s="1">
        <f>IF(27&lt;=DAY(EOMONTH(DATE($AL$5,$AP$2,1),0)),TEXT(DATE($AL$5,$AP$2,27),"ddd"),"")</f>
        <v/>
      </c>
      <c r="AF3" s="1">
        <f>IF(28&lt;=DAY(EOMONTH(DATE($AL$5,$AP$2,1),0)),TEXT(DATE($AL$5,$AP$2,28),"ddd"),"")</f>
        <v/>
      </c>
      <c r="AG3" s="1">
        <f>IF(29&lt;=DAY(EOMONTH(DATE($AL$5,$AP$2,1),0)),TEXT(DATE($AL$5,$AP$2,29),"ddd"),"")</f>
        <v/>
      </c>
      <c r="AH3" s="24">
        <f>IF(30&lt;=DAY(EOMONTH(DATE($AL$5,$AP$2,1),0)),TEXT(DATE($AL$5,$AP$2,30),"ddd"),"")</f>
        <v/>
      </c>
      <c r="AI3" s="21">
        <f>IF(31&lt;=DAY(EOMONTH(DATE($AL$5,$AP$2,1),0)),TEXT(DATE($AL$5,$AP$2,31),"ddd"),"")</f>
        <v/>
      </c>
      <c r="AK3" s="109" t="inlineStr">
        <is>
          <t>ROSTER PERIOD</t>
        </is>
      </c>
    </row>
    <row r="4" ht="16.2" customHeight="1" thickBot="1">
      <c r="A4" s="110" t="n"/>
      <c r="E4" s="2">
        <f>IF(1&lt;=DAY(EOMONTH(DATE($AL$5,$AP$2,1),0)),1,"")</f>
        <v/>
      </c>
      <c r="F4" s="2">
        <f>IF(2&lt;=DAY(EOMONTH(DATE($AL$5,$AP$2,1),0)),2,"")</f>
        <v/>
      </c>
      <c r="G4" s="2">
        <f>IF(3&lt;=DAY(EOMONTH(DATE($AL$5,$AP$2,1),0)),3,"")</f>
        <v/>
      </c>
      <c r="H4" s="2">
        <f>IF(4&lt;=DAY(EOMONTH(DATE($AL$5,$AP$2,1),0)),4,"")</f>
        <v/>
      </c>
      <c r="I4" s="3">
        <f>IF(5&lt;=DAY(EOMONTH(DATE($AL$5,$AP$2,1),0)),5,"")</f>
        <v/>
      </c>
      <c r="J4" s="4">
        <f>IF(6&lt;=DAY(EOMONTH(DATE($AL$5,$AP$2,1),0)),6,"")</f>
        <v/>
      </c>
      <c r="K4" s="4">
        <f>IF(7&lt;=DAY(EOMONTH(DATE($AL$5,$AP$2,1),0)),7,"")</f>
        <v/>
      </c>
      <c r="L4" s="3">
        <f>IF(8&lt;=DAY(EOMONTH(DATE($AL$5,$AP$2,1),0)),8,"")</f>
        <v/>
      </c>
      <c r="M4" s="4">
        <f>IF(9&lt;=DAY(EOMONTH(DATE($AL$5,$AP$2,1),0)),9,"")</f>
        <v/>
      </c>
      <c r="N4" s="2">
        <f>IF(10&lt;=DAY(EOMONTH(DATE($AL$5,$AP$2,1),0)),10,"")</f>
        <v/>
      </c>
      <c r="O4" s="2">
        <f>IF(11&lt;=DAY(EOMONTH(DATE($AL$5,$AP$2,1),0)),11,"")</f>
        <v/>
      </c>
      <c r="P4" s="2">
        <f>IF(12&lt;=DAY(EOMONTH(DATE($AL$5,$AP$2,1),0)),12,"")</f>
        <v/>
      </c>
      <c r="Q4" s="2">
        <f>IF(13&lt;=DAY(EOMONTH(DATE($AL$5,$AP$2,1),0)),13,"")</f>
        <v/>
      </c>
      <c r="R4" s="2">
        <f>IF(14&lt;=DAY(EOMONTH(DATE($AL$5,$AP$2,1),0)),14,"")</f>
        <v/>
      </c>
      <c r="S4" s="2">
        <f>IF(15&lt;=DAY(EOMONTH(DATE($AL$5,$AP$2,1),0)),15,"")</f>
        <v/>
      </c>
      <c r="T4" s="2">
        <f>IF(16&lt;=DAY(EOMONTH(DATE($AL$5,$AP$2,1),0)),16,"")</f>
        <v/>
      </c>
      <c r="U4" s="2">
        <f>IF(17&lt;=DAY(EOMONTH(DATE($AL$5,$AP$2,1),0)),17,"")</f>
        <v/>
      </c>
      <c r="V4" s="2">
        <f>IF(18&lt;=DAY(EOMONTH(DATE($AL$5,$AP$2,1),0)),18,"")</f>
        <v/>
      </c>
      <c r="W4" s="2">
        <f>IF(19&lt;=DAY(EOMONTH(DATE($AL$5,$AP$2,1),0)),19,"")</f>
        <v/>
      </c>
      <c r="X4" s="2">
        <f>IF(20&lt;=DAY(EOMONTH(DATE($AL$5,$AP$2,1),0)),20,"")</f>
        <v/>
      </c>
      <c r="Y4" s="2">
        <f>IF(21&lt;=DAY(EOMONTH(DATE($AL$5,$AP$2,1),0)),21,"")</f>
        <v/>
      </c>
      <c r="Z4" s="2">
        <f>IF(22&lt;=DAY(EOMONTH(DATE($AL$5,$AP$2,1),0)),22,"")</f>
        <v/>
      </c>
      <c r="AA4" s="2">
        <f>IF(23&lt;=DAY(EOMONTH(DATE($AL$5,$AP$2,1),0)),23,"")</f>
        <v/>
      </c>
      <c r="AB4" s="2">
        <f>IF(24&lt;=DAY(EOMONTH(DATE($AL$5,$AP$2,1),0)),24,"")</f>
        <v/>
      </c>
      <c r="AC4" s="2">
        <f>IF(25&lt;=DAY(EOMONTH(DATE($AL$5,$AP$2,1),0)),25,"")</f>
        <v/>
      </c>
      <c r="AD4" s="2">
        <f>IF(26&lt;=DAY(EOMONTH(DATE($AL$5,$AP$2,1),0)),26,"")</f>
        <v/>
      </c>
      <c r="AE4" s="2">
        <f>IF(27&lt;=DAY(EOMONTH(DATE($AL$5,$AP$2,1),0)),27,"")</f>
        <v/>
      </c>
      <c r="AF4" s="2">
        <f>IF(28&lt;=DAY(EOMONTH(DATE($AL$5,$AP$2,1),0)),28,"")</f>
        <v/>
      </c>
      <c r="AG4" s="2">
        <f>IF(29&lt;=DAY(EOMONTH(DATE($AL$5,$AP$2,1),0)),29,"")</f>
        <v/>
      </c>
      <c r="AH4" s="25">
        <f>IF(30&lt;=DAY(EOMONTH(DATE($AL$5,$AP$2,1),0)),30,"")</f>
        <v/>
      </c>
      <c r="AI4" s="22">
        <f>IF(31&lt;=DAY(EOMONTH(DATE($AL$5,$AP$2,1),0)),31,"")</f>
        <v/>
      </c>
      <c r="AK4" s="111" t="inlineStr">
        <is>
          <t>MONTH</t>
        </is>
      </c>
      <c r="AL4" s="112" t="inlineStr">
        <is>
          <t>JUL</t>
        </is>
      </c>
      <c r="AM4" s="135" t="n"/>
      <c r="AN4" s="136" t="n"/>
    </row>
    <row r="5" ht="16.2" customHeight="1" thickBot="1">
      <c r="A5" s="5" t="n">
        <v>1</v>
      </c>
      <c r="B5" s="33" t="n"/>
      <c r="C5" s="33" t="n"/>
      <c r="D5" s="34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11" t="inlineStr">
        <is>
          <t>YEAR</t>
        </is>
      </c>
      <c r="AL5" s="112" t="n">
        <v>2026</v>
      </c>
      <c r="AM5" s="135" t="n"/>
      <c r="AN5" s="136" t="n"/>
    </row>
    <row r="6" ht="16.2" customHeight="1" thickBot="1">
      <c r="A6" s="5" t="n">
        <v>2</v>
      </c>
      <c r="B6" s="33" t="n"/>
      <c r="C6" s="33" t="n"/>
      <c r="D6" s="33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AK6" s="113" t="inlineStr">
        <is>
          <t>type JUL / JULY / 7</t>
        </is>
      </c>
    </row>
    <row r="7" ht="16.2" customHeight="1" thickBot="1">
      <c r="A7" s="5" t="n">
        <v>3</v>
      </c>
      <c r="B7" s="35" t="n"/>
      <c r="C7" s="33" t="n"/>
      <c r="D7" s="33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33" t="n"/>
      <c r="C8" s="33" t="n"/>
      <c r="D8" s="33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36" t="n"/>
      <c r="C9" s="36" t="n"/>
      <c r="D9" s="37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38" t="n"/>
      <c r="C10" s="38" t="n"/>
      <c r="D10" s="38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38" t="n"/>
      <c r="C11" s="38" t="n"/>
      <c r="D11" s="38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38" t="n"/>
      <c r="C12" s="38" t="n"/>
      <c r="D12" s="38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38" t="n"/>
      <c r="C13" s="38" t="n"/>
      <c r="D13" s="38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38" t="n"/>
      <c r="C14" s="38" t="n"/>
      <c r="D14" s="38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38" t="n"/>
      <c r="C15" s="38" t="n"/>
      <c r="D15" s="38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36" t="n"/>
      <c r="C16" s="36" t="n"/>
      <c r="D16" s="39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36" t="n"/>
      <c r="C17" s="36" t="n"/>
      <c r="D17" s="37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36" t="n"/>
      <c r="C18" s="36" t="n"/>
      <c r="D18" s="39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36" t="n"/>
      <c r="C19" s="36" t="n"/>
      <c r="D19" s="37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36" t="n"/>
      <c r="C20" s="36" t="n"/>
      <c r="D20" s="37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14" t="n"/>
      <c r="C22" s="114" t="n"/>
      <c r="D22" s="114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1" t="n"/>
    </row>
    <row r="23" ht="16.2" customHeight="1" thickBot="1">
      <c r="A23" s="115" t="n"/>
      <c r="B23" s="116" t="n"/>
      <c r="C23" s="116" t="n"/>
      <c r="D23" s="116" t="n"/>
      <c r="E23" s="2" t="n"/>
      <c r="F23" s="2" t="n"/>
      <c r="G23" s="2" t="n"/>
      <c r="H23" s="2" t="n"/>
      <c r="I23" s="3" t="n"/>
      <c r="J23" s="4" t="n"/>
      <c r="K23" s="4" t="n"/>
      <c r="L23" s="3" t="n"/>
      <c r="M23" s="4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5" t="n"/>
    </row>
    <row r="24" ht="16.2" customHeight="1" thickBot="1">
      <c r="A24" s="5" t="n">
        <v>1</v>
      </c>
      <c r="B24" s="33" t="n"/>
      <c r="C24" s="33" t="n"/>
      <c r="D24" s="33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33" t="n"/>
      <c r="C25" s="33" t="n"/>
      <c r="D25" s="33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36" t="n"/>
      <c r="C26" s="36" t="n"/>
      <c r="D26" s="40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36" t="n"/>
      <c r="C27" s="36" t="n"/>
      <c r="D27" s="40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36" t="n"/>
      <c r="C28" s="36" t="n"/>
      <c r="D28" s="40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38" t="n"/>
      <c r="C29" s="38" t="n"/>
      <c r="D29" s="38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38" t="n"/>
      <c r="C30" s="38" t="n"/>
      <c r="D30" s="38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38" t="n"/>
      <c r="C31" s="38" t="n"/>
      <c r="D31" s="38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38" t="n"/>
      <c r="C32" s="38" t="n"/>
      <c r="D32" s="38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38" t="n"/>
      <c r="C33" s="38" t="n"/>
      <c r="D33" s="38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38" t="n"/>
      <c r="C34" s="38" t="n"/>
      <c r="D34" s="38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38" t="n"/>
      <c r="C35" s="38" t="n"/>
      <c r="D35" s="38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38" t="n"/>
      <c r="C36" s="38" t="n"/>
      <c r="D36" s="38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36" t="n"/>
      <c r="C37" s="36" t="n"/>
      <c r="D37" s="3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36" t="n"/>
      <c r="C38" s="36" t="n"/>
      <c r="D38" s="3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36" t="n"/>
      <c r="C39" s="36" t="n"/>
      <c r="D39" s="3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36" t="n"/>
      <c r="C40" s="36" t="n"/>
      <c r="D40" s="36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17" t="inlineStr">
        <is>
          <t>SPECIAL SHIFTING</t>
        </is>
      </c>
      <c r="B42" s="114" t="n"/>
      <c r="C42" s="114" t="n"/>
      <c r="D42" s="118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</row>
    <row r="43" ht="16.2" customHeight="1" thickBot="1">
      <c r="A43" s="115" t="n"/>
      <c r="B43" s="116" t="n"/>
      <c r="C43" s="116" t="n"/>
      <c r="D43" s="119" t="n"/>
      <c r="E43" s="2" t="n"/>
      <c r="F43" s="2" t="n"/>
      <c r="G43" s="2" t="n"/>
      <c r="H43" s="2" t="n"/>
      <c r="I43" s="3" t="n"/>
      <c r="J43" s="4" t="n"/>
      <c r="K43" s="4" t="n"/>
      <c r="L43" s="3" t="n"/>
      <c r="M43" s="4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</row>
    <row r="44" ht="16.2" customHeight="1" thickBot="1">
      <c r="A44" s="5" t="n">
        <v>1</v>
      </c>
      <c r="B44" s="37" t="n"/>
      <c r="C44" s="37" t="n"/>
      <c r="D44" s="37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3" t="n"/>
      <c r="C45" s="13" t="n"/>
      <c r="D45" s="13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17" t="inlineStr">
        <is>
          <t>TRANSFERRED-IN MANPOWER</t>
        </is>
      </c>
      <c r="B46" s="114" t="n"/>
      <c r="C46" s="114" t="n"/>
      <c r="D46" s="118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</row>
    <row r="47" ht="16.2" customHeight="1" thickBot="1">
      <c r="A47" s="115" t="n"/>
      <c r="B47" s="116" t="n"/>
      <c r="C47" s="116" t="n"/>
      <c r="D47" s="119" t="n"/>
      <c r="E47" s="2" t="n"/>
      <c r="F47" s="2" t="n"/>
      <c r="G47" s="2" t="n"/>
      <c r="H47" s="2" t="n"/>
      <c r="I47" s="3" t="n"/>
      <c r="J47" s="4" t="n"/>
      <c r="K47" s="4" t="n"/>
      <c r="L47" s="3" t="n"/>
      <c r="M47" s="4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</row>
    <row r="48" ht="16.2" customHeight="1" thickBot="1">
      <c r="A48" s="9" t="n">
        <v>1</v>
      </c>
      <c r="B48" s="37" t="n"/>
      <c r="C48" s="37" t="n"/>
      <c r="D48" s="37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37" t="n"/>
      <c r="C49" s="37" t="n"/>
      <c r="D49" s="37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37" t="n"/>
      <c r="C50" s="37" t="n"/>
      <c r="D50" s="37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37" t="n"/>
      <c r="C51" s="37" t="n"/>
      <c r="D51" s="37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37" t="n"/>
      <c r="C52" s="37" t="n"/>
      <c r="D52" s="37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37" t="n"/>
      <c r="C53" s="37" t="n"/>
      <c r="D53" s="37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37" t="n"/>
      <c r="C54" s="37" t="n"/>
      <c r="D54" s="37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37" t="n"/>
      <c r="C55" s="37" t="n"/>
      <c r="D55" s="37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37" t="n"/>
      <c r="C56" s="37" t="n"/>
      <c r="D56" s="37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37" t="n"/>
      <c r="C57" s="37" t="n"/>
      <c r="D57" s="40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37" t="n"/>
      <c r="C58" s="37" t="n"/>
      <c r="D58" s="40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37" t="n"/>
      <c r="C59" s="37" t="n"/>
      <c r="D59" s="40" t="n"/>
      <c r="E59" s="6" t="n"/>
      <c r="F59" s="121" t="n"/>
      <c r="G59" s="121" t="n"/>
      <c r="H59" s="12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37" t="n"/>
      <c r="C60" s="37" t="n"/>
      <c r="D60" s="40" t="n"/>
      <c r="E60" s="6" t="n"/>
      <c r="F60" s="121" t="n"/>
      <c r="G60" s="121" t="n"/>
      <c r="H60" s="12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37" t="n"/>
      <c r="C61" s="37" t="n"/>
      <c r="D61" s="40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37" t="n"/>
      <c r="C62" s="37" t="n"/>
      <c r="D62" s="40" t="n"/>
      <c r="E62" s="6" t="n"/>
      <c r="F62" s="121" t="n"/>
      <c r="G62" s="121" t="n"/>
      <c r="H62" s="12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37" t="n"/>
      <c r="C63" s="37" t="n"/>
      <c r="D63" s="40" t="n"/>
      <c r="E63" s="6" t="n"/>
      <c r="F63" s="121" t="n"/>
      <c r="G63" s="121" t="n"/>
      <c r="H63" s="12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37" t="n"/>
      <c r="C64" s="37" t="n"/>
      <c r="D64" s="40" t="n"/>
      <c r="E64" s="6" t="n"/>
      <c r="F64" s="121" t="n"/>
      <c r="G64" s="121" t="n"/>
      <c r="H64" s="12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37" t="n"/>
      <c r="C65" s="37" t="n"/>
      <c r="D65" s="40" t="n"/>
      <c r="E65" s="6" t="n"/>
      <c r="F65" s="121" t="n"/>
      <c r="G65" s="121" t="n"/>
      <c r="H65" s="12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37" t="n"/>
      <c r="C66" s="37" t="n"/>
      <c r="D66" s="40" t="n"/>
      <c r="E66" s="137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37" t="n"/>
      <c r="C67" s="37" t="n"/>
      <c r="D67" s="40" t="n"/>
      <c r="E67" s="137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37" t="n"/>
      <c r="C68" s="37" t="n"/>
      <c r="D68" s="40" t="n"/>
      <c r="E68" s="137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37" t="n"/>
      <c r="C69" s="37" t="n"/>
      <c r="D69" s="40" t="n"/>
      <c r="E69" s="137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37" t="n"/>
      <c r="C70" s="37" t="n"/>
      <c r="D70" s="40" t="n"/>
      <c r="E70" s="137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37" t="n"/>
      <c r="C71" s="37" t="n"/>
      <c r="D71" s="40" t="n"/>
      <c r="E71" s="137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37" t="n"/>
      <c r="C72" s="37" t="n"/>
      <c r="D72" s="40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3" t="n"/>
      <c r="C73" s="13" t="n"/>
      <c r="D73" s="13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23" t="inlineStr">
        <is>
          <t>TOTAL DAILY CREWS MANPOWER</t>
        </is>
      </c>
      <c r="B74" s="114" t="n"/>
      <c r="C74" s="118" t="n"/>
      <c r="D74" s="117" t="inlineStr">
        <is>
          <t>SHIFT</t>
        </is>
      </c>
      <c r="E74" s="1">
        <f>IF(1&lt;=DAY(EOMONTH(DATE($AL$5,$AP$2,1),0)),TEXT(DATE($AL$5,$AP$2,1),"ddd"),"")</f>
        <v/>
      </c>
      <c r="F74" s="1">
        <f>IF(2&lt;=DAY(EOMONTH(DATE($AL$5,$AP$2,1),0)),TEXT(DATE($AL$5,$AP$2,2),"ddd"),"")</f>
        <v/>
      </c>
      <c r="G74" s="1">
        <f>IF(3&lt;=DAY(EOMONTH(DATE($AL$5,$AP$2,1),0)),TEXT(DATE($AL$5,$AP$2,3),"ddd"),"")</f>
        <v/>
      </c>
      <c r="H74" s="1">
        <f>IF(4&lt;=DAY(EOMONTH(DATE($AL$5,$AP$2,1),0)),TEXT(DATE($AL$5,$AP$2,4),"ddd"),"")</f>
        <v/>
      </c>
      <c r="I74" s="1">
        <f>IF(5&lt;=DAY(EOMONTH(DATE($AL$5,$AP$2,1),0)),TEXT(DATE($AL$5,$AP$2,5),"ddd"),"")</f>
        <v/>
      </c>
      <c r="J74" s="1">
        <f>IF(6&lt;=DAY(EOMONTH(DATE($AL$5,$AP$2,1),0)),TEXT(DATE($AL$5,$AP$2,6),"ddd"),"")</f>
        <v/>
      </c>
      <c r="K74" s="1">
        <f>IF(7&lt;=DAY(EOMONTH(DATE($AL$5,$AP$2,1),0)),TEXT(DATE($AL$5,$AP$2,7),"ddd"),"")</f>
        <v/>
      </c>
      <c r="L74" s="1">
        <f>IF(8&lt;=DAY(EOMONTH(DATE($AL$5,$AP$2,1),0)),TEXT(DATE($AL$5,$AP$2,8),"ddd"),"")</f>
        <v/>
      </c>
      <c r="M74" s="1">
        <f>IF(9&lt;=DAY(EOMONTH(DATE($AL$5,$AP$2,1),0)),TEXT(DATE($AL$5,$AP$2,9),"ddd"),"")</f>
        <v/>
      </c>
      <c r="N74" s="1">
        <f>IF(10&lt;=DAY(EOMONTH(DATE($AL$5,$AP$2,1),0)),TEXT(DATE($AL$5,$AP$2,10),"ddd"),"")</f>
        <v/>
      </c>
      <c r="O74" s="1">
        <f>IF(11&lt;=DAY(EOMONTH(DATE($AL$5,$AP$2,1),0)),TEXT(DATE($AL$5,$AP$2,11),"ddd"),"")</f>
        <v/>
      </c>
      <c r="P74" s="1">
        <f>IF(12&lt;=DAY(EOMONTH(DATE($AL$5,$AP$2,1),0)),TEXT(DATE($AL$5,$AP$2,12),"ddd"),"")</f>
        <v/>
      </c>
      <c r="Q74" s="1">
        <f>IF(13&lt;=DAY(EOMONTH(DATE($AL$5,$AP$2,1),0)),TEXT(DATE($AL$5,$AP$2,13),"ddd"),"")</f>
        <v/>
      </c>
      <c r="R74" s="1">
        <f>IF(14&lt;=DAY(EOMONTH(DATE($AL$5,$AP$2,1),0)),TEXT(DATE($AL$5,$AP$2,14),"ddd"),"")</f>
        <v/>
      </c>
      <c r="S74" s="1">
        <f>IF(15&lt;=DAY(EOMONTH(DATE($AL$5,$AP$2,1),0)),TEXT(DATE($AL$5,$AP$2,15),"ddd"),"")</f>
        <v/>
      </c>
      <c r="T74" s="1">
        <f>IF(16&lt;=DAY(EOMONTH(DATE($AL$5,$AP$2,1),0)),TEXT(DATE($AL$5,$AP$2,16),"ddd"),"")</f>
        <v/>
      </c>
      <c r="U74" s="1">
        <f>IF(17&lt;=DAY(EOMONTH(DATE($AL$5,$AP$2,1),0)),TEXT(DATE($AL$5,$AP$2,17),"ddd"),"")</f>
        <v/>
      </c>
      <c r="V74" s="1">
        <f>IF(18&lt;=DAY(EOMONTH(DATE($AL$5,$AP$2,1),0)),TEXT(DATE($AL$5,$AP$2,18),"ddd"),"")</f>
        <v/>
      </c>
      <c r="W74" s="1">
        <f>IF(19&lt;=DAY(EOMONTH(DATE($AL$5,$AP$2,1),0)),TEXT(DATE($AL$5,$AP$2,19),"ddd"),"")</f>
        <v/>
      </c>
      <c r="X74" s="1">
        <f>IF(20&lt;=DAY(EOMONTH(DATE($AL$5,$AP$2,1),0)),TEXT(DATE($AL$5,$AP$2,20),"ddd"),"")</f>
        <v/>
      </c>
      <c r="Y74" s="1">
        <f>IF(21&lt;=DAY(EOMONTH(DATE($AL$5,$AP$2,1),0)),TEXT(DATE($AL$5,$AP$2,21),"ddd"),"")</f>
        <v/>
      </c>
      <c r="Z74" s="1">
        <f>IF(22&lt;=DAY(EOMONTH(DATE($AL$5,$AP$2,1),0)),TEXT(DATE($AL$5,$AP$2,22),"ddd"),"")</f>
        <v/>
      </c>
      <c r="AA74" s="1">
        <f>IF(23&lt;=DAY(EOMONTH(DATE($AL$5,$AP$2,1),0)),TEXT(DATE($AL$5,$AP$2,23),"ddd"),"")</f>
        <v/>
      </c>
      <c r="AB74" s="1">
        <f>IF(24&lt;=DAY(EOMONTH(DATE($AL$5,$AP$2,1),0)),TEXT(DATE($AL$5,$AP$2,24),"ddd"),"")</f>
        <v/>
      </c>
      <c r="AC74" s="1">
        <f>IF(25&lt;=DAY(EOMONTH(DATE($AL$5,$AP$2,1),0)),TEXT(DATE($AL$5,$AP$2,25),"ddd"),"")</f>
        <v/>
      </c>
      <c r="AD74" s="1">
        <f>IF(26&lt;=DAY(EOMONTH(DATE($AL$5,$AP$2,1),0)),TEXT(DATE($AL$5,$AP$2,26),"ddd"),"")</f>
        <v/>
      </c>
      <c r="AE74" s="1">
        <f>IF(27&lt;=DAY(EOMONTH(DATE($AL$5,$AP$2,1),0)),TEXT(DATE($AL$5,$AP$2,27),"ddd"),"")</f>
        <v/>
      </c>
      <c r="AF74" s="1">
        <f>IF(28&lt;=DAY(EOMONTH(DATE($AL$5,$AP$2,1),0)),TEXT(DATE($AL$5,$AP$2,28),"ddd"),"")</f>
        <v/>
      </c>
      <c r="AG74" s="1">
        <f>IF(29&lt;=DAY(EOMONTH(DATE($AL$5,$AP$2,1),0)),TEXT(DATE($AL$5,$AP$2,29),"ddd"),"")</f>
        <v/>
      </c>
      <c r="AH74" s="1">
        <f>IF(30&lt;=DAY(EOMONTH(DATE($AL$5,$AP$2,1),0)),TEXT(DATE($AL$5,$AP$2,30),"ddd"),"")</f>
        <v/>
      </c>
      <c r="AI74" s="1">
        <f>IF(31&lt;=DAY(EOMONTH(DATE($AL$5,$AP$2,1),0)),TEXT(DATE($AL$5,$AP$2,31),"ddd"),"")</f>
        <v/>
      </c>
    </row>
    <row r="75" ht="16.2" customHeight="1" thickBot="1">
      <c r="A75" s="110" t="n"/>
      <c r="C75" s="124" t="n"/>
      <c r="D75" s="105" t="n"/>
      <c r="E75" s="2">
        <f>IF(1&lt;=DAY(EOMONTH(DATE($AL$5,$AP$2,1),0)),1,"")</f>
        <v/>
      </c>
      <c r="F75" s="2">
        <f>IF(2&lt;=DAY(EOMONTH(DATE($AL$5,$AP$2,1),0)),2,"")</f>
        <v/>
      </c>
      <c r="G75" s="2">
        <f>IF(3&lt;=DAY(EOMONTH(DATE($AL$5,$AP$2,1),0)),3,"")</f>
        <v/>
      </c>
      <c r="H75" s="2">
        <f>IF(4&lt;=DAY(EOMONTH(DATE($AL$5,$AP$2,1),0)),4,"")</f>
        <v/>
      </c>
      <c r="I75" s="3">
        <f>IF(5&lt;=DAY(EOMONTH(DATE($AL$5,$AP$2,1),0)),5,"")</f>
        <v/>
      </c>
      <c r="J75" s="4">
        <f>IF(6&lt;=DAY(EOMONTH(DATE($AL$5,$AP$2,1),0)),6,"")</f>
        <v/>
      </c>
      <c r="K75" s="4">
        <f>IF(7&lt;=DAY(EOMONTH(DATE($AL$5,$AP$2,1),0)),7,"")</f>
        <v/>
      </c>
      <c r="L75" s="3">
        <f>IF(8&lt;=DAY(EOMONTH(DATE($AL$5,$AP$2,1),0)),8,"")</f>
        <v/>
      </c>
      <c r="M75" s="4">
        <f>IF(9&lt;=DAY(EOMONTH(DATE($AL$5,$AP$2,1),0)),9,"")</f>
        <v/>
      </c>
      <c r="N75" s="2">
        <f>IF(10&lt;=DAY(EOMONTH(DATE($AL$5,$AP$2,1),0)),10,"")</f>
        <v/>
      </c>
      <c r="O75" s="2">
        <f>IF(11&lt;=DAY(EOMONTH(DATE($AL$5,$AP$2,1),0)),11,"")</f>
        <v/>
      </c>
      <c r="P75" s="2">
        <f>IF(12&lt;=DAY(EOMONTH(DATE($AL$5,$AP$2,1),0)),12,"")</f>
        <v/>
      </c>
      <c r="Q75" s="2">
        <f>IF(13&lt;=DAY(EOMONTH(DATE($AL$5,$AP$2,1),0)),13,"")</f>
        <v/>
      </c>
      <c r="R75" s="2">
        <f>IF(14&lt;=DAY(EOMONTH(DATE($AL$5,$AP$2,1),0)),14,"")</f>
        <v/>
      </c>
      <c r="S75" s="2">
        <f>IF(15&lt;=DAY(EOMONTH(DATE($AL$5,$AP$2,1),0)),15,"")</f>
        <v/>
      </c>
      <c r="T75" s="2">
        <f>IF(16&lt;=DAY(EOMONTH(DATE($AL$5,$AP$2,1),0)),16,"")</f>
        <v/>
      </c>
      <c r="U75" s="2">
        <f>IF(17&lt;=DAY(EOMONTH(DATE($AL$5,$AP$2,1),0)),17,"")</f>
        <v/>
      </c>
      <c r="V75" s="2">
        <f>IF(18&lt;=DAY(EOMONTH(DATE($AL$5,$AP$2,1),0)),18,"")</f>
        <v/>
      </c>
      <c r="W75" s="2">
        <f>IF(19&lt;=DAY(EOMONTH(DATE($AL$5,$AP$2,1),0)),19,"")</f>
        <v/>
      </c>
      <c r="X75" s="2">
        <f>IF(20&lt;=DAY(EOMONTH(DATE($AL$5,$AP$2,1),0)),20,"")</f>
        <v/>
      </c>
      <c r="Y75" s="2">
        <f>IF(21&lt;=DAY(EOMONTH(DATE($AL$5,$AP$2,1),0)),21,"")</f>
        <v/>
      </c>
      <c r="Z75" s="2">
        <f>IF(22&lt;=DAY(EOMONTH(DATE($AL$5,$AP$2,1),0)),22,"")</f>
        <v/>
      </c>
      <c r="AA75" s="2">
        <f>IF(23&lt;=DAY(EOMONTH(DATE($AL$5,$AP$2,1),0)),23,"")</f>
        <v/>
      </c>
      <c r="AB75" s="2">
        <f>IF(24&lt;=DAY(EOMONTH(DATE($AL$5,$AP$2,1),0)),24,"")</f>
        <v/>
      </c>
      <c r="AC75" s="2">
        <f>IF(25&lt;=DAY(EOMONTH(DATE($AL$5,$AP$2,1),0)),25,"")</f>
        <v/>
      </c>
      <c r="AD75" s="2">
        <f>IF(26&lt;=DAY(EOMONTH(DATE($AL$5,$AP$2,1),0)),26,"")</f>
        <v/>
      </c>
      <c r="AE75" s="2">
        <f>IF(27&lt;=DAY(EOMONTH(DATE($AL$5,$AP$2,1),0)),27,"")</f>
        <v/>
      </c>
      <c r="AF75" s="2">
        <f>IF(28&lt;=DAY(EOMONTH(DATE($AL$5,$AP$2,1),0)),28,"")</f>
        <v/>
      </c>
      <c r="AG75" s="2">
        <f>IF(29&lt;=DAY(EOMONTH(DATE($AL$5,$AP$2,1),0)),29,"")</f>
        <v/>
      </c>
      <c r="AH75" s="2">
        <f>IF(30&lt;=DAY(EOMONTH(DATE($AL$5,$AP$2,1),0)),30,"")</f>
        <v/>
      </c>
      <c r="AI75" s="2">
        <f>IF(31&lt;=DAY(EOMONTH(DATE($AL$5,$AP$2,1),0)),31,"")</f>
        <v/>
      </c>
    </row>
    <row r="76" ht="16.2" customHeight="1" thickBot="1">
      <c r="A76" s="110" t="n"/>
      <c r="C76" s="124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24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15" t="n"/>
      <c r="B78" s="116" t="n"/>
      <c r="C78" s="119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17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16" t="n"/>
      <c r="O82" s="116" t="n"/>
      <c r="P82" s="116" t="n"/>
      <c r="Q82" s="116" t="n"/>
      <c r="R82" s="116" t="n"/>
      <c r="S82" s="116" t="n"/>
      <c r="W82" s="96">
        <f>UPPER(TEXT(TODAY(),"DDDD dd/mm/yyyy"))</f>
        <v/>
      </c>
      <c r="X82" s="116" t="n"/>
      <c r="Y82" s="116" t="n"/>
      <c r="Z82" s="116" t="n"/>
      <c r="AA82" s="116" t="n"/>
      <c r="AB82" s="116" t="n"/>
      <c r="AC82" s="116" t="n"/>
    </row>
    <row r="83" ht="16.2" customHeight="1" thickBot="1">
      <c r="E83" s="46" t="inlineStr">
        <is>
          <t>G</t>
        </is>
      </c>
      <c r="F83" s="20" t="n"/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25" t="inlineStr">
        <is>
          <t>ADDITIONAL CODES</t>
        </is>
      </c>
    </row>
    <row r="86" ht="16" customHeight="1">
      <c r="E86" s="126" t="inlineStr">
        <is>
          <t>A</t>
        </is>
      </c>
      <c r="F86" s="127" t="inlineStr">
        <is>
          <t>ABSENT</t>
        </is>
      </c>
      <c r="L86" s="128" t="inlineStr">
        <is>
          <t>H</t>
        </is>
      </c>
      <c r="M86" s="127" t="inlineStr">
        <is>
          <t>HOLIDAY</t>
        </is>
      </c>
      <c r="S86" s="129" t="inlineStr">
        <is>
          <t>OT</t>
        </is>
      </c>
      <c r="T86" s="127" t="inlineStr">
        <is>
          <t>OVERTIME</t>
        </is>
      </c>
      <c r="Z86" s="130" t="inlineStr">
        <is>
          <t>OS</t>
        </is>
      </c>
      <c r="AA86" s="127" t="inlineStr">
        <is>
          <t>OUTSTATION</t>
        </is>
      </c>
    </row>
    <row r="87" ht="16" customHeight="1">
      <c r="E87" s="131" t="inlineStr">
        <is>
          <t>S/L</t>
        </is>
      </c>
      <c r="F87" s="127" t="inlineStr">
        <is>
          <t>SICK LEAVE</t>
        </is>
      </c>
      <c r="L87" s="132" t="inlineStr">
        <is>
          <t>C/T</t>
        </is>
      </c>
      <c r="M87" s="127" t="inlineStr">
        <is>
          <t>COMP TIME</t>
        </is>
      </c>
      <c r="S87" s="133" t="inlineStr">
        <is>
          <t>L</t>
        </is>
      </c>
      <c r="T87" s="127" t="inlineStr">
        <is>
          <t>LATE/LEAVE</t>
        </is>
      </c>
      <c r="Z87" s="134" t="inlineStr">
        <is>
          <t>N</t>
        </is>
      </c>
      <c r="AA87" s="127" t="inlineStr">
        <is>
          <t>NOTE</t>
        </is>
      </c>
    </row>
  </sheetData>
  <mergeCells count="39">
    <mergeCell ref="M87:Q87"/>
    <mergeCell ref="F87:J87"/>
    <mergeCell ref="E2:AC2"/>
    <mergeCell ref="C1:C2"/>
    <mergeCell ref="AK6:AN6"/>
    <mergeCell ref="A74:C78"/>
    <mergeCell ref="W82:AC82"/>
    <mergeCell ref="AA87:AE87"/>
    <mergeCell ref="E80:J80"/>
    <mergeCell ref="F83:J83"/>
    <mergeCell ref="AA86:AE86"/>
    <mergeCell ref="T87:X87"/>
    <mergeCell ref="AL5:AN5"/>
    <mergeCell ref="A46:D47"/>
    <mergeCell ref="AD1:AI2"/>
    <mergeCell ref="A3:D4"/>
    <mergeCell ref="F86:J86"/>
    <mergeCell ref="E62:H62"/>
    <mergeCell ref="B1:B2"/>
    <mergeCell ref="M83:S83"/>
    <mergeCell ref="AL4:AN4"/>
    <mergeCell ref="E64:H64"/>
    <mergeCell ref="F81:J81"/>
    <mergeCell ref="A22:D23"/>
    <mergeCell ref="D74:D75"/>
    <mergeCell ref="W83:AC83"/>
    <mergeCell ref="A42:D43"/>
    <mergeCell ref="AK3:AN3"/>
    <mergeCell ref="M82:S82"/>
    <mergeCell ref="M86:Q86"/>
    <mergeCell ref="E63:H63"/>
    <mergeCell ref="E60:H60"/>
    <mergeCell ref="E1:AC1"/>
    <mergeCell ref="E65:H65"/>
    <mergeCell ref="T86:X86"/>
    <mergeCell ref="F82:J82"/>
    <mergeCell ref="D1:D2"/>
    <mergeCell ref="E59:H59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  <cfRule type="cellIs" priority="21" operator="equal" dxfId="12">
      <formula>"A"</formula>
    </cfRule>
    <cfRule type="cellIs" priority="22" operator="equal" dxfId="13">
      <formula>"H"</formula>
    </cfRule>
    <cfRule type="cellIs" priority="23" operator="equal" dxfId="14">
      <formula>"OT"</formula>
    </cfRule>
    <cfRule type="cellIs" priority="24" operator="equal" dxfId="15">
      <formula>"OS"</formula>
    </cfRule>
    <cfRule type="cellIs" priority="25" operator="equal" dxfId="16">
      <formula>"S/L"</formula>
    </cfRule>
    <cfRule type="cellIs" priority="26" operator="equal" dxfId="17">
      <formula>"C/T"</formula>
    </cfRule>
    <cfRule type="cellIs" priority="27" operator="equal" dxfId="18">
      <formula>"L"</formula>
    </cfRule>
    <cfRule type="cellIs" priority="28" operator="equal" dxfId="19">
      <formula>"N"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2026-09-09T17:20:36Z</dcterms:modified>
  <cp:lastModifiedBy>Ahmed Saeed Alghamdi</cp:lastModifiedBy>
</cp:coreProperties>
</file>