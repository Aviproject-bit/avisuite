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37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9"/>
    </font>
    <font>
      <name val="Times New Roman"/>
      <b val="1"/>
      <color rgb="00B45309"/>
      <sz val="13"/>
    </font>
    <font>
      <name val="Times New Roman"/>
      <i val="1"/>
      <color rgb="006B7280"/>
      <sz val="8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00000000"/>
      <sz val="10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7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FFFFF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2" fillId="0" borderId="0" applyAlignment="1" pivotButton="0" quotePrefix="0" xfId="0">
      <alignment horizontal="center" vertical="center"/>
    </xf>
    <xf numFmtId="0" fontId="13" fillId="12" borderId="34" applyAlignment="1" applyProtection="1" pivotButton="0" quotePrefix="0" xfId="0">
      <alignment horizontal="center" vertical="center"/>
      <protection locked="0" hidden="0"/>
    </xf>
    <xf numFmtId="0" fontId="15" fillId="0" borderId="14" applyAlignment="1" pivotButton="0" quotePrefix="0" xfId="0">
      <alignment horizontal="center" vertical="center"/>
    </xf>
    <xf numFmtId="0" fontId="16" fillId="0" borderId="14" applyAlignment="1" applyProtection="1" pivotButton="0" quotePrefix="0" xfId="0">
      <alignment horizontal="center" vertical="center"/>
      <protection locked="0" hidden="0"/>
    </xf>
    <xf numFmtId="0" fontId="17" fillId="0" borderId="14" applyAlignment="1" applyProtection="1" pivotButton="0" quotePrefix="0" xfId="0">
      <alignment horizontal="left" vertical="center" indent="1"/>
      <protection locked="0" hidden="0"/>
    </xf>
    <xf numFmtId="0" fontId="16" fillId="0" borderId="15" applyAlignment="1" applyProtection="1" pivotButton="0" quotePrefix="0" xfId="0">
      <alignment horizontal="center" vertical="center"/>
      <protection locked="0" hidden="0"/>
    </xf>
    <xf numFmtId="0" fontId="6" fillId="0" borderId="11" applyAlignment="1" applyProtection="1" pivotButton="0" quotePrefix="0" xfId="0">
      <alignment horizontal="center" vertical="center"/>
      <protection locked="0" hidden="0"/>
    </xf>
    <xf numFmtId="0" fontId="6" fillId="0" borderId="16" applyAlignment="1" applyProtection="1" pivotButton="0" quotePrefix="0" xfId="0">
      <alignment horizontal="center" vertical="center"/>
      <protection locked="0" hidden="0"/>
    </xf>
    <xf numFmtId="0" fontId="6" fillId="0" borderId="21" applyAlignment="1" applyProtection="1" pivotButton="0" quotePrefix="0" xfId="0">
      <alignment horizontal="center" vertical="center"/>
      <protection locked="0" hidden="0"/>
    </xf>
    <xf numFmtId="0" fontId="6" fillId="0" borderId="19" applyAlignment="1" applyProtection="1" pivotButton="0" quotePrefix="0" xfId="0">
      <alignment horizontal="center" vertical="center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5" borderId="14" applyAlignment="1" pivotButton="0" quotePrefix="0" xfId="0">
      <alignment horizontal="center" vertical="center"/>
    </xf>
    <xf numFmtId="0" fontId="6" fillId="0" borderId="14" applyAlignment="1" applyProtection="1" pivotButton="0" quotePrefix="0" xfId="0">
      <alignment horizontal="center" vertical="center"/>
      <protection locked="0" hidden="0"/>
    </xf>
    <xf numFmtId="0" fontId="16" fillId="0" borderId="6" applyAlignment="1" applyProtection="1" pivotButton="0" quotePrefix="0" xfId="0">
      <alignment horizontal="center" vertical="center"/>
      <protection locked="0" hidden="0"/>
    </xf>
    <xf numFmtId="0" fontId="6" fillId="0" borderId="23" applyAlignment="1" applyProtection="1" pivotButton="0" quotePrefix="0" xfId="0">
      <alignment horizontal="center" vertical="center"/>
      <protection locked="0" hidden="0"/>
    </xf>
    <xf numFmtId="0" fontId="6" fillId="0" borderId="24" applyAlignment="1" applyProtection="1" pivotButton="0" quotePrefix="0" xfId="0">
      <alignment horizontal="center" vertical="center"/>
      <protection locked="0" hidden="0"/>
    </xf>
    <xf numFmtId="0" fontId="6" fillId="0" borderId="25" applyAlignment="1" applyProtection="1" pivotButton="0" quotePrefix="0" xfId="0">
      <alignment horizontal="center" vertical="center"/>
      <protection locked="0" hidden="0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left" vertical="center" indent="1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6" fillId="0" borderId="13" applyAlignment="1" applyProtection="1" pivotButton="0" quotePrefix="0" xfId="0">
      <alignment horizontal="center" vertical="center"/>
      <protection locked="0" hidden="0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applyProtection="1" pivotButton="0" quotePrefix="0" xfId="0">
      <alignment horizontal="center" vertical="center"/>
      <protection locked="0" hidden="0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3" borderId="14" applyAlignment="1" pivotButton="0" quotePrefix="0" xfId="0">
      <alignment horizontal="center" vertical="center"/>
    </xf>
    <xf numFmtId="0" fontId="19" fillId="14" borderId="14" applyAlignment="1" pivotButton="0" quotePrefix="0" xfId="0">
      <alignment horizontal="center" vertical="center"/>
    </xf>
    <xf numFmtId="0" fontId="20" fillId="15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3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4" borderId="34" applyAlignment="1" pivotButton="0" quotePrefix="0" xfId="0">
      <alignment horizontal="center" vertical="center"/>
    </xf>
    <xf numFmtId="0" fontId="25" fillId="15" borderId="34" applyAlignment="1" pivotButton="0" quotePrefix="0" xfId="0">
      <alignment horizontal="center" vertical="center"/>
    </xf>
    <xf numFmtId="0" fontId="26" fillId="16" borderId="34" applyAlignment="1" pivotButton="0" quotePrefix="0" xfId="0">
      <alignment horizontal="center" vertical="center"/>
    </xf>
    <xf numFmtId="0" fontId="27" fillId="17" borderId="34" applyAlignment="1" pivotButton="0" quotePrefix="0" xfId="0">
      <alignment horizontal="center" vertical="center"/>
    </xf>
    <xf numFmtId="0" fontId="28" fillId="18" borderId="34" applyAlignment="1" pivotButton="0" quotePrefix="0" xfId="0">
      <alignment horizontal="center" vertical="center"/>
    </xf>
    <xf numFmtId="0" fontId="29" fillId="19" borderId="34" applyAlignment="1" pivotButton="0" quotePrefix="0" xfId="0">
      <alignment horizontal="center" vertical="center"/>
    </xf>
    <xf numFmtId="0" fontId="30" fillId="20" borderId="34" applyAlignment="1" pivotButton="0" quotePrefix="0" xfId="0">
      <alignment horizontal="center" vertical="center"/>
    </xf>
    <xf numFmtId="0" fontId="31" fillId="21" borderId="34" applyAlignment="1" pivotButton="0" quotePrefix="0" xfId="0">
      <alignment horizontal="center" vertical="center"/>
    </xf>
    <xf numFmtId="0" fontId="32" fillId="22" borderId="34" applyAlignment="1" pivotButton="0" quotePrefix="0" xfId="0">
      <alignment horizontal="center" vertical="center"/>
    </xf>
    <xf numFmtId="0" fontId="33" fillId="23" borderId="34" applyAlignment="1" pivotButton="0" quotePrefix="0" xfId="0">
      <alignment horizontal="center" vertical="center"/>
    </xf>
    <xf numFmtId="0" fontId="34" fillId="24" borderId="34" applyAlignment="1" pivotButton="0" quotePrefix="0" xfId="0">
      <alignment horizontal="center" vertical="center"/>
    </xf>
    <xf numFmtId="0" fontId="35" fillId="25" borderId="34" applyAlignment="1" pivotButton="0" quotePrefix="0" xfId="0">
      <alignment horizontal="center" vertical="center"/>
    </xf>
    <xf numFmtId="0" fontId="36" fillId="26" borderId="34" applyAlignment="1" pivotButton="0" quotePrefix="0" xfId="0">
      <alignment horizontal="center" vertical="center"/>
    </xf>
  </cellXfs>
  <cellStyles count="1">
    <cellStyle name="عادي" xfId="0" builtinId="0"/>
  </cellStyles>
  <dxfs count="28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  <dxf>
      <font>
        <name val="Times New Roman"/>
        <b val="1"/>
        <color rgb="00C00000"/>
      </font>
      <fill>
        <patternFill>
          <bgColor rgb="00FFE1E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8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</row>
    <row r="2" ht="21" customHeight="1" thickBot="1">
      <c r="A2" s="105" t="n"/>
      <c r="B2" s="105" t="n"/>
      <c r="C2" s="105" t="n"/>
      <c r="D2" s="105" t="n"/>
      <c r="E2" s="106">
        <f>UPPER(TEXT(DATE($AL$5,$AP$2,1),"mmmm yyyy"))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IF(ISNUMBER($AL$4),$AL$4,MATCH(LEFT(UPPER(TRIM($AL$4)),3),{"JAN","FEB","MAR","APR","MAY","JUN","JUL","AUG","SEP","OCT","NOV","DEC"},0))</f>
        <v/>
      </c>
    </row>
    <row r="3" ht="15" customHeight="1" thickBot="1">
      <c r="A3" s="47" t="inlineStr">
        <is>
          <t>CREW 1</t>
        </is>
      </c>
      <c r="E3" s="1">
        <f>IF(1&lt;=DAY(EOMONTH(DATE($AL$5,$AP$2,1),0)),TEXT(DATE($AL$5,$AP$2,1)+0,"ddd"),"")</f>
        <v/>
      </c>
      <c r="F3" s="1">
        <f>IF(2&lt;=DAY(EOMONTH(DATE($AL$5,$AP$2,1),0)),TEXT(DATE($AL$5,$AP$2,1)+1,"ddd"),"")</f>
        <v/>
      </c>
      <c r="G3" s="1">
        <f>IF(3&lt;=DAY(EOMONTH(DATE($AL$5,$AP$2,1),0)),TEXT(DATE($AL$5,$AP$2,1)+2,"ddd"),"")</f>
        <v/>
      </c>
      <c r="H3" s="1">
        <f>IF(4&lt;=DAY(EOMONTH(DATE($AL$5,$AP$2,1),0)),TEXT(DATE($AL$5,$AP$2,1)+3,"ddd"),"")</f>
        <v/>
      </c>
      <c r="I3" s="1">
        <f>IF(5&lt;=DAY(EOMONTH(DATE($AL$5,$AP$2,1),0)),TEXT(DATE($AL$5,$AP$2,1)+4,"ddd"),"")</f>
        <v/>
      </c>
      <c r="J3" s="1">
        <f>IF(6&lt;=DAY(EOMONTH(DATE($AL$5,$AP$2,1),0)),TEXT(DATE($AL$5,$AP$2,1)+5,"ddd"),"")</f>
        <v/>
      </c>
      <c r="K3" s="1">
        <f>IF(7&lt;=DAY(EOMONTH(DATE($AL$5,$AP$2,1),0)),TEXT(DATE($AL$5,$AP$2,1)+6,"ddd"),"")</f>
        <v/>
      </c>
      <c r="L3" s="1">
        <f>IF(8&lt;=DAY(EOMONTH(DATE($AL$5,$AP$2,1),0)),TEXT(DATE($AL$5,$AP$2,1)+7,"ddd"),"")</f>
        <v/>
      </c>
      <c r="M3" s="1">
        <f>IF(9&lt;=DAY(EOMONTH(DATE($AL$5,$AP$2,1),0)),TEXT(DATE($AL$5,$AP$2,1)+8,"ddd"),"")</f>
        <v/>
      </c>
      <c r="N3" s="1">
        <f>IF(10&lt;=DAY(EOMONTH(DATE($AL$5,$AP$2,1),0)),TEXT(DATE($AL$5,$AP$2,1)+9,"ddd"),"")</f>
        <v/>
      </c>
      <c r="O3" s="1">
        <f>IF(11&lt;=DAY(EOMONTH(DATE($AL$5,$AP$2,1),0)),TEXT(DATE($AL$5,$AP$2,1)+10,"ddd"),"")</f>
        <v/>
      </c>
      <c r="P3" s="1">
        <f>IF(12&lt;=DAY(EOMONTH(DATE($AL$5,$AP$2,1),0)),TEXT(DATE($AL$5,$AP$2,1)+11,"ddd"),"")</f>
        <v/>
      </c>
      <c r="Q3" s="1">
        <f>IF(13&lt;=DAY(EOMONTH(DATE($AL$5,$AP$2,1),0)),TEXT(DATE($AL$5,$AP$2,1)+12,"ddd"),"")</f>
        <v/>
      </c>
      <c r="R3" s="1">
        <f>IF(14&lt;=DAY(EOMONTH(DATE($AL$5,$AP$2,1),0)),TEXT(DATE($AL$5,$AP$2,1)+13,"ddd"),"")</f>
        <v/>
      </c>
      <c r="S3" s="1">
        <f>IF(15&lt;=DAY(EOMONTH(DATE($AL$5,$AP$2,1),0)),TEXT(DATE($AL$5,$AP$2,1)+14,"ddd"),"")</f>
        <v/>
      </c>
      <c r="T3" s="1">
        <f>IF(16&lt;=DAY(EOMONTH(DATE($AL$5,$AP$2,1),0)),TEXT(DATE($AL$5,$AP$2,1)+15,"ddd"),"")</f>
        <v/>
      </c>
      <c r="U3" s="1">
        <f>IF(17&lt;=DAY(EOMONTH(DATE($AL$5,$AP$2,1),0)),TEXT(DATE($AL$5,$AP$2,1)+16,"ddd"),"")</f>
        <v/>
      </c>
      <c r="V3" s="1">
        <f>IF(18&lt;=DAY(EOMONTH(DATE($AL$5,$AP$2,1),0)),TEXT(DATE($AL$5,$AP$2,1)+17,"ddd"),"")</f>
        <v/>
      </c>
      <c r="W3" s="1">
        <f>IF(19&lt;=DAY(EOMONTH(DATE($AL$5,$AP$2,1),0)),TEXT(DATE($AL$5,$AP$2,1)+18,"ddd"),"")</f>
        <v/>
      </c>
      <c r="X3" s="1">
        <f>IF(20&lt;=DAY(EOMONTH(DATE($AL$5,$AP$2,1),0)),TEXT(DATE($AL$5,$AP$2,1)+19,"ddd"),"")</f>
        <v/>
      </c>
      <c r="Y3" s="1">
        <f>IF(21&lt;=DAY(EOMONTH(DATE($AL$5,$AP$2,1),0)),TEXT(DATE($AL$5,$AP$2,1)+20,"ddd"),"")</f>
        <v/>
      </c>
      <c r="Z3" s="1">
        <f>IF(22&lt;=DAY(EOMONTH(DATE($AL$5,$AP$2,1),0)),TEXT(DATE($AL$5,$AP$2,1)+21,"ddd"),"")</f>
        <v/>
      </c>
      <c r="AA3" s="1">
        <f>IF(23&lt;=DAY(EOMONTH(DATE($AL$5,$AP$2,1),0)),TEXT(DATE($AL$5,$AP$2,1)+22,"ddd"),"")</f>
        <v/>
      </c>
      <c r="AB3" s="1">
        <f>IF(24&lt;=DAY(EOMONTH(DATE($AL$5,$AP$2,1),0)),TEXT(DATE($AL$5,$AP$2,1)+23,"ddd"),"")</f>
        <v/>
      </c>
      <c r="AC3" s="1">
        <f>IF(25&lt;=DAY(EOMONTH(DATE($AL$5,$AP$2,1),0)),TEXT(DATE($AL$5,$AP$2,1)+24,"ddd"),"")</f>
        <v/>
      </c>
      <c r="AD3" s="1">
        <f>IF(26&lt;=DAY(EOMONTH(DATE($AL$5,$AP$2,1),0)),TEXT(DATE($AL$5,$AP$2,1)+25,"ddd"),"")</f>
        <v/>
      </c>
      <c r="AE3" s="1">
        <f>IF(27&lt;=DAY(EOMONTH(DATE($AL$5,$AP$2,1),0)),TEXT(DATE($AL$5,$AP$2,1)+26,"ddd"),"")</f>
        <v/>
      </c>
      <c r="AF3" s="1">
        <f>IF(28&lt;=DAY(EOMONTH(DATE($AL$5,$AP$2,1),0)),TEXT(DATE($AL$5,$AP$2,1)+27,"ddd"),"")</f>
        <v/>
      </c>
      <c r="AG3" s="1">
        <f>IF(29&lt;=DAY(EOMONTH(DATE($AL$5,$AP$2,1),0)),TEXT(DATE($AL$5,$AP$2,1)+28,"ddd"),"")</f>
        <v/>
      </c>
      <c r="AH3" s="24">
        <f>IF(30&lt;=DAY(EOMONTH(DATE($AL$5,$AP$2,1),0)),TEXT(DATE($AL$5,$AP$2,1)+29,"ddd"),"")</f>
        <v/>
      </c>
      <c r="AI3" s="21">
        <f>IF(31&lt;=DAY(EOMONTH(DATE($AL$5,$AP$2,1),0)),TEXT(DATE($AL$5,$AP$2,1)+30,"ddd"),"")</f>
        <v/>
      </c>
      <c r="AK3" s="109" t="inlineStr">
        <is>
          <t>ROSTER PERIOD</t>
        </is>
      </c>
    </row>
    <row r="4" ht="16.2" customHeight="1" thickBot="1">
      <c r="A4" s="110" t="n"/>
      <c r="E4" s="2">
        <f>IF(1&lt;=DAY(EOMONTH(DATE($AL$5,$AP$2,1),0)),1,"")</f>
        <v/>
      </c>
      <c r="F4" s="2">
        <f>IF(2&lt;=DAY(EOMONTH(DATE($AL$5,$AP$2,1),0)),2,"")</f>
        <v/>
      </c>
      <c r="G4" s="2">
        <f>IF(3&lt;=DAY(EOMONTH(DATE($AL$5,$AP$2,1),0)),3,"")</f>
        <v/>
      </c>
      <c r="H4" s="2">
        <f>IF(4&lt;=DAY(EOMONTH(DATE($AL$5,$AP$2,1),0)),4,"")</f>
        <v/>
      </c>
      <c r="I4" s="3">
        <f>IF(5&lt;=DAY(EOMONTH(DATE($AL$5,$AP$2,1),0)),5,"")</f>
        <v/>
      </c>
      <c r="J4" s="4">
        <f>IF(6&lt;=DAY(EOMONTH(DATE($AL$5,$AP$2,1),0)),6,"")</f>
        <v/>
      </c>
      <c r="K4" s="4">
        <f>IF(7&lt;=DAY(EOMONTH(DATE($AL$5,$AP$2,1),0)),7,"")</f>
        <v/>
      </c>
      <c r="L4" s="3">
        <f>IF(8&lt;=DAY(EOMONTH(DATE($AL$5,$AP$2,1),0)),8,"")</f>
        <v/>
      </c>
      <c r="M4" s="4">
        <f>IF(9&lt;=DAY(EOMONTH(DATE($AL$5,$AP$2,1),0)),9,"")</f>
        <v/>
      </c>
      <c r="N4" s="2">
        <f>IF(10&lt;=DAY(EOMONTH(DATE($AL$5,$AP$2,1),0)),10,"")</f>
        <v/>
      </c>
      <c r="O4" s="2">
        <f>IF(11&lt;=DAY(EOMONTH(DATE($AL$5,$AP$2,1),0)),11,"")</f>
        <v/>
      </c>
      <c r="P4" s="2">
        <f>IF(12&lt;=DAY(EOMONTH(DATE($AL$5,$AP$2,1),0)),12,"")</f>
        <v/>
      </c>
      <c r="Q4" s="2">
        <f>IF(13&lt;=DAY(EOMONTH(DATE($AL$5,$AP$2,1),0)),13,"")</f>
        <v/>
      </c>
      <c r="R4" s="2">
        <f>IF(14&lt;=DAY(EOMONTH(DATE($AL$5,$AP$2,1),0)),14,"")</f>
        <v/>
      </c>
      <c r="S4" s="2">
        <f>IF(15&lt;=DAY(EOMONTH(DATE($AL$5,$AP$2,1),0)),15,"")</f>
        <v/>
      </c>
      <c r="T4" s="2">
        <f>IF(16&lt;=DAY(EOMONTH(DATE($AL$5,$AP$2,1),0)),16,"")</f>
        <v/>
      </c>
      <c r="U4" s="2">
        <f>IF(17&lt;=DAY(EOMONTH(DATE($AL$5,$AP$2,1),0)),17,"")</f>
        <v/>
      </c>
      <c r="V4" s="2">
        <f>IF(18&lt;=DAY(EOMONTH(DATE($AL$5,$AP$2,1),0)),18,"")</f>
        <v/>
      </c>
      <c r="W4" s="2">
        <f>IF(19&lt;=DAY(EOMONTH(DATE($AL$5,$AP$2,1),0)),19,"")</f>
        <v/>
      </c>
      <c r="X4" s="2">
        <f>IF(20&lt;=DAY(EOMONTH(DATE($AL$5,$AP$2,1),0)),20,"")</f>
        <v/>
      </c>
      <c r="Y4" s="2">
        <f>IF(21&lt;=DAY(EOMONTH(DATE($AL$5,$AP$2,1),0)),21,"")</f>
        <v/>
      </c>
      <c r="Z4" s="2">
        <f>IF(22&lt;=DAY(EOMONTH(DATE($AL$5,$AP$2,1),0)),22,"")</f>
        <v/>
      </c>
      <c r="AA4" s="2">
        <f>IF(23&lt;=DAY(EOMONTH(DATE($AL$5,$AP$2,1),0)),23,"")</f>
        <v/>
      </c>
      <c r="AB4" s="2">
        <f>IF(24&lt;=DAY(EOMONTH(DATE($AL$5,$AP$2,1),0)),24,"")</f>
        <v/>
      </c>
      <c r="AC4" s="2">
        <f>IF(25&lt;=DAY(EOMONTH(DATE($AL$5,$AP$2,1),0)),25,"")</f>
        <v/>
      </c>
      <c r="AD4" s="2">
        <f>IF(26&lt;=DAY(EOMONTH(DATE($AL$5,$AP$2,1),0)),26,"")</f>
        <v/>
      </c>
      <c r="AE4" s="2">
        <f>IF(27&lt;=DAY(EOMONTH(DATE($AL$5,$AP$2,1),0)),27,"")</f>
        <v/>
      </c>
      <c r="AF4" s="2">
        <f>IF(28&lt;=DAY(EOMONTH(DATE($AL$5,$AP$2,1),0)),28,"")</f>
        <v/>
      </c>
      <c r="AG4" s="2">
        <f>IF(29&lt;=DAY(EOMONTH(DATE($AL$5,$AP$2,1),0)),29,"")</f>
        <v/>
      </c>
      <c r="AH4" s="25">
        <f>IF(30&lt;=DAY(EOMONTH(DATE($AL$5,$AP$2,1),0)),30,"")</f>
        <v/>
      </c>
      <c r="AI4" s="22">
        <f>IF(31&lt;=DAY(EOMONTH(DATE($AL$5,$AP$2,1),0)),31,"")</f>
        <v/>
      </c>
      <c r="AK4" s="111" t="inlineStr">
        <is>
          <t>MONTH</t>
        </is>
      </c>
      <c r="AL4" s="112" t="inlineStr">
        <is>
          <t>JUL</t>
        </is>
      </c>
    </row>
    <row r="5" ht="16.2" customHeight="1" thickBot="1">
      <c r="A5" s="113">
        <f>IF($C5="","",ROW()-4)</f>
        <v/>
      </c>
      <c r="B5" s="114" t="n"/>
      <c r="C5" s="115" t="n"/>
      <c r="D5" s="116" t="n"/>
      <c r="E5" s="117" t="n"/>
      <c r="F5" s="117" t="n"/>
      <c r="G5" s="118" t="n"/>
      <c r="H5" s="117" t="n"/>
      <c r="I5" s="117" t="n"/>
      <c r="J5" s="117" t="n"/>
      <c r="K5" s="117" t="n"/>
      <c r="L5" s="117" t="n"/>
      <c r="M5" s="117" t="n"/>
      <c r="N5" s="117" t="n"/>
      <c r="O5" s="117" t="n"/>
      <c r="P5" s="117" t="n"/>
      <c r="Q5" s="117" t="n"/>
      <c r="R5" s="117" t="n"/>
      <c r="S5" s="117" t="n"/>
      <c r="T5" s="117" t="n"/>
      <c r="U5" s="117" t="n"/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117" t="n"/>
      <c r="AH5" s="119" t="n"/>
      <c r="AI5" s="120" t="n"/>
      <c r="AK5" s="111" t="inlineStr">
        <is>
          <t>YEAR</t>
        </is>
      </c>
      <c r="AL5" s="112" t="n">
        <v>2026</v>
      </c>
    </row>
    <row r="6" ht="16.2" customHeight="1" thickBot="1">
      <c r="A6" s="113">
        <f>IF($C6="","",ROW()-4)</f>
        <v/>
      </c>
      <c r="B6" s="114" t="n"/>
      <c r="C6" s="115" t="n"/>
      <c r="D6" s="114" t="n"/>
      <c r="E6" s="117" t="n"/>
      <c r="F6" s="117" t="n"/>
      <c r="G6" s="118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9" t="n"/>
      <c r="AI6" s="120" t="n"/>
      <c r="AK6" s="121" t="inlineStr">
        <is>
          <t>month name or number</t>
        </is>
      </c>
    </row>
    <row r="7" ht="16.2" customHeight="1" thickBot="1">
      <c r="A7" s="113">
        <f>IF($C7="","",ROW()-4)</f>
        <v/>
      </c>
      <c r="B7" s="114" t="n"/>
      <c r="C7" s="115" t="n"/>
      <c r="D7" s="114" t="n"/>
      <c r="E7" s="117" t="n"/>
      <c r="F7" s="117" t="n"/>
      <c r="G7" s="118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17" t="n"/>
      <c r="U7" s="117" t="n"/>
      <c r="V7" s="117" t="n"/>
      <c r="W7" s="117" t="n"/>
      <c r="X7" s="117" t="n"/>
      <c r="Y7" s="117" t="n"/>
      <c r="Z7" s="117" t="n"/>
      <c r="AA7" s="117" t="n"/>
      <c r="AB7" s="117" t="n"/>
      <c r="AC7" s="117" t="n"/>
      <c r="AD7" s="117" t="n"/>
      <c r="AE7" s="117" t="n"/>
      <c r="AF7" s="117" t="n"/>
      <c r="AG7" s="117" t="n"/>
      <c r="AH7" s="119" t="n"/>
      <c r="AI7" s="120" t="n"/>
    </row>
    <row r="8" ht="16.2" customHeight="1" thickBot="1">
      <c r="A8" s="113">
        <f>IF($C8="","",ROW()-4)</f>
        <v/>
      </c>
      <c r="B8" s="114" t="n"/>
      <c r="C8" s="115" t="n"/>
      <c r="D8" s="114" t="n"/>
      <c r="E8" s="117" t="n"/>
      <c r="F8" s="117" t="n"/>
      <c r="G8" s="118" t="n"/>
      <c r="H8" s="117" t="n"/>
      <c r="I8" s="117" t="n"/>
      <c r="J8" s="117" t="n"/>
      <c r="K8" s="117" t="n"/>
      <c r="L8" s="117" t="n"/>
      <c r="M8" s="117" t="n"/>
      <c r="N8" s="117" t="n"/>
      <c r="O8" s="117" t="n"/>
      <c r="P8" s="117" t="n"/>
      <c r="Q8" s="117" t="n"/>
      <c r="R8" s="117" t="n"/>
      <c r="S8" s="117" t="n"/>
      <c r="T8" s="117" t="n"/>
      <c r="U8" s="117" t="n"/>
      <c r="V8" s="117" t="n"/>
      <c r="W8" s="117" t="n"/>
      <c r="X8" s="117" t="n"/>
      <c r="Y8" s="117" t="n"/>
      <c r="Z8" s="117" t="n"/>
      <c r="AA8" s="117" t="n"/>
      <c r="AB8" s="117" t="n"/>
      <c r="AC8" s="117" t="n"/>
      <c r="AD8" s="117" t="n"/>
      <c r="AE8" s="117" t="n"/>
      <c r="AF8" s="117" t="n"/>
      <c r="AG8" s="117" t="n"/>
      <c r="AH8" s="119" t="n"/>
      <c r="AI8" s="120" t="n"/>
    </row>
    <row r="9" ht="16.2" customHeight="1" thickBot="1">
      <c r="A9" s="113">
        <f>IF($C9="","",ROW()-4)</f>
        <v/>
      </c>
      <c r="B9" s="114" t="n"/>
      <c r="C9" s="115" t="n"/>
      <c r="D9" s="114" t="n"/>
      <c r="E9" s="117" t="n"/>
      <c r="F9" s="117" t="n"/>
      <c r="G9" s="118" t="n"/>
      <c r="H9" s="117" t="n"/>
      <c r="I9" s="117" t="n"/>
      <c r="J9" s="117" t="n"/>
      <c r="K9" s="117" t="n"/>
      <c r="L9" s="117" t="n"/>
      <c r="M9" s="117" t="n"/>
      <c r="N9" s="117" t="n"/>
      <c r="O9" s="117" t="n"/>
      <c r="P9" s="117" t="n"/>
      <c r="Q9" s="117" t="n"/>
      <c r="R9" s="117" t="n"/>
      <c r="S9" s="117" t="n"/>
      <c r="T9" s="117" t="n"/>
      <c r="U9" s="117" t="n"/>
      <c r="V9" s="117" t="n"/>
      <c r="W9" s="117" t="n"/>
      <c r="X9" s="117" t="n"/>
      <c r="Y9" s="117" t="n"/>
      <c r="Z9" s="117" t="n"/>
      <c r="AA9" s="117" t="n"/>
      <c r="AB9" s="117" t="n"/>
      <c r="AC9" s="117" t="n"/>
      <c r="AD9" s="117" t="n"/>
      <c r="AE9" s="117" t="n"/>
      <c r="AF9" s="117" t="n"/>
      <c r="AG9" s="117" t="n"/>
      <c r="AH9" s="119" t="n"/>
      <c r="AI9" s="120" t="n"/>
    </row>
    <row r="10" ht="16.2" customHeight="1" thickBot="1">
      <c r="A10" s="122">
        <f>IF($C10="","",ROW()-4)</f>
        <v/>
      </c>
      <c r="B10" s="114" t="n"/>
      <c r="C10" s="115" t="n"/>
      <c r="D10" s="114" t="n"/>
      <c r="E10" s="117" t="n"/>
      <c r="F10" s="117" t="n"/>
      <c r="G10" s="118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17" t="n"/>
      <c r="U10" s="117" t="n"/>
      <c r="V10" s="117" t="n"/>
      <c r="W10" s="117" t="n"/>
      <c r="X10" s="117" t="n"/>
      <c r="Y10" s="117" t="n"/>
      <c r="Z10" s="117" t="n"/>
      <c r="AA10" s="117" t="n"/>
      <c r="AB10" s="117" t="n"/>
      <c r="AC10" s="117" t="n"/>
      <c r="AD10" s="117" t="n"/>
      <c r="AE10" s="117" t="n"/>
      <c r="AF10" s="117" t="n"/>
      <c r="AG10" s="117" t="n"/>
      <c r="AH10" s="119" t="n"/>
      <c r="AI10" s="120" t="n"/>
    </row>
    <row r="11" ht="16.2" customHeight="1" thickBot="1">
      <c r="A11" s="122">
        <f>IF($C11="","",ROW()-4)</f>
        <v/>
      </c>
      <c r="B11" s="114" t="n"/>
      <c r="C11" s="115" t="n"/>
      <c r="D11" s="114" t="n"/>
      <c r="E11" s="117" t="n"/>
      <c r="F11" s="117" t="n"/>
      <c r="G11" s="118" t="n"/>
      <c r="H11" s="117" t="n"/>
      <c r="I11" s="117" t="n"/>
      <c r="J11" s="117" t="n"/>
      <c r="K11" s="117" t="n"/>
      <c r="L11" s="117" t="n"/>
      <c r="M11" s="117" t="n"/>
      <c r="N11" s="117" t="n"/>
      <c r="O11" s="117" t="n"/>
      <c r="P11" s="117" t="n"/>
      <c r="Q11" s="117" t="n"/>
      <c r="R11" s="117" t="n"/>
      <c r="S11" s="117" t="n"/>
      <c r="T11" s="117" t="n"/>
      <c r="U11" s="117" t="n"/>
      <c r="V11" s="117" t="n"/>
      <c r="W11" s="117" t="n"/>
      <c r="X11" s="117" t="n"/>
      <c r="Y11" s="117" t="n"/>
      <c r="Z11" s="117" t="n"/>
      <c r="AA11" s="117" t="n"/>
      <c r="AB11" s="117" t="n"/>
      <c r="AC11" s="117" t="n"/>
      <c r="AD11" s="117" t="n"/>
      <c r="AE11" s="117" t="n"/>
      <c r="AF11" s="117" t="n"/>
      <c r="AG11" s="117" t="n"/>
      <c r="AH11" s="119" t="n"/>
      <c r="AI11" s="120" t="n"/>
    </row>
    <row r="12" ht="16.2" customHeight="1" thickBot="1">
      <c r="A12" s="122">
        <f>IF($C12="","",ROW()-4)</f>
        <v/>
      </c>
      <c r="B12" s="114" t="n"/>
      <c r="C12" s="115" t="n"/>
      <c r="D12" s="114" t="n"/>
      <c r="E12" s="117" t="n"/>
      <c r="F12" s="117" t="n"/>
      <c r="G12" s="118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17" t="n"/>
      <c r="U12" s="117" t="n"/>
      <c r="V12" s="117" t="n"/>
      <c r="W12" s="117" t="n"/>
      <c r="X12" s="117" t="n"/>
      <c r="Y12" s="117" t="n"/>
      <c r="Z12" s="117" t="n"/>
      <c r="AA12" s="117" t="n"/>
      <c r="AB12" s="117" t="n"/>
      <c r="AC12" s="117" t="n"/>
      <c r="AD12" s="117" t="n"/>
      <c r="AE12" s="117" t="n"/>
      <c r="AF12" s="117" t="n"/>
      <c r="AG12" s="117" t="n"/>
      <c r="AH12" s="119" t="n"/>
      <c r="AI12" s="120" t="n"/>
    </row>
    <row r="13" ht="16.2" customHeight="1" thickBot="1">
      <c r="A13" s="122">
        <f>IF($C13="","",ROW()-4)</f>
        <v/>
      </c>
      <c r="B13" s="114" t="n"/>
      <c r="C13" s="115" t="n"/>
      <c r="D13" s="114" t="n"/>
      <c r="E13" s="117" t="n"/>
      <c r="F13" s="117" t="n"/>
      <c r="G13" s="118" t="n"/>
      <c r="H13" s="117" t="n"/>
      <c r="I13" s="117" t="n"/>
      <c r="J13" s="117" t="n"/>
      <c r="K13" s="117" t="n"/>
      <c r="L13" s="117" t="n"/>
      <c r="M13" s="117" t="n"/>
      <c r="N13" s="117" t="n"/>
      <c r="O13" s="117" t="n"/>
      <c r="P13" s="117" t="n"/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7" t="n"/>
      <c r="AE13" s="117" t="n"/>
      <c r="AF13" s="117" t="n"/>
      <c r="AG13" s="117" t="n"/>
      <c r="AH13" s="119" t="n"/>
      <c r="AI13" s="120" t="n"/>
    </row>
    <row r="14" ht="16.2" customHeight="1" thickBot="1">
      <c r="A14" s="122">
        <f>IF($C14="","",ROW()-4)</f>
        <v/>
      </c>
      <c r="B14" s="114" t="n"/>
      <c r="C14" s="115" t="n"/>
      <c r="D14" s="114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  <c r="T14" s="123" t="n"/>
      <c r="U14" s="123" t="n"/>
      <c r="V14" s="123" t="n"/>
      <c r="W14" s="123" t="n"/>
      <c r="X14" s="123" t="n"/>
      <c r="Y14" s="123" t="n"/>
      <c r="Z14" s="123" t="n"/>
      <c r="AA14" s="123" t="n"/>
      <c r="AB14" s="123" t="n"/>
      <c r="AC14" s="123" t="n"/>
      <c r="AD14" s="123" t="n"/>
      <c r="AE14" s="123" t="n"/>
      <c r="AF14" s="123" t="n"/>
      <c r="AG14" s="123" t="n"/>
      <c r="AH14" s="123" t="n"/>
      <c r="AI14" s="120" t="n"/>
    </row>
    <row r="15" ht="16.2" customHeight="1" thickBot="1">
      <c r="A15" s="122">
        <f>IF($C15="","",ROW()-4)</f>
        <v/>
      </c>
      <c r="B15" s="114" t="n"/>
      <c r="C15" s="115" t="n"/>
      <c r="D15" s="114" t="n"/>
      <c r="E15" s="117" t="n"/>
      <c r="F15" s="117" t="n"/>
      <c r="G15" s="118" t="n"/>
      <c r="H15" s="117" t="n"/>
      <c r="I15" s="117" t="n"/>
      <c r="J15" s="117" t="n"/>
      <c r="K15" s="117" t="n"/>
      <c r="L15" s="117" t="n"/>
      <c r="M15" s="117" t="n"/>
      <c r="N15" s="117" t="n"/>
      <c r="O15" s="117" t="n"/>
      <c r="P15" s="117" t="n"/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7" t="n"/>
      <c r="AE15" s="117" t="n"/>
      <c r="AF15" s="117" t="n"/>
      <c r="AG15" s="117" t="n"/>
      <c r="AH15" s="119" t="n"/>
      <c r="AI15" s="120" t="n"/>
    </row>
    <row r="16" ht="16.2" customHeight="1" thickBot="1">
      <c r="A16" s="113">
        <f>IF($C16="","",ROW()-4)</f>
        <v/>
      </c>
      <c r="B16" s="114" t="n"/>
      <c r="C16" s="115" t="n"/>
      <c r="D16" s="124" t="n"/>
      <c r="E16" s="117" t="n"/>
      <c r="F16" s="117" t="n"/>
      <c r="G16" s="118" t="n"/>
      <c r="H16" s="117" t="n"/>
      <c r="I16" s="117" t="n"/>
      <c r="J16" s="117" t="n"/>
      <c r="K16" s="117" t="n"/>
      <c r="L16" s="117" t="n"/>
      <c r="M16" s="117" t="n"/>
      <c r="N16" s="117" t="n"/>
      <c r="O16" s="117" t="n"/>
      <c r="P16" s="117" t="n"/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7" t="n"/>
      <c r="AE16" s="117" t="n"/>
      <c r="AF16" s="117" t="n"/>
      <c r="AG16" s="117" t="n"/>
      <c r="AH16" s="119" t="n"/>
      <c r="AI16" s="120" t="n"/>
    </row>
    <row r="17" ht="16.2" customHeight="1" thickBot="1">
      <c r="A17" s="113">
        <f>IF($C17="","",ROW()-4)</f>
        <v/>
      </c>
      <c r="B17" s="114" t="n"/>
      <c r="C17" s="115" t="n"/>
      <c r="D17" s="114" t="n"/>
      <c r="E17" s="117" t="n"/>
      <c r="F17" s="117" t="n"/>
      <c r="G17" s="118" t="n"/>
      <c r="H17" s="117" t="n"/>
      <c r="I17" s="117" t="n"/>
      <c r="J17" s="117" t="n"/>
      <c r="K17" s="117" t="n"/>
      <c r="L17" s="117" t="n"/>
      <c r="M17" s="117" t="n"/>
      <c r="N17" s="117" t="n"/>
      <c r="O17" s="117" t="n"/>
      <c r="P17" s="117" t="n"/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7" t="n"/>
      <c r="AE17" s="117" t="n"/>
      <c r="AF17" s="117" t="n"/>
      <c r="AG17" s="117" t="n"/>
      <c r="AH17" s="119" t="n"/>
      <c r="AI17" s="120" t="n"/>
    </row>
    <row r="18" ht="16.2" customHeight="1" thickBot="1">
      <c r="A18" s="113">
        <f>IF($C18="","",ROW()-4)</f>
        <v/>
      </c>
      <c r="B18" s="114" t="n"/>
      <c r="C18" s="115" t="n"/>
      <c r="D18" s="124" t="n"/>
      <c r="E18" s="117" t="n"/>
      <c r="F18" s="117" t="n"/>
      <c r="G18" s="118" t="n"/>
      <c r="H18" s="117" t="n"/>
      <c r="I18" s="117" t="n"/>
      <c r="J18" s="117" t="n"/>
      <c r="K18" s="117" t="n"/>
      <c r="L18" s="117" t="n"/>
      <c r="M18" s="117" t="n"/>
      <c r="N18" s="117" t="n"/>
      <c r="O18" s="117" t="n"/>
      <c r="P18" s="117" t="n"/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7" t="n"/>
      <c r="AA18" s="117" t="n"/>
      <c r="AB18" s="117" t="n"/>
      <c r="AC18" s="117" t="n"/>
      <c r="AD18" s="117" t="n"/>
      <c r="AE18" s="117" t="n"/>
      <c r="AF18" s="117" t="n"/>
      <c r="AG18" s="117" t="n"/>
      <c r="AH18" s="119" t="n"/>
      <c r="AI18" s="120" t="n"/>
    </row>
    <row r="19" ht="16.2" customHeight="1" thickBot="1">
      <c r="A19" s="113">
        <f>IF($C19="","",ROW()-4)</f>
        <v/>
      </c>
      <c r="B19" s="114" t="n"/>
      <c r="C19" s="115" t="n"/>
      <c r="D19" s="114" t="n"/>
      <c r="E19" s="117" t="n"/>
      <c r="F19" s="117" t="n"/>
      <c r="G19" s="118" t="n"/>
      <c r="H19" s="117" t="n"/>
      <c r="I19" s="117" t="n"/>
      <c r="J19" s="117" t="n"/>
      <c r="K19" s="117" t="n"/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7" t="n"/>
      <c r="W19" s="117" t="n"/>
      <c r="X19" s="117" t="n"/>
      <c r="Y19" s="117" t="n"/>
      <c r="Z19" s="117" t="n"/>
      <c r="AA19" s="117" t="n"/>
      <c r="AB19" s="117" t="n"/>
      <c r="AC19" s="117" t="n"/>
      <c r="AD19" s="117" t="n"/>
      <c r="AE19" s="117" t="n"/>
      <c r="AF19" s="117" t="n"/>
      <c r="AG19" s="117" t="n"/>
      <c r="AH19" s="119" t="n"/>
      <c r="AI19" s="120" t="n"/>
    </row>
    <row r="20" ht="16.2" customHeight="1" thickBot="1">
      <c r="A20" s="113">
        <f>IF($C20="","",ROW()-4)</f>
        <v/>
      </c>
      <c r="B20" s="114" t="n"/>
      <c r="C20" s="115" t="n"/>
      <c r="D20" s="114" t="n"/>
      <c r="E20" s="125" t="n"/>
      <c r="F20" s="125" t="n"/>
      <c r="G20" s="126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7" t="n"/>
      <c r="AI20" s="120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8" t="n"/>
      <c r="C22" s="128" t="n"/>
      <c r="D22" s="128" t="n"/>
      <c r="E22" s="30">
        <f>IF(1&lt;=DAY(EOMONTH(DATE($AL$5,$AP$2,1),0)),TEXT(DATE($AL$5,$AP$2,1)+0,"ddd"),"")</f>
        <v/>
      </c>
      <c r="F22" s="30">
        <f>IF(2&lt;=DAY(EOMONTH(DATE($AL$5,$AP$2,1),0)),TEXT(DATE($AL$5,$AP$2,1)+1,"ddd"),"")</f>
        <v/>
      </c>
      <c r="G22" s="30">
        <f>IF(3&lt;=DAY(EOMONTH(DATE($AL$5,$AP$2,1),0)),TEXT(DATE($AL$5,$AP$2,1)+2,"ddd"),"")</f>
        <v/>
      </c>
      <c r="H22" s="30">
        <f>IF(4&lt;=DAY(EOMONTH(DATE($AL$5,$AP$2,1),0)),TEXT(DATE($AL$5,$AP$2,1)+3,"ddd"),"")</f>
        <v/>
      </c>
      <c r="I22" s="30">
        <f>IF(5&lt;=DAY(EOMONTH(DATE($AL$5,$AP$2,1),0)),TEXT(DATE($AL$5,$AP$2,1)+4,"ddd"),"")</f>
        <v/>
      </c>
      <c r="J22" s="30">
        <f>IF(6&lt;=DAY(EOMONTH(DATE($AL$5,$AP$2,1),0)),TEXT(DATE($AL$5,$AP$2,1)+5,"ddd"),"")</f>
        <v/>
      </c>
      <c r="K22" s="30">
        <f>IF(7&lt;=DAY(EOMONTH(DATE($AL$5,$AP$2,1),0)),TEXT(DATE($AL$5,$AP$2,1)+6,"ddd"),"")</f>
        <v/>
      </c>
      <c r="L22" s="30">
        <f>IF(8&lt;=DAY(EOMONTH(DATE($AL$5,$AP$2,1),0)),TEXT(DATE($AL$5,$AP$2,1)+7,"ddd"),"")</f>
        <v/>
      </c>
      <c r="M22" s="30">
        <f>IF(9&lt;=DAY(EOMONTH(DATE($AL$5,$AP$2,1),0)),TEXT(DATE($AL$5,$AP$2,1)+8,"ddd"),"")</f>
        <v/>
      </c>
      <c r="N22" s="30">
        <f>IF(10&lt;=DAY(EOMONTH(DATE($AL$5,$AP$2,1),0)),TEXT(DATE($AL$5,$AP$2,1)+9,"ddd"),"")</f>
        <v/>
      </c>
      <c r="O22" s="30">
        <f>IF(11&lt;=DAY(EOMONTH(DATE($AL$5,$AP$2,1),0)),TEXT(DATE($AL$5,$AP$2,1)+10,"ddd"),"")</f>
        <v/>
      </c>
      <c r="P22" s="30">
        <f>IF(12&lt;=DAY(EOMONTH(DATE($AL$5,$AP$2,1),0)),TEXT(DATE($AL$5,$AP$2,1)+11,"ddd"),"")</f>
        <v/>
      </c>
      <c r="Q22" s="30">
        <f>IF(13&lt;=DAY(EOMONTH(DATE($AL$5,$AP$2,1),0)),TEXT(DATE($AL$5,$AP$2,1)+12,"ddd"),"")</f>
        <v/>
      </c>
      <c r="R22" s="30">
        <f>IF(14&lt;=DAY(EOMONTH(DATE($AL$5,$AP$2,1),0)),TEXT(DATE($AL$5,$AP$2,1)+13,"ddd"),"")</f>
        <v/>
      </c>
      <c r="S22" s="30">
        <f>IF(15&lt;=DAY(EOMONTH(DATE($AL$5,$AP$2,1),0)),TEXT(DATE($AL$5,$AP$2,1)+14,"ddd"),"")</f>
        <v/>
      </c>
      <c r="T22" s="30">
        <f>IF(16&lt;=DAY(EOMONTH(DATE($AL$5,$AP$2,1),0)),TEXT(DATE($AL$5,$AP$2,1)+15,"ddd"),"")</f>
        <v/>
      </c>
      <c r="U22" s="30">
        <f>IF(17&lt;=DAY(EOMONTH(DATE($AL$5,$AP$2,1),0)),TEXT(DATE($AL$5,$AP$2,1)+16,"ddd"),"")</f>
        <v/>
      </c>
      <c r="V22" s="30">
        <f>IF(18&lt;=DAY(EOMONTH(DATE($AL$5,$AP$2,1),0)),TEXT(DATE($AL$5,$AP$2,1)+17,"ddd"),"")</f>
        <v/>
      </c>
      <c r="W22" s="30">
        <f>IF(19&lt;=DAY(EOMONTH(DATE($AL$5,$AP$2,1),0)),TEXT(DATE($AL$5,$AP$2,1)+18,"ddd"),"")</f>
        <v/>
      </c>
      <c r="X22" s="30">
        <f>IF(20&lt;=DAY(EOMONTH(DATE($AL$5,$AP$2,1),0)),TEXT(DATE($AL$5,$AP$2,1)+19,"ddd"),"")</f>
        <v/>
      </c>
      <c r="Y22" s="30">
        <f>IF(21&lt;=DAY(EOMONTH(DATE($AL$5,$AP$2,1),0)),TEXT(DATE($AL$5,$AP$2,1)+20,"ddd"),"")</f>
        <v/>
      </c>
      <c r="Z22" s="30">
        <f>IF(22&lt;=DAY(EOMONTH(DATE($AL$5,$AP$2,1),0)),TEXT(DATE($AL$5,$AP$2,1)+21,"ddd"),"")</f>
        <v/>
      </c>
      <c r="AA22" s="30">
        <f>IF(23&lt;=DAY(EOMONTH(DATE($AL$5,$AP$2,1),0)),TEXT(DATE($AL$5,$AP$2,1)+22,"ddd"),"")</f>
        <v/>
      </c>
      <c r="AB22" s="30">
        <f>IF(24&lt;=DAY(EOMONTH(DATE($AL$5,$AP$2,1),0)),TEXT(DATE($AL$5,$AP$2,1)+23,"ddd"),"")</f>
        <v/>
      </c>
      <c r="AC22" s="30">
        <f>IF(25&lt;=DAY(EOMONTH(DATE($AL$5,$AP$2,1),0)),TEXT(DATE($AL$5,$AP$2,1)+24,"ddd"),"")</f>
        <v/>
      </c>
      <c r="AD22" s="30">
        <f>IF(26&lt;=DAY(EOMONTH(DATE($AL$5,$AP$2,1),0)),TEXT(DATE($AL$5,$AP$2,1)+25,"ddd"),"")</f>
        <v/>
      </c>
      <c r="AE22" s="30">
        <f>IF(27&lt;=DAY(EOMONTH(DATE($AL$5,$AP$2,1),0)),TEXT(DATE($AL$5,$AP$2,1)+26,"ddd"),"")</f>
        <v/>
      </c>
      <c r="AF22" s="30">
        <f>IF(28&lt;=DAY(EOMONTH(DATE($AL$5,$AP$2,1),0)),TEXT(DATE($AL$5,$AP$2,1)+27,"ddd"),"")</f>
        <v/>
      </c>
      <c r="AG22" s="30">
        <f>IF(29&lt;=DAY(EOMONTH(DATE($AL$5,$AP$2,1),0)),TEXT(DATE($AL$5,$AP$2,1)+28,"ddd"),"")</f>
        <v/>
      </c>
      <c r="AH22" s="30">
        <f>IF(30&lt;=DAY(EOMONTH(DATE($AL$5,$AP$2,1),0)),TEXT(DATE($AL$5,$AP$2,1)+29,"ddd"),"")</f>
        <v/>
      </c>
      <c r="AI22" s="31">
        <f>IF(31&lt;=DAY(EOMONTH(DATE($AL$5,$AP$2,1),0)),TEXT(DATE($AL$5,$AP$2,1)+30,"ddd"),"")</f>
        <v/>
      </c>
    </row>
    <row r="23" ht="16.2" customHeight="1" thickBot="1">
      <c r="A23" s="129" t="n"/>
      <c r="B23" s="130" t="n"/>
      <c r="C23" s="130" t="n"/>
      <c r="D23" s="130" t="n"/>
      <c r="E23" s="2">
        <f>IF(1&lt;=DAY(EOMONTH(DATE($AL$5,$AP$2,1),0)),1,"")</f>
        <v/>
      </c>
      <c r="F23" s="2">
        <f>IF(2&lt;=DAY(EOMONTH(DATE($AL$5,$AP$2,1),0)),2,"")</f>
        <v/>
      </c>
      <c r="G23" s="2">
        <f>IF(3&lt;=DAY(EOMONTH(DATE($AL$5,$AP$2,1),0)),3,"")</f>
        <v/>
      </c>
      <c r="H23" s="2">
        <f>IF(4&lt;=DAY(EOMONTH(DATE($AL$5,$AP$2,1),0)),4,"")</f>
        <v/>
      </c>
      <c r="I23" s="3">
        <f>IF(5&lt;=DAY(EOMONTH(DATE($AL$5,$AP$2,1),0)),5,"")</f>
        <v/>
      </c>
      <c r="J23" s="4">
        <f>IF(6&lt;=DAY(EOMONTH(DATE($AL$5,$AP$2,1),0)),6,"")</f>
        <v/>
      </c>
      <c r="K23" s="4">
        <f>IF(7&lt;=DAY(EOMONTH(DATE($AL$5,$AP$2,1),0)),7,"")</f>
        <v/>
      </c>
      <c r="L23" s="3">
        <f>IF(8&lt;=DAY(EOMONTH(DATE($AL$5,$AP$2,1),0)),8,"")</f>
        <v/>
      </c>
      <c r="M23" s="4">
        <f>IF(9&lt;=DAY(EOMONTH(DATE($AL$5,$AP$2,1),0)),9,"")</f>
        <v/>
      </c>
      <c r="N23" s="2">
        <f>IF(10&lt;=DAY(EOMONTH(DATE($AL$5,$AP$2,1),0)),10,"")</f>
        <v/>
      </c>
      <c r="O23" s="2">
        <f>IF(11&lt;=DAY(EOMONTH(DATE($AL$5,$AP$2,1),0)),11,"")</f>
        <v/>
      </c>
      <c r="P23" s="2">
        <f>IF(12&lt;=DAY(EOMONTH(DATE($AL$5,$AP$2,1),0)),12,"")</f>
        <v/>
      </c>
      <c r="Q23" s="2">
        <f>IF(13&lt;=DAY(EOMONTH(DATE($AL$5,$AP$2,1),0)),13,"")</f>
        <v/>
      </c>
      <c r="R23" s="2">
        <f>IF(14&lt;=DAY(EOMONTH(DATE($AL$5,$AP$2,1),0)),14,"")</f>
        <v/>
      </c>
      <c r="S23" s="2">
        <f>IF(15&lt;=DAY(EOMONTH(DATE($AL$5,$AP$2,1),0)),15,"")</f>
        <v/>
      </c>
      <c r="T23" s="2">
        <f>IF(16&lt;=DAY(EOMONTH(DATE($AL$5,$AP$2,1),0)),16,"")</f>
        <v/>
      </c>
      <c r="U23" s="2">
        <f>IF(17&lt;=DAY(EOMONTH(DATE($AL$5,$AP$2,1),0)),17,"")</f>
        <v/>
      </c>
      <c r="V23" s="2">
        <f>IF(18&lt;=DAY(EOMONTH(DATE($AL$5,$AP$2,1),0)),18,"")</f>
        <v/>
      </c>
      <c r="W23" s="2">
        <f>IF(19&lt;=DAY(EOMONTH(DATE($AL$5,$AP$2,1),0)),19,"")</f>
        <v/>
      </c>
      <c r="X23" s="2">
        <f>IF(20&lt;=DAY(EOMONTH(DATE($AL$5,$AP$2,1),0)),20,"")</f>
        <v/>
      </c>
      <c r="Y23" s="2">
        <f>IF(21&lt;=DAY(EOMONTH(DATE($AL$5,$AP$2,1),0)),21,"")</f>
        <v/>
      </c>
      <c r="Z23" s="2">
        <f>IF(22&lt;=DAY(EOMONTH(DATE($AL$5,$AP$2,1),0)),22,"")</f>
        <v/>
      </c>
      <c r="AA23" s="2">
        <f>IF(23&lt;=DAY(EOMONTH(DATE($AL$5,$AP$2,1),0)),23,"")</f>
        <v/>
      </c>
      <c r="AB23" s="2">
        <f>IF(24&lt;=DAY(EOMONTH(DATE($AL$5,$AP$2,1),0)),24,"")</f>
        <v/>
      </c>
      <c r="AC23" s="2">
        <f>IF(25&lt;=DAY(EOMONTH(DATE($AL$5,$AP$2,1),0)),25,"")</f>
        <v/>
      </c>
      <c r="AD23" s="2">
        <f>IF(26&lt;=DAY(EOMONTH(DATE($AL$5,$AP$2,1),0)),26,"")</f>
        <v/>
      </c>
      <c r="AE23" s="2">
        <f>IF(27&lt;=DAY(EOMONTH(DATE($AL$5,$AP$2,1),0)),27,"")</f>
        <v/>
      </c>
      <c r="AF23" s="2">
        <f>IF(28&lt;=DAY(EOMONTH(DATE($AL$5,$AP$2,1),0)),28,"")</f>
        <v/>
      </c>
      <c r="AG23" s="2">
        <f>IF(29&lt;=DAY(EOMONTH(DATE($AL$5,$AP$2,1),0)),29,"")</f>
        <v/>
      </c>
      <c r="AH23" s="2">
        <f>IF(30&lt;=DAY(EOMONTH(DATE($AL$5,$AP$2,1),0)),30,"")</f>
        <v/>
      </c>
      <c r="AI23" s="25">
        <f>IF(31&lt;=DAY(EOMONTH(DATE($AL$5,$AP$2,1),0)),31,"")</f>
        <v/>
      </c>
    </row>
    <row r="24" ht="16.2" customHeight="1" thickBot="1">
      <c r="A24" s="113">
        <f>IF($C24="","",ROW()-23)</f>
        <v/>
      </c>
      <c r="B24" s="114" t="n"/>
      <c r="C24" s="115" t="n"/>
      <c r="D24" s="114" t="n"/>
      <c r="E24" s="117" t="n"/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17" t="n"/>
      <c r="U24" s="117" t="n"/>
      <c r="V24" s="117" t="n"/>
      <c r="W24" s="117" t="n"/>
      <c r="X24" s="117" t="n"/>
      <c r="Y24" s="117" t="n"/>
      <c r="Z24" s="117" t="n"/>
      <c r="AA24" s="117" t="n"/>
      <c r="AB24" s="117" t="n"/>
      <c r="AC24" s="117" t="n"/>
      <c r="AD24" s="117" t="n"/>
      <c r="AE24" s="117" t="n"/>
      <c r="AF24" s="117" t="n"/>
      <c r="AG24" s="117" t="n"/>
      <c r="AH24" s="117" t="n"/>
      <c r="AI24" s="119" t="n"/>
    </row>
    <row r="25" ht="16.2" customHeight="1" thickBot="1">
      <c r="A25" s="113">
        <f>IF($C25="","",ROW()-23)</f>
        <v/>
      </c>
      <c r="B25" s="114" t="n"/>
      <c r="C25" s="115" t="n"/>
      <c r="D25" s="114" t="n"/>
      <c r="E25" s="117" t="n"/>
      <c r="F25" s="117" t="n"/>
      <c r="G25" s="117" t="n"/>
      <c r="H25" s="117" t="n"/>
      <c r="I25" s="117" t="n"/>
      <c r="J25" s="117" t="n"/>
      <c r="K25" s="117" t="n"/>
      <c r="L25" s="117" t="n"/>
      <c r="M25" s="117" t="n"/>
      <c r="N25" s="117" t="n"/>
      <c r="O25" s="117" t="n"/>
      <c r="P25" s="117" t="n"/>
      <c r="Q25" s="117" t="n"/>
      <c r="R25" s="117" t="n"/>
      <c r="S25" s="117" t="n"/>
      <c r="T25" s="117" t="n"/>
      <c r="U25" s="117" t="n"/>
      <c r="V25" s="117" t="n"/>
      <c r="W25" s="117" t="n"/>
      <c r="X25" s="117" t="n"/>
      <c r="Y25" s="117" t="n"/>
      <c r="Z25" s="117" t="n"/>
      <c r="AA25" s="117" t="n"/>
      <c r="AB25" s="117" t="n"/>
      <c r="AC25" s="117" t="n"/>
      <c r="AD25" s="117" t="n"/>
      <c r="AE25" s="117" t="n"/>
      <c r="AF25" s="117" t="n"/>
      <c r="AG25" s="117" t="n"/>
      <c r="AH25" s="117" t="n"/>
      <c r="AI25" s="119" t="n"/>
    </row>
    <row r="26" ht="16.2" customHeight="1" thickBot="1">
      <c r="A26" s="113">
        <f>IF($C26="","",ROW()-23)</f>
        <v/>
      </c>
      <c r="B26" s="114" t="n"/>
      <c r="C26" s="115" t="n"/>
      <c r="D26" s="116" t="n"/>
      <c r="E26" s="117" t="n"/>
      <c r="F26" s="117" t="n"/>
      <c r="G26" s="117" t="n"/>
      <c r="H26" s="117" t="n"/>
      <c r="I26" s="117" t="n"/>
      <c r="J26" s="117" t="n"/>
      <c r="K26" s="117" t="n"/>
      <c r="L26" s="117" t="n"/>
      <c r="M26" s="117" t="n"/>
      <c r="N26" s="117" t="n"/>
      <c r="O26" s="117" t="n"/>
      <c r="P26" s="117" t="n"/>
      <c r="Q26" s="117" t="n"/>
      <c r="R26" s="117" t="n"/>
      <c r="S26" s="117" t="n"/>
      <c r="T26" s="117" t="n"/>
      <c r="U26" s="117" t="n"/>
      <c r="V26" s="117" t="n"/>
      <c r="W26" s="117" t="n"/>
      <c r="X26" s="117" t="n"/>
      <c r="Y26" s="117" t="n"/>
      <c r="Z26" s="117" t="n"/>
      <c r="AA26" s="117" t="n"/>
      <c r="AB26" s="117" t="n"/>
      <c r="AC26" s="117" t="n"/>
      <c r="AD26" s="117" t="n"/>
      <c r="AE26" s="117" t="n"/>
      <c r="AF26" s="117" t="n"/>
      <c r="AG26" s="117" t="n"/>
      <c r="AH26" s="117" t="n"/>
      <c r="AI26" s="119" t="n"/>
    </row>
    <row r="27" ht="16.2" customHeight="1" thickBot="1">
      <c r="A27" s="113">
        <f>IF($C27="","",ROW()-23)</f>
        <v/>
      </c>
      <c r="B27" s="114" t="n"/>
      <c r="C27" s="115" t="n"/>
      <c r="D27" s="116" t="n"/>
      <c r="E27" s="117" t="n"/>
      <c r="F27" s="117" t="n"/>
      <c r="G27" s="117" t="n"/>
      <c r="H27" s="117" t="n"/>
      <c r="I27" s="117" t="n"/>
      <c r="J27" s="117" t="n"/>
      <c r="K27" s="117" t="n"/>
      <c r="L27" s="117" t="n"/>
      <c r="M27" s="117" t="n"/>
      <c r="N27" s="117" t="n"/>
      <c r="O27" s="117" t="n"/>
      <c r="P27" s="117" t="n"/>
      <c r="Q27" s="117" t="n"/>
      <c r="R27" s="117" t="n"/>
      <c r="S27" s="117" t="n"/>
      <c r="T27" s="117" t="n"/>
      <c r="U27" s="117" t="n"/>
      <c r="V27" s="117" t="n"/>
      <c r="W27" s="117" t="n"/>
      <c r="X27" s="117" t="n"/>
      <c r="Y27" s="117" t="n"/>
      <c r="Z27" s="117" t="n"/>
      <c r="AA27" s="117" t="n"/>
      <c r="AB27" s="117" t="n"/>
      <c r="AC27" s="117" t="n"/>
      <c r="AD27" s="117" t="n"/>
      <c r="AE27" s="117" t="n"/>
      <c r="AF27" s="117" t="n"/>
      <c r="AG27" s="117" t="n"/>
      <c r="AH27" s="117" t="n"/>
      <c r="AI27" s="119" t="n"/>
    </row>
    <row r="28" ht="16.2" customHeight="1" thickBot="1">
      <c r="A28" s="113">
        <f>IF($C28="","",ROW()-23)</f>
        <v/>
      </c>
      <c r="B28" s="114" t="n"/>
      <c r="C28" s="115" t="n"/>
      <c r="D28" s="116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7" t="n"/>
      <c r="N28" s="117" t="n"/>
      <c r="O28" s="117" t="n"/>
      <c r="P28" s="117" t="n"/>
      <c r="Q28" s="117" t="n"/>
      <c r="R28" s="117" t="n"/>
      <c r="S28" s="117" t="n"/>
      <c r="T28" s="117" t="n"/>
      <c r="U28" s="117" t="n"/>
      <c r="V28" s="117" t="n"/>
      <c r="W28" s="117" t="n"/>
      <c r="X28" s="117" t="n"/>
      <c r="Y28" s="117" t="n"/>
      <c r="Z28" s="117" t="n"/>
      <c r="AA28" s="117" t="n"/>
      <c r="AB28" s="117" t="n"/>
      <c r="AC28" s="117" t="n"/>
      <c r="AD28" s="117" t="n"/>
      <c r="AE28" s="117" t="n"/>
      <c r="AF28" s="117" t="n"/>
      <c r="AG28" s="117" t="n"/>
      <c r="AH28" s="117" t="n"/>
      <c r="AI28" s="119" t="n"/>
    </row>
    <row r="29" ht="16.2" customHeight="1" thickBot="1">
      <c r="A29" s="122">
        <f>IF($C29="","",ROW()-23)</f>
        <v/>
      </c>
      <c r="B29" s="114" t="n"/>
      <c r="C29" s="115" t="n"/>
      <c r="D29" s="114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7" t="n"/>
      <c r="N29" s="117" t="n"/>
      <c r="O29" s="117" t="n"/>
      <c r="P29" s="117" t="n"/>
      <c r="Q29" s="117" t="n"/>
      <c r="R29" s="117" t="n"/>
      <c r="S29" s="117" t="n"/>
      <c r="T29" s="117" t="n"/>
      <c r="U29" s="117" t="n"/>
      <c r="V29" s="117" t="n"/>
      <c r="W29" s="117" t="n"/>
      <c r="X29" s="117" t="n"/>
      <c r="Y29" s="117" t="n"/>
      <c r="Z29" s="117" t="n"/>
      <c r="AA29" s="117" t="n"/>
      <c r="AB29" s="117" t="n"/>
      <c r="AC29" s="117" t="n"/>
      <c r="AD29" s="117" t="n"/>
      <c r="AE29" s="117" t="n"/>
      <c r="AF29" s="117" t="n"/>
      <c r="AG29" s="117" t="n"/>
      <c r="AH29" s="117" t="n"/>
      <c r="AI29" s="119" t="n"/>
    </row>
    <row r="30" ht="16.2" customHeight="1" thickBot="1">
      <c r="A30" s="122">
        <f>IF($C30="","",ROW()-23)</f>
        <v/>
      </c>
      <c r="B30" s="114" t="n"/>
      <c r="C30" s="115" t="n"/>
      <c r="D30" s="114" t="n"/>
      <c r="E30" s="117" t="n"/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  <c r="AA30" s="117" t="n"/>
      <c r="AB30" s="117" t="n"/>
      <c r="AC30" s="117" t="n"/>
      <c r="AD30" s="117" t="n"/>
      <c r="AE30" s="117" t="n"/>
      <c r="AF30" s="117" t="n"/>
      <c r="AG30" s="117" t="n"/>
      <c r="AH30" s="117" t="n"/>
      <c r="AI30" s="119" t="n"/>
    </row>
    <row r="31" ht="16.2" customHeight="1" thickBot="1">
      <c r="A31" s="122">
        <f>IF($C31="","",ROW()-23)</f>
        <v/>
      </c>
      <c r="B31" s="114" t="n"/>
      <c r="C31" s="115" t="n"/>
      <c r="D31" s="114" t="n"/>
      <c r="E31" s="117" t="n"/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17" t="n"/>
      <c r="U31" s="117" t="n"/>
      <c r="V31" s="117" t="n"/>
      <c r="W31" s="117" t="n"/>
      <c r="X31" s="117" t="n"/>
      <c r="Y31" s="117" t="n"/>
      <c r="Z31" s="117" t="n"/>
      <c r="AA31" s="117" t="n"/>
      <c r="AB31" s="117" t="n"/>
      <c r="AC31" s="117" t="n"/>
      <c r="AD31" s="117" t="n"/>
      <c r="AE31" s="117" t="n"/>
      <c r="AF31" s="117" t="n"/>
      <c r="AG31" s="117" t="n"/>
      <c r="AH31" s="117" t="n"/>
      <c r="AI31" s="119" t="n"/>
    </row>
    <row r="32" ht="16.2" customHeight="1" thickBot="1">
      <c r="A32" s="122">
        <f>IF($C32="","",ROW()-23)</f>
        <v/>
      </c>
      <c r="B32" s="114" t="n"/>
      <c r="C32" s="115" t="n"/>
      <c r="D32" s="114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7" t="n"/>
      <c r="N32" s="117" t="n"/>
      <c r="O32" s="117" t="n"/>
      <c r="P32" s="117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7" t="n"/>
      <c r="AA32" s="117" t="n"/>
      <c r="AB32" s="117" t="n"/>
      <c r="AC32" s="117" t="n"/>
      <c r="AD32" s="117" t="n"/>
      <c r="AE32" s="117" t="n"/>
      <c r="AF32" s="117" t="n"/>
      <c r="AG32" s="117" t="n"/>
      <c r="AH32" s="117" t="n"/>
      <c r="AI32" s="119" t="n"/>
    </row>
    <row r="33" ht="16.2" customHeight="1" thickBot="1">
      <c r="A33" s="122">
        <f>IF($C33="","",ROW()-23)</f>
        <v/>
      </c>
      <c r="B33" s="114" t="n"/>
      <c r="C33" s="115" t="n"/>
      <c r="D33" s="114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7" t="n"/>
      <c r="N33" s="117" t="n"/>
      <c r="O33" s="117" t="n"/>
      <c r="P33" s="117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  <c r="AA33" s="117" t="n"/>
      <c r="AB33" s="117" t="n"/>
      <c r="AC33" s="117" t="n"/>
      <c r="AD33" s="117" t="n"/>
      <c r="AE33" s="117" t="n"/>
      <c r="AF33" s="117" t="n"/>
      <c r="AG33" s="117" t="n"/>
      <c r="AH33" s="117" t="n"/>
      <c r="AI33" s="119" t="n"/>
    </row>
    <row r="34" ht="16.2" customHeight="1" thickBot="1">
      <c r="A34" s="122">
        <f>IF($C34="","",ROW()-23)</f>
        <v/>
      </c>
      <c r="B34" s="114" t="n"/>
      <c r="C34" s="115" t="n"/>
      <c r="D34" s="114" t="n"/>
      <c r="E34" s="117" t="n"/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17" t="n"/>
      <c r="U34" s="117" t="n"/>
      <c r="V34" s="117" t="n"/>
      <c r="W34" s="117" t="n"/>
      <c r="X34" s="117" t="n"/>
      <c r="Y34" s="117" t="n"/>
      <c r="Z34" s="117" t="n"/>
      <c r="AA34" s="117" t="n"/>
      <c r="AB34" s="117" t="n"/>
      <c r="AC34" s="117" t="n"/>
      <c r="AD34" s="117" t="n"/>
      <c r="AE34" s="117" t="n"/>
      <c r="AF34" s="117" t="n"/>
      <c r="AG34" s="117" t="n"/>
      <c r="AH34" s="117" t="n"/>
      <c r="AI34" s="119" t="n"/>
    </row>
    <row r="35" ht="16.2" customHeight="1" thickBot="1">
      <c r="A35" s="122">
        <f>IF($C35="","",ROW()-23)</f>
        <v/>
      </c>
      <c r="B35" s="114" t="n"/>
      <c r="C35" s="115" t="n"/>
      <c r="D35" s="114" t="n"/>
      <c r="E35" s="117" t="n"/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17" t="n"/>
      <c r="U35" s="117" t="n"/>
      <c r="V35" s="117" t="n"/>
      <c r="W35" s="117" t="n"/>
      <c r="X35" s="117" t="n"/>
      <c r="Y35" s="117" t="n"/>
      <c r="Z35" s="117" t="n"/>
      <c r="AA35" s="117" t="n"/>
      <c r="AB35" s="117" t="n"/>
      <c r="AC35" s="117" t="n"/>
      <c r="AD35" s="117" t="n"/>
      <c r="AE35" s="117" t="n"/>
      <c r="AF35" s="117" t="n"/>
      <c r="AG35" s="117" t="n"/>
      <c r="AH35" s="117" t="n"/>
      <c r="AI35" s="119" t="n"/>
    </row>
    <row r="36" ht="16.2" customHeight="1" thickBot="1">
      <c r="A36" s="122">
        <f>IF($C36="","",ROW()-23)</f>
        <v/>
      </c>
      <c r="B36" s="114" t="n"/>
      <c r="C36" s="115" t="n"/>
      <c r="D36" s="114" t="n"/>
      <c r="E36" s="117" t="n"/>
      <c r="F36" s="117" t="n"/>
      <c r="G36" s="117" t="n"/>
      <c r="H36" s="117" t="n"/>
      <c r="I36" s="117" t="n"/>
      <c r="J36" s="117" t="n"/>
      <c r="K36" s="117" t="n"/>
      <c r="L36" s="117" t="n"/>
      <c r="M36" s="117" t="n"/>
      <c r="N36" s="117" t="n"/>
      <c r="O36" s="117" t="n"/>
      <c r="P36" s="117" t="n"/>
      <c r="Q36" s="117" t="n"/>
      <c r="R36" s="117" t="n"/>
      <c r="S36" s="117" t="n"/>
      <c r="T36" s="117" t="n"/>
      <c r="U36" s="117" t="n"/>
      <c r="V36" s="117" t="n"/>
      <c r="W36" s="117" t="n"/>
      <c r="X36" s="117" t="n"/>
      <c r="Y36" s="117" t="n"/>
      <c r="Z36" s="117" t="n"/>
      <c r="AA36" s="117" t="n"/>
      <c r="AB36" s="117" t="n"/>
      <c r="AC36" s="117" t="n"/>
      <c r="AD36" s="117" t="n"/>
      <c r="AE36" s="117" t="n"/>
      <c r="AF36" s="117" t="n"/>
      <c r="AG36" s="117" t="n"/>
      <c r="AH36" s="117" t="n"/>
      <c r="AI36" s="119" t="n"/>
    </row>
    <row r="37" ht="16.2" customHeight="1" thickBot="1">
      <c r="A37" s="113">
        <f>IF($C37="","",ROW()-23)</f>
        <v/>
      </c>
      <c r="B37" s="114" t="n"/>
      <c r="C37" s="115" t="n"/>
      <c r="D37" s="114" t="n"/>
      <c r="E37" s="117" t="n"/>
      <c r="F37" s="117" t="n"/>
      <c r="G37" s="117" t="n"/>
      <c r="H37" s="117" t="n"/>
      <c r="I37" s="117" t="n"/>
      <c r="J37" s="117" t="n"/>
      <c r="K37" s="117" t="n"/>
      <c r="L37" s="117" t="n"/>
      <c r="M37" s="117" t="n"/>
      <c r="N37" s="117" t="n"/>
      <c r="O37" s="117" t="n"/>
      <c r="P37" s="117" t="n"/>
      <c r="Q37" s="117" t="n"/>
      <c r="R37" s="117" t="n"/>
      <c r="S37" s="117" t="n"/>
      <c r="T37" s="117" t="n"/>
      <c r="U37" s="117" t="n"/>
      <c r="V37" s="117" t="n"/>
      <c r="W37" s="117" t="n"/>
      <c r="X37" s="117" t="n"/>
      <c r="Y37" s="117" t="n"/>
      <c r="Z37" s="117" t="n"/>
      <c r="AA37" s="117" t="n"/>
      <c r="AB37" s="117" t="n"/>
      <c r="AC37" s="117" t="n"/>
      <c r="AD37" s="117" t="n"/>
      <c r="AE37" s="117" t="n"/>
      <c r="AF37" s="117" t="n"/>
      <c r="AG37" s="117" t="n"/>
      <c r="AH37" s="117" t="n"/>
      <c r="AI37" s="119" t="n"/>
    </row>
    <row r="38" ht="16.2" customHeight="1" thickBot="1">
      <c r="A38" s="113">
        <f>IF($C38="","",ROW()-23)</f>
        <v/>
      </c>
      <c r="B38" s="114" t="n"/>
      <c r="C38" s="115" t="n"/>
      <c r="D38" s="114" t="n"/>
      <c r="E38" s="117" t="n"/>
      <c r="F38" s="117" t="n"/>
      <c r="G38" s="117" t="n"/>
      <c r="H38" s="117" t="n"/>
      <c r="I38" s="117" t="n"/>
      <c r="J38" s="117" t="n"/>
      <c r="K38" s="117" t="n"/>
      <c r="L38" s="117" t="n"/>
      <c r="M38" s="117" t="n"/>
      <c r="N38" s="117" t="n"/>
      <c r="O38" s="117" t="n"/>
      <c r="P38" s="117" t="n"/>
      <c r="Q38" s="117" t="n"/>
      <c r="R38" s="117" t="n"/>
      <c r="S38" s="117" t="n"/>
      <c r="T38" s="117" t="n"/>
      <c r="U38" s="117" t="n"/>
      <c r="V38" s="117" t="n"/>
      <c r="W38" s="117" t="n"/>
      <c r="X38" s="117" t="n"/>
      <c r="Y38" s="117" t="n"/>
      <c r="Z38" s="117" t="n"/>
      <c r="AA38" s="117" t="n"/>
      <c r="AB38" s="117" t="n"/>
      <c r="AC38" s="117" t="n"/>
      <c r="AD38" s="117" t="n"/>
      <c r="AE38" s="117" t="n"/>
      <c r="AF38" s="117" t="n"/>
      <c r="AG38" s="117" t="n"/>
      <c r="AH38" s="117" t="n"/>
      <c r="AI38" s="119" t="n"/>
    </row>
    <row r="39" ht="16.2" customHeight="1" thickBot="1">
      <c r="A39" s="113">
        <f>IF($C39="","",ROW()-23)</f>
        <v/>
      </c>
      <c r="B39" s="114" t="n"/>
      <c r="C39" s="115" t="n"/>
      <c r="D39" s="114" t="n"/>
      <c r="E39" s="117" t="n"/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17" t="n"/>
      <c r="U39" s="117" t="n"/>
      <c r="V39" s="117" t="n"/>
      <c r="W39" s="117" t="n"/>
      <c r="X39" s="117" t="n"/>
      <c r="Y39" s="117" t="n"/>
      <c r="Z39" s="117" t="n"/>
      <c r="AA39" s="117" t="n"/>
      <c r="AB39" s="117" t="n"/>
      <c r="AC39" s="117" t="n"/>
      <c r="AD39" s="117" t="n"/>
      <c r="AE39" s="117" t="n"/>
      <c r="AF39" s="117" t="n"/>
      <c r="AG39" s="117" t="n"/>
      <c r="AH39" s="117" t="n"/>
      <c r="AI39" s="119" t="n"/>
    </row>
    <row r="40" ht="16.2" customHeight="1" thickBot="1">
      <c r="A40" s="113">
        <f>IF($C40="","",ROW()-23)</f>
        <v/>
      </c>
      <c r="B40" s="114" t="n"/>
      <c r="C40" s="115" t="n"/>
      <c r="D40" s="114" t="n"/>
      <c r="E40" s="125" t="n"/>
      <c r="F40" s="125" t="n"/>
      <c r="G40" s="125" t="n"/>
      <c r="H40" s="125" t="n"/>
      <c r="I40" s="125" t="n"/>
      <c r="J40" s="125" t="n"/>
      <c r="K40" s="125" t="n"/>
      <c r="L40" s="125" t="n"/>
      <c r="M40" s="125" t="n"/>
      <c r="N40" s="125" t="n"/>
      <c r="O40" s="125" t="n"/>
      <c r="P40" s="125" t="n"/>
      <c r="Q40" s="125" t="n"/>
      <c r="R40" s="125" t="n"/>
      <c r="S40" s="125" t="n"/>
      <c r="T40" s="125" t="n"/>
      <c r="U40" s="125" t="n"/>
      <c r="V40" s="125" t="n"/>
      <c r="W40" s="125" t="n"/>
      <c r="X40" s="125" t="n"/>
      <c r="Y40" s="125" t="n"/>
      <c r="Z40" s="125" t="n"/>
      <c r="AA40" s="125" t="n"/>
      <c r="AB40" s="125" t="n"/>
      <c r="AC40" s="125" t="n"/>
      <c r="AD40" s="125" t="n"/>
      <c r="AE40" s="125" t="n"/>
      <c r="AF40" s="125" t="n"/>
      <c r="AG40" s="125" t="n"/>
      <c r="AH40" s="125" t="n"/>
      <c r="AI40" s="127" t="n"/>
    </row>
    <row r="41" ht="15" customHeight="1" thickBot="1"/>
    <row r="42" ht="15" customHeight="1" thickBot="1">
      <c r="A42" s="131" t="inlineStr">
        <is>
          <t>SPECIAL SHIFTING</t>
        </is>
      </c>
      <c r="B42" s="128" t="n"/>
      <c r="C42" s="128" t="n"/>
      <c r="D42" s="132" t="n"/>
      <c r="E42" s="1">
        <f>IF(1&lt;=DAY(EOMONTH(DATE($AL$5,$AP$2,1),0)),TEXT(DATE($AL$5,$AP$2,1)+0,"ddd"),"")</f>
        <v/>
      </c>
      <c r="F42" s="1">
        <f>IF(2&lt;=DAY(EOMONTH(DATE($AL$5,$AP$2,1),0)),TEXT(DATE($AL$5,$AP$2,1)+1,"ddd"),"")</f>
        <v/>
      </c>
      <c r="G42" s="1">
        <f>IF(3&lt;=DAY(EOMONTH(DATE($AL$5,$AP$2,1),0)),TEXT(DATE($AL$5,$AP$2,1)+2,"ddd"),"")</f>
        <v/>
      </c>
      <c r="H42" s="1">
        <f>IF(4&lt;=DAY(EOMONTH(DATE($AL$5,$AP$2,1),0)),TEXT(DATE($AL$5,$AP$2,1)+3,"ddd"),"")</f>
        <v/>
      </c>
      <c r="I42" s="1">
        <f>IF(5&lt;=DAY(EOMONTH(DATE($AL$5,$AP$2,1),0)),TEXT(DATE($AL$5,$AP$2,1)+4,"ddd"),"")</f>
        <v/>
      </c>
      <c r="J42" s="1">
        <f>IF(6&lt;=DAY(EOMONTH(DATE($AL$5,$AP$2,1),0)),TEXT(DATE($AL$5,$AP$2,1)+5,"ddd"),"")</f>
        <v/>
      </c>
      <c r="K42" s="1">
        <f>IF(7&lt;=DAY(EOMONTH(DATE($AL$5,$AP$2,1),0)),TEXT(DATE($AL$5,$AP$2,1)+6,"ddd"),"")</f>
        <v/>
      </c>
      <c r="L42" s="1">
        <f>IF(8&lt;=DAY(EOMONTH(DATE($AL$5,$AP$2,1),0)),TEXT(DATE($AL$5,$AP$2,1)+7,"ddd"),"")</f>
        <v/>
      </c>
      <c r="M42" s="1">
        <f>IF(9&lt;=DAY(EOMONTH(DATE($AL$5,$AP$2,1),0)),TEXT(DATE($AL$5,$AP$2,1)+8,"ddd"),"")</f>
        <v/>
      </c>
      <c r="N42" s="1">
        <f>IF(10&lt;=DAY(EOMONTH(DATE($AL$5,$AP$2,1),0)),TEXT(DATE($AL$5,$AP$2,1)+9,"ddd"),"")</f>
        <v/>
      </c>
      <c r="O42" s="1">
        <f>IF(11&lt;=DAY(EOMONTH(DATE($AL$5,$AP$2,1),0)),TEXT(DATE($AL$5,$AP$2,1)+10,"ddd"),"")</f>
        <v/>
      </c>
      <c r="P42" s="1">
        <f>IF(12&lt;=DAY(EOMONTH(DATE($AL$5,$AP$2,1),0)),TEXT(DATE($AL$5,$AP$2,1)+11,"ddd"),"")</f>
        <v/>
      </c>
      <c r="Q42" s="1">
        <f>IF(13&lt;=DAY(EOMONTH(DATE($AL$5,$AP$2,1),0)),TEXT(DATE($AL$5,$AP$2,1)+12,"ddd"),"")</f>
        <v/>
      </c>
      <c r="R42" s="1">
        <f>IF(14&lt;=DAY(EOMONTH(DATE($AL$5,$AP$2,1),0)),TEXT(DATE($AL$5,$AP$2,1)+13,"ddd"),"")</f>
        <v/>
      </c>
      <c r="S42" s="1">
        <f>IF(15&lt;=DAY(EOMONTH(DATE($AL$5,$AP$2,1),0)),TEXT(DATE($AL$5,$AP$2,1)+14,"ddd"),"")</f>
        <v/>
      </c>
      <c r="T42" s="1">
        <f>IF(16&lt;=DAY(EOMONTH(DATE($AL$5,$AP$2,1),0)),TEXT(DATE($AL$5,$AP$2,1)+15,"ddd"),"")</f>
        <v/>
      </c>
      <c r="U42" s="1">
        <f>IF(17&lt;=DAY(EOMONTH(DATE($AL$5,$AP$2,1),0)),TEXT(DATE($AL$5,$AP$2,1)+16,"ddd"),"")</f>
        <v/>
      </c>
      <c r="V42" s="1">
        <f>IF(18&lt;=DAY(EOMONTH(DATE($AL$5,$AP$2,1),0)),TEXT(DATE($AL$5,$AP$2,1)+17,"ddd"),"")</f>
        <v/>
      </c>
      <c r="W42" s="1">
        <f>IF(19&lt;=DAY(EOMONTH(DATE($AL$5,$AP$2,1),0)),TEXT(DATE($AL$5,$AP$2,1)+18,"ddd"),"")</f>
        <v/>
      </c>
      <c r="X42" s="1">
        <f>IF(20&lt;=DAY(EOMONTH(DATE($AL$5,$AP$2,1),0)),TEXT(DATE($AL$5,$AP$2,1)+19,"ddd"),"")</f>
        <v/>
      </c>
      <c r="Y42" s="1">
        <f>IF(21&lt;=DAY(EOMONTH(DATE($AL$5,$AP$2,1),0)),TEXT(DATE($AL$5,$AP$2,1)+20,"ddd"),"")</f>
        <v/>
      </c>
      <c r="Z42" s="1">
        <f>IF(22&lt;=DAY(EOMONTH(DATE($AL$5,$AP$2,1),0)),TEXT(DATE($AL$5,$AP$2,1)+21,"ddd"),"")</f>
        <v/>
      </c>
      <c r="AA42" s="1">
        <f>IF(23&lt;=DAY(EOMONTH(DATE($AL$5,$AP$2,1),0)),TEXT(DATE($AL$5,$AP$2,1)+22,"ddd"),"")</f>
        <v/>
      </c>
      <c r="AB42" s="1">
        <f>IF(24&lt;=DAY(EOMONTH(DATE($AL$5,$AP$2,1),0)),TEXT(DATE($AL$5,$AP$2,1)+23,"ddd"),"")</f>
        <v/>
      </c>
      <c r="AC42" s="1">
        <f>IF(25&lt;=DAY(EOMONTH(DATE($AL$5,$AP$2,1),0)),TEXT(DATE($AL$5,$AP$2,1)+24,"ddd"),"")</f>
        <v/>
      </c>
      <c r="AD42" s="1">
        <f>IF(26&lt;=DAY(EOMONTH(DATE($AL$5,$AP$2,1),0)),TEXT(DATE($AL$5,$AP$2,1)+25,"ddd"),"")</f>
        <v/>
      </c>
      <c r="AE42" s="1">
        <f>IF(27&lt;=DAY(EOMONTH(DATE($AL$5,$AP$2,1),0)),TEXT(DATE($AL$5,$AP$2,1)+26,"ddd"),"")</f>
        <v/>
      </c>
      <c r="AF42" s="1">
        <f>IF(28&lt;=DAY(EOMONTH(DATE($AL$5,$AP$2,1),0)),TEXT(DATE($AL$5,$AP$2,1)+27,"ddd"),"")</f>
        <v/>
      </c>
      <c r="AG42" s="1">
        <f>IF(29&lt;=DAY(EOMONTH(DATE($AL$5,$AP$2,1),0)),TEXT(DATE($AL$5,$AP$2,1)+28,"ddd"),"")</f>
        <v/>
      </c>
      <c r="AH42" s="1">
        <f>IF(30&lt;=DAY(EOMONTH(DATE($AL$5,$AP$2,1),0)),TEXT(DATE($AL$5,$AP$2,1)+29,"ddd"),"")</f>
        <v/>
      </c>
      <c r="AI42" s="1">
        <f>IF(31&lt;=DAY(EOMONTH(DATE($AL$5,$AP$2,1),0)),TEXT(DATE($AL$5,$AP$2,1)+30,"ddd"),"")</f>
        <v/>
      </c>
    </row>
    <row r="43" ht="16.2" customHeight="1" thickBot="1">
      <c r="A43" s="129" t="n"/>
      <c r="B43" s="130" t="n"/>
      <c r="C43" s="130" t="n"/>
      <c r="D43" s="133" t="n"/>
      <c r="E43" s="2">
        <f>IF(1&lt;=DAY(EOMONTH(DATE($AL$5,$AP$2,1),0)),1,"")</f>
        <v/>
      </c>
      <c r="F43" s="2">
        <f>IF(2&lt;=DAY(EOMONTH(DATE($AL$5,$AP$2,1),0)),2,"")</f>
        <v/>
      </c>
      <c r="G43" s="2">
        <f>IF(3&lt;=DAY(EOMONTH(DATE($AL$5,$AP$2,1),0)),3,"")</f>
        <v/>
      </c>
      <c r="H43" s="2">
        <f>IF(4&lt;=DAY(EOMONTH(DATE($AL$5,$AP$2,1),0)),4,"")</f>
        <v/>
      </c>
      <c r="I43" s="3">
        <f>IF(5&lt;=DAY(EOMONTH(DATE($AL$5,$AP$2,1),0)),5,"")</f>
        <v/>
      </c>
      <c r="J43" s="4">
        <f>IF(6&lt;=DAY(EOMONTH(DATE($AL$5,$AP$2,1),0)),6,"")</f>
        <v/>
      </c>
      <c r="K43" s="4">
        <f>IF(7&lt;=DAY(EOMONTH(DATE($AL$5,$AP$2,1),0)),7,"")</f>
        <v/>
      </c>
      <c r="L43" s="3">
        <f>IF(8&lt;=DAY(EOMONTH(DATE($AL$5,$AP$2,1),0)),8,"")</f>
        <v/>
      </c>
      <c r="M43" s="4">
        <f>IF(9&lt;=DAY(EOMONTH(DATE($AL$5,$AP$2,1),0)),9,"")</f>
        <v/>
      </c>
      <c r="N43" s="2">
        <f>IF(10&lt;=DAY(EOMONTH(DATE($AL$5,$AP$2,1),0)),10,"")</f>
        <v/>
      </c>
      <c r="O43" s="2">
        <f>IF(11&lt;=DAY(EOMONTH(DATE($AL$5,$AP$2,1),0)),11,"")</f>
        <v/>
      </c>
      <c r="P43" s="2">
        <f>IF(12&lt;=DAY(EOMONTH(DATE($AL$5,$AP$2,1),0)),12,"")</f>
        <v/>
      </c>
      <c r="Q43" s="2">
        <f>IF(13&lt;=DAY(EOMONTH(DATE($AL$5,$AP$2,1),0)),13,"")</f>
        <v/>
      </c>
      <c r="R43" s="2">
        <f>IF(14&lt;=DAY(EOMONTH(DATE($AL$5,$AP$2,1),0)),14,"")</f>
        <v/>
      </c>
      <c r="S43" s="2">
        <f>IF(15&lt;=DAY(EOMONTH(DATE($AL$5,$AP$2,1),0)),15,"")</f>
        <v/>
      </c>
      <c r="T43" s="2">
        <f>IF(16&lt;=DAY(EOMONTH(DATE($AL$5,$AP$2,1),0)),16,"")</f>
        <v/>
      </c>
      <c r="U43" s="2">
        <f>IF(17&lt;=DAY(EOMONTH(DATE($AL$5,$AP$2,1),0)),17,"")</f>
        <v/>
      </c>
      <c r="V43" s="2">
        <f>IF(18&lt;=DAY(EOMONTH(DATE($AL$5,$AP$2,1),0)),18,"")</f>
        <v/>
      </c>
      <c r="W43" s="2">
        <f>IF(19&lt;=DAY(EOMONTH(DATE($AL$5,$AP$2,1),0)),19,"")</f>
        <v/>
      </c>
      <c r="X43" s="2">
        <f>IF(20&lt;=DAY(EOMONTH(DATE($AL$5,$AP$2,1),0)),20,"")</f>
        <v/>
      </c>
      <c r="Y43" s="2">
        <f>IF(21&lt;=DAY(EOMONTH(DATE($AL$5,$AP$2,1),0)),21,"")</f>
        <v/>
      </c>
      <c r="Z43" s="2">
        <f>IF(22&lt;=DAY(EOMONTH(DATE($AL$5,$AP$2,1),0)),22,"")</f>
        <v/>
      </c>
      <c r="AA43" s="2">
        <f>IF(23&lt;=DAY(EOMONTH(DATE($AL$5,$AP$2,1),0)),23,"")</f>
        <v/>
      </c>
      <c r="AB43" s="2">
        <f>IF(24&lt;=DAY(EOMONTH(DATE($AL$5,$AP$2,1),0)),24,"")</f>
        <v/>
      </c>
      <c r="AC43" s="2">
        <f>IF(25&lt;=DAY(EOMONTH(DATE($AL$5,$AP$2,1),0)),25,"")</f>
        <v/>
      </c>
      <c r="AD43" s="2">
        <f>IF(26&lt;=DAY(EOMONTH(DATE($AL$5,$AP$2,1),0)),26,"")</f>
        <v/>
      </c>
      <c r="AE43" s="2">
        <f>IF(27&lt;=DAY(EOMONTH(DATE($AL$5,$AP$2,1),0)),27,"")</f>
        <v/>
      </c>
      <c r="AF43" s="2">
        <f>IF(28&lt;=DAY(EOMONTH(DATE($AL$5,$AP$2,1),0)),28,"")</f>
        <v/>
      </c>
      <c r="AG43" s="2">
        <f>IF(29&lt;=DAY(EOMONTH(DATE($AL$5,$AP$2,1),0)),29,"")</f>
        <v/>
      </c>
      <c r="AH43" s="2">
        <f>IF(30&lt;=DAY(EOMONTH(DATE($AL$5,$AP$2,1),0)),30,"")</f>
        <v/>
      </c>
      <c r="AI43" s="2">
        <f>IF(31&lt;=DAY(EOMONTH(DATE($AL$5,$AP$2,1),0)),31,"")</f>
        <v/>
      </c>
    </row>
    <row r="44" ht="16.2" customHeight="1" thickBot="1">
      <c r="A44" s="113">
        <f>IF($C44="","",ROW()-43)</f>
        <v/>
      </c>
      <c r="B44" s="114" t="n"/>
      <c r="C44" s="115" t="n"/>
      <c r="D44" s="114" t="n"/>
      <c r="E44" s="117" t="n"/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17" t="n"/>
      <c r="U44" s="117" t="n"/>
      <c r="V44" s="117" t="n"/>
      <c r="W44" s="117" t="n"/>
      <c r="X44" s="117" t="n"/>
      <c r="Y44" s="117" t="n"/>
      <c r="Z44" s="117" t="n"/>
      <c r="AA44" s="117" t="n"/>
      <c r="AB44" s="117" t="n"/>
      <c r="AC44" s="117" t="n"/>
      <c r="AD44" s="117" t="n"/>
      <c r="AE44" s="117" t="n"/>
      <c r="AF44" s="117" t="n"/>
      <c r="AG44" s="117" t="n"/>
      <c r="AH44" s="117" t="n"/>
      <c r="AI44" s="127" t="n"/>
    </row>
    <row r="45" ht="16.2" customHeight="1" thickBot="1">
      <c r="A45" s="134">
        <f>IF($C45="","",ROW()-43)</f>
        <v/>
      </c>
      <c r="B45" s="135" t="n"/>
      <c r="C45" s="136" t="n"/>
      <c r="D45" s="135" t="n"/>
      <c r="E45" s="137" t="n"/>
      <c r="F45" s="137" t="n"/>
      <c r="G45" s="137" t="n"/>
      <c r="H45" s="137" t="n"/>
      <c r="I45" s="137" t="n"/>
      <c r="J45" s="137" t="n"/>
      <c r="K45" s="137" t="n"/>
      <c r="L45" s="137" t="n"/>
      <c r="M45" s="137" t="n"/>
      <c r="N45" s="137" t="n"/>
      <c r="O45" s="137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  <c r="AA45" s="138" t="n"/>
      <c r="AB45" s="138" t="n"/>
      <c r="AC45" s="138" t="n"/>
      <c r="AD45" s="138" t="n"/>
      <c r="AE45" s="138" t="n"/>
      <c r="AF45" s="138" t="n"/>
      <c r="AG45" s="138" t="n"/>
      <c r="AH45" s="138" t="n"/>
      <c r="AI45" s="138" t="n"/>
    </row>
    <row r="46" ht="15" customHeight="1" thickBot="1">
      <c r="A46" s="131" t="inlineStr">
        <is>
          <t>TRANSFERRED-IN MANPOWER</t>
        </is>
      </c>
      <c r="B46" s="128" t="n"/>
      <c r="C46" s="128" t="n"/>
      <c r="D46" s="132" t="n"/>
      <c r="E46" s="1">
        <f>IF(1&lt;=DAY(EOMONTH(DATE($AL$5,$AP$2,1),0)),TEXT(DATE($AL$5,$AP$2,1)+0,"ddd"),"")</f>
        <v/>
      </c>
      <c r="F46" s="1">
        <f>IF(2&lt;=DAY(EOMONTH(DATE($AL$5,$AP$2,1),0)),TEXT(DATE($AL$5,$AP$2,1)+1,"ddd"),"")</f>
        <v/>
      </c>
      <c r="G46" s="1">
        <f>IF(3&lt;=DAY(EOMONTH(DATE($AL$5,$AP$2,1),0)),TEXT(DATE($AL$5,$AP$2,1)+2,"ddd"),"")</f>
        <v/>
      </c>
      <c r="H46" s="1">
        <f>IF(4&lt;=DAY(EOMONTH(DATE($AL$5,$AP$2,1),0)),TEXT(DATE($AL$5,$AP$2,1)+3,"ddd"),"")</f>
        <v/>
      </c>
      <c r="I46" s="1">
        <f>IF(5&lt;=DAY(EOMONTH(DATE($AL$5,$AP$2,1),0)),TEXT(DATE($AL$5,$AP$2,1)+4,"ddd"),"")</f>
        <v/>
      </c>
      <c r="J46" s="1">
        <f>IF(6&lt;=DAY(EOMONTH(DATE($AL$5,$AP$2,1),0)),TEXT(DATE($AL$5,$AP$2,1)+5,"ddd"),"")</f>
        <v/>
      </c>
      <c r="K46" s="1">
        <f>IF(7&lt;=DAY(EOMONTH(DATE($AL$5,$AP$2,1),0)),TEXT(DATE($AL$5,$AP$2,1)+6,"ddd"),"")</f>
        <v/>
      </c>
      <c r="L46" s="1">
        <f>IF(8&lt;=DAY(EOMONTH(DATE($AL$5,$AP$2,1),0)),TEXT(DATE($AL$5,$AP$2,1)+7,"ddd"),"")</f>
        <v/>
      </c>
      <c r="M46" s="1">
        <f>IF(9&lt;=DAY(EOMONTH(DATE($AL$5,$AP$2,1),0)),TEXT(DATE($AL$5,$AP$2,1)+8,"ddd"),"")</f>
        <v/>
      </c>
      <c r="N46" s="1">
        <f>IF(10&lt;=DAY(EOMONTH(DATE($AL$5,$AP$2,1),0)),TEXT(DATE($AL$5,$AP$2,1)+9,"ddd"),"")</f>
        <v/>
      </c>
      <c r="O46" s="1">
        <f>IF(11&lt;=DAY(EOMONTH(DATE($AL$5,$AP$2,1),0)),TEXT(DATE($AL$5,$AP$2,1)+10,"ddd"),"")</f>
        <v/>
      </c>
      <c r="P46" s="1">
        <f>IF(12&lt;=DAY(EOMONTH(DATE($AL$5,$AP$2,1),0)),TEXT(DATE($AL$5,$AP$2,1)+11,"ddd"),"")</f>
        <v/>
      </c>
      <c r="Q46" s="1">
        <f>IF(13&lt;=DAY(EOMONTH(DATE($AL$5,$AP$2,1),0)),TEXT(DATE($AL$5,$AP$2,1)+12,"ddd"),"")</f>
        <v/>
      </c>
      <c r="R46" s="1">
        <f>IF(14&lt;=DAY(EOMONTH(DATE($AL$5,$AP$2,1),0)),TEXT(DATE($AL$5,$AP$2,1)+13,"ddd"),"")</f>
        <v/>
      </c>
      <c r="S46" s="1">
        <f>IF(15&lt;=DAY(EOMONTH(DATE($AL$5,$AP$2,1),0)),TEXT(DATE($AL$5,$AP$2,1)+14,"ddd"),"")</f>
        <v/>
      </c>
      <c r="T46" s="1">
        <f>IF(16&lt;=DAY(EOMONTH(DATE($AL$5,$AP$2,1),0)),TEXT(DATE($AL$5,$AP$2,1)+15,"ddd"),"")</f>
        <v/>
      </c>
      <c r="U46" s="1">
        <f>IF(17&lt;=DAY(EOMONTH(DATE($AL$5,$AP$2,1),0)),TEXT(DATE($AL$5,$AP$2,1)+16,"ddd"),"")</f>
        <v/>
      </c>
      <c r="V46" s="1">
        <f>IF(18&lt;=DAY(EOMONTH(DATE($AL$5,$AP$2,1),0)),TEXT(DATE($AL$5,$AP$2,1)+17,"ddd"),"")</f>
        <v/>
      </c>
      <c r="W46" s="1">
        <f>IF(19&lt;=DAY(EOMONTH(DATE($AL$5,$AP$2,1),0)),TEXT(DATE($AL$5,$AP$2,1)+18,"ddd"),"")</f>
        <v/>
      </c>
      <c r="X46" s="1">
        <f>IF(20&lt;=DAY(EOMONTH(DATE($AL$5,$AP$2,1),0)),TEXT(DATE($AL$5,$AP$2,1)+19,"ddd"),"")</f>
        <v/>
      </c>
      <c r="Y46" s="1">
        <f>IF(21&lt;=DAY(EOMONTH(DATE($AL$5,$AP$2,1),0)),TEXT(DATE($AL$5,$AP$2,1)+20,"ddd"),"")</f>
        <v/>
      </c>
      <c r="Z46" s="1">
        <f>IF(22&lt;=DAY(EOMONTH(DATE($AL$5,$AP$2,1),0)),TEXT(DATE($AL$5,$AP$2,1)+21,"ddd"),"")</f>
        <v/>
      </c>
      <c r="AA46" s="1">
        <f>IF(23&lt;=DAY(EOMONTH(DATE($AL$5,$AP$2,1),0)),TEXT(DATE($AL$5,$AP$2,1)+22,"ddd"),"")</f>
        <v/>
      </c>
      <c r="AB46" s="1">
        <f>IF(24&lt;=DAY(EOMONTH(DATE($AL$5,$AP$2,1),0)),TEXT(DATE($AL$5,$AP$2,1)+23,"ddd"),"")</f>
        <v/>
      </c>
      <c r="AC46" s="1">
        <f>IF(25&lt;=DAY(EOMONTH(DATE($AL$5,$AP$2,1),0)),TEXT(DATE($AL$5,$AP$2,1)+24,"ddd"),"")</f>
        <v/>
      </c>
      <c r="AD46" s="1">
        <f>IF(26&lt;=DAY(EOMONTH(DATE($AL$5,$AP$2,1),0)),TEXT(DATE($AL$5,$AP$2,1)+25,"ddd"),"")</f>
        <v/>
      </c>
      <c r="AE46" s="1">
        <f>IF(27&lt;=DAY(EOMONTH(DATE($AL$5,$AP$2,1),0)),TEXT(DATE($AL$5,$AP$2,1)+26,"ddd"),"")</f>
        <v/>
      </c>
      <c r="AF46" s="1">
        <f>IF(28&lt;=DAY(EOMONTH(DATE($AL$5,$AP$2,1),0)),TEXT(DATE($AL$5,$AP$2,1)+27,"ddd"),"")</f>
        <v/>
      </c>
      <c r="AG46" s="1">
        <f>IF(29&lt;=DAY(EOMONTH(DATE($AL$5,$AP$2,1),0)),TEXT(DATE($AL$5,$AP$2,1)+28,"ddd"),"")</f>
        <v/>
      </c>
      <c r="AH46" s="1">
        <f>IF(30&lt;=DAY(EOMONTH(DATE($AL$5,$AP$2,1),0)),TEXT(DATE($AL$5,$AP$2,1)+29,"ddd"),"")</f>
        <v/>
      </c>
      <c r="AI46" s="1">
        <f>IF(31&lt;=DAY(EOMONTH(DATE($AL$5,$AP$2,1),0)),TEXT(DATE($AL$5,$AP$2,1)+30,"ddd"),"")</f>
        <v/>
      </c>
    </row>
    <row r="47" ht="16.2" customHeight="1" thickBot="1">
      <c r="A47" s="129" t="n"/>
      <c r="B47" s="130" t="n"/>
      <c r="C47" s="130" t="n"/>
      <c r="D47" s="133" t="n"/>
      <c r="E47" s="2">
        <f>IF(1&lt;=DAY(EOMONTH(DATE($AL$5,$AP$2,1),0)),1,"")</f>
        <v/>
      </c>
      <c r="F47" s="2">
        <f>IF(2&lt;=DAY(EOMONTH(DATE($AL$5,$AP$2,1),0)),2,"")</f>
        <v/>
      </c>
      <c r="G47" s="2">
        <f>IF(3&lt;=DAY(EOMONTH(DATE($AL$5,$AP$2,1),0)),3,"")</f>
        <v/>
      </c>
      <c r="H47" s="2">
        <f>IF(4&lt;=DAY(EOMONTH(DATE($AL$5,$AP$2,1),0)),4,"")</f>
        <v/>
      </c>
      <c r="I47" s="3">
        <f>IF(5&lt;=DAY(EOMONTH(DATE($AL$5,$AP$2,1),0)),5,"")</f>
        <v/>
      </c>
      <c r="J47" s="4">
        <f>IF(6&lt;=DAY(EOMONTH(DATE($AL$5,$AP$2,1),0)),6,"")</f>
        <v/>
      </c>
      <c r="K47" s="4">
        <f>IF(7&lt;=DAY(EOMONTH(DATE($AL$5,$AP$2,1),0)),7,"")</f>
        <v/>
      </c>
      <c r="L47" s="3">
        <f>IF(8&lt;=DAY(EOMONTH(DATE($AL$5,$AP$2,1),0)),8,"")</f>
        <v/>
      </c>
      <c r="M47" s="4">
        <f>IF(9&lt;=DAY(EOMONTH(DATE($AL$5,$AP$2,1),0)),9,"")</f>
        <v/>
      </c>
      <c r="N47" s="2">
        <f>IF(10&lt;=DAY(EOMONTH(DATE($AL$5,$AP$2,1),0)),10,"")</f>
        <v/>
      </c>
      <c r="O47" s="2">
        <f>IF(11&lt;=DAY(EOMONTH(DATE($AL$5,$AP$2,1),0)),11,"")</f>
        <v/>
      </c>
      <c r="P47" s="2">
        <f>IF(12&lt;=DAY(EOMONTH(DATE($AL$5,$AP$2,1),0)),12,"")</f>
        <v/>
      </c>
      <c r="Q47" s="2">
        <f>IF(13&lt;=DAY(EOMONTH(DATE($AL$5,$AP$2,1),0)),13,"")</f>
        <v/>
      </c>
      <c r="R47" s="2">
        <f>IF(14&lt;=DAY(EOMONTH(DATE($AL$5,$AP$2,1),0)),14,"")</f>
        <v/>
      </c>
      <c r="S47" s="2">
        <f>IF(15&lt;=DAY(EOMONTH(DATE($AL$5,$AP$2,1),0)),15,"")</f>
        <v/>
      </c>
      <c r="T47" s="2">
        <f>IF(16&lt;=DAY(EOMONTH(DATE($AL$5,$AP$2,1),0)),16,"")</f>
        <v/>
      </c>
      <c r="U47" s="2">
        <f>IF(17&lt;=DAY(EOMONTH(DATE($AL$5,$AP$2,1),0)),17,"")</f>
        <v/>
      </c>
      <c r="V47" s="2">
        <f>IF(18&lt;=DAY(EOMONTH(DATE($AL$5,$AP$2,1),0)),18,"")</f>
        <v/>
      </c>
      <c r="W47" s="2">
        <f>IF(19&lt;=DAY(EOMONTH(DATE($AL$5,$AP$2,1),0)),19,"")</f>
        <v/>
      </c>
      <c r="X47" s="2">
        <f>IF(20&lt;=DAY(EOMONTH(DATE($AL$5,$AP$2,1),0)),20,"")</f>
        <v/>
      </c>
      <c r="Y47" s="2">
        <f>IF(21&lt;=DAY(EOMONTH(DATE($AL$5,$AP$2,1),0)),21,"")</f>
        <v/>
      </c>
      <c r="Z47" s="2">
        <f>IF(22&lt;=DAY(EOMONTH(DATE($AL$5,$AP$2,1),0)),22,"")</f>
        <v/>
      </c>
      <c r="AA47" s="2">
        <f>IF(23&lt;=DAY(EOMONTH(DATE($AL$5,$AP$2,1),0)),23,"")</f>
        <v/>
      </c>
      <c r="AB47" s="2">
        <f>IF(24&lt;=DAY(EOMONTH(DATE($AL$5,$AP$2,1),0)),24,"")</f>
        <v/>
      </c>
      <c r="AC47" s="2">
        <f>IF(25&lt;=DAY(EOMONTH(DATE($AL$5,$AP$2,1),0)),25,"")</f>
        <v/>
      </c>
      <c r="AD47" s="2">
        <f>IF(26&lt;=DAY(EOMONTH(DATE($AL$5,$AP$2,1),0)),26,"")</f>
        <v/>
      </c>
      <c r="AE47" s="2">
        <f>IF(27&lt;=DAY(EOMONTH(DATE($AL$5,$AP$2,1),0)),27,"")</f>
        <v/>
      </c>
      <c r="AF47" s="2">
        <f>IF(28&lt;=DAY(EOMONTH(DATE($AL$5,$AP$2,1),0)),28,"")</f>
        <v/>
      </c>
      <c r="AG47" s="2">
        <f>IF(29&lt;=DAY(EOMONTH(DATE($AL$5,$AP$2,1),0)),29,"")</f>
        <v/>
      </c>
      <c r="AH47" s="2">
        <f>IF(30&lt;=DAY(EOMONTH(DATE($AL$5,$AP$2,1),0)),30,"")</f>
        <v/>
      </c>
      <c r="AI47" s="2">
        <f>IF(31&lt;=DAY(EOMONTH(DATE($AL$5,$AP$2,1),0)),31,"")</f>
        <v/>
      </c>
    </row>
    <row r="48" ht="16.2" customHeight="1" thickBot="1">
      <c r="A48" s="113">
        <f>IF($C48="","",ROW()-47)</f>
        <v/>
      </c>
      <c r="B48" s="114" t="n"/>
      <c r="C48" s="115" t="n"/>
      <c r="D48" s="114" t="n"/>
      <c r="E48" s="117" t="n"/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7" t="n"/>
      <c r="W48" s="117" t="n"/>
      <c r="X48" s="117" t="n"/>
      <c r="Y48" s="117" t="n"/>
      <c r="Z48" s="117" t="n"/>
      <c r="AA48" s="117" t="n"/>
      <c r="AB48" s="117" t="n"/>
      <c r="AC48" s="117" t="n"/>
      <c r="AD48" s="117" t="n"/>
      <c r="AE48" s="117" t="n"/>
      <c r="AF48" s="117" t="n"/>
      <c r="AG48" s="117" t="n"/>
      <c r="AH48" s="117" t="n"/>
      <c r="AI48" s="117" t="n"/>
    </row>
    <row r="49" ht="16.2" customHeight="1" thickBot="1">
      <c r="A49" s="113">
        <f>IF($C49="","",ROW()-47)</f>
        <v/>
      </c>
      <c r="B49" s="114" t="n"/>
      <c r="C49" s="115" t="n"/>
      <c r="D49" s="114" t="n"/>
      <c r="E49" s="117" t="n"/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17" t="n"/>
      <c r="U49" s="117" t="n"/>
      <c r="V49" s="117" t="n"/>
      <c r="W49" s="117" t="n"/>
      <c r="X49" s="117" t="n"/>
      <c r="Y49" s="117" t="n"/>
      <c r="Z49" s="117" t="n"/>
      <c r="AA49" s="117" t="n"/>
      <c r="AB49" s="117" t="n"/>
      <c r="AC49" s="117" t="n"/>
      <c r="AD49" s="117" t="n"/>
      <c r="AE49" s="117" t="n"/>
      <c r="AF49" s="117" t="n"/>
      <c r="AG49" s="117" t="n"/>
      <c r="AH49" s="117" t="n"/>
      <c r="AI49" s="117" t="n"/>
    </row>
    <row r="50" ht="16.2" customHeight="1" thickBot="1">
      <c r="A50" s="113">
        <f>IF($C50="","",ROW()-47)</f>
        <v/>
      </c>
      <c r="B50" s="114" t="n"/>
      <c r="C50" s="115" t="n"/>
      <c r="D50" s="114" t="n"/>
      <c r="E50" s="117" t="n"/>
      <c r="F50" s="117" t="n"/>
      <c r="G50" s="117" t="n"/>
      <c r="H50" s="117" t="n"/>
      <c r="I50" s="117" t="n"/>
      <c r="J50" s="117" t="n"/>
      <c r="K50" s="117" t="n"/>
      <c r="L50" s="117" t="n"/>
      <c r="M50" s="117" t="n"/>
      <c r="N50" s="117" t="n"/>
      <c r="O50" s="117" t="n"/>
      <c r="P50" s="117" t="n"/>
      <c r="Q50" s="117" t="n"/>
      <c r="R50" s="117" t="n"/>
      <c r="S50" s="117" t="n"/>
      <c r="T50" s="117" t="n"/>
      <c r="U50" s="117" t="n"/>
      <c r="V50" s="117" t="n"/>
      <c r="W50" s="117" t="n"/>
      <c r="X50" s="117" t="n"/>
      <c r="Y50" s="117" t="n"/>
      <c r="Z50" s="117" t="n"/>
      <c r="AA50" s="117" t="n"/>
      <c r="AB50" s="117" t="n"/>
      <c r="AC50" s="117" t="n"/>
      <c r="AD50" s="117" t="n"/>
      <c r="AE50" s="117" t="n"/>
      <c r="AF50" s="117" t="n"/>
      <c r="AG50" s="117" t="n"/>
      <c r="AH50" s="117" t="n"/>
      <c r="AI50" s="117" t="n"/>
    </row>
    <row r="51" ht="16.2" customHeight="1" thickBot="1">
      <c r="A51" s="113">
        <f>IF($C51="","",ROW()-47)</f>
        <v/>
      </c>
      <c r="B51" s="114" t="n"/>
      <c r="C51" s="115" t="n"/>
      <c r="D51" s="114" t="n"/>
      <c r="E51" s="117" t="n"/>
      <c r="F51" s="117" t="n"/>
      <c r="G51" s="117" t="n"/>
      <c r="H51" s="117" t="n"/>
      <c r="I51" s="117" t="n"/>
      <c r="J51" s="117" t="n"/>
      <c r="K51" s="117" t="n"/>
      <c r="L51" s="117" t="n"/>
      <c r="M51" s="117" t="n"/>
      <c r="N51" s="117" t="n"/>
      <c r="O51" s="117" t="n"/>
      <c r="P51" s="117" t="n"/>
      <c r="Q51" s="117" t="n"/>
      <c r="R51" s="117" t="n"/>
      <c r="S51" s="117" t="n"/>
      <c r="T51" s="117" t="n"/>
      <c r="U51" s="117" t="n"/>
      <c r="V51" s="117" t="n"/>
      <c r="W51" s="117" t="n"/>
      <c r="X51" s="117" t="n"/>
      <c r="Y51" s="117" t="n"/>
      <c r="Z51" s="117" t="n"/>
      <c r="AA51" s="117" t="n"/>
      <c r="AB51" s="117" t="n"/>
      <c r="AC51" s="117" t="n"/>
      <c r="AD51" s="117" t="n"/>
      <c r="AE51" s="117" t="n"/>
      <c r="AF51" s="117" t="n"/>
      <c r="AG51" s="117" t="n"/>
      <c r="AH51" s="117" t="n"/>
      <c r="AI51" s="117" t="n"/>
    </row>
    <row r="52" ht="16.2" customHeight="1" thickBot="1">
      <c r="A52" s="113">
        <f>IF($C52="","",ROW()-47)</f>
        <v/>
      </c>
      <c r="B52" s="114" t="n"/>
      <c r="C52" s="115" t="n"/>
      <c r="D52" s="114" t="n"/>
      <c r="E52" s="117" t="n"/>
      <c r="F52" s="117" t="n"/>
      <c r="G52" s="117" t="n"/>
      <c r="H52" s="117" t="n"/>
      <c r="I52" s="117" t="n"/>
      <c r="J52" s="117" t="n"/>
      <c r="K52" s="117" t="n"/>
      <c r="L52" s="117" t="n"/>
      <c r="M52" s="117" t="n"/>
      <c r="N52" s="117" t="n"/>
      <c r="O52" s="117" t="n"/>
      <c r="P52" s="117" t="n"/>
      <c r="Q52" s="117" t="n"/>
      <c r="R52" s="117" t="n"/>
      <c r="S52" s="117" t="n"/>
      <c r="T52" s="117" t="n"/>
      <c r="U52" s="117" t="n"/>
      <c r="V52" s="117" t="n"/>
      <c r="W52" s="117" t="n"/>
      <c r="X52" s="117" t="n"/>
      <c r="Y52" s="117" t="n"/>
      <c r="Z52" s="117" t="n"/>
      <c r="AA52" s="117" t="n"/>
      <c r="AB52" s="117" t="n"/>
      <c r="AC52" s="117" t="n"/>
      <c r="AD52" s="117" t="n"/>
      <c r="AE52" s="117" t="n"/>
      <c r="AF52" s="117" t="n"/>
      <c r="AG52" s="117" t="n"/>
      <c r="AH52" s="117" t="n"/>
      <c r="AI52" s="117" t="n"/>
    </row>
    <row r="53" ht="16.2" customHeight="1" thickBot="1">
      <c r="A53" s="113">
        <f>IF($C53="","",ROW()-47)</f>
        <v/>
      </c>
      <c r="B53" s="114" t="n"/>
      <c r="C53" s="115" t="n"/>
      <c r="D53" s="114" t="n"/>
      <c r="E53" s="117" t="n"/>
      <c r="F53" s="117" t="n"/>
      <c r="G53" s="117" t="n"/>
      <c r="H53" s="117" t="n"/>
      <c r="I53" s="117" t="n"/>
      <c r="J53" s="117" t="n"/>
      <c r="K53" s="117" t="n"/>
      <c r="L53" s="117" t="n"/>
      <c r="M53" s="117" t="n"/>
      <c r="N53" s="117" t="n"/>
      <c r="O53" s="117" t="n"/>
      <c r="P53" s="117" t="n"/>
      <c r="Q53" s="117" t="n"/>
      <c r="R53" s="117" t="n"/>
      <c r="S53" s="117" t="n"/>
      <c r="T53" s="117" t="n"/>
      <c r="U53" s="117" t="n"/>
      <c r="V53" s="117" t="n"/>
      <c r="W53" s="117" t="n"/>
      <c r="X53" s="117" t="n"/>
      <c r="Y53" s="117" t="n"/>
      <c r="Z53" s="117" t="n"/>
      <c r="AA53" s="117" t="n"/>
      <c r="AB53" s="117" t="n"/>
      <c r="AC53" s="117" t="n"/>
      <c r="AD53" s="117" t="n"/>
      <c r="AE53" s="117" t="n"/>
      <c r="AF53" s="117" t="n"/>
      <c r="AG53" s="117" t="n"/>
      <c r="AH53" s="117" t="n"/>
      <c r="AI53" s="117" t="n"/>
    </row>
    <row r="54" ht="16.2" customHeight="1" thickBot="1">
      <c r="A54" s="113">
        <f>IF($C54="","",ROW()-47)</f>
        <v/>
      </c>
      <c r="B54" s="114" t="n"/>
      <c r="C54" s="115" t="n"/>
      <c r="D54" s="114" t="n"/>
      <c r="E54" s="117" t="n"/>
      <c r="F54" s="117" t="n"/>
      <c r="G54" s="117" t="n"/>
      <c r="H54" s="117" t="n"/>
      <c r="I54" s="117" t="n"/>
      <c r="J54" s="117" t="n"/>
      <c r="K54" s="117" t="n"/>
      <c r="L54" s="117" t="n"/>
      <c r="M54" s="117" t="n"/>
      <c r="N54" s="117" t="n"/>
      <c r="O54" s="117" t="n"/>
      <c r="P54" s="117" t="n"/>
      <c r="Q54" s="117" t="n"/>
      <c r="R54" s="117" t="n"/>
      <c r="S54" s="117" t="n"/>
      <c r="T54" s="117" t="n"/>
      <c r="U54" s="117" t="n"/>
      <c r="V54" s="117" t="n"/>
      <c r="W54" s="117" t="n"/>
      <c r="X54" s="117" t="n"/>
      <c r="Y54" s="117" t="n"/>
      <c r="Z54" s="117" t="n"/>
      <c r="AA54" s="117" t="n"/>
      <c r="AB54" s="117" t="n"/>
      <c r="AC54" s="117" t="n"/>
      <c r="AD54" s="117" t="n"/>
      <c r="AE54" s="117" t="n"/>
      <c r="AF54" s="117" t="n"/>
      <c r="AG54" s="117" t="n"/>
      <c r="AH54" s="117" t="n"/>
      <c r="AI54" s="117" t="n"/>
    </row>
    <row r="55" ht="16.2" customHeight="1" thickBot="1">
      <c r="A55" s="113">
        <f>IF($C55="","",ROW()-47)</f>
        <v/>
      </c>
      <c r="B55" s="114" t="n"/>
      <c r="C55" s="115" t="n"/>
      <c r="D55" s="114" t="n"/>
      <c r="E55" s="117" t="n"/>
      <c r="F55" s="117" t="n"/>
      <c r="G55" s="117" t="n"/>
      <c r="H55" s="117" t="n"/>
      <c r="I55" s="117" t="n"/>
      <c r="J55" s="117" t="n"/>
      <c r="K55" s="117" t="n"/>
      <c r="L55" s="117" t="n"/>
      <c r="M55" s="117" t="n"/>
      <c r="N55" s="117" t="n"/>
      <c r="O55" s="117" t="n"/>
      <c r="P55" s="117" t="n"/>
      <c r="Q55" s="117" t="n"/>
      <c r="R55" s="117" t="n"/>
      <c r="S55" s="117" t="n"/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</row>
    <row r="56" ht="16.2" customHeight="1" thickBot="1">
      <c r="A56" s="113">
        <f>IF($C56="","",ROW()-47)</f>
        <v/>
      </c>
      <c r="B56" s="114" t="n"/>
      <c r="C56" s="115" t="n"/>
      <c r="D56" s="114" t="n"/>
      <c r="E56" s="139" t="n"/>
      <c r="F56" s="139" t="n"/>
      <c r="G56" s="139" t="n"/>
      <c r="H56" s="139" t="n"/>
      <c r="I56" s="117" t="n"/>
      <c r="J56" s="117" t="n"/>
      <c r="K56" s="117" t="n"/>
      <c r="L56" s="117" t="n"/>
      <c r="M56" s="117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</row>
    <row r="57" ht="16.2" customHeight="1" thickBot="1">
      <c r="A57" s="113">
        <f>IF($C57="","",ROW()-47)</f>
        <v/>
      </c>
      <c r="B57" s="114" t="n"/>
      <c r="C57" s="115" t="n"/>
      <c r="D57" s="116" t="n"/>
      <c r="E57" s="117" t="n"/>
      <c r="I57" s="120" t="n"/>
      <c r="J57" s="117" t="n"/>
      <c r="K57" s="117" t="n"/>
      <c r="L57" s="117" t="n"/>
      <c r="M57" s="117" t="n"/>
      <c r="N57" s="117" t="n"/>
      <c r="O57" s="117" t="n"/>
      <c r="P57" s="117" t="n"/>
      <c r="Q57" s="117" t="n"/>
      <c r="R57" s="117" t="n"/>
      <c r="S57" s="117" t="n"/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</row>
    <row r="58" ht="16.2" customHeight="1" thickBot="1">
      <c r="A58" s="113">
        <f>IF($C58="","",ROW()-47)</f>
        <v/>
      </c>
      <c r="B58" s="114" t="n"/>
      <c r="C58" s="115" t="n"/>
      <c r="D58" s="116" t="n"/>
      <c r="E58" s="117" t="n"/>
      <c r="I58" s="120" t="n"/>
      <c r="J58" s="117" t="n"/>
      <c r="K58" s="117" t="n"/>
      <c r="L58" s="117" t="n"/>
      <c r="M58" s="117" t="n"/>
      <c r="N58" s="117" t="n"/>
      <c r="O58" s="117" t="n"/>
      <c r="P58" s="117" t="n"/>
      <c r="Q58" s="117" t="n"/>
      <c r="R58" s="117" t="n"/>
      <c r="S58" s="117" t="n"/>
      <c r="T58" s="117" t="n"/>
      <c r="U58" s="117" t="n"/>
      <c r="V58" s="117" t="n"/>
      <c r="W58" s="117" t="n"/>
      <c r="X58" s="117" t="n"/>
      <c r="Y58" s="117" t="n"/>
      <c r="Z58" s="117" t="n"/>
      <c r="AA58" s="117" t="n"/>
      <c r="AB58" s="117" t="n"/>
      <c r="AC58" s="117" t="n"/>
      <c r="AD58" s="117" t="n"/>
      <c r="AE58" s="117" t="n"/>
      <c r="AF58" s="117" t="n"/>
      <c r="AG58" s="117" t="n"/>
      <c r="AH58" s="117" t="n"/>
      <c r="AI58" s="117" t="n"/>
    </row>
    <row r="59" ht="16.2" customHeight="1" thickBot="1">
      <c r="A59" s="113">
        <f>IF($C59="","",ROW()-47)</f>
        <v/>
      </c>
      <c r="B59" s="114" t="n"/>
      <c r="C59" s="115" t="n"/>
      <c r="D59" s="116" t="n"/>
      <c r="E59" s="117" t="n"/>
      <c r="F59" s="140" t="n"/>
      <c r="G59" s="140" t="n"/>
      <c r="H59" s="141" t="n"/>
      <c r="I59" s="120" t="n"/>
      <c r="J59" s="117" t="n"/>
      <c r="K59" s="117" t="n"/>
      <c r="L59" s="117" t="n"/>
      <c r="M59" s="117" t="n"/>
      <c r="N59" s="117" t="n"/>
      <c r="O59" s="117" t="n"/>
      <c r="P59" s="117" t="n"/>
      <c r="Q59" s="117" t="n"/>
      <c r="R59" s="117" t="n"/>
      <c r="S59" s="117" t="n"/>
      <c r="T59" s="117" t="n"/>
      <c r="U59" s="117" t="n"/>
      <c r="V59" s="117" t="n"/>
      <c r="W59" s="117" t="n"/>
      <c r="X59" s="117" t="n"/>
      <c r="Y59" s="117" t="n"/>
      <c r="Z59" s="117" t="n"/>
      <c r="AA59" s="117" t="n"/>
      <c r="AB59" s="117" t="n"/>
      <c r="AC59" s="117" t="n"/>
      <c r="AD59" s="117" t="n"/>
      <c r="AE59" s="117" t="n"/>
      <c r="AF59" s="117" t="n"/>
      <c r="AG59" s="117" t="n"/>
      <c r="AH59" s="117" t="n"/>
      <c r="AI59" s="117" t="n"/>
    </row>
    <row r="60" ht="16.2" customHeight="1" thickBot="1">
      <c r="A60" s="113">
        <f>IF($C60="","",ROW()-47)</f>
        <v/>
      </c>
      <c r="B60" s="114" t="n"/>
      <c r="C60" s="115" t="n"/>
      <c r="D60" s="116" t="n"/>
      <c r="E60" s="117" t="n"/>
      <c r="F60" s="140" t="n"/>
      <c r="G60" s="140" t="n"/>
      <c r="H60" s="141" t="n"/>
      <c r="I60" s="120" t="n"/>
      <c r="J60" s="117" t="n"/>
      <c r="K60" s="117" t="n"/>
      <c r="L60" s="117" t="n"/>
      <c r="M60" s="117" t="n"/>
      <c r="N60" s="117" t="n"/>
      <c r="O60" s="117" t="n"/>
      <c r="P60" s="117" t="n"/>
      <c r="Q60" s="117" t="n"/>
      <c r="R60" s="117" t="n"/>
      <c r="S60" s="117" t="n"/>
      <c r="T60" s="117" t="n"/>
      <c r="U60" s="117" t="n"/>
      <c r="V60" s="117" t="n"/>
      <c r="W60" s="117" t="n"/>
      <c r="X60" s="117" t="n"/>
      <c r="Y60" s="117" t="n"/>
      <c r="Z60" s="117" t="n"/>
      <c r="AA60" s="117" t="n"/>
      <c r="AB60" s="117" t="n"/>
      <c r="AC60" s="117" t="n"/>
      <c r="AD60" s="117" t="n"/>
      <c r="AE60" s="117" t="n"/>
      <c r="AF60" s="117" t="n"/>
      <c r="AG60" s="117" t="n"/>
      <c r="AH60" s="117" t="n"/>
      <c r="AI60" s="117" t="n"/>
    </row>
    <row r="61" ht="16.2" customHeight="1" thickBot="1">
      <c r="A61" s="113">
        <f>IF($C61="","",ROW()-47)</f>
        <v/>
      </c>
      <c r="B61" s="114" t="n"/>
      <c r="C61" s="115" t="n"/>
      <c r="D61" s="116" t="n"/>
      <c r="E61" s="117" t="n"/>
      <c r="I61" s="120" t="n"/>
      <c r="J61" s="117" t="n"/>
      <c r="K61" s="117" t="n"/>
      <c r="L61" s="117" t="n"/>
      <c r="M61" s="117" t="n"/>
      <c r="N61" s="117" t="n"/>
      <c r="O61" s="117" t="n"/>
      <c r="P61" s="117" t="n"/>
      <c r="Q61" s="117" t="n"/>
      <c r="R61" s="117" t="n"/>
      <c r="S61" s="117" t="n"/>
      <c r="T61" s="117" t="n"/>
      <c r="U61" s="117" t="n"/>
      <c r="V61" s="117" t="n"/>
      <c r="W61" s="117" t="n"/>
      <c r="X61" s="117" t="n"/>
      <c r="Y61" s="117" t="n"/>
      <c r="Z61" s="117" t="n"/>
      <c r="AA61" s="117" t="n"/>
      <c r="AB61" s="117" t="n"/>
      <c r="AC61" s="117" t="n"/>
      <c r="AD61" s="117" t="n"/>
      <c r="AE61" s="117" t="n"/>
      <c r="AF61" s="117" t="n"/>
      <c r="AG61" s="117" t="n"/>
      <c r="AH61" s="117" t="n"/>
      <c r="AI61" s="117" t="n"/>
    </row>
    <row r="62" ht="16.2" customHeight="1" thickBot="1">
      <c r="A62" s="113">
        <f>IF($C62="","",ROW()-47)</f>
        <v/>
      </c>
      <c r="B62" s="114" t="n"/>
      <c r="C62" s="115" t="n"/>
      <c r="D62" s="116" t="n"/>
      <c r="E62" s="117" t="n"/>
      <c r="F62" s="140" t="n"/>
      <c r="G62" s="140" t="n"/>
      <c r="H62" s="141" t="n"/>
      <c r="I62" s="120" t="n"/>
      <c r="J62" s="117" t="n"/>
      <c r="K62" s="117" t="n"/>
      <c r="L62" s="117" t="n"/>
      <c r="M62" s="117" t="n"/>
      <c r="N62" s="117" t="n"/>
      <c r="O62" s="117" t="n"/>
      <c r="P62" s="117" t="n"/>
      <c r="Q62" s="117" t="n"/>
      <c r="R62" s="117" t="n"/>
      <c r="S62" s="117" t="n"/>
      <c r="T62" s="117" t="n"/>
      <c r="U62" s="117" t="n"/>
      <c r="V62" s="117" t="n"/>
      <c r="W62" s="117" t="n"/>
      <c r="X62" s="117" t="n"/>
      <c r="Y62" s="117" t="n"/>
      <c r="Z62" s="117" t="n"/>
      <c r="AA62" s="117" t="n"/>
      <c r="AB62" s="117" t="n"/>
      <c r="AC62" s="117" t="n"/>
      <c r="AD62" s="117" t="n"/>
      <c r="AE62" s="117" t="n"/>
      <c r="AF62" s="117" t="n"/>
      <c r="AG62" s="117" t="n"/>
      <c r="AH62" s="117" t="n"/>
      <c r="AI62" s="117" t="n"/>
    </row>
    <row r="63" ht="16.2" customHeight="1" thickBot="1">
      <c r="A63" s="113">
        <f>IF($C63="","",ROW()-47)</f>
        <v/>
      </c>
      <c r="B63" s="114" t="n"/>
      <c r="C63" s="115" t="n"/>
      <c r="D63" s="116" t="n"/>
      <c r="E63" s="117" t="n"/>
      <c r="F63" s="140" t="n"/>
      <c r="G63" s="140" t="n"/>
      <c r="H63" s="141" t="n"/>
      <c r="I63" s="120" t="n"/>
      <c r="J63" s="117" t="n"/>
      <c r="K63" s="117" t="n"/>
      <c r="L63" s="117" t="n"/>
      <c r="M63" s="117" t="n"/>
      <c r="N63" s="117" t="n"/>
      <c r="O63" s="117" t="n"/>
      <c r="P63" s="117" t="n"/>
      <c r="Q63" s="117" t="n"/>
      <c r="R63" s="117" t="n"/>
      <c r="S63" s="117" t="n"/>
      <c r="T63" s="117" t="n"/>
      <c r="U63" s="117" t="n"/>
      <c r="V63" s="117" t="n"/>
      <c r="W63" s="117" t="n"/>
      <c r="X63" s="117" t="n"/>
      <c r="Y63" s="117" t="n"/>
      <c r="Z63" s="117" t="n"/>
      <c r="AA63" s="117" t="n"/>
      <c r="AB63" s="117" t="n"/>
      <c r="AC63" s="117" t="n"/>
      <c r="AD63" s="117" t="n"/>
      <c r="AE63" s="117" t="n"/>
      <c r="AF63" s="117" t="n"/>
      <c r="AG63" s="117" t="n"/>
      <c r="AH63" s="117" t="n"/>
      <c r="AI63" s="117" t="n"/>
    </row>
    <row r="64" ht="16.2" customHeight="1" thickBot="1">
      <c r="A64" s="113">
        <f>IF($C64="","",ROW()-47)</f>
        <v/>
      </c>
      <c r="B64" s="114" t="n"/>
      <c r="C64" s="115" t="n"/>
      <c r="D64" s="116" t="n"/>
      <c r="E64" s="117" t="n"/>
      <c r="F64" s="140" t="n"/>
      <c r="G64" s="140" t="n"/>
      <c r="H64" s="141" t="n"/>
      <c r="I64" s="120" t="n"/>
      <c r="J64" s="117" t="n"/>
      <c r="K64" s="117" t="n"/>
      <c r="L64" s="117" t="n"/>
      <c r="M64" s="117" t="n"/>
      <c r="N64" s="117" t="n"/>
      <c r="O64" s="117" t="n"/>
      <c r="P64" s="117" t="n"/>
      <c r="Q64" s="117" t="n"/>
      <c r="R64" s="117" t="n"/>
      <c r="S64" s="117" t="n"/>
      <c r="T64" s="117" t="n"/>
      <c r="U64" s="117" t="n"/>
      <c r="V64" s="117" t="n"/>
      <c r="W64" s="117" t="n"/>
      <c r="X64" s="117" t="n"/>
      <c r="Y64" s="117" t="n"/>
      <c r="Z64" s="117" t="n"/>
      <c r="AA64" s="117" t="n"/>
      <c r="AB64" s="117" t="n"/>
      <c r="AC64" s="117" t="n"/>
      <c r="AD64" s="117" t="n"/>
      <c r="AE64" s="117" t="n"/>
      <c r="AF64" s="117" t="n"/>
      <c r="AG64" s="117" t="n"/>
      <c r="AH64" s="117" t="n"/>
      <c r="AI64" s="117" t="n"/>
    </row>
    <row r="65" ht="16.2" customHeight="1" thickBot="1">
      <c r="A65" s="113">
        <f>IF($C65="","",ROW()-47)</f>
        <v/>
      </c>
      <c r="B65" s="114" t="n"/>
      <c r="C65" s="115" t="n"/>
      <c r="D65" s="116" t="n"/>
      <c r="E65" s="117" t="n"/>
      <c r="F65" s="140" t="n"/>
      <c r="G65" s="140" t="n"/>
      <c r="H65" s="141" t="n"/>
      <c r="I65" s="120" t="n"/>
      <c r="J65" s="117" t="n"/>
      <c r="K65" s="117" t="n"/>
      <c r="L65" s="117" t="n"/>
      <c r="M65" s="117" t="n"/>
      <c r="N65" s="117" t="n"/>
      <c r="O65" s="117" t="n"/>
      <c r="P65" s="117" t="n"/>
      <c r="Q65" s="117" t="n"/>
      <c r="R65" s="117" t="n"/>
      <c r="S65" s="117" t="n"/>
      <c r="T65" s="117" t="n"/>
      <c r="U65" s="117" t="n"/>
      <c r="V65" s="117" t="n"/>
      <c r="W65" s="117" t="n"/>
      <c r="X65" s="117" t="n"/>
      <c r="Y65" s="117" t="n"/>
      <c r="Z65" s="117" t="n"/>
      <c r="AA65" s="117" t="n"/>
      <c r="AB65" s="117" t="n"/>
      <c r="AC65" s="117" t="n"/>
      <c r="AD65" s="117" t="n"/>
      <c r="AE65" s="117" t="n"/>
      <c r="AF65" s="117" t="n"/>
      <c r="AG65" s="117" t="n"/>
      <c r="AH65" s="117" t="n"/>
      <c r="AI65" s="117" t="n"/>
    </row>
    <row r="66" ht="16.2" customHeight="1" thickBot="1">
      <c r="A66" s="113">
        <f>IF($C66="","",ROW()-47)</f>
        <v/>
      </c>
      <c r="B66" s="114" t="n"/>
      <c r="C66" s="115" t="n"/>
      <c r="D66" s="116" t="n"/>
      <c r="E66" s="142" t="n"/>
      <c r="F66" s="118" t="n"/>
      <c r="G66" s="118" t="n"/>
      <c r="H66" s="120" t="n"/>
      <c r="I66" s="120" t="n"/>
      <c r="J66" s="117" t="n"/>
      <c r="K66" s="117" t="n"/>
      <c r="L66" s="117" t="n"/>
      <c r="M66" s="117" t="n"/>
      <c r="N66" s="117" t="n"/>
      <c r="O66" s="117" t="n"/>
      <c r="P66" s="117" t="n"/>
      <c r="Q66" s="117" t="n"/>
      <c r="R66" s="117" t="n"/>
      <c r="S66" s="117" t="n"/>
      <c r="T66" s="117" t="n"/>
      <c r="U66" s="117" t="n"/>
      <c r="V66" s="117" t="n"/>
      <c r="W66" s="117" t="n"/>
      <c r="X66" s="117" t="n"/>
      <c r="Y66" s="117" t="n"/>
      <c r="Z66" s="117" t="n"/>
      <c r="AA66" s="117" t="n"/>
      <c r="AB66" s="117" t="n"/>
      <c r="AC66" s="117" t="n"/>
      <c r="AD66" s="117" t="n"/>
      <c r="AE66" s="117" t="n"/>
      <c r="AF66" s="117" t="n"/>
      <c r="AG66" s="117" t="n"/>
      <c r="AH66" s="117" t="n"/>
      <c r="AI66" s="117" t="n"/>
    </row>
    <row r="67" ht="16.2" customHeight="1" thickBot="1">
      <c r="A67" s="113">
        <f>IF($C67="","",ROW()-47)</f>
        <v/>
      </c>
      <c r="B67" s="114" t="n"/>
      <c r="C67" s="115" t="n"/>
      <c r="D67" s="116" t="n"/>
      <c r="E67" s="142" t="n"/>
      <c r="F67" s="118" t="n"/>
      <c r="G67" s="118" t="n"/>
      <c r="H67" s="120" t="n"/>
      <c r="I67" s="120" t="n"/>
      <c r="J67" s="117" t="n"/>
      <c r="K67" s="117" t="n"/>
      <c r="L67" s="117" t="n"/>
      <c r="M67" s="117" t="n"/>
      <c r="N67" s="117" t="n"/>
      <c r="O67" s="117" t="n"/>
      <c r="P67" s="117" t="n"/>
      <c r="Q67" s="117" t="n"/>
      <c r="R67" s="117" t="n"/>
      <c r="S67" s="117" t="n"/>
      <c r="T67" s="117" t="n"/>
      <c r="U67" s="117" t="n"/>
      <c r="V67" s="117" t="n"/>
      <c r="W67" s="117" t="n"/>
      <c r="X67" s="117" t="n"/>
      <c r="Y67" s="117" t="n"/>
      <c r="Z67" s="117" t="n"/>
      <c r="AA67" s="117" t="n"/>
      <c r="AB67" s="117" t="n"/>
      <c r="AC67" s="117" t="n"/>
      <c r="AD67" s="117" t="n"/>
      <c r="AE67" s="117" t="n"/>
      <c r="AF67" s="117" t="n"/>
      <c r="AG67" s="117" t="n"/>
      <c r="AH67" s="117" t="n"/>
      <c r="AI67" s="117" t="n"/>
    </row>
    <row r="68" ht="16.2" customHeight="1" thickBot="1">
      <c r="A68" s="113">
        <f>IF($C68="","",ROW()-47)</f>
        <v/>
      </c>
      <c r="B68" s="114" t="n"/>
      <c r="C68" s="115" t="n"/>
      <c r="D68" s="116" t="n"/>
      <c r="E68" s="142" t="n"/>
      <c r="F68" s="118" t="n"/>
      <c r="G68" s="118" t="n"/>
      <c r="H68" s="120" t="n"/>
      <c r="I68" s="120" t="n"/>
      <c r="J68" s="117" t="n"/>
      <c r="K68" s="117" t="n"/>
      <c r="L68" s="117" t="n"/>
      <c r="M68" s="117" t="n"/>
      <c r="N68" s="117" t="n"/>
      <c r="O68" s="117" t="n"/>
      <c r="P68" s="117" t="n"/>
      <c r="Q68" s="117" t="n"/>
      <c r="R68" s="117" t="n"/>
      <c r="S68" s="117" t="n"/>
      <c r="T68" s="117" t="n"/>
      <c r="U68" s="117" t="n"/>
      <c r="V68" s="117" t="n"/>
      <c r="W68" s="117" t="n"/>
      <c r="X68" s="117" t="n"/>
      <c r="Y68" s="117" t="n"/>
      <c r="Z68" s="117" t="n"/>
      <c r="AA68" s="117" t="n"/>
      <c r="AB68" s="117" t="n"/>
      <c r="AC68" s="117" t="n"/>
      <c r="AD68" s="117" t="n"/>
      <c r="AE68" s="117" t="n"/>
      <c r="AF68" s="117" t="n"/>
      <c r="AG68" s="117" t="n"/>
      <c r="AH68" s="117" t="n"/>
      <c r="AI68" s="117" t="n"/>
    </row>
    <row r="69" ht="16.2" customHeight="1" thickBot="1">
      <c r="A69" s="113">
        <f>IF($C69="","",ROW()-47)</f>
        <v/>
      </c>
      <c r="B69" s="114" t="n"/>
      <c r="C69" s="115" t="n"/>
      <c r="D69" s="116" t="n"/>
      <c r="E69" s="142" t="n"/>
      <c r="F69" s="118" t="n"/>
      <c r="G69" s="118" t="n"/>
      <c r="H69" s="120" t="n"/>
      <c r="I69" s="120" t="n"/>
      <c r="J69" s="117" t="n"/>
      <c r="K69" s="117" t="n"/>
      <c r="L69" s="117" t="n"/>
      <c r="M69" s="117" t="n"/>
      <c r="N69" s="117" t="n"/>
      <c r="O69" s="117" t="n"/>
      <c r="P69" s="117" t="n"/>
      <c r="Q69" s="117" t="n"/>
      <c r="R69" s="117" t="n"/>
      <c r="S69" s="117" t="n"/>
      <c r="T69" s="117" t="n"/>
      <c r="U69" s="117" t="n"/>
      <c r="V69" s="117" t="n"/>
      <c r="W69" s="117" t="n"/>
      <c r="X69" s="117" t="n"/>
      <c r="Y69" s="117" t="n"/>
      <c r="Z69" s="117" t="n"/>
      <c r="AA69" s="117" t="n"/>
      <c r="AB69" s="117" t="n"/>
      <c r="AC69" s="117" t="n"/>
      <c r="AD69" s="117" t="n"/>
      <c r="AE69" s="117" t="n"/>
      <c r="AF69" s="117" t="n"/>
      <c r="AG69" s="117" t="n"/>
      <c r="AH69" s="117" t="n"/>
      <c r="AI69" s="117" t="n"/>
    </row>
    <row r="70" ht="16.2" customHeight="1" thickBot="1">
      <c r="A70" s="113">
        <f>IF($C70="","",ROW()-47)</f>
        <v/>
      </c>
      <c r="B70" s="114" t="n"/>
      <c r="C70" s="115" t="n"/>
      <c r="D70" s="116" t="n"/>
      <c r="E70" s="142" t="n"/>
      <c r="F70" s="118" t="n"/>
      <c r="G70" s="118" t="n"/>
      <c r="H70" s="120" t="n"/>
      <c r="I70" s="120" t="n"/>
      <c r="J70" s="117" t="n"/>
      <c r="K70" s="117" t="n"/>
      <c r="L70" s="117" t="n"/>
      <c r="M70" s="117" t="n"/>
      <c r="N70" s="117" t="n"/>
      <c r="O70" s="117" t="n"/>
      <c r="P70" s="117" t="n"/>
      <c r="Q70" s="117" t="n"/>
      <c r="R70" s="117" t="n"/>
      <c r="S70" s="117" t="n"/>
      <c r="T70" s="117" t="n"/>
      <c r="U70" s="117" t="n"/>
      <c r="V70" s="117" t="n"/>
      <c r="W70" s="117" t="n"/>
      <c r="X70" s="117" t="n"/>
      <c r="Y70" s="117" t="n"/>
      <c r="Z70" s="117" t="n"/>
      <c r="AA70" s="117" t="n"/>
      <c r="AB70" s="117" t="n"/>
      <c r="AC70" s="117" t="n"/>
      <c r="AD70" s="117" t="n"/>
      <c r="AE70" s="117" t="n"/>
      <c r="AF70" s="117" t="n"/>
      <c r="AG70" s="117" t="n"/>
      <c r="AH70" s="117" t="n"/>
      <c r="AI70" s="117" t="n"/>
    </row>
    <row r="71" ht="16.2" customHeight="1" thickBot="1">
      <c r="A71" s="113">
        <f>IF($C71="","",ROW()-47)</f>
        <v/>
      </c>
      <c r="B71" s="114" t="n"/>
      <c r="C71" s="115" t="n"/>
      <c r="D71" s="116" t="n"/>
      <c r="E71" s="142" t="n"/>
      <c r="F71" s="118" t="n"/>
      <c r="G71" s="118" t="n"/>
      <c r="H71" s="120" t="n"/>
      <c r="I71" s="120" t="n"/>
      <c r="J71" s="117" t="n"/>
      <c r="K71" s="117" t="n"/>
      <c r="L71" s="117" t="n"/>
      <c r="M71" s="117" t="n"/>
      <c r="N71" s="117" t="n"/>
      <c r="O71" s="117" t="n"/>
      <c r="P71" s="117" t="n"/>
      <c r="Q71" s="117" t="n"/>
      <c r="R71" s="117" t="n"/>
      <c r="S71" s="117" t="n"/>
      <c r="T71" s="117" t="n"/>
      <c r="U71" s="117" t="n"/>
      <c r="V71" s="117" t="n"/>
      <c r="W71" s="117" t="n"/>
      <c r="X71" s="117" t="n"/>
      <c r="Y71" s="117" t="n"/>
      <c r="Z71" s="117" t="n"/>
      <c r="AA71" s="117" t="n"/>
      <c r="AB71" s="117" t="n"/>
      <c r="AC71" s="117" t="n"/>
      <c r="AD71" s="117" t="n"/>
      <c r="AE71" s="117" t="n"/>
      <c r="AF71" s="117" t="n"/>
      <c r="AG71" s="117" t="n"/>
      <c r="AH71" s="117" t="n"/>
      <c r="AI71" s="117" t="n"/>
    </row>
    <row r="72" ht="16.2" customHeight="1" thickBot="1">
      <c r="A72" s="113">
        <f>IF($C72="","",ROW()-47)</f>
        <v/>
      </c>
      <c r="B72" s="114" t="n"/>
      <c r="C72" s="115" t="n"/>
      <c r="D72" s="116" t="n"/>
      <c r="E72" s="117" t="n"/>
      <c r="I72" s="120" t="n"/>
      <c r="J72" s="117" t="n"/>
      <c r="K72" s="117" t="n"/>
      <c r="L72" s="117" t="n"/>
      <c r="M72" s="117" t="n"/>
      <c r="N72" s="117" t="n"/>
      <c r="O72" s="117" t="n"/>
      <c r="P72" s="117" t="n"/>
      <c r="Q72" s="117" t="n"/>
      <c r="R72" s="117" t="n"/>
      <c r="S72" s="117" t="n"/>
      <c r="T72" s="117" t="n"/>
      <c r="U72" s="117" t="n"/>
      <c r="V72" s="117" t="n"/>
      <c r="W72" s="117" t="n"/>
      <c r="X72" s="117" t="n"/>
      <c r="Y72" s="117" t="n"/>
      <c r="Z72" s="117" t="n"/>
      <c r="AA72" s="117" t="n"/>
      <c r="AB72" s="117" t="n"/>
      <c r="AC72" s="117" t="n"/>
      <c r="AD72" s="117" t="n"/>
      <c r="AE72" s="117" t="n"/>
      <c r="AF72" s="117" t="n"/>
      <c r="AG72" s="117" t="n"/>
      <c r="AH72" s="117" t="n"/>
      <c r="AI72" s="117" t="n"/>
    </row>
    <row r="73" ht="16.2" customHeight="1" thickBot="1">
      <c r="A73" s="134">
        <f>IF($C73="","",ROW()-47)</f>
        <v/>
      </c>
      <c r="B73" s="135" t="n"/>
      <c r="C73" s="136" t="n"/>
      <c r="D73" s="135" t="n"/>
      <c r="E73" s="137" t="n"/>
      <c r="F73" s="137" t="n"/>
      <c r="G73" s="137" t="n"/>
      <c r="H73" s="137" t="n"/>
      <c r="I73" s="137" t="n"/>
      <c r="J73" s="137" t="n"/>
      <c r="K73" s="137" t="n"/>
      <c r="L73" s="137" t="n"/>
      <c r="M73" s="137" t="n"/>
      <c r="N73" s="137" t="n"/>
      <c r="O73" s="137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8" t="n"/>
      <c r="AE73" s="138" t="n"/>
      <c r="AF73" s="138" t="n"/>
      <c r="AG73" s="138" t="n"/>
      <c r="AH73" s="138" t="n"/>
      <c r="AI73" s="138" t="n"/>
    </row>
    <row r="74" ht="15" customHeight="1" thickBot="1">
      <c r="A74" s="143" t="inlineStr">
        <is>
          <t>TOTAL DAILY CREWS MANPOWER</t>
        </is>
      </c>
      <c r="B74" s="128" t="n"/>
      <c r="C74" s="132" t="n"/>
      <c r="D74" s="131" t="inlineStr">
        <is>
          <t>SHIFT</t>
        </is>
      </c>
      <c r="E74" s="1">
        <f>IF(1&lt;=DAY(EOMONTH(DATE($AL$5,$AP$2,1),0)),TEXT(DATE($AL$5,$AP$2,1)+0,"ddd"),"")</f>
        <v/>
      </c>
      <c r="F74" s="1">
        <f>IF(2&lt;=DAY(EOMONTH(DATE($AL$5,$AP$2,1),0)),TEXT(DATE($AL$5,$AP$2,1)+1,"ddd"),"")</f>
        <v/>
      </c>
      <c r="G74" s="1">
        <f>IF(3&lt;=DAY(EOMONTH(DATE($AL$5,$AP$2,1),0)),TEXT(DATE($AL$5,$AP$2,1)+2,"ddd"),"")</f>
        <v/>
      </c>
      <c r="H74" s="1">
        <f>IF(4&lt;=DAY(EOMONTH(DATE($AL$5,$AP$2,1),0)),TEXT(DATE($AL$5,$AP$2,1)+3,"ddd"),"")</f>
        <v/>
      </c>
      <c r="I74" s="1">
        <f>IF(5&lt;=DAY(EOMONTH(DATE($AL$5,$AP$2,1),0)),TEXT(DATE($AL$5,$AP$2,1)+4,"ddd"),"")</f>
        <v/>
      </c>
      <c r="J74" s="1">
        <f>IF(6&lt;=DAY(EOMONTH(DATE($AL$5,$AP$2,1),0)),TEXT(DATE($AL$5,$AP$2,1)+5,"ddd"),"")</f>
        <v/>
      </c>
      <c r="K74" s="1">
        <f>IF(7&lt;=DAY(EOMONTH(DATE($AL$5,$AP$2,1),0)),TEXT(DATE($AL$5,$AP$2,1)+6,"ddd"),"")</f>
        <v/>
      </c>
      <c r="L74" s="1">
        <f>IF(8&lt;=DAY(EOMONTH(DATE($AL$5,$AP$2,1),0)),TEXT(DATE($AL$5,$AP$2,1)+7,"ddd"),"")</f>
        <v/>
      </c>
      <c r="M74" s="1">
        <f>IF(9&lt;=DAY(EOMONTH(DATE($AL$5,$AP$2,1),0)),TEXT(DATE($AL$5,$AP$2,1)+8,"ddd"),"")</f>
        <v/>
      </c>
      <c r="N74" s="1">
        <f>IF(10&lt;=DAY(EOMONTH(DATE($AL$5,$AP$2,1),0)),TEXT(DATE($AL$5,$AP$2,1)+9,"ddd"),"")</f>
        <v/>
      </c>
      <c r="O74" s="1">
        <f>IF(11&lt;=DAY(EOMONTH(DATE($AL$5,$AP$2,1),0)),TEXT(DATE($AL$5,$AP$2,1)+10,"ddd"),"")</f>
        <v/>
      </c>
      <c r="P74" s="1">
        <f>IF(12&lt;=DAY(EOMONTH(DATE($AL$5,$AP$2,1),0)),TEXT(DATE($AL$5,$AP$2,1)+11,"ddd"),"")</f>
        <v/>
      </c>
      <c r="Q74" s="1">
        <f>IF(13&lt;=DAY(EOMONTH(DATE($AL$5,$AP$2,1),0)),TEXT(DATE($AL$5,$AP$2,1)+12,"ddd"),"")</f>
        <v/>
      </c>
      <c r="R74" s="1">
        <f>IF(14&lt;=DAY(EOMONTH(DATE($AL$5,$AP$2,1),0)),TEXT(DATE($AL$5,$AP$2,1)+13,"ddd"),"")</f>
        <v/>
      </c>
      <c r="S74" s="1">
        <f>IF(15&lt;=DAY(EOMONTH(DATE($AL$5,$AP$2,1),0)),TEXT(DATE($AL$5,$AP$2,1)+14,"ddd"),"")</f>
        <v/>
      </c>
      <c r="T74" s="1">
        <f>IF(16&lt;=DAY(EOMONTH(DATE($AL$5,$AP$2,1),0)),TEXT(DATE($AL$5,$AP$2,1)+15,"ddd"),"")</f>
        <v/>
      </c>
      <c r="U74" s="1">
        <f>IF(17&lt;=DAY(EOMONTH(DATE($AL$5,$AP$2,1),0)),TEXT(DATE($AL$5,$AP$2,1)+16,"ddd"),"")</f>
        <v/>
      </c>
      <c r="V74" s="1">
        <f>IF(18&lt;=DAY(EOMONTH(DATE($AL$5,$AP$2,1),0)),TEXT(DATE($AL$5,$AP$2,1)+17,"ddd"),"")</f>
        <v/>
      </c>
      <c r="W74" s="1">
        <f>IF(19&lt;=DAY(EOMONTH(DATE($AL$5,$AP$2,1),0)),TEXT(DATE($AL$5,$AP$2,1)+18,"ddd"),"")</f>
        <v/>
      </c>
      <c r="X74" s="1">
        <f>IF(20&lt;=DAY(EOMONTH(DATE($AL$5,$AP$2,1),0)),TEXT(DATE($AL$5,$AP$2,1)+19,"ddd"),"")</f>
        <v/>
      </c>
      <c r="Y74" s="1">
        <f>IF(21&lt;=DAY(EOMONTH(DATE($AL$5,$AP$2,1),0)),TEXT(DATE($AL$5,$AP$2,1)+20,"ddd"),"")</f>
        <v/>
      </c>
      <c r="Z74" s="1">
        <f>IF(22&lt;=DAY(EOMONTH(DATE($AL$5,$AP$2,1),0)),TEXT(DATE($AL$5,$AP$2,1)+21,"ddd"),"")</f>
        <v/>
      </c>
      <c r="AA74" s="1">
        <f>IF(23&lt;=DAY(EOMONTH(DATE($AL$5,$AP$2,1),0)),TEXT(DATE($AL$5,$AP$2,1)+22,"ddd"),"")</f>
        <v/>
      </c>
      <c r="AB74" s="1">
        <f>IF(24&lt;=DAY(EOMONTH(DATE($AL$5,$AP$2,1),0)),TEXT(DATE($AL$5,$AP$2,1)+23,"ddd"),"")</f>
        <v/>
      </c>
      <c r="AC74" s="1">
        <f>IF(25&lt;=DAY(EOMONTH(DATE($AL$5,$AP$2,1),0)),TEXT(DATE($AL$5,$AP$2,1)+24,"ddd"),"")</f>
        <v/>
      </c>
      <c r="AD74" s="1">
        <f>IF(26&lt;=DAY(EOMONTH(DATE($AL$5,$AP$2,1),0)),TEXT(DATE($AL$5,$AP$2,1)+25,"ddd"),"")</f>
        <v/>
      </c>
      <c r="AE74" s="1">
        <f>IF(27&lt;=DAY(EOMONTH(DATE($AL$5,$AP$2,1),0)),TEXT(DATE($AL$5,$AP$2,1)+26,"ddd"),"")</f>
        <v/>
      </c>
      <c r="AF74" s="1">
        <f>IF(28&lt;=DAY(EOMONTH(DATE($AL$5,$AP$2,1),0)),TEXT(DATE($AL$5,$AP$2,1)+27,"ddd"),"")</f>
        <v/>
      </c>
      <c r="AG74" s="1">
        <f>IF(29&lt;=DAY(EOMONTH(DATE($AL$5,$AP$2,1),0)),TEXT(DATE($AL$5,$AP$2,1)+28,"ddd"),"")</f>
        <v/>
      </c>
      <c r="AH74" s="1">
        <f>IF(30&lt;=DAY(EOMONTH(DATE($AL$5,$AP$2,1),0)),TEXT(DATE($AL$5,$AP$2,1)+29,"ddd"),"")</f>
        <v/>
      </c>
      <c r="AI74" s="1">
        <f>IF(31&lt;=DAY(EOMONTH(DATE($AL$5,$AP$2,1),0)),TEXT(DATE($AL$5,$AP$2,1)+30,"ddd"),"")</f>
        <v/>
      </c>
    </row>
    <row r="75" ht="16.2" customHeight="1" thickBot="1">
      <c r="A75" s="110" t="n"/>
      <c r="C75" s="144" t="n"/>
      <c r="D75" s="105" t="n"/>
      <c r="E75" s="2">
        <f>IF(1&lt;=DAY(EOMONTH(DATE($AL$5,$AP$2,1),0)),1,"")</f>
        <v/>
      </c>
      <c r="F75" s="2">
        <f>IF(2&lt;=DAY(EOMONTH(DATE($AL$5,$AP$2,1),0)),2,"")</f>
        <v/>
      </c>
      <c r="G75" s="2">
        <f>IF(3&lt;=DAY(EOMONTH(DATE($AL$5,$AP$2,1),0)),3,"")</f>
        <v/>
      </c>
      <c r="H75" s="2">
        <f>IF(4&lt;=DAY(EOMONTH(DATE($AL$5,$AP$2,1),0)),4,"")</f>
        <v/>
      </c>
      <c r="I75" s="3">
        <f>IF(5&lt;=DAY(EOMONTH(DATE($AL$5,$AP$2,1),0)),5,"")</f>
        <v/>
      </c>
      <c r="J75" s="4">
        <f>IF(6&lt;=DAY(EOMONTH(DATE($AL$5,$AP$2,1),0)),6,"")</f>
        <v/>
      </c>
      <c r="K75" s="4">
        <f>IF(7&lt;=DAY(EOMONTH(DATE($AL$5,$AP$2,1),0)),7,"")</f>
        <v/>
      </c>
      <c r="L75" s="3">
        <f>IF(8&lt;=DAY(EOMONTH(DATE($AL$5,$AP$2,1),0)),8,"")</f>
        <v/>
      </c>
      <c r="M75" s="4">
        <f>IF(9&lt;=DAY(EOMONTH(DATE($AL$5,$AP$2,1),0)),9,"")</f>
        <v/>
      </c>
      <c r="N75" s="2">
        <f>IF(10&lt;=DAY(EOMONTH(DATE($AL$5,$AP$2,1),0)),10,"")</f>
        <v/>
      </c>
      <c r="O75" s="2">
        <f>IF(11&lt;=DAY(EOMONTH(DATE($AL$5,$AP$2,1),0)),11,"")</f>
        <v/>
      </c>
      <c r="P75" s="2">
        <f>IF(12&lt;=DAY(EOMONTH(DATE($AL$5,$AP$2,1),0)),12,"")</f>
        <v/>
      </c>
      <c r="Q75" s="2">
        <f>IF(13&lt;=DAY(EOMONTH(DATE($AL$5,$AP$2,1),0)),13,"")</f>
        <v/>
      </c>
      <c r="R75" s="2">
        <f>IF(14&lt;=DAY(EOMONTH(DATE($AL$5,$AP$2,1),0)),14,"")</f>
        <v/>
      </c>
      <c r="S75" s="2">
        <f>IF(15&lt;=DAY(EOMONTH(DATE($AL$5,$AP$2,1),0)),15,"")</f>
        <v/>
      </c>
      <c r="T75" s="2">
        <f>IF(16&lt;=DAY(EOMONTH(DATE($AL$5,$AP$2,1),0)),16,"")</f>
        <v/>
      </c>
      <c r="U75" s="2">
        <f>IF(17&lt;=DAY(EOMONTH(DATE($AL$5,$AP$2,1),0)),17,"")</f>
        <v/>
      </c>
      <c r="V75" s="2">
        <f>IF(18&lt;=DAY(EOMONTH(DATE($AL$5,$AP$2,1),0)),18,"")</f>
        <v/>
      </c>
      <c r="W75" s="2">
        <f>IF(19&lt;=DAY(EOMONTH(DATE($AL$5,$AP$2,1),0)),19,"")</f>
        <v/>
      </c>
      <c r="X75" s="2">
        <f>IF(20&lt;=DAY(EOMONTH(DATE($AL$5,$AP$2,1),0)),20,"")</f>
        <v/>
      </c>
      <c r="Y75" s="2">
        <f>IF(21&lt;=DAY(EOMONTH(DATE($AL$5,$AP$2,1),0)),21,"")</f>
        <v/>
      </c>
      <c r="Z75" s="2">
        <f>IF(22&lt;=DAY(EOMONTH(DATE($AL$5,$AP$2,1),0)),22,"")</f>
        <v/>
      </c>
      <c r="AA75" s="2">
        <f>IF(23&lt;=DAY(EOMONTH(DATE($AL$5,$AP$2,1),0)),23,"")</f>
        <v/>
      </c>
      <c r="AB75" s="2">
        <f>IF(24&lt;=DAY(EOMONTH(DATE($AL$5,$AP$2,1),0)),24,"")</f>
        <v/>
      </c>
      <c r="AC75" s="2">
        <f>IF(25&lt;=DAY(EOMONTH(DATE($AL$5,$AP$2,1),0)),25,"")</f>
        <v/>
      </c>
      <c r="AD75" s="2">
        <f>IF(26&lt;=DAY(EOMONTH(DATE($AL$5,$AP$2,1),0)),26,"")</f>
        <v/>
      </c>
      <c r="AE75" s="2">
        <f>IF(27&lt;=DAY(EOMONTH(DATE($AL$5,$AP$2,1),0)),27,"")</f>
        <v/>
      </c>
      <c r="AF75" s="2">
        <f>IF(28&lt;=DAY(EOMONTH(DATE($AL$5,$AP$2,1),0)),28,"")</f>
        <v/>
      </c>
      <c r="AG75" s="2">
        <f>IF(29&lt;=DAY(EOMONTH(DATE($AL$5,$AP$2,1),0)),29,"")</f>
        <v/>
      </c>
      <c r="AH75" s="2">
        <f>IF(30&lt;=DAY(EOMONTH(DATE($AL$5,$AP$2,1),0)),30,"")</f>
        <v/>
      </c>
      <c r="AI75" s="2">
        <f>IF(31&lt;=DAY(EOMONTH(DATE($AL$5,$AP$2,1),0)),31,"")</f>
        <v/>
      </c>
    </row>
    <row r="76" ht="16.2" customHeight="1" thickBot="1">
      <c r="A76" s="110" t="n"/>
      <c r="C76" s="144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0" t="n"/>
      <c r="C77" s="144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9" t="n"/>
      <c r="B78" s="130" t="n"/>
      <c r="C78" s="133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31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45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46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30" t="n"/>
      <c r="O82" s="130" t="n"/>
      <c r="P82" s="130" t="n"/>
      <c r="Q82" s="130" t="n"/>
      <c r="R82" s="130" t="n"/>
      <c r="S82" s="130" t="n"/>
      <c r="W82" s="96">
        <f>UPPER(TEXT(TODAY(),"DDDD dd/mm/yyyy"))</f>
        <v/>
      </c>
      <c r="X82" s="130" t="n"/>
      <c r="Y82" s="130" t="n"/>
      <c r="Z82" s="130" t="n"/>
      <c r="AA82" s="130" t="n"/>
      <c r="AB82" s="130" t="n"/>
      <c r="AC82" s="130" t="n"/>
    </row>
    <row r="83" ht="16.2" customHeight="1" thickBot="1">
      <c r="E83" s="147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48" t="inlineStr">
        <is>
          <t>CODE LEGEND — ALL CODES</t>
        </is>
      </c>
    </row>
    <row r="86" ht="16" customHeight="1">
      <c r="E86" s="149" t="inlineStr">
        <is>
          <t>D</t>
        </is>
      </c>
      <c r="F86" s="150" t="inlineStr">
        <is>
          <t>DAY</t>
        </is>
      </c>
      <c r="K86" s="151" t="inlineStr">
        <is>
          <t>T</t>
        </is>
      </c>
      <c r="L86" s="150" t="inlineStr">
        <is>
          <t>TWILIGHT</t>
        </is>
      </c>
      <c r="Q86" s="152" t="inlineStr">
        <is>
          <t>G</t>
        </is>
      </c>
      <c r="R86" s="150" t="inlineStr">
        <is>
          <t>GRAVEYARD</t>
        </is>
      </c>
      <c r="W86" s="153" t="inlineStr">
        <is>
          <t>TR</t>
        </is>
      </c>
      <c r="X86" s="150" t="inlineStr">
        <is>
          <t>TRAINING</t>
        </is>
      </c>
      <c r="AC86" s="154" t="inlineStr">
        <is>
          <t>V</t>
        </is>
      </c>
      <c r="AD86" s="150" t="inlineStr">
        <is>
          <t>VACATION</t>
        </is>
      </c>
    </row>
    <row r="87" ht="16" customHeight="1">
      <c r="E87" s="155" t="inlineStr">
        <is>
          <t>R</t>
        </is>
      </c>
      <c r="F87" s="150" t="inlineStr">
        <is>
          <t>REST/RDO</t>
        </is>
      </c>
      <c r="K87" s="156" t="inlineStr">
        <is>
          <t>A</t>
        </is>
      </c>
      <c r="L87" s="150" t="inlineStr">
        <is>
          <t>ABSENT</t>
        </is>
      </c>
      <c r="Q87" s="157" t="inlineStr">
        <is>
          <t>H</t>
        </is>
      </c>
      <c r="R87" s="150" t="inlineStr">
        <is>
          <t>HOLIDAY</t>
        </is>
      </c>
      <c r="W87" s="158" t="inlineStr">
        <is>
          <t>OT</t>
        </is>
      </c>
      <c r="X87" s="150" t="inlineStr">
        <is>
          <t>OVERTIME</t>
        </is>
      </c>
      <c r="AC87" s="159" t="inlineStr">
        <is>
          <t>OS</t>
        </is>
      </c>
      <c r="AD87" s="150" t="inlineStr">
        <is>
          <t>OUTSTATION</t>
        </is>
      </c>
    </row>
    <row r="88" ht="16" customHeight="1">
      <c r="E88" s="160" t="inlineStr">
        <is>
          <t>S/L</t>
        </is>
      </c>
      <c r="F88" s="150" t="inlineStr">
        <is>
          <t>SICK LEAVE</t>
        </is>
      </c>
      <c r="K88" s="161" t="inlineStr">
        <is>
          <t>C/T</t>
        </is>
      </c>
      <c r="L88" s="150" t="inlineStr">
        <is>
          <t>COMP TIME</t>
        </is>
      </c>
      <c r="Q88" s="162" t="inlineStr">
        <is>
          <t>L</t>
        </is>
      </c>
      <c r="R88" s="150" t="inlineStr">
        <is>
          <t>LATE/LEAVE</t>
        </is>
      </c>
      <c r="W88" s="163" t="inlineStr">
        <is>
          <t>N</t>
        </is>
      </c>
      <c r="X88" s="150" t="inlineStr">
        <is>
          <t>NOTE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1" formatCells="1" formatRows="1" sort="1"/>
  <mergeCells count="45">
    <mergeCell ref="X88:AA88"/>
    <mergeCell ref="E2:AC2"/>
    <mergeCell ref="C1:C2"/>
    <mergeCell ref="AK6:AN6"/>
    <mergeCell ref="AD87:AG87"/>
    <mergeCell ref="A74:C78"/>
    <mergeCell ref="W82:AC82"/>
    <mergeCell ref="E80:J80"/>
    <mergeCell ref="F83:J83"/>
    <mergeCell ref="F88:I88"/>
    <mergeCell ref="L86:O86"/>
    <mergeCell ref="AL5:AN5"/>
    <mergeCell ref="A46:D47"/>
    <mergeCell ref="AD1:AI2"/>
    <mergeCell ref="A3:D4"/>
    <mergeCell ref="F87:I87"/>
    <mergeCell ref="E62:H62"/>
    <mergeCell ref="B1:B2"/>
    <mergeCell ref="M83:S83"/>
    <mergeCell ref="X86:AA86"/>
    <mergeCell ref="AL4:AN4"/>
    <mergeCell ref="R88:U88"/>
    <mergeCell ref="E64:H64"/>
    <mergeCell ref="R87:U87"/>
    <mergeCell ref="F81:J81"/>
    <mergeCell ref="A22:D23"/>
    <mergeCell ref="D74:D75"/>
    <mergeCell ref="W83:AC83"/>
    <mergeCell ref="A42:D43"/>
    <mergeCell ref="AK3:AN3"/>
    <mergeCell ref="M82:S82"/>
    <mergeCell ref="L87:O87"/>
    <mergeCell ref="X87:AA87"/>
    <mergeCell ref="F86:I86"/>
    <mergeCell ref="E63:H6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5:AI73">
    <cfRule type="cellIs" priority="13" operator="equal" dxfId="12">
      <formula>"D"</formula>
    </cfRule>
    <cfRule type="cellIs" priority="14" operator="equal" dxfId="13">
      <formula>"T"</formula>
    </cfRule>
    <cfRule type="cellIs" priority="15" operator="equal" dxfId="14">
      <formula>"G"</formula>
    </cfRule>
    <cfRule type="cellIs" priority="16" operator="equal" dxfId="15">
      <formula>"TR"</formula>
    </cfRule>
    <cfRule type="cellIs" priority="17" operator="equal" dxfId="16">
      <formula>"V"</formula>
    </cfRule>
    <cfRule type="cellIs" priority="18" operator="equal" dxfId="17">
      <formula>"A"</formula>
    </cfRule>
    <cfRule type="cellIs" priority="19" operator="equal" dxfId="18">
      <formula>"H"</formula>
    </cfRule>
    <cfRule type="cellIs" priority="20" operator="equal" dxfId="19">
      <formula>"OT"</formula>
    </cfRule>
    <cfRule type="cellIs" priority="21" operator="equal" dxfId="20">
      <formula>"OS"</formula>
    </cfRule>
    <cfRule type="cellIs" priority="22" operator="equal" dxfId="21">
      <formula>"S/L"</formula>
    </cfRule>
    <cfRule type="cellIs" priority="23" operator="equal" dxfId="22">
      <formula>"C/T"</formula>
    </cfRule>
    <cfRule type="cellIs" priority="24" operator="equal" dxfId="23">
      <formula>"L"</formula>
    </cfRule>
    <cfRule type="cellIs" priority="25" operator="equal" dxfId="24">
      <formula>"N"</formula>
    </cfRule>
  </conditionalFormatting>
  <conditionalFormatting sqref="A5:D73">
    <cfRule type="expression" priority="26" dxfId="25">
      <formula>$D5="OJT"</formula>
    </cfRule>
    <cfRule type="expression" priority="27" dxfId="26">
      <formula>$D5="ACT/SUPV"</formula>
    </cfRule>
  </conditionalFormatting>
  <conditionalFormatting sqref="C5:C73">
    <cfRule type="expression" priority="28" dxfId="27">
      <formula>AND($C5&lt;&gt;"",NOT(EXACT($C5,UPPER($C5))))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2026-09-09T18:08:44Z</dcterms:modified>
  <cp:lastModifiedBy>Ahmed Saeed Alghamdi</cp:lastModifiedBy>
</cp:coreProperties>
</file>