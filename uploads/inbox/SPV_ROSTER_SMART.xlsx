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OSTER" sheetId="1" state="visible" r:id="rId1"/>
  </sheets>
  <definedNames>
    <definedName name="_xlnm.Print_Area" localSheetId="0">'ROSTER'!$A$1:$AI$89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mmm\ yyyy"/>
    <numFmt numFmtId="165" formatCode="DD/MM/YYYY"/>
  </numFmts>
  <fonts count="30">
    <font>
      <name val="Aptos Narrow"/>
      <family val="2"/>
      <color theme="1"/>
      <sz val="11"/>
      <scheme val="minor"/>
    </font>
    <font>
      <name val="Times New Roman"/>
      <family val="1"/>
      <b val="1"/>
      <color rgb="FFFFFFFF"/>
      <sz val="16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2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b val="1"/>
      <color theme="0"/>
      <sz val="16"/>
    </font>
    <font>
      <name val="Times New Roman"/>
      <family val="1"/>
      <b val="1"/>
      <color theme="0"/>
      <sz val="24"/>
    </font>
    <font>
      <name val="Aptos Narrow"/>
      <family val="2"/>
      <sz val="8"/>
      <scheme val="minor"/>
    </font>
    <font>
      <name val="Times New Roman"/>
      <family val="1"/>
      <b val="1"/>
      <sz val="12"/>
    </font>
    <font>
      <name val="Times New Roman"/>
      <b val="1"/>
      <color rgb="00FFFFFF"/>
      <sz val="9"/>
    </font>
    <font>
      <name val="Times New Roman"/>
      <b val="1"/>
      <color rgb="006B7280"/>
      <sz val="9"/>
    </font>
    <font>
      <name val="Times New Roman"/>
      <b val="1"/>
      <sz val="8.5"/>
    </font>
    <font>
      <name val="Times New Roman"/>
      <b val="1"/>
      <color rgb="00B45309"/>
      <sz val="12"/>
    </font>
    <font>
      <name val="Times New Roman"/>
      <i val="1"/>
      <color rgb="006B7280"/>
      <sz val="7.5"/>
    </font>
    <font>
      <name val="Times New Roman"/>
      <sz val="10"/>
    </font>
    <font>
      <name val="Times New Roman"/>
      <sz val="11"/>
    </font>
    <font>
      <name val="Times New Roman"/>
      <sz val="12"/>
    </font>
    <font>
      <name val="Times New Roman"/>
      <b val="1"/>
      <color rgb="00196B24"/>
      <sz val="10"/>
    </font>
    <font>
      <name val="Times New Roman"/>
      <b val="1"/>
      <color rgb="FF000000"/>
      <sz val="10"/>
    </font>
    <font>
      <name val="Times New Roman"/>
      <sz val="9"/>
    </font>
    <font>
      <name val="Times New Roman"/>
      <b val="1"/>
      <color rgb="FFF9FAFB"/>
      <sz val="10"/>
    </font>
    <font>
      <name val="Times New Roman"/>
      <b val="1"/>
      <color rgb="FF7E22CE"/>
      <sz val="10"/>
    </font>
    <font>
      <name val="Times New Roman"/>
      <b val="1"/>
      <color rgb="FFC2410C"/>
      <sz val="10"/>
    </font>
    <font>
      <name val="Times New Roman"/>
      <b val="1"/>
      <color rgb="FF3730A3"/>
      <sz val="10"/>
    </font>
    <font>
      <name val="Times New Roman"/>
      <b val="1"/>
      <color rgb="FFBE123C"/>
      <sz val="10"/>
    </font>
    <font>
      <name val="Times New Roman"/>
      <b val="1"/>
      <color rgb="FF3F6212"/>
      <sz val="10"/>
    </font>
    <font>
      <name val="Times New Roman"/>
      <b val="1"/>
      <color rgb="FF475569"/>
      <sz val="10"/>
    </font>
    <font>
      <name val="Times New Roman"/>
      <b val="1"/>
      <color rgb="FF713F12"/>
      <sz val="10"/>
    </font>
  </fonts>
  <fills count="28">
    <fill>
      <patternFill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196B24"/>
      </patternFill>
    </fill>
    <fill>
      <patternFill patternType="solid">
        <fgColor rgb="00B45309"/>
      </patternFill>
    </fill>
    <fill>
      <patternFill patternType="solid">
        <fgColor rgb="00FFF8E1"/>
      </patternFill>
    </fill>
    <fill>
      <patternFill patternType="solid">
        <fgColor rgb="FFFFFF99"/>
      </patternFill>
    </fill>
    <fill>
      <patternFill patternType="solid">
        <fgColor theme="4" tint="0.7999816888943144"/>
      </patternFill>
    </fill>
    <fill>
      <patternFill patternType="solid">
        <fgColor theme="3" tint="0.499984740745262"/>
      </patternFill>
    </fill>
    <fill>
      <patternFill patternType="solid">
        <fgColor theme="8" tint="0.5999633777886288"/>
      </patternFill>
    </fill>
    <fill>
      <patternFill patternType="solid">
        <fgColor theme="9" tint="0.3999450666829432"/>
      </patternFill>
    </fill>
    <fill>
      <patternFill patternType="solid">
        <fgColor theme="0" tint="-0.249946592608417"/>
      </patternFill>
    </fill>
    <fill>
      <patternFill patternType="solid">
        <fgColor rgb="FF1F2937"/>
      </patternFill>
    </fill>
    <fill>
      <patternFill patternType="solid">
        <fgColor rgb="FFFDF4FF"/>
      </patternFill>
    </fill>
    <fill>
      <patternFill patternType="solid">
        <fgColor rgb="FFFFF7ED"/>
      </patternFill>
    </fill>
    <fill>
      <patternFill patternType="solid">
        <fgColor rgb="FFE0E7FF"/>
      </patternFill>
    </fill>
    <fill>
      <patternFill patternType="solid">
        <fgColor rgb="FFFFE4E6"/>
      </patternFill>
    </fill>
    <fill>
      <patternFill patternType="solid">
        <fgColor rgb="FFECFCCB"/>
      </patternFill>
    </fill>
    <fill>
      <patternFill patternType="solid">
        <fgColor rgb="FFF1F5F9"/>
      </patternFill>
    </fill>
    <fill>
      <patternFill patternType="solid">
        <fgColor rgb="FFFEF9C3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78">
    <xf numFmtId="0" fontId="0" fillId="0" borderId="0" pivotButton="0" quotePrefix="0" xfId="0"/>
    <xf numFmtId="0" fontId="2" fillId="3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6" fillId="9" borderId="1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4" borderId="14" applyAlignment="1" pivotButton="0" quotePrefix="0" xfId="0">
      <alignment horizontal="left" vertical="center"/>
    </xf>
    <xf numFmtId="0" fontId="5" fillId="4" borderId="15" applyAlignment="1" pivotButton="0" quotePrefix="0" xfId="0">
      <alignment horizontal="left" vertical="center"/>
    </xf>
    <xf numFmtId="0" fontId="5" fillId="4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/>
    </xf>
    <xf numFmtId="0" fontId="5" fillId="5" borderId="14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6" fillId="10" borderId="28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10" fillId="7" borderId="14" applyAlignment="1" pivotButton="0" quotePrefix="0" xfId="0">
      <alignment horizontal="center" vertical="center"/>
    </xf>
    <xf numFmtId="0" fontId="10" fillId="8" borderId="14" applyAlignment="1" pivotButton="0" quotePrefix="0" xfId="0">
      <alignment horizontal="center" vertical="center"/>
    </xf>
    <xf numFmtId="0" fontId="10" fillId="9" borderId="6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6" borderId="17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 wrapText="1"/>
    </xf>
    <xf numFmtId="0" fontId="8" fillId="6" borderId="8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6" borderId="18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/>
    </xf>
    <xf numFmtId="16" fontId="1" fillId="2" borderId="1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6" fillId="10" borderId="28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7" fillId="6" borderId="15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10" fillId="7" borderId="15" applyAlignment="1" pivotButton="0" quotePrefix="0" xfId="0">
      <alignment horizontal="center" vertical="center"/>
    </xf>
    <xf numFmtId="0" fontId="10" fillId="7" borderId="9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0" fontId="10" fillId="8" borderId="15" applyAlignment="1" pivotButton="0" quotePrefix="0" xfId="0">
      <alignment horizontal="center" vertical="center"/>
    </xf>
    <xf numFmtId="0" fontId="10" fillId="8" borderId="9" applyAlignment="1" pivotButton="0" quotePrefix="0" xfId="0">
      <alignment horizontal="center" vertical="center"/>
    </xf>
    <xf numFmtId="0" fontId="10" fillId="8" borderId="10" applyAlignment="1" pivotButton="0" quotePrefix="0" xfId="0">
      <alignment horizontal="center" vertical="center"/>
    </xf>
    <xf numFmtId="0" fontId="6" fillId="9" borderId="15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6" fillId="9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4" fontId="3" fillId="0" borderId="3" applyAlignment="1" pivotButton="0" quotePrefix="0" xfId="0">
      <alignment horizontal="center"/>
    </xf>
    <xf numFmtId="164" fontId="1" fillId="2" borderId="7" applyAlignment="1" pivotButton="0" quotePrefix="0" xfId="0">
      <alignment horizontal="center" vertical="center"/>
    </xf>
    <xf numFmtId="164" fontId="1" fillId="2" borderId="8" applyAlignment="1" pivotButton="0" quotePrefix="0" xfId="0">
      <alignment horizontal="center" vertical="center"/>
    </xf>
    <xf numFmtId="164" fontId="1" fillId="2" borderId="9" applyAlignment="1" pivotButton="0" quotePrefix="0" xfId="0">
      <alignment horizontal="center" vertical="center"/>
    </xf>
    <xf numFmtId="164" fontId="1" fillId="2" borderId="10" applyAlignment="1" pivotButton="0" quotePrefix="0" xfId="0">
      <alignment horizontal="center" vertical="center"/>
    </xf>
    <xf numFmtId="16" fontId="1" fillId="2" borderId="14" applyAlignment="1" applyProtection="1" pivotButton="0" quotePrefix="0" xfId="0">
      <alignment horizontal="center" vertical="center"/>
      <protection locked="0" hidden="0"/>
    </xf>
    <xf numFmtId="0" fontId="1" fillId="2" borderId="14" applyAlignment="1" applyProtection="1" pivotButton="0" quotePrefix="0" xfId="0">
      <alignment horizontal="center" vertical="center"/>
      <protection locked="0" hidden="0"/>
    </xf>
    <xf numFmtId="0" fontId="0" fillId="0" borderId="9" pivotButton="0" quotePrefix="0" xfId="0"/>
    <xf numFmtId="0" fontId="0" fillId="0" borderId="10" pivotButton="0" quotePrefix="0" xfId="0"/>
    <xf numFmtId="0" fontId="1" fillId="2" borderId="29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pivotButton="0" quotePrefix="0" xfId="0"/>
    <xf numFmtId="164" fontId="1" fillId="2" borderId="14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" fillId="2" borderId="5" applyAlignment="1" applyProtection="1" pivotButton="0" quotePrefix="0" xfId="0">
      <alignment horizontal="center" vertical="center"/>
      <protection locked="0" hidden="0"/>
    </xf>
    <xf numFmtId="0" fontId="11" fillId="11" borderId="0" applyAlignment="1" applyProtection="1" pivotButton="0" quotePrefix="0" xfId="0">
      <alignment horizontal="center" vertical="center"/>
      <protection locked="0" hidden="0"/>
    </xf>
    <xf numFmtId="0" fontId="0" fillId="0" borderId="5" pivotButton="0" quotePrefix="0" xfId="0"/>
    <xf numFmtId="0" fontId="13" fillId="0" borderId="0" applyAlignment="1" applyProtection="1" pivotButton="0" quotePrefix="0" xfId="0">
      <alignment horizontal="center" vertical="center"/>
      <protection locked="0" hidden="0"/>
    </xf>
    <xf numFmtId="0" fontId="14" fillId="13" borderId="34" applyAlignment="1" applyProtection="1" pivotButton="0" quotePrefix="0" xfId="0">
      <alignment horizontal="center" vertical="center"/>
      <protection locked="0" hidden="0"/>
    </xf>
    <xf numFmtId="0" fontId="16" fillId="0" borderId="14" applyAlignment="1" pivotButton="0" quotePrefix="0" xfId="0">
      <alignment horizontal="center" vertical="center"/>
    </xf>
    <xf numFmtId="0" fontId="17" fillId="0" borderId="14" applyAlignment="1" applyProtection="1" pivotButton="0" quotePrefix="0" xfId="0">
      <alignment horizontal="center" vertical="center"/>
      <protection locked="0" hidden="0"/>
    </xf>
    <xf numFmtId="0" fontId="18" fillId="0" borderId="14" applyAlignment="1" applyProtection="1" pivotButton="0" quotePrefix="0" xfId="0">
      <alignment horizontal="left" vertical="center" indent="1"/>
      <protection locked="0" hidden="0"/>
    </xf>
    <xf numFmtId="0" fontId="17" fillId="0" borderId="15" applyAlignment="1" applyProtection="1" pivotButton="0" quotePrefix="0" xfId="0">
      <alignment horizontal="center" vertical="center"/>
      <protection locked="0" hidden="0"/>
    </xf>
    <xf numFmtId="0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6" applyAlignment="1" applyProtection="1" pivotButton="0" quotePrefix="0" xfId="0">
      <alignment horizontal="center" vertical="center"/>
      <protection locked="0" hidden="0"/>
    </xf>
    <xf numFmtId="0" fontId="6" fillId="0" borderId="21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center" vertical="center"/>
      <protection locked="0" hidden="0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1" fillId="12" borderId="0" applyAlignment="1" applyProtection="1" pivotButton="0" quotePrefix="0" xfId="0">
      <alignment horizontal="center" vertical="center"/>
      <protection locked="0" hidden="0"/>
    </xf>
    <xf numFmtId="165" fontId="14" fillId="13" borderId="34" applyAlignment="1" applyProtection="1" pivotButton="0" quotePrefix="0" xfId="0">
      <alignment horizontal="center" vertical="center"/>
      <protection locked="0" hidden="0"/>
    </xf>
    <xf numFmtId="0" fontId="15" fillId="0" borderId="0" applyAlignment="1" applyProtection="1" pivotButton="0" quotePrefix="0" xfId="0">
      <alignment horizontal="center" vertical="center"/>
      <protection locked="0" hidden="0"/>
    </xf>
    <xf numFmtId="0" fontId="6" fillId="0" borderId="14" applyAlignment="1" applyProtection="1" pivotButton="0" quotePrefix="0" xfId="0">
      <alignment horizontal="center" vertical="center"/>
      <protection locked="0" hidden="0"/>
    </xf>
    <xf numFmtId="0" fontId="17" fillId="0" borderId="6" applyAlignment="1" applyProtection="1" pivotButton="0" quotePrefix="0" xfId="0">
      <alignment horizontal="center" vertical="center"/>
      <protection locked="0" hidden="0"/>
    </xf>
    <xf numFmtId="0" fontId="6" fillId="0" borderId="23" applyAlignment="1" applyProtection="1" pivotButton="0" quotePrefix="0" xfId="0">
      <alignment horizontal="center" vertical="center"/>
      <protection locked="0" hidden="0"/>
    </xf>
    <xf numFmtId="0" fontId="6" fillId="0" borderId="24" applyAlignment="1" applyProtection="1" pivotButton="0" quotePrefix="0" xfId="0">
      <alignment horizontal="center" vertical="center"/>
      <protection locked="0" hidden="0"/>
    </xf>
    <xf numFmtId="0" fontId="6" fillId="0" borderId="25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1" fillId="2" borderId="15" applyAlignment="1" applyProtection="1" pivotButton="0" quotePrefix="0" xfId="0">
      <alignment horizontal="center" vertical="center"/>
      <protection locked="0" hidden="0"/>
    </xf>
    <xf numFmtId="0" fontId="0" fillId="0" borderId="8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6" borderId="14" applyAlignment="1" applyProtection="1" pivotButton="0" quotePrefix="0" xfId="0">
      <alignment horizontal="center" vertical="center"/>
      <protection locked="0" hidden="0"/>
    </xf>
    <xf numFmtId="0" fontId="0" fillId="0" borderId="17" pivotButton="0" quotePrefix="0" xfId="0"/>
    <xf numFmtId="0" fontId="0" fillId="0" borderId="4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horizontal="left" vertical="center" indent="1"/>
      <protection locked="0" hidden="0"/>
    </xf>
    <xf numFmtId="0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16" pivotButton="0" quotePrefix="0" xfId="0"/>
    <xf numFmtId="0" fontId="0" fillId="0" borderId="19" pivotButton="0" quotePrefix="0" xfId="0"/>
    <xf numFmtId="0" fontId="6" fillId="0" borderId="28" applyAlignment="1" applyProtection="1" pivotButton="0" quotePrefix="0" xfId="0">
      <alignment horizontal="center" vertical="center"/>
      <protection locked="0" hidden="0"/>
    </xf>
    <xf numFmtId="0" fontId="8" fillId="6" borderId="14" applyAlignment="1" applyProtection="1" pivotButton="0" quotePrefix="0" xfId="0">
      <alignment horizontal="center" vertical="center" wrapText="1"/>
      <protection locked="0" hidden="0"/>
    </xf>
    <xf numFmtId="0" fontId="0" fillId="0" borderId="18" pivotButton="0" quotePrefix="0" xfId="0"/>
    <xf numFmtId="0" fontId="4" fillId="7" borderId="10" applyAlignment="1" applyProtection="1" pivotButton="0" quotePrefix="0" xfId="0">
      <alignment horizontal="center" vertical="center"/>
      <protection locked="0" hidden="0"/>
    </xf>
    <xf numFmtId="0" fontId="4" fillId="8" borderId="10" applyAlignment="1" applyProtection="1" pivotButton="0" quotePrefix="0" xfId="0">
      <alignment horizontal="center" vertical="center"/>
      <protection locked="0" hidden="0"/>
    </xf>
    <xf numFmtId="0" fontId="4" fillId="9" borderId="10" applyAlignment="1" applyProtection="1" pivotButton="0" quotePrefix="0" xfId="0">
      <alignment horizontal="center" vertical="center"/>
      <protection locked="0" hidden="0"/>
    </xf>
    <xf numFmtId="0" fontId="10" fillId="7" borderId="14" applyAlignment="1" applyProtection="1" pivotButton="0" quotePrefix="0" xfId="0">
      <alignment horizontal="center" vertical="center"/>
      <protection locked="0" hidden="0"/>
    </xf>
    <xf numFmtId="0" fontId="10" fillId="8" borderId="14" applyAlignment="1" applyProtection="1" pivotButton="0" quotePrefix="0" xfId="0">
      <alignment horizontal="center" vertical="center"/>
      <protection locked="0" hidden="0"/>
    </xf>
    <xf numFmtId="0" fontId="3" fillId="0" borderId="3" applyAlignment="1" applyProtection="1" pivotButton="0" quotePrefix="0" xfId="0">
      <alignment horizontal="center"/>
      <protection locked="0" hidden="0"/>
    </xf>
    <xf numFmtId="14" fontId="3" fillId="0" borderId="3" applyAlignment="1" applyProtection="1" pivotButton="0" quotePrefix="0" xfId="0">
      <alignment horizontal="center"/>
      <protection locked="0" hidden="0"/>
    </xf>
    <xf numFmtId="0" fontId="10" fillId="9" borderId="6" applyAlignment="1" applyProtection="1" pivotButton="0" quotePrefix="0" xfId="0">
      <alignment horizontal="center" vertical="center"/>
      <protection locked="0" hidden="0"/>
    </xf>
    <xf numFmtId="0" fontId="6" fillId="9" borderId="14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  <xf numFmtId="0" fontId="19" fillId="0" borderId="0" applyProtection="1" pivotButton="0" quotePrefix="0" xfId="0">
      <protection locked="0" hidden="0"/>
    </xf>
    <xf numFmtId="0" fontId="20" fillId="14" borderId="34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left" vertical="center" indent="1"/>
      <protection locked="0" hidden="0"/>
    </xf>
    <xf numFmtId="0" fontId="20" fillId="15" borderId="34" applyAlignment="1" applyProtection="1" pivotButton="0" quotePrefix="0" xfId="0">
      <alignment horizontal="center" vertical="center"/>
      <protection locked="0" hidden="0"/>
    </xf>
    <xf numFmtId="0" fontId="20" fillId="16" borderId="34" applyAlignment="1" applyProtection="1" pivotButton="0" quotePrefix="0" xfId="0">
      <alignment horizontal="center" vertical="center"/>
      <protection locked="0" hidden="0"/>
    </xf>
    <xf numFmtId="0" fontId="20" fillId="17" borderId="34" applyAlignment="1" applyProtection="1" pivotButton="0" quotePrefix="0" xfId="0">
      <alignment horizontal="center" vertical="center"/>
      <protection locked="0" hidden="0"/>
    </xf>
    <xf numFmtId="0" fontId="20" fillId="18" borderId="34" applyAlignment="1" applyProtection="1" pivotButton="0" quotePrefix="0" xfId="0">
      <alignment horizontal="center" vertical="center"/>
      <protection locked="0" hidden="0"/>
    </xf>
    <xf numFmtId="0" fontId="20" fillId="19" borderId="34" applyAlignment="1" applyProtection="1" pivotButton="0" quotePrefix="0" xfId="0">
      <alignment horizontal="center" vertical="center"/>
      <protection locked="0" hidden="0"/>
    </xf>
    <xf numFmtId="0" fontId="22" fillId="20" borderId="34" applyAlignment="1" applyProtection="1" pivotButton="0" quotePrefix="0" xfId="0">
      <alignment horizontal="center" vertical="center"/>
      <protection locked="0" hidden="0"/>
    </xf>
    <xf numFmtId="0" fontId="23" fillId="21" borderId="34" applyAlignment="1" applyProtection="1" pivotButton="0" quotePrefix="0" xfId="0">
      <alignment horizontal="center" vertical="center"/>
      <protection locked="0" hidden="0"/>
    </xf>
    <xf numFmtId="0" fontId="24" fillId="22" borderId="34" applyAlignment="1" applyProtection="1" pivotButton="0" quotePrefix="0" xfId="0">
      <alignment horizontal="center" vertical="center"/>
      <protection locked="0" hidden="0"/>
    </xf>
    <xf numFmtId="0" fontId="25" fillId="23" borderId="34" applyAlignment="1" applyProtection="1" pivotButton="0" quotePrefix="0" xfId="0">
      <alignment horizontal="center" vertical="center"/>
      <protection locked="0" hidden="0"/>
    </xf>
    <xf numFmtId="0" fontId="26" fillId="24" borderId="34" applyAlignment="1" applyProtection="1" pivotButton="0" quotePrefix="0" xfId="0">
      <alignment horizontal="center" vertical="center"/>
      <protection locked="0" hidden="0"/>
    </xf>
    <xf numFmtId="0" fontId="27" fillId="25" borderId="34" applyAlignment="1" applyProtection="1" pivotButton="0" quotePrefix="0" xfId="0">
      <alignment horizontal="center" vertical="center"/>
      <protection locked="0" hidden="0"/>
    </xf>
    <xf numFmtId="0" fontId="28" fillId="26" borderId="34" applyAlignment="1" applyProtection="1" pivotButton="0" quotePrefix="0" xfId="0">
      <alignment horizontal="center" vertical="center"/>
      <protection locked="0" hidden="0"/>
    </xf>
    <xf numFmtId="0" fontId="29" fillId="27" borderId="34" applyAlignment="1" applyProtection="1" pivotButton="0" quotePrefix="0" xfId="0">
      <alignment horizontal="center" vertical="center"/>
      <protection locked="0" hidden="0"/>
    </xf>
  </cellXfs>
  <cellStyles count="1">
    <cellStyle name="عادي" xfId="0" builtinId="0"/>
  </cellStyles>
  <dxfs count="22"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5999633777886288"/>
        </patternFill>
      </fill>
    </dxf>
    <dxf>
      <font>
        <name val="Times New Roman"/>
        <b val="1"/>
        <color rgb="00F9FAFB"/>
      </font>
      <fill>
        <patternFill>
          <bgColor rgb="001F2937"/>
        </patternFill>
      </fill>
    </dxf>
    <dxf>
      <font>
        <name val="Times New Roman"/>
        <b val="1"/>
        <color rgb="007E22CE"/>
      </font>
      <fill>
        <patternFill>
          <bgColor rgb="00FDF4FF"/>
        </patternFill>
      </fill>
    </dxf>
    <dxf>
      <font>
        <name val="Times New Roman"/>
        <b val="1"/>
        <color rgb="00C2410C"/>
      </font>
      <fill>
        <patternFill>
          <bgColor rgb="00FFF7ED"/>
        </patternFill>
      </fill>
    </dxf>
    <dxf>
      <font>
        <name val="Times New Roman"/>
        <b val="1"/>
        <color rgb="003730A3"/>
      </font>
      <fill>
        <patternFill>
          <bgColor rgb="00E0E7FF"/>
        </patternFill>
      </fill>
    </dxf>
    <dxf>
      <font>
        <name val="Times New Roman"/>
        <b val="1"/>
        <color rgb="00BE123C"/>
      </font>
      <fill>
        <patternFill>
          <bgColor rgb="00FFE4E6"/>
        </patternFill>
      </fill>
    </dxf>
    <dxf>
      <font>
        <name val="Times New Roman"/>
        <b val="1"/>
        <color rgb="003F6212"/>
      </font>
      <fill>
        <patternFill>
          <bgColor rgb="00ECFCCB"/>
        </patternFill>
      </fill>
    </dxf>
    <dxf>
      <font>
        <name val="Times New Roman"/>
        <b val="1"/>
        <color rgb="00475569"/>
      </font>
      <fill>
        <patternFill>
          <bgColor rgb="00F1F5F9"/>
        </patternFill>
      </fill>
    </dxf>
    <dxf>
      <font>
        <name val="Times New Roman"/>
        <b val="1"/>
        <color rgb="00713F12"/>
      </font>
      <fill>
        <patternFill>
          <bgColor rgb="00FEF9C3"/>
        </patternFill>
      </fill>
    </dxf>
    <dxf>
      <fill>
        <patternFill>
          <bgColor rgb="00DAF2D0"/>
        </patternFill>
      </fill>
    </dxf>
    <dxf>
      <fill>
        <patternFill>
          <bgColor rgb="0083CCEB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95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Z14" sqref="Z14"/>
    </sheetView>
  </sheetViews>
  <sheetFormatPr baseColWidth="8" defaultRowHeight="14.4"/>
  <cols>
    <col width="7" customWidth="1" min="1" max="1"/>
    <col width="13" customWidth="1" min="2" max="2"/>
    <col width="34.6640625" customWidth="1" min="3" max="3"/>
    <col width="13.44140625" customWidth="1" min="4" max="4"/>
    <col width="4.5546875" customWidth="1" min="5" max="35"/>
    <col width="8" customWidth="1" min="37" max="37"/>
    <col width="5" customWidth="1" min="38" max="38"/>
    <col width="5" customWidth="1" min="39" max="39"/>
    <col width="5" customWidth="1" min="40" max="40"/>
    <col hidden="1" width="13" customWidth="1" min="42" max="42"/>
  </cols>
  <sheetData>
    <row r="1" ht="21" customHeight="1" thickBot="1">
      <c r="A1" s="101" t="inlineStr">
        <is>
          <t>#</t>
        </is>
      </c>
      <c r="B1" s="102" t="inlineStr">
        <is>
          <t>PRN</t>
        </is>
      </c>
      <c r="C1" s="102" t="inlineStr">
        <is>
          <t>NAME</t>
        </is>
      </c>
      <c r="D1" s="102" t="inlineStr">
        <is>
          <t>Posn</t>
        </is>
      </c>
      <c r="E1" s="102" t="inlineStr">
        <is>
          <t>SPV Cabin Employee Roster</t>
        </is>
      </c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4" t="n"/>
      <c r="AD1" s="105" t="inlineStr">
        <is>
          <t>CC: 264</t>
        </is>
      </c>
      <c r="AJ1" s="106" t="n"/>
      <c r="AK1" s="106" t="n"/>
      <c r="AL1" s="106" t="n"/>
      <c r="AM1" s="106" t="n"/>
      <c r="AN1" s="106" t="n"/>
      <c r="AO1" s="106" t="n"/>
      <c r="AP1">
        <f>IF(ISNUMBER($AL$8),"P","M")</f>
        <v/>
      </c>
    </row>
    <row r="2" ht="21" customHeight="1" thickBot="1">
      <c r="A2" s="107" t="n"/>
      <c r="B2" s="107" t="n"/>
      <c r="C2" s="107" t="n"/>
      <c r="D2" s="107" t="n"/>
      <c r="E2" s="108">
        <f>IF($AP$1="P",UPPER(TEXT($AP$3,"dd mmm")&amp;" — "&amp;TEXT($AP$3+$AP$4-1,"dd mmm yyyy")),UPPER(TEXT($AP$3,"mmmm yyyy")))</f>
        <v/>
      </c>
      <c r="F2" s="103" t="n"/>
      <c r="G2" s="103" t="n"/>
      <c r="H2" s="103" t="n"/>
      <c r="I2" s="103" t="n"/>
      <c r="J2" s="103" t="n"/>
      <c r="K2" s="103" t="n"/>
      <c r="L2" s="103" t="n"/>
      <c r="M2" s="103" t="n"/>
      <c r="N2" s="103" t="n"/>
      <c r="O2" s="103" t="n"/>
      <c r="P2" s="103" t="n"/>
      <c r="Q2" s="103" t="n"/>
      <c r="R2" s="103" t="n"/>
      <c r="S2" s="103" t="n"/>
      <c r="T2" s="103" t="n"/>
      <c r="U2" s="103" t="n"/>
      <c r="V2" s="103" t="n"/>
      <c r="W2" s="103" t="n"/>
      <c r="X2" s="103" t="n"/>
      <c r="Y2" s="103" t="n"/>
      <c r="Z2" s="103" t="n"/>
      <c r="AA2" s="103" t="n"/>
      <c r="AB2" s="103" t="n"/>
      <c r="AC2" s="104" t="n"/>
      <c r="AD2" s="109" t="n"/>
      <c r="AE2" s="110" t="n"/>
      <c r="AF2" s="110" t="n"/>
      <c r="AG2" s="110" t="n"/>
      <c r="AH2" s="110" t="n"/>
      <c r="AI2" s="110" t="n"/>
      <c r="AJ2" s="106" t="n"/>
      <c r="AK2" s="106" t="n"/>
      <c r="AL2" s="106" t="n"/>
      <c r="AM2" s="106" t="n"/>
      <c r="AN2" s="106" t="n"/>
      <c r="AO2" s="106" t="n"/>
      <c r="AP2">
        <f>IF($AP$1="P",0,IF(ISNUMBER($AL$4),$AL$4,MATCH(LEFT(UPPER(TRIM($AL$4)),3),{"JAN","FEB","MAR","APR","MAY","JUN","JUL","AUG","SEP","OCT","NOV","DEC"},0)))</f>
        <v/>
      </c>
    </row>
    <row r="3" ht="15" customHeight="1" thickBot="1">
      <c r="A3" s="111" t="inlineStr">
        <is>
          <t>CREW 1</t>
        </is>
      </c>
      <c r="E3" s="1">
        <f>IF(1&lt;=$AP$4,TEXT($AP$3+0,"ddd"),"")</f>
        <v/>
      </c>
      <c r="F3" s="1">
        <f>IF(2&lt;=$AP$4,TEXT($AP$3+1,"ddd"),"")</f>
        <v/>
      </c>
      <c r="G3" s="1">
        <f>IF(3&lt;=$AP$4,TEXT($AP$3+2,"ddd"),"")</f>
        <v/>
      </c>
      <c r="H3" s="1">
        <f>IF(4&lt;=$AP$4,TEXT($AP$3+3,"ddd"),"")</f>
        <v/>
      </c>
      <c r="I3" s="1">
        <f>IF(5&lt;=$AP$4,TEXT($AP$3+4,"ddd"),"")</f>
        <v/>
      </c>
      <c r="J3" s="1">
        <f>IF(6&lt;=$AP$4,TEXT($AP$3+5,"ddd"),"")</f>
        <v/>
      </c>
      <c r="K3" s="1">
        <f>IF(7&lt;=$AP$4,TEXT($AP$3+6,"ddd"),"")</f>
        <v/>
      </c>
      <c r="L3" s="1">
        <f>IF(8&lt;=$AP$4,TEXT($AP$3+7,"ddd"),"")</f>
        <v/>
      </c>
      <c r="M3" s="1">
        <f>IF(9&lt;=$AP$4,TEXT($AP$3+8,"ddd"),"")</f>
        <v/>
      </c>
      <c r="N3" s="1">
        <f>IF(10&lt;=$AP$4,TEXT($AP$3+9,"ddd"),"")</f>
        <v/>
      </c>
      <c r="O3" s="1">
        <f>IF(11&lt;=$AP$4,TEXT($AP$3+10,"ddd"),"")</f>
        <v/>
      </c>
      <c r="P3" s="1">
        <f>IF(12&lt;=$AP$4,TEXT($AP$3+11,"ddd"),"")</f>
        <v/>
      </c>
      <c r="Q3" s="1">
        <f>IF(13&lt;=$AP$4,TEXT($AP$3+12,"ddd"),"")</f>
        <v/>
      </c>
      <c r="R3" s="1">
        <f>IF(14&lt;=$AP$4,TEXT($AP$3+13,"ddd"),"")</f>
        <v/>
      </c>
      <c r="S3" s="1">
        <f>IF(15&lt;=$AP$4,TEXT($AP$3+14,"ddd"),"")</f>
        <v/>
      </c>
      <c r="T3" s="1">
        <f>IF(16&lt;=$AP$4,TEXT($AP$3+15,"ddd"),"")</f>
        <v/>
      </c>
      <c r="U3" s="1">
        <f>IF(17&lt;=$AP$4,TEXT($AP$3+16,"ddd"),"")</f>
        <v/>
      </c>
      <c r="V3" s="1">
        <f>IF(18&lt;=$AP$4,TEXT($AP$3+17,"ddd"),"")</f>
        <v/>
      </c>
      <c r="W3" s="1">
        <f>IF(19&lt;=$AP$4,TEXT($AP$3+18,"ddd"),"")</f>
        <v/>
      </c>
      <c r="X3" s="1">
        <f>IF(20&lt;=$AP$4,TEXT($AP$3+19,"ddd"),"")</f>
        <v/>
      </c>
      <c r="Y3" s="1">
        <f>IF(21&lt;=$AP$4,TEXT($AP$3+20,"ddd"),"")</f>
        <v/>
      </c>
      <c r="Z3" s="1">
        <f>IF(22&lt;=$AP$4,TEXT($AP$3+21,"ddd"),"")</f>
        <v/>
      </c>
      <c r="AA3" s="1">
        <f>IF(23&lt;=$AP$4,TEXT($AP$3+22,"ddd"),"")</f>
        <v/>
      </c>
      <c r="AB3" s="1">
        <f>IF(24&lt;=$AP$4,TEXT($AP$3+23,"ddd"),"")</f>
        <v/>
      </c>
      <c r="AC3" s="1">
        <f>IF(25&lt;=$AP$4,TEXT($AP$3+24,"ddd"),"")</f>
        <v/>
      </c>
      <c r="AD3" s="1">
        <f>IF(26&lt;=$AP$4,TEXT($AP$3+25,"ddd"),"")</f>
        <v/>
      </c>
      <c r="AE3" s="1">
        <f>IF(27&lt;=$AP$4,TEXT($AP$3+26,"ddd"),"")</f>
        <v/>
      </c>
      <c r="AF3" s="1">
        <f>IF(28&lt;=$AP$4,TEXT($AP$3+27,"ddd"),"")</f>
        <v/>
      </c>
      <c r="AG3" s="1">
        <f>IF(29&lt;=$AP$4,TEXT($AP$3+28,"ddd"),"")</f>
        <v/>
      </c>
      <c r="AH3" s="24">
        <f>IF(30&lt;=$AP$4,TEXT($AP$3+29,"ddd"),"")</f>
        <v/>
      </c>
      <c r="AI3" s="21">
        <f>IF(31&lt;=$AP$4,TEXT($AP$3+30,"ddd"),"")</f>
        <v/>
      </c>
      <c r="AJ3" s="106" t="n"/>
      <c r="AK3" s="112" t="inlineStr">
        <is>
          <t>MONTHLY</t>
        </is>
      </c>
      <c r="AO3" s="106" t="n"/>
      <c r="AP3">
        <f>IF($AP$1="P",$AL$8,DATE($AL$5,$AP$2,1))</f>
        <v/>
      </c>
    </row>
    <row r="4" ht="16.2" customHeight="1" thickBot="1">
      <c r="A4" s="113" t="n"/>
      <c r="E4" s="2">
        <f>IF(1&lt;=$AP$4,IF($AP$1="P",DAY($AP$3+0),1),"")</f>
        <v/>
      </c>
      <c r="F4" s="2">
        <f>IF(2&lt;=$AP$4,IF($AP$1="P",DAY($AP$3+1),2),"")</f>
        <v/>
      </c>
      <c r="G4" s="2">
        <f>IF(3&lt;=$AP$4,IF($AP$1="P",DAY($AP$3+2),3),"")</f>
        <v/>
      </c>
      <c r="H4" s="2">
        <f>IF(4&lt;=$AP$4,IF($AP$1="P",DAY($AP$3+3),4),"")</f>
        <v/>
      </c>
      <c r="I4" s="3">
        <f>IF(5&lt;=$AP$4,IF($AP$1="P",DAY($AP$3+4),5),"")</f>
        <v/>
      </c>
      <c r="J4" s="4">
        <f>IF(6&lt;=$AP$4,IF($AP$1="P",DAY($AP$3+5),6),"")</f>
        <v/>
      </c>
      <c r="K4" s="4">
        <f>IF(7&lt;=$AP$4,IF($AP$1="P",DAY($AP$3+6),7),"")</f>
        <v/>
      </c>
      <c r="L4" s="3">
        <f>IF(8&lt;=$AP$4,IF($AP$1="P",DAY($AP$3+7),8),"")</f>
        <v/>
      </c>
      <c r="M4" s="4">
        <f>IF(9&lt;=$AP$4,IF($AP$1="P",DAY($AP$3+8),9),"")</f>
        <v/>
      </c>
      <c r="N4" s="2">
        <f>IF(10&lt;=$AP$4,IF($AP$1="P",DAY($AP$3+9),10),"")</f>
        <v/>
      </c>
      <c r="O4" s="2">
        <f>IF(11&lt;=$AP$4,IF($AP$1="P",DAY($AP$3+10),11),"")</f>
        <v/>
      </c>
      <c r="P4" s="2">
        <f>IF(12&lt;=$AP$4,IF($AP$1="P",DAY($AP$3+11),12),"")</f>
        <v/>
      </c>
      <c r="Q4" s="2">
        <f>IF(13&lt;=$AP$4,IF($AP$1="P",DAY($AP$3+12),13),"")</f>
        <v/>
      </c>
      <c r="R4" s="2">
        <f>IF(14&lt;=$AP$4,IF($AP$1="P",DAY($AP$3+13),14),"")</f>
        <v/>
      </c>
      <c r="S4" s="2">
        <f>IF(15&lt;=$AP$4,IF($AP$1="P",DAY($AP$3+14),15),"")</f>
        <v/>
      </c>
      <c r="T4" s="2">
        <f>IF(16&lt;=$AP$4,IF($AP$1="P",DAY($AP$3+15),16),"")</f>
        <v/>
      </c>
      <c r="U4" s="2">
        <f>IF(17&lt;=$AP$4,IF($AP$1="P",DAY($AP$3+16),17),"")</f>
        <v/>
      </c>
      <c r="V4" s="2">
        <f>IF(18&lt;=$AP$4,IF($AP$1="P",DAY($AP$3+17),18),"")</f>
        <v/>
      </c>
      <c r="W4" s="2">
        <f>IF(19&lt;=$AP$4,IF($AP$1="P",DAY($AP$3+18),19),"")</f>
        <v/>
      </c>
      <c r="X4" s="2">
        <f>IF(20&lt;=$AP$4,IF($AP$1="P",DAY($AP$3+19),20),"")</f>
        <v/>
      </c>
      <c r="Y4" s="2">
        <f>IF(21&lt;=$AP$4,IF($AP$1="P",DAY($AP$3+20),21),"")</f>
        <v/>
      </c>
      <c r="Z4" s="2">
        <f>IF(22&lt;=$AP$4,IF($AP$1="P",DAY($AP$3+21),22),"")</f>
        <v/>
      </c>
      <c r="AA4" s="2">
        <f>IF(23&lt;=$AP$4,IF($AP$1="P",DAY($AP$3+22),23),"")</f>
        <v/>
      </c>
      <c r="AB4" s="2">
        <f>IF(24&lt;=$AP$4,IF($AP$1="P",DAY($AP$3+23),24),"")</f>
        <v/>
      </c>
      <c r="AC4" s="2">
        <f>IF(25&lt;=$AP$4,IF($AP$1="P",DAY($AP$3+24),25),"")</f>
        <v/>
      </c>
      <c r="AD4" s="2">
        <f>IF(26&lt;=$AP$4,IF($AP$1="P",DAY($AP$3+25),26),"")</f>
        <v/>
      </c>
      <c r="AE4" s="2">
        <f>IF(27&lt;=$AP$4,IF($AP$1="P",DAY($AP$3+26),27),"")</f>
        <v/>
      </c>
      <c r="AF4" s="2">
        <f>IF(28&lt;=$AP$4,IF($AP$1="P",DAY($AP$3+27),28),"")</f>
        <v/>
      </c>
      <c r="AG4" s="2">
        <f>IF(29&lt;=$AP$4,IF($AP$1="P",DAY($AP$3+28),29),"")</f>
        <v/>
      </c>
      <c r="AH4" s="25">
        <f>IF(30&lt;=$AP$4,IF($AP$1="P",DAY($AP$3+29),30),"")</f>
        <v/>
      </c>
      <c r="AI4" s="22">
        <f>IF(31&lt;=$AP$4,IF($AP$1="P",DAY($AP$3+30),31),"")</f>
        <v/>
      </c>
      <c r="AJ4" s="106" t="n"/>
      <c r="AK4" s="114" t="inlineStr">
        <is>
          <t>MONTH</t>
        </is>
      </c>
      <c r="AL4" s="115" t="inlineStr">
        <is>
          <t>JUL</t>
        </is>
      </c>
      <c r="AO4" s="106" t="n"/>
      <c r="AP4">
        <f>IF($AP$1="P",MIN(31,IF(ISNUMBER($AL$9),$AL$9,30)),DAY(EOMONTH($AP$3,0)))</f>
        <v/>
      </c>
    </row>
    <row r="5" ht="16.2" customHeight="1" thickBot="1">
      <c r="A5" s="116">
        <f>IF($C5="","",ROW()-4)</f>
        <v/>
      </c>
      <c r="B5" s="117" t="n">
        <v>13006435</v>
      </c>
      <c r="C5" s="118" t="inlineStr">
        <is>
          <t>HOMAID ALJAHDALI</t>
        </is>
      </c>
      <c r="D5" s="119" t="inlineStr">
        <is>
          <t>ACT/SUPV</t>
        </is>
      </c>
      <c r="E5" s="120" t="n"/>
      <c r="F5" s="120" t="n"/>
      <c r="G5" s="121" t="n"/>
      <c r="H5" s="120" t="n"/>
      <c r="I5" s="120" t="n"/>
      <c r="J5" s="120" t="n"/>
      <c r="K5" s="120" t="n"/>
      <c r="L5" s="120" t="n"/>
      <c r="M5" s="120" t="n"/>
      <c r="N5" s="120" t="n"/>
      <c r="O5" s="120" t="n"/>
      <c r="P5" s="120" t="n"/>
      <c r="Q5" s="120" t="n"/>
      <c r="R5" s="120" t="n"/>
      <c r="S5" s="120" t="n"/>
      <c r="T5" s="120" t="n"/>
      <c r="U5" s="120" t="n"/>
      <c r="V5" s="120" t="n"/>
      <c r="W5" s="120" t="n"/>
      <c r="X5" s="120" t="n"/>
      <c r="Y5" s="120" t="n"/>
      <c r="Z5" s="120" t="n"/>
      <c r="AA5" s="120" t="n"/>
      <c r="AB5" s="120" t="n"/>
      <c r="AC5" s="120" t="n"/>
      <c r="AD5" s="120" t="n"/>
      <c r="AE5" s="120" t="n"/>
      <c r="AF5" s="120" t="n"/>
      <c r="AG5" s="120" t="n"/>
      <c r="AH5" s="122" t="n"/>
      <c r="AI5" s="123" t="n"/>
      <c r="AJ5" s="106" t="n"/>
      <c r="AK5" s="114" t="inlineStr">
        <is>
          <t>YEAR</t>
        </is>
      </c>
      <c r="AL5" s="115" t="n">
        <v>2026</v>
      </c>
      <c r="AO5" s="106" t="n"/>
      <c r="AP5" s="106" t="n"/>
    </row>
    <row r="6" ht="16.2" customHeight="1" thickBot="1">
      <c r="A6" s="116">
        <f>IF($C6="","",ROW()-4)</f>
        <v/>
      </c>
      <c r="B6" s="117" t="n">
        <v>13008931</v>
      </c>
      <c r="C6" s="118" t="inlineStr">
        <is>
          <t>RONILO NOGADAS AMEN</t>
        </is>
      </c>
      <c r="D6" s="117" t="inlineStr">
        <is>
          <t>ACT/SUPV</t>
        </is>
      </c>
      <c r="E6" s="120" t="n"/>
      <c r="F6" s="120" t="n"/>
      <c r="G6" s="121" t="n"/>
      <c r="H6" s="120" t="n"/>
      <c r="I6" s="120" t="n"/>
      <c r="J6" s="120" t="n"/>
      <c r="K6" s="120" t="n"/>
      <c r="L6" s="120" t="n"/>
      <c r="M6" s="120" t="n"/>
      <c r="N6" s="120" t="n"/>
      <c r="O6" s="120" t="n"/>
      <c r="P6" s="120" t="n"/>
      <c r="Q6" s="120" t="n"/>
      <c r="R6" s="120" t="n"/>
      <c r="S6" s="120" t="n"/>
      <c r="T6" s="120" t="n"/>
      <c r="U6" s="120" t="n"/>
      <c r="V6" s="120" t="n"/>
      <c r="W6" s="120" t="n"/>
      <c r="X6" s="120" t="n"/>
      <c r="Y6" s="120" t="n"/>
      <c r="Z6" s="120" t="n"/>
      <c r="AA6" s="120" t="n"/>
      <c r="AB6" s="120" t="n"/>
      <c r="AC6" s="120" t="n"/>
      <c r="AD6" s="120" t="n"/>
      <c r="AE6" s="120" t="n"/>
      <c r="AF6" s="120" t="n"/>
      <c r="AG6" s="120" t="n"/>
      <c r="AH6" s="122" t="n"/>
      <c r="AI6" s="123" t="n"/>
      <c r="AJ6" s="106" t="n"/>
      <c r="AK6" s="124" t="inlineStr">
        <is>
          <t>— OR —</t>
        </is>
      </c>
      <c r="AO6" s="106" t="n"/>
      <c r="AP6" s="106" t="n"/>
    </row>
    <row r="7" ht="16.2" customHeight="1" thickBot="1">
      <c r="A7" s="116">
        <f>IF($C7="","",ROW()-4)</f>
        <v/>
      </c>
      <c r="B7" s="117" t="n">
        <v>13010279</v>
      </c>
      <c r="C7" s="118" t="inlineStr">
        <is>
          <t>AHMED M. ALWAHBI</t>
        </is>
      </c>
      <c r="D7" s="117" t="inlineStr">
        <is>
          <t>ACT/SUPV</t>
        </is>
      </c>
      <c r="E7" s="120" t="n"/>
      <c r="F7" s="120" t="n"/>
      <c r="G7" s="121" t="n"/>
      <c r="H7" s="120" t="n"/>
      <c r="I7" s="120" t="n"/>
      <c r="J7" s="120" t="n"/>
      <c r="K7" s="120" t="n"/>
      <c r="L7" s="120" t="n"/>
      <c r="M7" s="120" t="n"/>
      <c r="N7" s="120" t="n"/>
      <c r="O7" s="120" t="n"/>
      <c r="P7" s="120" t="n"/>
      <c r="Q7" s="120" t="n"/>
      <c r="R7" s="120" t="n"/>
      <c r="S7" s="120" t="n"/>
      <c r="T7" s="120" t="n"/>
      <c r="U7" s="120" t="n"/>
      <c r="V7" s="120" t="n"/>
      <c r="W7" s="120" t="n"/>
      <c r="X7" s="120" t="n"/>
      <c r="Y7" s="120" t="n"/>
      <c r="Z7" s="120" t="n"/>
      <c r="AA7" s="120" t="n"/>
      <c r="AB7" s="120" t="n"/>
      <c r="AC7" s="120" t="n"/>
      <c r="AD7" s="120" t="n"/>
      <c r="AE7" s="120" t="n"/>
      <c r="AF7" s="120" t="n"/>
      <c r="AG7" s="120" t="n"/>
      <c r="AH7" s="122" t="n"/>
      <c r="AI7" s="123" t="n"/>
      <c r="AJ7" s="106" t="n"/>
      <c r="AK7" s="125" t="inlineStr">
        <is>
          <t>CUSTOM PERIOD</t>
        </is>
      </c>
      <c r="AO7" s="106" t="n"/>
      <c r="AP7" s="106" t="n"/>
    </row>
    <row r="8" ht="16.2" customHeight="1" thickBot="1">
      <c r="A8" s="116">
        <f>IF($C8="","",ROW()-4)</f>
        <v/>
      </c>
      <c r="B8" s="117" t="n">
        <v>13007568</v>
      </c>
      <c r="C8" s="118" t="inlineStr">
        <is>
          <t>NAIF ALANEZI</t>
        </is>
      </c>
      <c r="D8" s="117" t="inlineStr">
        <is>
          <t>ACT/SUPV</t>
        </is>
      </c>
      <c r="E8" s="120" t="n"/>
      <c r="F8" s="120" t="n"/>
      <c r="G8" s="121" t="n"/>
      <c r="H8" s="120" t="n"/>
      <c r="I8" s="120" t="n"/>
      <c r="J8" s="120" t="n"/>
      <c r="K8" s="120" t="n"/>
      <c r="L8" s="120" t="n"/>
      <c r="M8" s="120" t="n"/>
      <c r="N8" s="120" t="n"/>
      <c r="O8" s="120" t="n"/>
      <c r="P8" s="120" t="n"/>
      <c r="Q8" s="120" t="n"/>
      <c r="R8" s="120" t="n"/>
      <c r="S8" s="120" t="n"/>
      <c r="T8" s="120" t="n"/>
      <c r="U8" s="120" t="n"/>
      <c r="V8" s="120" t="n"/>
      <c r="W8" s="120" t="n"/>
      <c r="X8" s="120" t="n"/>
      <c r="Y8" s="120" t="n"/>
      <c r="Z8" s="120" t="n"/>
      <c r="AA8" s="120" t="n"/>
      <c r="AB8" s="120" t="n"/>
      <c r="AC8" s="120" t="n"/>
      <c r="AD8" s="120" t="n"/>
      <c r="AE8" s="120" t="n"/>
      <c r="AF8" s="120" t="n"/>
      <c r="AG8" s="120" t="n"/>
      <c r="AH8" s="122" t="n"/>
      <c r="AI8" s="123" t="n"/>
      <c r="AJ8" s="106" t="n"/>
      <c r="AK8" s="114" t="inlineStr">
        <is>
          <t>START</t>
        </is>
      </c>
      <c r="AL8" s="126" t="n"/>
      <c r="AO8" s="106" t="n"/>
      <c r="AP8" s="106" t="n"/>
    </row>
    <row r="9" ht="16.2" customHeight="1" thickBot="1">
      <c r="A9" s="116">
        <f>IF($C9="","",ROW()-4)</f>
        <v/>
      </c>
      <c r="B9" s="117" t="n">
        <v>30005295</v>
      </c>
      <c r="C9" s="118" t="inlineStr">
        <is>
          <t>RODEL CLEMENTE</t>
        </is>
      </c>
      <c r="D9" s="117" t="inlineStr">
        <is>
          <t>TECH</t>
        </is>
      </c>
      <c r="E9" s="120" t="n"/>
      <c r="F9" s="120" t="n"/>
      <c r="G9" s="121" t="n"/>
      <c r="H9" s="120" t="n"/>
      <c r="I9" s="120" t="n"/>
      <c r="J9" s="120" t="n"/>
      <c r="K9" s="120" t="n"/>
      <c r="L9" s="120" t="n"/>
      <c r="M9" s="120" t="n"/>
      <c r="N9" s="120" t="n"/>
      <c r="O9" s="120" t="n"/>
      <c r="P9" s="120" t="n"/>
      <c r="Q9" s="120" t="n"/>
      <c r="R9" s="120" t="n"/>
      <c r="S9" s="120" t="n"/>
      <c r="T9" s="120" t="n"/>
      <c r="U9" s="120" t="n"/>
      <c r="V9" s="120" t="n"/>
      <c r="W9" s="120" t="n"/>
      <c r="X9" s="120" t="n"/>
      <c r="Y9" s="120" t="n"/>
      <c r="Z9" s="120" t="n"/>
      <c r="AA9" s="120" t="n"/>
      <c r="AB9" s="120" t="n"/>
      <c r="AC9" s="120" t="n"/>
      <c r="AD9" s="120" t="n"/>
      <c r="AE9" s="120" t="n"/>
      <c r="AF9" s="120" t="n"/>
      <c r="AG9" s="120" t="n"/>
      <c r="AH9" s="122" t="n"/>
      <c r="AI9" s="123" t="n"/>
      <c r="AJ9" s="106" t="n"/>
      <c r="AK9" s="114" t="inlineStr">
        <is>
          <t>DAYS</t>
        </is>
      </c>
      <c r="AL9" s="115" t="n"/>
      <c r="AO9" s="106" t="n"/>
      <c r="AP9" s="106" t="n"/>
    </row>
    <row r="10" ht="16.2" customHeight="1" thickBot="1">
      <c r="A10" s="116">
        <f>IF($C10="","",ROW()-4)</f>
        <v/>
      </c>
      <c r="B10" s="117" t="n">
        <v>30001593</v>
      </c>
      <c r="C10" s="118" t="inlineStr">
        <is>
          <t>FYSAL M. ALEDAINI</t>
        </is>
      </c>
      <c r="D10" s="117" t="inlineStr">
        <is>
          <t>OJT</t>
        </is>
      </c>
      <c r="E10" s="120" t="n"/>
      <c r="F10" s="120" t="n"/>
      <c r="G10" s="121" t="n"/>
      <c r="H10" s="120" t="n"/>
      <c r="I10" s="120" t="n"/>
      <c r="J10" s="120" t="n"/>
      <c r="K10" s="120" t="n"/>
      <c r="L10" s="120" t="n"/>
      <c r="M10" s="120" t="n"/>
      <c r="N10" s="120" t="n"/>
      <c r="O10" s="120" t="n"/>
      <c r="P10" s="120" t="n"/>
      <c r="Q10" s="120" t="n"/>
      <c r="R10" s="120" t="n"/>
      <c r="S10" s="120" t="n"/>
      <c r="T10" s="120" t="n"/>
      <c r="U10" s="120" t="n"/>
      <c r="V10" s="120" t="n"/>
      <c r="W10" s="120" t="n"/>
      <c r="X10" s="120" t="n"/>
      <c r="Y10" s="120" t="n"/>
      <c r="Z10" s="120" t="n"/>
      <c r="AA10" s="120" t="n"/>
      <c r="AB10" s="120" t="n"/>
      <c r="AC10" s="120" t="n"/>
      <c r="AD10" s="120" t="n"/>
      <c r="AE10" s="120" t="n"/>
      <c r="AF10" s="120" t="n"/>
      <c r="AG10" s="120" t="n"/>
      <c r="AH10" s="122" t="n"/>
      <c r="AI10" s="123" t="n"/>
      <c r="AJ10" s="106" t="n"/>
      <c r="AK10" s="127" t="inlineStr">
        <is>
          <t>fill START to use period</t>
        </is>
      </c>
      <c r="AO10" s="106" t="n"/>
      <c r="AP10" s="106" t="n"/>
    </row>
    <row r="11" ht="16.2" customHeight="1" thickBot="1">
      <c r="A11" s="116">
        <f>IF($C11="","",ROW()-4)</f>
        <v/>
      </c>
      <c r="B11" s="117" t="n">
        <v>30001338</v>
      </c>
      <c r="C11" s="118" t="inlineStr">
        <is>
          <t>MASHHOUR ALSULAIMANI</t>
        </is>
      </c>
      <c r="D11" s="117" t="inlineStr">
        <is>
          <t>OJT</t>
        </is>
      </c>
      <c r="E11" s="120" t="n"/>
      <c r="F11" s="120" t="n"/>
      <c r="G11" s="121" t="n"/>
      <c r="H11" s="120" t="n"/>
      <c r="I11" s="120" t="n"/>
      <c r="J11" s="120" t="n"/>
      <c r="K11" s="120" t="n"/>
      <c r="L11" s="120" t="n"/>
      <c r="M11" s="120" t="n"/>
      <c r="N11" s="120" t="n"/>
      <c r="O11" s="120" t="n"/>
      <c r="P11" s="120" t="n"/>
      <c r="Q11" s="120" t="n"/>
      <c r="R11" s="120" t="n"/>
      <c r="S11" s="120" t="n"/>
      <c r="T11" s="120" t="n"/>
      <c r="U11" s="120" t="n"/>
      <c r="V11" s="120" t="n"/>
      <c r="W11" s="120" t="n"/>
      <c r="X11" s="120" t="n"/>
      <c r="Y11" s="120" t="n"/>
      <c r="Z11" s="120" t="n"/>
      <c r="AA11" s="120" t="n"/>
      <c r="AB11" s="120" t="n"/>
      <c r="AC11" s="120" t="n"/>
      <c r="AD11" s="120" t="n"/>
      <c r="AE11" s="120" t="n"/>
      <c r="AF11" s="120" t="n"/>
      <c r="AG11" s="120" t="n"/>
      <c r="AH11" s="122" t="n"/>
      <c r="AI11" s="123" t="n"/>
      <c r="AJ11" s="106" t="n"/>
      <c r="AK11" s="106" t="n"/>
      <c r="AL11" s="106" t="n"/>
      <c r="AM11" s="106" t="n"/>
      <c r="AN11" s="106" t="n"/>
      <c r="AO11" s="106" t="n"/>
      <c r="AP11" s="106" t="n"/>
    </row>
    <row r="12" ht="16.2" customHeight="1" thickBot="1">
      <c r="A12" s="116">
        <f>IF($C12="","",ROW()-4)</f>
        <v/>
      </c>
      <c r="B12" s="117" t="n">
        <v>30001573</v>
      </c>
      <c r="C12" s="118" t="inlineStr">
        <is>
          <t>JEHAD M. HAKAMI</t>
        </is>
      </c>
      <c r="D12" s="117" t="inlineStr">
        <is>
          <t>OJT</t>
        </is>
      </c>
      <c r="E12" s="120" t="n"/>
      <c r="F12" s="120" t="n"/>
      <c r="G12" s="121" t="n"/>
      <c r="H12" s="120" t="n"/>
      <c r="I12" s="120" t="n"/>
      <c r="J12" s="120" t="n"/>
      <c r="K12" s="120" t="n"/>
      <c r="L12" s="120" t="n"/>
      <c r="M12" s="120" t="n"/>
      <c r="N12" s="120" t="n"/>
      <c r="O12" s="120" t="n"/>
      <c r="P12" s="120" t="n"/>
      <c r="Q12" s="120" t="n"/>
      <c r="R12" s="120" t="n"/>
      <c r="S12" s="120" t="n"/>
      <c r="T12" s="120" t="n"/>
      <c r="U12" s="120" t="n"/>
      <c r="V12" s="120" t="n"/>
      <c r="W12" s="120" t="n"/>
      <c r="X12" s="120" t="n"/>
      <c r="Y12" s="120" t="n"/>
      <c r="Z12" s="120" t="n"/>
      <c r="AA12" s="120" t="n"/>
      <c r="AB12" s="120" t="n"/>
      <c r="AC12" s="120" t="n"/>
      <c r="AD12" s="120" t="n"/>
      <c r="AE12" s="120" t="n"/>
      <c r="AF12" s="120" t="n"/>
      <c r="AG12" s="120" t="n"/>
      <c r="AH12" s="122" t="n"/>
      <c r="AI12" s="123" t="n"/>
      <c r="AJ12" s="106" t="n"/>
      <c r="AK12" s="106" t="n"/>
      <c r="AL12" s="106" t="n"/>
      <c r="AM12" s="106" t="n"/>
      <c r="AN12" s="106" t="n"/>
      <c r="AO12" s="106" t="n"/>
      <c r="AP12" s="106" t="n"/>
    </row>
    <row r="13" ht="16.2" customHeight="1" thickBot="1">
      <c r="A13" s="116">
        <f>IF($C13="","",ROW()-4)</f>
        <v/>
      </c>
      <c r="B13" s="117" t="n">
        <v>30001366</v>
      </c>
      <c r="C13" s="118" t="inlineStr">
        <is>
          <t>ABDULAZIZ ZAKOUR</t>
        </is>
      </c>
      <c r="D13" s="117" t="inlineStr">
        <is>
          <t>OJT</t>
        </is>
      </c>
      <c r="E13" s="120" t="n"/>
      <c r="F13" s="120" t="n"/>
      <c r="G13" s="121" t="n"/>
      <c r="H13" s="120" t="n"/>
      <c r="I13" s="120" t="n"/>
      <c r="J13" s="120" t="n"/>
      <c r="K13" s="120" t="n"/>
      <c r="L13" s="120" t="n"/>
      <c r="M13" s="120" t="n"/>
      <c r="N13" s="120" t="n"/>
      <c r="O13" s="120" t="n"/>
      <c r="P13" s="120" t="n"/>
      <c r="Q13" s="120" t="n"/>
      <c r="R13" s="120" t="n"/>
      <c r="S13" s="120" t="n"/>
      <c r="T13" s="120" t="n"/>
      <c r="U13" s="120" t="n"/>
      <c r="V13" s="120" t="n"/>
      <c r="W13" s="120" t="n"/>
      <c r="X13" s="120" t="n"/>
      <c r="Y13" s="120" t="n"/>
      <c r="Z13" s="120" t="n"/>
      <c r="AA13" s="120" t="n"/>
      <c r="AB13" s="120" t="n"/>
      <c r="AC13" s="120" t="n"/>
      <c r="AD13" s="120" t="n"/>
      <c r="AE13" s="120" t="n"/>
      <c r="AF13" s="120" t="n"/>
      <c r="AG13" s="120" t="n"/>
      <c r="AH13" s="122" t="n"/>
      <c r="AI13" s="123" t="n"/>
      <c r="AJ13" s="106" t="n"/>
      <c r="AK13" s="106" t="n"/>
      <c r="AL13" s="106" t="n"/>
      <c r="AM13" s="106" t="n"/>
      <c r="AN13" s="106" t="n"/>
      <c r="AO13" s="106" t="n"/>
      <c r="AP13" s="106" t="n"/>
    </row>
    <row r="14" ht="16.2" customHeight="1" thickBot="1">
      <c r="A14" s="116">
        <f>IF($C14="","",ROW()-4)</f>
        <v/>
      </c>
      <c r="B14" s="117" t="n">
        <v>30001450</v>
      </c>
      <c r="C14" s="118" t="inlineStr">
        <is>
          <t>MUHAMMED ALSHAIKH</t>
        </is>
      </c>
      <c r="D14" s="117" t="inlineStr">
        <is>
          <t>OJT</t>
        </is>
      </c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8" t="n"/>
      <c r="U14" s="128" t="n"/>
      <c r="V14" s="128" t="n"/>
      <c r="W14" s="128" t="n"/>
      <c r="X14" s="128" t="n"/>
      <c r="Y14" s="128" t="n"/>
      <c r="Z14" s="128" t="n"/>
      <c r="AA14" s="128" t="n"/>
      <c r="AB14" s="128" t="n"/>
      <c r="AC14" s="128" t="n"/>
      <c r="AD14" s="128" t="n"/>
      <c r="AE14" s="128" t="n"/>
      <c r="AF14" s="128" t="n"/>
      <c r="AG14" s="128" t="n"/>
      <c r="AH14" s="128" t="n"/>
      <c r="AI14" s="123" t="n"/>
      <c r="AJ14" s="106" t="n"/>
      <c r="AK14" s="106" t="n"/>
      <c r="AL14" s="106" t="n"/>
      <c r="AM14" s="106" t="n"/>
      <c r="AN14" s="106" t="n"/>
      <c r="AO14" s="106" t="n"/>
      <c r="AP14" s="106" t="n"/>
    </row>
    <row r="15" ht="16.2" customHeight="1" thickBot="1">
      <c r="A15" s="116">
        <f>IF($C15="","",ROW()-4)</f>
        <v/>
      </c>
      <c r="B15" s="117" t="n">
        <v>30001602</v>
      </c>
      <c r="C15" s="118" t="inlineStr">
        <is>
          <t>AHMED M. ALYAMANI</t>
        </is>
      </c>
      <c r="D15" s="117" t="inlineStr">
        <is>
          <t>OJT</t>
        </is>
      </c>
      <c r="E15" s="120" t="n"/>
      <c r="F15" s="120" t="n"/>
      <c r="G15" s="121" t="n"/>
      <c r="H15" s="120" t="n"/>
      <c r="I15" s="120" t="n"/>
      <c r="J15" s="120" t="n"/>
      <c r="K15" s="120" t="n"/>
      <c r="L15" s="120" t="n"/>
      <c r="M15" s="120" t="n"/>
      <c r="N15" s="120" t="n"/>
      <c r="O15" s="120" t="n"/>
      <c r="P15" s="120" t="n"/>
      <c r="Q15" s="120" t="n"/>
      <c r="R15" s="120" t="n"/>
      <c r="S15" s="120" t="n"/>
      <c r="T15" s="120" t="n"/>
      <c r="U15" s="120" t="n"/>
      <c r="V15" s="120" t="n"/>
      <c r="W15" s="120" t="n"/>
      <c r="X15" s="120" t="n"/>
      <c r="Y15" s="120" t="n"/>
      <c r="Z15" s="120" t="n"/>
      <c r="AA15" s="120" t="n"/>
      <c r="AB15" s="120" t="n"/>
      <c r="AC15" s="120" t="n"/>
      <c r="AD15" s="120" t="n"/>
      <c r="AE15" s="120" t="n"/>
      <c r="AF15" s="120" t="n"/>
      <c r="AG15" s="120" t="n"/>
      <c r="AH15" s="122" t="n"/>
      <c r="AI15" s="123" t="n"/>
      <c r="AJ15" s="106" t="n"/>
      <c r="AK15" s="106" t="n"/>
      <c r="AL15" s="106" t="n"/>
      <c r="AM15" s="106" t="n"/>
      <c r="AN15" s="106" t="n"/>
      <c r="AO15" s="106" t="n"/>
      <c r="AP15" s="106" t="n"/>
    </row>
    <row r="16" ht="16.2" customHeight="1" thickBot="1">
      <c r="A16" s="116">
        <f>IF($C16="","",ROW()-4)</f>
        <v/>
      </c>
      <c r="B16" s="117" t="n">
        <v>40001135</v>
      </c>
      <c r="C16" s="118" t="inlineStr">
        <is>
          <t>SYAHLENDRA SYAMSOE</t>
        </is>
      </c>
      <c r="D16" s="129" t="inlineStr">
        <is>
          <t>FITTER</t>
        </is>
      </c>
      <c r="E16" s="120" t="n"/>
      <c r="F16" s="120" t="n"/>
      <c r="G16" s="121" t="n"/>
      <c r="H16" s="120" t="n"/>
      <c r="I16" s="120" t="n"/>
      <c r="J16" s="120" t="n"/>
      <c r="K16" s="120" t="n"/>
      <c r="L16" s="120" t="n"/>
      <c r="M16" s="120" t="n"/>
      <c r="N16" s="120" t="n"/>
      <c r="O16" s="120" t="n"/>
      <c r="P16" s="120" t="n"/>
      <c r="Q16" s="120" t="n"/>
      <c r="R16" s="120" t="n"/>
      <c r="S16" s="120" t="n"/>
      <c r="T16" s="120" t="n"/>
      <c r="U16" s="120" t="n"/>
      <c r="V16" s="120" t="n"/>
      <c r="W16" s="120" t="n"/>
      <c r="X16" s="120" t="n"/>
      <c r="Y16" s="120" t="n"/>
      <c r="Z16" s="120" t="n"/>
      <c r="AA16" s="120" t="n"/>
      <c r="AB16" s="120" t="n"/>
      <c r="AC16" s="120" t="n"/>
      <c r="AD16" s="120" t="n"/>
      <c r="AE16" s="120" t="n"/>
      <c r="AF16" s="120" t="n"/>
      <c r="AG16" s="120" t="n"/>
      <c r="AH16" s="122" t="n"/>
      <c r="AI16" s="123" t="n"/>
      <c r="AJ16" s="106" t="n"/>
      <c r="AK16" s="106" t="n"/>
      <c r="AL16" s="106" t="n"/>
      <c r="AM16" s="106" t="n"/>
      <c r="AN16" s="106" t="n"/>
      <c r="AO16" s="106" t="n"/>
      <c r="AP16" s="106" t="n"/>
    </row>
    <row r="17" ht="16.2" customHeight="1" thickBot="1">
      <c r="A17" s="116">
        <f>IF($C17="","",ROW()-4)</f>
        <v/>
      </c>
      <c r="B17" s="117" t="n">
        <v>70010082</v>
      </c>
      <c r="C17" s="118" t="inlineStr">
        <is>
          <t>MOHAMMAD KAIFI</t>
        </is>
      </c>
      <c r="D17" s="117" t="inlineStr">
        <is>
          <t>FITTER</t>
        </is>
      </c>
      <c r="E17" s="120" t="n"/>
      <c r="F17" s="120" t="n"/>
      <c r="G17" s="121" t="n"/>
      <c r="H17" s="120" t="n"/>
      <c r="I17" s="120" t="n"/>
      <c r="J17" s="120" t="n"/>
      <c r="K17" s="120" t="n"/>
      <c r="L17" s="120" t="n"/>
      <c r="M17" s="120" t="n"/>
      <c r="N17" s="120" t="n"/>
      <c r="O17" s="120" t="n"/>
      <c r="P17" s="120" t="n"/>
      <c r="Q17" s="120" t="n"/>
      <c r="R17" s="120" t="n"/>
      <c r="S17" s="120" t="n"/>
      <c r="T17" s="120" t="n"/>
      <c r="U17" s="120" t="n"/>
      <c r="V17" s="120" t="n"/>
      <c r="W17" s="120" t="n"/>
      <c r="X17" s="120" t="n"/>
      <c r="Y17" s="120" t="n"/>
      <c r="Z17" s="120" t="n"/>
      <c r="AA17" s="120" t="n"/>
      <c r="AB17" s="120" t="n"/>
      <c r="AC17" s="120" t="n"/>
      <c r="AD17" s="120" t="n"/>
      <c r="AE17" s="120" t="n"/>
      <c r="AF17" s="120" t="n"/>
      <c r="AG17" s="120" t="n"/>
      <c r="AH17" s="122" t="n"/>
      <c r="AI17" s="123" t="n"/>
      <c r="AJ17" s="106" t="n"/>
      <c r="AK17" s="106" t="n"/>
      <c r="AL17" s="106" t="n"/>
      <c r="AM17" s="106" t="n"/>
      <c r="AN17" s="106" t="n"/>
      <c r="AO17" s="106" t="n"/>
      <c r="AP17" s="106" t="n"/>
    </row>
    <row r="18" ht="16.2" customHeight="1" thickBot="1">
      <c r="A18" s="116">
        <f>IF($C18="","",ROW()-4)</f>
        <v/>
      </c>
      <c r="B18" s="117" t="n">
        <v>13009258</v>
      </c>
      <c r="C18" s="118" t="inlineStr">
        <is>
          <t>ALI ALAHMADI</t>
        </is>
      </c>
      <c r="D18" s="129" t="inlineStr">
        <is>
          <t>FITTER</t>
        </is>
      </c>
      <c r="E18" s="120" t="n"/>
      <c r="F18" s="120" t="n"/>
      <c r="G18" s="121" t="n"/>
      <c r="H18" s="120" t="n"/>
      <c r="I18" s="120" t="n"/>
      <c r="J18" s="120" t="n"/>
      <c r="K18" s="120" t="n"/>
      <c r="L18" s="120" t="n"/>
      <c r="M18" s="120" t="n"/>
      <c r="N18" s="120" t="n"/>
      <c r="O18" s="120" t="n"/>
      <c r="P18" s="120" t="n"/>
      <c r="Q18" s="120" t="n"/>
      <c r="R18" s="120" t="n"/>
      <c r="S18" s="120" t="n"/>
      <c r="T18" s="120" t="n"/>
      <c r="U18" s="120" t="n"/>
      <c r="V18" s="120" t="n"/>
      <c r="W18" s="120" t="n"/>
      <c r="X18" s="120" t="n"/>
      <c r="Y18" s="120" t="n"/>
      <c r="Z18" s="120" t="n"/>
      <c r="AA18" s="120" t="n"/>
      <c r="AB18" s="120" t="n"/>
      <c r="AC18" s="120" t="n"/>
      <c r="AD18" s="120" t="n"/>
      <c r="AE18" s="120" t="n"/>
      <c r="AF18" s="120" t="n"/>
      <c r="AG18" s="120" t="n"/>
      <c r="AH18" s="122" t="n"/>
      <c r="AI18" s="123" t="n"/>
      <c r="AJ18" s="106" t="n"/>
      <c r="AK18" s="106" t="n"/>
      <c r="AL18" s="106" t="n"/>
      <c r="AM18" s="106" t="n"/>
      <c r="AN18" s="106" t="n"/>
      <c r="AO18" s="106" t="n"/>
      <c r="AP18" s="106" t="n"/>
    </row>
    <row r="19" ht="16.2" customHeight="1" thickBot="1">
      <c r="A19" s="116">
        <f>IF($C19="","",ROW()-4)</f>
        <v/>
      </c>
      <c r="B19" s="117" t="n">
        <v>13009255</v>
      </c>
      <c r="C19" s="118" t="inlineStr">
        <is>
          <t>HOSSAM ALGHAMDI</t>
        </is>
      </c>
      <c r="D19" s="117" t="inlineStr">
        <is>
          <t>FITTER</t>
        </is>
      </c>
      <c r="E19" s="120" t="n"/>
      <c r="F19" s="120" t="n"/>
      <c r="G19" s="121" t="n"/>
      <c r="H19" s="120" t="n"/>
      <c r="I19" s="120" t="n"/>
      <c r="J19" s="120" t="n"/>
      <c r="K19" s="120" t="n"/>
      <c r="L19" s="120" t="n"/>
      <c r="M19" s="120" t="n"/>
      <c r="N19" s="120" t="n"/>
      <c r="O19" s="120" t="n"/>
      <c r="P19" s="120" t="n"/>
      <c r="Q19" s="120" t="n"/>
      <c r="R19" s="120" t="n"/>
      <c r="S19" s="120" t="n"/>
      <c r="T19" s="120" t="n"/>
      <c r="U19" s="120" t="n"/>
      <c r="V19" s="120" t="n"/>
      <c r="W19" s="120" t="n"/>
      <c r="X19" s="120" t="n"/>
      <c r="Y19" s="120" t="n"/>
      <c r="Z19" s="120" t="n"/>
      <c r="AA19" s="120" t="n"/>
      <c r="AB19" s="120" t="n"/>
      <c r="AC19" s="120" t="n"/>
      <c r="AD19" s="120" t="n"/>
      <c r="AE19" s="120" t="n"/>
      <c r="AF19" s="120" t="n"/>
      <c r="AG19" s="120" t="n"/>
      <c r="AH19" s="122" t="n"/>
      <c r="AI19" s="123" t="n"/>
      <c r="AJ19" s="106" t="n"/>
      <c r="AK19" s="106" t="n"/>
      <c r="AL19" s="106" t="n"/>
      <c r="AM19" s="106" t="n"/>
      <c r="AN19" s="106" t="n"/>
      <c r="AO19" s="106" t="n"/>
      <c r="AP19" s="106" t="n"/>
    </row>
    <row r="20" ht="16.2" customHeight="1" thickBot="1">
      <c r="A20" s="116">
        <f>IF($C20="","",ROW()-4)</f>
        <v/>
      </c>
      <c r="B20" s="117" t="n">
        <v>13009047</v>
      </c>
      <c r="C20" s="118" t="inlineStr">
        <is>
          <t>JIMRICKS AQINO</t>
        </is>
      </c>
      <c r="D20" s="117" t="inlineStr">
        <is>
          <t>FITTER</t>
        </is>
      </c>
      <c r="E20" s="130" t="n"/>
      <c r="F20" s="130" t="n"/>
      <c r="G20" s="131" t="n"/>
      <c r="H20" s="130" t="n"/>
      <c r="I20" s="130" t="n"/>
      <c r="J20" s="130" t="n"/>
      <c r="K20" s="130" t="n"/>
      <c r="L20" s="130" t="n"/>
      <c r="M20" s="130" t="n"/>
      <c r="N20" s="130" t="n"/>
      <c r="O20" s="130" t="n"/>
      <c r="P20" s="130" t="n"/>
      <c r="Q20" s="130" t="n"/>
      <c r="R20" s="130" t="n"/>
      <c r="S20" s="130" t="n"/>
      <c r="T20" s="130" t="n"/>
      <c r="U20" s="130" t="n"/>
      <c r="V20" s="130" t="n"/>
      <c r="W20" s="130" t="n"/>
      <c r="X20" s="130" t="n"/>
      <c r="Y20" s="130" t="n"/>
      <c r="Z20" s="130" t="n"/>
      <c r="AA20" s="130" t="n"/>
      <c r="AB20" s="130" t="n"/>
      <c r="AC20" s="130" t="n"/>
      <c r="AD20" s="130" t="n"/>
      <c r="AE20" s="130" t="n"/>
      <c r="AF20" s="130" t="n"/>
      <c r="AG20" s="130" t="n"/>
      <c r="AH20" s="132" t="n"/>
      <c r="AI20" s="123" t="n"/>
      <c r="AJ20" s="106" t="n"/>
      <c r="AK20" s="106" t="n"/>
      <c r="AL20" s="106" t="n"/>
      <c r="AM20" s="106" t="n"/>
      <c r="AN20" s="106" t="n"/>
      <c r="AO20" s="106" t="n"/>
      <c r="AP20" s="106" t="n"/>
    </row>
    <row r="21" ht="16.2" customHeight="1" thickBot="1">
      <c r="A21" s="133" t="n"/>
      <c r="B21" s="106" t="n"/>
      <c r="C21" s="134" t="n"/>
      <c r="D21" s="134" t="n"/>
      <c r="E21" s="135" t="n"/>
      <c r="F21" s="135" t="n"/>
      <c r="G21" s="135" t="n"/>
      <c r="H21" s="135" t="n"/>
      <c r="I21" s="135" t="n"/>
      <c r="J21" s="135" t="n"/>
      <c r="K21" s="135" t="n"/>
      <c r="L21" s="135" t="n"/>
      <c r="M21" s="135" t="n"/>
      <c r="N21" s="135" t="n"/>
      <c r="O21" s="135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06" t="n"/>
      <c r="AL21" s="106" t="n"/>
      <c r="AM21" s="106" t="n"/>
      <c r="AN21" s="106" t="n"/>
      <c r="AO21" s="106" t="n"/>
      <c r="AP21" s="106" t="n"/>
    </row>
    <row r="22" ht="15" customHeight="1" thickBot="1">
      <c r="A22" s="136" t="inlineStr">
        <is>
          <t>CREW 2</t>
        </is>
      </c>
      <c r="B22" s="137" t="n"/>
      <c r="C22" s="137" t="n"/>
      <c r="D22" s="137" t="n"/>
      <c r="E22" s="30">
        <f>IF(1&lt;=$AP$4,TEXT($AP$3+0,"ddd"),"")</f>
        <v/>
      </c>
      <c r="F22" s="30">
        <f>IF(2&lt;=$AP$4,TEXT($AP$3+1,"ddd"),"")</f>
        <v/>
      </c>
      <c r="G22" s="30">
        <f>IF(3&lt;=$AP$4,TEXT($AP$3+2,"ddd"),"")</f>
        <v/>
      </c>
      <c r="H22" s="30">
        <f>IF(4&lt;=$AP$4,TEXT($AP$3+3,"ddd"),"")</f>
        <v/>
      </c>
      <c r="I22" s="30">
        <f>IF(5&lt;=$AP$4,TEXT($AP$3+4,"ddd"),"")</f>
        <v/>
      </c>
      <c r="J22" s="30">
        <f>IF(6&lt;=$AP$4,TEXT($AP$3+5,"ddd"),"")</f>
        <v/>
      </c>
      <c r="K22" s="30">
        <f>IF(7&lt;=$AP$4,TEXT($AP$3+6,"ddd"),"")</f>
        <v/>
      </c>
      <c r="L22" s="30">
        <f>IF(8&lt;=$AP$4,TEXT($AP$3+7,"ddd"),"")</f>
        <v/>
      </c>
      <c r="M22" s="30">
        <f>IF(9&lt;=$AP$4,TEXT($AP$3+8,"ddd"),"")</f>
        <v/>
      </c>
      <c r="N22" s="30">
        <f>IF(10&lt;=$AP$4,TEXT($AP$3+9,"ddd"),"")</f>
        <v/>
      </c>
      <c r="O22" s="30">
        <f>IF(11&lt;=$AP$4,TEXT($AP$3+10,"ddd"),"")</f>
        <v/>
      </c>
      <c r="P22" s="30">
        <f>IF(12&lt;=$AP$4,TEXT($AP$3+11,"ddd"),"")</f>
        <v/>
      </c>
      <c r="Q22" s="30">
        <f>IF(13&lt;=$AP$4,TEXT($AP$3+12,"ddd"),"")</f>
        <v/>
      </c>
      <c r="R22" s="30">
        <f>IF(14&lt;=$AP$4,TEXT($AP$3+13,"ddd"),"")</f>
        <v/>
      </c>
      <c r="S22" s="30">
        <f>IF(15&lt;=$AP$4,TEXT($AP$3+14,"ddd"),"")</f>
        <v/>
      </c>
      <c r="T22" s="30">
        <f>IF(16&lt;=$AP$4,TEXT($AP$3+15,"ddd"),"")</f>
        <v/>
      </c>
      <c r="U22" s="30">
        <f>IF(17&lt;=$AP$4,TEXT($AP$3+16,"ddd"),"")</f>
        <v/>
      </c>
      <c r="V22" s="30">
        <f>IF(18&lt;=$AP$4,TEXT($AP$3+17,"ddd"),"")</f>
        <v/>
      </c>
      <c r="W22" s="30">
        <f>IF(19&lt;=$AP$4,TEXT($AP$3+18,"ddd"),"")</f>
        <v/>
      </c>
      <c r="X22" s="30">
        <f>IF(20&lt;=$AP$4,TEXT($AP$3+19,"ddd"),"")</f>
        <v/>
      </c>
      <c r="Y22" s="30">
        <f>IF(21&lt;=$AP$4,TEXT($AP$3+20,"ddd"),"")</f>
        <v/>
      </c>
      <c r="Z22" s="30">
        <f>IF(22&lt;=$AP$4,TEXT($AP$3+21,"ddd"),"")</f>
        <v/>
      </c>
      <c r="AA22" s="30">
        <f>IF(23&lt;=$AP$4,TEXT($AP$3+22,"ddd"),"")</f>
        <v/>
      </c>
      <c r="AB22" s="30">
        <f>IF(24&lt;=$AP$4,TEXT($AP$3+23,"ddd"),"")</f>
        <v/>
      </c>
      <c r="AC22" s="30">
        <f>IF(25&lt;=$AP$4,TEXT($AP$3+24,"ddd"),"")</f>
        <v/>
      </c>
      <c r="AD22" s="30">
        <f>IF(26&lt;=$AP$4,TEXT($AP$3+25,"ddd"),"")</f>
        <v/>
      </c>
      <c r="AE22" s="30">
        <f>IF(27&lt;=$AP$4,TEXT($AP$3+26,"ddd"),"")</f>
        <v/>
      </c>
      <c r="AF22" s="30">
        <f>IF(28&lt;=$AP$4,TEXT($AP$3+27,"ddd"),"")</f>
        <v/>
      </c>
      <c r="AG22" s="30">
        <f>IF(29&lt;=$AP$4,TEXT($AP$3+28,"ddd"),"")</f>
        <v/>
      </c>
      <c r="AH22" s="30">
        <f>IF(30&lt;=$AP$4,TEXT($AP$3+29,"ddd"),"")</f>
        <v/>
      </c>
      <c r="AI22" s="31">
        <f>IF(31&lt;=$AP$4,TEXT($AP$3+30,"ddd"),"")</f>
        <v/>
      </c>
      <c r="AJ22" s="106" t="n"/>
      <c r="AK22" s="106" t="n"/>
      <c r="AL22" s="106" t="n"/>
      <c r="AM22" s="106" t="n"/>
      <c r="AN22" s="106" t="n"/>
      <c r="AO22" s="106" t="n"/>
      <c r="AP22" s="106" t="n"/>
    </row>
    <row r="23" ht="16.2" customHeight="1" thickBot="1">
      <c r="A23" s="138" t="n"/>
      <c r="B23" s="139" t="n"/>
      <c r="C23" s="139" t="n"/>
      <c r="D23" s="139" t="n"/>
      <c r="E23" s="2">
        <f>IF(1&lt;=$AP$4,IF($AP$1="P",DAY($AP$3+0),1),"")</f>
        <v/>
      </c>
      <c r="F23" s="2">
        <f>IF(2&lt;=$AP$4,IF($AP$1="P",DAY($AP$3+1),2),"")</f>
        <v/>
      </c>
      <c r="G23" s="2">
        <f>IF(3&lt;=$AP$4,IF($AP$1="P",DAY($AP$3+2),3),"")</f>
        <v/>
      </c>
      <c r="H23" s="2">
        <f>IF(4&lt;=$AP$4,IF($AP$1="P",DAY($AP$3+3),4),"")</f>
        <v/>
      </c>
      <c r="I23" s="3">
        <f>IF(5&lt;=$AP$4,IF($AP$1="P",DAY($AP$3+4),5),"")</f>
        <v/>
      </c>
      <c r="J23" s="4">
        <f>IF(6&lt;=$AP$4,IF($AP$1="P",DAY($AP$3+5),6),"")</f>
        <v/>
      </c>
      <c r="K23" s="4">
        <f>IF(7&lt;=$AP$4,IF($AP$1="P",DAY($AP$3+6),7),"")</f>
        <v/>
      </c>
      <c r="L23" s="3">
        <f>IF(8&lt;=$AP$4,IF($AP$1="P",DAY($AP$3+7),8),"")</f>
        <v/>
      </c>
      <c r="M23" s="4">
        <f>IF(9&lt;=$AP$4,IF($AP$1="P",DAY($AP$3+8),9),"")</f>
        <v/>
      </c>
      <c r="N23" s="2">
        <f>IF(10&lt;=$AP$4,IF($AP$1="P",DAY($AP$3+9),10),"")</f>
        <v/>
      </c>
      <c r="O23" s="2">
        <f>IF(11&lt;=$AP$4,IF($AP$1="P",DAY($AP$3+10),11),"")</f>
        <v/>
      </c>
      <c r="P23" s="2">
        <f>IF(12&lt;=$AP$4,IF($AP$1="P",DAY($AP$3+11),12),"")</f>
        <v/>
      </c>
      <c r="Q23" s="2">
        <f>IF(13&lt;=$AP$4,IF($AP$1="P",DAY($AP$3+12),13),"")</f>
        <v/>
      </c>
      <c r="R23" s="2">
        <f>IF(14&lt;=$AP$4,IF($AP$1="P",DAY($AP$3+13),14),"")</f>
        <v/>
      </c>
      <c r="S23" s="2">
        <f>IF(15&lt;=$AP$4,IF($AP$1="P",DAY($AP$3+14),15),"")</f>
        <v/>
      </c>
      <c r="T23" s="2">
        <f>IF(16&lt;=$AP$4,IF($AP$1="P",DAY($AP$3+15),16),"")</f>
        <v/>
      </c>
      <c r="U23" s="2">
        <f>IF(17&lt;=$AP$4,IF($AP$1="P",DAY($AP$3+16),17),"")</f>
        <v/>
      </c>
      <c r="V23" s="2">
        <f>IF(18&lt;=$AP$4,IF($AP$1="P",DAY($AP$3+17),18),"")</f>
        <v/>
      </c>
      <c r="W23" s="2">
        <f>IF(19&lt;=$AP$4,IF($AP$1="P",DAY($AP$3+18),19),"")</f>
        <v/>
      </c>
      <c r="X23" s="2">
        <f>IF(20&lt;=$AP$4,IF($AP$1="P",DAY($AP$3+19),20),"")</f>
        <v/>
      </c>
      <c r="Y23" s="2">
        <f>IF(21&lt;=$AP$4,IF($AP$1="P",DAY($AP$3+20),21),"")</f>
        <v/>
      </c>
      <c r="Z23" s="2">
        <f>IF(22&lt;=$AP$4,IF($AP$1="P",DAY($AP$3+21),22),"")</f>
        <v/>
      </c>
      <c r="AA23" s="2">
        <f>IF(23&lt;=$AP$4,IF($AP$1="P",DAY($AP$3+22),23),"")</f>
        <v/>
      </c>
      <c r="AB23" s="2">
        <f>IF(24&lt;=$AP$4,IF($AP$1="P",DAY($AP$3+23),24),"")</f>
        <v/>
      </c>
      <c r="AC23" s="2">
        <f>IF(25&lt;=$AP$4,IF($AP$1="P",DAY($AP$3+24),25),"")</f>
        <v/>
      </c>
      <c r="AD23" s="2">
        <f>IF(26&lt;=$AP$4,IF($AP$1="P",DAY($AP$3+25),26),"")</f>
        <v/>
      </c>
      <c r="AE23" s="2">
        <f>IF(27&lt;=$AP$4,IF($AP$1="P",DAY($AP$3+26),27),"")</f>
        <v/>
      </c>
      <c r="AF23" s="2">
        <f>IF(28&lt;=$AP$4,IF($AP$1="P",DAY($AP$3+27),28),"")</f>
        <v/>
      </c>
      <c r="AG23" s="2">
        <f>IF(29&lt;=$AP$4,IF($AP$1="P",DAY($AP$3+28),29),"")</f>
        <v/>
      </c>
      <c r="AH23" s="2">
        <f>IF(30&lt;=$AP$4,IF($AP$1="P",DAY($AP$3+29),30),"")</f>
        <v/>
      </c>
      <c r="AI23" s="25">
        <f>IF(31&lt;=$AP$4,IF($AP$1="P",DAY($AP$3+30),31),"")</f>
        <v/>
      </c>
      <c r="AJ23" s="106" t="n"/>
      <c r="AK23" s="106" t="n"/>
      <c r="AL23" s="106" t="n"/>
      <c r="AM23" s="106" t="n"/>
      <c r="AN23" s="106" t="n"/>
      <c r="AO23" s="106" t="n"/>
      <c r="AP23" s="106" t="n"/>
    </row>
    <row r="24" ht="16.2" customHeight="1" thickBot="1">
      <c r="A24" s="116">
        <f>IF($C24="","",ROW()-23)</f>
        <v/>
      </c>
      <c r="B24" s="117" t="n">
        <v>13006567</v>
      </c>
      <c r="C24" s="118" t="inlineStr">
        <is>
          <t>AHMED AL-GHAMDI</t>
        </is>
      </c>
      <c r="D24" s="117" t="inlineStr">
        <is>
          <t>ACT/SUPV</t>
        </is>
      </c>
      <c r="E24" s="120" t="n"/>
      <c r="F24" s="120" t="n"/>
      <c r="G24" s="120" t="n"/>
      <c r="H24" s="120" t="n"/>
      <c r="I24" s="120" t="n"/>
      <c r="J24" s="120" t="n"/>
      <c r="K24" s="120" t="n"/>
      <c r="L24" s="120" t="n"/>
      <c r="M24" s="120" t="n"/>
      <c r="N24" s="120" t="n"/>
      <c r="O24" s="120" t="n"/>
      <c r="P24" s="120" t="n"/>
      <c r="Q24" s="120" t="n"/>
      <c r="R24" s="120" t="n"/>
      <c r="S24" s="120" t="n"/>
      <c r="T24" s="120" t="n"/>
      <c r="U24" s="120" t="n"/>
      <c r="V24" s="120" t="n"/>
      <c r="W24" s="120" t="n"/>
      <c r="X24" s="120" t="n"/>
      <c r="Y24" s="120" t="n"/>
      <c r="Z24" s="120" t="n"/>
      <c r="AA24" s="120" t="n"/>
      <c r="AB24" s="120" t="n"/>
      <c r="AC24" s="120" t="n"/>
      <c r="AD24" s="120" t="n"/>
      <c r="AE24" s="120" t="n"/>
      <c r="AF24" s="120" t="n"/>
      <c r="AG24" s="120" t="n"/>
      <c r="AH24" s="120" t="n"/>
      <c r="AI24" s="122" t="n"/>
      <c r="AJ24" s="106" t="n"/>
      <c r="AK24" s="106" t="n"/>
      <c r="AL24" s="106" t="n"/>
      <c r="AM24" s="106" t="n"/>
      <c r="AN24" s="106" t="n"/>
      <c r="AO24" s="106" t="n"/>
      <c r="AP24" s="106" t="n"/>
    </row>
    <row r="25" ht="16.2" customHeight="1" thickBot="1">
      <c r="A25" s="116">
        <f>IF($C25="","",ROW()-23)</f>
        <v/>
      </c>
      <c r="B25" s="117" t="n">
        <v>13010253</v>
      </c>
      <c r="C25" s="118" t="inlineStr">
        <is>
          <t>AHMED S. ALGHAMDI</t>
        </is>
      </c>
      <c r="D25" s="117" t="inlineStr">
        <is>
          <t>ACT/SUPV</t>
        </is>
      </c>
      <c r="E25" s="120" t="n"/>
      <c r="F25" s="120" t="n"/>
      <c r="G25" s="120" t="n"/>
      <c r="H25" s="120" t="n"/>
      <c r="I25" s="120" t="n"/>
      <c r="J25" s="120" t="n"/>
      <c r="K25" s="120" t="n"/>
      <c r="L25" s="120" t="n"/>
      <c r="M25" s="120" t="n"/>
      <c r="N25" s="120" t="n"/>
      <c r="O25" s="120" t="n"/>
      <c r="P25" s="120" t="n"/>
      <c r="Q25" s="120" t="n"/>
      <c r="R25" s="120" t="n"/>
      <c r="S25" s="120" t="n"/>
      <c r="T25" s="120" t="n"/>
      <c r="U25" s="120" t="n"/>
      <c r="V25" s="120" t="n"/>
      <c r="W25" s="120" t="n"/>
      <c r="X25" s="120" t="n"/>
      <c r="Y25" s="120" t="n"/>
      <c r="Z25" s="120" t="n"/>
      <c r="AA25" s="120" t="n"/>
      <c r="AB25" s="120" t="n"/>
      <c r="AC25" s="120" t="n"/>
      <c r="AD25" s="120" t="n"/>
      <c r="AE25" s="120" t="n"/>
      <c r="AF25" s="120" t="n"/>
      <c r="AG25" s="120" t="n"/>
      <c r="AH25" s="120" t="n"/>
      <c r="AI25" s="122" t="n"/>
      <c r="AJ25" s="106" t="n"/>
      <c r="AK25" s="106" t="n"/>
      <c r="AL25" s="106" t="n"/>
      <c r="AM25" s="106" t="n"/>
      <c r="AN25" s="106" t="n"/>
      <c r="AO25" s="106" t="n"/>
      <c r="AP25" s="106" t="n"/>
    </row>
    <row r="26" ht="16.2" customHeight="1" thickBot="1">
      <c r="A26" s="116">
        <f>IF($C26="","",ROW()-23)</f>
        <v/>
      </c>
      <c r="B26" s="117" t="n">
        <v>13007276</v>
      </c>
      <c r="C26" s="118" t="inlineStr">
        <is>
          <t>MOHAMMED BAROOM</t>
        </is>
      </c>
      <c r="D26" s="119" t="inlineStr">
        <is>
          <t>TECH</t>
        </is>
      </c>
      <c r="E26" s="120" t="n"/>
      <c r="F26" s="120" t="n"/>
      <c r="G26" s="120" t="n"/>
      <c r="H26" s="120" t="n"/>
      <c r="I26" s="120" t="n"/>
      <c r="J26" s="120" t="n"/>
      <c r="K26" s="120" t="n"/>
      <c r="L26" s="120" t="n"/>
      <c r="M26" s="120" t="n"/>
      <c r="N26" s="120" t="n"/>
      <c r="O26" s="120" t="n"/>
      <c r="P26" s="120" t="n"/>
      <c r="Q26" s="120" t="n"/>
      <c r="R26" s="120" t="n"/>
      <c r="S26" s="120" t="n"/>
      <c r="T26" s="120" t="n"/>
      <c r="U26" s="120" t="n"/>
      <c r="V26" s="120" t="n"/>
      <c r="W26" s="120" t="n"/>
      <c r="X26" s="120" t="n"/>
      <c r="Y26" s="120" t="n"/>
      <c r="Z26" s="120" t="n"/>
      <c r="AA26" s="120" t="n"/>
      <c r="AB26" s="120" t="n"/>
      <c r="AC26" s="120" t="n"/>
      <c r="AD26" s="120" t="n"/>
      <c r="AE26" s="120" t="n"/>
      <c r="AF26" s="120" t="n"/>
      <c r="AG26" s="120" t="n"/>
      <c r="AH26" s="120" t="n"/>
      <c r="AI26" s="122" t="n"/>
      <c r="AJ26" s="106" t="n"/>
      <c r="AK26" s="106" t="n"/>
      <c r="AL26" s="106" t="n"/>
      <c r="AM26" s="106" t="n"/>
      <c r="AN26" s="106" t="n"/>
      <c r="AO26" s="106" t="n"/>
      <c r="AP26" s="106" t="n"/>
    </row>
    <row r="27" ht="16.2" customHeight="1" thickBot="1">
      <c r="A27" s="116">
        <f>IF($C27="","",ROW()-23)</f>
        <v/>
      </c>
      <c r="B27" s="117" t="n">
        <v>13010286</v>
      </c>
      <c r="C27" s="118" t="inlineStr">
        <is>
          <t>ABDULAZIZ F. ALBOUQ</t>
        </is>
      </c>
      <c r="D27" s="119" t="inlineStr">
        <is>
          <t>TECH</t>
        </is>
      </c>
      <c r="E27" s="120" t="n"/>
      <c r="F27" s="120" t="n"/>
      <c r="G27" s="120" t="n"/>
      <c r="H27" s="120" t="n"/>
      <c r="I27" s="120" t="n"/>
      <c r="J27" s="120" t="n"/>
      <c r="K27" s="120" t="n"/>
      <c r="L27" s="120" t="n"/>
      <c r="M27" s="120" t="n"/>
      <c r="N27" s="120" t="n"/>
      <c r="O27" s="120" t="n"/>
      <c r="P27" s="120" t="n"/>
      <c r="Q27" s="120" t="n"/>
      <c r="R27" s="120" t="n"/>
      <c r="S27" s="120" t="n"/>
      <c r="T27" s="120" t="n"/>
      <c r="U27" s="120" t="n"/>
      <c r="V27" s="120" t="n"/>
      <c r="W27" s="120" t="n"/>
      <c r="X27" s="120" t="n"/>
      <c r="Y27" s="120" t="n"/>
      <c r="Z27" s="120" t="n"/>
      <c r="AA27" s="120" t="n"/>
      <c r="AB27" s="120" t="n"/>
      <c r="AC27" s="120" t="n"/>
      <c r="AD27" s="120" t="n"/>
      <c r="AE27" s="120" t="n"/>
      <c r="AF27" s="120" t="n"/>
      <c r="AG27" s="120" t="n"/>
      <c r="AH27" s="120" t="n"/>
      <c r="AI27" s="122" t="n"/>
      <c r="AJ27" s="106" t="n"/>
      <c r="AK27" s="106" t="n"/>
      <c r="AL27" s="106" t="n"/>
      <c r="AM27" s="106" t="n"/>
      <c r="AN27" s="106" t="n"/>
      <c r="AO27" s="106" t="n"/>
      <c r="AP27" s="106" t="n"/>
    </row>
    <row r="28" ht="16.2" customHeight="1" thickBot="1">
      <c r="A28" s="116">
        <f>IF($C28="","",ROW()-23)</f>
        <v/>
      </c>
      <c r="B28" s="117" t="n">
        <v>30004221</v>
      </c>
      <c r="C28" s="118" t="inlineStr">
        <is>
          <t>YOUSEF BARIFAH</t>
        </is>
      </c>
      <c r="D28" s="119" t="inlineStr">
        <is>
          <t>TECH</t>
        </is>
      </c>
      <c r="E28" s="120" t="n"/>
      <c r="F28" s="120" t="n"/>
      <c r="G28" s="120" t="n"/>
      <c r="H28" s="120" t="n"/>
      <c r="I28" s="120" t="n"/>
      <c r="J28" s="120" t="n"/>
      <c r="K28" s="120" t="n"/>
      <c r="L28" s="120" t="n"/>
      <c r="M28" s="120" t="n"/>
      <c r="N28" s="120" t="n"/>
      <c r="O28" s="120" t="n"/>
      <c r="P28" s="120" t="n"/>
      <c r="Q28" s="120" t="n"/>
      <c r="R28" s="120" t="n"/>
      <c r="S28" s="120" t="n"/>
      <c r="T28" s="120" t="n"/>
      <c r="U28" s="120" t="n"/>
      <c r="V28" s="120" t="n"/>
      <c r="W28" s="120" t="n"/>
      <c r="X28" s="120" t="n"/>
      <c r="Y28" s="120" t="n"/>
      <c r="Z28" s="120" t="n"/>
      <c r="AA28" s="120" t="n"/>
      <c r="AB28" s="120" t="n"/>
      <c r="AC28" s="120" t="n"/>
      <c r="AD28" s="120" t="n"/>
      <c r="AE28" s="120" t="n"/>
      <c r="AF28" s="120" t="n"/>
      <c r="AG28" s="120" t="n"/>
      <c r="AH28" s="120" t="n"/>
      <c r="AI28" s="122" t="n"/>
      <c r="AJ28" s="106" t="n"/>
      <c r="AK28" s="106" t="n"/>
      <c r="AL28" s="106" t="n"/>
      <c r="AM28" s="106" t="n"/>
      <c r="AN28" s="106" t="n"/>
      <c r="AO28" s="106" t="n"/>
      <c r="AP28" s="106" t="n"/>
    </row>
    <row r="29" ht="16.2" customHeight="1" thickBot="1">
      <c r="A29" s="116">
        <f>IF($C29="","",ROW()-23)</f>
        <v/>
      </c>
      <c r="B29" s="117" t="n">
        <v>30001345</v>
      </c>
      <c r="C29" s="118" t="inlineStr">
        <is>
          <t>AHMED ALSHARIF</t>
        </is>
      </c>
      <c r="D29" s="117" t="inlineStr">
        <is>
          <t>OJT</t>
        </is>
      </c>
      <c r="E29" s="120" t="n"/>
      <c r="F29" s="120" t="n"/>
      <c r="G29" s="120" t="n"/>
      <c r="H29" s="120" t="n"/>
      <c r="I29" s="120" t="n"/>
      <c r="J29" s="120" t="n"/>
      <c r="K29" s="120" t="n"/>
      <c r="L29" s="120" t="n"/>
      <c r="M29" s="120" t="n"/>
      <c r="N29" s="120" t="n"/>
      <c r="O29" s="120" t="n"/>
      <c r="P29" s="120" t="n"/>
      <c r="Q29" s="120" t="n"/>
      <c r="R29" s="120" t="n"/>
      <c r="S29" s="120" t="n"/>
      <c r="T29" s="120" t="n"/>
      <c r="U29" s="120" t="n"/>
      <c r="V29" s="120" t="n"/>
      <c r="W29" s="120" t="n"/>
      <c r="X29" s="120" t="n"/>
      <c r="Y29" s="120" t="n"/>
      <c r="Z29" s="120" t="n"/>
      <c r="AA29" s="120" t="n"/>
      <c r="AB29" s="120" t="n"/>
      <c r="AC29" s="120" t="n"/>
      <c r="AD29" s="120" t="n"/>
      <c r="AE29" s="120" t="n"/>
      <c r="AF29" s="120" t="n"/>
      <c r="AG29" s="120" t="n"/>
      <c r="AH29" s="120" t="n"/>
      <c r="AI29" s="122" t="n"/>
      <c r="AJ29" s="106" t="n"/>
      <c r="AK29" s="106" t="n"/>
      <c r="AL29" s="106" t="n"/>
      <c r="AM29" s="106" t="n"/>
      <c r="AN29" s="106" t="n"/>
      <c r="AO29" s="106" t="n"/>
      <c r="AP29" s="106" t="n"/>
    </row>
    <row r="30" ht="16.2" customHeight="1" thickBot="1">
      <c r="A30" s="116">
        <f>IF($C30="","",ROW()-23)</f>
        <v/>
      </c>
      <c r="B30" s="117" t="n">
        <v>30001351</v>
      </c>
      <c r="C30" s="118" t="inlineStr">
        <is>
          <t>KHALID ALSHUBRAMI</t>
        </is>
      </c>
      <c r="D30" s="117" t="inlineStr">
        <is>
          <t>OJT</t>
        </is>
      </c>
      <c r="E30" s="120" t="n"/>
      <c r="F30" s="120" t="n"/>
      <c r="G30" s="120" t="n"/>
      <c r="H30" s="120" t="n"/>
      <c r="I30" s="120" t="n"/>
      <c r="J30" s="120" t="n"/>
      <c r="K30" s="120" t="n"/>
      <c r="L30" s="120" t="n"/>
      <c r="M30" s="120" t="n"/>
      <c r="N30" s="120" t="n"/>
      <c r="O30" s="120" t="n"/>
      <c r="P30" s="120" t="n"/>
      <c r="Q30" s="120" t="n"/>
      <c r="R30" s="120" t="n"/>
      <c r="S30" s="120" t="n"/>
      <c r="T30" s="120" t="n"/>
      <c r="U30" s="120" t="n"/>
      <c r="V30" s="120" t="n"/>
      <c r="W30" s="120" t="n"/>
      <c r="X30" s="120" t="n"/>
      <c r="Y30" s="120" t="n"/>
      <c r="Z30" s="120" t="n"/>
      <c r="AA30" s="120" t="n"/>
      <c r="AB30" s="120" t="n"/>
      <c r="AC30" s="120" t="n"/>
      <c r="AD30" s="120" t="n"/>
      <c r="AE30" s="120" t="n"/>
      <c r="AF30" s="120" t="n"/>
      <c r="AG30" s="120" t="n"/>
      <c r="AH30" s="120" t="n"/>
      <c r="AI30" s="122" t="n"/>
      <c r="AJ30" s="106" t="n"/>
      <c r="AK30" s="106" t="n"/>
      <c r="AL30" s="106" t="n"/>
      <c r="AM30" s="106" t="n"/>
      <c r="AN30" s="106" t="n"/>
      <c r="AO30" s="106" t="n"/>
      <c r="AP30" s="106" t="n"/>
    </row>
    <row r="31" ht="16.2" customHeight="1" thickBot="1">
      <c r="A31" s="116">
        <f>IF($C31="","",ROW()-23)</f>
        <v/>
      </c>
      <c r="B31" s="117" t="n">
        <v>30001451</v>
      </c>
      <c r="C31" s="118" t="inlineStr">
        <is>
          <t>MUHAMMED ALHARBI</t>
        </is>
      </c>
      <c r="D31" s="117" t="inlineStr">
        <is>
          <t>OJT</t>
        </is>
      </c>
      <c r="E31" s="120" t="n"/>
      <c r="F31" s="120" t="n"/>
      <c r="G31" s="120" t="n"/>
      <c r="H31" s="120" t="n"/>
      <c r="I31" s="120" t="n"/>
      <c r="J31" s="120" t="n"/>
      <c r="K31" s="120" t="n"/>
      <c r="L31" s="120" t="n"/>
      <c r="M31" s="120" t="n"/>
      <c r="N31" s="120" t="n"/>
      <c r="O31" s="120" t="n"/>
      <c r="P31" s="120" t="n"/>
      <c r="Q31" s="120" t="n"/>
      <c r="R31" s="120" t="n"/>
      <c r="S31" s="120" t="n"/>
      <c r="T31" s="120" t="n"/>
      <c r="U31" s="120" t="n"/>
      <c r="V31" s="120" t="n"/>
      <c r="W31" s="120" t="n"/>
      <c r="X31" s="120" t="n"/>
      <c r="Y31" s="120" t="n"/>
      <c r="Z31" s="120" t="n"/>
      <c r="AA31" s="120" t="n"/>
      <c r="AB31" s="120" t="n"/>
      <c r="AC31" s="120" t="n"/>
      <c r="AD31" s="120" t="n"/>
      <c r="AE31" s="120" t="n"/>
      <c r="AF31" s="120" t="n"/>
      <c r="AG31" s="120" t="n"/>
      <c r="AH31" s="120" t="n"/>
      <c r="AI31" s="122" t="n"/>
      <c r="AJ31" s="106" t="n"/>
      <c r="AK31" s="106" t="n"/>
      <c r="AL31" s="106" t="n"/>
      <c r="AM31" s="106" t="n"/>
      <c r="AN31" s="106" t="n"/>
      <c r="AO31" s="106" t="n"/>
      <c r="AP31" s="106" t="n"/>
    </row>
    <row r="32" ht="16.2" customHeight="1" thickBot="1">
      <c r="A32" s="116">
        <f>IF($C32="","",ROW()-23)</f>
        <v/>
      </c>
      <c r="B32" s="117" t="n">
        <v>30001452</v>
      </c>
      <c r="C32" s="118" t="inlineStr">
        <is>
          <t>SAAD ALDOSARI</t>
        </is>
      </c>
      <c r="D32" s="117" t="inlineStr">
        <is>
          <t>OJT</t>
        </is>
      </c>
      <c r="E32" s="120" t="n"/>
      <c r="F32" s="120" t="n"/>
      <c r="G32" s="120" t="n"/>
      <c r="H32" s="120" t="n"/>
      <c r="I32" s="120" t="n"/>
      <c r="J32" s="120" t="n"/>
      <c r="K32" s="120" t="n"/>
      <c r="L32" s="120" t="n"/>
      <c r="M32" s="120" t="n"/>
      <c r="N32" s="120" t="n"/>
      <c r="O32" s="120" t="n"/>
      <c r="P32" s="120" t="n"/>
      <c r="Q32" s="120" t="n"/>
      <c r="R32" s="120" t="n"/>
      <c r="S32" s="120" t="n"/>
      <c r="T32" s="120" t="n"/>
      <c r="U32" s="120" t="n"/>
      <c r="V32" s="120" t="n"/>
      <c r="W32" s="120" t="n"/>
      <c r="X32" s="120" t="n"/>
      <c r="Y32" s="120" t="n"/>
      <c r="Z32" s="120" t="n"/>
      <c r="AA32" s="120" t="n"/>
      <c r="AB32" s="120" t="n"/>
      <c r="AC32" s="120" t="n"/>
      <c r="AD32" s="120" t="n"/>
      <c r="AE32" s="120" t="n"/>
      <c r="AF32" s="120" t="n"/>
      <c r="AG32" s="120" t="n"/>
      <c r="AH32" s="120" t="n"/>
      <c r="AI32" s="122" t="n"/>
      <c r="AJ32" s="106" t="n"/>
      <c r="AK32" s="106" t="n"/>
      <c r="AL32" s="106" t="n"/>
      <c r="AM32" s="106" t="n"/>
      <c r="AN32" s="106" t="n"/>
      <c r="AO32" s="106" t="n"/>
      <c r="AP32" s="106" t="n"/>
    </row>
    <row r="33" ht="16.2" customHeight="1" thickBot="1">
      <c r="A33" s="116">
        <f>IF($C33="","",ROW()-23)</f>
        <v/>
      </c>
      <c r="B33" s="117" t="n">
        <v>30001461</v>
      </c>
      <c r="C33" s="118" t="inlineStr">
        <is>
          <t>HUSSAM ALTHUBAITI</t>
        </is>
      </c>
      <c r="D33" s="117" t="inlineStr">
        <is>
          <t>OJT</t>
        </is>
      </c>
      <c r="E33" s="120" t="n"/>
      <c r="F33" s="120" t="n"/>
      <c r="G33" s="120" t="n"/>
      <c r="H33" s="120" t="n"/>
      <c r="I33" s="120" t="n"/>
      <c r="J33" s="120" t="n"/>
      <c r="K33" s="120" t="n"/>
      <c r="L33" s="120" t="n"/>
      <c r="M33" s="120" t="n"/>
      <c r="N33" s="120" t="n"/>
      <c r="O33" s="120" t="n"/>
      <c r="P33" s="120" t="n"/>
      <c r="Q33" s="120" t="n"/>
      <c r="R33" s="120" t="n"/>
      <c r="S33" s="120" t="n"/>
      <c r="T33" s="120" t="n"/>
      <c r="U33" s="120" t="n"/>
      <c r="V33" s="120" t="n"/>
      <c r="W33" s="120" t="n"/>
      <c r="X33" s="120" t="n"/>
      <c r="Y33" s="120" t="n"/>
      <c r="Z33" s="120" t="n"/>
      <c r="AA33" s="120" t="n"/>
      <c r="AB33" s="120" t="n"/>
      <c r="AC33" s="120" t="n"/>
      <c r="AD33" s="120" t="n"/>
      <c r="AE33" s="120" t="n"/>
      <c r="AF33" s="120" t="n"/>
      <c r="AG33" s="120" t="n"/>
      <c r="AH33" s="120" t="n"/>
      <c r="AI33" s="122" t="n"/>
      <c r="AJ33" s="106" t="n"/>
      <c r="AK33" s="106" t="n"/>
      <c r="AL33" s="106" t="n"/>
      <c r="AM33" s="106" t="n"/>
      <c r="AN33" s="106" t="n"/>
      <c r="AO33" s="106" t="n"/>
      <c r="AP33" s="106" t="n"/>
    </row>
    <row r="34" ht="16.2" customHeight="1" thickBot="1">
      <c r="A34" s="116">
        <f>IF($C34="","",ROW()-23)</f>
        <v/>
      </c>
      <c r="B34" s="117" t="n">
        <v>30001575</v>
      </c>
      <c r="C34" s="118" t="inlineStr">
        <is>
          <t>FADUL A. FADUL</t>
        </is>
      </c>
      <c r="D34" s="117" t="inlineStr">
        <is>
          <t>OJT</t>
        </is>
      </c>
      <c r="E34" s="120" t="n"/>
      <c r="F34" s="120" t="n"/>
      <c r="G34" s="120" t="n"/>
      <c r="H34" s="120" t="n"/>
      <c r="I34" s="120" t="n"/>
      <c r="J34" s="120" t="n"/>
      <c r="K34" s="120" t="n"/>
      <c r="L34" s="120" t="n"/>
      <c r="M34" s="120" t="n"/>
      <c r="N34" s="120" t="n"/>
      <c r="O34" s="120" t="n"/>
      <c r="P34" s="120" t="n"/>
      <c r="Q34" s="120" t="n"/>
      <c r="R34" s="120" t="n"/>
      <c r="S34" s="120" t="n"/>
      <c r="T34" s="120" t="n"/>
      <c r="U34" s="120" t="n"/>
      <c r="V34" s="120" t="n"/>
      <c r="W34" s="120" t="n"/>
      <c r="X34" s="120" t="n"/>
      <c r="Y34" s="120" t="n"/>
      <c r="Z34" s="120" t="n"/>
      <c r="AA34" s="120" t="n"/>
      <c r="AB34" s="120" t="n"/>
      <c r="AC34" s="120" t="n"/>
      <c r="AD34" s="120" t="n"/>
      <c r="AE34" s="120" t="n"/>
      <c r="AF34" s="120" t="n"/>
      <c r="AG34" s="120" t="n"/>
      <c r="AH34" s="120" t="n"/>
      <c r="AI34" s="122" t="n"/>
      <c r="AJ34" s="106" t="n"/>
      <c r="AK34" s="106" t="n"/>
      <c r="AL34" s="106" t="n"/>
      <c r="AM34" s="106" t="n"/>
      <c r="AN34" s="106" t="n"/>
      <c r="AO34" s="106" t="n"/>
      <c r="AP34" s="106" t="n"/>
    </row>
    <row r="35" ht="16.2" customHeight="1" thickBot="1">
      <c r="A35" s="116">
        <f>IF($C35="","",ROW()-23)</f>
        <v/>
      </c>
      <c r="B35" s="117" t="n">
        <v>30001577</v>
      </c>
      <c r="C35" s="118" t="inlineStr">
        <is>
          <t>FOUAD A. MOJALLY</t>
        </is>
      </c>
      <c r="D35" s="117" t="inlineStr">
        <is>
          <t>OJT</t>
        </is>
      </c>
      <c r="E35" s="120" t="n"/>
      <c r="F35" s="120" t="n"/>
      <c r="G35" s="120" t="n"/>
      <c r="H35" s="120" t="n"/>
      <c r="I35" s="120" t="n"/>
      <c r="J35" s="120" t="n"/>
      <c r="K35" s="120" t="n"/>
      <c r="L35" s="120" t="n"/>
      <c r="M35" s="120" t="n"/>
      <c r="N35" s="120" t="n"/>
      <c r="O35" s="120" t="n"/>
      <c r="P35" s="120" t="n"/>
      <c r="Q35" s="120" t="n"/>
      <c r="R35" s="120" t="n"/>
      <c r="S35" s="120" t="n"/>
      <c r="T35" s="120" t="n"/>
      <c r="U35" s="120" t="n"/>
      <c r="V35" s="120" t="n"/>
      <c r="W35" s="120" t="n"/>
      <c r="X35" s="120" t="n"/>
      <c r="Y35" s="120" t="n"/>
      <c r="Z35" s="120" t="n"/>
      <c r="AA35" s="120" t="n"/>
      <c r="AB35" s="120" t="n"/>
      <c r="AC35" s="120" t="n"/>
      <c r="AD35" s="120" t="n"/>
      <c r="AE35" s="120" t="n"/>
      <c r="AF35" s="120" t="n"/>
      <c r="AG35" s="120" t="n"/>
      <c r="AH35" s="120" t="n"/>
      <c r="AI35" s="122" t="n"/>
      <c r="AJ35" s="106" t="n"/>
      <c r="AK35" s="106" t="n"/>
      <c r="AL35" s="106" t="n"/>
      <c r="AM35" s="106" t="n"/>
      <c r="AN35" s="106" t="n"/>
      <c r="AO35" s="106" t="n"/>
      <c r="AP35" s="106" t="n"/>
    </row>
    <row r="36" ht="16.2" customHeight="1" thickBot="1">
      <c r="A36" s="116">
        <f>IF($C36="","",ROW()-23)</f>
        <v/>
      </c>
      <c r="B36" s="117" t="n">
        <v>30001774</v>
      </c>
      <c r="C36" s="118" t="inlineStr">
        <is>
          <t>SAAD A. ALQAHTANI</t>
        </is>
      </c>
      <c r="D36" s="117" t="inlineStr">
        <is>
          <t>OJT</t>
        </is>
      </c>
      <c r="E36" s="120" t="n"/>
      <c r="F36" s="120" t="n"/>
      <c r="G36" s="120" t="n"/>
      <c r="H36" s="120" t="n"/>
      <c r="I36" s="120" t="n"/>
      <c r="J36" s="120" t="n"/>
      <c r="K36" s="120" t="n"/>
      <c r="L36" s="120" t="n"/>
      <c r="M36" s="120" t="n"/>
      <c r="N36" s="120" t="n"/>
      <c r="O36" s="120" t="n"/>
      <c r="P36" s="120" t="n"/>
      <c r="Q36" s="120" t="n"/>
      <c r="R36" s="120" t="n"/>
      <c r="S36" s="120" t="n"/>
      <c r="T36" s="120" t="n"/>
      <c r="U36" s="120" t="n"/>
      <c r="V36" s="120" t="n"/>
      <c r="W36" s="120" t="n"/>
      <c r="X36" s="120" t="n"/>
      <c r="Y36" s="120" t="n"/>
      <c r="Z36" s="120" t="n"/>
      <c r="AA36" s="120" t="n"/>
      <c r="AB36" s="120" t="n"/>
      <c r="AC36" s="120" t="n"/>
      <c r="AD36" s="120" t="n"/>
      <c r="AE36" s="120" t="n"/>
      <c r="AF36" s="120" t="n"/>
      <c r="AG36" s="120" t="n"/>
      <c r="AH36" s="120" t="n"/>
      <c r="AI36" s="122" t="n"/>
      <c r="AJ36" s="106" t="n"/>
      <c r="AK36" s="106" t="n"/>
      <c r="AL36" s="106" t="n"/>
      <c r="AM36" s="106" t="n"/>
      <c r="AN36" s="106" t="n"/>
      <c r="AO36" s="106" t="n"/>
      <c r="AP36" s="106" t="n"/>
    </row>
    <row r="37" ht="16.2" customHeight="1" thickBot="1">
      <c r="A37" s="116">
        <f>IF($C37="","",ROW()-23)</f>
        <v/>
      </c>
      <c r="B37" s="117" t="n">
        <v>40000188</v>
      </c>
      <c r="C37" s="118" t="inlineStr">
        <is>
          <t>RAKAN AGILY</t>
        </is>
      </c>
      <c r="D37" s="117" t="inlineStr">
        <is>
          <t>FITTER</t>
        </is>
      </c>
      <c r="E37" s="120" t="n"/>
      <c r="F37" s="120" t="n"/>
      <c r="G37" s="120" t="n"/>
      <c r="H37" s="120" t="n"/>
      <c r="I37" s="120" t="n"/>
      <c r="J37" s="120" t="n"/>
      <c r="K37" s="120" t="n"/>
      <c r="L37" s="120" t="n"/>
      <c r="M37" s="120" t="n"/>
      <c r="N37" s="120" t="n"/>
      <c r="O37" s="120" t="n"/>
      <c r="P37" s="120" t="n"/>
      <c r="Q37" s="120" t="n"/>
      <c r="R37" s="120" t="n"/>
      <c r="S37" s="120" t="n"/>
      <c r="T37" s="120" t="n"/>
      <c r="U37" s="120" t="n"/>
      <c r="V37" s="120" t="n"/>
      <c r="W37" s="120" t="n"/>
      <c r="X37" s="120" t="n"/>
      <c r="Y37" s="120" t="n"/>
      <c r="Z37" s="120" t="n"/>
      <c r="AA37" s="120" t="n"/>
      <c r="AB37" s="120" t="n"/>
      <c r="AC37" s="120" t="n"/>
      <c r="AD37" s="120" t="n"/>
      <c r="AE37" s="120" t="n"/>
      <c r="AF37" s="120" t="n"/>
      <c r="AG37" s="120" t="n"/>
      <c r="AH37" s="120" t="n"/>
      <c r="AI37" s="122" t="n"/>
      <c r="AJ37" s="106" t="n"/>
      <c r="AK37" s="106" t="n"/>
      <c r="AL37" s="106" t="n"/>
      <c r="AM37" s="106" t="n"/>
      <c r="AN37" s="106" t="n"/>
      <c r="AO37" s="106" t="n"/>
      <c r="AP37" s="106" t="n"/>
    </row>
    <row r="38" ht="16.2" customHeight="1" thickBot="1">
      <c r="A38" s="116">
        <f>IF($C38="","",ROW()-23)</f>
        <v/>
      </c>
      <c r="B38" s="117" t="n">
        <v>13009042</v>
      </c>
      <c r="C38" s="118" t="inlineStr">
        <is>
          <t>OLANDRES JR BEINVENIDO</t>
        </is>
      </c>
      <c r="D38" s="117" t="inlineStr">
        <is>
          <t>FITTER</t>
        </is>
      </c>
      <c r="E38" s="120" t="n"/>
      <c r="F38" s="120" t="n"/>
      <c r="G38" s="120" t="n"/>
      <c r="H38" s="120" t="n"/>
      <c r="I38" s="120" t="n"/>
      <c r="J38" s="120" t="n"/>
      <c r="K38" s="120" t="n"/>
      <c r="L38" s="120" t="n"/>
      <c r="M38" s="120" t="n"/>
      <c r="N38" s="120" t="n"/>
      <c r="O38" s="120" t="n"/>
      <c r="P38" s="120" t="n"/>
      <c r="Q38" s="120" t="n"/>
      <c r="R38" s="120" t="n"/>
      <c r="S38" s="120" t="n"/>
      <c r="T38" s="120" t="n"/>
      <c r="U38" s="120" t="n"/>
      <c r="V38" s="120" t="n"/>
      <c r="W38" s="120" t="n"/>
      <c r="X38" s="120" t="n"/>
      <c r="Y38" s="120" t="n"/>
      <c r="Z38" s="120" t="n"/>
      <c r="AA38" s="120" t="n"/>
      <c r="AB38" s="120" t="n"/>
      <c r="AC38" s="120" t="n"/>
      <c r="AD38" s="120" t="n"/>
      <c r="AE38" s="120" t="n"/>
      <c r="AF38" s="120" t="n"/>
      <c r="AG38" s="120" t="n"/>
      <c r="AH38" s="120" t="n"/>
      <c r="AI38" s="122" t="n"/>
      <c r="AJ38" s="106" t="n"/>
      <c r="AK38" s="106" t="n"/>
      <c r="AL38" s="106" t="n"/>
      <c r="AM38" s="106" t="n"/>
      <c r="AN38" s="106" t="n"/>
      <c r="AO38" s="106" t="n"/>
      <c r="AP38" s="106" t="n"/>
    </row>
    <row r="39" ht="16.2" customHeight="1" thickBot="1">
      <c r="A39" s="116">
        <f>IF($C39="","",ROW()-23)</f>
        <v/>
      </c>
      <c r="B39" s="117" t="n">
        <v>40000706</v>
      </c>
      <c r="C39" s="118" t="inlineStr">
        <is>
          <t>JASON C. GUEVARRA</t>
        </is>
      </c>
      <c r="D39" s="117" t="inlineStr">
        <is>
          <t>FITTER</t>
        </is>
      </c>
      <c r="E39" s="120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0" t="n"/>
      <c r="R39" s="120" t="n"/>
      <c r="S39" s="120" t="n"/>
      <c r="T39" s="120" t="n"/>
      <c r="U39" s="120" t="n"/>
      <c r="V39" s="120" t="n"/>
      <c r="W39" s="120" t="n"/>
      <c r="X39" s="120" t="n"/>
      <c r="Y39" s="120" t="n"/>
      <c r="Z39" s="120" t="n"/>
      <c r="AA39" s="120" t="n"/>
      <c r="AB39" s="120" t="n"/>
      <c r="AC39" s="120" t="n"/>
      <c r="AD39" s="120" t="n"/>
      <c r="AE39" s="120" t="n"/>
      <c r="AF39" s="120" t="n"/>
      <c r="AG39" s="120" t="n"/>
      <c r="AH39" s="120" t="n"/>
      <c r="AI39" s="122" t="n"/>
      <c r="AJ39" s="106" t="n"/>
      <c r="AK39" s="106" t="n"/>
      <c r="AL39" s="106" t="n"/>
      <c r="AM39" s="106" t="n"/>
      <c r="AN39" s="106" t="n"/>
      <c r="AO39" s="106" t="n"/>
      <c r="AP39" s="106" t="n"/>
    </row>
    <row r="40" ht="16.2" customHeight="1" thickBot="1">
      <c r="A40" s="116">
        <f>IF($C40="","",ROW()-23)</f>
        <v/>
      </c>
      <c r="B40" s="117" t="n">
        <v>13009023</v>
      </c>
      <c r="C40" s="118" t="inlineStr">
        <is>
          <t>SAMEER ALDUSUQI</t>
        </is>
      </c>
      <c r="D40" s="117" t="inlineStr">
        <is>
          <t>FITTER</t>
        </is>
      </c>
      <c r="E40" s="130" t="n"/>
      <c r="F40" s="130" t="n"/>
      <c r="G40" s="130" t="n"/>
      <c r="H40" s="130" t="n"/>
      <c r="I40" s="130" t="n"/>
      <c r="J40" s="130" t="n"/>
      <c r="K40" s="130" t="n"/>
      <c r="L40" s="130" t="n"/>
      <c r="M40" s="130" t="n"/>
      <c r="N40" s="130" t="n"/>
      <c r="O40" s="130" t="n"/>
      <c r="P40" s="130" t="n"/>
      <c r="Q40" s="130" t="n"/>
      <c r="R40" s="130" t="n"/>
      <c r="S40" s="130" t="n"/>
      <c r="T40" s="130" t="n"/>
      <c r="U40" s="130" t="n"/>
      <c r="V40" s="130" t="n"/>
      <c r="W40" s="130" t="n"/>
      <c r="X40" s="130" t="n"/>
      <c r="Y40" s="130" t="n"/>
      <c r="Z40" s="130" t="n"/>
      <c r="AA40" s="130" t="n"/>
      <c r="AB40" s="130" t="n"/>
      <c r="AC40" s="130" t="n"/>
      <c r="AD40" s="130" t="n"/>
      <c r="AE40" s="130" t="n"/>
      <c r="AF40" s="130" t="n"/>
      <c r="AG40" s="130" t="n"/>
      <c r="AH40" s="130" t="n"/>
      <c r="AI40" s="132" t="n"/>
      <c r="AJ40" s="106" t="n"/>
      <c r="AK40" s="106" t="n"/>
      <c r="AL40" s="106" t="n"/>
      <c r="AM40" s="106" t="n"/>
      <c r="AN40" s="106" t="n"/>
      <c r="AO40" s="106" t="n"/>
      <c r="AP40" s="106" t="n"/>
    </row>
    <row r="41" ht="15" customHeight="1" thickBot="1">
      <c r="A41" s="106" t="n"/>
      <c r="B41" s="106" t="n"/>
      <c r="C41" s="106" t="n"/>
      <c r="D41" s="106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  <c r="O41" s="106" t="n"/>
      <c r="P41" s="106" t="n"/>
      <c r="Q41" s="106" t="n"/>
      <c r="R41" s="106" t="n"/>
      <c r="S41" s="106" t="n"/>
      <c r="T41" s="106" t="n"/>
      <c r="U41" s="106" t="n"/>
      <c r="V41" s="106" t="n"/>
      <c r="W41" s="106" t="n"/>
      <c r="X41" s="106" t="n"/>
      <c r="Y41" s="106" t="n"/>
      <c r="Z41" s="106" t="n"/>
      <c r="AA41" s="106" t="n"/>
      <c r="AB41" s="106" t="n"/>
      <c r="AC41" s="106" t="n"/>
      <c r="AD41" s="106" t="n"/>
      <c r="AE41" s="106" t="n"/>
      <c r="AF41" s="106" t="n"/>
      <c r="AG41" s="106" t="n"/>
      <c r="AH41" s="106" t="n"/>
      <c r="AI41" s="106" t="n"/>
      <c r="AJ41" s="106" t="n"/>
      <c r="AK41" s="106" t="n"/>
      <c r="AL41" s="106" t="n"/>
      <c r="AM41" s="106" t="n"/>
      <c r="AN41" s="106" t="n"/>
      <c r="AO41" s="106" t="n"/>
      <c r="AP41" s="106" t="n"/>
    </row>
    <row r="42" ht="15" customHeight="1" thickBot="1">
      <c r="A42" s="140" t="inlineStr">
        <is>
          <t>SPECIAL SHIFTING</t>
        </is>
      </c>
      <c r="B42" s="137" t="n"/>
      <c r="C42" s="137" t="n"/>
      <c r="D42" s="141" t="n"/>
      <c r="E42" s="1">
        <f>IF(1&lt;=$AP$4,TEXT($AP$3+0,"ddd"),"")</f>
        <v/>
      </c>
      <c r="F42" s="1">
        <f>IF(2&lt;=$AP$4,TEXT($AP$3+1,"ddd"),"")</f>
        <v/>
      </c>
      <c r="G42" s="1">
        <f>IF(3&lt;=$AP$4,TEXT($AP$3+2,"ddd"),"")</f>
        <v/>
      </c>
      <c r="H42" s="1">
        <f>IF(4&lt;=$AP$4,TEXT($AP$3+3,"ddd"),"")</f>
        <v/>
      </c>
      <c r="I42" s="1">
        <f>IF(5&lt;=$AP$4,TEXT($AP$3+4,"ddd"),"")</f>
        <v/>
      </c>
      <c r="J42" s="1">
        <f>IF(6&lt;=$AP$4,TEXT($AP$3+5,"ddd"),"")</f>
        <v/>
      </c>
      <c r="K42" s="1">
        <f>IF(7&lt;=$AP$4,TEXT($AP$3+6,"ddd"),"")</f>
        <v/>
      </c>
      <c r="L42" s="1">
        <f>IF(8&lt;=$AP$4,TEXT($AP$3+7,"ddd"),"")</f>
        <v/>
      </c>
      <c r="M42" s="1">
        <f>IF(9&lt;=$AP$4,TEXT($AP$3+8,"ddd"),"")</f>
        <v/>
      </c>
      <c r="N42" s="1">
        <f>IF(10&lt;=$AP$4,TEXT($AP$3+9,"ddd"),"")</f>
        <v/>
      </c>
      <c r="O42" s="1">
        <f>IF(11&lt;=$AP$4,TEXT($AP$3+10,"ddd"),"")</f>
        <v/>
      </c>
      <c r="P42" s="1">
        <f>IF(12&lt;=$AP$4,TEXT($AP$3+11,"ddd"),"")</f>
        <v/>
      </c>
      <c r="Q42" s="1">
        <f>IF(13&lt;=$AP$4,TEXT($AP$3+12,"ddd"),"")</f>
        <v/>
      </c>
      <c r="R42" s="1">
        <f>IF(14&lt;=$AP$4,TEXT($AP$3+13,"ddd"),"")</f>
        <v/>
      </c>
      <c r="S42" s="1">
        <f>IF(15&lt;=$AP$4,TEXT($AP$3+14,"ddd"),"")</f>
        <v/>
      </c>
      <c r="T42" s="1">
        <f>IF(16&lt;=$AP$4,TEXT($AP$3+15,"ddd"),"")</f>
        <v/>
      </c>
      <c r="U42" s="1">
        <f>IF(17&lt;=$AP$4,TEXT($AP$3+16,"ddd"),"")</f>
        <v/>
      </c>
      <c r="V42" s="1">
        <f>IF(18&lt;=$AP$4,TEXT($AP$3+17,"ddd"),"")</f>
        <v/>
      </c>
      <c r="W42" s="1">
        <f>IF(19&lt;=$AP$4,TEXT($AP$3+18,"ddd"),"")</f>
        <v/>
      </c>
      <c r="X42" s="1">
        <f>IF(20&lt;=$AP$4,TEXT($AP$3+19,"ddd"),"")</f>
        <v/>
      </c>
      <c r="Y42" s="1">
        <f>IF(21&lt;=$AP$4,TEXT($AP$3+20,"ddd"),"")</f>
        <v/>
      </c>
      <c r="Z42" s="1">
        <f>IF(22&lt;=$AP$4,TEXT($AP$3+21,"ddd"),"")</f>
        <v/>
      </c>
      <c r="AA42" s="1">
        <f>IF(23&lt;=$AP$4,TEXT($AP$3+22,"ddd"),"")</f>
        <v/>
      </c>
      <c r="AB42" s="1">
        <f>IF(24&lt;=$AP$4,TEXT($AP$3+23,"ddd"),"")</f>
        <v/>
      </c>
      <c r="AC42" s="1">
        <f>IF(25&lt;=$AP$4,TEXT($AP$3+24,"ddd"),"")</f>
        <v/>
      </c>
      <c r="AD42" s="1">
        <f>IF(26&lt;=$AP$4,TEXT($AP$3+25,"ddd"),"")</f>
        <v/>
      </c>
      <c r="AE42" s="1">
        <f>IF(27&lt;=$AP$4,TEXT($AP$3+26,"ddd"),"")</f>
        <v/>
      </c>
      <c r="AF42" s="1">
        <f>IF(28&lt;=$AP$4,TEXT($AP$3+27,"ddd"),"")</f>
        <v/>
      </c>
      <c r="AG42" s="1">
        <f>IF(29&lt;=$AP$4,TEXT($AP$3+28,"ddd"),"")</f>
        <v/>
      </c>
      <c r="AH42" s="1">
        <f>IF(30&lt;=$AP$4,TEXT($AP$3+29,"ddd"),"")</f>
        <v/>
      </c>
      <c r="AI42" s="1">
        <f>IF(31&lt;=$AP$4,TEXT($AP$3+30,"ddd"),"")</f>
        <v/>
      </c>
      <c r="AJ42" s="106" t="n"/>
      <c r="AK42" s="106" t="n"/>
      <c r="AL42" s="106" t="n"/>
      <c r="AM42" s="106" t="n"/>
      <c r="AN42" s="106" t="n"/>
      <c r="AO42" s="106" t="n"/>
      <c r="AP42" s="106" t="n"/>
    </row>
    <row r="43" ht="16.2" customHeight="1" thickBot="1">
      <c r="A43" s="138" t="n"/>
      <c r="B43" s="139" t="n"/>
      <c r="C43" s="139" t="n"/>
      <c r="D43" s="142" t="n"/>
      <c r="E43" s="2">
        <f>IF(1&lt;=$AP$4,IF($AP$1="P",DAY($AP$3+0),1),"")</f>
        <v/>
      </c>
      <c r="F43" s="2">
        <f>IF(2&lt;=$AP$4,IF($AP$1="P",DAY($AP$3+1),2),"")</f>
        <v/>
      </c>
      <c r="G43" s="2">
        <f>IF(3&lt;=$AP$4,IF($AP$1="P",DAY($AP$3+2),3),"")</f>
        <v/>
      </c>
      <c r="H43" s="2">
        <f>IF(4&lt;=$AP$4,IF($AP$1="P",DAY($AP$3+3),4),"")</f>
        <v/>
      </c>
      <c r="I43" s="3">
        <f>IF(5&lt;=$AP$4,IF($AP$1="P",DAY($AP$3+4),5),"")</f>
        <v/>
      </c>
      <c r="J43" s="4">
        <f>IF(6&lt;=$AP$4,IF($AP$1="P",DAY($AP$3+5),6),"")</f>
        <v/>
      </c>
      <c r="K43" s="4">
        <f>IF(7&lt;=$AP$4,IF($AP$1="P",DAY($AP$3+6),7),"")</f>
        <v/>
      </c>
      <c r="L43" s="3">
        <f>IF(8&lt;=$AP$4,IF($AP$1="P",DAY($AP$3+7),8),"")</f>
        <v/>
      </c>
      <c r="M43" s="4">
        <f>IF(9&lt;=$AP$4,IF($AP$1="P",DAY($AP$3+8),9),"")</f>
        <v/>
      </c>
      <c r="N43" s="2">
        <f>IF(10&lt;=$AP$4,IF($AP$1="P",DAY($AP$3+9),10),"")</f>
        <v/>
      </c>
      <c r="O43" s="2">
        <f>IF(11&lt;=$AP$4,IF($AP$1="P",DAY($AP$3+10),11),"")</f>
        <v/>
      </c>
      <c r="P43" s="2">
        <f>IF(12&lt;=$AP$4,IF($AP$1="P",DAY($AP$3+11),12),"")</f>
        <v/>
      </c>
      <c r="Q43" s="2">
        <f>IF(13&lt;=$AP$4,IF($AP$1="P",DAY($AP$3+12),13),"")</f>
        <v/>
      </c>
      <c r="R43" s="2">
        <f>IF(14&lt;=$AP$4,IF($AP$1="P",DAY($AP$3+13),14),"")</f>
        <v/>
      </c>
      <c r="S43" s="2">
        <f>IF(15&lt;=$AP$4,IF($AP$1="P",DAY($AP$3+14),15),"")</f>
        <v/>
      </c>
      <c r="T43" s="2">
        <f>IF(16&lt;=$AP$4,IF($AP$1="P",DAY($AP$3+15),16),"")</f>
        <v/>
      </c>
      <c r="U43" s="2">
        <f>IF(17&lt;=$AP$4,IF($AP$1="P",DAY($AP$3+16),17),"")</f>
        <v/>
      </c>
      <c r="V43" s="2">
        <f>IF(18&lt;=$AP$4,IF($AP$1="P",DAY($AP$3+17),18),"")</f>
        <v/>
      </c>
      <c r="W43" s="2">
        <f>IF(19&lt;=$AP$4,IF($AP$1="P",DAY($AP$3+18),19),"")</f>
        <v/>
      </c>
      <c r="X43" s="2">
        <f>IF(20&lt;=$AP$4,IF($AP$1="P",DAY($AP$3+19),20),"")</f>
        <v/>
      </c>
      <c r="Y43" s="2">
        <f>IF(21&lt;=$AP$4,IF($AP$1="P",DAY($AP$3+20),21),"")</f>
        <v/>
      </c>
      <c r="Z43" s="2">
        <f>IF(22&lt;=$AP$4,IF($AP$1="P",DAY($AP$3+21),22),"")</f>
        <v/>
      </c>
      <c r="AA43" s="2">
        <f>IF(23&lt;=$AP$4,IF($AP$1="P",DAY($AP$3+22),23),"")</f>
        <v/>
      </c>
      <c r="AB43" s="2">
        <f>IF(24&lt;=$AP$4,IF($AP$1="P",DAY($AP$3+23),24),"")</f>
        <v/>
      </c>
      <c r="AC43" s="2">
        <f>IF(25&lt;=$AP$4,IF($AP$1="P",DAY($AP$3+24),25),"")</f>
        <v/>
      </c>
      <c r="AD43" s="2">
        <f>IF(26&lt;=$AP$4,IF($AP$1="P",DAY($AP$3+25),26),"")</f>
        <v/>
      </c>
      <c r="AE43" s="2">
        <f>IF(27&lt;=$AP$4,IF($AP$1="P",DAY($AP$3+26),27),"")</f>
        <v/>
      </c>
      <c r="AF43" s="2">
        <f>IF(28&lt;=$AP$4,IF($AP$1="P",DAY($AP$3+27),28),"")</f>
        <v/>
      </c>
      <c r="AG43" s="2">
        <f>IF(29&lt;=$AP$4,IF($AP$1="P",DAY($AP$3+28),29),"")</f>
        <v/>
      </c>
      <c r="AH43" s="2">
        <f>IF(30&lt;=$AP$4,IF($AP$1="P",DAY($AP$3+29),30),"")</f>
        <v/>
      </c>
      <c r="AI43" s="2">
        <f>IF(31&lt;=$AP$4,IF($AP$1="P",DAY($AP$3+30),31),"")</f>
        <v/>
      </c>
      <c r="AJ43" s="106" t="n"/>
      <c r="AK43" s="106" t="n"/>
      <c r="AL43" s="106" t="n"/>
      <c r="AM43" s="106" t="n"/>
      <c r="AN43" s="106" t="n"/>
      <c r="AO43" s="106" t="n"/>
      <c r="AP43" s="106" t="n"/>
    </row>
    <row r="44" ht="16.2" customHeight="1" thickBot="1">
      <c r="A44" s="116">
        <f>IF($C44="","",ROW()-43)</f>
        <v/>
      </c>
      <c r="B44" s="117" t="n">
        <v>13004037</v>
      </c>
      <c r="C44" s="118" t="inlineStr">
        <is>
          <t>KHALID FAISAL AL-ALAWI</t>
        </is>
      </c>
      <c r="D44" s="117" t="inlineStr">
        <is>
          <t>SUPV</t>
        </is>
      </c>
      <c r="E44" s="120" t="n"/>
      <c r="F44" s="120" t="n"/>
      <c r="G44" s="120" t="n"/>
      <c r="H44" s="120" t="n"/>
      <c r="I44" s="120" t="n"/>
      <c r="J44" s="120" t="n"/>
      <c r="K44" s="120" t="n"/>
      <c r="L44" s="120" t="n"/>
      <c r="M44" s="120" t="n"/>
      <c r="N44" s="120" t="n"/>
      <c r="O44" s="120" t="n"/>
      <c r="P44" s="120" t="n"/>
      <c r="Q44" s="120" t="n"/>
      <c r="R44" s="120" t="n"/>
      <c r="S44" s="120" t="n"/>
      <c r="T44" s="120" t="n"/>
      <c r="U44" s="120" t="n"/>
      <c r="V44" s="120" t="n"/>
      <c r="W44" s="120" t="n"/>
      <c r="X44" s="120" t="n"/>
      <c r="Y44" s="120" t="n"/>
      <c r="Z44" s="120" t="n"/>
      <c r="AA44" s="120" t="n"/>
      <c r="AB44" s="120" t="n"/>
      <c r="AC44" s="120" t="n"/>
      <c r="AD44" s="120" t="n"/>
      <c r="AE44" s="120" t="n"/>
      <c r="AF44" s="120" t="n"/>
      <c r="AG44" s="120" t="n"/>
      <c r="AH44" s="120" t="n"/>
      <c r="AI44" s="132" t="n"/>
      <c r="AJ44" s="106" t="n"/>
      <c r="AK44" s="106" t="n"/>
      <c r="AL44" s="106" t="n"/>
      <c r="AM44" s="106" t="n"/>
      <c r="AN44" s="106" t="n"/>
      <c r="AO44" s="106" t="n"/>
      <c r="AP44" s="106" t="n"/>
    </row>
    <row r="45" ht="16.2" customHeight="1" thickBot="1">
      <c r="A45" s="143">
        <f>IF($C45="","",ROW()-43)</f>
        <v/>
      </c>
      <c r="B45" s="144" t="n"/>
      <c r="C45" s="145" t="n"/>
      <c r="D45" s="144" t="n"/>
      <c r="E45" s="135" t="n"/>
      <c r="F45" s="135" t="n"/>
      <c r="G45" s="135" t="n"/>
      <c r="H45" s="135" t="n"/>
      <c r="I45" s="135" t="n"/>
      <c r="J45" s="135" t="n"/>
      <c r="K45" s="135" t="n"/>
      <c r="L45" s="135" t="n"/>
      <c r="M45" s="135" t="n"/>
      <c r="N45" s="135" t="n"/>
      <c r="O45" s="135" t="n"/>
      <c r="P45" s="106" t="n"/>
      <c r="Q45" s="106" t="n"/>
      <c r="R45" s="106" t="n"/>
      <c r="S45" s="106" t="n"/>
      <c r="T45" s="106" t="n"/>
      <c r="U45" s="106" t="n"/>
      <c r="V45" s="106" t="n"/>
      <c r="W45" s="106" t="n"/>
      <c r="X45" s="106" t="n"/>
      <c r="Y45" s="106" t="n"/>
      <c r="Z45" s="106" t="n"/>
      <c r="AA45" s="106" t="n"/>
      <c r="AB45" s="106" t="n"/>
      <c r="AC45" s="106" t="n"/>
      <c r="AD45" s="106" t="n"/>
      <c r="AE45" s="106" t="n"/>
      <c r="AF45" s="106" t="n"/>
      <c r="AG45" s="106" t="n"/>
      <c r="AH45" s="106" t="n"/>
      <c r="AI45" s="106" t="n"/>
      <c r="AJ45" s="106" t="n"/>
      <c r="AK45" s="106" t="n"/>
      <c r="AL45" s="106" t="n"/>
      <c r="AM45" s="106" t="n"/>
      <c r="AN45" s="106" t="n"/>
      <c r="AO45" s="106" t="n"/>
      <c r="AP45" s="106" t="n"/>
    </row>
    <row r="46" ht="15" customHeight="1" thickBot="1">
      <c r="A46" s="140" t="inlineStr">
        <is>
          <t>TRANSFERRED-IN MANPOWER</t>
        </is>
      </c>
      <c r="B46" s="137" t="n"/>
      <c r="C46" s="137" t="n"/>
      <c r="D46" s="141" t="n"/>
      <c r="E46" s="1">
        <f>IF(1&lt;=$AP$4,TEXT($AP$3+0,"ddd"),"")</f>
        <v/>
      </c>
      <c r="F46" s="1">
        <f>IF(2&lt;=$AP$4,TEXT($AP$3+1,"ddd"),"")</f>
        <v/>
      </c>
      <c r="G46" s="1">
        <f>IF(3&lt;=$AP$4,TEXT($AP$3+2,"ddd"),"")</f>
        <v/>
      </c>
      <c r="H46" s="1">
        <f>IF(4&lt;=$AP$4,TEXT($AP$3+3,"ddd"),"")</f>
        <v/>
      </c>
      <c r="I46" s="1">
        <f>IF(5&lt;=$AP$4,TEXT($AP$3+4,"ddd"),"")</f>
        <v/>
      </c>
      <c r="J46" s="1">
        <f>IF(6&lt;=$AP$4,TEXT($AP$3+5,"ddd"),"")</f>
        <v/>
      </c>
      <c r="K46" s="1">
        <f>IF(7&lt;=$AP$4,TEXT($AP$3+6,"ddd"),"")</f>
        <v/>
      </c>
      <c r="L46" s="1">
        <f>IF(8&lt;=$AP$4,TEXT($AP$3+7,"ddd"),"")</f>
        <v/>
      </c>
      <c r="M46" s="1">
        <f>IF(9&lt;=$AP$4,TEXT($AP$3+8,"ddd"),"")</f>
        <v/>
      </c>
      <c r="N46" s="1">
        <f>IF(10&lt;=$AP$4,TEXT($AP$3+9,"ddd"),"")</f>
        <v/>
      </c>
      <c r="O46" s="1">
        <f>IF(11&lt;=$AP$4,TEXT($AP$3+10,"ddd"),"")</f>
        <v/>
      </c>
      <c r="P46" s="1">
        <f>IF(12&lt;=$AP$4,TEXT($AP$3+11,"ddd"),"")</f>
        <v/>
      </c>
      <c r="Q46" s="1">
        <f>IF(13&lt;=$AP$4,TEXT($AP$3+12,"ddd"),"")</f>
        <v/>
      </c>
      <c r="R46" s="1">
        <f>IF(14&lt;=$AP$4,TEXT($AP$3+13,"ddd"),"")</f>
        <v/>
      </c>
      <c r="S46" s="1">
        <f>IF(15&lt;=$AP$4,TEXT($AP$3+14,"ddd"),"")</f>
        <v/>
      </c>
      <c r="T46" s="1">
        <f>IF(16&lt;=$AP$4,TEXT($AP$3+15,"ddd"),"")</f>
        <v/>
      </c>
      <c r="U46" s="1">
        <f>IF(17&lt;=$AP$4,TEXT($AP$3+16,"ddd"),"")</f>
        <v/>
      </c>
      <c r="V46" s="1">
        <f>IF(18&lt;=$AP$4,TEXT($AP$3+17,"ddd"),"")</f>
        <v/>
      </c>
      <c r="W46" s="1">
        <f>IF(19&lt;=$AP$4,TEXT($AP$3+18,"ddd"),"")</f>
        <v/>
      </c>
      <c r="X46" s="1">
        <f>IF(20&lt;=$AP$4,TEXT($AP$3+19,"ddd"),"")</f>
        <v/>
      </c>
      <c r="Y46" s="1">
        <f>IF(21&lt;=$AP$4,TEXT($AP$3+20,"ddd"),"")</f>
        <v/>
      </c>
      <c r="Z46" s="1">
        <f>IF(22&lt;=$AP$4,TEXT($AP$3+21,"ddd"),"")</f>
        <v/>
      </c>
      <c r="AA46" s="1">
        <f>IF(23&lt;=$AP$4,TEXT($AP$3+22,"ddd"),"")</f>
        <v/>
      </c>
      <c r="AB46" s="1">
        <f>IF(24&lt;=$AP$4,TEXT($AP$3+23,"ddd"),"")</f>
        <v/>
      </c>
      <c r="AC46" s="1">
        <f>IF(25&lt;=$AP$4,TEXT($AP$3+24,"ddd"),"")</f>
        <v/>
      </c>
      <c r="AD46" s="1">
        <f>IF(26&lt;=$AP$4,TEXT($AP$3+25,"ddd"),"")</f>
        <v/>
      </c>
      <c r="AE46" s="1">
        <f>IF(27&lt;=$AP$4,TEXT($AP$3+26,"ddd"),"")</f>
        <v/>
      </c>
      <c r="AF46" s="1">
        <f>IF(28&lt;=$AP$4,TEXT($AP$3+27,"ddd"),"")</f>
        <v/>
      </c>
      <c r="AG46" s="1">
        <f>IF(29&lt;=$AP$4,TEXT($AP$3+28,"ddd"),"")</f>
        <v/>
      </c>
      <c r="AH46" s="1">
        <f>IF(30&lt;=$AP$4,TEXT($AP$3+29,"ddd"),"")</f>
        <v/>
      </c>
      <c r="AI46" s="1">
        <f>IF(31&lt;=$AP$4,TEXT($AP$3+30,"ddd"),"")</f>
        <v/>
      </c>
      <c r="AJ46" s="106" t="n"/>
      <c r="AK46" s="106" t="n"/>
      <c r="AL46" s="106" t="n"/>
      <c r="AM46" s="106" t="n"/>
      <c r="AN46" s="106" t="n"/>
      <c r="AO46" s="106" t="n"/>
      <c r="AP46" s="106" t="n"/>
    </row>
    <row r="47" ht="16.2" customHeight="1" thickBot="1">
      <c r="A47" s="138" t="n"/>
      <c r="B47" s="139" t="n"/>
      <c r="C47" s="139" t="n"/>
      <c r="D47" s="142" t="n"/>
      <c r="E47" s="2">
        <f>IF(1&lt;=$AP$4,IF($AP$1="P",DAY($AP$3+0),1),"")</f>
        <v/>
      </c>
      <c r="F47" s="2">
        <f>IF(2&lt;=$AP$4,IF($AP$1="P",DAY($AP$3+1),2),"")</f>
        <v/>
      </c>
      <c r="G47" s="2">
        <f>IF(3&lt;=$AP$4,IF($AP$1="P",DAY($AP$3+2),3),"")</f>
        <v/>
      </c>
      <c r="H47" s="2">
        <f>IF(4&lt;=$AP$4,IF($AP$1="P",DAY($AP$3+3),4),"")</f>
        <v/>
      </c>
      <c r="I47" s="3">
        <f>IF(5&lt;=$AP$4,IF($AP$1="P",DAY($AP$3+4),5),"")</f>
        <v/>
      </c>
      <c r="J47" s="4">
        <f>IF(6&lt;=$AP$4,IF($AP$1="P",DAY($AP$3+5),6),"")</f>
        <v/>
      </c>
      <c r="K47" s="4">
        <f>IF(7&lt;=$AP$4,IF($AP$1="P",DAY($AP$3+6),7),"")</f>
        <v/>
      </c>
      <c r="L47" s="3">
        <f>IF(8&lt;=$AP$4,IF($AP$1="P",DAY($AP$3+7),8),"")</f>
        <v/>
      </c>
      <c r="M47" s="4">
        <f>IF(9&lt;=$AP$4,IF($AP$1="P",DAY($AP$3+8),9),"")</f>
        <v/>
      </c>
      <c r="N47" s="2">
        <f>IF(10&lt;=$AP$4,IF($AP$1="P",DAY($AP$3+9),10),"")</f>
        <v/>
      </c>
      <c r="O47" s="2">
        <f>IF(11&lt;=$AP$4,IF($AP$1="P",DAY($AP$3+10),11),"")</f>
        <v/>
      </c>
      <c r="P47" s="2">
        <f>IF(12&lt;=$AP$4,IF($AP$1="P",DAY($AP$3+11),12),"")</f>
        <v/>
      </c>
      <c r="Q47" s="2">
        <f>IF(13&lt;=$AP$4,IF($AP$1="P",DAY($AP$3+12),13),"")</f>
        <v/>
      </c>
      <c r="R47" s="2">
        <f>IF(14&lt;=$AP$4,IF($AP$1="P",DAY($AP$3+13),14),"")</f>
        <v/>
      </c>
      <c r="S47" s="2">
        <f>IF(15&lt;=$AP$4,IF($AP$1="P",DAY($AP$3+14),15),"")</f>
        <v/>
      </c>
      <c r="T47" s="2">
        <f>IF(16&lt;=$AP$4,IF($AP$1="P",DAY($AP$3+15),16),"")</f>
        <v/>
      </c>
      <c r="U47" s="2">
        <f>IF(17&lt;=$AP$4,IF($AP$1="P",DAY($AP$3+16),17),"")</f>
        <v/>
      </c>
      <c r="V47" s="2">
        <f>IF(18&lt;=$AP$4,IF($AP$1="P",DAY($AP$3+17),18),"")</f>
        <v/>
      </c>
      <c r="W47" s="2">
        <f>IF(19&lt;=$AP$4,IF($AP$1="P",DAY($AP$3+18),19),"")</f>
        <v/>
      </c>
      <c r="X47" s="2">
        <f>IF(20&lt;=$AP$4,IF($AP$1="P",DAY($AP$3+19),20),"")</f>
        <v/>
      </c>
      <c r="Y47" s="2">
        <f>IF(21&lt;=$AP$4,IF($AP$1="P",DAY($AP$3+20),21),"")</f>
        <v/>
      </c>
      <c r="Z47" s="2">
        <f>IF(22&lt;=$AP$4,IF($AP$1="P",DAY($AP$3+21),22),"")</f>
        <v/>
      </c>
      <c r="AA47" s="2">
        <f>IF(23&lt;=$AP$4,IF($AP$1="P",DAY($AP$3+22),23),"")</f>
        <v/>
      </c>
      <c r="AB47" s="2">
        <f>IF(24&lt;=$AP$4,IF($AP$1="P",DAY($AP$3+23),24),"")</f>
        <v/>
      </c>
      <c r="AC47" s="2">
        <f>IF(25&lt;=$AP$4,IF($AP$1="P",DAY($AP$3+24),25),"")</f>
        <v/>
      </c>
      <c r="AD47" s="2">
        <f>IF(26&lt;=$AP$4,IF($AP$1="P",DAY($AP$3+25),26),"")</f>
        <v/>
      </c>
      <c r="AE47" s="2">
        <f>IF(27&lt;=$AP$4,IF($AP$1="P",DAY($AP$3+26),27),"")</f>
        <v/>
      </c>
      <c r="AF47" s="2">
        <f>IF(28&lt;=$AP$4,IF($AP$1="P",DAY($AP$3+27),28),"")</f>
        <v/>
      </c>
      <c r="AG47" s="2">
        <f>IF(29&lt;=$AP$4,IF($AP$1="P",DAY($AP$3+28),29),"")</f>
        <v/>
      </c>
      <c r="AH47" s="2">
        <f>IF(30&lt;=$AP$4,IF($AP$1="P",DAY($AP$3+29),30),"")</f>
        <v/>
      </c>
      <c r="AI47" s="2">
        <f>IF(31&lt;=$AP$4,IF($AP$1="P",DAY($AP$3+30),31),"")</f>
        <v/>
      </c>
      <c r="AJ47" s="106" t="n"/>
      <c r="AK47" s="106" t="n"/>
      <c r="AL47" s="106" t="n"/>
      <c r="AM47" s="106" t="n"/>
      <c r="AN47" s="106" t="n"/>
      <c r="AO47" s="106" t="n"/>
      <c r="AP47" s="106" t="n"/>
    </row>
    <row r="48" ht="16.2" customHeight="1" thickBot="1">
      <c r="A48" s="116">
        <f>IF($C48="","",ROW()-47)</f>
        <v/>
      </c>
      <c r="B48" s="117" t="n">
        <v>13010931</v>
      </c>
      <c r="C48" s="118" t="inlineStr">
        <is>
          <t>SULTAN ALMASRI</t>
        </is>
      </c>
      <c r="D48" s="117" t="inlineStr">
        <is>
          <t>TECH</t>
        </is>
      </c>
      <c r="E48" s="120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  <c r="W48" s="120" t="n"/>
      <c r="X48" s="120" t="n"/>
      <c r="Y48" s="120" t="n"/>
      <c r="Z48" s="120" t="n"/>
      <c r="AA48" s="120" t="n"/>
      <c r="AB48" s="120" t="n"/>
      <c r="AC48" s="120" t="n"/>
      <c r="AD48" s="120" t="n"/>
      <c r="AE48" s="120" t="n"/>
      <c r="AF48" s="120" t="n"/>
      <c r="AG48" s="120" t="n"/>
      <c r="AH48" s="120" t="n"/>
      <c r="AI48" s="120" t="n"/>
      <c r="AJ48" s="106" t="n"/>
      <c r="AK48" s="106" t="n"/>
      <c r="AL48" s="106" t="n"/>
      <c r="AM48" s="106" t="n"/>
      <c r="AN48" s="106" t="n"/>
      <c r="AO48" s="106" t="n"/>
      <c r="AP48" s="106" t="n"/>
    </row>
    <row r="49" ht="16.2" customHeight="1" thickBot="1">
      <c r="A49" s="116">
        <f>IF($C49="","",ROW()-47)</f>
        <v/>
      </c>
      <c r="B49" s="117" t="n">
        <v>30003319</v>
      </c>
      <c r="C49" s="118" t="inlineStr">
        <is>
          <t>MANSOUR ALHARBI</t>
        </is>
      </c>
      <c r="D49" s="117" t="inlineStr">
        <is>
          <t>TECH</t>
        </is>
      </c>
      <c r="E49" s="120" t="n"/>
      <c r="F49" s="120" t="n"/>
      <c r="G49" s="120" t="n"/>
      <c r="H49" s="120" t="n"/>
      <c r="I49" s="120" t="n"/>
      <c r="J49" s="120" t="n"/>
      <c r="K49" s="120" t="n"/>
      <c r="L49" s="120" t="n"/>
      <c r="M49" s="120" t="n"/>
      <c r="N49" s="120" t="n"/>
      <c r="O49" s="120" t="n"/>
      <c r="P49" s="120" t="n"/>
      <c r="Q49" s="120" t="n"/>
      <c r="R49" s="120" t="n"/>
      <c r="S49" s="120" t="n"/>
      <c r="T49" s="120" t="n"/>
      <c r="U49" s="120" t="n"/>
      <c r="V49" s="120" t="n"/>
      <c r="W49" s="120" t="n"/>
      <c r="X49" s="120" t="n"/>
      <c r="Y49" s="120" t="n"/>
      <c r="Z49" s="120" t="n"/>
      <c r="AA49" s="120" t="n"/>
      <c r="AB49" s="120" t="n"/>
      <c r="AC49" s="120" t="n"/>
      <c r="AD49" s="120" t="n"/>
      <c r="AE49" s="120" t="n"/>
      <c r="AF49" s="120" t="n"/>
      <c r="AG49" s="120" t="n"/>
      <c r="AH49" s="120" t="n"/>
      <c r="AI49" s="120" t="n"/>
      <c r="AJ49" s="106" t="n"/>
      <c r="AK49" s="106" t="n"/>
      <c r="AL49" s="106" t="n"/>
      <c r="AM49" s="106" t="n"/>
      <c r="AN49" s="106" t="n"/>
      <c r="AO49" s="106" t="n"/>
      <c r="AP49" s="106" t="n"/>
    </row>
    <row r="50" ht="16.2" customHeight="1" thickBot="1">
      <c r="A50" s="116">
        <f>IF($C50="","",ROW()-47)</f>
        <v/>
      </c>
      <c r="B50" s="117" t="n">
        <v>30003362</v>
      </c>
      <c r="C50" s="118" t="inlineStr">
        <is>
          <t>AYMAN HAMED</t>
        </is>
      </c>
      <c r="D50" s="117" t="inlineStr">
        <is>
          <t>TECH</t>
        </is>
      </c>
      <c r="E50" s="120" t="n"/>
      <c r="F50" s="120" t="n"/>
      <c r="G50" s="120" t="n"/>
      <c r="H50" s="120" t="n"/>
      <c r="I50" s="120" t="n"/>
      <c r="J50" s="120" t="n"/>
      <c r="K50" s="120" t="n"/>
      <c r="L50" s="120" t="n"/>
      <c r="M50" s="120" t="n"/>
      <c r="N50" s="120" t="n"/>
      <c r="O50" s="120" t="n"/>
      <c r="P50" s="120" t="n"/>
      <c r="Q50" s="120" t="n"/>
      <c r="R50" s="120" t="n"/>
      <c r="S50" s="120" t="n"/>
      <c r="T50" s="120" t="n"/>
      <c r="U50" s="120" t="n"/>
      <c r="V50" s="120" t="n"/>
      <c r="W50" s="120" t="n"/>
      <c r="X50" s="120" t="n"/>
      <c r="Y50" s="120" t="n"/>
      <c r="Z50" s="120" t="n"/>
      <c r="AA50" s="120" t="n"/>
      <c r="AB50" s="120" t="n"/>
      <c r="AC50" s="120" t="n"/>
      <c r="AD50" s="120" t="n"/>
      <c r="AE50" s="120" t="n"/>
      <c r="AF50" s="120" t="n"/>
      <c r="AG50" s="120" t="n"/>
      <c r="AH50" s="120" t="n"/>
      <c r="AI50" s="120" t="n"/>
      <c r="AJ50" s="106" t="n"/>
      <c r="AK50" s="106" t="n"/>
      <c r="AL50" s="106" t="n"/>
      <c r="AM50" s="106" t="n"/>
      <c r="AN50" s="106" t="n"/>
      <c r="AO50" s="106" t="n"/>
      <c r="AP50" s="106" t="n"/>
    </row>
    <row r="51" ht="16.2" customHeight="1" thickBot="1">
      <c r="A51" s="116">
        <f>IF($C51="","",ROW()-47)</f>
        <v/>
      </c>
      <c r="B51" s="117" t="n">
        <v>30003449</v>
      </c>
      <c r="C51" s="118" t="inlineStr">
        <is>
          <t>HAZEM ALSUBHI</t>
        </is>
      </c>
      <c r="D51" s="117" t="inlineStr">
        <is>
          <t>TECH</t>
        </is>
      </c>
      <c r="E51" s="120" t="n"/>
      <c r="F51" s="120" t="n"/>
      <c r="G51" s="120" t="n"/>
      <c r="H51" s="120" t="n"/>
      <c r="I51" s="120" t="n"/>
      <c r="J51" s="120" t="n"/>
      <c r="K51" s="120" t="n"/>
      <c r="L51" s="120" t="n"/>
      <c r="M51" s="120" t="n"/>
      <c r="N51" s="120" t="n"/>
      <c r="O51" s="120" t="n"/>
      <c r="P51" s="120" t="n"/>
      <c r="Q51" s="120" t="n"/>
      <c r="R51" s="120" t="n"/>
      <c r="S51" s="120" t="n"/>
      <c r="T51" s="120" t="n"/>
      <c r="U51" s="120" t="n"/>
      <c r="V51" s="120" t="n"/>
      <c r="W51" s="120" t="n"/>
      <c r="X51" s="120" t="n"/>
      <c r="Y51" s="120" t="n"/>
      <c r="Z51" s="120" t="n"/>
      <c r="AA51" s="120" t="n"/>
      <c r="AB51" s="120" t="n"/>
      <c r="AC51" s="120" t="n"/>
      <c r="AD51" s="120" t="n"/>
      <c r="AE51" s="120" t="n"/>
      <c r="AF51" s="120" t="n"/>
      <c r="AG51" s="120" t="n"/>
      <c r="AH51" s="120" t="n"/>
      <c r="AI51" s="120" t="n"/>
      <c r="AJ51" s="106" t="n"/>
      <c r="AK51" s="106" t="n"/>
      <c r="AL51" s="106" t="n"/>
      <c r="AM51" s="106" t="n"/>
      <c r="AN51" s="106" t="n"/>
      <c r="AO51" s="106" t="n"/>
      <c r="AP51" s="106" t="n"/>
    </row>
    <row r="52" ht="16.2" customHeight="1" thickBot="1">
      <c r="A52" s="116">
        <f>IF($C52="","",ROW()-47)</f>
        <v/>
      </c>
      <c r="B52" s="117" t="n">
        <v>30003471</v>
      </c>
      <c r="C52" s="118" t="inlineStr">
        <is>
          <t>MOHAMMED ALOQBA</t>
        </is>
      </c>
      <c r="D52" s="117" t="inlineStr">
        <is>
          <t>TECH</t>
        </is>
      </c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  <c r="O52" s="120" t="n"/>
      <c r="P52" s="120" t="n"/>
      <c r="Q52" s="120" t="n"/>
      <c r="R52" s="120" t="n"/>
      <c r="S52" s="120" t="n"/>
      <c r="T52" s="120" t="n"/>
      <c r="U52" s="120" t="n"/>
      <c r="V52" s="120" t="n"/>
      <c r="W52" s="120" t="n"/>
      <c r="X52" s="120" t="n"/>
      <c r="Y52" s="120" t="n"/>
      <c r="Z52" s="120" t="n"/>
      <c r="AA52" s="120" t="n"/>
      <c r="AB52" s="120" t="n"/>
      <c r="AC52" s="120" t="n"/>
      <c r="AD52" s="120" t="n"/>
      <c r="AE52" s="120" t="n"/>
      <c r="AF52" s="120" t="n"/>
      <c r="AG52" s="120" t="n"/>
      <c r="AH52" s="120" t="n"/>
      <c r="AI52" s="120" t="n"/>
      <c r="AJ52" s="106" t="n"/>
      <c r="AK52" s="106" t="n"/>
      <c r="AL52" s="106" t="n"/>
      <c r="AM52" s="106" t="n"/>
      <c r="AN52" s="106" t="n"/>
      <c r="AO52" s="106" t="n"/>
      <c r="AP52" s="106" t="n"/>
    </row>
    <row r="53" ht="16.2" customHeight="1" thickBot="1">
      <c r="A53" s="116">
        <f>IF($C53="","",ROW()-47)</f>
        <v/>
      </c>
      <c r="B53" s="117" t="n">
        <v>30003607</v>
      </c>
      <c r="C53" s="118" t="inlineStr">
        <is>
          <t>SIRAJ KHAYAT</t>
        </is>
      </c>
      <c r="D53" s="117" t="inlineStr">
        <is>
          <t>TECH</t>
        </is>
      </c>
      <c r="E53" s="120" t="n"/>
      <c r="F53" s="120" t="n"/>
      <c r="G53" s="120" t="n"/>
      <c r="H53" s="120" t="n"/>
      <c r="I53" s="120" t="n"/>
      <c r="J53" s="120" t="n"/>
      <c r="K53" s="120" t="n"/>
      <c r="L53" s="120" t="n"/>
      <c r="M53" s="120" t="n"/>
      <c r="N53" s="120" t="n"/>
      <c r="O53" s="120" t="n"/>
      <c r="P53" s="120" t="n"/>
      <c r="Q53" s="120" t="n"/>
      <c r="R53" s="120" t="n"/>
      <c r="S53" s="120" t="n"/>
      <c r="T53" s="120" t="n"/>
      <c r="U53" s="120" t="n"/>
      <c r="V53" s="120" t="n"/>
      <c r="W53" s="120" t="n"/>
      <c r="X53" s="120" t="n"/>
      <c r="Y53" s="120" t="n"/>
      <c r="Z53" s="120" t="n"/>
      <c r="AA53" s="120" t="n"/>
      <c r="AB53" s="120" t="n"/>
      <c r="AC53" s="120" t="n"/>
      <c r="AD53" s="120" t="n"/>
      <c r="AE53" s="120" t="n"/>
      <c r="AF53" s="120" t="n"/>
      <c r="AG53" s="120" t="n"/>
      <c r="AH53" s="120" t="n"/>
      <c r="AI53" s="120" t="n"/>
      <c r="AJ53" s="106" t="n"/>
      <c r="AK53" s="106" t="n"/>
      <c r="AL53" s="106" t="n"/>
      <c r="AM53" s="106" t="n"/>
      <c r="AN53" s="106" t="n"/>
      <c r="AO53" s="106" t="n"/>
      <c r="AP53" s="106" t="n"/>
    </row>
    <row r="54" ht="16.2" customHeight="1" thickBot="1">
      <c r="A54" s="116">
        <f>IF($C54="","",ROW()-47)</f>
        <v/>
      </c>
      <c r="B54" s="117" t="n">
        <v>30004358</v>
      </c>
      <c r="C54" s="118" t="inlineStr">
        <is>
          <t>SALMAN ALJAADANI</t>
        </is>
      </c>
      <c r="D54" s="117" t="inlineStr">
        <is>
          <t>TECH</t>
        </is>
      </c>
      <c r="E54" s="120" t="n"/>
      <c r="F54" s="120" t="n"/>
      <c r="G54" s="120" t="n"/>
      <c r="H54" s="120" t="n"/>
      <c r="I54" s="120" t="n"/>
      <c r="J54" s="120" t="n"/>
      <c r="K54" s="120" t="n"/>
      <c r="L54" s="120" t="n"/>
      <c r="M54" s="120" t="n"/>
      <c r="N54" s="120" t="n"/>
      <c r="O54" s="120" t="n"/>
      <c r="P54" s="120" t="n"/>
      <c r="Q54" s="120" t="n"/>
      <c r="R54" s="120" t="n"/>
      <c r="S54" s="120" t="n"/>
      <c r="T54" s="120" t="n"/>
      <c r="U54" s="120" t="n"/>
      <c r="V54" s="120" t="n"/>
      <c r="W54" s="120" t="n"/>
      <c r="X54" s="120" t="n"/>
      <c r="Y54" s="120" t="n"/>
      <c r="Z54" s="120" t="n"/>
      <c r="AA54" s="120" t="n"/>
      <c r="AB54" s="120" t="n"/>
      <c r="AC54" s="120" t="n"/>
      <c r="AD54" s="120" t="n"/>
      <c r="AE54" s="120" t="n"/>
      <c r="AF54" s="120" t="n"/>
      <c r="AG54" s="120" t="n"/>
      <c r="AH54" s="120" t="n"/>
      <c r="AI54" s="120" t="n"/>
      <c r="AJ54" s="106" t="n"/>
      <c r="AK54" s="106" t="n"/>
      <c r="AL54" s="106" t="n"/>
      <c r="AM54" s="106" t="n"/>
      <c r="AN54" s="106" t="n"/>
      <c r="AO54" s="106" t="n"/>
      <c r="AP54" s="106" t="n"/>
    </row>
    <row r="55" ht="16.2" customHeight="1" thickBot="1">
      <c r="A55" s="116">
        <f>IF($C55="","",ROW()-47)</f>
        <v/>
      </c>
      <c r="B55" s="117" t="n">
        <v>30004434</v>
      </c>
      <c r="C55" s="118" t="inlineStr">
        <is>
          <t>EID ALRIFAI</t>
        </is>
      </c>
      <c r="D55" s="117" t="inlineStr">
        <is>
          <t>TECH</t>
        </is>
      </c>
      <c r="E55" s="120" t="n"/>
      <c r="F55" s="120" t="n"/>
      <c r="G55" s="120" t="n"/>
      <c r="H55" s="120" t="n"/>
      <c r="I55" s="120" t="n"/>
      <c r="J55" s="120" t="n"/>
      <c r="K55" s="120" t="n"/>
      <c r="L55" s="120" t="n"/>
      <c r="M55" s="120" t="n"/>
      <c r="N55" s="120" t="n"/>
      <c r="O55" s="120" t="n"/>
      <c r="P55" s="120" t="n"/>
      <c r="Q55" s="120" t="n"/>
      <c r="R55" s="120" t="n"/>
      <c r="S55" s="120" t="n"/>
      <c r="T55" s="120" t="n"/>
      <c r="U55" s="120" t="n"/>
      <c r="V55" s="120" t="n"/>
      <c r="W55" s="120" t="n"/>
      <c r="X55" s="120" t="n"/>
      <c r="Y55" s="120" t="n"/>
      <c r="Z55" s="120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06" t="n"/>
      <c r="AK55" s="106" t="n"/>
      <c r="AL55" s="106" t="n"/>
      <c r="AM55" s="106" t="n"/>
      <c r="AN55" s="106" t="n"/>
      <c r="AO55" s="106" t="n"/>
      <c r="AP55" s="106" t="n"/>
    </row>
    <row r="56" ht="16.2" customHeight="1" thickBot="1">
      <c r="A56" s="116">
        <f>IF($C56="","",ROW()-47)</f>
        <v/>
      </c>
      <c r="B56" s="117" t="n">
        <v>30004838</v>
      </c>
      <c r="C56" s="118" t="inlineStr">
        <is>
          <t>MUAED MEERA</t>
        </is>
      </c>
      <c r="D56" s="117" t="inlineStr">
        <is>
          <t>TECH</t>
        </is>
      </c>
      <c r="E56" s="146" t="n"/>
      <c r="F56" s="146" t="n"/>
      <c r="G56" s="146" t="n"/>
      <c r="H56" s="146" t="n"/>
      <c r="I56" s="120" t="n"/>
      <c r="J56" s="120" t="n"/>
      <c r="K56" s="120" t="n"/>
      <c r="L56" s="120" t="n"/>
      <c r="M56" s="120" t="n"/>
      <c r="N56" s="120" t="n"/>
      <c r="O56" s="120" t="n"/>
      <c r="P56" s="120" t="n"/>
      <c r="Q56" s="120" t="n"/>
      <c r="R56" s="120" t="n"/>
      <c r="S56" s="120" t="n"/>
      <c r="T56" s="120" t="n"/>
      <c r="U56" s="120" t="n"/>
      <c r="V56" s="120" t="n"/>
      <c r="W56" s="120" t="n"/>
      <c r="X56" s="120" t="n"/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06" t="n"/>
      <c r="AK56" s="106" t="n"/>
      <c r="AL56" s="106" t="n"/>
      <c r="AM56" s="106" t="n"/>
      <c r="AN56" s="106" t="n"/>
      <c r="AO56" s="106" t="n"/>
      <c r="AP56" s="106" t="n"/>
    </row>
    <row r="57" ht="16.2" customHeight="1" thickBot="1">
      <c r="A57" s="116">
        <f>IF($C57="","",ROW()-47)</f>
        <v/>
      </c>
      <c r="B57" s="117" t="n"/>
      <c r="C57" s="118" t="n"/>
      <c r="D57" s="119" t="n"/>
      <c r="E57" s="120" t="n"/>
      <c r="F57" s="106" t="n"/>
      <c r="G57" s="106" t="n"/>
      <c r="H57" s="106" t="n"/>
      <c r="I57" s="123" t="n"/>
      <c r="J57" s="120" t="n"/>
      <c r="K57" s="120" t="n"/>
      <c r="L57" s="120" t="n"/>
      <c r="M57" s="120" t="n"/>
      <c r="N57" s="120" t="n"/>
      <c r="O57" s="120" t="n"/>
      <c r="P57" s="120" t="n"/>
      <c r="Q57" s="120" t="n"/>
      <c r="R57" s="120" t="n"/>
      <c r="S57" s="120" t="n"/>
      <c r="T57" s="120" t="n"/>
      <c r="U57" s="120" t="n"/>
      <c r="V57" s="120" t="n"/>
      <c r="W57" s="120" t="n"/>
      <c r="X57" s="120" t="n"/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06" t="n"/>
      <c r="AK57" s="106" t="n"/>
      <c r="AL57" s="106" t="n"/>
      <c r="AM57" s="106" t="n"/>
      <c r="AN57" s="106" t="n"/>
      <c r="AO57" s="106" t="n"/>
      <c r="AP57" s="106" t="n"/>
    </row>
    <row r="58" ht="16.2" customHeight="1" thickBot="1">
      <c r="A58" s="116">
        <f>IF($C58="","",ROW()-47)</f>
        <v/>
      </c>
      <c r="B58" s="117" t="n"/>
      <c r="C58" s="118" t="n"/>
      <c r="D58" s="119" t="n"/>
      <c r="E58" s="120" t="n"/>
      <c r="F58" s="106" t="n"/>
      <c r="G58" s="106" t="n"/>
      <c r="H58" s="106" t="n"/>
      <c r="I58" s="123" t="n"/>
      <c r="J58" s="120" t="n"/>
      <c r="K58" s="120" t="n"/>
      <c r="L58" s="120" t="n"/>
      <c r="M58" s="120" t="n"/>
      <c r="N58" s="120" t="n"/>
      <c r="O58" s="120" t="n"/>
      <c r="P58" s="120" t="n"/>
      <c r="Q58" s="120" t="n"/>
      <c r="R58" s="120" t="n"/>
      <c r="S58" s="120" t="n"/>
      <c r="T58" s="120" t="n"/>
      <c r="U58" s="120" t="n"/>
      <c r="V58" s="120" t="n"/>
      <c r="W58" s="120" t="n"/>
      <c r="X58" s="120" t="n"/>
      <c r="Y58" s="120" t="n"/>
      <c r="Z58" s="120" t="n"/>
      <c r="AA58" s="120" t="n"/>
      <c r="AB58" s="120" t="n"/>
      <c r="AC58" s="120" t="n"/>
      <c r="AD58" s="120" t="n"/>
      <c r="AE58" s="120" t="n"/>
      <c r="AF58" s="120" t="n"/>
      <c r="AG58" s="120" t="n"/>
      <c r="AH58" s="120" t="n"/>
      <c r="AI58" s="120" t="n"/>
      <c r="AJ58" s="106" t="n"/>
      <c r="AK58" s="106" t="n"/>
      <c r="AL58" s="106" t="n"/>
      <c r="AM58" s="106" t="n"/>
      <c r="AN58" s="106" t="n"/>
      <c r="AO58" s="106" t="n"/>
      <c r="AP58" s="106" t="n"/>
    </row>
    <row r="59" ht="16.2" customHeight="1" thickBot="1">
      <c r="A59" s="116">
        <f>IF($C59="","",ROW()-47)</f>
        <v/>
      </c>
      <c r="B59" s="117" t="n"/>
      <c r="C59" s="118" t="n"/>
      <c r="D59" s="119" t="n"/>
      <c r="E59" s="120" t="n"/>
      <c r="F59" s="147" t="n"/>
      <c r="G59" s="147" t="n"/>
      <c r="H59" s="148" t="n"/>
      <c r="I59" s="123" t="n"/>
      <c r="J59" s="120" t="n"/>
      <c r="K59" s="120" t="n"/>
      <c r="L59" s="120" t="n"/>
      <c r="M59" s="120" t="n"/>
      <c r="N59" s="120" t="n"/>
      <c r="O59" s="120" t="n"/>
      <c r="P59" s="120" t="n"/>
      <c r="Q59" s="120" t="n"/>
      <c r="R59" s="120" t="n"/>
      <c r="S59" s="120" t="n"/>
      <c r="T59" s="120" t="n"/>
      <c r="U59" s="120" t="n"/>
      <c r="V59" s="120" t="n"/>
      <c r="W59" s="120" t="n"/>
      <c r="X59" s="120" t="n"/>
      <c r="Y59" s="120" t="n"/>
      <c r="Z59" s="120" t="n"/>
      <c r="AA59" s="120" t="n"/>
      <c r="AB59" s="120" t="n"/>
      <c r="AC59" s="120" t="n"/>
      <c r="AD59" s="120" t="n"/>
      <c r="AE59" s="120" t="n"/>
      <c r="AF59" s="120" t="n"/>
      <c r="AG59" s="120" t="n"/>
      <c r="AH59" s="120" t="n"/>
      <c r="AI59" s="120" t="n"/>
      <c r="AJ59" s="106" t="n"/>
      <c r="AK59" s="106" t="n"/>
      <c r="AL59" s="106" t="n"/>
      <c r="AM59" s="106" t="n"/>
      <c r="AN59" s="106" t="n"/>
      <c r="AO59" s="106" t="n"/>
      <c r="AP59" s="106" t="n"/>
    </row>
    <row r="60" ht="16.2" customHeight="1" thickBot="1">
      <c r="A60" s="116">
        <f>IF($C60="","",ROW()-47)</f>
        <v/>
      </c>
      <c r="B60" s="117" t="n"/>
      <c r="C60" s="118" t="n"/>
      <c r="D60" s="119" t="n"/>
      <c r="E60" s="120" t="n"/>
      <c r="F60" s="147" t="n"/>
      <c r="G60" s="147" t="n"/>
      <c r="H60" s="148" t="n"/>
      <c r="I60" s="123" t="n"/>
      <c r="J60" s="120" t="n"/>
      <c r="K60" s="120" t="n"/>
      <c r="L60" s="120" t="n"/>
      <c r="M60" s="120" t="n"/>
      <c r="N60" s="120" t="n"/>
      <c r="O60" s="120" t="n"/>
      <c r="P60" s="120" t="n"/>
      <c r="Q60" s="120" t="n"/>
      <c r="R60" s="120" t="n"/>
      <c r="S60" s="120" t="n"/>
      <c r="T60" s="120" t="n"/>
      <c r="U60" s="120" t="n"/>
      <c r="V60" s="120" t="n"/>
      <c r="W60" s="120" t="n"/>
      <c r="X60" s="120" t="n"/>
      <c r="Y60" s="120" t="n"/>
      <c r="Z60" s="120" t="n"/>
      <c r="AA60" s="120" t="n"/>
      <c r="AB60" s="120" t="n"/>
      <c r="AC60" s="120" t="n"/>
      <c r="AD60" s="120" t="n"/>
      <c r="AE60" s="120" t="n"/>
      <c r="AF60" s="120" t="n"/>
      <c r="AG60" s="120" t="n"/>
      <c r="AH60" s="120" t="n"/>
      <c r="AI60" s="120" t="n"/>
      <c r="AJ60" s="106" t="n"/>
      <c r="AK60" s="106" t="n"/>
      <c r="AL60" s="106" t="n"/>
      <c r="AM60" s="106" t="n"/>
      <c r="AN60" s="106" t="n"/>
      <c r="AO60" s="106" t="n"/>
      <c r="AP60" s="106" t="n"/>
    </row>
    <row r="61" ht="16.2" customHeight="1" thickBot="1">
      <c r="A61" s="116">
        <f>IF($C61="","",ROW()-47)</f>
        <v/>
      </c>
      <c r="B61" s="117" t="n"/>
      <c r="C61" s="118" t="n"/>
      <c r="D61" s="119" t="n"/>
      <c r="E61" s="120" t="n"/>
      <c r="F61" s="106" t="n"/>
      <c r="G61" s="106" t="n"/>
      <c r="H61" s="106" t="n"/>
      <c r="I61" s="123" t="n"/>
      <c r="J61" s="120" t="n"/>
      <c r="K61" s="120" t="n"/>
      <c r="L61" s="120" t="n"/>
      <c r="M61" s="120" t="n"/>
      <c r="N61" s="120" t="n"/>
      <c r="O61" s="120" t="n"/>
      <c r="P61" s="120" t="n"/>
      <c r="Q61" s="120" t="n"/>
      <c r="R61" s="120" t="n"/>
      <c r="S61" s="120" t="n"/>
      <c r="T61" s="120" t="n"/>
      <c r="U61" s="120" t="n"/>
      <c r="V61" s="120" t="n"/>
      <c r="W61" s="120" t="n"/>
      <c r="X61" s="120" t="n"/>
      <c r="Y61" s="120" t="n"/>
      <c r="Z61" s="120" t="n"/>
      <c r="AA61" s="120" t="n"/>
      <c r="AB61" s="120" t="n"/>
      <c r="AC61" s="120" t="n"/>
      <c r="AD61" s="120" t="n"/>
      <c r="AE61" s="120" t="n"/>
      <c r="AF61" s="120" t="n"/>
      <c r="AG61" s="120" t="n"/>
      <c r="AH61" s="120" t="n"/>
      <c r="AI61" s="120" t="n"/>
      <c r="AJ61" s="106" t="n"/>
      <c r="AK61" s="106" t="n"/>
      <c r="AL61" s="106" t="n"/>
      <c r="AM61" s="106" t="n"/>
      <c r="AN61" s="106" t="n"/>
      <c r="AO61" s="106" t="n"/>
      <c r="AP61" s="106" t="n"/>
    </row>
    <row r="62" ht="16.2" customHeight="1" thickBot="1">
      <c r="A62" s="116">
        <f>IF($C62="","",ROW()-47)</f>
        <v/>
      </c>
      <c r="B62" s="117" t="n"/>
      <c r="C62" s="118" t="n"/>
      <c r="D62" s="119" t="n"/>
      <c r="E62" s="120" t="n"/>
      <c r="F62" s="147" t="n"/>
      <c r="G62" s="147" t="n"/>
      <c r="H62" s="148" t="n"/>
      <c r="I62" s="123" t="n"/>
      <c r="J62" s="120" t="n"/>
      <c r="K62" s="120" t="n"/>
      <c r="L62" s="120" t="n"/>
      <c r="M62" s="120" t="n"/>
      <c r="N62" s="120" t="n"/>
      <c r="O62" s="120" t="n"/>
      <c r="P62" s="120" t="n"/>
      <c r="Q62" s="120" t="n"/>
      <c r="R62" s="120" t="n"/>
      <c r="S62" s="120" t="n"/>
      <c r="T62" s="120" t="n"/>
      <c r="U62" s="120" t="n"/>
      <c r="V62" s="120" t="n"/>
      <c r="W62" s="120" t="n"/>
      <c r="X62" s="120" t="n"/>
      <c r="Y62" s="120" t="n"/>
      <c r="Z62" s="120" t="n"/>
      <c r="AA62" s="120" t="n"/>
      <c r="AB62" s="120" t="n"/>
      <c r="AC62" s="120" t="n"/>
      <c r="AD62" s="120" t="n"/>
      <c r="AE62" s="120" t="n"/>
      <c r="AF62" s="120" t="n"/>
      <c r="AG62" s="120" t="n"/>
      <c r="AH62" s="120" t="n"/>
      <c r="AI62" s="120" t="n"/>
      <c r="AJ62" s="106" t="n"/>
      <c r="AK62" s="106" t="n"/>
      <c r="AL62" s="106" t="n"/>
      <c r="AM62" s="106" t="n"/>
      <c r="AN62" s="106" t="n"/>
      <c r="AO62" s="106" t="n"/>
      <c r="AP62" s="106" t="n"/>
    </row>
    <row r="63" ht="16.2" customHeight="1" thickBot="1">
      <c r="A63" s="116">
        <f>IF($C63="","",ROW()-47)</f>
        <v/>
      </c>
      <c r="B63" s="117" t="n"/>
      <c r="C63" s="118" t="n"/>
      <c r="D63" s="119" t="n"/>
      <c r="E63" s="120" t="n"/>
      <c r="F63" s="147" t="n"/>
      <c r="G63" s="147" t="n"/>
      <c r="H63" s="148" t="n"/>
      <c r="I63" s="123" t="n"/>
      <c r="J63" s="120" t="n"/>
      <c r="K63" s="120" t="n"/>
      <c r="L63" s="120" t="n"/>
      <c r="M63" s="120" t="n"/>
      <c r="N63" s="120" t="n"/>
      <c r="O63" s="120" t="n"/>
      <c r="P63" s="120" t="n"/>
      <c r="Q63" s="120" t="n"/>
      <c r="R63" s="120" t="n"/>
      <c r="S63" s="120" t="n"/>
      <c r="T63" s="120" t="n"/>
      <c r="U63" s="120" t="n"/>
      <c r="V63" s="120" t="n"/>
      <c r="W63" s="120" t="n"/>
      <c r="X63" s="120" t="n"/>
      <c r="Y63" s="120" t="n"/>
      <c r="Z63" s="120" t="n"/>
      <c r="AA63" s="120" t="n"/>
      <c r="AB63" s="120" t="n"/>
      <c r="AC63" s="120" t="n"/>
      <c r="AD63" s="120" t="n"/>
      <c r="AE63" s="120" t="n"/>
      <c r="AF63" s="120" t="n"/>
      <c r="AG63" s="120" t="n"/>
      <c r="AH63" s="120" t="n"/>
      <c r="AI63" s="120" t="n"/>
      <c r="AJ63" s="106" t="n"/>
      <c r="AK63" s="106" t="n"/>
      <c r="AL63" s="106" t="n"/>
      <c r="AM63" s="106" t="n"/>
      <c r="AN63" s="106" t="n"/>
      <c r="AO63" s="106" t="n"/>
      <c r="AP63" s="106" t="n"/>
    </row>
    <row r="64" ht="16.2" customHeight="1" thickBot="1">
      <c r="A64" s="116">
        <f>IF($C64="","",ROW()-47)</f>
        <v/>
      </c>
      <c r="B64" s="117" t="n"/>
      <c r="C64" s="118" t="n"/>
      <c r="D64" s="119" t="n"/>
      <c r="E64" s="120" t="n"/>
      <c r="F64" s="147" t="n"/>
      <c r="G64" s="147" t="n"/>
      <c r="H64" s="148" t="n"/>
      <c r="I64" s="123" t="n"/>
      <c r="J64" s="120" t="n"/>
      <c r="K64" s="120" t="n"/>
      <c r="L64" s="120" t="n"/>
      <c r="M64" s="120" t="n"/>
      <c r="N64" s="120" t="n"/>
      <c r="O64" s="120" t="n"/>
      <c r="P64" s="120" t="n"/>
      <c r="Q64" s="120" t="n"/>
      <c r="R64" s="120" t="n"/>
      <c r="S64" s="120" t="n"/>
      <c r="T64" s="120" t="n"/>
      <c r="U64" s="120" t="n"/>
      <c r="V64" s="120" t="n"/>
      <c r="W64" s="120" t="n"/>
      <c r="X64" s="120" t="n"/>
      <c r="Y64" s="120" t="n"/>
      <c r="Z64" s="120" t="n"/>
      <c r="AA64" s="120" t="n"/>
      <c r="AB64" s="120" t="n"/>
      <c r="AC64" s="120" t="n"/>
      <c r="AD64" s="120" t="n"/>
      <c r="AE64" s="120" t="n"/>
      <c r="AF64" s="120" t="n"/>
      <c r="AG64" s="120" t="n"/>
      <c r="AH64" s="120" t="n"/>
      <c r="AI64" s="120" t="n"/>
      <c r="AJ64" s="106" t="n"/>
      <c r="AK64" s="106" t="n"/>
      <c r="AL64" s="106" t="n"/>
      <c r="AM64" s="106" t="n"/>
      <c r="AN64" s="106" t="n"/>
      <c r="AO64" s="106" t="n"/>
      <c r="AP64" s="106" t="n"/>
    </row>
    <row r="65" ht="16.2" customHeight="1" thickBot="1">
      <c r="A65" s="116">
        <f>IF($C65="","",ROW()-47)</f>
        <v/>
      </c>
      <c r="B65" s="117" t="n"/>
      <c r="C65" s="118" t="n"/>
      <c r="D65" s="119" t="n"/>
      <c r="E65" s="120" t="n"/>
      <c r="F65" s="147" t="n"/>
      <c r="G65" s="147" t="n"/>
      <c r="H65" s="148" t="n"/>
      <c r="I65" s="123" t="n"/>
      <c r="J65" s="120" t="n"/>
      <c r="K65" s="120" t="n"/>
      <c r="L65" s="120" t="n"/>
      <c r="M65" s="120" t="n"/>
      <c r="N65" s="120" t="n"/>
      <c r="O65" s="120" t="n"/>
      <c r="P65" s="120" t="n"/>
      <c r="Q65" s="120" t="n"/>
      <c r="R65" s="120" t="n"/>
      <c r="S65" s="120" t="n"/>
      <c r="T65" s="120" t="n"/>
      <c r="U65" s="120" t="n"/>
      <c r="V65" s="120" t="n"/>
      <c r="W65" s="120" t="n"/>
      <c r="X65" s="120" t="n"/>
      <c r="Y65" s="120" t="n"/>
      <c r="Z65" s="120" t="n"/>
      <c r="AA65" s="120" t="n"/>
      <c r="AB65" s="120" t="n"/>
      <c r="AC65" s="120" t="n"/>
      <c r="AD65" s="120" t="n"/>
      <c r="AE65" s="120" t="n"/>
      <c r="AF65" s="120" t="n"/>
      <c r="AG65" s="120" t="n"/>
      <c r="AH65" s="120" t="n"/>
      <c r="AI65" s="120" t="n"/>
      <c r="AJ65" s="106" t="n"/>
      <c r="AK65" s="106" t="n"/>
      <c r="AL65" s="106" t="n"/>
      <c r="AM65" s="106" t="n"/>
      <c r="AN65" s="106" t="n"/>
      <c r="AO65" s="106" t="n"/>
      <c r="AP65" s="106" t="n"/>
    </row>
    <row r="66" ht="16.2" customHeight="1" thickBot="1">
      <c r="A66" s="116">
        <f>IF($C66="","",ROW()-47)</f>
        <v/>
      </c>
      <c r="B66" s="117" t="n"/>
      <c r="C66" s="118" t="n"/>
      <c r="D66" s="119" t="n"/>
      <c r="E66" s="149" t="n"/>
      <c r="F66" s="121" t="n"/>
      <c r="G66" s="121" t="n"/>
      <c r="H66" s="123" t="n"/>
      <c r="I66" s="123" t="n"/>
      <c r="J66" s="120" t="n"/>
      <c r="K66" s="120" t="n"/>
      <c r="L66" s="120" t="n"/>
      <c r="M66" s="120" t="n"/>
      <c r="N66" s="120" t="n"/>
      <c r="O66" s="120" t="n"/>
      <c r="P66" s="120" t="n"/>
      <c r="Q66" s="120" t="n"/>
      <c r="R66" s="120" t="n"/>
      <c r="S66" s="120" t="n"/>
      <c r="T66" s="120" t="n"/>
      <c r="U66" s="120" t="n"/>
      <c r="V66" s="120" t="n"/>
      <c r="W66" s="120" t="n"/>
      <c r="X66" s="120" t="n"/>
      <c r="Y66" s="120" t="n"/>
      <c r="Z66" s="120" t="n"/>
      <c r="AA66" s="120" t="n"/>
      <c r="AB66" s="120" t="n"/>
      <c r="AC66" s="120" t="n"/>
      <c r="AD66" s="120" t="n"/>
      <c r="AE66" s="120" t="n"/>
      <c r="AF66" s="120" t="n"/>
      <c r="AG66" s="120" t="n"/>
      <c r="AH66" s="120" t="n"/>
      <c r="AI66" s="120" t="n"/>
      <c r="AJ66" s="106" t="n"/>
      <c r="AK66" s="106" t="n"/>
      <c r="AL66" s="106" t="n"/>
      <c r="AM66" s="106" t="n"/>
      <c r="AN66" s="106" t="n"/>
      <c r="AO66" s="106" t="n"/>
      <c r="AP66" s="106" t="n"/>
    </row>
    <row r="67" ht="16.2" customHeight="1" thickBot="1">
      <c r="A67" s="116">
        <f>IF($C67="","",ROW()-47)</f>
        <v/>
      </c>
      <c r="B67" s="117" t="n"/>
      <c r="C67" s="118" t="n"/>
      <c r="D67" s="119" t="n"/>
      <c r="E67" s="149" t="n"/>
      <c r="F67" s="121" t="n"/>
      <c r="G67" s="121" t="n"/>
      <c r="H67" s="123" t="n"/>
      <c r="I67" s="123" t="n"/>
      <c r="J67" s="120" t="n"/>
      <c r="K67" s="120" t="n"/>
      <c r="L67" s="120" t="n"/>
      <c r="M67" s="120" t="n"/>
      <c r="N67" s="120" t="n"/>
      <c r="O67" s="120" t="n"/>
      <c r="P67" s="120" t="n"/>
      <c r="Q67" s="120" t="n"/>
      <c r="R67" s="120" t="n"/>
      <c r="S67" s="120" t="n"/>
      <c r="T67" s="120" t="n"/>
      <c r="U67" s="120" t="n"/>
      <c r="V67" s="120" t="n"/>
      <c r="W67" s="120" t="n"/>
      <c r="X67" s="120" t="n"/>
      <c r="Y67" s="120" t="n"/>
      <c r="Z67" s="120" t="n"/>
      <c r="AA67" s="120" t="n"/>
      <c r="AB67" s="120" t="n"/>
      <c r="AC67" s="120" t="n"/>
      <c r="AD67" s="120" t="n"/>
      <c r="AE67" s="120" t="n"/>
      <c r="AF67" s="120" t="n"/>
      <c r="AG67" s="120" t="n"/>
      <c r="AH67" s="120" t="n"/>
      <c r="AI67" s="120" t="n"/>
      <c r="AJ67" s="106" t="n"/>
      <c r="AK67" s="106" t="n"/>
      <c r="AL67" s="106" t="n"/>
      <c r="AM67" s="106" t="n"/>
      <c r="AN67" s="106" t="n"/>
      <c r="AO67" s="106" t="n"/>
      <c r="AP67" s="106" t="n"/>
    </row>
    <row r="68" ht="16.2" customHeight="1" thickBot="1">
      <c r="A68" s="116">
        <f>IF($C68="","",ROW()-47)</f>
        <v/>
      </c>
      <c r="B68" s="117" t="n"/>
      <c r="C68" s="118" t="n"/>
      <c r="D68" s="119" t="n"/>
      <c r="E68" s="149" t="n"/>
      <c r="F68" s="121" t="n"/>
      <c r="G68" s="121" t="n"/>
      <c r="H68" s="123" t="n"/>
      <c r="I68" s="123" t="n"/>
      <c r="J68" s="120" t="n"/>
      <c r="K68" s="120" t="n"/>
      <c r="L68" s="120" t="n"/>
      <c r="M68" s="120" t="n"/>
      <c r="N68" s="120" t="n"/>
      <c r="O68" s="120" t="n"/>
      <c r="P68" s="120" t="n"/>
      <c r="Q68" s="120" t="n"/>
      <c r="R68" s="120" t="n"/>
      <c r="S68" s="120" t="n"/>
      <c r="T68" s="120" t="n"/>
      <c r="U68" s="120" t="n"/>
      <c r="V68" s="120" t="n"/>
      <c r="W68" s="120" t="n"/>
      <c r="X68" s="120" t="n"/>
      <c r="Y68" s="120" t="n"/>
      <c r="Z68" s="120" t="n"/>
      <c r="AA68" s="120" t="n"/>
      <c r="AB68" s="120" t="n"/>
      <c r="AC68" s="120" t="n"/>
      <c r="AD68" s="120" t="n"/>
      <c r="AE68" s="120" t="n"/>
      <c r="AF68" s="120" t="n"/>
      <c r="AG68" s="120" t="n"/>
      <c r="AH68" s="120" t="n"/>
      <c r="AI68" s="120" t="n"/>
      <c r="AJ68" s="106" t="n"/>
      <c r="AK68" s="106" t="n"/>
      <c r="AL68" s="106" t="n"/>
      <c r="AM68" s="106" t="n"/>
      <c r="AN68" s="106" t="n"/>
      <c r="AO68" s="106" t="n"/>
      <c r="AP68" s="106" t="n"/>
    </row>
    <row r="69" ht="16.2" customHeight="1" thickBot="1">
      <c r="A69" s="116">
        <f>IF($C69="","",ROW()-47)</f>
        <v/>
      </c>
      <c r="B69" s="117" t="n"/>
      <c r="C69" s="118" t="n"/>
      <c r="D69" s="119" t="n"/>
      <c r="E69" s="149" t="n"/>
      <c r="F69" s="121" t="n"/>
      <c r="G69" s="121" t="n"/>
      <c r="H69" s="123" t="n"/>
      <c r="I69" s="123" t="n"/>
      <c r="J69" s="120" t="n"/>
      <c r="K69" s="120" t="n"/>
      <c r="L69" s="120" t="n"/>
      <c r="M69" s="120" t="n"/>
      <c r="N69" s="120" t="n"/>
      <c r="O69" s="120" t="n"/>
      <c r="P69" s="120" t="n"/>
      <c r="Q69" s="120" t="n"/>
      <c r="R69" s="120" t="n"/>
      <c r="S69" s="120" t="n"/>
      <c r="T69" s="120" t="n"/>
      <c r="U69" s="120" t="n"/>
      <c r="V69" s="120" t="n"/>
      <c r="W69" s="120" t="n"/>
      <c r="X69" s="120" t="n"/>
      <c r="Y69" s="120" t="n"/>
      <c r="Z69" s="120" t="n"/>
      <c r="AA69" s="120" t="n"/>
      <c r="AB69" s="120" t="n"/>
      <c r="AC69" s="120" t="n"/>
      <c r="AD69" s="120" t="n"/>
      <c r="AE69" s="120" t="n"/>
      <c r="AF69" s="120" t="n"/>
      <c r="AG69" s="120" t="n"/>
      <c r="AH69" s="120" t="n"/>
      <c r="AI69" s="120" t="n"/>
      <c r="AJ69" s="106" t="n"/>
      <c r="AK69" s="106" t="n"/>
      <c r="AL69" s="106" t="n"/>
      <c r="AM69" s="106" t="n"/>
      <c r="AN69" s="106" t="n"/>
      <c r="AO69" s="106" t="n"/>
      <c r="AP69" s="106" t="n"/>
    </row>
    <row r="70" ht="16.2" customHeight="1" thickBot="1">
      <c r="A70" s="116">
        <f>IF($C70="","",ROW()-47)</f>
        <v/>
      </c>
      <c r="B70" s="117" t="n"/>
      <c r="C70" s="118" t="n"/>
      <c r="D70" s="119" t="n"/>
      <c r="E70" s="149" t="n"/>
      <c r="F70" s="121" t="n"/>
      <c r="G70" s="121" t="n"/>
      <c r="H70" s="123" t="n"/>
      <c r="I70" s="123" t="n"/>
      <c r="J70" s="120" t="n"/>
      <c r="K70" s="120" t="n"/>
      <c r="L70" s="120" t="n"/>
      <c r="M70" s="120" t="n"/>
      <c r="N70" s="120" t="n"/>
      <c r="O70" s="120" t="n"/>
      <c r="P70" s="120" t="n"/>
      <c r="Q70" s="120" t="n"/>
      <c r="R70" s="120" t="n"/>
      <c r="S70" s="120" t="n"/>
      <c r="T70" s="120" t="n"/>
      <c r="U70" s="120" t="n"/>
      <c r="V70" s="120" t="n"/>
      <c r="W70" s="120" t="n"/>
      <c r="X70" s="120" t="n"/>
      <c r="Y70" s="120" t="n"/>
      <c r="Z70" s="120" t="n"/>
      <c r="AA70" s="120" t="n"/>
      <c r="AB70" s="120" t="n"/>
      <c r="AC70" s="120" t="n"/>
      <c r="AD70" s="120" t="n"/>
      <c r="AE70" s="120" t="n"/>
      <c r="AF70" s="120" t="n"/>
      <c r="AG70" s="120" t="n"/>
      <c r="AH70" s="120" t="n"/>
      <c r="AI70" s="120" t="n"/>
      <c r="AJ70" s="106" t="n"/>
      <c r="AK70" s="106" t="n"/>
      <c r="AL70" s="106" t="n"/>
      <c r="AM70" s="106" t="n"/>
      <c r="AN70" s="106" t="n"/>
      <c r="AO70" s="106" t="n"/>
      <c r="AP70" s="106" t="n"/>
    </row>
    <row r="71" ht="16.2" customHeight="1" thickBot="1">
      <c r="A71" s="116">
        <f>IF($C71="","",ROW()-47)</f>
        <v/>
      </c>
      <c r="B71" s="117" t="n"/>
      <c r="C71" s="118" t="n"/>
      <c r="D71" s="119" t="n"/>
      <c r="E71" s="149" t="n"/>
      <c r="F71" s="121" t="n"/>
      <c r="G71" s="121" t="n"/>
      <c r="H71" s="123" t="n"/>
      <c r="I71" s="123" t="n"/>
      <c r="J71" s="120" t="n"/>
      <c r="K71" s="120" t="n"/>
      <c r="L71" s="120" t="n"/>
      <c r="M71" s="120" t="n"/>
      <c r="N71" s="120" t="n"/>
      <c r="O71" s="120" t="n"/>
      <c r="P71" s="120" t="n"/>
      <c r="Q71" s="120" t="n"/>
      <c r="R71" s="120" t="n"/>
      <c r="S71" s="120" t="n"/>
      <c r="T71" s="120" t="n"/>
      <c r="U71" s="120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  <c r="AF71" s="120" t="n"/>
      <c r="AG71" s="120" t="n"/>
      <c r="AH71" s="120" t="n"/>
      <c r="AI71" s="120" t="n"/>
      <c r="AJ71" s="106" t="n"/>
      <c r="AK71" s="106" t="n"/>
      <c r="AL71" s="106" t="n"/>
      <c r="AM71" s="106" t="n"/>
      <c r="AN71" s="106" t="n"/>
      <c r="AO71" s="106" t="n"/>
      <c r="AP71" s="106" t="n"/>
    </row>
    <row r="72" ht="16.2" customHeight="1" thickBot="1">
      <c r="A72" s="116">
        <f>IF($C72="","",ROW()-47)</f>
        <v/>
      </c>
      <c r="B72" s="117" t="n"/>
      <c r="C72" s="118" t="n"/>
      <c r="D72" s="119" t="n"/>
      <c r="E72" s="120" t="n"/>
      <c r="F72" s="106" t="n"/>
      <c r="G72" s="106" t="n"/>
      <c r="H72" s="106" t="n"/>
      <c r="I72" s="123" t="n"/>
      <c r="J72" s="120" t="n"/>
      <c r="K72" s="120" t="n"/>
      <c r="L72" s="120" t="n"/>
      <c r="M72" s="120" t="n"/>
      <c r="N72" s="120" t="n"/>
      <c r="O72" s="120" t="n"/>
      <c r="P72" s="120" t="n"/>
      <c r="Q72" s="120" t="n"/>
      <c r="R72" s="120" t="n"/>
      <c r="S72" s="120" t="n"/>
      <c r="T72" s="120" t="n"/>
      <c r="U72" s="120" t="n"/>
      <c r="V72" s="120" t="n"/>
      <c r="W72" s="120" t="n"/>
      <c r="X72" s="120" t="n"/>
      <c r="Y72" s="120" t="n"/>
      <c r="Z72" s="120" t="n"/>
      <c r="AA72" s="120" t="n"/>
      <c r="AB72" s="120" t="n"/>
      <c r="AC72" s="120" t="n"/>
      <c r="AD72" s="120" t="n"/>
      <c r="AE72" s="120" t="n"/>
      <c r="AF72" s="120" t="n"/>
      <c r="AG72" s="120" t="n"/>
      <c r="AH72" s="120" t="n"/>
      <c r="AI72" s="120" t="n"/>
      <c r="AJ72" s="106" t="n"/>
      <c r="AK72" s="106" t="n"/>
      <c r="AL72" s="106" t="n"/>
      <c r="AM72" s="106" t="n"/>
      <c r="AN72" s="106" t="n"/>
      <c r="AO72" s="106" t="n"/>
      <c r="AP72" s="106" t="n"/>
    </row>
    <row r="73" ht="16.2" customHeight="1" thickBot="1">
      <c r="A73" s="143">
        <f>IF($C73="","",ROW()-47)</f>
        <v/>
      </c>
      <c r="B73" s="144" t="n"/>
      <c r="C73" s="145" t="n"/>
      <c r="D73" s="144" t="n"/>
      <c r="E73" s="135" t="n"/>
      <c r="F73" s="135" t="n"/>
      <c r="G73" s="135" t="n"/>
      <c r="H73" s="135" t="n"/>
      <c r="I73" s="135" t="n"/>
      <c r="J73" s="135" t="n"/>
      <c r="K73" s="135" t="n"/>
      <c r="L73" s="135" t="n"/>
      <c r="M73" s="135" t="n"/>
      <c r="N73" s="135" t="n"/>
      <c r="O73" s="135" t="n"/>
      <c r="P73" s="106" t="n"/>
      <c r="Q73" s="106" t="n"/>
      <c r="R73" s="106" t="n"/>
      <c r="S73" s="106" t="n"/>
      <c r="T73" s="106" t="n"/>
      <c r="U73" s="106" t="n"/>
      <c r="V73" s="106" t="n"/>
      <c r="W73" s="106" t="n"/>
      <c r="X73" s="106" t="n"/>
      <c r="Y73" s="106" t="n"/>
      <c r="Z73" s="106" t="n"/>
      <c r="AA73" s="106" t="n"/>
      <c r="AB73" s="106" t="n"/>
      <c r="AC73" s="106" t="n"/>
      <c r="AD73" s="106" t="n"/>
      <c r="AE73" s="106" t="n"/>
      <c r="AF73" s="106" t="n"/>
      <c r="AG73" s="106" t="n"/>
      <c r="AH73" s="106" t="n"/>
      <c r="AI73" s="106" t="n"/>
      <c r="AJ73" s="106" t="n"/>
      <c r="AK73" s="106" t="n"/>
      <c r="AL73" s="106" t="n"/>
      <c r="AM73" s="106" t="n"/>
      <c r="AN73" s="106" t="n"/>
      <c r="AO73" s="106" t="n"/>
      <c r="AP73" s="106" t="n"/>
    </row>
    <row r="74" ht="15" customHeight="1" thickBot="1">
      <c r="A74" s="150" t="inlineStr">
        <is>
          <t>TOTAL DAILY CREWS MANPOWER</t>
        </is>
      </c>
      <c r="B74" s="137" t="n"/>
      <c r="C74" s="141" t="n"/>
      <c r="D74" s="140" t="inlineStr">
        <is>
          <t>SHIFT</t>
        </is>
      </c>
      <c r="E74" s="1">
        <f>IF(1&lt;=$AP$4,TEXT($AP$3+0,"ddd"),"")</f>
        <v/>
      </c>
      <c r="F74" s="1">
        <f>IF(2&lt;=$AP$4,TEXT($AP$3+1,"ddd"),"")</f>
        <v/>
      </c>
      <c r="G74" s="1">
        <f>IF(3&lt;=$AP$4,TEXT($AP$3+2,"ddd"),"")</f>
        <v/>
      </c>
      <c r="H74" s="1">
        <f>IF(4&lt;=$AP$4,TEXT($AP$3+3,"ddd"),"")</f>
        <v/>
      </c>
      <c r="I74" s="1">
        <f>IF(5&lt;=$AP$4,TEXT($AP$3+4,"ddd"),"")</f>
        <v/>
      </c>
      <c r="J74" s="1">
        <f>IF(6&lt;=$AP$4,TEXT($AP$3+5,"ddd"),"")</f>
        <v/>
      </c>
      <c r="K74" s="1">
        <f>IF(7&lt;=$AP$4,TEXT($AP$3+6,"ddd"),"")</f>
        <v/>
      </c>
      <c r="L74" s="1">
        <f>IF(8&lt;=$AP$4,TEXT($AP$3+7,"ddd"),"")</f>
        <v/>
      </c>
      <c r="M74" s="1">
        <f>IF(9&lt;=$AP$4,TEXT($AP$3+8,"ddd"),"")</f>
        <v/>
      </c>
      <c r="N74" s="1">
        <f>IF(10&lt;=$AP$4,TEXT($AP$3+9,"ddd"),"")</f>
        <v/>
      </c>
      <c r="O74" s="1">
        <f>IF(11&lt;=$AP$4,TEXT($AP$3+10,"ddd"),"")</f>
        <v/>
      </c>
      <c r="P74" s="1">
        <f>IF(12&lt;=$AP$4,TEXT($AP$3+11,"ddd"),"")</f>
        <v/>
      </c>
      <c r="Q74" s="1">
        <f>IF(13&lt;=$AP$4,TEXT($AP$3+12,"ddd"),"")</f>
        <v/>
      </c>
      <c r="R74" s="1">
        <f>IF(14&lt;=$AP$4,TEXT($AP$3+13,"ddd"),"")</f>
        <v/>
      </c>
      <c r="S74" s="1">
        <f>IF(15&lt;=$AP$4,TEXT($AP$3+14,"ddd"),"")</f>
        <v/>
      </c>
      <c r="T74" s="1">
        <f>IF(16&lt;=$AP$4,TEXT($AP$3+15,"ddd"),"")</f>
        <v/>
      </c>
      <c r="U74" s="1">
        <f>IF(17&lt;=$AP$4,TEXT($AP$3+16,"ddd"),"")</f>
        <v/>
      </c>
      <c r="V74" s="1">
        <f>IF(18&lt;=$AP$4,TEXT($AP$3+17,"ddd"),"")</f>
        <v/>
      </c>
      <c r="W74" s="1">
        <f>IF(19&lt;=$AP$4,TEXT($AP$3+18,"ddd"),"")</f>
        <v/>
      </c>
      <c r="X74" s="1">
        <f>IF(20&lt;=$AP$4,TEXT($AP$3+19,"ddd"),"")</f>
        <v/>
      </c>
      <c r="Y74" s="1">
        <f>IF(21&lt;=$AP$4,TEXT($AP$3+20,"ddd"),"")</f>
        <v/>
      </c>
      <c r="Z74" s="1">
        <f>IF(22&lt;=$AP$4,TEXT($AP$3+21,"ddd"),"")</f>
        <v/>
      </c>
      <c r="AA74" s="1">
        <f>IF(23&lt;=$AP$4,TEXT($AP$3+22,"ddd"),"")</f>
        <v/>
      </c>
      <c r="AB74" s="1">
        <f>IF(24&lt;=$AP$4,TEXT($AP$3+23,"ddd"),"")</f>
        <v/>
      </c>
      <c r="AC74" s="1">
        <f>IF(25&lt;=$AP$4,TEXT($AP$3+24,"ddd"),"")</f>
        <v/>
      </c>
      <c r="AD74" s="1">
        <f>IF(26&lt;=$AP$4,TEXT($AP$3+25,"ddd"),"")</f>
        <v/>
      </c>
      <c r="AE74" s="1">
        <f>IF(27&lt;=$AP$4,TEXT($AP$3+26,"ddd"),"")</f>
        <v/>
      </c>
      <c r="AF74" s="1">
        <f>IF(28&lt;=$AP$4,TEXT($AP$3+27,"ddd"),"")</f>
        <v/>
      </c>
      <c r="AG74" s="1">
        <f>IF(29&lt;=$AP$4,TEXT($AP$3+28,"ddd"),"")</f>
        <v/>
      </c>
      <c r="AH74" s="1">
        <f>IF(30&lt;=$AP$4,TEXT($AP$3+29,"ddd"),"")</f>
        <v/>
      </c>
      <c r="AI74" s="1">
        <f>IF(31&lt;=$AP$4,TEXT($AP$3+30,"ddd"),"")</f>
        <v/>
      </c>
      <c r="AJ74" s="106" t="n"/>
      <c r="AK74" s="106" t="n"/>
      <c r="AL74" s="106" t="n"/>
      <c r="AM74" s="106" t="n"/>
      <c r="AN74" s="106" t="n"/>
      <c r="AO74" s="106" t="n"/>
      <c r="AP74" s="106" t="n"/>
    </row>
    <row r="75" ht="16.2" customHeight="1" thickBot="1">
      <c r="A75" s="113" t="n"/>
      <c r="C75" s="151" t="n"/>
      <c r="D75" s="107" t="n"/>
      <c r="E75" s="2">
        <f>IF(1&lt;=$AP$4,IF($AP$1="P",DAY($AP$3+0),1),"")</f>
        <v/>
      </c>
      <c r="F75" s="2">
        <f>IF(2&lt;=$AP$4,IF($AP$1="P",DAY($AP$3+1),2),"")</f>
        <v/>
      </c>
      <c r="G75" s="2">
        <f>IF(3&lt;=$AP$4,IF($AP$1="P",DAY($AP$3+2),3),"")</f>
        <v/>
      </c>
      <c r="H75" s="2">
        <f>IF(4&lt;=$AP$4,IF($AP$1="P",DAY($AP$3+3),4),"")</f>
        <v/>
      </c>
      <c r="I75" s="3">
        <f>IF(5&lt;=$AP$4,IF($AP$1="P",DAY($AP$3+4),5),"")</f>
        <v/>
      </c>
      <c r="J75" s="4">
        <f>IF(6&lt;=$AP$4,IF($AP$1="P",DAY($AP$3+5),6),"")</f>
        <v/>
      </c>
      <c r="K75" s="4">
        <f>IF(7&lt;=$AP$4,IF($AP$1="P",DAY($AP$3+6),7),"")</f>
        <v/>
      </c>
      <c r="L75" s="3">
        <f>IF(8&lt;=$AP$4,IF($AP$1="P",DAY($AP$3+7),8),"")</f>
        <v/>
      </c>
      <c r="M75" s="4">
        <f>IF(9&lt;=$AP$4,IF($AP$1="P",DAY($AP$3+8),9),"")</f>
        <v/>
      </c>
      <c r="N75" s="2">
        <f>IF(10&lt;=$AP$4,IF($AP$1="P",DAY($AP$3+9),10),"")</f>
        <v/>
      </c>
      <c r="O75" s="2">
        <f>IF(11&lt;=$AP$4,IF($AP$1="P",DAY($AP$3+10),11),"")</f>
        <v/>
      </c>
      <c r="P75" s="2">
        <f>IF(12&lt;=$AP$4,IF($AP$1="P",DAY($AP$3+11),12),"")</f>
        <v/>
      </c>
      <c r="Q75" s="2">
        <f>IF(13&lt;=$AP$4,IF($AP$1="P",DAY($AP$3+12),13),"")</f>
        <v/>
      </c>
      <c r="R75" s="2">
        <f>IF(14&lt;=$AP$4,IF($AP$1="P",DAY($AP$3+13),14),"")</f>
        <v/>
      </c>
      <c r="S75" s="2">
        <f>IF(15&lt;=$AP$4,IF($AP$1="P",DAY($AP$3+14),15),"")</f>
        <v/>
      </c>
      <c r="T75" s="2">
        <f>IF(16&lt;=$AP$4,IF($AP$1="P",DAY($AP$3+15),16),"")</f>
        <v/>
      </c>
      <c r="U75" s="2">
        <f>IF(17&lt;=$AP$4,IF($AP$1="P",DAY($AP$3+16),17),"")</f>
        <v/>
      </c>
      <c r="V75" s="2">
        <f>IF(18&lt;=$AP$4,IF($AP$1="P",DAY($AP$3+17),18),"")</f>
        <v/>
      </c>
      <c r="W75" s="2">
        <f>IF(19&lt;=$AP$4,IF($AP$1="P",DAY($AP$3+18),19),"")</f>
        <v/>
      </c>
      <c r="X75" s="2">
        <f>IF(20&lt;=$AP$4,IF($AP$1="P",DAY($AP$3+19),20),"")</f>
        <v/>
      </c>
      <c r="Y75" s="2">
        <f>IF(21&lt;=$AP$4,IF($AP$1="P",DAY($AP$3+20),21),"")</f>
        <v/>
      </c>
      <c r="Z75" s="2">
        <f>IF(22&lt;=$AP$4,IF($AP$1="P",DAY($AP$3+21),22),"")</f>
        <v/>
      </c>
      <c r="AA75" s="2">
        <f>IF(23&lt;=$AP$4,IF($AP$1="P",DAY($AP$3+22),23),"")</f>
        <v/>
      </c>
      <c r="AB75" s="2">
        <f>IF(24&lt;=$AP$4,IF($AP$1="P",DAY($AP$3+23),24),"")</f>
        <v/>
      </c>
      <c r="AC75" s="2">
        <f>IF(25&lt;=$AP$4,IF($AP$1="P",DAY($AP$3+24),25),"")</f>
        <v/>
      </c>
      <c r="AD75" s="2">
        <f>IF(26&lt;=$AP$4,IF($AP$1="P",DAY($AP$3+25),26),"")</f>
        <v/>
      </c>
      <c r="AE75" s="2">
        <f>IF(27&lt;=$AP$4,IF($AP$1="P",DAY($AP$3+26),27),"")</f>
        <v/>
      </c>
      <c r="AF75" s="2">
        <f>IF(28&lt;=$AP$4,IF($AP$1="P",DAY($AP$3+27),28),"")</f>
        <v/>
      </c>
      <c r="AG75" s="2">
        <f>IF(29&lt;=$AP$4,IF($AP$1="P",DAY($AP$3+28),29),"")</f>
        <v/>
      </c>
      <c r="AH75" s="2">
        <f>IF(30&lt;=$AP$4,IF($AP$1="P",DAY($AP$3+29),30),"")</f>
        <v/>
      </c>
      <c r="AI75" s="2">
        <f>IF(31&lt;=$AP$4,IF($AP$1="P",DAY($AP$3+30),31),"")</f>
        <v/>
      </c>
      <c r="AJ75" s="106" t="n"/>
      <c r="AK75" s="106" t="n"/>
      <c r="AL75" s="106" t="n"/>
      <c r="AM75" s="106" t="n"/>
      <c r="AN75" s="106" t="n"/>
      <c r="AO75" s="106" t="n"/>
      <c r="AP75" s="106" t="n"/>
    </row>
    <row r="76" ht="16.2" customHeight="1" thickBot="1">
      <c r="A76" s="113" t="n"/>
      <c r="C76" s="151" t="n"/>
      <c r="D76" s="152" t="inlineStr">
        <is>
          <t>D</t>
        </is>
      </c>
      <c r="E76" s="16">
        <f>COUNTIF(E1:E73,"D")</f>
        <v/>
      </c>
      <c r="F76" s="16">
        <f>COUNTIF(F1:F73,"D")</f>
        <v/>
      </c>
      <c r="G76" s="16">
        <f>COUNTIF(G1:G73,"D")</f>
        <v/>
      </c>
      <c r="H76" s="16">
        <f>COUNTIF(H1:H73,"D")</f>
        <v/>
      </c>
      <c r="I76" s="16">
        <f>COUNTIF(I1:I73,"D")</f>
        <v/>
      </c>
      <c r="J76" s="16">
        <f>COUNTIF(J1:J73,"D")</f>
        <v/>
      </c>
      <c r="K76" s="16">
        <f>COUNTIF(K1:K73,"D")</f>
        <v/>
      </c>
      <c r="L76" s="16">
        <f>COUNTIF(L1:L73,"D")</f>
        <v/>
      </c>
      <c r="M76" s="16">
        <f>COUNTIF(M1:M73,"D")</f>
        <v/>
      </c>
      <c r="N76" s="16">
        <f>COUNTIF(N1:N73,"D")</f>
        <v/>
      </c>
      <c r="O76" s="16">
        <f>COUNTIF(O1:O73,"D")</f>
        <v/>
      </c>
      <c r="P76" s="16">
        <f>COUNTIF(P1:P73,"D")</f>
        <v/>
      </c>
      <c r="Q76" s="16">
        <f>COUNTIF(Q1:Q73,"D")</f>
        <v/>
      </c>
      <c r="R76" s="16">
        <f>COUNTIF(R1:R73,"D")</f>
        <v/>
      </c>
      <c r="S76" s="16">
        <f>COUNTIF(S1:S73,"D")</f>
        <v/>
      </c>
      <c r="T76" s="16">
        <f>COUNTIF(T1:T73,"D")</f>
        <v/>
      </c>
      <c r="U76" s="16">
        <f>COUNTIF(U1:U73,"D")</f>
        <v/>
      </c>
      <c r="V76" s="16">
        <f>COUNTIF(V1:V73,"D")</f>
        <v/>
      </c>
      <c r="W76" s="16">
        <f>COUNTIF(W1:W73,"D")</f>
        <v/>
      </c>
      <c r="X76" s="16">
        <f>COUNTIF(X1:X73,"D")</f>
        <v/>
      </c>
      <c r="Y76" s="16">
        <f>COUNTIF(Y1:Y73,"D")</f>
        <v/>
      </c>
      <c r="Z76" s="16">
        <f>COUNTIF(Z1:Z73,"D")</f>
        <v/>
      </c>
      <c r="AA76" s="16">
        <f>COUNTIF(AA1:AA73,"D")</f>
        <v/>
      </c>
      <c r="AB76" s="16">
        <f>COUNTIF(AB1:AB73,"D")</f>
        <v/>
      </c>
      <c r="AC76" s="16">
        <f>COUNTIF(AC1:AC73,"D")</f>
        <v/>
      </c>
      <c r="AD76" s="16">
        <f>COUNTIF(AD1:AD73,"D")</f>
        <v/>
      </c>
      <c r="AE76" s="16">
        <f>COUNTIF(AE1:AE73,"D")</f>
        <v/>
      </c>
      <c r="AF76" s="16">
        <f>COUNTIF(AF1:AF73,"D")</f>
        <v/>
      </c>
      <c r="AG76" s="16">
        <f>COUNTIF(AG1:AG73,"D")</f>
        <v/>
      </c>
      <c r="AH76" s="16">
        <f>COUNTIF(AH1:AH73,"D")</f>
        <v/>
      </c>
      <c r="AI76" s="16">
        <f>COUNTIF(AI1:AI73,"D")</f>
        <v/>
      </c>
      <c r="AJ76" s="106" t="n"/>
      <c r="AK76" s="106" t="n"/>
      <c r="AL76" s="106" t="n"/>
      <c r="AM76" s="106" t="n"/>
      <c r="AN76" s="106" t="n"/>
      <c r="AO76" s="106" t="n"/>
      <c r="AP76" s="106" t="n"/>
    </row>
    <row r="77" ht="16.2" customHeight="1" thickBot="1">
      <c r="A77" s="113" t="n"/>
      <c r="C77" s="151" t="n"/>
      <c r="D77" s="153" t="inlineStr">
        <is>
          <t>T</t>
        </is>
      </c>
      <c r="E77" s="18">
        <f>COUNTIF(E1:E73,"T")</f>
        <v/>
      </c>
      <c r="F77" s="18">
        <f>COUNTIF(F1:F73,"T")</f>
        <v/>
      </c>
      <c r="G77" s="18">
        <f>COUNTIF(G1:G73,"T")</f>
        <v/>
      </c>
      <c r="H77" s="18">
        <f>COUNTIF(H1:H73,"T")</f>
        <v/>
      </c>
      <c r="I77" s="18">
        <f>COUNTIF(I1:I73,"T")</f>
        <v/>
      </c>
      <c r="J77" s="18">
        <f>COUNTIF(J1:J73,"T")</f>
        <v/>
      </c>
      <c r="K77" s="18">
        <f>COUNTIF(K1:K73,"T")</f>
        <v/>
      </c>
      <c r="L77" s="18">
        <f>COUNTIF(L1:L73,"T")</f>
        <v/>
      </c>
      <c r="M77" s="18">
        <f>COUNTIF(M1:M73,"T")</f>
        <v/>
      </c>
      <c r="N77" s="18">
        <f>COUNTIF(N1:N73,"T")</f>
        <v/>
      </c>
      <c r="O77" s="18">
        <f>COUNTIF(O1:O73,"T")</f>
        <v/>
      </c>
      <c r="P77" s="18">
        <f>COUNTIF(P1:P73,"T")</f>
        <v/>
      </c>
      <c r="Q77" s="18">
        <f>COUNTIF(Q1:Q73,"T")</f>
        <v/>
      </c>
      <c r="R77" s="18">
        <f>COUNTIF(R1:R73,"T")</f>
        <v/>
      </c>
      <c r="S77" s="18">
        <f>COUNTIF(S1:S73,"T")</f>
        <v/>
      </c>
      <c r="T77" s="18">
        <f>COUNTIF(T1:T73,"T")</f>
        <v/>
      </c>
      <c r="U77" s="18">
        <f>COUNTIF(U1:U73,"T")</f>
        <v/>
      </c>
      <c r="V77" s="18">
        <f>COUNTIF(V1:V73,"T")</f>
        <v/>
      </c>
      <c r="W77" s="18">
        <f>COUNTIF(W1:W73,"T")</f>
        <v/>
      </c>
      <c r="X77" s="18">
        <f>COUNTIF(X1:X73,"T")</f>
        <v/>
      </c>
      <c r="Y77" s="18">
        <f>COUNTIF(Y1:Y73,"T")</f>
        <v/>
      </c>
      <c r="Z77" s="18">
        <f>COUNTIF(Z1:Z73,"T")</f>
        <v/>
      </c>
      <c r="AA77" s="18">
        <f>COUNTIF(AA1:AA73,"T")</f>
        <v/>
      </c>
      <c r="AB77" s="18">
        <f>COUNTIF(AB1:AB73,"T")</f>
        <v/>
      </c>
      <c r="AC77" s="18">
        <f>COUNTIF(AC1:AC73,"T")</f>
        <v/>
      </c>
      <c r="AD77" s="18">
        <f>COUNTIF(AD1:AD73,"T")</f>
        <v/>
      </c>
      <c r="AE77" s="18">
        <f>COUNTIF(AE1:AE73,"T")</f>
        <v/>
      </c>
      <c r="AF77" s="18">
        <f>COUNTIF(AF1:AF73,"T")</f>
        <v/>
      </c>
      <c r="AG77" s="18">
        <f>COUNTIF(AG1:AG73,"T")</f>
        <v/>
      </c>
      <c r="AH77" s="18">
        <f>COUNTIF(AH1:AH73,"T")</f>
        <v/>
      </c>
      <c r="AI77" s="18">
        <f>COUNTIF(AI1:AI73,"T")</f>
        <v/>
      </c>
      <c r="AJ77" s="106" t="n"/>
      <c r="AK77" s="106" t="n"/>
      <c r="AL77" s="106" t="n"/>
      <c r="AM77" s="106" t="n"/>
      <c r="AN77" s="106" t="n"/>
      <c r="AO77" s="106" t="n"/>
      <c r="AP77" s="106" t="n"/>
    </row>
    <row r="78" ht="16.2" customHeight="1" thickBot="1">
      <c r="A78" s="138" t="n"/>
      <c r="B78" s="139" t="n"/>
      <c r="C78" s="142" t="n"/>
      <c r="D78" s="154" t="inlineStr">
        <is>
          <t>G</t>
        </is>
      </c>
      <c r="E78" s="20">
        <f>COUNTIF(E1:E73,"G")</f>
        <v/>
      </c>
      <c r="F78" s="20">
        <f>COUNTIF(F1:F73,"G")</f>
        <v/>
      </c>
      <c r="G78" s="20">
        <f>COUNTIF(G1:G73,"G")</f>
        <v/>
      </c>
      <c r="H78" s="20">
        <f>COUNTIF(H1:H73,"G")</f>
        <v/>
      </c>
      <c r="I78" s="20">
        <f>COUNTIF(I1:I73,"G")</f>
        <v/>
      </c>
      <c r="J78" s="20">
        <f>COUNTIF(J1:J73,"G")</f>
        <v/>
      </c>
      <c r="K78" s="20">
        <f>COUNTIF(K1:K73,"G")</f>
        <v/>
      </c>
      <c r="L78" s="20">
        <f>COUNTIF(L1:L73,"G")</f>
        <v/>
      </c>
      <c r="M78" s="20">
        <f>COUNTIF(M1:M73,"G")</f>
        <v/>
      </c>
      <c r="N78" s="20">
        <f>COUNTIF(N1:N73,"G")</f>
        <v/>
      </c>
      <c r="O78" s="20">
        <f>COUNTIF(O1:O73,"G")</f>
        <v/>
      </c>
      <c r="P78" s="20">
        <f>COUNTIF(P1:P73,"G")</f>
        <v/>
      </c>
      <c r="Q78" s="20">
        <f>COUNTIF(Q1:Q73,"G")</f>
        <v/>
      </c>
      <c r="R78" s="20">
        <f>COUNTIF(R1:R73,"G")</f>
        <v/>
      </c>
      <c r="S78" s="20">
        <f>COUNTIF(S1:S73,"G")</f>
        <v/>
      </c>
      <c r="T78" s="20">
        <f>COUNTIF(T1:T73,"G")</f>
        <v/>
      </c>
      <c r="U78" s="20">
        <f>COUNTIF(U1:U73,"G")</f>
        <v/>
      </c>
      <c r="V78" s="20">
        <f>COUNTIF(V1:V73,"G")</f>
        <v/>
      </c>
      <c r="W78" s="20">
        <f>COUNTIF(W1:W73,"G")</f>
        <v/>
      </c>
      <c r="X78" s="20">
        <f>COUNTIF(X1:X73,"G")</f>
        <v/>
      </c>
      <c r="Y78" s="20">
        <f>COUNTIF(Y1:Y73,"G")</f>
        <v/>
      </c>
      <c r="Z78" s="20">
        <f>COUNTIF(Z1:Z73,"G")</f>
        <v/>
      </c>
      <c r="AA78" s="20">
        <f>COUNTIF(AA1:AA73,"G")</f>
        <v/>
      </c>
      <c r="AB78" s="20">
        <f>COUNTIF(AB1:AB73,"G")</f>
        <v/>
      </c>
      <c r="AC78" s="20">
        <f>COUNTIF(AC1:AC73,"G")</f>
        <v/>
      </c>
      <c r="AD78" s="20">
        <f>COUNTIF(AD1:AD73,"G")</f>
        <v/>
      </c>
      <c r="AE78" s="20">
        <f>COUNTIF(AE1:AE73,"G")</f>
        <v/>
      </c>
      <c r="AF78" s="20">
        <f>COUNTIF(AF1:AF73,"G")</f>
        <v/>
      </c>
      <c r="AG78" s="20">
        <f>COUNTIF(AG1:AG73,"G")</f>
        <v/>
      </c>
      <c r="AH78" s="20">
        <f>COUNTIF(AH1:AH73,"G")</f>
        <v/>
      </c>
      <c r="AI78" s="20">
        <f>COUNTIF(AI1:AI73,"G")</f>
        <v/>
      </c>
      <c r="AJ78" s="106" t="n"/>
      <c r="AK78" s="106" t="n"/>
      <c r="AL78" s="106" t="n"/>
      <c r="AM78" s="106" t="n"/>
      <c r="AN78" s="106" t="n"/>
      <c r="AO78" s="106" t="n"/>
      <c r="AP78" s="106" t="n"/>
    </row>
    <row r="79" ht="15" customHeight="1" thickBot="1">
      <c r="A79" s="106" t="n"/>
      <c r="B79" s="106" t="n"/>
      <c r="C79" s="106" t="n"/>
      <c r="D79" s="106" t="n"/>
      <c r="E79" s="106" t="n"/>
      <c r="F79" s="106" t="n"/>
      <c r="G79" s="106" t="n"/>
      <c r="H79" s="106" t="n"/>
      <c r="I79" s="106" t="n"/>
      <c r="J79" s="106" t="n"/>
      <c r="K79" s="106" t="n"/>
      <c r="L79" s="106" t="n"/>
      <c r="M79" s="106" t="n"/>
      <c r="N79" s="106" t="n"/>
      <c r="O79" s="106" t="n"/>
      <c r="P79" s="106" t="n"/>
      <c r="Q79" s="106" t="n"/>
      <c r="R79" s="106" t="n"/>
      <c r="S79" s="106" t="n"/>
      <c r="T79" s="106" t="n"/>
      <c r="U79" s="106" t="n"/>
      <c r="V79" s="106" t="n"/>
      <c r="W79" s="106" t="n"/>
      <c r="X79" s="106" t="n"/>
      <c r="Y79" s="106" t="n"/>
      <c r="Z79" s="106" t="n"/>
      <c r="AA79" s="106" t="n"/>
      <c r="AB79" s="106" t="n"/>
      <c r="AC79" s="106" t="n"/>
      <c r="AD79" s="106" t="n"/>
      <c r="AE79" s="106" t="n"/>
      <c r="AF79" s="106" t="n"/>
      <c r="AG79" s="106" t="n"/>
      <c r="AH79" s="106" t="n"/>
      <c r="AI79" s="106" t="n"/>
      <c r="AJ79" s="106" t="n"/>
      <c r="AK79" s="106" t="n"/>
      <c r="AL79" s="106" t="n"/>
      <c r="AM79" s="106" t="n"/>
      <c r="AN79" s="106" t="n"/>
      <c r="AO79" s="106" t="n"/>
      <c r="AP79" s="106" t="n"/>
    </row>
    <row r="80" ht="21" customHeight="1" thickBot="1">
      <c r="A80" s="106" t="n"/>
      <c r="B80" s="106" t="n"/>
      <c r="C80" s="106" t="n"/>
      <c r="D80" s="106" t="n"/>
      <c r="E80" s="140" t="inlineStr">
        <is>
          <t>SHIFT</t>
        </is>
      </c>
      <c r="F80" s="103" t="n"/>
      <c r="G80" s="103" t="n"/>
      <c r="H80" s="103" t="n"/>
      <c r="I80" s="103" t="n"/>
      <c r="J80" s="104" t="n"/>
      <c r="K80" s="106" t="n"/>
      <c r="L80" s="106" t="n"/>
      <c r="M80" s="106" t="n"/>
      <c r="N80" s="106" t="n"/>
      <c r="O80" s="106" t="n"/>
      <c r="P80" s="106" t="n"/>
      <c r="Q80" s="106" t="n"/>
      <c r="R80" s="106" t="n"/>
      <c r="S80" s="106" t="n"/>
      <c r="T80" s="106" t="n"/>
      <c r="U80" s="106" t="n"/>
      <c r="V80" s="106" t="n"/>
      <c r="W80" s="106" t="n"/>
      <c r="X80" s="106" t="n"/>
      <c r="Y80" s="106" t="n"/>
      <c r="Z80" s="106" t="n"/>
      <c r="AA80" s="106" t="n"/>
      <c r="AB80" s="106" t="n"/>
      <c r="AC80" s="106" t="n"/>
      <c r="AD80" s="106" t="n"/>
      <c r="AE80" s="106" t="n"/>
      <c r="AF80" s="106" t="n"/>
      <c r="AG80" s="106" t="n"/>
      <c r="AH80" s="106" t="n"/>
      <c r="AI80" s="106" t="n"/>
      <c r="AJ80" s="106" t="n"/>
      <c r="AK80" s="106" t="n"/>
      <c r="AL80" s="106" t="n"/>
      <c r="AM80" s="106" t="n"/>
      <c r="AN80" s="106" t="n"/>
      <c r="AO80" s="106" t="n"/>
      <c r="AP80" s="106" t="n"/>
    </row>
    <row r="81" ht="16.2" customHeight="1" thickBot="1">
      <c r="A81" s="106" t="n"/>
      <c r="B81" s="106" t="n"/>
      <c r="C81" s="106" t="n"/>
      <c r="D81" s="106" t="n"/>
      <c r="E81" s="155" t="inlineStr">
        <is>
          <t>D</t>
        </is>
      </c>
      <c r="F81" s="155" t="inlineStr">
        <is>
          <t>DAY (07:00 - 15:00)</t>
        </is>
      </c>
      <c r="G81" s="103" t="n"/>
      <c r="H81" s="103" t="n"/>
      <c r="I81" s="103" t="n"/>
      <c r="J81" s="104" t="n"/>
      <c r="K81" s="106" t="n"/>
      <c r="L81" s="106" t="n"/>
      <c r="M81" s="106" t="n"/>
      <c r="N81" s="106" t="n"/>
      <c r="O81" s="106" t="n"/>
      <c r="P81" s="106" t="n"/>
      <c r="Q81" s="106" t="n"/>
      <c r="R81" s="106" t="n"/>
      <c r="S81" s="106" t="n"/>
      <c r="T81" s="106" t="n"/>
      <c r="U81" s="106" t="n"/>
      <c r="V81" s="106" t="n"/>
      <c r="W81" s="106" t="n"/>
      <c r="X81" s="106" t="n"/>
      <c r="Y81" s="106" t="n"/>
      <c r="Z81" s="106" t="n"/>
      <c r="AA81" s="106" t="n"/>
      <c r="AB81" s="106" t="n"/>
      <c r="AC81" s="106" t="n"/>
      <c r="AD81" s="106" t="n"/>
      <c r="AE81" s="106" t="n"/>
      <c r="AF81" s="106" t="n"/>
      <c r="AG81" s="106" t="n"/>
      <c r="AH81" s="106" t="n"/>
      <c r="AI81" s="106" t="n"/>
      <c r="AJ81" s="106" t="n"/>
      <c r="AK81" s="106" t="n"/>
      <c r="AL81" s="106" t="n"/>
      <c r="AM81" s="106" t="n"/>
      <c r="AN81" s="106" t="n"/>
      <c r="AO81" s="106" t="n"/>
      <c r="AP81" s="106" t="n"/>
    </row>
    <row r="82" ht="16.2" customHeight="1" thickBot="1">
      <c r="A82" s="106" t="n"/>
      <c r="B82" s="106" t="n"/>
      <c r="C82" s="106" t="n"/>
      <c r="D82" s="106" t="n"/>
      <c r="E82" s="156" t="inlineStr">
        <is>
          <t>T</t>
        </is>
      </c>
      <c r="F82" s="156" t="inlineStr">
        <is>
          <t>TWI (15:00 - 23:00)</t>
        </is>
      </c>
      <c r="G82" s="103" t="n"/>
      <c r="H82" s="103" t="n"/>
      <c r="I82" s="103" t="n"/>
      <c r="J82" s="104" t="n"/>
      <c r="K82" s="106" t="n"/>
      <c r="L82" s="106" t="n"/>
      <c r="M82" s="157" t="inlineStr">
        <is>
          <t>ABDULLAH A. ALSHEHRY</t>
        </is>
      </c>
      <c r="N82" s="139" t="n"/>
      <c r="O82" s="139" t="n"/>
      <c r="P82" s="139" t="n"/>
      <c r="Q82" s="139" t="n"/>
      <c r="R82" s="139" t="n"/>
      <c r="S82" s="139" t="n"/>
      <c r="T82" s="106" t="n"/>
      <c r="U82" s="106" t="n"/>
      <c r="V82" s="106" t="n"/>
      <c r="W82" s="158">
        <f>UPPER(TEXT(TODAY(),"DDDD dd/mm/yyyy"))</f>
        <v/>
      </c>
      <c r="X82" s="139" t="n"/>
      <c r="Y82" s="139" t="n"/>
      <c r="Z82" s="139" t="n"/>
      <c r="AA82" s="139" t="n"/>
      <c r="AB82" s="139" t="n"/>
      <c r="AC82" s="139" t="n"/>
      <c r="AD82" s="106" t="n"/>
      <c r="AE82" s="106" t="n"/>
      <c r="AF82" s="106" t="n"/>
      <c r="AG82" s="106" t="n"/>
      <c r="AH82" s="106" t="n"/>
      <c r="AI82" s="106" t="n"/>
      <c r="AJ82" s="106" t="n"/>
      <c r="AK82" s="106" t="n"/>
      <c r="AL82" s="106" t="n"/>
      <c r="AM82" s="106" t="n"/>
      <c r="AN82" s="106" t="n"/>
      <c r="AO82" s="106" t="n"/>
      <c r="AP82" s="106" t="n"/>
    </row>
    <row r="83" ht="16.2" customHeight="1" thickBot="1">
      <c r="A83" s="106" t="n"/>
      <c r="B83" s="106" t="n"/>
      <c r="C83" s="106" t="n"/>
      <c r="D83" s="106" t="n"/>
      <c r="E83" s="159" t="inlineStr">
        <is>
          <t>G</t>
        </is>
      </c>
      <c r="F83" s="160" t="inlineStr">
        <is>
          <t>GRV (23:00 - 07:00)</t>
        </is>
      </c>
      <c r="G83" s="103" t="n"/>
      <c r="H83" s="103" t="n"/>
      <c r="I83" s="103" t="n"/>
      <c r="J83" s="104" t="n"/>
      <c r="K83" s="106" t="n"/>
      <c r="L83" s="106" t="n"/>
      <c r="M83" s="161" t="inlineStr">
        <is>
          <t>SPV CABIN SEC MGR</t>
        </is>
      </c>
      <c r="T83" s="106" t="n"/>
      <c r="U83" s="106" t="n"/>
      <c r="V83" s="106" t="n"/>
      <c r="W83" s="161" t="inlineStr">
        <is>
          <t>DATE</t>
        </is>
      </c>
      <c r="AD83" s="106" t="n"/>
      <c r="AE83" s="106" t="n"/>
      <c r="AF83" s="106" t="n"/>
      <c r="AG83" s="106" t="n"/>
      <c r="AH83" s="106" t="n"/>
      <c r="AI83" s="106" t="n"/>
      <c r="AJ83" s="106" t="n"/>
      <c r="AK83" s="106" t="n"/>
      <c r="AL83" s="106" t="n"/>
      <c r="AM83" s="106" t="n"/>
      <c r="AN83" s="106" t="n"/>
      <c r="AO83" s="106" t="n"/>
      <c r="AP83" s="106" t="n"/>
    </row>
    <row r="84">
      <c r="A84" s="106" t="n"/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  <c r="K84" s="106" t="n"/>
      <c r="L84" s="106" t="n"/>
      <c r="M84" s="106" t="n"/>
      <c r="N84" s="106" t="n"/>
      <c r="O84" s="106" t="n"/>
      <c r="P84" s="106" t="n"/>
      <c r="Q84" s="106" t="n"/>
      <c r="R84" s="106" t="n"/>
      <c r="S84" s="106" t="n"/>
      <c r="T84" s="106" t="n"/>
      <c r="U84" s="106" t="n"/>
      <c r="V84" s="106" t="n"/>
      <c r="W84" s="106" t="n"/>
      <c r="X84" s="106" t="n"/>
      <c r="Y84" s="106" t="n"/>
      <c r="Z84" s="106" t="n"/>
      <c r="AA84" s="106" t="n"/>
      <c r="AB84" s="106" t="n"/>
      <c r="AC84" s="106" t="n"/>
      <c r="AD84" s="106" t="n"/>
      <c r="AE84" s="106" t="n"/>
      <c r="AF84" s="106" t="n"/>
      <c r="AG84" s="106" t="n"/>
      <c r="AH84" s="106" t="n"/>
      <c r="AI84" s="106" t="n"/>
      <c r="AJ84" s="106" t="n"/>
      <c r="AK84" s="106" t="n"/>
      <c r="AL84" s="106" t="n"/>
      <c r="AM84" s="106" t="n"/>
      <c r="AN84" s="106" t="n"/>
      <c r="AO84" s="106" t="n"/>
      <c r="AP84" s="106" t="n"/>
    </row>
    <row r="85">
      <c r="A85" s="106" t="n"/>
      <c r="B85" s="106" t="n"/>
      <c r="C85" s="106" t="n"/>
      <c r="D85" s="106" t="n"/>
      <c r="E85" s="162" t="inlineStr">
        <is>
          <t>CODE LEGEND — ALL CODES</t>
        </is>
      </c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6" t="n"/>
      <c r="Y85" s="106" t="n"/>
      <c r="Z85" s="106" t="n"/>
      <c r="AA85" s="106" t="n"/>
      <c r="AB85" s="106" t="n"/>
      <c r="AC85" s="106" t="n"/>
      <c r="AD85" s="106" t="n"/>
      <c r="AE85" s="106" t="n"/>
      <c r="AF85" s="106" t="n"/>
      <c r="AG85" s="106" t="n"/>
      <c r="AH85" s="106" t="n"/>
      <c r="AI85" s="106" t="n"/>
      <c r="AJ85" s="106" t="n"/>
      <c r="AK85" s="106" t="n"/>
      <c r="AL85" s="106" t="n"/>
      <c r="AM85" s="106" t="n"/>
      <c r="AN85" s="106" t="n"/>
      <c r="AO85" s="106" t="n"/>
      <c r="AP85" s="106" t="n"/>
    </row>
    <row r="86" ht="16" customHeight="1">
      <c r="A86" s="106" t="n"/>
      <c r="B86" s="106" t="n"/>
      <c r="C86" s="106" t="n"/>
      <c r="D86" s="106" t="n"/>
      <c r="E86" s="163" t="inlineStr">
        <is>
          <t>D</t>
        </is>
      </c>
      <c r="F86" s="164" t="inlineStr">
        <is>
          <t>DAY</t>
        </is>
      </c>
      <c r="J86" s="106" t="n"/>
      <c r="K86" s="165" t="inlineStr">
        <is>
          <t>T</t>
        </is>
      </c>
      <c r="L86" s="164" t="inlineStr">
        <is>
          <t>TWILIGHT</t>
        </is>
      </c>
      <c r="P86" s="106" t="n"/>
      <c r="Q86" s="166" t="inlineStr">
        <is>
          <t>G</t>
        </is>
      </c>
      <c r="R86" s="164" t="inlineStr">
        <is>
          <t>GRAVEYARD</t>
        </is>
      </c>
      <c r="V86" s="106" t="n"/>
      <c r="W86" s="167" t="inlineStr">
        <is>
          <t>TR</t>
        </is>
      </c>
      <c r="X86" s="164" t="inlineStr">
        <is>
          <t>TRAINING</t>
        </is>
      </c>
      <c r="AB86" s="106" t="n"/>
      <c r="AC86" s="168" t="inlineStr">
        <is>
          <t>V</t>
        </is>
      </c>
      <c r="AD86" s="164" t="inlineStr">
        <is>
          <t>VACATION</t>
        </is>
      </c>
      <c r="AH86" s="106" t="n"/>
      <c r="AI86" s="106" t="n"/>
      <c r="AJ86" s="106" t="n"/>
      <c r="AK86" s="106" t="n"/>
      <c r="AL86" s="106" t="n"/>
      <c r="AM86" s="106" t="n"/>
      <c r="AN86" s="106" t="n"/>
      <c r="AO86" s="106" t="n"/>
      <c r="AP86" s="106" t="n"/>
    </row>
    <row r="87" ht="16" customHeight="1">
      <c r="A87" s="106" t="n"/>
      <c r="B87" s="106" t="n"/>
      <c r="C87" s="106" t="n"/>
      <c r="D87" s="106" t="n"/>
      <c r="E87" s="169" t="inlineStr">
        <is>
          <t>R</t>
        </is>
      </c>
      <c r="F87" s="164" t="inlineStr">
        <is>
          <t>REST/RDO</t>
        </is>
      </c>
      <c r="J87" s="106" t="n"/>
      <c r="K87" s="170" t="inlineStr">
        <is>
          <t>A</t>
        </is>
      </c>
      <c r="L87" s="164" t="inlineStr">
        <is>
          <t>ABSENT</t>
        </is>
      </c>
      <c r="P87" s="106" t="n"/>
      <c r="Q87" s="171" t="inlineStr">
        <is>
          <t>H</t>
        </is>
      </c>
      <c r="R87" s="164" t="inlineStr">
        <is>
          <t>HOLIDAY</t>
        </is>
      </c>
      <c r="V87" s="106" t="n"/>
      <c r="W87" s="172" t="inlineStr">
        <is>
          <t>OT</t>
        </is>
      </c>
      <c r="X87" s="164" t="inlineStr">
        <is>
          <t>OVERTIME</t>
        </is>
      </c>
      <c r="AB87" s="106" t="n"/>
      <c r="AC87" s="173" t="inlineStr">
        <is>
          <t>OS</t>
        </is>
      </c>
      <c r="AD87" s="164" t="inlineStr">
        <is>
          <t>OUTSTATION</t>
        </is>
      </c>
      <c r="AH87" s="106" t="n"/>
      <c r="AI87" s="106" t="n"/>
      <c r="AJ87" s="106" t="n"/>
      <c r="AK87" s="106" t="n"/>
      <c r="AL87" s="106" t="n"/>
      <c r="AM87" s="106" t="n"/>
      <c r="AN87" s="106" t="n"/>
      <c r="AO87" s="106" t="n"/>
      <c r="AP87" s="106" t="n"/>
    </row>
    <row r="88" ht="16" customHeight="1">
      <c r="A88" s="106" t="n"/>
      <c r="B88" s="106" t="n"/>
      <c r="C88" s="106" t="n"/>
      <c r="D88" s="106" t="n"/>
      <c r="E88" s="174" t="inlineStr">
        <is>
          <t>S/L</t>
        </is>
      </c>
      <c r="F88" s="164" t="inlineStr">
        <is>
          <t>SICK LEAVE</t>
        </is>
      </c>
      <c r="J88" s="106" t="n"/>
      <c r="K88" s="175" t="inlineStr">
        <is>
          <t>C/T</t>
        </is>
      </c>
      <c r="L88" s="164" t="inlineStr">
        <is>
          <t>COMP TIME</t>
        </is>
      </c>
      <c r="P88" s="106" t="n"/>
      <c r="Q88" s="176" t="inlineStr">
        <is>
          <t>L</t>
        </is>
      </c>
      <c r="R88" s="164" t="inlineStr">
        <is>
          <t>LATE/LEAVE</t>
        </is>
      </c>
      <c r="V88" s="106" t="n"/>
      <c r="W88" s="177" t="inlineStr">
        <is>
          <t>N</t>
        </is>
      </c>
      <c r="X88" s="164" t="inlineStr">
        <is>
          <t>NOTE</t>
        </is>
      </c>
      <c r="AB88" s="106" t="n"/>
      <c r="AC88" s="106" t="n"/>
      <c r="AD88" s="106" t="n"/>
      <c r="AE88" s="106" t="n"/>
      <c r="AF88" s="106" t="n"/>
      <c r="AG88" s="106" t="n"/>
      <c r="AH88" s="106" t="n"/>
      <c r="AI88" s="106" t="n"/>
      <c r="AJ88" s="106" t="n"/>
      <c r="AK88" s="106" t="n"/>
      <c r="AL88" s="106" t="n"/>
      <c r="AM88" s="106" t="n"/>
      <c r="AN88" s="106" t="n"/>
      <c r="AO88" s="106" t="n"/>
      <c r="AP88" s="106" t="n"/>
    </row>
    <row r="89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  <c r="K89" s="106" t="n"/>
      <c r="L89" s="106" t="n"/>
      <c r="M89" s="106" t="n"/>
      <c r="N89" s="106" t="n"/>
      <c r="O89" s="106" t="n"/>
      <c r="P89" s="106" t="n"/>
      <c r="Q89" s="106" t="n"/>
      <c r="R89" s="106" t="n"/>
      <c r="S89" s="106" t="n"/>
      <c r="T89" s="106" t="n"/>
      <c r="U89" s="106" t="n"/>
      <c r="V89" s="106" t="n"/>
      <c r="W89" s="106" t="n"/>
      <c r="X89" s="106" t="n"/>
      <c r="Y89" s="106" t="n"/>
      <c r="Z89" s="106" t="n"/>
      <c r="AA89" s="106" t="n"/>
      <c r="AB89" s="106" t="n"/>
      <c r="AC89" s="106" t="n"/>
      <c r="AD89" s="106" t="n"/>
      <c r="AE89" s="106" t="n"/>
      <c r="AF89" s="106" t="n"/>
      <c r="AG89" s="106" t="n"/>
      <c r="AH89" s="106" t="n"/>
      <c r="AI89" s="106" t="n"/>
      <c r="AJ89" s="106" t="n"/>
      <c r="AK89" s="106" t="n"/>
      <c r="AL89" s="106" t="n"/>
      <c r="AM89" s="106" t="n"/>
      <c r="AN89" s="106" t="n"/>
      <c r="AO89" s="106" t="n"/>
      <c r="AP89" s="106" t="n"/>
    </row>
    <row r="90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  <c r="K90" s="106" t="n"/>
      <c r="L90" s="106" t="n"/>
      <c r="M90" s="106" t="n"/>
      <c r="N90" s="106" t="n"/>
      <c r="O90" s="106" t="n"/>
      <c r="P90" s="106" t="n"/>
      <c r="Q90" s="106" t="n"/>
      <c r="R90" s="106" t="n"/>
      <c r="S90" s="106" t="n"/>
      <c r="T90" s="106" t="n"/>
      <c r="U90" s="106" t="n"/>
      <c r="V90" s="106" t="n"/>
      <c r="W90" s="106" t="n"/>
      <c r="X90" s="106" t="n"/>
      <c r="Y90" s="106" t="n"/>
      <c r="Z90" s="106" t="n"/>
      <c r="AA90" s="106" t="n"/>
      <c r="AB90" s="106" t="n"/>
      <c r="AC90" s="106" t="n"/>
      <c r="AD90" s="106" t="n"/>
      <c r="AE90" s="106" t="n"/>
      <c r="AF90" s="106" t="n"/>
      <c r="AG90" s="106" t="n"/>
      <c r="AH90" s="106" t="n"/>
      <c r="AI90" s="106" t="n"/>
      <c r="AJ90" s="106" t="n"/>
      <c r="AK90" s="106" t="n"/>
      <c r="AL90" s="106" t="n"/>
      <c r="AM90" s="106" t="n"/>
      <c r="AN90" s="106" t="n"/>
      <c r="AO90" s="106" t="n"/>
      <c r="AP90" s="106" t="n"/>
    </row>
    <row r="91">
      <c r="A91" s="106" t="n"/>
      <c r="B91" s="106" t="n"/>
      <c r="C91" s="106" t="n"/>
      <c r="D91" s="106" t="n"/>
      <c r="E91" s="106" t="n"/>
      <c r="F91" s="106" t="n"/>
      <c r="G91" s="106" t="n"/>
      <c r="H91" s="106" t="n"/>
      <c r="I91" s="106" t="n"/>
      <c r="J91" s="106" t="n"/>
      <c r="K91" s="106" t="n"/>
      <c r="L91" s="106" t="n"/>
      <c r="M91" s="106" t="n"/>
      <c r="N91" s="106" t="n"/>
      <c r="O91" s="106" t="n"/>
      <c r="P91" s="106" t="n"/>
      <c r="Q91" s="106" t="n"/>
      <c r="R91" s="106" t="n"/>
      <c r="S91" s="106" t="n"/>
      <c r="T91" s="106" t="n"/>
      <c r="U91" s="106" t="n"/>
      <c r="V91" s="106" t="n"/>
      <c r="W91" s="106" t="n"/>
      <c r="X91" s="106" t="n"/>
      <c r="Y91" s="106" t="n"/>
      <c r="Z91" s="106" t="n"/>
      <c r="AA91" s="106" t="n"/>
      <c r="AB91" s="106" t="n"/>
      <c r="AC91" s="106" t="n"/>
      <c r="AD91" s="106" t="n"/>
      <c r="AE91" s="106" t="n"/>
      <c r="AF91" s="106" t="n"/>
      <c r="AG91" s="106" t="n"/>
      <c r="AH91" s="106" t="n"/>
      <c r="AI91" s="106" t="n"/>
      <c r="AJ91" s="106" t="n"/>
      <c r="AK91" s="106" t="n"/>
      <c r="AL91" s="106" t="n"/>
      <c r="AM91" s="106" t="n"/>
      <c r="AN91" s="106" t="n"/>
      <c r="AO91" s="106" t="n"/>
      <c r="AP91" s="106" t="n"/>
    </row>
    <row r="92">
      <c r="A92" s="106" t="n"/>
      <c r="B92" s="106" t="n"/>
      <c r="C92" s="106" t="n"/>
      <c r="D92" s="106" t="n"/>
      <c r="E92" s="106" t="n"/>
      <c r="F92" s="106" t="n"/>
      <c r="G92" s="106" t="n"/>
      <c r="H92" s="106" t="n"/>
      <c r="I92" s="106" t="n"/>
      <c r="J92" s="106" t="n"/>
      <c r="K92" s="106" t="n"/>
      <c r="L92" s="106" t="n"/>
      <c r="M92" s="106" t="n"/>
      <c r="N92" s="106" t="n"/>
      <c r="O92" s="106" t="n"/>
      <c r="P92" s="106" t="n"/>
      <c r="Q92" s="106" t="n"/>
      <c r="R92" s="106" t="n"/>
      <c r="S92" s="106" t="n"/>
      <c r="T92" s="106" t="n"/>
      <c r="U92" s="106" t="n"/>
      <c r="V92" s="106" t="n"/>
      <c r="W92" s="106" t="n"/>
      <c r="X92" s="106" t="n"/>
      <c r="Y92" s="106" t="n"/>
      <c r="Z92" s="106" t="n"/>
      <c r="AA92" s="106" t="n"/>
      <c r="AB92" s="106" t="n"/>
      <c r="AC92" s="106" t="n"/>
      <c r="AD92" s="106" t="n"/>
      <c r="AE92" s="106" t="n"/>
      <c r="AF92" s="106" t="n"/>
      <c r="AG92" s="106" t="n"/>
      <c r="AH92" s="106" t="n"/>
      <c r="AI92" s="106" t="n"/>
      <c r="AJ92" s="106" t="n"/>
      <c r="AK92" s="106" t="n"/>
      <c r="AL92" s="106" t="n"/>
      <c r="AM92" s="106" t="n"/>
      <c r="AN92" s="106" t="n"/>
      <c r="AO92" s="106" t="n"/>
      <c r="AP92" s="106" t="n"/>
    </row>
    <row r="93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  <c r="K93" s="106" t="n"/>
      <c r="L93" s="106" t="n"/>
      <c r="M93" s="106" t="n"/>
      <c r="N93" s="106" t="n"/>
      <c r="O93" s="106" t="n"/>
      <c r="P93" s="106" t="n"/>
      <c r="Q93" s="106" t="n"/>
      <c r="R93" s="106" t="n"/>
      <c r="S93" s="106" t="n"/>
      <c r="T93" s="106" t="n"/>
      <c r="U93" s="106" t="n"/>
      <c r="V93" s="106" t="n"/>
      <c r="W93" s="106" t="n"/>
      <c r="X93" s="106" t="n"/>
      <c r="Y93" s="106" t="n"/>
      <c r="Z93" s="106" t="n"/>
      <c r="AA93" s="106" t="n"/>
      <c r="AB93" s="106" t="n"/>
      <c r="AC93" s="106" t="n"/>
      <c r="AD93" s="106" t="n"/>
      <c r="AE93" s="106" t="n"/>
      <c r="AF93" s="106" t="n"/>
      <c r="AG93" s="106" t="n"/>
      <c r="AH93" s="106" t="n"/>
      <c r="AI93" s="106" t="n"/>
      <c r="AJ93" s="106" t="n"/>
      <c r="AK93" s="106" t="n"/>
      <c r="AL93" s="106" t="n"/>
      <c r="AM93" s="106" t="n"/>
      <c r="AN93" s="106" t="n"/>
      <c r="AO93" s="106" t="n"/>
      <c r="AP93" s="106" t="n"/>
    </row>
    <row r="94">
      <c r="A94" s="106" t="n"/>
      <c r="B94" s="106" t="n"/>
      <c r="C94" s="106" t="n"/>
      <c r="D94" s="106" t="n"/>
      <c r="E94" s="106" t="n"/>
      <c r="F94" s="106" t="n"/>
      <c r="G94" s="106" t="n"/>
      <c r="H94" s="106" t="n"/>
      <c r="I94" s="106" t="n"/>
      <c r="J94" s="106" t="n"/>
      <c r="K94" s="106" t="n"/>
      <c r="L94" s="106" t="n"/>
      <c r="M94" s="106" t="n"/>
      <c r="N94" s="106" t="n"/>
      <c r="O94" s="106" t="n"/>
      <c r="P94" s="106" t="n"/>
      <c r="Q94" s="106" t="n"/>
      <c r="R94" s="106" t="n"/>
      <c r="S94" s="106" t="n"/>
      <c r="T94" s="106" t="n"/>
      <c r="U94" s="106" t="n"/>
      <c r="V94" s="106" t="n"/>
      <c r="W94" s="106" t="n"/>
      <c r="X94" s="106" t="n"/>
      <c r="Y94" s="106" t="n"/>
      <c r="Z94" s="106" t="n"/>
      <c r="AA94" s="106" t="n"/>
      <c r="AB94" s="106" t="n"/>
      <c r="AC94" s="106" t="n"/>
      <c r="AD94" s="106" t="n"/>
      <c r="AE94" s="106" t="n"/>
      <c r="AF94" s="106" t="n"/>
      <c r="AG94" s="106" t="n"/>
      <c r="AH94" s="106" t="n"/>
      <c r="AI94" s="106" t="n"/>
      <c r="AJ94" s="106" t="n"/>
      <c r="AK94" s="106" t="n"/>
      <c r="AL94" s="106" t="n"/>
      <c r="AM94" s="106" t="n"/>
      <c r="AN94" s="106" t="n"/>
      <c r="AO94" s="106" t="n"/>
      <c r="AP94" s="106" t="n"/>
    </row>
    <row r="9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  <c r="K95" s="106" t="n"/>
      <c r="L95" s="106" t="n"/>
      <c r="M95" s="106" t="n"/>
      <c r="N95" s="106" t="n"/>
      <c r="O95" s="106" t="n"/>
      <c r="P95" s="106" t="n"/>
      <c r="Q95" s="106" t="n"/>
      <c r="R95" s="106" t="n"/>
      <c r="S95" s="106" t="n"/>
      <c r="T95" s="106" t="n"/>
      <c r="U95" s="106" t="n"/>
      <c r="V95" s="106" t="n"/>
      <c r="W95" s="106" t="n"/>
      <c r="X95" s="106" t="n"/>
      <c r="Y95" s="106" t="n"/>
      <c r="Z95" s="106" t="n"/>
      <c r="AA95" s="106" t="n"/>
      <c r="AB95" s="106" t="n"/>
      <c r="AC95" s="106" t="n"/>
      <c r="AD95" s="106" t="n"/>
      <c r="AE95" s="106" t="n"/>
      <c r="AF95" s="106" t="n"/>
      <c r="AG95" s="106" t="n"/>
      <c r="AH95" s="106" t="n"/>
      <c r="AI95" s="106" t="n"/>
      <c r="AJ95" s="106" t="n"/>
      <c r="AK95" s="106" t="n"/>
      <c r="AL95" s="106" t="n"/>
      <c r="AM95" s="106" t="n"/>
      <c r="AN95" s="106" t="n"/>
      <c r="AO95" s="106" t="n"/>
      <c r="AP95" s="106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49">
    <mergeCell ref="X88:AA88"/>
    <mergeCell ref="E2:AC2"/>
    <mergeCell ref="C1:C2"/>
    <mergeCell ref="AK6:AN6"/>
    <mergeCell ref="AD87:AG87"/>
    <mergeCell ref="A74:C78"/>
    <mergeCell ref="W82:AC82"/>
    <mergeCell ref="E80:J80"/>
    <mergeCell ref="F83:J83"/>
    <mergeCell ref="F88:I88"/>
    <mergeCell ref="L86:O86"/>
    <mergeCell ref="AL5:AN5"/>
    <mergeCell ref="A46:D47"/>
    <mergeCell ref="AD1:AI2"/>
    <mergeCell ref="A3:D4"/>
    <mergeCell ref="AL8:AN8"/>
    <mergeCell ref="F87:I87"/>
    <mergeCell ref="E62:H62"/>
    <mergeCell ref="B1:B2"/>
    <mergeCell ref="M83:S83"/>
    <mergeCell ref="AK7:AN7"/>
    <mergeCell ref="X86:AA86"/>
    <mergeCell ref="AL4:AN4"/>
    <mergeCell ref="R88:U88"/>
    <mergeCell ref="E64:H64"/>
    <mergeCell ref="R87:U87"/>
    <mergeCell ref="F81:J81"/>
    <mergeCell ref="A22:D23"/>
    <mergeCell ref="D74:D75"/>
    <mergeCell ref="W83:AC83"/>
    <mergeCell ref="A42:D43"/>
    <mergeCell ref="AK3:AN3"/>
    <mergeCell ref="M82:S82"/>
    <mergeCell ref="L87:O87"/>
    <mergeCell ref="X87:AA87"/>
    <mergeCell ref="F86:I86"/>
    <mergeCell ref="AL9:AN9"/>
    <mergeCell ref="E63:H63"/>
    <mergeCell ref="E60:H60"/>
    <mergeCell ref="E1:AC1"/>
    <mergeCell ref="E65:H65"/>
    <mergeCell ref="L88:O88"/>
    <mergeCell ref="F82:J82"/>
    <mergeCell ref="R86:U86"/>
    <mergeCell ref="D1:D2"/>
    <mergeCell ref="E59:H59"/>
    <mergeCell ref="AD86:AG86"/>
    <mergeCell ref="AK10:AN10"/>
    <mergeCell ref="A1:A2"/>
  </mergeCells>
  <conditionalFormatting sqref="E21:O21 E24:AI40 E44:AI44 E45:O45 E48:AI56 E57:E72 E73:O73 I57:AI72">
    <cfRule type="containsText" priority="13" operator="containsText" dxfId="5" text="TR">
      <formula>NOT(ISERROR(SEARCH("TR",E21)))</formula>
    </cfRule>
    <cfRule type="containsText" priority="14" operator="containsText" dxfId="4" text="V">
      <formula>NOT(ISERROR(SEARCH("V",E21)))</formula>
    </cfRule>
    <cfRule type="containsText" priority="15" operator="containsText" dxfId="3" text="R">
      <formula>NOT(ISERROR(SEARCH("R",E21)))</formula>
    </cfRule>
    <cfRule type="containsText" priority="16" operator="containsText" dxfId="2" text="G">
      <formula>NOT(ISERROR(SEARCH("G",E21)))</formula>
    </cfRule>
    <cfRule type="containsText" priority="17" operator="containsText" dxfId="1" text="T">
      <formula>NOT(ISERROR(SEARCH("T",E21)))</formula>
    </cfRule>
    <cfRule type="containsText" priority="18" operator="containsText" dxfId="0" text="D">
      <formula>NOT(ISERROR(SEARCH("D",E21)))</formula>
    </cfRule>
  </conditionalFormatting>
  <conditionalFormatting sqref="E5:AI20">
    <cfRule type="containsText" priority="1" operator="containsText" dxfId="5" text="TR">
      <formula>NOT(ISERROR(SEARCH("TR",E5)))</formula>
    </cfRule>
    <cfRule type="containsText" priority="2" operator="containsText" dxfId="4" text="V">
      <formula>NOT(ISERROR(SEARCH("V",E5)))</formula>
    </cfRule>
    <cfRule type="containsText" priority="3" operator="containsText" dxfId="3" text="R">
      <formula>NOT(ISERROR(SEARCH("R",E5)))</formula>
    </cfRule>
    <cfRule type="containsText" priority="4" operator="containsText" dxfId="2" text="G">
      <formula>NOT(ISERROR(SEARCH("G",E5)))</formula>
    </cfRule>
    <cfRule type="containsText" priority="5" operator="containsText" dxfId="1" text="T">
      <formula>NOT(ISERROR(SEARCH("T",E5)))</formula>
    </cfRule>
    <cfRule type="containsText" priority="6" operator="containsText" dxfId="0" text="D">
      <formula>NOT(ISERROR(SEARCH("D",E5)))</formula>
    </cfRule>
  </conditionalFormatting>
  <conditionalFormatting sqref="E5:AI73">
    <cfRule type="cellIs" priority="13" operator="equal" dxfId="12">
      <formula>"A"</formula>
    </cfRule>
    <cfRule type="cellIs" priority="14" operator="equal" dxfId="13">
      <formula>"H"</formula>
    </cfRule>
    <cfRule type="cellIs" priority="15" operator="equal" dxfId="14">
      <formula>"OT"</formula>
    </cfRule>
    <cfRule type="cellIs" priority="16" operator="equal" dxfId="15">
      <formula>"OS"</formula>
    </cfRule>
    <cfRule type="cellIs" priority="17" operator="equal" dxfId="16">
      <formula>"S/L"</formula>
    </cfRule>
    <cfRule type="cellIs" priority="18" operator="equal" dxfId="17">
      <formula>"C/T"</formula>
    </cfRule>
    <cfRule type="cellIs" priority="19" operator="equal" dxfId="18">
      <formula>"L"</formula>
    </cfRule>
    <cfRule type="cellIs" priority="20" operator="equal" dxfId="19">
      <formula>"N"</formula>
    </cfRule>
  </conditionalFormatting>
  <conditionalFormatting sqref="A5:D73">
    <cfRule type="expression" priority="21" dxfId="20">
      <formula>$D5="OJT"</formula>
    </cfRule>
    <cfRule type="expression" priority="22" dxfId="21">
      <formula>$D5="ACT/SUPV"</formula>
    </cfRule>
  </conditionalFormatting>
  <printOptions horizontalCentered="1"/>
  <pageMargins left="0.25" right="0.25" top="0.3" bottom="0.3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Saeed Alghamdi</dc:creator>
  <dcterms:created xmlns:dcterms="http://purl.org/dc/terms/" xmlns:xsi="http://www.w3.org/2001/XMLSchema-instance" xsi:type="dcterms:W3CDTF">2026-07-02T08:03:38Z</dcterms:created>
  <dcterms:modified xmlns:dcterms="http://purl.org/dc/terms/" xmlns:xsi="http://www.w3.org/2001/XMLSchema-instance" xsi:type="dcterms:W3CDTF">2026-09-09T18:28:15Z</dcterms:modified>
  <cp:lastModifiedBy>Ahmed Saeed Alghamdi</cp:lastModifiedBy>
</cp:coreProperties>
</file>