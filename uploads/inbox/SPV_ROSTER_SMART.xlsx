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'ROSTER'!$A$1:$AI$79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1">
    <numFmt numFmtId="164" formatCode="mmmm\ yyyy"/>
  </numFmts>
  <fonts count="29">
    <font>
      <name val="Times New Roman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Times New Roman"/>
      <family val="1"/>
      <b val="1"/>
      <sz val="12"/>
    </font>
    <font>
      <name val="Times New Roman"/>
      <b val="1"/>
      <color rgb="FFFFFFFF"/>
      <sz val="9"/>
    </font>
    <font>
      <name val="Times New Roman"/>
      <b val="1"/>
      <color rgb="FF6B7280"/>
      <sz val="9"/>
    </font>
    <font>
      <name val="Times New Roman"/>
      <b val="1"/>
      <sz val="8.5"/>
    </font>
    <font>
      <name val="Times New Roman"/>
      <b val="1"/>
      <color rgb="FFB45309"/>
      <sz val="11"/>
    </font>
    <font>
      <name val="Times New Roman"/>
      <sz val="11"/>
    </font>
    <font>
      <name val="Times New Roman"/>
      <sz val="12"/>
    </font>
    <font>
      <name val="Times New Roman"/>
      <b val="1"/>
      <color rgb="FF196B24"/>
      <sz val="10"/>
    </font>
    <font>
      <name val="Times New Roman"/>
      <b val="1"/>
      <color rgb="FF196B24"/>
      <sz val="8.5"/>
    </font>
    <font>
      <name val="Aptos Narrow"/>
      <family val="2"/>
      <b val="1"/>
      <color theme="1"/>
      <sz val="11"/>
      <scheme val="minor"/>
    </font>
    <font>
      <name val="Times New Roman"/>
      <family val="1"/>
      <b val="1"/>
      <sz val="9"/>
    </font>
    <font>
      <name val="Times New Roman"/>
      <family val="1"/>
      <b val="1"/>
      <color rgb="FFF9FAFB"/>
      <sz val="10"/>
    </font>
    <font>
      <name val="Times New Roman"/>
      <family val="1"/>
      <b val="1"/>
      <color rgb="FF7E22CE"/>
      <sz val="10"/>
    </font>
    <font>
      <name val="Times New Roman"/>
      <family val="1"/>
      <b val="1"/>
      <color rgb="FFC2410C"/>
      <sz val="10"/>
    </font>
    <font>
      <name val="Times New Roman"/>
      <family val="1"/>
      <b val="1"/>
      <color rgb="FF3730A3"/>
      <sz val="10"/>
    </font>
    <font>
      <name val="Times New Roman"/>
      <family val="1"/>
      <b val="1"/>
      <color rgb="FFBE123C"/>
      <sz val="10"/>
    </font>
    <font>
      <name val="Times New Roman"/>
      <family val="1"/>
      <b val="1"/>
      <color rgb="FF3F6212"/>
      <sz val="10"/>
    </font>
    <font>
      <name val="Times New Roman"/>
      <family val="1"/>
      <b val="1"/>
      <color rgb="FF475569"/>
      <sz val="10"/>
    </font>
    <font>
      <name val="Times New Roman"/>
      <family val="1"/>
      <b val="1"/>
      <color rgb="FF713F12"/>
      <sz val="10"/>
    </font>
    <font>
      <name val="Times New Roman"/>
      <b val="1"/>
      <sz val="12"/>
    </font>
  </fonts>
  <fills count="25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96B24"/>
      </patternFill>
    </fill>
    <fill>
      <patternFill patternType="solid">
        <fgColor rgb="FFEEF2F0"/>
      </patternFill>
    </fill>
    <fill>
      <patternFill patternType="solid">
        <fgColor rgb="FFFFF8E1"/>
      </patternFill>
    </fill>
    <fill>
      <patternFill patternType="solid">
        <fgColor rgb="FFFFFF99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499984740745262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9" tint="0.3999450666829432"/>
        <bgColor indexed="65"/>
      </patternFill>
    </fill>
    <fill>
      <patternFill patternType="solid">
        <fgColor theme="0" tint="-0.249946592608417"/>
        <bgColor indexed="65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7F8C8D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7F8C8D"/>
      </top>
      <bottom/>
      <diagonal/>
    </border>
    <border>
      <left/>
      <right style="thin">
        <color rgb="FF7F8C8D"/>
      </right>
      <top style="thin">
        <color rgb="FF7F8C8D"/>
      </top>
      <bottom/>
      <diagonal/>
    </border>
    <border>
      <left/>
      <right style="thin">
        <color rgb="FF7F8C8D"/>
      </right>
      <top style="thin">
        <color rgb="FF7F8C8D"/>
      </top>
      <bottom style="thin">
        <color rgb="FF7F8C8D"/>
      </bottom>
      <diagonal/>
    </border>
  </borders>
  <cellStyleXfs count="1">
    <xf numFmtId="0" fontId="0" fillId="0" borderId="29"/>
  </cellStyleXfs>
  <cellXfs count="108">
    <xf numFmtId="0" fontId="0" fillId="0" borderId="0" pivotButton="0" quotePrefix="0" xfId="0"/>
    <xf numFmtId="0" fontId="2" fillId="3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5" borderId="8" applyAlignment="1" pivotButton="0" quotePrefix="0" xfId="0">
      <alignment horizontal="center" vertical="center"/>
    </xf>
    <xf numFmtId="0" fontId="6" fillId="5" borderId="12" applyAlignment="1" pivotButton="0" quotePrefix="0" xfId="0">
      <alignment horizontal="center" vertical="center"/>
    </xf>
    <xf numFmtId="0" fontId="4" fillId="6" borderId="8" applyAlignment="1" pivotButton="0" quotePrefix="0" xfId="0">
      <alignment horizontal="center" vertical="center"/>
    </xf>
    <xf numFmtId="0" fontId="6" fillId="6" borderId="12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6" fillId="7" borderId="12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2" fillId="3" borderId="23" applyAlignment="1" pivotButton="0" quotePrefix="0" xfId="0">
      <alignment horizontal="center" vertical="center"/>
    </xf>
    <xf numFmtId="0" fontId="2" fillId="3" borderId="24" applyAlignment="1" pivotButton="0" quotePrefix="0" xfId="0">
      <alignment horizontal="center" vertical="center"/>
    </xf>
    <xf numFmtId="0" fontId="9" fillId="5" borderId="12" applyAlignment="1" pivotButton="0" quotePrefix="0" xfId="0">
      <alignment horizontal="center" vertical="center"/>
    </xf>
    <xf numFmtId="0" fontId="9" fillId="6" borderId="12" applyAlignment="1" pivotButton="0" quotePrefix="0" xfId="0">
      <alignment horizontal="center" vertical="center"/>
    </xf>
    <xf numFmtId="0" fontId="9" fillId="7" borderId="5" applyAlignment="1" pivotButton="0" quotePrefix="0" xfId="0">
      <alignment horizontal="center" vertical="center"/>
    </xf>
    <xf numFmtId="0" fontId="12" fillId="9" borderId="27" applyAlignment="1" pivotButton="0" quotePrefix="0" xfId="0">
      <alignment horizontal="center" vertical="center"/>
    </xf>
    <xf numFmtId="0" fontId="13" fillId="10" borderId="27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0" fontId="15" fillId="0" borderId="12" applyAlignment="1" pivotButton="0" quotePrefix="0" xfId="0">
      <alignment horizontal="left" vertical="center" indent="1"/>
    </xf>
    <xf numFmtId="0" fontId="14" fillId="0" borderId="13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indent="1"/>
    </xf>
    <xf numFmtId="0" fontId="16" fillId="0" borderId="0" pivotButton="0" quotePrefix="0" xfId="0"/>
    <xf numFmtId="0" fontId="0" fillId="0" borderId="28" pivotButton="0" quotePrefix="0" xfId="0"/>
    <xf numFmtId="0" fontId="13" fillId="0" borderId="28" applyAlignment="1" pivotButton="0" quotePrefix="0" xfId="0">
      <alignment horizontal="center" vertical="center"/>
    </xf>
    <xf numFmtId="0" fontId="0" fillId="0" borderId="0" pivotButton="0" quotePrefix="0" xfId="0"/>
    <xf numFmtId="49" fontId="13" fillId="10" borderId="27" applyAlignment="1" pivotButton="0" quotePrefix="0" xfId="0">
      <alignment horizontal="center" vertical="center"/>
    </xf>
    <xf numFmtId="0" fontId="0" fillId="10" borderId="27" pivotButton="0" quotePrefix="0" xfId="0"/>
    <xf numFmtId="164" fontId="1" fillId="2" borderId="12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" fillId="2" borderId="12" applyAlignment="1" pivotButton="0" quotePrefix="0" xfId="0">
      <alignment horizontal="center" vertical="center"/>
    </xf>
    <xf numFmtId="0" fontId="0" fillId="0" borderId="5" pivotButton="0" quotePrefix="0" xfId="0"/>
    <xf numFmtId="0" fontId="8" fillId="4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5" pivotButton="0" quotePrefix="0" xfId="0"/>
    <xf numFmtId="0" fontId="0" fillId="0" borderId="4" pivotButton="0" quotePrefix="0" xfId="0"/>
    <xf numFmtId="0" fontId="0" fillId="0" borderId="16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14" fontId="3" fillId="0" borderId="2" applyAlignment="1" pivotButton="0" quotePrefix="0" xfId="0">
      <alignment horizontal="center"/>
    </xf>
    <xf numFmtId="0" fontId="7" fillId="4" borderId="1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1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7" fillId="0" borderId="29" applyAlignment="1" pivotButton="0" quotePrefix="0" xfId="0">
      <alignment horizontal="center" vertical="center"/>
    </xf>
    <xf numFmtId="0" fontId="9" fillId="5" borderId="12" applyAlignment="1" pivotButton="0" quotePrefix="0" xfId="0">
      <alignment horizontal="center" vertical="center"/>
    </xf>
    <xf numFmtId="0" fontId="1" fillId="2" borderId="13" applyAlignment="1" pivotButton="0" quotePrefix="0" xfId="0">
      <alignment horizontal="center" vertical="center"/>
    </xf>
    <xf numFmtId="0" fontId="10" fillId="8" borderId="29" applyAlignment="1" pivotButton="0" quotePrefix="0" xfId="0">
      <alignment horizontal="center" vertical="center"/>
    </xf>
    <xf numFmtId="0" fontId="9" fillId="6" borderId="12" applyAlignment="1" pivotButton="0" quotePrefix="0" xfId="0">
      <alignment horizontal="center" vertical="center"/>
    </xf>
    <xf numFmtId="16" fontId="1" fillId="2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0" fillId="8" borderId="30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0" fontId="18" fillId="0" borderId="7" pivotButton="0" quotePrefix="0" xfId="0"/>
    <xf numFmtId="0" fontId="18" fillId="0" borderId="8" pivotButton="0" quotePrefix="0" xfId="0"/>
    <xf numFmtId="0" fontId="2" fillId="11" borderId="27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0" fontId="18" fillId="0" borderId="0" pivotButton="0" quotePrefix="0" xfId="0"/>
    <xf numFmtId="0" fontId="18" fillId="0" borderId="0" pivotButton="0" quotePrefix="0" xfId="0"/>
    <xf numFmtId="0" fontId="2" fillId="12" borderId="27" applyAlignment="1" pivotButton="0" quotePrefix="0" xfId="0">
      <alignment horizontal="center" vertical="center"/>
    </xf>
    <xf numFmtId="0" fontId="2" fillId="13" borderId="27" applyAlignment="1" pivotButton="0" quotePrefix="0" xfId="0">
      <alignment horizontal="center" vertical="center"/>
    </xf>
    <xf numFmtId="0" fontId="2" fillId="14" borderId="27" applyAlignment="1" pivotButton="0" quotePrefix="0" xfId="0">
      <alignment horizontal="center" vertical="center"/>
    </xf>
    <xf numFmtId="0" fontId="2" fillId="15" borderId="27" applyAlignment="1" pivotButton="0" quotePrefix="0" xfId="0">
      <alignment horizontal="center" vertical="center"/>
    </xf>
    <xf numFmtId="0" fontId="2" fillId="16" borderId="27" applyAlignment="1" pivotButton="0" quotePrefix="0" xfId="0">
      <alignment horizontal="center" vertical="center"/>
    </xf>
    <xf numFmtId="0" fontId="20" fillId="17" borderId="27" applyAlignment="1" pivotButton="0" quotePrefix="0" xfId="0">
      <alignment horizontal="center" vertical="center"/>
    </xf>
    <xf numFmtId="0" fontId="21" fillId="18" borderId="27" applyAlignment="1" pivotButton="0" quotePrefix="0" xfId="0">
      <alignment horizontal="center" vertical="center"/>
    </xf>
    <xf numFmtId="0" fontId="22" fillId="19" borderId="27" applyAlignment="1" pivotButton="0" quotePrefix="0" xfId="0">
      <alignment horizontal="center" vertical="center"/>
    </xf>
    <xf numFmtId="0" fontId="23" fillId="20" borderId="27" applyAlignment="1" pivotButton="0" quotePrefix="0" xfId="0">
      <alignment horizontal="center" vertical="center"/>
    </xf>
    <xf numFmtId="0" fontId="24" fillId="21" borderId="27" applyAlignment="1" pivotButton="0" quotePrefix="0" xfId="0">
      <alignment horizontal="center" vertical="center"/>
    </xf>
    <xf numFmtId="0" fontId="25" fillId="22" borderId="27" applyAlignment="1" pivotButton="0" quotePrefix="0" xfId="0">
      <alignment horizontal="center" vertical="center"/>
    </xf>
    <xf numFmtId="0" fontId="26" fillId="23" borderId="27" applyAlignment="1" pivotButton="0" quotePrefix="0" xfId="0">
      <alignment horizontal="center" vertical="center"/>
    </xf>
    <xf numFmtId="0" fontId="27" fillId="24" borderId="27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11" fillId="0" borderId="28" applyAlignment="1" pivotButton="0" quotePrefix="0" xfId="0">
      <alignment vertical="center"/>
    </xf>
    <xf numFmtId="0" fontId="0" fillId="0" borderId="30" pivotButton="0" quotePrefix="0" xfId="0"/>
    <xf numFmtId="0" fontId="0" fillId="0" borderId="34" pivotButton="0" quotePrefix="0" xfId="0"/>
    <xf numFmtId="0" fontId="28" fillId="0" borderId="9" applyAlignment="1" pivotButton="0" quotePrefix="0" xfId="0">
      <alignment horizontal="center" vertical="center"/>
    </xf>
    <xf numFmtId="0" fontId="28" fillId="0" borderId="17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19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8" fillId="0" borderId="22" applyAlignment="1" pivotButton="0" quotePrefix="0" xfId="0">
      <alignment horizontal="center" vertical="center"/>
    </xf>
    <xf numFmtId="0" fontId="28" fillId="0" borderId="14" applyAlignment="1" pivotButton="0" quotePrefix="0" xfId="0">
      <alignment horizontal="center" vertical="center"/>
    </xf>
    <xf numFmtId="0" fontId="28" fillId="5" borderId="12" applyAlignment="1" pivotButton="0" quotePrefix="0" xfId="0">
      <alignment horizontal="center" vertical="center"/>
    </xf>
    <xf numFmtId="0" fontId="28" fillId="6" borderId="12" applyAlignment="1" pivotButton="0" quotePrefix="0" xfId="0">
      <alignment horizontal="center" vertical="center"/>
    </xf>
    <xf numFmtId="0" fontId="28" fillId="7" borderId="12" applyAlignment="1" pivotButton="0" quotePrefix="0" xfId="0">
      <alignment horizontal="center" vertical="center"/>
    </xf>
    <xf numFmtId="0" fontId="3" fillId="0" borderId="29" applyAlignment="1" pivotButton="0" quotePrefix="0" xfId="0">
      <alignment horizontal="center"/>
    </xf>
    <xf numFmtId="0" fontId="19" fillId="0" borderId="29" applyAlignment="1" pivotButton="0" quotePrefix="0" xfId="0">
      <alignment horizontal="left" vertical="center" indent="1"/>
    </xf>
  </cellXfs>
  <cellStyles count="1">
    <cellStyle name="عادي" xfId="0" builtinId="0"/>
  </cellStyles>
  <dxfs count="28">
    <dxf>
      <fill>
        <patternFill>
          <bgColor rgb="FF83CCEB"/>
        </patternFill>
      </fill>
    </dxf>
    <dxf>
      <fill>
        <patternFill>
          <bgColor rgb="FFDAF2D0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FF713F12"/>
      </font>
      <fill>
        <patternFill>
          <bgColor rgb="FFFEF9C3"/>
        </patternFill>
      </fill>
    </dxf>
    <dxf>
      <font>
        <name val="Times New Roman"/>
        <b val="1"/>
        <color rgb="FF475569"/>
      </font>
      <fill>
        <patternFill>
          <bgColor rgb="FFF1F5F9"/>
        </patternFill>
      </fill>
    </dxf>
    <dxf>
      <font>
        <name val="Times New Roman"/>
        <b val="1"/>
        <color rgb="FF3F6212"/>
      </font>
      <fill>
        <patternFill>
          <bgColor rgb="FFECFCCB"/>
        </patternFill>
      </fill>
    </dxf>
    <dxf>
      <font>
        <name val="Times New Roman"/>
        <b val="1"/>
        <color rgb="FFBE123C"/>
      </font>
      <fill>
        <patternFill>
          <bgColor rgb="FFFFE4E6"/>
        </patternFill>
      </fill>
    </dxf>
    <dxf>
      <font>
        <name val="Times New Roman"/>
        <b val="1"/>
        <color rgb="FF3730A3"/>
      </font>
      <fill>
        <patternFill>
          <bgColor rgb="FFE0E7FF"/>
        </patternFill>
      </fill>
    </dxf>
    <dxf>
      <font>
        <name val="Times New Roman"/>
        <b val="1"/>
        <color rgb="FFC2410C"/>
      </font>
      <fill>
        <patternFill>
          <bgColor rgb="FFFFF7ED"/>
        </patternFill>
      </fill>
    </dxf>
    <dxf>
      <font>
        <name val="Times New Roman"/>
        <b val="1"/>
        <color rgb="FF7E22CE"/>
      </font>
      <fill>
        <patternFill>
          <bgColor rgb="FFFDF4FF"/>
        </patternFill>
      </fill>
    </dxf>
    <dxf>
      <font>
        <name val="Times New Roman"/>
        <b val="1"/>
        <color rgb="FFF9FAFB"/>
      </font>
      <fill>
        <patternFill>
          <bgColor rgb="FF1F2937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79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N8" sqref="AN8"/>
    </sheetView>
  </sheetViews>
  <sheetFormatPr baseColWidth="8" defaultRowHeight="14.4"/>
  <cols>
    <col width="7" customWidth="1" style="41" min="1" max="1"/>
    <col width="13" customWidth="1" style="41" min="2" max="2"/>
    <col width="34.6640625" customWidth="1" style="41" min="3" max="3"/>
    <col width="13.44140625" customWidth="1" style="41" min="4" max="4"/>
    <col width="4.5546875" customWidth="1" style="41" min="5" max="35"/>
    <col width="7.88671875" customWidth="1" style="41" min="37" max="37"/>
    <col width="8.44140625" customWidth="1" style="41" min="38" max="38"/>
    <col width="3.44140625" customWidth="1" style="41" min="39" max="39"/>
    <col width="7.21875" customWidth="1" style="41" min="40" max="40"/>
    <col width="7" customWidth="1" style="41" min="41" max="42"/>
    <col width="6.44140625" customWidth="1" style="41" min="43" max="43"/>
    <col width="2" customWidth="1" style="41" min="44" max="44"/>
    <col hidden="1" width="13" customWidth="1" style="41" min="53" max="53"/>
  </cols>
  <sheetData>
    <row r="1" ht="21" customHeight="1" s="41" thickBot="1">
      <c r="A1" s="69" t="inlineStr">
        <is>
          <t>#</t>
        </is>
      </c>
      <c r="B1" s="47" t="inlineStr">
        <is>
          <t>PRN</t>
        </is>
      </c>
      <c r="C1" s="47" t="inlineStr">
        <is>
          <t>NAME</t>
        </is>
      </c>
      <c r="D1" s="47" t="inlineStr">
        <is>
          <t>Posn</t>
        </is>
      </c>
      <c r="E1" s="47" t="inlineStr">
        <is>
          <t>SPV Cabin Employee Roster</t>
        </is>
      </c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  <c r="O1" s="45" t="n"/>
      <c r="P1" s="45" t="n"/>
      <c r="Q1" s="45" t="n"/>
      <c r="R1" s="45" t="n"/>
      <c r="S1" s="45" t="n"/>
      <c r="T1" s="45" t="n"/>
      <c r="U1" s="45" t="n"/>
      <c r="V1" s="45" t="n"/>
      <c r="W1" s="45" t="n"/>
      <c r="X1" s="45" t="n"/>
      <c r="Y1" s="45" t="n"/>
      <c r="Z1" s="45" t="n"/>
      <c r="AA1" s="45" t="n"/>
      <c r="AB1" s="45" t="n"/>
      <c r="AC1" s="46" t="n"/>
      <c r="AD1" s="59" t="inlineStr">
        <is>
          <t>CC: 264</t>
        </is>
      </c>
      <c r="AK1" s="67" t="inlineStr">
        <is>
          <t>MONTHLY</t>
        </is>
      </c>
      <c r="AM1" s="39" t="n"/>
      <c r="AN1" s="71" t="inlineStr">
        <is>
          <t>CUSTOM PERIOD</t>
        </is>
      </c>
      <c r="AO1" s="94" t="n"/>
      <c r="AP1" s="94" t="n"/>
      <c r="AQ1" s="39" t="n"/>
      <c r="AR1" s="39" t="n"/>
      <c r="AS1" s="39" t="n"/>
      <c r="BA1">
        <f>IF(ISNUMBER($BA$5),"P","M")</f>
        <v/>
      </c>
    </row>
    <row r="2" ht="21" customHeight="1" s="41" thickBot="1">
      <c r="A2" s="48" t="n"/>
      <c r="B2" s="48" t="n"/>
      <c r="C2" s="48" t="n"/>
      <c r="D2" s="48" t="n"/>
      <c r="E2" s="44">
        <f>IF($BA$1="P",UPPER(TEXT($BA$3,"dd mmm")&amp;" — "&amp;TEXT($BA$3+$BA$4-1,"dd mmm yyyy")),UPPER(TEXT($BA$3,"mmmm yyyy")))</f>
        <v/>
      </c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  <c r="O2" s="45" t="n"/>
      <c r="P2" s="45" t="n"/>
      <c r="Q2" s="45" t="n"/>
      <c r="R2" s="45" t="n"/>
      <c r="S2" s="45" t="n"/>
      <c r="T2" s="45" t="n"/>
      <c r="U2" s="45" t="n"/>
      <c r="V2" s="45" t="n"/>
      <c r="W2" s="45" t="n"/>
      <c r="X2" s="45" t="n"/>
      <c r="Y2" s="45" t="n"/>
      <c r="Z2" s="45" t="n"/>
      <c r="AA2" s="45" t="n"/>
      <c r="AB2" s="45" t="n"/>
      <c r="AC2" s="46" t="n"/>
      <c r="AD2" s="60" t="n"/>
      <c r="AE2" s="61" t="n"/>
      <c r="AF2" s="61" t="n"/>
      <c r="AG2" s="61" t="n"/>
      <c r="AH2" s="61" t="n"/>
      <c r="AI2" s="61" t="n"/>
      <c r="AK2" s="30" t="inlineStr">
        <is>
          <t>MONTH</t>
        </is>
      </c>
      <c r="AL2" s="31" t="n">
        <v>9</v>
      </c>
      <c r="AM2" s="93" t="inlineStr">
        <is>
          <t>OR</t>
        </is>
      </c>
      <c r="AN2" s="30" t="inlineStr">
        <is>
          <t>START</t>
        </is>
      </c>
      <c r="AO2" s="42" t="n"/>
      <c r="AP2" s="95" t="n"/>
      <c r="AQ2" s="40" t="n"/>
      <c r="AR2" s="39" t="n"/>
      <c r="AS2" s="39" t="n"/>
      <c r="BA2">
        <f>IFERROR(IF(ISNUMBER($AL$2),$AL$2,MATCH(LEFT(UPPER(TRIM($AL$2)),3),{"JAN","FEB","MAR","APR","MAY","JUN","JUL","AUG","SEP","OCT","NOV","DEC"},0)),MONTH(TODAY()))</f>
        <v/>
      </c>
    </row>
    <row r="3" ht="15" customHeight="1" s="41" thickBot="1">
      <c r="A3" s="62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0">
        <f>IF(30&lt;=$BA$4,TEXT($BA$3+29,"ddd"),"")</f>
        <v/>
      </c>
      <c r="AI3" s="17">
        <f>IF(31&lt;=$BA$4,TEXT($BA$3+30,"ddd"),"")</f>
        <v/>
      </c>
      <c r="AK3" s="30" t="inlineStr">
        <is>
          <t>YEAR</t>
        </is>
      </c>
      <c r="AL3" s="31" t="n">
        <v>2026</v>
      </c>
      <c r="AM3" s="92" t="n"/>
      <c r="AN3" s="30" t="inlineStr">
        <is>
          <t>DAYS</t>
        </is>
      </c>
      <c r="AO3" s="42" t="n"/>
      <c r="AP3" s="95" t="n"/>
      <c r="AQ3" s="39" t="n"/>
      <c r="AR3" s="39" t="n"/>
      <c r="AS3" s="39" t="n"/>
      <c r="BA3">
        <f>IF($BA$1="P",$BA$5,DATE(IF(ISNUMBER($AL$3),$AL$3,YEAR(TODAY())),$BA$2,1))</f>
        <v/>
      </c>
    </row>
    <row r="4" ht="16.2" customHeight="1" s="41" thickBot="1">
      <c r="A4" s="52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1">
        <f>IF(30&lt;=$BA$4,IF($BA$1="P",DAY($BA$3+29),30),"")</f>
        <v/>
      </c>
      <c r="AI4" s="18">
        <f>IF(31&lt;=$BA$4,IF($BA$1="P",DAY($BA$3+30),31),"")</f>
        <v/>
      </c>
      <c r="AK4" s="64">
        <f>IF($BA$1="P","● PERIOD MODE — "&amp;TEXT($BA$3,"dd/mm/yyyy")&amp;" +"&amp;$BA$4&amp;"d","● MONTH MODE")</f>
        <v/>
      </c>
      <c r="AS4" s="39" t="n"/>
      <c r="BA4">
        <f>IF($BA$1="P",MIN(31,IFERROR(VALUE($BA$12),IF(ISNUMBER($AO$3),$AO$3,30))),DAY(EOMONTH($BA$3,0)))</f>
        <v/>
      </c>
    </row>
    <row r="5" ht="16.2" customHeight="1" s="41" thickBot="1">
      <c r="A5" s="5" t="n">
        <v>1</v>
      </c>
      <c r="B5" s="32" t="n">
        <v>13006435</v>
      </c>
      <c r="C5" s="33" t="inlineStr">
        <is>
          <t>HOMAID ALJAHDALI</t>
        </is>
      </c>
      <c r="D5" s="34" t="inlineStr">
        <is>
          <t>ACT/SUPV</t>
        </is>
      </c>
      <c r="E5" s="96" t="inlineStr">
        <is>
          <t>V</t>
        </is>
      </c>
      <c r="F5" s="96" t="inlineStr">
        <is>
          <t>C/T</t>
        </is>
      </c>
      <c r="G5" s="96" t="inlineStr">
        <is>
          <t>A</t>
        </is>
      </c>
      <c r="H5" s="96" t="inlineStr">
        <is>
          <t>OS</t>
        </is>
      </c>
      <c r="I5" s="96" t="inlineStr">
        <is>
          <t>OT</t>
        </is>
      </c>
      <c r="J5" s="96" t="inlineStr">
        <is>
          <t>H</t>
        </is>
      </c>
      <c r="K5" s="96" t="inlineStr">
        <is>
          <t>TR</t>
        </is>
      </c>
      <c r="L5" s="96" t="inlineStr">
        <is>
          <t>S/L</t>
        </is>
      </c>
      <c r="M5" s="96" t="inlineStr">
        <is>
          <t>L</t>
        </is>
      </c>
      <c r="N5" s="96" t="inlineStr">
        <is>
          <t>N</t>
        </is>
      </c>
      <c r="O5" s="96" t="inlineStr">
        <is>
          <t>D</t>
        </is>
      </c>
      <c r="P5" s="96" t="inlineStr">
        <is>
          <t>T</t>
        </is>
      </c>
      <c r="Q5" s="96" t="inlineStr">
        <is>
          <t>G</t>
        </is>
      </c>
      <c r="R5" s="96" t="inlineStr">
        <is>
          <t>R</t>
        </is>
      </c>
      <c r="S5" s="96" t="n"/>
      <c r="T5" s="96" t="n"/>
      <c r="U5" s="96" t="n"/>
      <c r="V5" s="96" t="n"/>
      <c r="W5" s="96" t="n"/>
      <c r="X5" s="96" t="n"/>
      <c r="Y5" s="96" t="n"/>
      <c r="Z5" s="96" t="n"/>
      <c r="AA5" s="96" t="n"/>
      <c r="AB5" s="96" t="n"/>
      <c r="AC5" s="96" t="n"/>
      <c r="AD5" s="96" t="n"/>
      <c r="AE5" s="96" t="n"/>
      <c r="AF5" s="96" t="n"/>
      <c r="AG5" s="96" t="n"/>
      <c r="AH5" s="96" t="n"/>
      <c r="AI5" s="96" t="n"/>
      <c r="AS5" s="39" t="n"/>
      <c r="BA5">
        <f>IF(ISNUMBER($AO$2),$AO$2,IFERROR(DATE(IF($BA$11&lt;100,2000+$BA$11,$BA$11),$BA$10,$BA$9),""))</f>
        <v/>
      </c>
    </row>
    <row r="6" ht="16.2" customHeight="1" s="41" thickBot="1">
      <c r="A6" s="5" t="n">
        <v>2</v>
      </c>
      <c r="B6" s="32" t="n">
        <v>13008931</v>
      </c>
      <c r="C6" s="33" t="inlineStr">
        <is>
          <t>RONILO NOGADAS AMEN</t>
        </is>
      </c>
      <c r="D6" s="32" t="inlineStr">
        <is>
          <t>ACT/SUPV</t>
        </is>
      </c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  <c r="AA6" s="96" t="n"/>
      <c r="AB6" s="96" t="n"/>
      <c r="AC6" s="96" t="n"/>
      <c r="AD6" s="96" t="n"/>
      <c r="AE6" s="96" t="n"/>
      <c r="AF6" s="96" t="n"/>
      <c r="AG6" s="96" t="n"/>
      <c r="AH6" s="96" t="n"/>
      <c r="AI6" s="97" t="n"/>
      <c r="BA6">
        <f>SUBSTITUTE(SUBSTITUTE(SUBSTITUTE(SUBSTITUTE(SUBSTITUTE(SUBSTITUTE(SUBSTITUTE(SUBSTITUTE(SUBSTITUTE(SUBSTITUTE(SUBSTITUTE(SUBSTITUTE(SUBSTITUTE(SUBSTITUTE(TRIM($AO$2&amp;""),"٠","0"),"١","1"),"٢","2"),"٣","3"),"٤","4"),"٥","5"),"٦","6"),"٧","7"),"٨","8"),"٩","9"),"-","/"),".","/"),"\\","/")," ","")</f>
        <v/>
      </c>
    </row>
    <row r="7" ht="16.2" customHeight="1" s="41" thickBot="1">
      <c r="A7" s="5" t="n">
        <v>3</v>
      </c>
      <c r="B7" s="32" t="n">
        <v>13010279</v>
      </c>
      <c r="C7" s="33" t="inlineStr">
        <is>
          <t>AHMED M. ALWAHBI</t>
        </is>
      </c>
      <c r="D7" s="32" t="inlineStr">
        <is>
          <t>ACT/SUPV</t>
        </is>
      </c>
      <c r="E7" s="96" t="n"/>
      <c r="F7" s="96" t="n"/>
      <c r="G7" s="96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  <c r="AA7" s="96" t="n"/>
      <c r="AB7" s="96" t="n"/>
      <c r="AC7" s="96" t="n"/>
      <c r="AD7" s="96" t="n"/>
      <c r="AE7" s="96" t="n"/>
      <c r="AF7" s="96" t="n"/>
      <c r="AG7" s="96" t="n"/>
      <c r="AH7" s="96" t="n"/>
      <c r="AI7" s="97" t="n"/>
      <c r="AP7" s="70" t="n"/>
      <c r="BA7">
        <f>IFERROR(FIND("/",$BA$6),0)</f>
        <v/>
      </c>
    </row>
    <row r="8" ht="16.2" customHeight="1" s="41" thickBot="1">
      <c r="A8" s="5" t="n">
        <v>4</v>
      </c>
      <c r="B8" s="32" t="n">
        <v>13007568</v>
      </c>
      <c r="C8" s="33" t="inlineStr">
        <is>
          <t>NAIF ALANEZI</t>
        </is>
      </c>
      <c r="D8" s="32" t="inlineStr">
        <is>
          <t>ACT/SUPV</t>
        </is>
      </c>
      <c r="E8" s="96" t="n"/>
      <c r="F8" s="96" t="n"/>
      <c r="G8" s="96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  <c r="AA8" s="96" t="n"/>
      <c r="AB8" s="96" t="n"/>
      <c r="AC8" s="96" t="n"/>
      <c r="AD8" s="96" t="n"/>
      <c r="AE8" s="96" t="n"/>
      <c r="AF8" s="96" t="n"/>
      <c r="AG8" s="96" t="n"/>
      <c r="AH8" s="96" t="n"/>
      <c r="AI8" s="97" t="n"/>
      <c r="BA8">
        <f>IFERROR(FIND("/",$BA$6,$BA$7+1),0)</f>
        <v/>
      </c>
    </row>
    <row r="9" ht="16.2" customHeight="1" s="41" thickBot="1">
      <c r="A9" s="5" t="n">
        <v>5</v>
      </c>
      <c r="B9" s="32" t="n">
        <v>30005295</v>
      </c>
      <c r="C9" s="33" t="inlineStr">
        <is>
          <t>RODEL CLEMENTE</t>
        </is>
      </c>
      <c r="D9" s="32" t="inlineStr">
        <is>
          <t>TECH</t>
        </is>
      </c>
      <c r="E9" s="96" t="n"/>
      <c r="F9" s="96" t="n"/>
      <c r="G9" s="96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  <c r="AA9" s="96" t="n"/>
      <c r="AB9" s="96" t="n"/>
      <c r="AC9" s="96" t="n"/>
      <c r="AD9" s="96" t="n"/>
      <c r="AE9" s="96" t="n"/>
      <c r="AF9" s="96" t="n"/>
      <c r="AG9" s="96" t="n"/>
      <c r="AH9" s="96" t="n"/>
      <c r="AI9" s="97" t="n"/>
      <c r="BA9">
        <f>IFERROR(VALUE(LEFT($BA$6,$BA$7-1)),"")</f>
        <v/>
      </c>
    </row>
    <row r="10" ht="16.2" customHeight="1" s="41" thickBot="1">
      <c r="A10" s="5" t="n">
        <v>6</v>
      </c>
      <c r="B10" s="32" t="n">
        <v>30001593</v>
      </c>
      <c r="C10" s="33" t="inlineStr">
        <is>
          <t>FYSAL M. ALEDAINI</t>
        </is>
      </c>
      <c r="D10" s="32" t="inlineStr">
        <is>
          <t>OJT</t>
        </is>
      </c>
      <c r="E10" s="96" t="n"/>
      <c r="F10" s="96" t="n"/>
      <c r="G10" s="96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  <c r="AA10" s="96" t="n"/>
      <c r="AB10" s="96" t="n"/>
      <c r="AC10" s="96" t="n"/>
      <c r="AD10" s="96" t="n"/>
      <c r="AE10" s="96" t="n"/>
      <c r="AF10" s="96" t="n"/>
      <c r="AG10" s="96" t="n"/>
      <c r="AH10" s="96" t="n"/>
      <c r="AI10" s="97" t="n"/>
      <c r="BA10">
        <f>IFERROR(VALUE(MID($BA$6,$BA$7+1,$BA$8-$BA$7-1)),"")</f>
        <v/>
      </c>
    </row>
    <row r="11" ht="16.2" customHeight="1" s="41" thickBot="1">
      <c r="A11" s="5" t="n">
        <v>7</v>
      </c>
      <c r="B11" s="32" t="n">
        <v>30001338</v>
      </c>
      <c r="C11" s="33" t="inlineStr">
        <is>
          <t>MASHHOUR ALSULAIMANI</t>
        </is>
      </c>
      <c r="D11" s="32" t="inlineStr">
        <is>
          <t>OJT</t>
        </is>
      </c>
      <c r="E11" s="96" t="n"/>
      <c r="F11" s="96" t="n"/>
      <c r="G11" s="96" t="n"/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6" t="n"/>
      <c r="AC11" s="96" t="n"/>
      <c r="AD11" s="96" t="n"/>
      <c r="AE11" s="96" t="n"/>
      <c r="AF11" s="96" t="n"/>
      <c r="AG11" s="96" t="n"/>
      <c r="AH11" s="96" t="n"/>
      <c r="AI11" s="97" t="n"/>
      <c r="BA11">
        <f>IFERROR(VALUE(MID($BA$6,$BA$8+1,9)),"")</f>
        <v/>
      </c>
    </row>
    <row r="12" ht="16.2" customHeight="1" s="41" thickBot="1">
      <c r="A12" s="5" t="n">
        <v>8</v>
      </c>
      <c r="B12" s="32" t="n">
        <v>30001573</v>
      </c>
      <c r="C12" s="33" t="inlineStr">
        <is>
          <t>JEHAD M. HAKAMI</t>
        </is>
      </c>
      <c r="D12" s="32" t="inlineStr">
        <is>
          <t>OJT</t>
        </is>
      </c>
      <c r="E12" s="96" t="n"/>
      <c r="F12" s="96" t="n"/>
      <c r="G12" s="96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  <c r="AA12" s="96" t="n"/>
      <c r="AB12" s="96" t="n"/>
      <c r="AC12" s="96" t="n"/>
      <c r="AD12" s="96" t="n"/>
      <c r="AE12" s="96" t="n"/>
      <c r="AF12" s="96" t="n"/>
      <c r="AG12" s="96" t="n"/>
      <c r="AH12" s="96" t="n"/>
      <c r="AI12" s="97" t="n"/>
      <c r="BA12">
        <f>SUBSTITUTE(SUBSTITUTE(SUBSTITUTE(SUBSTITUTE(SUBSTITUTE(SUBSTITUTE(SUBSTITUTE(SUBSTITUTE(SUBSTITUTE(SUBSTITUTE(SUBSTITUTE(SUBSTITUTE(SUBSTITUTE(SUBSTITUTE(TRIM($AO$3&amp;""),"٠","0"),"١","1"),"٢","2"),"٣","3"),"٤","4"),"٥","5"),"٦","6"),"٧","7"),"٨","8"),"٩","9"),"-","/"),".","/"),"\\","/")," ","")</f>
        <v/>
      </c>
    </row>
    <row r="13" ht="16.2" customHeight="1" s="41" thickBot="1">
      <c r="A13" s="5" t="n">
        <v>9</v>
      </c>
      <c r="B13" s="32" t="n">
        <v>30001366</v>
      </c>
      <c r="C13" s="33" t="inlineStr">
        <is>
          <t>ABDULAZIZ ZAKOUR</t>
        </is>
      </c>
      <c r="D13" s="32" t="inlineStr">
        <is>
          <t>TECH</t>
        </is>
      </c>
      <c r="E13" s="96" t="n"/>
      <c r="F13" s="96" t="n"/>
      <c r="G13" s="96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  <c r="AA13" s="96" t="n"/>
      <c r="AB13" s="96" t="n"/>
      <c r="AC13" s="96" t="n"/>
      <c r="AD13" s="96" t="n"/>
      <c r="AE13" s="96" t="n"/>
      <c r="AF13" s="96" t="n"/>
      <c r="AG13" s="96" t="n"/>
      <c r="AH13" s="96" t="n"/>
      <c r="AI13" s="97" t="n"/>
    </row>
    <row r="14" ht="16.2" customHeight="1" s="41" thickBot="1">
      <c r="A14" s="5" t="n">
        <v>10</v>
      </c>
      <c r="B14" s="32" t="n">
        <v>30001450</v>
      </c>
      <c r="C14" s="33" t="inlineStr">
        <is>
          <t>MUHAMMED ALSHAIKH</t>
        </is>
      </c>
      <c r="D14" s="32" t="inlineStr">
        <is>
          <t>TECH</t>
        </is>
      </c>
      <c r="E14" s="96" t="n"/>
      <c r="F14" s="96" t="n"/>
      <c r="G14" s="96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  <c r="AA14" s="96" t="n"/>
      <c r="AB14" s="96" t="n"/>
      <c r="AC14" s="96" t="n"/>
      <c r="AD14" s="96" t="n"/>
      <c r="AE14" s="96" t="n"/>
      <c r="AF14" s="96" t="n"/>
      <c r="AG14" s="96" t="n"/>
      <c r="AH14" s="96" t="n"/>
      <c r="AI14" s="97" t="n"/>
    </row>
    <row r="15" ht="16.2" customHeight="1" s="41" thickBot="1">
      <c r="A15" s="5" t="n">
        <v>11</v>
      </c>
      <c r="B15" s="32" t="n">
        <v>30001602</v>
      </c>
      <c r="C15" s="33" t="inlineStr">
        <is>
          <t>AHMED M. ALYAMANI</t>
        </is>
      </c>
      <c r="D15" s="32" t="inlineStr">
        <is>
          <t>OJT</t>
        </is>
      </c>
      <c r="E15" s="96" t="n"/>
      <c r="F15" s="96" t="n"/>
      <c r="G15" s="96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  <c r="AA15" s="96" t="n"/>
      <c r="AB15" s="96" t="n"/>
      <c r="AC15" s="96" t="n"/>
      <c r="AD15" s="96" t="n"/>
      <c r="AE15" s="96" t="n"/>
      <c r="AF15" s="96" t="n"/>
      <c r="AG15" s="96" t="n"/>
      <c r="AH15" s="96" t="n"/>
      <c r="AI15" s="97" t="n"/>
    </row>
    <row r="16" ht="16.2" customHeight="1" s="41" thickBot="1">
      <c r="A16" s="5" t="n">
        <v>12</v>
      </c>
      <c r="B16" s="32" t="n">
        <v>40001135</v>
      </c>
      <c r="C16" s="33" t="inlineStr">
        <is>
          <t>SYAHLENDRA SYAMSOE</t>
        </is>
      </c>
      <c r="D16" s="35" t="inlineStr">
        <is>
          <t>TECH</t>
        </is>
      </c>
      <c r="E16" s="96" t="n"/>
      <c r="F16" s="96" t="n"/>
      <c r="G16" s="96" t="n"/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  <c r="AA16" s="96" t="n"/>
      <c r="AB16" s="96" t="n"/>
      <c r="AC16" s="96" t="n"/>
      <c r="AD16" s="96" t="n"/>
      <c r="AE16" s="96" t="n"/>
      <c r="AF16" s="96" t="n"/>
      <c r="AG16" s="96" t="n"/>
      <c r="AH16" s="96" t="n"/>
      <c r="AI16" s="97" t="n"/>
    </row>
    <row r="17" ht="16.2" customHeight="1" s="41" thickBot="1">
      <c r="A17" s="5" t="n">
        <v>13</v>
      </c>
      <c r="B17" s="32" t="n">
        <v>70010082</v>
      </c>
      <c r="C17" s="33" t="inlineStr">
        <is>
          <t>MOHAMMAD KAIFI</t>
        </is>
      </c>
      <c r="D17" s="32" t="inlineStr">
        <is>
          <t>TECH</t>
        </is>
      </c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  <c r="AA17" s="96" t="n"/>
      <c r="AB17" s="96" t="n"/>
      <c r="AC17" s="96" t="n"/>
      <c r="AD17" s="96" t="n"/>
      <c r="AE17" s="96" t="n"/>
      <c r="AF17" s="96" t="n"/>
      <c r="AG17" s="96" t="n"/>
      <c r="AH17" s="96" t="n"/>
      <c r="AI17" s="97" t="n"/>
    </row>
    <row r="18" ht="16.2" customHeight="1" s="41" thickBot="1">
      <c r="A18" s="5" t="n">
        <v>14</v>
      </c>
      <c r="B18" s="32" t="n">
        <v>13009258</v>
      </c>
      <c r="C18" s="33" t="inlineStr">
        <is>
          <t>ALI ALAHMADI</t>
        </is>
      </c>
      <c r="D18" s="35" t="inlineStr">
        <is>
          <t>TECH</t>
        </is>
      </c>
      <c r="E18" s="96" t="n"/>
      <c r="F18" s="96" t="n"/>
      <c r="G18" s="96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  <c r="AA18" s="96" t="n"/>
      <c r="AB18" s="96" t="n"/>
      <c r="AC18" s="96" t="n"/>
      <c r="AD18" s="96" t="n"/>
      <c r="AE18" s="96" t="n"/>
      <c r="AF18" s="96" t="n"/>
      <c r="AG18" s="96" t="n"/>
      <c r="AH18" s="96" t="n"/>
      <c r="AI18" s="97" t="n"/>
    </row>
    <row r="19" ht="16.2" customHeight="1" s="41" thickBot="1">
      <c r="A19" s="5" t="n">
        <v>15</v>
      </c>
      <c r="B19" s="32" t="n">
        <v>13009255</v>
      </c>
      <c r="C19" s="33" t="inlineStr">
        <is>
          <t>HOSSAM ALGHAMDI</t>
        </is>
      </c>
      <c r="D19" s="32" t="inlineStr">
        <is>
          <t>TECH</t>
        </is>
      </c>
      <c r="E19" s="96" t="n"/>
      <c r="F19" s="96" t="n"/>
      <c r="G19" s="96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  <c r="AA19" s="96" t="n"/>
      <c r="AB19" s="96" t="n"/>
      <c r="AC19" s="96" t="n"/>
      <c r="AD19" s="96" t="n"/>
      <c r="AE19" s="96" t="n"/>
      <c r="AF19" s="96" t="n"/>
      <c r="AG19" s="96" t="n"/>
      <c r="AH19" s="96" t="n"/>
      <c r="AI19" s="97" t="n"/>
    </row>
    <row r="20" ht="16.2" customHeight="1" s="41" thickBot="1">
      <c r="A20" s="5" t="n">
        <v>16</v>
      </c>
      <c r="B20" s="32" t="n">
        <v>13009047</v>
      </c>
      <c r="C20" s="33" t="inlineStr">
        <is>
          <t>JIMRICKS AQINO</t>
        </is>
      </c>
      <c r="D20" s="32" t="inlineStr">
        <is>
          <t>TECH</t>
        </is>
      </c>
      <c r="E20" s="96" t="n"/>
      <c r="F20" s="96" t="n"/>
      <c r="G20" s="96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  <c r="AA20" s="96" t="n"/>
      <c r="AB20" s="96" t="n"/>
      <c r="AC20" s="96" t="n"/>
      <c r="AD20" s="96" t="n"/>
      <c r="AE20" s="96" t="n"/>
      <c r="AF20" s="96" t="n"/>
      <c r="AG20" s="96" t="n"/>
      <c r="AH20" s="96" t="n"/>
      <c r="AI20" s="97" t="n"/>
    </row>
    <row r="21" ht="16.2" customHeight="1" s="41" thickBot="1">
      <c r="A21" s="8" t="n"/>
      <c r="C21" s="9" t="n"/>
      <c r="D21" s="9" t="n"/>
      <c r="E21" s="98" t="n"/>
      <c r="F21" s="98" t="n"/>
      <c r="G21" s="98" t="n"/>
      <c r="H21" s="98" t="n"/>
      <c r="I21" s="98" t="n"/>
      <c r="J21" s="98" t="n"/>
      <c r="K21" s="98" t="n"/>
      <c r="L21" s="98" t="n"/>
      <c r="M21" s="98" t="n"/>
      <c r="N21" s="98" t="n"/>
      <c r="O21" s="98" t="n"/>
      <c r="P21" s="98" t="n"/>
      <c r="Q21" s="98" t="n"/>
      <c r="R21" s="98" t="n"/>
      <c r="S21" s="98" t="n"/>
      <c r="T21" s="98" t="n"/>
      <c r="U21" s="98" t="n"/>
      <c r="V21" s="98" t="n"/>
      <c r="W21" s="98" t="n"/>
      <c r="X21" s="98" t="n"/>
      <c r="Y21" s="98" t="n"/>
      <c r="Z21" s="98" t="n"/>
      <c r="AA21" s="98" t="n"/>
      <c r="AB21" s="98" t="n"/>
      <c r="AC21" s="98" t="n"/>
      <c r="AD21" s="98" t="n"/>
      <c r="AE21" s="98" t="n"/>
      <c r="AF21" s="98" t="n"/>
      <c r="AG21" s="98" t="n"/>
      <c r="AH21" s="98" t="n"/>
      <c r="AI21" s="98" t="n"/>
    </row>
    <row r="22" ht="15" customHeight="1" s="41" thickBot="1">
      <c r="A22" s="66" t="inlineStr">
        <is>
          <t>CREW 2</t>
        </is>
      </c>
      <c r="B22" s="50" t="n"/>
      <c r="C22" s="50" t="n"/>
      <c r="D22" s="50" t="n"/>
      <c r="E22" s="25">
        <f>IF(1&lt;=$BA$4,TEXT($BA$3+0,"ddd"),"")</f>
        <v/>
      </c>
      <c r="F22" s="25">
        <f>IF(2&lt;=$BA$4,TEXT($BA$3+1,"ddd"),"")</f>
        <v/>
      </c>
      <c r="G22" s="25">
        <f>IF(3&lt;=$BA$4,TEXT($BA$3+2,"ddd"),"")</f>
        <v/>
      </c>
      <c r="H22" s="25">
        <f>IF(4&lt;=$BA$4,TEXT($BA$3+3,"ddd"),"")</f>
        <v/>
      </c>
      <c r="I22" s="25">
        <f>IF(5&lt;=$BA$4,TEXT($BA$3+4,"ddd"),"")</f>
        <v/>
      </c>
      <c r="J22" s="25">
        <f>IF(6&lt;=$BA$4,TEXT($BA$3+5,"ddd"),"")</f>
        <v/>
      </c>
      <c r="K22" s="25">
        <f>IF(7&lt;=$BA$4,TEXT($BA$3+6,"ddd"),"")</f>
        <v/>
      </c>
      <c r="L22" s="25">
        <f>IF(8&lt;=$BA$4,TEXT($BA$3+7,"ddd"),"")</f>
        <v/>
      </c>
      <c r="M22" s="25">
        <f>IF(9&lt;=$BA$4,TEXT($BA$3+8,"ddd"),"")</f>
        <v/>
      </c>
      <c r="N22" s="25">
        <f>IF(10&lt;=$BA$4,TEXT($BA$3+9,"ddd"),"")</f>
        <v/>
      </c>
      <c r="O22" s="25">
        <f>IF(11&lt;=$BA$4,TEXT($BA$3+10,"ddd"),"")</f>
        <v/>
      </c>
      <c r="P22" s="25">
        <f>IF(12&lt;=$BA$4,TEXT($BA$3+11,"ddd"),"")</f>
        <v/>
      </c>
      <c r="Q22" s="25">
        <f>IF(13&lt;=$BA$4,TEXT($BA$3+12,"ddd"),"")</f>
        <v/>
      </c>
      <c r="R22" s="25">
        <f>IF(14&lt;=$BA$4,TEXT($BA$3+13,"ddd"),"")</f>
        <v/>
      </c>
      <c r="S22" s="25">
        <f>IF(15&lt;=$BA$4,TEXT($BA$3+14,"ddd"),"")</f>
        <v/>
      </c>
      <c r="T22" s="25">
        <f>IF(16&lt;=$BA$4,TEXT($BA$3+15,"ddd"),"")</f>
        <v/>
      </c>
      <c r="U22" s="25">
        <f>IF(17&lt;=$BA$4,TEXT($BA$3+16,"ddd"),"")</f>
        <v/>
      </c>
      <c r="V22" s="25">
        <f>IF(18&lt;=$BA$4,TEXT($BA$3+17,"ddd"),"")</f>
        <v/>
      </c>
      <c r="W22" s="25">
        <f>IF(19&lt;=$BA$4,TEXT($BA$3+18,"ddd"),"")</f>
        <v/>
      </c>
      <c r="X22" s="25">
        <f>IF(20&lt;=$BA$4,TEXT($BA$3+19,"ddd"),"")</f>
        <v/>
      </c>
      <c r="Y22" s="25">
        <f>IF(21&lt;=$BA$4,TEXT($BA$3+20,"ddd"),"")</f>
        <v/>
      </c>
      <c r="Z22" s="25">
        <f>IF(22&lt;=$BA$4,TEXT($BA$3+21,"ddd"),"")</f>
        <v/>
      </c>
      <c r="AA22" s="25">
        <f>IF(23&lt;=$BA$4,TEXT($BA$3+22,"ddd"),"")</f>
        <v/>
      </c>
      <c r="AB22" s="25">
        <f>IF(24&lt;=$BA$4,TEXT($BA$3+23,"ddd"),"")</f>
        <v/>
      </c>
      <c r="AC22" s="25">
        <f>IF(25&lt;=$BA$4,TEXT($BA$3+24,"ddd"),"")</f>
        <v/>
      </c>
      <c r="AD22" s="25">
        <f>IF(26&lt;=$BA$4,TEXT($BA$3+25,"ddd"),"")</f>
        <v/>
      </c>
      <c r="AE22" s="25">
        <f>IF(27&lt;=$BA$4,TEXT($BA$3+26,"ddd"),"")</f>
        <v/>
      </c>
      <c r="AF22" s="25">
        <f>IF(28&lt;=$BA$4,TEXT($BA$3+27,"ddd"),"")</f>
        <v/>
      </c>
      <c r="AG22" s="25">
        <f>IF(29&lt;=$BA$4,TEXT($BA$3+28,"ddd"),"")</f>
        <v/>
      </c>
      <c r="AH22" s="25">
        <f>IF(30&lt;=$BA$4,TEXT($BA$3+29,"ddd"),"")</f>
        <v/>
      </c>
      <c r="AI22" s="26">
        <f>IF(31&lt;=$BA$4,TEXT($BA$3+30,"ddd"),"")</f>
        <v/>
      </c>
    </row>
    <row r="23" ht="16.2" customHeight="1" s="41" thickBot="1">
      <c r="A23" s="54" t="n"/>
      <c r="B23" s="55" t="n"/>
      <c r="C23" s="55" t="n"/>
      <c r="D23" s="5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1">
        <f>IF(31&lt;=$BA$4,IF($BA$1="P",DAY($BA$3+30),31),"")</f>
        <v/>
      </c>
    </row>
    <row r="24" ht="16.2" customHeight="1" s="41" thickBot="1">
      <c r="A24" s="5" t="n">
        <v>1</v>
      </c>
      <c r="B24" s="32" t="n">
        <v>13006567</v>
      </c>
      <c r="C24" s="33" t="inlineStr">
        <is>
          <t>AHMED AL-GHAMDI</t>
        </is>
      </c>
      <c r="D24" s="32" t="inlineStr">
        <is>
          <t>ACT/SUPV</t>
        </is>
      </c>
      <c r="E24" s="96" t="n"/>
      <c r="F24" s="96" t="n"/>
      <c r="G24" s="96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  <c r="AA24" s="96" t="n"/>
      <c r="AB24" s="96" t="n"/>
      <c r="AC24" s="96" t="n"/>
      <c r="AD24" s="96" t="n"/>
      <c r="AE24" s="96" t="n"/>
      <c r="AF24" s="96" t="n"/>
      <c r="AG24" s="96" t="n"/>
      <c r="AH24" s="96" t="n"/>
      <c r="AI24" s="99" t="n"/>
    </row>
    <row r="25" ht="16.2" customHeight="1" s="41" thickBot="1">
      <c r="A25" s="5" t="n">
        <v>2</v>
      </c>
      <c r="B25" s="32" t="n">
        <v>13010253</v>
      </c>
      <c r="C25" s="33" t="inlineStr">
        <is>
          <t>AHMED S. ALGHAMDI</t>
        </is>
      </c>
      <c r="D25" s="32" t="inlineStr">
        <is>
          <t>ACT/SUPV</t>
        </is>
      </c>
      <c r="E25" s="96" t="n"/>
      <c r="F25" s="96" t="n"/>
      <c r="G25" s="96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  <c r="AA25" s="96" t="n"/>
      <c r="AB25" s="96" t="n"/>
      <c r="AC25" s="96" t="n"/>
      <c r="AD25" s="96" t="n"/>
      <c r="AE25" s="96" t="n"/>
      <c r="AF25" s="96" t="n"/>
      <c r="AG25" s="96" t="n"/>
      <c r="AH25" s="96" t="n"/>
      <c r="AI25" s="99" t="n"/>
    </row>
    <row r="26" ht="16.2" customHeight="1" s="41" thickBot="1">
      <c r="A26" s="5" t="n">
        <v>3</v>
      </c>
      <c r="B26" s="32" t="n">
        <v>13010286</v>
      </c>
      <c r="C26" s="33" t="inlineStr">
        <is>
          <t>ABDULAZIZ F. ALBOUQ</t>
        </is>
      </c>
      <c r="D26" s="34" t="inlineStr">
        <is>
          <t>ACT/SUPV</t>
        </is>
      </c>
      <c r="E26" s="96" t="n"/>
      <c r="F26" s="96" t="n"/>
      <c r="G26" s="96" t="n"/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  <c r="AA26" s="96" t="n"/>
      <c r="AB26" s="96" t="n"/>
      <c r="AC26" s="96" t="n"/>
      <c r="AD26" s="96" t="n"/>
      <c r="AE26" s="96" t="n"/>
      <c r="AF26" s="96" t="n"/>
      <c r="AG26" s="96" t="n"/>
      <c r="AH26" s="96" t="n"/>
      <c r="AI26" s="99" t="n"/>
    </row>
    <row r="27" ht="16.2" customHeight="1" s="41" thickBot="1">
      <c r="A27" s="5" t="n">
        <v>4</v>
      </c>
      <c r="B27" s="32" t="n">
        <v>13007276</v>
      </c>
      <c r="C27" s="33" t="inlineStr">
        <is>
          <t>MOHAMMED BAROOM</t>
        </is>
      </c>
      <c r="D27" s="34" t="inlineStr">
        <is>
          <t>TECH</t>
        </is>
      </c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  <c r="AA27" s="96" t="n"/>
      <c r="AB27" s="96" t="n"/>
      <c r="AC27" s="96" t="n"/>
      <c r="AD27" s="96" t="n"/>
      <c r="AE27" s="96" t="n"/>
      <c r="AF27" s="96" t="n"/>
      <c r="AG27" s="96" t="n"/>
      <c r="AH27" s="96" t="n"/>
      <c r="AI27" s="99" t="n"/>
    </row>
    <row r="28" ht="16.2" customHeight="1" s="41" thickBot="1">
      <c r="A28" s="5" t="n">
        <v>5</v>
      </c>
      <c r="B28" s="32" t="n">
        <v>30004221</v>
      </c>
      <c r="C28" s="33" t="inlineStr">
        <is>
          <t>YOUSEF BARIFAH</t>
        </is>
      </c>
      <c r="D28" s="34" t="inlineStr">
        <is>
          <t>TECH</t>
        </is>
      </c>
      <c r="E28" s="96" t="n"/>
      <c r="F28" s="96" t="n"/>
      <c r="G28" s="96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  <c r="AA28" s="96" t="n"/>
      <c r="AB28" s="96" t="n"/>
      <c r="AC28" s="96" t="n"/>
      <c r="AD28" s="96" t="n"/>
      <c r="AE28" s="96" t="n"/>
      <c r="AF28" s="96" t="n"/>
      <c r="AG28" s="96" t="n"/>
      <c r="AH28" s="96" t="n"/>
      <c r="AI28" s="99" t="n"/>
    </row>
    <row r="29" ht="16.2" customHeight="1" s="41" thickBot="1">
      <c r="A29" s="5" t="n">
        <v>6</v>
      </c>
      <c r="B29" s="32" t="n">
        <v>30001345</v>
      </c>
      <c r="C29" s="33" t="inlineStr">
        <is>
          <t>AHMED ALSHARIF</t>
        </is>
      </c>
      <c r="D29" s="32" t="inlineStr">
        <is>
          <t>TECH</t>
        </is>
      </c>
      <c r="E29" s="96" t="n"/>
      <c r="F29" s="96" t="n"/>
      <c r="G29" s="96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  <c r="AA29" s="96" t="n"/>
      <c r="AB29" s="96" t="n"/>
      <c r="AC29" s="96" t="n"/>
      <c r="AD29" s="96" t="n"/>
      <c r="AE29" s="96" t="n"/>
      <c r="AF29" s="96" t="n"/>
      <c r="AG29" s="96" t="n"/>
      <c r="AH29" s="96" t="n"/>
      <c r="AI29" s="99" t="n"/>
    </row>
    <row r="30" ht="16.2" customHeight="1" s="41" thickBot="1">
      <c r="A30" s="5" t="n">
        <v>7</v>
      </c>
      <c r="B30" s="32" t="n">
        <v>30001461</v>
      </c>
      <c r="C30" s="33" t="inlineStr">
        <is>
          <t>HUSSAM ALTHUBAITI</t>
        </is>
      </c>
      <c r="D30" s="32" t="inlineStr">
        <is>
          <t>TECH</t>
        </is>
      </c>
      <c r="E30" s="96" t="n"/>
      <c r="F30" s="96" t="n"/>
      <c r="G30" s="96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6" t="n"/>
      <c r="AC30" s="96" t="n"/>
      <c r="AD30" s="96" t="n"/>
      <c r="AE30" s="96" t="n"/>
      <c r="AF30" s="96" t="n"/>
      <c r="AG30" s="96" t="n"/>
      <c r="AH30" s="96" t="n"/>
      <c r="AI30" s="99" t="n"/>
    </row>
    <row r="31" ht="16.2" customHeight="1" s="41" thickBot="1">
      <c r="A31" s="5" t="n">
        <v>8</v>
      </c>
      <c r="B31" s="32" t="n">
        <v>30001575</v>
      </c>
      <c r="C31" s="33" t="inlineStr">
        <is>
          <t>FADUL A. FADUL</t>
        </is>
      </c>
      <c r="D31" s="32" t="inlineStr">
        <is>
          <t>OJT</t>
        </is>
      </c>
      <c r="E31" s="96" t="n"/>
      <c r="F31" s="96" t="n"/>
      <c r="G31" s="96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  <c r="AA31" s="96" t="n"/>
      <c r="AB31" s="96" t="n"/>
      <c r="AC31" s="96" t="n"/>
      <c r="AD31" s="96" t="n"/>
      <c r="AE31" s="96" t="n"/>
      <c r="AF31" s="96" t="n"/>
      <c r="AG31" s="96" t="n"/>
      <c r="AH31" s="96" t="n"/>
      <c r="AI31" s="99" t="n"/>
    </row>
    <row r="32" ht="16.2" customHeight="1" s="41" thickBot="1">
      <c r="A32" s="5" t="n">
        <v>9</v>
      </c>
      <c r="B32" s="32" t="n">
        <v>30001577</v>
      </c>
      <c r="C32" s="33" t="inlineStr">
        <is>
          <t>FOUAD A. MOJALLY</t>
        </is>
      </c>
      <c r="D32" s="32" t="inlineStr">
        <is>
          <t>OJT</t>
        </is>
      </c>
      <c r="E32" s="96" t="n"/>
      <c r="F32" s="96" t="n"/>
      <c r="G32" s="9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  <c r="AA32" s="96" t="n"/>
      <c r="AB32" s="96" t="n"/>
      <c r="AC32" s="96" t="n"/>
      <c r="AD32" s="96" t="n"/>
      <c r="AE32" s="96" t="n"/>
      <c r="AF32" s="96" t="n"/>
      <c r="AG32" s="96" t="n"/>
      <c r="AH32" s="96" t="n"/>
      <c r="AI32" s="99" t="n"/>
    </row>
    <row r="33" ht="16.2" customHeight="1" s="41" thickBot="1">
      <c r="A33" s="5" t="n">
        <v>10</v>
      </c>
      <c r="B33" s="32" t="n">
        <v>30001774</v>
      </c>
      <c r="C33" s="33" t="inlineStr">
        <is>
          <t>SAAD A. ALQAHTANI</t>
        </is>
      </c>
      <c r="D33" s="32" t="inlineStr">
        <is>
          <t>OJT</t>
        </is>
      </c>
      <c r="E33" s="96" t="n"/>
      <c r="F33" s="96" t="n"/>
      <c r="G33" s="9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  <c r="AA33" s="96" t="n"/>
      <c r="AB33" s="96" t="n"/>
      <c r="AC33" s="96" t="n"/>
      <c r="AD33" s="96" t="n"/>
      <c r="AE33" s="96" t="n"/>
      <c r="AF33" s="96" t="n"/>
      <c r="AG33" s="96" t="n"/>
      <c r="AH33" s="96" t="n"/>
      <c r="AI33" s="99" t="n"/>
    </row>
    <row r="34" ht="16.2" customHeight="1" s="41" thickBot="1">
      <c r="A34" s="5" t="n">
        <v>11</v>
      </c>
      <c r="B34" s="32" t="n">
        <v>40000188</v>
      </c>
      <c r="C34" s="33" t="inlineStr">
        <is>
          <t>RAKAN AGILY</t>
        </is>
      </c>
      <c r="D34" s="32" t="inlineStr">
        <is>
          <t>TECH</t>
        </is>
      </c>
      <c r="E34" s="96" t="n"/>
      <c r="F34" s="96" t="n"/>
      <c r="G34" s="9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  <c r="AA34" s="96" t="n"/>
      <c r="AB34" s="96" t="n"/>
      <c r="AC34" s="96" t="n"/>
      <c r="AD34" s="96" t="n"/>
      <c r="AE34" s="96" t="n"/>
      <c r="AF34" s="96" t="n"/>
      <c r="AG34" s="96" t="n"/>
      <c r="AH34" s="96" t="n"/>
      <c r="AI34" s="99" t="n"/>
    </row>
    <row r="35" ht="16.2" customHeight="1" s="41" thickBot="1">
      <c r="A35" s="5" t="n">
        <v>12</v>
      </c>
      <c r="B35" s="32" t="n">
        <v>13009042</v>
      </c>
      <c r="C35" s="33" t="inlineStr">
        <is>
          <t>OLANDRES JR BEINVENIDO</t>
        </is>
      </c>
      <c r="D35" s="32" t="inlineStr">
        <is>
          <t>TECH</t>
        </is>
      </c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9" t="n"/>
    </row>
    <row r="36" ht="16.2" customHeight="1" s="41" thickBot="1">
      <c r="A36" s="5" t="n">
        <v>13</v>
      </c>
      <c r="B36" s="32" t="n">
        <v>40000706</v>
      </c>
      <c r="C36" s="33" t="inlineStr">
        <is>
          <t>JASON C. GUEVARRA</t>
        </is>
      </c>
      <c r="D36" s="32" t="inlineStr">
        <is>
          <t>FITTER</t>
        </is>
      </c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  <c r="AA36" s="96" t="n"/>
      <c r="AB36" s="96" t="n"/>
      <c r="AC36" s="96" t="n"/>
      <c r="AD36" s="96" t="n"/>
      <c r="AE36" s="96" t="n"/>
      <c r="AF36" s="96" t="n"/>
      <c r="AG36" s="96" t="n"/>
      <c r="AH36" s="96" t="n"/>
      <c r="AI36" s="99" t="n"/>
    </row>
    <row r="37" ht="16.2" customHeight="1" s="41" thickBot="1">
      <c r="A37" s="5" t="n">
        <v>14</v>
      </c>
      <c r="B37" s="32" t="n">
        <v>13009023</v>
      </c>
      <c r="C37" s="33" t="inlineStr">
        <is>
          <t>SAMEER ALDUSUQI</t>
        </is>
      </c>
      <c r="D37" s="32" t="inlineStr">
        <is>
          <t>FITTER</t>
        </is>
      </c>
      <c r="E37" s="100" t="n"/>
      <c r="F37" s="100" t="n"/>
      <c r="G37" s="100" t="n"/>
      <c r="H37" s="100" t="n"/>
      <c r="I37" s="100" t="n"/>
      <c r="J37" s="100" t="n"/>
      <c r="K37" s="100" t="n"/>
      <c r="L37" s="100" t="n"/>
      <c r="M37" s="100" t="n"/>
      <c r="N37" s="100" t="n"/>
      <c r="O37" s="100" t="n"/>
      <c r="P37" s="100" t="n"/>
      <c r="Q37" s="100" t="n"/>
      <c r="R37" s="100" t="n"/>
      <c r="S37" s="100" t="n"/>
      <c r="T37" s="100" t="n"/>
      <c r="U37" s="100" t="n"/>
      <c r="V37" s="100" t="n"/>
      <c r="W37" s="100" t="n"/>
      <c r="X37" s="100" t="n"/>
      <c r="Y37" s="100" t="n"/>
      <c r="Z37" s="100" t="n"/>
      <c r="AA37" s="100" t="n"/>
      <c r="AB37" s="100" t="n"/>
      <c r="AC37" s="100" t="n"/>
      <c r="AD37" s="100" t="n"/>
      <c r="AE37" s="100" t="n"/>
      <c r="AF37" s="100" t="n"/>
      <c r="AG37" s="100" t="n"/>
      <c r="AH37" s="100" t="n"/>
      <c r="AI37" s="101" t="n"/>
    </row>
    <row r="38" ht="15" customHeight="1" s="41" thickBot="1">
      <c r="E38" s="98" t="n"/>
      <c r="F38" s="98" t="n"/>
      <c r="G38" s="98" t="n"/>
      <c r="H38" s="98" t="n"/>
      <c r="I38" s="98" t="n"/>
      <c r="J38" s="98" t="n"/>
      <c r="K38" s="98" t="n"/>
      <c r="L38" s="98" t="n"/>
      <c r="M38" s="98" t="n"/>
      <c r="N38" s="98" t="n"/>
      <c r="O38" s="98" t="n"/>
      <c r="P38" s="98" t="n"/>
      <c r="Q38" s="98" t="n"/>
      <c r="R38" s="98" t="n"/>
      <c r="S38" s="98" t="n"/>
      <c r="T38" s="98" t="n"/>
      <c r="U38" s="98" t="n"/>
      <c r="V38" s="98" t="n"/>
      <c r="W38" s="98" t="n"/>
      <c r="X38" s="98" t="n"/>
      <c r="Y38" s="98" t="n"/>
      <c r="Z38" s="98" t="n"/>
      <c r="AA38" s="98" t="n"/>
      <c r="AB38" s="98" t="n"/>
      <c r="AC38" s="98" t="n"/>
      <c r="AD38" s="98" t="n"/>
      <c r="AE38" s="98" t="n"/>
      <c r="AF38" s="98" t="n"/>
      <c r="AG38" s="98" t="n"/>
      <c r="AH38" s="98" t="n"/>
      <c r="AI38" s="98" t="n"/>
    </row>
    <row r="39" ht="15" customHeight="1" s="41" thickBot="1">
      <c r="A39" s="58" t="inlineStr">
        <is>
          <t>CREW 3</t>
        </is>
      </c>
      <c r="B39" s="50" t="n"/>
      <c r="C39" s="50" t="n"/>
      <c r="D39" s="51" t="n"/>
      <c r="E39" s="1">
        <f>IF(1&lt;=$BA$4,TEXT($BA$3+0,"ddd"),"")</f>
        <v/>
      </c>
      <c r="F39" s="1">
        <f>IF(2&lt;=$BA$4,TEXT($BA$3+1,"ddd"),"")</f>
        <v/>
      </c>
      <c r="G39" s="1">
        <f>IF(3&lt;=$BA$4,TEXT($BA$3+2,"ddd"),"")</f>
        <v/>
      </c>
      <c r="H39" s="1">
        <f>IF(4&lt;=$BA$4,TEXT($BA$3+3,"ddd"),"")</f>
        <v/>
      </c>
      <c r="I39" s="1">
        <f>IF(5&lt;=$BA$4,TEXT($BA$3+4,"ddd"),"")</f>
        <v/>
      </c>
      <c r="J39" s="1">
        <f>IF(6&lt;=$BA$4,TEXT($BA$3+5,"ddd"),"")</f>
        <v/>
      </c>
      <c r="K39" s="1">
        <f>IF(7&lt;=$BA$4,TEXT($BA$3+6,"ddd"),"")</f>
        <v/>
      </c>
      <c r="L39" s="1">
        <f>IF(8&lt;=$BA$4,TEXT($BA$3+7,"ddd"),"")</f>
        <v/>
      </c>
      <c r="M39" s="1">
        <f>IF(9&lt;=$BA$4,TEXT($BA$3+8,"ddd"),"")</f>
        <v/>
      </c>
      <c r="N39" s="1">
        <f>IF(10&lt;=$BA$4,TEXT($BA$3+9,"ddd"),"")</f>
        <v/>
      </c>
      <c r="O39" s="1">
        <f>IF(11&lt;=$BA$4,TEXT($BA$3+10,"ddd"),"")</f>
        <v/>
      </c>
      <c r="P39" s="1">
        <f>IF(12&lt;=$BA$4,TEXT($BA$3+11,"ddd"),"")</f>
        <v/>
      </c>
      <c r="Q39" s="1">
        <f>IF(13&lt;=$BA$4,TEXT($BA$3+12,"ddd"),"")</f>
        <v/>
      </c>
      <c r="R39" s="1">
        <f>IF(14&lt;=$BA$4,TEXT($BA$3+13,"ddd"),"")</f>
        <v/>
      </c>
      <c r="S39" s="1">
        <f>IF(15&lt;=$BA$4,TEXT($BA$3+14,"ddd"),"")</f>
        <v/>
      </c>
      <c r="T39" s="1">
        <f>IF(16&lt;=$BA$4,TEXT($BA$3+15,"ddd"),"")</f>
        <v/>
      </c>
      <c r="U39" s="1">
        <f>IF(17&lt;=$BA$4,TEXT($BA$3+16,"ddd"),"")</f>
        <v/>
      </c>
      <c r="V39" s="1">
        <f>IF(18&lt;=$BA$4,TEXT($BA$3+17,"ddd"),"")</f>
        <v/>
      </c>
      <c r="W39" s="1">
        <f>IF(19&lt;=$BA$4,TEXT($BA$3+18,"ddd"),"")</f>
        <v/>
      </c>
      <c r="X39" s="1">
        <f>IF(20&lt;=$BA$4,TEXT($BA$3+19,"ddd"),"")</f>
        <v/>
      </c>
      <c r="Y39" s="1">
        <f>IF(21&lt;=$BA$4,TEXT($BA$3+20,"ddd"),"")</f>
        <v/>
      </c>
      <c r="Z39" s="1">
        <f>IF(22&lt;=$BA$4,TEXT($BA$3+21,"ddd"),"")</f>
        <v/>
      </c>
      <c r="AA39" s="1">
        <f>IF(23&lt;=$BA$4,TEXT($BA$3+22,"ddd"),"")</f>
        <v/>
      </c>
      <c r="AB39" s="1">
        <f>IF(24&lt;=$BA$4,TEXT($BA$3+23,"ddd"),"")</f>
        <v/>
      </c>
      <c r="AC39" s="1">
        <f>IF(25&lt;=$BA$4,TEXT($BA$3+24,"ddd"),"")</f>
        <v/>
      </c>
      <c r="AD39" s="1">
        <f>IF(26&lt;=$BA$4,TEXT($BA$3+25,"ddd"),"")</f>
        <v/>
      </c>
      <c r="AE39" s="1">
        <f>IF(27&lt;=$BA$4,TEXT($BA$3+26,"ddd"),"")</f>
        <v/>
      </c>
      <c r="AF39" s="1">
        <f>IF(28&lt;=$BA$4,TEXT($BA$3+27,"ddd"),"")</f>
        <v/>
      </c>
      <c r="AG39" s="1">
        <f>IF(29&lt;=$BA$4,TEXT($BA$3+28,"ddd"),"")</f>
        <v/>
      </c>
      <c r="AH39" s="1">
        <f>IF(30&lt;=$BA$4,TEXT($BA$3+29,"ddd"),"")</f>
        <v/>
      </c>
      <c r="AI39" s="1">
        <f>IF(31&lt;=$BA$4,TEXT($BA$3+30,"ddd"),"")</f>
        <v/>
      </c>
    </row>
    <row r="40" ht="16.2" customHeight="1" s="41" thickBot="1">
      <c r="A40" s="54" t="n"/>
      <c r="B40" s="55" t="n"/>
      <c r="C40" s="55" t="n"/>
      <c r="D40" s="56" t="n"/>
      <c r="E40" s="2">
        <f>IF(1&lt;=$BA$4,IF($BA$1="P",DAY($BA$3+0),1),"")</f>
        <v/>
      </c>
      <c r="F40" s="2">
        <f>IF(2&lt;=$BA$4,IF($BA$1="P",DAY($BA$3+1),2),"")</f>
        <v/>
      </c>
      <c r="G40" s="2">
        <f>IF(3&lt;=$BA$4,IF($BA$1="P",DAY($BA$3+2),3),"")</f>
        <v/>
      </c>
      <c r="H40" s="2">
        <f>IF(4&lt;=$BA$4,IF($BA$1="P",DAY($BA$3+3),4),"")</f>
        <v/>
      </c>
      <c r="I40" s="3">
        <f>IF(5&lt;=$BA$4,IF($BA$1="P",DAY($BA$3+4),5),"")</f>
        <v/>
      </c>
      <c r="J40" s="4">
        <f>IF(6&lt;=$BA$4,IF($BA$1="P",DAY($BA$3+5),6),"")</f>
        <v/>
      </c>
      <c r="K40" s="4">
        <f>IF(7&lt;=$BA$4,IF($BA$1="P",DAY($BA$3+6),7),"")</f>
        <v/>
      </c>
      <c r="L40" s="3">
        <f>IF(8&lt;=$BA$4,IF($BA$1="P",DAY($BA$3+7),8),"")</f>
        <v/>
      </c>
      <c r="M40" s="4">
        <f>IF(9&lt;=$BA$4,IF($BA$1="P",DAY($BA$3+8),9),"")</f>
        <v/>
      </c>
      <c r="N40" s="2">
        <f>IF(10&lt;=$BA$4,IF($BA$1="P",DAY($BA$3+9),10),"")</f>
        <v/>
      </c>
      <c r="O40" s="2">
        <f>IF(11&lt;=$BA$4,IF($BA$1="P",DAY($BA$3+10),11),"")</f>
        <v/>
      </c>
      <c r="P40" s="2">
        <f>IF(12&lt;=$BA$4,IF($BA$1="P",DAY($BA$3+11),12),"")</f>
        <v/>
      </c>
      <c r="Q40" s="2">
        <f>IF(13&lt;=$BA$4,IF($BA$1="P",DAY($BA$3+12),13),"")</f>
        <v/>
      </c>
      <c r="R40" s="2">
        <f>IF(14&lt;=$BA$4,IF($BA$1="P",DAY($BA$3+13),14),"")</f>
        <v/>
      </c>
      <c r="S40" s="2">
        <f>IF(15&lt;=$BA$4,IF($BA$1="P",DAY($BA$3+14),15),"")</f>
        <v/>
      </c>
      <c r="T40" s="2">
        <f>IF(16&lt;=$BA$4,IF($BA$1="P",DAY($BA$3+15),16),"")</f>
        <v/>
      </c>
      <c r="U40" s="2">
        <f>IF(17&lt;=$BA$4,IF($BA$1="P",DAY($BA$3+16),17),"")</f>
        <v/>
      </c>
      <c r="V40" s="2">
        <f>IF(18&lt;=$BA$4,IF($BA$1="P",DAY($BA$3+17),18),"")</f>
        <v/>
      </c>
      <c r="W40" s="2">
        <f>IF(19&lt;=$BA$4,IF($BA$1="P",DAY($BA$3+18),19),"")</f>
        <v/>
      </c>
      <c r="X40" s="2">
        <f>IF(20&lt;=$BA$4,IF($BA$1="P",DAY($BA$3+19),20),"")</f>
        <v/>
      </c>
      <c r="Y40" s="2">
        <f>IF(21&lt;=$BA$4,IF($BA$1="P",DAY($BA$3+20),21),"")</f>
        <v/>
      </c>
      <c r="Z40" s="2">
        <f>IF(22&lt;=$BA$4,IF($BA$1="P",DAY($BA$3+21),22),"")</f>
        <v/>
      </c>
      <c r="AA40" s="2">
        <f>IF(23&lt;=$BA$4,IF($BA$1="P",DAY($BA$3+22),23),"")</f>
        <v/>
      </c>
      <c r="AB40" s="2">
        <f>IF(24&lt;=$BA$4,IF($BA$1="P",DAY($BA$3+23),24),"")</f>
        <v/>
      </c>
      <c r="AC40" s="2">
        <f>IF(25&lt;=$BA$4,IF($BA$1="P",DAY($BA$3+24),25),"")</f>
        <v/>
      </c>
      <c r="AD40" s="2">
        <f>IF(26&lt;=$BA$4,IF($BA$1="P",DAY($BA$3+25),26),"")</f>
        <v/>
      </c>
      <c r="AE40" s="2">
        <f>IF(27&lt;=$BA$4,IF($BA$1="P",DAY($BA$3+26),27),"")</f>
        <v/>
      </c>
      <c r="AF40" s="2">
        <f>IF(28&lt;=$BA$4,IF($BA$1="P",DAY($BA$3+27),28),"")</f>
        <v/>
      </c>
      <c r="AG40" s="2">
        <f>IF(29&lt;=$BA$4,IF($BA$1="P",DAY($BA$3+28),29),"")</f>
        <v/>
      </c>
      <c r="AH40" s="2">
        <f>IF(30&lt;=$BA$4,IF($BA$1="P",DAY($BA$3+29),30),"")</f>
        <v/>
      </c>
      <c r="AI40" s="2">
        <f>IF(31&lt;=$BA$4,IF($BA$1="P",DAY($BA$3+30),31),"")</f>
        <v/>
      </c>
    </row>
    <row r="41" ht="16.2" customHeight="1" s="41" thickBot="1">
      <c r="A41" s="5" t="n">
        <v>1</v>
      </c>
      <c r="B41" s="32" t="n">
        <v>30003319</v>
      </c>
      <c r="C41" s="33" t="inlineStr">
        <is>
          <t>MANSOUR ALHARBI</t>
        </is>
      </c>
      <c r="D41" s="32" t="inlineStr">
        <is>
          <t>TECH</t>
        </is>
      </c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  <c r="AA41" s="96" t="n"/>
      <c r="AB41" s="96" t="n"/>
      <c r="AC41" s="96" t="n"/>
      <c r="AD41" s="96" t="n"/>
      <c r="AE41" s="96" t="n"/>
      <c r="AF41" s="96" t="n"/>
      <c r="AG41" s="96" t="n"/>
      <c r="AH41" s="96" t="n"/>
      <c r="AI41" s="96" t="n"/>
    </row>
    <row r="42" ht="16.2" customHeight="1" s="41" thickBot="1">
      <c r="A42" s="5" t="n">
        <v>2</v>
      </c>
      <c r="B42" s="32" t="n">
        <v>30003362</v>
      </c>
      <c r="C42" s="33" t="inlineStr">
        <is>
          <t>AYMAN HAMED</t>
        </is>
      </c>
      <c r="D42" s="32" t="inlineStr">
        <is>
          <t>TECH</t>
        </is>
      </c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  <c r="AA42" s="96" t="n"/>
      <c r="AB42" s="96" t="n"/>
      <c r="AC42" s="96" t="n"/>
      <c r="AD42" s="96" t="n"/>
      <c r="AE42" s="96" t="n"/>
      <c r="AF42" s="96" t="n"/>
      <c r="AG42" s="96" t="n"/>
      <c r="AH42" s="96" t="n"/>
      <c r="AI42" s="96" t="n"/>
    </row>
    <row r="43" ht="16.2" customHeight="1" s="41" thickBot="1">
      <c r="A43" s="5" t="n">
        <v>3</v>
      </c>
      <c r="B43" s="32" t="n">
        <v>30003449</v>
      </c>
      <c r="C43" s="33" t="inlineStr">
        <is>
          <t>HAZEM ALSUBHI</t>
        </is>
      </c>
      <c r="D43" s="32" t="inlineStr">
        <is>
          <t>TECH</t>
        </is>
      </c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  <c r="AA43" s="96" t="n"/>
      <c r="AB43" s="96" t="n"/>
      <c r="AC43" s="96" t="n"/>
      <c r="AD43" s="96" t="n"/>
      <c r="AE43" s="96" t="n"/>
      <c r="AF43" s="96" t="n"/>
      <c r="AG43" s="96" t="n"/>
      <c r="AH43" s="96" t="n"/>
      <c r="AI43" s="96" t="n"/>
    </row>
    <row r="44" ht="16.2" customHeight="1" s="41" thickBot="1">
      <c r="A44" s="5" t="n">
        <v>4</v>
      </c>
      <c r="B44" s="32" t="n">
        <v>30003471</v>
      </c>
      <c r="C44" s="33" t="inlineStr">
        <is>
          <t>MOHAMMED ALOQBI</t>
        </is>
      </c>
      <c r="D44" s="32" t="inlineStr">
        <is>
          <t>TECH</t>
        </is>
      </c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  <c r="AA44" s="96" t="n"/>
      <c r="AB44" s="96" t="n"/>
      <c r="AC44" s="96" t="n"/>
      <c r="AD44" s="96" t="n"/>
      <c r="AE44" s="96" t="n"/>
      <c r="AF44" s="96" t="n"/>
      <c r="AG44" s="96" t="n"/>
      <c r="AH44" s="96" t="n"/>
      <c r="AI44" s="96" t="n"/>
    </row>
    <row r="45" ht="16.2" customHeight="1" s="41" thickBot="1">
      <c r="A45" s="5" t="n">
        <v>5</v>
      </c>
      <c r="B45" s="32" t="n">
        <v>30003607</v>
      </c>
      <c r="C45" s="33" t="inlineStr">
        <is>
          <t>SIRAJ KHAYAT</t>
        </is>
      </c>
      <c r="D45" s="32" t="inlineStr">
        <is>
          <t>TECH</t>
        </is>
      </c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  <c r="AA45" s="96" t="n"/>
      <c r="AB45" s="96" t="n"/>
      <c r="AC45" s="96" t="n"/>
      <c r="AD45" s="96" t="n"/>
      <c r="AE45" s="96" t="n"/>
      <c r="AF45" s="96" t="n"/>
      <c r="AG45" s="96" t="n"/>
      <c r="AH45" s="96" t="n"/>
      <c r="AI45" s="96" t="n"/>
    </row>
    <row r="46" ht="16.2" customHeight="1" s="41" thickBot="1">
      <c r="A46" s="5" t="n">
        <v>6</v>
      </c>
      <c r="B46" s="32" t="n">
        <v>30004358</v>
      </c>
      <c r="C46" s="33" t="inlineStr">
        <is>
          <t>SALMAN ALJAADANI</t>
        </is>
      </c>
      <c r="D46" s="32" t="inlineStr">
        <is>
          <t>TECH</t>
        </is>
      </c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  <c r="AA46" s="96" t="n"/>
      <c r="AB46" s="96" t="n"/>
      <c r="AC46" s="96" t="n"/>
      <c r="AD46" s="96" t="n"/>
      <c r="AE46" s="96" t="n"/>
      <c r="AF46" s="96" t="n"/>
      <c r="AG46" s="96" t="n"/>
      <c r="AH46" s="96" t="n"/>
      <c r="AI46" s="96" t="n"/>
    </row>
    <row r="47" ht="16.2" customHeight="1" s="41" thickBot="1">
      <c r="A47" s="5" t="n">
        <v>7</v>
      </c>
      <c r="B47" s="32" t="n">
        <v>30004434</v>
      </c>
      <c r="C47" s="33" t="inlineStr">
        <is>
          <t>EID ALRIFAI</t>
        </is>
      </c>
      <c r="D47" s="32" t="inlineStr">
        <is>
          <t>TECH</t>
        </is>
      </c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  <c r="AA47" s="96" t="n"/>
      <c r="AB47" s="96" t="n"/>
      <c r="AC47" s="96" t="n"/>
      <c r="AD47" s="96" t="n"/>
      <c r="AE47" s="96" t="n"/>
      <c r="AF47" s="96" t="n"/>
      <c r="AG47" s="96" t="n"/>
      <c r="AH47" s="96" t="n"/>
      <c r="AI47" s="96" t="n"/>
    </row>
    <row r="48" ht="16.2" customHeight="1" s="41" thickBot="1">
      <c r="A48" s="5" t="n">
        <v>8</v>
      </c>
      <c r="B48" s="32" t="n">
        <v>30004838</v>
      </c>
      <c r="C48" s="33" t="inlineStr">
        <is>
          <t>MUAED MEERA</t>
        </is>
      </c>
      <c r="D48" s="32" t="inlineStr">
        <is>
          <t>TECH</t>
        </is>
      </c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  <c r="AA48" s="96" t="n"/>
      <c r="AB48" s="96" t="n"/>
      <c r="AC48" s="96" t="n"/>
      <c r="AD48" s="96" t="n"/>
      <c r="AE48" s="96" t="n"/>
      <c r="AF48" s="96" t="n"/>
      <c r="AG48" s="96" t="n"/>
      <c r="AH48" s="96" t="n"/>
      <c r="AI48" s="96" t="n"/>
    </row>
    <row r="49" ht="16.2" customHeight="1" s="41" thickBot="1">
      <c r="A49" s="5" t="n">
        <v>9</v>
      </c>
      <c r="B49" s="32" t="n">
        <v>30003332</v>
      </c>
      <c r="C49" s="33" t="inlineStr">
        <is>
          <t>FAHAD ALZAHRANI</t>
        </is>
      </c>
      <c r="D49" s="32" t="inlineStr">
        <is>
          <t>TECH</t>
        </is>
      </c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  <c r="AA49" s="96" t="n"/>
      <c r="AB49" s="96" t="n"/>
      <c r="AC49" s="96" t="n"/>
      <c r="AD49" s="96" t="n"/>
      <c r="AE49" s="96" t="n"/>
      <c r="AF49" s="96" t="n"/>
      <c r="AG49" s="96" t="n"/>
      <c r="AH49" s="96" t="n"/>
      <c r="AI49" s="96" t="n"/>
    </row>
    <row r="50" ht="16.2" customHeight="1" s="41" thickBot="1">
      <c r="A50" s="5" t="n">
        <v>10</v>
      </c>
      <c r="B50" s="32" t="n">
        <v>30003505</v>
      </c>
      <c r="C50" s="33" t="inlineStr">
        <is>
          <t>FAISAL MAQBUL</t>
        </is>
      </c>
      <c r="D50" s="32" t="inlineStr">
        <is>
          <t>TECH</t>
        </is>
      </c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  <c r="AA50" s="96" t="n"/>
      <c r="AB50" s="96" t="n"/>
      <c r="AC50" s="96" t="n"/>
      <c r="AD50" s="96" t="n"/>
      <c r="AE50" s="96" t="n"/>
      <c r="AF50" s="96" t="n"/>
      <c r="AG50" s="96" t="n"/>
      <c r="AH50" s="96" t="n"/>
      <c r="AI50" s="96" t="n"/>
    </row>
    <row r="51" ht="16.2" customHeight="1" s="41" thickBot="1">
      <c r="A51" s="5" t="n">
        <v>11</v>
      </c>
      <c r="B51" s="32" t="n">
        <v>30004387</v>
      </c>
      <c r="C51" s="33" t="inlineStr">
        <is>
          <t>WALEED ALGHAMDI</t>
        </is>
      </c>
      <c r="D51" s="32" t="inlineStr">
        <is>
          <t>TECH</t>
        </is>
      </c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  <c r="AA51" s="96" t="n"/>
      <c r="AB51" s="96" t="n"/>
      <c r="AC51" s="96" t="n"/>
      <c r="AD51" s="96" t="n"/>
      <c r="AE51" s="96" t="n"/>
      <c r="AF51" s="96" t="n"/>
      <c r="AG51" s="96" t="n"/>
      <c r="AH51" s="96" t="n"/>
      <c r="AI51" s="96" t="n"/>
    </row>
    <row r="52" ht="16.2" customHeight="1" s="41" thickBot="1">
      <c r="A52" s="5" t="n">
        <v>12</v>
      </c>
      <c r="B52" s="32" t="n">
        <v>30003357</v>
      </c>
      <c r="C52" s="33" t="inlineStr">
        <is>
          <t>FAISAL ALHARTHI</t>
        </is>
      </c>
      <c r="D52" s="32" t="inlineStr">
        <is>
          <t>TECH</t>
        </is>
      </c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</row>
    <row r="53" ht="16.2" customHeight="1" s="41" thickBot="1">
      <c r="A53" s="5" t="n">
        <v>13</v>
      </c>
      <c r="B53" s="32" t="n">
        <v>30004224</v>
      </c>
      <c r="C53" s="33" t="inlineStr">
        <is>
          <t>AMAR ALHEJAILI</t>
        </is>
      </c>
      <c r="D53" s="32" t="inlineStr">
        <is>
          <t>TECH</t>
        </is>
      </c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  <c r="AA53" s="96" t="n"/>
      <c r="AB53" s="96" t="n"/>
      <c r="AC53" s="96" t="n"/>
      <c r="AD53" s="96" t="n"/>
      <c r="AE53" s="96" t="n"/>
      <c r="AF53" s="96" t="n"/>
      <c r="AG53" s="96" t="n"/>
      <c r="AH53" s="96" t="n"/>
      <c r="AI53" s="96" t="n"/>
    </row>
    <row r="54" ht="16.2" customHeight="1" s="41" thickBot="1">
      <c r="A54" s="5" t="n">
        <v>14</v>
      </c>
      <c r="B54" s="32" t="n"/>
      <c r="C54" s="33" t="inlineStr">
        <is>
          <t>AHMED ALAHMADI</t>
        </is>
      </c>
      <c r="D54" s="32" t="inlineStr">
        <is>
          <t>TECH</t>
        </is>
      </c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  <c r="AA54" s="96" t="n"/>
      <c r="AB54" s="96" t="n"/>
      <c r="AC54" s="96" t="n"/>
      <c r="AD54" s="96" t="n"/>
      <c r="AE54" s="96" t="n"/>
      <c r="AF54" s="96" t="n"/>
      <c r="AG54" s="96" t="n"/>
      <c r="AH54" s="96" t="n"/>
      <c r="AI54" s="96" t="n"/>
    </row>
    <row r="55" ht="16.2" customHeight="1" s="41" thickBot="1">
      <c r="A55" s="8" t="n"/>
      <c r="B55" s="36" t="n"/>
      <c r="C55" s="37" t="n"/>
      <c r="D55" s="36" t="n"/>
      <c r="E55" s="98" t="n"/>
      <c r="F55" s="98" t="n"/>
      <c r="G55" s="98" t="n"/>
      <c r="H55" s="98" t="n"/>
      <c r="I55" s="98" t="n"/>
      <c r="J55" s="98" t="n"/>
      <c r="K55" s="98" t="n"/>
      <c r="L55" s="98" t="n"/>
      <c r="M55" s="98" t="n"/>
      <c r="N55" s="98" t="n"/>
      <c r="O55" s="98" t="n"/>
      <c r="P55" s="98" t="n"/>
      <c r="Q55" s="98" t="n"/>
      <c r="R55" s="98" t="n"/>
      <c r="S55" s="98" t="n"/>
      <c r="T55" s="98" t="n"/>
      <c r="U55" s="98" t="n"/>
      <c r="V55" s="98" t="n"/>
      <c r="W55" s="98" t="n"/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  <c r="AG55" s="98" t="n"/>
      <c r="AH55" s="98" t="n"/>
      <c r="AI55" s="98" t="n"/>
    </row>
    <row r="56" ht="15" customHeight="1" s="41" thickBot="1">
      <c r="A56" s="58" t="inlineStr">
        <is>
          <t>SPECIAL SHIFTING</t>
        </is>
      </c>
      <c r="B56" s="50" t="n"/>
      <c r="C56" s="50" t="n"/>
      <c r="D56" s="51" t="n"/>
      <c r="E56" s="1">
        <f>IF(1&lt;=$BA$4,TEXT($BA$3+0,"ddd"),"")</f>
        <v/>
      </c>
      <c r="F56" s="1">
        <f>IF(2&lt;=$BA$4,TEXT($BA$3+1,"ddd"),"")</f>
        <v/>
      </c>
      <c r="G56" s="1">
        <f>IF(3&lt;=$BA$4,TEXT($BA$3+2,"ddd"),"")</f>
        <v/>
      </c>
      <c r="H56" s="1">
        <f>IF(4&lt;=$BA$4,TEXT($BA$3+3,"ddd"),"")</f>
        <v/>
      </c>
      <c r="I56" s="1">
        <f>IF(5&lt;=$BA$4,TEXT($BA$3+4,"ddd"),"")</f>
        <v/>
      </c>
      <c r="J56" s="1">
        <f>IF(6&lt;=$BA$4,TEXT($BA$3+5,"ddd"),"")</f>
        <v/>
      </c>
      <c r="K56" s="1">
        <f>IF(7&lt;=$BA$4,TEXT($BA$3+6,"ddd"),"")</f>
        <v/>
      </c>
      <c r="L56" s="1">
        <f>IF(8&lt;=$BA$4,TEXT($BA$3+7,"ddd"),"")</f>
        <v/>
      </c>
      <c r="M56" s="1">
        <f>IF(9&lt;=$BA$4,TEXT($BA$3+8,"ddd"),"")</f>
        <v/>
      </c>
      <c r="N56" s="1">
        <f>IF(10&lt;=$BA$4,TEXT($BA$3+9,"ddd"),"")</f>
        <v/>
      </c>
      <c r="O56" s="1">
        <f>IF(11&lt;=$BA$4,TEXT($BA$3+10,"ddd"),"")</f>
        <v/>
      </c>
      <c r="P56" s="1">
        <f>IF(12&lt;=$BA$4,TEXT($BA$3+11,"ddd"),"")</f>
        <v/>
      </c>
      <c r="Q56" s="1">
        <f>IF(13&lt;=$BA$4,TEXT($BA$3+12,"ddd"),"")</f>
        <v/>
      </c>
      <c r="R56" s="1">
        <f>IF(14&lt;=$BA$4,TEXT($BA$3+13,"ddd"),"")</f>
        <v/>
      </c>
      <c r="S56" s="1">
        <f>IF(15&lt;=$BA$4,TEXT($BA$3+14,"ddd"),"")</f>
        <v/>
      </c>
      <c r="T56" s="1">
        <f>IF(16&lt;=$BA$4,TEXT($BA$3+15,"ddd"),"")</f>
        <v/>
      </c>
      <c r="U56" s="1">
        <f>IF(17&lt;=$BA$4,TEXT($BA$3+16,"ddd"),"")</f>
        <v/>
      </c>
      <c r="V56" s="1">
        <f>IF(18&lt;=$BA$4,TEXT($BA$3+17,"ddd"),"")</f>
        <v/>
      </c>
      <c r="W56" s="1">
        <f>IF(19&lt;=$BA$4,TEXT($BA$3+18,"ddd"),"")</f>
        <v/>
      </c>
      <c r="X56" s="1">
        <f>IF(20&lt;=$BA$4,TEXT($BA$3+19,"ddd"),"")</f>
        <v/>
      </c>
      <c r="Y56" s="1">
        <f>IF(21&lt;=$BA$4,TEXT($BA$3+20,"ddd"),"")</f>
        <v/>
      </c>
      <c r="Z56" s="1">
        <f>IF(22&lt;=$BA$4,TEXT($BA$3+21,"ddd"),"")</f>
        <v/>
      </c>
      <c r="AA56" s="1">
        <f>IF(23&lt;=$BA$4,TEXT($BA$3+22,"ddd"),"")</f>
        <v/>
      </c>
      <c r="AB56" s="1">
        <f>IF(24&lt;=$BA$4,TEXT($BA$3+23,"ddd"),"")</f>
        <v/>
      </c>
      <c r="AC56" s="1">
        <f>IF(25&lt;=$BA$4,TEXT($BA$3+24,"ddd"),"")</f>
        <v/>
      </c>
      <c r="AD56" s="1">
        <f>IF(26&lt;=$BA$4,TEXT($BA$3+25,"ddd"),"")</f>
        <v/>
      </c>
      <c r="AE56" s="1">
        <f>IF(27&lt;=$BA$4,TEXT($BA$3+26,"ddd"),"")</f>
        <v/>
      </c>
      <c r="AF56" s="1">
        <f>IF(28&lt;=$BA$4,TEXT($BA$3+27,"ddd"),"")</f>
        <v/>
      </c>
      <c r="AG56" s="1">
        <f>IF(29&lt;=$BA$4,TEXT($BA$3+28,"ddd"),"")</f>
        <v/>
      </c>
      <c r="AH56" s="1">
        <f>IF(30&lt;=$BA$4,TEXT($BA$3+29,"ddd"),"")</f>
        <v/>
      </c>
      <c r="AI56" s="1">
        <f>IF(31&lt;=$BA$4,TEXT($BA$3+30,"ddd"),"")</f>
        <v/>
      </c>
    </row>
    <row r="57" ht="16.2" customHeight="1" s="41" thickBot="1">
      <c r="A57" s="54" t="n"/>
      <c r="B57" s="55" t="n"/>
      <c r="C57" s="55" t="n"/>
      <c r="D57" s="56" t="n"/>
      <c r="E57" s="2">
        <f>IF(1&lt;=$BA$4,IF($BA$1="P",DAY($BA$3+0),1),"")</f>
        <v/>
      </c>
      <c r="F57" s="2">
        <f>IF(2&lt;=$BA$4,IF($BA$1="P",DAY($BA$3+1),2),"")</f>
        <v/>
      </c>
      <c r="G57" s="2">
        <f>IF(3&lt;=$BA$4,IF($BA$1="P",DAY($BA$3+2),3),"")</f>
        <v/>
      </c>
      <c r="H57" s="2">
        <f>IF(4&lt;=$BA$4,IF($BA$1="P",DAY($BA$3+3),4),"")</f>
        <v/>
      </c>
      <c r="I57" s="3">
        <f>IF(5&lt;=$BA$4,IF($BA$1="P",DAY($BA$3+4),5),"")</f>
        <v/>
      </c>
      <c r="J57" s="4">
        <f>IF(6&lt;=$BA$4,IF($BA$1="P",DAY($BA$3+5),6),"")</f>
        <v/>
      </c>
      <c r="K57" s="4">
        <f>IF(7&lt;=$BA$4,IF($BA$1="P",DAY($BA$3+6),7),"")</f>
        <v/>
      </c>
      <c r="L57" s="3">
        <f>IF(8&lt;=$BA$4,IF($BA$1="P",DAY($BA$3+7),8),"")</f>
        <v/>
      </c>
      <c r="M57" s="4">
        <f>IF(9&lt;=$BA$4,IF($BA$1="P",DAY($BA$3+8),9),"")</f>
        <v/>
      </c>
      <c r="N57" s="2">
        <f>IF(10&lt;=$BA$4,IF($BA$1="P",DAY($BA$3+9),10),"")</f>
        <v/>
      </c>
      <c r="O57" s="2">
        <f>IF(11&lt;=$BA$4,IF($BA$1="P",DAY($BA$3+10),11),"")</f>
        <v/>
      </c>
      <c r="P57" s="2">
        <f>IF(12&lt;=$BA$4,IF($BA$1="P",DAY($BA$3+11),12),"")</f>
        <v/>
      </c>
      <c r="Q57" s="2">
        <f>IF(13&lt;=$BA$4,IF($BA$1="P",DAY($BA$3+12),13),"")</f>
        <v/>
      </c>
      <c r="R57" s="2">
        <f>IF(14&lt;=$BA$4,IF($BA$1="P",DAY($BA$3+13),14),"")</f>
        <v/>
      </c>
      <c r="S57" s="2">
        <f>IF(15&lt;=$BA$4,IF($BA$1="P",DAY($BA$3+14),15),"")</f>
        <v/>
      </c>
      <c r="T57" s="2">
        <f>IF(16&lt;=$BA$4,IF($BA$1="P",DAY($BA$3+15),16),"")</f>
        <v/>
      </c>
      <c r="U57" s="2">
        <f>IF(17&lt;=$BA$4,IF($BA$1="P",DAY($BA$3+16),17),"")</f>
        <v/>
      </c>
      <c r="V57" s="2">
        <f>IF(18&lt;=$BA$4,IF($BA$1="P",DAY($BA$3+17),18),"")</f>
        <v/>
      </c>
      <c r="W57" s="2">
        <f>IF(19&lt;=$BA$4,IF($BA$1="P",DAY($BA$3+18),19),"")</f>
        <v/>
      </c>
      <c r="X57" s="2">
        <f>IF(20&lt;=$BA$4,IF($BA$1="P",DAY($BA$3+19),20),"")</f>
        <v/>
      </c>
      <c r="Y57" s="2">
        <f>IF(21&lt;=$BA$4,IF($BA$1="P",DAY($BA$3+20),21),"")</f>
        <v/>
      </c>
      <c r="Z57" s="2">
        <f>IF(22&lt;=$BA$4,IF($BA$1="P",DAY($BA$3+21),22),"")</f>
        <v/>
      </c>
      <c r="AA57" s="2">
        <f>IF(23&lt;=$BA$4,IF($BA$1="P",DAY($BA$3+22),23),"")</f>
        <v/>
      </c>
      <c r="AB57" s="2">
        <f>IF(24&lt;=$BA$4,IF($BA$1="P",DAY($BA$3+23),24),"")</f>
        <v/>
      </c>
      <c r="AC57" s="2">
        <f>IF(25&lt;=$BA$4,IF($BA$1="P",DAY($BA$3+24),25),"")</f>
        <v/>
      </c>
      <c r="AD57" s="2">
        <f>IF(26&lt;=$BA$4,IF($BA$1="P",DAY($BA$3+25),26),"")</f>
        <v/>
      </c>
      <c r="AE57" s="2">
        <f>IF(27&lt;=$BA$4,IF($BA$1="P",DAY($BA$3+26),27),"")</f>
        <v/>
      </c>
      <c r="AF57" s="2">
        <f>IF(28&lt;=$BA$4,IF($BA$1="P",DAY($BA$3+27),28),"")</f>
        <v/>
      </c>
      <c r="AG57" s="2">
        <f>IF(29&lt;=$BA$4,IF($BA$1="P",DAY($BA$3+28),29),"")</f>
        <v/>
      </c>
      <c r="AH57" s="2">
        <f>IF(30&lt;=$BA$4,IF($BA$1="P",DAY($BA$3+29),30),"")</f>
        <v/>
      </c>
      <c r="AI57" s="2">
        <f>IF(31&lt;=$BA$4,IF($BA$1="P",DAY($BA$3+30),31),"")</f>
        <v/>
      </c>
    </row>
    <row r="58" ht="16.2" customHeight="1" s="41" thickBot="1">
      <c r="A58" s="5" t="n">
        <v>1</v>
      </c>
      <c r="B58" s="32" t="n">
        <v>13004037</v>
      </c>
      <c r="C58" s="33" t="inlineStr">
        <is>
          <t>KHALID FAISAL AL-ALAWI</t>
        </is>
      </c>
      <c r="D58" s="32" t="inlineStr">
        <is>
          <t>SUPV</t>
        </is>
      </c>
      <c r="E58" s="96" t="n"/>
      <c r="F58" s="96" t="n"/>
      <c r="G58" s="102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  <c r="AA58" s="96" t="n"/>
      <c r="AB58" s="96" t="n"/>
      <c r="AC58" s="96" t="n"/>
      <c r="AD58" s="96" t="n"/>
      <c r="AE58" s="96" t="n"/>
      <c r="AF58" s="96" t="n"/>
      <c r="AG58" s="96" t="n"/>
      <c r="AH58" s="99" t="n"/>
      <c r="AI58" s="97" t="n"/>
    </row>
    <row r="59" ht="16.2" customHeight="1" s="41" thickBot="1">
      <c r="A59" s="33" t="n"/>
      <c r="B59" s="33" t="n"/>
      <c r="C59" s="33" t="n"/>
      <c r="D59" s="33" t="n"/>
      <c r="E59" s="96" t="n"/>
      <c r="F59" s="96" t="n"/>
      <c r="G59" s="102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  <c r="AA59" s="96" t="n"/>
      <c r="AB59" s="96" t="n"/>
      <c r="AC59" s="96" t="n"/>
      <c r="AD59" s="96" t="n"/>
      <c r="AE59" s="96" t="n"/>
      <c r="AF59" s="96" t="n"/>
      <c r="AG59" s="96" t="n"/>
      <c r="AH59" s="99" t="n"/>
      <c r="AI59" s="97" t="n"/>
    </row>
    <row r="60" ht="16.2" customHeight="1" s="41" thickBot="1">
      <c r="A60" s="33" t="n"/>
      <c r="B60" s="33" t="n"/>
      <c r="C60" s="33" t="n"/>
      <c r="D60" s="33" t="n"/>
      <c r="E60" s="96" t="n"/>
      <c r="F60" s="96" t="n"/>
      <c r="G60" s="102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  <c r="AA60" s="96" t="n"/>
      <c r="AB60" s="96" t="n"/>
      <c r="AC60" s="96" t="n"/>
      <c r="AD60" s="96" t="n"/>
      <c r="AE60" s="96" t="n"/>
      <c r="AF60" s="96" t="n"/>
      <c r="AG60" s="96" t="n"/>
      <c r="AH60" s="99" t="n"/>
      <c r="AI60" s="97" t="n"/>
    </row>
    <row r="61" ht="16.2" customHeight="1" s="41" thickBot="1">
      <c r="A61" s="33" t="n"/>
      <c r="B61" s="33" t="n"/>
      <c r="C61" s="33" t="n"/>
      <c r="D61" s="33" t="n"/>
      <c r="E61" s="96" t="n"/>
      <c r="F61" s="96" t="n"/>
      <c r="G61" s="102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  <c r="AA61" s="96" t="n"/>
      <c r="AB61" s="96" t="n"/>
      <c r="AC61" s="96" t="n"/>
      <c r="AD61" s="96" t="n"/>
      <c r="AE61" s="96" t="n"/>
      <c r="AF61" s="96" t="n"/>
      <c r="AG61" s="96" t="n"/>
      <c r="AH61" s="99" t="n"/>
      <c r="AI61" s="97" t="n"/>
    </row>
    <row r="62" ht="16.2" customHeight="1" s="41" thickBot="1">
      <c r="A62" s="33" t="n"/>
      <c r="B62" s="33" t="n"/>
      <c r="C62" s="33" t="n"/>
      <c r="D62" s="33" t="n"/>
      <c r="E62" s="96" t="n"/>
      <c r="F62" s="96" t="n"/>
      <c r="G62" s="102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  <c r="AA62" s="96" t="n"/>
      <c r="AB62" s="96" t="n"/>
      <c r="AC62" s="96" t="n"/>
      <c r="AD62" s="96" t="n"/>
      <c r="AE62" s="96" t="n"/>
      <c r="AF62" s="96" t="n"/>
      <c r="AG62" s="96" t="n"/>
      <c r="AH62" s="99" t="n"/>
      <c r="AI62" s="97" t="n"/>
    </row>
    <row r="63" ht="16.2" customHeight="1" s="41" thickBot="1">
      <c r="A63" s="33" t="n"/>
      <c r="B63" s="33" t="n"/>
      <c r="C63" s="33" t="n"/>
      <c r="D63" s="33" t="n"/>
      <c r="E63" s="96" t="n"/>
      <c r="F63" s="96" t="n"/>
      <c r="G63" s="102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  <c r="AA63" s="96" t="n"/>
      <c r="AB63" s="96" t="n"/>
      <c r="AC63" s="96" t="n"/>
      <c r="AD63" s="96" t="n"/>
      <c r="AE63" s="96" t="n"/>
      <c r="AF63" s="96" t="n"/>
      <c r="AG63" s="96" t="n"/>
      <c r="AH63" s="99" t="n"/>
      <c r="AI63" s="97" t="n"/>
    </row>
    <row r="64" ht="16.2" customHeight="1" s="41" thickBot="1">
      <c r="A64" s="9" t="n"/>
      <c r="B64" s="36" t="n"/>
      <c r="C64" s="37" t="n"/>
      <c r="D64" s="36" t="n"/>
      <c r="E64" s="98" t="n"/>
      <c r="F64" s="98" t="n"/>
      <c r="G64" s="98" t="n"/>
      <c r="H64" s="98" t="n"/>
      <c r="I64" s="98" t="n"/>
      <c r="J64" s="98" t="n"/>
      <c r="K64" s="98" t="n"/>
      <c r="L64" s="98" t="n"/>
      <c r="M64" s="98" t="n"/>
      <c r="N64" s="98" t="n"/>
      <c r="O64" s="98" t="n"/>
      <c r="P64" s="98" t="n"/>
      <c r="Q64" s="98" t="n"/>
      <c r="R64" s="98" t="n"/>
      <c r="S64" s="98" t="n"/>
      <c r="T64" s="98" t="n"/>
      <c r="U64" s="98" t="n"/>
      <c r="V64" s="98" t="n"/>
      <c r="W64" s="98" t="n"/>
      <c r="X64" s="98" t="n"/>
      <c r="Y64" s="98" t="n"/>
      <c r="Z64" s="98" t="n"/>
      <c r="AA64" s="98" t="n"/>
      <c r="AB64" s="98" t="n"/>
      <c r="AC64" s="98" t="n"/>
      <c r="AD64" s="98" t="n"/>
      <c r="AE64" s="98" t="n"/>
      <c r="AF64" s="98" t="n"/>
      <c r="AG64" s="98" t="n"/>
      <c r="AH64" s="98" t="n"/>
      <c r="AI64" s="98" t="n"/>
    </row>
    <row r="65" ht="15" customHeight="1" s="41" thickBot="1">
      <c r="A65" s="49" t="inlineStr">
        <is>
          <t>TOTAL DAILY CREWS MANPOWER</t>
        </is>
      </c>
      <c r="B65" s="50" t="n"/>
      <c r="C65" s="51" t="n"/>
      <c r="D65" s="58" t="inlineStr">
        <is>
          <t>SHIFT</t>
        </is>
      </c>
      <c r="E65" s="1">
        <f>IF(1&lt;=$BA$4,TEXT($BA$3+0,"ddd"),"")</f>
        <v/>
      </c>
      <c r="F65" s="1">
        <f>IF(2&lt;=$BA$4,TEXT($BA$3+1,"ddd"),"")</f>
        <v/>
      </c>
      <c r="G65" s="1">
        <f>IF(3&lt;=$BA$4,TEXT($BA$3+2,"ddd"),"")</f>
        <v/>
      </c>
      <c r="H65" s="1">
        <f>IF(4&lt;=$BA$4,TEXT($BA$3+3,"ddd"),"")</f>
        <v/>
      </c>
      <c r="I65" s="1">
        <f>IF(5&lt;=$BA$4,TEXT($BA$3+4,"ddd"),"")</f>
        <v/>
      </c>
      <c r="J65" s="1">
        <f>IF(6&lt;=$BA$4,TEXT($BA$3+5,"ddd"),"")</f>
        <v/>
      </c>
      <c r="K65" s="1">
        <f>IF(7&lt;=$BA$4,TEXT($BA$3+6,"ddd"),"")</f>
        <v/>
      </c>
      <c r="L65" s="1">
        <f>IF(8&lt;=$BA$4,TEXT($BA$3+7,"ddd"),"")</f>
        <v/>
      </c>
      <c r="M65" s="1">
        <f>IF(9&lt;=$BA$4,TEXT($BA$3+8,"ddd"),"")</f>
        <v/>
      </c>
      <c r="N65" s="1">
        <f>IF(10&lt;=$BA$4,TEXT($BA$3+9,"ddd"),"")</f>
        <v/>
      </c>
      <c r="O65" s="1">
        <f>IF(11&lt;=$BA$4,TEXT($BA$3+10,"ddd"),"")</f>
        <v/>
      </c>
      <c r="P65" s="1">
        <f>IF(12&lt;=$BA$4,TEXT($BA$3+11,"ddd"),"")</f>
        <v/>
      </c>
      <c r="Q65" s="1">
        <f>IF(13&lt;=$BA$4,TEXT($BA$3+12,"ddd"),"")</f>
        <v/>
      </c>
      <c r="R65" s="1">
        <f>IF(14&lt;=$BA$4,TEXT($BA$3+13,"ddd"),"")</f>
        <v/>
      </c>
      <c r="S65" s="1">
        <f>IF(15&lt;=$BA$4,TEXT($BA$3+14,"ddd"),"")</f>
        <v/>
      </c>
      <c r="T65" s="1">
        <f>IF(16&lt;=$BA$4,TEXT($BA$3+15,"ddd"),"")</f>
        <v/>
      </c>
      <c r="U65" s="1">
        <f>IF(17&lt;=$BA$4,TEXT($BA$3+16,"ddd"),"")</f>
        <v/>
      </c>
      <c r="V65" s="1">
        <f>IF(18&lt;=$BA$4,TEXT($BA$3+17,"ddd"),"")</f>
        <v/>
      </c>
      <c r="W65" s="1">
        <f>IF(19&lt;=$BA$4,TEXT($BA$3+18,"ddd"),"")</f>
        <v/>
      </c>
      <c r="X65" s="1">
        <f>IF(20&lt;=$BA$4,TEXT($BA$3+19,"ddd"),"")</f>
        <v/>
      </c>
      <c r="Y65" s="1">
        <f>IF(21&lt;=$BA$4,TEXT($BA$3+20,"ddd"),"")</f>
        <v/>
      </c>
      <c r="Z65" s="1">
        <f>IF(22&lt;=$BA$4,TEXT($BA$3+21,"ddd"),"")</f>
        <v/>
      </c>
      <c r="AA65" s="1">
        <f>IF(23&lt;=$BA$4,TEXT($BA$3+22,"ddd"),"")</f>
        <v/>
      </c>
      <c r="AB65" s="1">
        <f>IF(24&lt;=$BA$4,TEXT($BA$3+23,"ddd"),"")</f>
        <v/>
      </c>
      <c r="AC65" s="1">
        <f>IF(25&lt;=$BA$4,TEXT($BA$3+24,"ddd"),"")</f>
        <v/>
      </c>
      <c r="AD65" s="1">
        <f>IF(26&lt;=$BA$4,TEXT($BA$3+25,"ddd"),"")</f>
        <v/>
      </c>
      <c r="AE65" s="1">
        <f>IF(27&lt;=$BA$4,TEXT($BA$3+26,"ddd"),"")</f>
        <v/>
      </c>
      <c r="AF65" s="1">
        <f>IF(28&lt;=$BA$4,TEXT($BA$3+27,"ddd"),"")</f>
        <v/>
      </c>
      <c r="AG65" s="1">
        <f>IF(29&lt;=$BA$4,TEXT($BA$3+28,"ddd"),"")</f>
        <v/>
      </c>
      <c r="AH65" s="1">
        <f>IF(30&lt;=$BA$4,TEXT($BA$3+29,"ddd"),"")</f>
        <v/>
      </c>
      <c r="AI65" s="1">
        <f>IF(31&lt;=$BA$4,TEXT($BA$3+30,"ddd"),"")</f>
        <v/>
      </c>
    </row>
    <row r="66" ht="16.2" customHeight="1" s="41" thickBot="1">
      <c r="A66" s="52" t="n"/>
      <c r="C66" s="53" t="n"/>
      <c r="D66" s="48" t="n"/>
      <c r="E66" s="2">
        <f>IF(1&lt;=$BA$4,IF($BA$1="P",DAY($BA$3+0),1),"")</f>
        <v/>
      </c>
      <c r="F66" s="2">
        <f>IF(2&lt;=$BA$4,IF($BA$1="P",DAY($BA$3+1),2),"")</f>
        <v/>
      </c>
      <c r="G66" s="2">
        <f>IF(3&lt;=$BA$4,IF($BA$1="P",DAY($BA$3+2),3),"")</f>
        <v/>
      </c>
      <c r="H66" s="2">
        <f>IF(4&lt;=$BA$4,IF($BA$1="P",DAY($BA$3+3),4),"")</f>
        <v/>
      </c>
      <c r="I66" s="3">
        <f>IF(5&lt;=$BA$4,IF($BA$1="P",DAY($BA$3+4),5),"")</f>
        <v/>
      </c>
      <c r="J66" s="4">
        <f>IF(6&lt;=$BA$4,IF($BA$1="P",DAY($BA$3+5),6),"")</f>
        <v/>
      </c>
      <c r="K66" s="4">
        <f>IF(7&lt;=$BA$4,IF($BA$1="P",DAY($BA$3+6),7),"")</f>
        <v/>
      </c>
      <c r="L66" s="3">
        <f>IF(8&lt;=$BA$4,IF($BA$1="P",DAY($BA$3+7),8),"")</f>
        <v/>
      </c>
      <c r="M66" s="4">
        <f>IF(9&lt;=$BA$4,IF($BA$1="P",DAY($BA$3+8),9),"")</f>
        <v/>
      </c>
      <c r="N66" s="2">
        <f>IF(10&lt;=$BA$4,IF($BA$1="P",DAY($BA$3+9),10),"")</f>
        <v/>
      </c>
      <c r="O66" s="2">
        <f>IF(11&lt;=$BA$4,IF($BA$1="P",DAY($BA$3+10),11),"")</f>
        <v/>
      </c>
      <c r="P66" s="2">
        <f>IF(12&lt;=$BA$4,IF($BA$1="P",DAY($BA$3+11),12),"")</f>
        <v/>
      </c>
      <c r="Q66" s="2">
        <f>IF(13&lt;=$BA$4,IF($BA$1="P",DAY($BA$3+12),13),"")</f>
        <v/>
      </c>
      <c r="R66" s="2">
        <f>IF(14&lt;=$BA$4,IF($BA$1="P",DAY($BA$3+13),14),"")</f>
        <v/>
      </c>
      <c r="S66" s="2">
        <f>IF(15&lt;=$BA$4,IF($BA$1="P",DAY($BA$3+14),15),"")</f>
        <v/>
      </c>
      <c r="T66" s="2">
        <f>IF(16&lt;=$BA$4,IF($BA$1="P",DAY($BA$3+15),16),"")</f>
        <v/>
      </c>
      <c r="U66" s="2">
        <f>IF(17&lt;=$BA$4,IF($BA$1="P",DAY($BA$3+16),17),"")</f>
        <v/>
      </c>
      <c r="V66" s="2">
        <f>IF(18&lt;=$BA$4,IF($BA$1="P",DAY($BA$3+17),18),"")</f>
        <v/>
      </c>
      <c r="W66" s="2">
        <f>IF(19&lt;=$BA$4,IF($BA$1="P",DAY($BA$3+18),19),"")</f>
        <v/>
      </c>
      <c r="X66" s="2">
        <f>IF(20&lt;=$BA$4,IF($BA$1="P",DAY($BA$3+19),20),"")</f>
        <v/>
      </c>
      <c r="Y66" s="2">
        <f>IF(21&lt;=$BA$4,IF($BA$1="P",DAY($BA$3+20),21),"")</f>
        <v/>
      </c>
      <c r="Z66" s="2">
        <f>IF(22&lt;=$BA$4,IF($BA$1="P",DAY($BA$3+21),22),"")</f>
        <v/>
      </c>
      <c r="AA66" s="2">
        <f>IF(23&lt;=$BA$4,IF($BA$1="P",DAY($BA$3+22),23),"")</f>
        <v/>
      </c>
      <c r="AB66" s="2">
        <f>IF(24&lt;=$BA$4,IF($BA$1="P",DAY($BA$3+23),24),"")</f>
        <v/>
      </c>
      <c r="AC66" s="2">
        <f>IF(25&lt;=$BA$4,IF($BA$1="P",DAY($BA$3+24),25),"")</f>
        <v/>
      </c>
      <c r="AD66" s="2">
        <f>IF(26&lt;=$BA$4,IF($BA$1="P",DAY($BA$3+25),26),"")</f>
        <v/>
      </c>
      <c r="AE66" s="2">
        <f>IF(27&lt;=$BA$4,IF($BA$1="P",DAY($BA$3+26),27),"")</f>
        <v/>
      </c>
      <c r="AF66" s="2">
        <f>IF(28&lt;=$BA$4,IF($BA$1="P",DAY($BA$3+27),28),"")</f>
        <v/>
      </c>
      <c r="AG66" s="2">
        <f>IF(29&lt;=$BA$4,IF($BA$1="P",DAY($BA$3+28),29),"")</f>
        <v/>
      </c>
      <c r="AH66" s="2">
        <f>IF(30&lt;=$BA$4,IF($BA$1="P",DAY($BA$3+29),30),"")</f>
        <v/>
      </c>
      <c r="AI66" s="2">
        <f>IF(31&lt;=$BA$4,IF($BA$1="P",DAY($BA$3+30),31),"")</f>
        <v/>
      </c>
    </row>
    <row r="67" ht="16.2" customHeight="1" s="41" thickBot="1">
      <c r="A67" s="52" t="n"/>
      <c r="C67" s="53" t="n"/>
      <c r="D67" s="11" t="inlineStr">
        <is>
          <t>D</t>
        </is>
      </c>
      <c r="E67" s="103">
        <f>COUNTIF(E1:E64,"D")</f>
        <v/>
      </c>
      <c r="F67" s="103">
        <f>COUNTIF(F1:F64,"D")</f>
        <v/>
      </c>
      <c r="G67" s="103">
        <f>COUNTIF(G1:G64,"D")</f>
        <v/>
      </c>
      <c r="H67" s="103">
        <f>COUNTIF(H1:H64,"D")</f>
        <v/>
      </c>
      <c r="I67" s="103">
        <f>COUNTIF(I1:I64,"D")</f>
        <v/>
      </c>
      <c r="J67" s="103">
        <f>COUNTIF(J1:J64,"D")</f>
        <v/>
      </c>
      <c r="K67" s="103">
        <f>COUNTIF(K1:K64,"D")</f>
        <v/>
      </c>
      <c r="L67" s="103">
        <f>COUNTIF(L1:L64,"D")</f>
        <v/>
      </c>
      <c r="M67" s="103">
        <f>COUNTIF(M1:M64,"D")</f>
        <v/>
      </c>
      <c r="N67" s="103">
        <f>COUNTIF(N1:N64,"D")</f>
        <v/>
      </c>
      <c r="O67" s="103">
        <f>COUNTIF(O1:O64,"D")</f>
        <v/>
      </c>
      <c r="P67" s="103">
        <f>COUNTIF(P1:P64,"D")</f>
        <v/>
      </c>
      <c r="Q67" s="103">
        <f>COUNTIF(Q1:Q64,"D")</f>
        <v/>
      </c>
      <c r="R67" s="103">
        <f>COUNTIF(R1:R64,"D")</f>
        <v/>
      </c>
      <c r="S67" s="103">
        <f>COUNTIF(S1:S64,"D")</f>
        <v/>
      </c>
      <c r="T67" s="103">
        <f>COUNTIF(T1:T64,"D")</f>
        <v/>
      </c>
      <c r="U67" s="103">
        <f>COUNTIF(U1:U64,"D")</f>
        <v/>
      </c>
      <c r="V67" s="103">
        <f>COUNTIF(V1:V64,"D")</f>
        <v/>
      </c>
      <c r="W67" s="103">
        <f>COUNTIF(W1:W64,"D")</f>
        <v/>
      </c>
      <c r="X67" s="103">
        <f>COUNTIF(X1:X64,"D")</f>
        <v/>
      </c>
      <c r="Y67" s="103">
        <f>COUNTIF(Y1:Y64,"D")</f>
        <v/>
      </c>
      <c r="Z67" s="103">
        <f>COUNTIF(Z1:Z64,"D")</f>
        <v/>
      </c>
      <c r="AA67" s="103">
        <f>COUNTIF(AA1:AA64,"D")</f>
        <v/>
      </c>
      <c r="AB67" s="103">
        <f>COUNTIF(AB1:AB64,"D")</f>
        <v/>
      </c>
      <c r="AC67" s="103">
        <f>COUNTIF(AC1:AC64,"D")</f>
        <v/>
      </c>
      <c r="AD67" s="103">
        <f>COUNTIF(AD1:AD64,"D")</f>
        <v/>
      </c>
      <c r="AE67" s="103">
        <f>COUNTIF(AE1:AE64,"D")</f>
        <v/>
      </c>
      <c r="AF67" s="103">
        <f>COUNTIF(AF1:AF64,"D")</f>
        <v/>
      </c>
      <c r="AG67" s="103">
        <f>COUNTIF(AG1:AG64,"D")</f>
        <v/>
      </c>
      <c r="AH67" s="103">
        <f>COUNTIF(AH1:AH64,"D")</f>
        <v/>
      </c>
      <c r="AI67" s="103">
        <f>COUNTIF(AI1:AI64,"D")</f>
        <v/>
      </c>
    </row>
    <row r="68" ht="16.2" customHeight="1" s="41" thickBot="1">
      <c r="A68" s="52" t="n"/>
      <c r="C68" s="53" t="n"/>
      <c r="D68" s="13" t="inlineStr">
        <is>
          <t>T</t>
        </is>
      </c>
      <c r="E68" s="104">
        <f>COUNTIF(E1:E64,"T")</f>
        <v/>
      </c>
      <c r="F68" s="104">
        <f>COUNTIF(F1:F64,"T")</f>
        <v/>
      </c>
      <c r="G68" s="104">
        <f>COUNTIF(G1:G64,"T")</f>
        <v/>
      </c>
      <c r="H68" s="104">
        <f>COUNTIF(H1:H64,"T")</f>
        <v/>
      </c>
      <c r="I68" s="104">
        <f>COUNTIF(I1:I64,"T")</f>
        <v/>
      </c>
      <c r="J68" s="104">
        <f>COUNTIF(J1:J64,"T")</f>
        <v/>
      </c>
      <c r="K68" s="104">
        <f>COUNTIF(K1:K64,"T")</f>
        <v/>
      </c>
      <c r="L68" s="104">
        <f>COUNTIF(L1:L64,"T")</f>
        <v/>
      </c>
      <c r="M68" s="104">
        <f>COUNTIF(M1:M64,"T")</f>
        <v/>
      </c>
      <c r="N68" s="104">
        <f>COUNTIF(N1:N64,"T")</f>
        <v/>
      </c>
      <c r="O68" s="104">
        <f>COUNTIF(O1:O64,"T")</f>
        <v/>
      </c>
      <c r="P68" s="104">
        <f>COUNTIF(P1:P64,"T")</f>
        <v/>
      </c>
      <c r="Q68" s="104">
        <f>COUNTIF(Q1:Q64,"T")</f>
        <v/>
      </c>
      <c r="R68" s="104">
        <f>COUNTIF(R1:R64,"T")</f>
        <v/>
      </c>
      <c r="S68" s="104">
        <f>COUNTIF(S1:S64,"T")</f>
        <v/>
      </c>
      <c r="T68" s="104">
        <f>COUNTIF(T1:T64,"T")</f>
        <v/>
      </c>
      <c r="U68" s="104">
        <f>COUNTIF(U1:U64,"T")</f>
        <v/>
      </c>
      <c r="V68" s="104">
        <f>COUNTIF(V1:V64,"T")</f>
        <v/>
      </c>
      <c r="W68" s="104">
        <f>COUNTIF(W1:W64,"T")</f>
        <v/>
      </c>
      <c r="X68" s="104">
        <f>COUNTIF(X1:X64,"T")</f>
        <v/>
      </c>
      <c r="Y68" s="104">
        <f>COUNTIF(Y1:Y64,"T")</f>
        <v/>
      </c>
      <c r="Z68" s="104">
        <f>COUNTIF(Z1:Z64,"T")</f>
        <v/>
      </c>
      <c r="AA68" s="104">
        <f>COUNTIF(AA1:AA64,"T")</f>
        <v/>
      </c>
      <c r="AB68" s="104">
        <f>COUNTIF(AB1:AB64,"T")</f>
        <v/>
      </c>
      <c r="AC68" s="104">
        <f>COUNTIF(AC1:AC64,"T")</f>
        <v/>
      </c>
      <c r="AD68" s="104">
        <f>COUNTIF(AD1:AD64,"T")</f>
        <v/>
      </c>
      <c r="AE68" s="104">
        <f>COUNTIF(AE1:AE64,"T")</f>
        <v/>
      </c>
      <c r="AF68" s="104">
        <f>COUNTIF(AF1:AF64,"T")</f>
        <v/>
      </c>
      <c r="AG68" s="104">
        <f>COUNTIF(AG1:AG64,"T")</f>
        <v/>
      </c>
      <c r="AH68" s="104">
        <f>COUNTIF(AH1:AH64,"T")</f>
        <v/>
      </c>
      <c r="AI68" s="104">
        <f>COUNTIF(AI1:AI64,"T")</f>
        <v/>
      </c>
    </row>
    <row r="69" ht="16.2" customHeight="1" s="41" thickBot="1">
      <c r="A69" s="54" t="n"/>
      <c r="B69" s="55" t="n"/>
      <c r="C69" s="56" t="n"/>
      <c r="D69" s="15" t="inlineStr">
        <is>
          <t>G</t>
        </is>
      </c>
      <c r="E69" s="105">
        <f>COUNTIF(E1:E64,"G")</f>
        <v/>
      </c>
      <c r="F69" s="105">
        <f>COUNTIF(F1:F64,"G")</f>
        <v/>
      </c>
      <c r="G69" s="105">
        <f>COUNTIF(G1:G64,"G")</f>
        <v/>
      </c>
      <c r="H69" s="105">
        <f>COUNTIF(H1:H64,"G")</f>
        <v/>
      </c>
      <c r="I69" s="105">
        <f>COUNTIF(I1:I64,"G")</f>
        <v/>
      </c>
      <c r="J69" s="105">
        <f>COUNTIF(J1:J64,"G")</f>
        <v/>
      </c>
      <c r="K69" s="105">
        <f>COUNTIF(K1:K64,"G")</f>
        <v/>
      </c>
      <c r="L69" s="105">
        <f>COUNTIF(L1:L64,"G")</f>
        <v/>
      </c>
      <c r="M69" s="105">
        <f>COUNTIF(M1:M64,"G")</f>
        <v/>
      </c>
      <c r="N69" s="105">
        <f>COUNTIF(N1:N64,"G")</f>
        <v/>
      </c>
      <c r="O69" s="105">
        <f>COUNTIF(O1:O64,"G")</f>
        <v/>
      </c>
      <c r="P69" s="105">
        <f>COUNTIF(P1:P64,"G")</f>
        <v/>
      </c>
      <c r="Q69" s="105">
        <f>COUNTIF(Q1:Q64,"G")</f>
        <v/>
      </c>
      <c r="R69" s="105">
        <f>COUNTIF(R1:R64,"G")</f>
        <v/>
      </c>
      <c r="S69" s="105">
        <f>COUNTIF(S1:S64,"G")</f>
        <v/>
      </c>
      <c r="T69" s="105">
        <f>COUNTIF(T1:T64,"G")</f>
        <v/>
      </c>
      <c r="U69" s="105">
        <f>COUNTIF(U1:U64,"G")</f>
        <v/>
      </c>
      <c r="V69" s="105">
        <f>COUNTIF(V1:V64,"G")</f>
        <v/>
      </c>
      <c r="W69" s="105">
        <f>COUNTIF(W1:W64,"G")</f>
        <v/>
      </c>
      <c r="X69" s="105">
        <f>COUNTIF(X1:X64,"G")</f>
        <v/>
      </c>
      <c r="Y69" s="105">
        <f>COUNTIF(Y1:Y64,"G")</f>
        <v/>
      </c>
      <c r="Z69" s="105">
        <f>COUNTIF(Z1:Z64,"G")</f>
        <v/>
      </c>
      <c r="AA69" s="105">
        <f>COUNTIF(AA1:AA64,"G")</f>
        <v/>
      </c>
      <c r="AB69" s="105">
        <f>COUNTIF(AB1:AB64,"G")</f>
        <v/>
      </c>
      <c r="AC69" s="105">
        <f>COUNTIF(AC1:AC64,"G")</f>
        <v/>
      </c>
      <c r="AD69" s="105">
        <f>COUNTIF(AD1:AD64,"G")</f>
        <v/>
      </c>
      <c r="AE69" s="105">
        <f>COUNTIF(AE1:AE64,"G")</f>
        <v/>
      </c>
      <c r="AF69" s="105">
        <f>COUNTIF(AF1:AF64,"G")</f>
        <v/>
      </c>
      <c r="AG69" s="105">
        <f>COUNTIF(AG1:AG64,"G")</f>
        <v/>
      </c>
      <c r="AH69" s="105">
        <f>COUNTIF(AH1:AH64,"G")</f>
        <v/>
      </c>
      <c r="AI69" s="105">
        <f>COUNTIF(AI1:AI64,"G")</f>
        <v/>
      </c>
    </row>
    <row r="70" ht="15" customHeight="1" s="41" thickBot="1">
      <c r="E70" s="98" t="n"/>
      <c r="F70" s="98" t="n"/>
      <c r="G70" s="98" t="n"/>
      <c r="H70" s="98" t="n"/>
      <c r="I70" s="98" t="n"/>
      <c r="J70" s="98" t="n"/>
      <c r="K70" s="98" t="n"/>
      <c r="L70" s="98" t="n"/>
      <c r="M70" s="98" t="n"/>
      <c r="N70" s="98" t="n"/>
      <c r="O70" s="98" t="n"/>
      <c r="P70" s="98" t="n"/>
      <c r="Q70" s="98" t="n"/>
      <c r="R70" s="98" t="n"/>
      <c r="S70" s="98" t="n"/>
      <c r="T70" s="98" t="n"/>
      <c r="U70" s="98" t="n"/>
      <c r="V70" s="98" t="n"/>
      <c r="W70" s="98" t="n"/>
      <c r="X70" s="98" t="n"/>
      <c r="Y70" s="98" t="n"/>
      <c r="Z70" s="98" t="n"/>
      <c r="AA70" s="98" t="n"/>
      <c r="AB70" s="98" t="n"/>
      <c r="AC70" s="98" t="n"/>
      <c r="AD70" s="98" t="n"/>
      <c r="AE70" s="98" t="n"/>
      <c r="AF70" s="98" t="n"/>
      <c r="AG70" s="98" t="n"/>
      <c r="AH70" s="98" t="n"/>
      <c r="AI70" s="98" t="n"/>
    </row>
    <row r="71" ht="21" customHeight="1" s="41" thickBot="1">
      <c r="E71" s="58" t="inlineStr">
        <is>
          <t>SHIFT</t>
        </is>
      </c>
      <c r="F71" s="45" t="n"/>
      <c r="G71" s="45" t="n"/>
      <c r="H71" s="45" t="n"/>
      <c r="I71" s="45" t="n"/>
      <c r="J71" s="46" t="n"/>
      <c r="K71" s="98" t="n"/>
      <c r="L71" s="98" t="n"/>
      <c r="M71" s="98" t="n"/>
      <c r="N71" s="98" t="n"/>
      <c r="O71" s="98" t="n"/>
      <c r="P71" s="98" t="n"/>
      <c r="Q71" s="98" t="n"/>
      <c r="R71" s="98" t="n"/>
      <c r="S71" s="98" t="n"/>
      <c r="T71" s="98" t="n"/>
      <c r="U71" s="98" t="n"/>
      <c r="V71" s="98" t="n"/>
      <c r="W71" s="98" t="n"/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  <c r="AG71" s="98" t="n"/>
      <c r="AH71" s="98" t="n"/>
      <c r="AI71" s="98" t="n"/>
    </row>
    <row r="72" ht="16.2" customHeight="1" s="41" thickBot="1">
      <c r="E72" s="65" t="inlineStr">
        <is>
          <t>D</t>
        </is>
      </c>
      <c r="F72" s="65" t="inlineStr">
        <is>
          <t>DAY (06:00 - 14:00)</t>
        </is>
      </c>
      <c r="G72" s="45" t="n"/>
      <c r="H72" s="45" t="n"/>
      <c r="I72" s="45" t="n"/>
      <c r="J72" s="46" t="n"/>
      <c r="K72" s="98" t="n"/>
      <c r="L72" s="98" t="n"/>
      <c r="M72" s="98" t="n"/>
      <c r="N72" s="98" t="n"/>
      <c r="O72" s="98" t="n"/>
      <c r="P72" s="98" t="n"/>
      <c r="Q72" s="98" t="n"/>
      <c r="R72" s="98" t="n"/>
      <c r="S72" s="98" t="n"/>
      <c r="T72" s="98" t="n"/>
      <c r="U72" s="98" t="n"/>
      <c r="V72" s="98" t="n"/>
      <c r="W72" s="98" t="n"/>
      <c r="X72" s="98" t="n"/>
      <c r="Y72" s="98" t="n"/>
      <c r="Z72" s="98" t="n"/>
      <c r="AA72" s="98" t="n"/>
      <c r="AB72" s="98" t="n"/>
      <c r="AC72" s="98" t="n"/>
      <c r="AD72" s="98" t="n"/>
      <c r="AE72" s="98" t="n"/>
      <c r="AF72" s="98" t="n"/>
      <c r="AG72" s="98" t="n"/>
      <c r="AH72" s="98" t="n"/>
      <c r="AI72" s="98" t="n"/>
    </row>
    <row r="73" ht="16.2" customHeight="1" s="41" thickBot="1">
      <c r="E73" s="68" t="inlineStr">
        <is>
          <t>T</t>
        </is>
      </c>
      <c r="F73" s="68" t="inlineStr">
        <is>
          <t>TWI (14:00 - 22:00)</t>
        </is>
      </c>
      <c r="G73" s="45" t="n"/>
      <c r="H73" s="45" t="n"/>
      <c r="I73" s="45" t="n"/>
      <c r="J73" s="46" t="n"/>
      <c r="K73" s="98" t="n"/>
      <c r="L73" s="98" t="n"/>
      <c r="M73" s="98" t="n"/>
      <c r="N73" s="98" t="n"/>
      <c r="O73" s="98" t="n"/>
      <c r="P73" s="98" t="n"/>
      <c r="Q73" s="98" t="n"/>
      <c r="R73" s="98" t="n"/>
      <c r="S73" s="98" t="n"/>
      <c r="T73" s="98" t="n"/>
      <c r="U73" s="98" t="n"/>
      <c r="V73" s="98" t="n"/>
      <c r="W73" s="57">
        <f>UPPER(TEXT(TODAY(),"DDDD dd/mm/yyyy"))</f>
        <v/>
      </c>
      <c r="X73" s="55" t="n"/>
      <c r="Y73" s="55" t="n"/>
      <c r="Z73" s="55" t="n"/>
      <c r="AA73" s="55" t="n"/>
      <c r="AB73" s="55" t="n"/>
      <c r="AC73" s="55" t="n"/>
      <c r="AD73" s="98" t="n"/>
      <c r="AE73" s="98" t="n"/>
      <c r="AF73" s="98" t="n"/>
      <c r="AG73" s="98" t="n"/>
      <c r="AH73" s="98" t="n"/>
      <c r="AI73" s="98" t="n"/>
    </row>
    <row r="74" ht="16.2" customHeight="1" s="41" thickBot="1">
      <c r="E74" s="29" t="inlineStr">
        <is>
          <t>G</t>
        </is>
      </c>
      <c r="F74" s="72" t="inlineStr">
        <is>
          <t>GRV (22:00 - 06:00)</t>
        </is>
      </c>
      <c r="G74" s="45" t="n"/>
      <c r="H74" s="45" t="n"/>
      <c r="I74" s="45" t="n"/>
      <c r="J74" s="46" t="n"/>
      <c r="W74" s="106" t="inlineStr">
        <is>
          <t>DATE</t>
        </is>
      </c>
    </row>
    <row r="76">
      <c r="E76" s="38" t="inlineStr">
        <is>
          <t>CODE LEGEND — ALL CODES</t>
        </is>
      </c>
    </row>
    <row r="77" ht="16.05" customHeight="1" s="41">
      <c r="E77" s="75" t="inlineStr">
        <is>
          <t>D</t>
        </is>
      </c>
      <c r="F77" s="107" t="inlineStr">
        <is>
          <t>DAY</t>
        </is>
      </c>
      <c r="J77" s="78" t="n"/>
      <c r="K77" s="79" t="inlineStr">
        <is>
          <t>T</t>
        </is>
      </c>
      <c r="L77" s="107" t="inlineStr">
        <is>
          <t>TWILIGHT</t>
        </is>
      </c>
      <c r="P77" s="78" t="n"/>
      <c r="Q77" s="80" t="inlineStr">
        <is>
          <t>G</t>
        </is>
      </c>
      <c r="R77" s="107" t="inlineStr">
        <is>
          <t>GRAVEYARD</t>
        </is>
      </c>
      <c r="V77" s="78" t="n"/>
      <c r="W77" s="81" t="inlineStr">
        <is>
          <t>TR</t>
        </is>
      </c>
      <c r="X77" s="107" t="inlineStr">
        <is>
          <t>TRAINING</t>
        </is>
      </c>
      <c r="AB77" s="78" t="n"/>
      <c r="AC77" s="82" t="inlineStr">
        <is>
          <t>V</t>
        </is>
      </c>
      <c r="AD77" s="107" t="inlineStr">
        <is>
          <t>VACATION</t>
        </is>
      </c>
    </row>
    <row r="78" ht="16.05" customHeight="1" s="41">
      <c r="E78" s="83" t="inlineStr">
        <is>
          <t>R</t>
        </is>
      </c>
      <c r="F78" s="107" t="inlineStr">
        <is>
          <t>REST/RDO</t>
        </is>
      </c>
      <c r="J78" s="78" t="n"/>
      <c r="K78" s="84" t="inlineStr">
        <is>
          <t>A</t>
        </is>
      </c>
      <c r="L78" s="107" t="inlineStr">
        <is>
          <t>ABSENT</t>
        </is>
      </c>
      <c r="P78" s="78" t="n"/>
      <c r="Q78" s="85" t="inlineStr">
        <is>
          <t>H</t>
        </is>
      </c>
      <c r="R78" s="107" t="inlineStr">
        <is>
          <t>HOLIDAY</t>
        </is>
      </c>
      <c r="V78" s="78" t="n"/>
      <c r="W78" s="86" t="inlineStr">
        <is>
          <t>OT</t>
        </is>
      </c>
      <c r="X78" s="107" t="inlineStr">
        <is>
          <t>OVERTIME</t>
        </is>
      </c>
      <c r="AB78" s="78" t="n"/>
      <c r="AC78" s="87" t="inlineStr">
        <is>
          <t>OS</t>
        </is>
      </c>
      <c r="AD78" s="107" t="inlineStr">
        <is>
          <t>OUTSTATION</t>
        </is>
      </c>
    </row>
    <row r="79" ht="16.05" customHeight="1" s="41">
      <c r="E79" s="88" t="inlineStr">
        <is>
          <t>S/L</t>
        </is>
      </c>
      <c r="F79" s="107" t="inlineStr">
        <is>
          <t>SICK LEAVE</t>
        </is>
      </c>
      <c r="J79" s="78" t="n"/>
      <c r="K79" s="89" t="inlineStr">
        <is>
          <t>C/T</t>
        </is>
      </c>
      <c r="L79" s="107" t="inlineStr">
        <is>
          <t>COMP TIME</t>
        </is>
      </c>
      <c r="P79" s="78" t="n"/>
      <c r="Q79" s="90" t="inlineStr">
        <is>
          <t>L</t>
        </is>
      </c>
      <c r="R79" s="107" t="inlineStr">
        <is>
          <t>LATE/LEAVE</t>
        </is>
      </c>
      <c r="V79" s="78" t="n"/>
      <c r="W79" s="91" t="inlineStr">
        <is>
          <t>N</t>
        </is>
      </c>
      <c r="X79" s="107" t="inlineStr">
        <is>
          <t>NOTE</t>
        </is>
      </c>
      <c r="AB79" s="78" t="n"/>
      <c r="AC79" s="78" t="n"/>
      <c r="AD79" s="78" t="n"/>
      <c r="AE79" s="78" t="n"/>
      <c r="AF79" s="78" t="n"/>
      <c r="AG79" s="78" t="n"/>
    </row>
  </sheetData>
  <mergeCells count="38">
    <mergeCell ref="D65:D66"/>
    <mergeCell ref="F73:J73"/>
    <mergeCell ref="X79:AA79"/>
    <mergeCell ref="AN1:AP1"/>
    <mergeCell ref="AO2:AP2"/>
    <mergeCell ref="E2:AC2"/>
    <mergeCell ref="F77:I77"/>
    <mergeCell ref="C1:C2"/>
    <mergeCell ref="R77:U77"/>
    <mergeCell ref="A65:C69"/>
    <mergeCell ref="W73:AC73"/>
    <mergeCell ref="F74:J74"/>
    <mergeCell ref="AK4:AR4"/>
    <mergeCell ref="A56:D57"/>
    <mergeCell ref="AO3:AP3"/>
    <mergeCell ref="L77:O77"/>
    <mergeCell ref="X77:AA77"/>
    <mergeCell ref="AD1:AI2"/>
    <mergeCell ref="F78:I78"/>
    <mergeCell ref="A3:D4"/>
    <mergeCell ref="B1:B2"/>
    <mergeCell ref="R79:U79"/>
    <mergeCell ref="W74:AC74"/>
    <mergeCell ref="A22:D23"/>
    <mergeCell ref="L78:O78"/>
    <mergeCell ref="AK1:AL1"/>
    <mergeCell ref="R78:U78"/>
    <mergeCell ref="F72:J72"/>
    <mergeCell ref="X78:AA78"/>
    <mergeCell ref="AD78:AG78"/>
    <mergeCell ref="E71:J71"/>
    <mergeCell ref="E1:AC1"/>
    <mergeCell ref="F79:I79"/>
    <mergeCell ref="L79:O79"/>
    <mergeCell ref="A39:D40"/>
    <mergeCell ref="D1:D2"/>
    <mergeCell ref="AD77:AG77"/>
    <mergeCell ref="A1:A2"/>
  </mergeCells>
  <conditionalFormatting sqref="E21:O21 E24:AI37 E41:AI54 E55:O55 E64:O64">
    <cfRule type="containsText" priority="21" operator="containsText" dxfId="7" text="TR">
      <formula>NOT(ISERROR(SEARCH("TR",E21)))</formula>
    </cfRule>
    <cfRule type="containsText" priority="22" operator="containsText" dxfId="6" text="V">
      <formula>NOT(ISERROR(SEARCH("V",E21)))</formula>
    </cfRule>
    <cfRule type="containsText" priority="23" operator="containsText" dxfId="5" text="R">
      <formula>NOT(ISERROR(SEARCH("R",E21)))</formula>
    </cfRule>
    <cfRule type="containsText" priority="24" operator="containsText" dxfId="4" text="G">
      <formula>NOT(ISERROR(SEARCH("G",E21)))</formula>
    </cfRule>
    <cfRule type="containsText" priority="25" operator="containsText" dxfId="3" text="T">
      <formula>NOT(ISERROR(SEARCH("T",E21)))</formula>
    </cfRule>
    <cfRule type="containsText" priority="26" operator="containsText" dxfId="2" text="D">
      <formula>NOT(ISERROR(SEARCH("D",E21)))</formula>
    </cfRule>
  </conditionalFormatting>
  <conditionalFormatting sqref="E5:AI73">
    <cfRule type="cellIs" priority="35" operator="equal" dxfId="15">
      <formula>"A"</formula>
    </cfRule>
    <cfRule type="cellIs" priority="36" operator="equal" dxfId="14">
      <formula>"H"</formula>
    </cfRule>
    <cfRule type="cellIs" priority="37" operator="equal" dxfId="13">
      <formula>"OT"</formula>
    </cfRule>
    <cfRule type="cellIs" priority="38" operator="equal" dxfId="12">
      <formula>"OS"</formula>
    </cfRule>
    <cfRule type="cellIs" priority="39" operator="equal" dxfId="11">
      <formula>"S/L"</formula>
    </cfRule>
    <cfRule type="cellIs" priority="40" operator="equal" dxfId="10">
      <formula>"C/T"</formula>
    </cfRule>
    <cfRule type="cellIs" priority="41" operator="equal" dxfId="9">
      <formula>"L"</formula>
    </cfRule>
    <cfRule type="cellIs" priority="42" operator="equal" dxfId="8">
      <formula>"N"</formula>
    </cfRule>
  </conditionalFormatting>
  <conditionalFormatting sqref="A5:D73">
    <cfRule type="expression" priority="43" dxfId="1">
      <formula>$D5="OJT"</formula>
    </cfRule>
    <cfRule type="expression" priority="44" dxfId="0">
      <formula>$D5="ACT/SUPV"</formula>
    </cfRule>
  </conditionalFormatting>
  <printOptions horizontalCentered="1"/>
  <pageMargins left="0.25" right="0.25" top="0.3" bottom="0.3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2026-09-09T19:38:04Z</dcterms:modified>
  <cp:lastModifiedBy>Ahmed Saeed</cp:lastModifiedBy>
</cp:coreProperties>
</file>