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yyyy"/>
  </numFmts>
  <fonts count="30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9"/>
    </font>
    <font>
      <name val="Times New Roman"/>
      <b val="1"/>
      <color rgb="00B45309"/>
      <sz val="13"/>
    </font>
    <font>
      <name val="Times New Roman"/>
      <i val="1"/>
      <color rgb="006B7280"/>
      <sz val="8"/>
    </font>
    <font>
      <name val="Times New Roman"/>
      <b val="1"/>
      <sz val="8"/>
    </font>
    <font>
      <name val="Times New Roman"/>
      <b val="1"/>
      <sz val="10"/>
    </font>
    <font>
      <name val="Times New Roman"/>
      <b val="1"/>
      <color rgb="00000000"/>
      <sz val="11"/>
    </font>
    <font>
      <name val="Times New Roman"/>
      <b val="1"/>
      <color rgb="00FFFFFF"/>
      <sz val="11"/>
    </font>
    <font>
      <name val="Times New Roman"/>
      <b val="1"/>
      <color rgb="00196B24"/>
      <sz val="10"/>
    </font>
    <font>
      <name val="Times New Roman"/>
      <b val="1"/>
      <color rgb="00000000"/>
      <sz val="10"/>
    </font>
    <font>
      <name val="Times New Roman"/>
      <sz val="9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8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FFF8E1"/>
      </patternFill>
    </fill>
    <fill>
      <patternFill patternType="solid">
        <fgColor rgb="00D0CECE"/>
      </patternFill>
    </fill>
    <fill>
      <patternFill patternType="solid">
        <fgColor rgb="00FFFF99"/>
      </patternFill>
    </fill>
    <fill>
      <patternFill patternType="solid">
        <fgColor rgb="00D0DFE5"/>
      </patternFill>
    </fill>
    <fill>
      <patternFill patternType="solid">
        <fgColor rgb="008693A0"/>
      </patternFill>
    </fill>
    <fill>
      <patternFill patternType="solid">
        <fgColor rgb="00D8AAD3"/>
      </patternFill>
    </fill>
    <fill>
      <patternFill patternType="solid">
        <fgColor rgb="0094CA81"/>
      </patternFill>
    </fill>
    <fill>
      <patternFill patternType="solid">
        <fgColor rgb="00FFFFFF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>
      <left/>
      <right/>
      <top style="thin">
        <color rgb="007F8C8D"/>
      </top>
      <bottom/>
      <diagonal/>
    </border>
    <border>
      <left/>
      <right style="thin">
        <color rgb="007F8C8D"/>
      </right>
      <top style="thin">
        <color rgb="007F8C8D"/>
      </top>
      <bottom/>
      <diagonal/>
    </border>
    <border>
      <left/>
      <right/>
      <top style="thin">
        <color rgb="007F8C8D"/>
      </top>
      <bottom style="thin">
        <color rgb="007F8C8D"/>
      </bottom>
      <diagonal/>
    </border>
    <border>
      <left/>
      <right style="thin">
        <color rgb="007F8C8D"/>
      </right>
      <top style="thin">
        <color rgb="007F8C8D"/>
      </top>
      <bottom style="thin">
        <color rgb="007F8C8D"/>
      </bottom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5" fillId="3" borderId="34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" vertical="center"/>
    </xf>
    <xf numFmtId="0" fontId="0" fillId="0" borderId="5" pivotButton="0" quotePrefix="0" xfId="0"/>
    <xf numFmtId="0" fontId="16" fillId="13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12" borderId="34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6" fillId="10" borderId="1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9" pivotButton="0" quotePrefix="0" xfId="0"/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7" fillId="14" borderId="14" applyAlignment="1" pivotButton="0" quotePrefix="0" xfId="0">
      <alignment horizontal="center" vertical="center"/>
    </xf>
    <xf numFmtId="0" fontId="17" fillId="15" borderId="14" applyAlignment="1" pivotButton="0" quotePrefix="0" xfId="0">
      <alignment horizontal="center" vertical="center"/>
    </xf>
    <xf numFmtId="0" fontId="18" fillId="16" borderId="6" applyAlignment="1" pivotButton="0" quotePrefix="0" xfId="0">
      <alignment horizontal="center" vertical="center"/>
    </xf>
    <xf numFmtId="0" fontId="19" fillId="0" borderId="0" pivotButton="0" quotePrefix="0" xfId="0"/>
    <xf numFmtId="0" fontId="20" fillId="14" borderId="34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indent="1"/>
    </xf>
    <xf numFmtId="0" fontId="20" fillId="15" borderId="34" applyAlignment="1" pivotButton="0" quotePrefix="0" xfId="0">
      <alignment horizontal="center" vertical="center"/>
    </xf>
    <xf numFmtId="0" fontId="11" fillId="16" borderId="34" applyAlignment="1" pivotButton="0" quotePrefix="0" xfId="0">
      <alignment horizontal="center" vertical="center"/>
    </xf>
    <xf numFmtId="0" fontId="20" fillId="17" borderId="34" applyAlignment="1" pivotButton="0" quotePrefix="0" xfId="0">
      <alignment horizontal="center" vertical="center"/>
    </xf>
    <xf numFmtId="0" fontId="20" fillId="18" borderId="34" applyAlignment="1" pivotButton="0" quotePrefix="0" xfId="0">
      <alignment horizontal="center" vertical="center"/>
    </xf>
    <xf numFmtId="0" fontId="20" fillId="19" borderId="34" applyAlignment="1" pivotButton="0" quotePrefix="0" xfId="0">
      <alignment horizontal="center" vertical="center"/>
    </xf>
    <xf numFmtId="0" fontId="22" fillId="20" borderId="34" applyAlignment="1" pivotButton="0" quotePrefix="0" xfId="0">
      <alignment horizontal="center" vertical="center"/>
    </xf>
    <xf numFmtId="0" fontId="23" fillId="21" borderId="34" applyAlignment="1" pivotButton="0" quotePrefix="0" xfId="0">
      <alignment horizontal="center" vertical="center"/>
    </xf>
    <xf numFmtId="0" fontId="24" fillId="22" borderId="34" applyAlignment="1" pivotButton="0" quotePrefix="0" xfId="0">
      <alignment horizontal="center" vertical="center"/>
    </xf>
    <xf numFmtId="0" fontId="25" fillId="23" borderId="34" applyAlignment="1" pivotButton="0" quotePrefix="0" xfId="0">
      <alignment horizontal="center" vertical="center"/>
    </xf>
    <xf numFmtId="0" fontId="26" fillId="24" borderId="34" applyAlignment="1" pivotButton="0" quotePrefix="0" xfId="0">
      <alignment horizontal="center" vertical="center"/>
    </xf>
    <xf numFmtId="0" fontId="27" fillId="25" borderId="34" applyAlignment="1" pivotButton="0" quotePrefix="0" xfId="0">
      <alignment horizontal="center" vertical="center"/>
    </xf>
    <xf numFmtId="0" fontId="28" fillId="26" borderId="34" applyAlignment="1" pivotButton="0" quotePrefix="0" xfId="0">
      <alignment horizontal="center" vertical="center"/>
    </xf>
    <xf numFmtId="0" fontId="29" fillId="27" borderId="34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6" fillId="0" borderId="28" applyAlignment="1" pivotButton="0" quotePrefix="0" xfId="0">
      <alignment horizontal="center" vertical="center"/>
    </xf>
  </cellXfs>
  <cellStyles count="1">
    <cellStyle name="عادي" xfId="0" builtinId="0"/>
  </cellStyles>
  <dxfs count="27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000000"/>
      </font>
      <fill>
        <patternFill>
          <bgColor rgb="00FFFF99"/>
        </patternFill>
      </fill>
    </dxf>
    <dxf>
      <font>
        <name val="Times New Roman"/>
        <b val="1"/>
        <color rgb="00000000"/>
      </font>
      <fill>
        <patternFill>
          <bgColor rgb="00D0DFE5"/>
        </patternFill>
      </fill>
    </dxf>
    <dxf>
      <font>
        <name val="Times New Roman"/>
        <b val="1"/>
        <color rgb="00FFFFFF"/>
      </font>
      <fill>
        <patternFill>
          <bgColor rgb="008693A0"/>
        </patternFill>
      </fill>
    </dxf>
    <dxf>
      <font>
        <name val="Times New Roman"/>
        <b val="1"/>
        <color rgb="00000000"/>
      </font>
      <fill>
        <patternFill>
          <bgColor rgb="00D8AAD3"/>
        </patternFill>
      </fill>
    </dxf>
    <dxf>
      <font>
        <name val="Times New Roman"/>
        <b val="1"/>
        <color rgb="00000000"/>
      </font>
      <fill>
        <patternFill>
          <bgColor rgb="0094CA81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BEDD5"/>
        </patternFill>
      </fill>
    </dxf>
    <dxf>
      <fill>
        <patternFill>
          <bgColor rgb="00A1B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8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</row>
    <row r="2" ht="21" customHeight="1" thickBot="1">
      <c r="A2" s="105" t="n"/>
      <c r="B2" s="105" t="n"/>
      <c r="C2" s="105" t="n"/>
      <c r="D2" s="105" t="n"/>
      <c r="E2" s="106">
        <f>UPPER(TEXT(DATE($AL$5,$AP$2,1),"mmmm yyyy"))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IF(ISNUMBER($AL$4),$AL$4,MATCH(LEFT(UPPER(TRIM($AL$4)),3),{"JAN","FEB","MAR","APR","MAY","JUN","JUL","AUG","SEP","OCT","NOV","DEC"},0))</f>
        <v/>
      </c>
    </row>
    <row r="3" ht="15" customHeight="1" thickBot="1">
      <c r="A3" s="47" t="inlineStr">
        <is>
          <t>CREW 1</t>
        </is>
      </c>
      <c r="E3" s="109">
        <f>IF(1&lt;=DAY(EOMONTH(DATE($AL$5,$AP$2,1),0)),TEXT(DATE($AL$5,$AP$2,1),"ddd"),"")</f>
        <v/>
      </c>
      <c r="F3" s="109">
        <f>IF(2&lt;=DAY(EOMONTH(DATE($AL$5,$AP$2,1),0)),TEXT(DATE($AL$5,$AP$2,2),"ddd"),"")</f>
        <v/>
      </c>
      <c r="G3" s="109">
        <f>IF(3&lt;=DAY(EOMONTH(DATE($AL$5,$AP$2,1),0)),TEXT(DATE($AL$5,$AP$2,3),"ddd"),"")</f>
        <v/>
      </c>
      <c r="H3" s="109">
        <f>IF(4&lt;=DAY(EOMONTH(DATE($AL$5,$AP$2,1),0)),TEXT(DATE($AL$5,$AP$2,4),"ddd"),"")</f>
        <v/>
      </c>
      <c r="I3" s="109">
        <f>IF(5&lt;=DAY(EOMONTH(DATE($AL$5,$AP$2,1),0)),TEXT(DATE($AL$5,$AP$2,5),"ddd"),"")</f>
        <v/>
      </c>
      <c r="J3" s="109">
        <f>IF(6&lt;=DAY(EOMONTH(DATE($AL$5,$AP$2,1),0)),TEXT(DATE($AL$5,$AP$2,6),"ddd"),"")</f>
        <v/>
      </c>
      <c r="K3" s="109">
        <f>IF(7&lt;=DAY(EOMONTH(DATE($AL$5,$AP$2,1),0)),TEXT(DATE($AL$5,$AP$2,7),"ddd"),"")</f>
        <v/>
      </c>
      <c r="L3" s="109">
        <f>IF(8&lt;=DAY(EOMONTH(DATE($AL$5,$AP$2,1),0)),TEXT(DATE($AL$5,$AP$2,8),"ddd"),"")</f>
        <v/>
      </c>
      <c r="M3" s="109">
        <f>IF(9&lt;=DAY(EOMONTH(DATE($AL$5,$AP$2,1),0)),TEXT(DATE($AL$5,$AP$2,9),"ddd"),"")</f>
        <v/>
      </c>
      <c r="N3" s="109">
        <f>IF(10&lt;=DAY(EOMONTH(DATE($AL$5,$AP$2,1),0)),TEXT(DATE($AL$5,$AP$2,10),"ddd"),"")</f>
        <v/>
      </c>
      <c r="O3" s="109">
        <f>IF(11&lt;=DAY(EOMONTH(DATE($AL$5,$AP$2,1),0)),TEXT(DATE($AL$5,$AP$2,11),"ddd"),"")</f>
        <v/>
      </c>
      <c r="P3" s="109">
        <f>IF(12&lt;=DAY(EOMONTH(DATE($AL$5,$AP$2,1),0)),TEXT(DATE($AL$5,$AP$2,12),"ddd"),"")</f>
        <v/>
      </c>
      <c r="Q3" s="109">
        <f>IF(13&lt;=DAY(EOMONTH(DATE($AL$5,$AP$2,1),0)),TEXT(DATE($AL$5,$AP$2,13),"ddd"),"")</f>
        <v/>
      </c>
      <c r="R3" s="109">
        <f>IF(14&lt;=DAY(EOMONTH(DATE($AL$5,$AP$2,1),0)),TEXT(DATE($AL$5,$AP$2,14),"ddd"),"")</f>
        <v/>
      </c>
      <c r="S3" s="109">
        <f>IF(15&lt;=DAY(EOMONTH(DATE($AL$5,$AP$2,1),0)),TEXT(DATE($AL$5,$AP$2,15),"ddd"),"")</f>
        <v/>
      </c>
      <c r="T3" s="109">
        <f>IF(16&lt;=DAY(EOMONTH(DATE($AL$5,$AP$2,1),0)),TEXT(DATE($AL$5,$AP$2,16),"ddd"),"")</f>
        <v/>
      </c>
      <c r="U3" s="109">
        <f>IF(17&lt;=DAY(EOMONTH(DATE($AL$5,$AP$2,1),0)),TEXT(DATE($AL$5,$AP$2,17),"ddd"),"")</f>
        <v/>
      </c>
      <c r="V3" s="109">
        <f>IF(18&lt;=DAY(EOMONTH(DATE($AL$5,$AP$2,1),0)),TEXT(DATE($AL$5,$AP$2,18),"ddd"),"")</f>
        <v/>
      </c>
      <c r="W3" s="109">
        <f>IF(19&lt;=DAY(EOMONTH(DATE($AL$5,$AP$2,1),0)),TEXT(DATE($AL$5,$AP$2,19),"ddd"),"")</f>
        <v/>
      </c>
      <c r="X3" s="109">
        <f>IF(20&lt;=DAY(EOMONTH(DATE($AL$5,$AP$2,1),0)),TEXT(DATE($AL$5,$AP$2,20),"ddd"),"")</f>
        <v/>
      </c>
      <c r="Y3" s="109">
        <f>IF(21&lt;=DAY(EOMONTH(DATE($AL$5,$AP$2,1),0)),TEXT(DATE($AL$5,$AP$2,21),"ddd"),"")</f>
        <v/>
      </c>
      <c r="Z3" s="109">
        <f>IF(22&lt;=DAY(EOMONTH(DATE($AL$5,$AP$2,1),0)),TEXT(DATE($AL$5,$AP$2,22),"ddd"),"")</f>
        <v/>
      </c>
      <c r="AA3" s="109">
        <f>IF(23&lt;=DAY(EOMONTH(DATE($AL$5,$AP$2,1),0)),TEXT(DATE($AL$5,$AP$2,23),"ddd"),"")</f>
        <v/>
      </c>
      <c r="AB3" s="109">
        <f>IF(24&lt;=DAY(EOMONTH(DATE($AL$5,$AP$2,1),0)),TEXT(DATE($AL$5,$AP$2,24),"ddd"),"")</f>
        <v/>
      </c>
      <c r="AC3" s="109">
        <f>IF(25&lt;=DAY(EOMONTH(DATE($AL$5,$AP$2,1),0)),TEXT(DATE($AL$5,$AP$2,25),"ddd"),"")</f>
        <v/>
      </c>
      <c r="AD3" s="109">
        <f>IF(26&lt;=DAY(EOMONTH(DATE($AL$5,$AP$2,1),0)),TEXT(DATE($AL$5,$AP$2,26),"ddd"),"")</f>
        <v/>
      </c>
      <c r="AE3" s="109">
        <f>IF(27&lt;=DAY(EOMONTH(DATE($AL$5,$AP$2,1),0)),TEXT(DATE($AL$5,$AP$2,27),"ddd"),"")</f>
        <v/>
      </c>
      <c r="AF3" s="109">
        <f>IF(28&lt;=DAY(EOMONTH(DATE($AL$5,$AP$2,1),0)),TEXT(DATE($AL$5,$AP$2,28),"ddd"),"")</f>
        <v/>
      </c>
      <c r="AG3" s="109">
        <f>IF(29&lt;=DAY(EOMONTH(DATE($AL$5,$AP$2,1),0)),TEXT(DATE($AL$5,$AP$2,29),"ddd"),"")</f>
        <v/>
      </c>
      <c r="AH3" s="109">
        <f>IF(30&lt;=DAY(EOMONTH(DATE($AL$5,$AP$2,1),0)),TEXT(DATE($AL$5,$AP$2,30),"ddd"),"")</f>
        <v/>
      </c>
      <c r="AI3" s="109">
        <f>IF(31&lt;=DAY(EOMONTH(DATE($AL$5,$AP$2,1),0)),TEXT(DATE($AL$5,$AP$2,31),"ddd"),"")</f>
        <v/>
      </c>
      <c r="AK3" s="110" t="inlineStr">
        <is>
          <t>ROSTER PERIOD</t>
        </is>
      </c>
    </row>
    <row r="4" ht="16.2" customHeight="1" thickBot="1">
      <c r="A4" s="111" t="n"/>
      <c r="E4" s="112">
        <f>IF(1&lt;=DAY(EOMONTH(DATE($AL$5,$AP$2,1),0)),1,"")</f>
        <v/>
      </c>
      <c r="F4" s="112">
        <f>IF(2&lt;=DAY(EOMONTH(DATE($AL$5,$AP$2,1),0)),2,"")</f>
        <v/>
      </c>
      <c r="G4" s="112">
        <f>IF(3&lt;=DAY(EOMONTH(DATE($AL$5,$AP$2,1),0)),3,"")</f>
        <v/>
      </c>
      <c r="H4" s="112">
        <f>IF(4&lt;=DAY(EOMONTH(DATE($AL$5,$AP$2,1),0)),4,"")</f>
        <v/>
      </c>
      <c r="I4" s="112">
        <f>IF(5&lt;=DAY(EOMONTH(DATE($AL$5,$AP$2,1),0)),5,"")</f>
        <v/>
      </c>
      <c r="J4" s="112">
        <f>IF(6&lt;=DAY(EOMONTH(DATE($AL$5,$AP$2,1),0)),6,"")</f>
        <v/>
      </c>
      <c r="K4" s="112">
        <f>IF(7&lt;=DAY(EOMONTH(DATE($AL$5,$AP$2,1),0)),7,"")</f>
        <v/>
      </c>
      <c r="L4" s="112">
        <f>IF(8&lt;=DAY(EOMONTH(DATE($AL$5,$AP$2,1),0)),8,"")</f>
        <v/>
      </c>
      <c r="M4" s="112">
        <f>IF(9&lt;=DAY(EOMONTH(DATE($AL$5,$AP$2,1),0)),9,"")</f>
        <v/>
      </c>
      <c r="N4" s="112">
        <f>IF(10&lt;=DAY(EOMONTH(DATE($AL$5,$AP$2,1),0)),10,"")</f>
        <v/>
      </c>
      <c r="O4" s="112">
        <f>IF(11&lt;=DAY(EOMONTH(DATE($AL$5,$AP$2,1),0)),11,"")</f>
        <v/>
      </c>
      <c r="P4" s="112">
        <f>IF(12&lt;=DAY(EOMONTH(DATE($AL$5,$AP$2,1),0)),12,"")</f>
        <v/>
      </c>
      <c r="Q4" s="112">
        <f>IF(13&lt;=DAY(EOMONTH(DATE($AL$5,$AP$2,1),0)),13,"")</f>
        <v/>
      </c>
      <c r="R4" s="112">
        <f>IF(14&lt;=DAY(EOMONTH(DATE($AL$5,$AP$2,1),0)),14,"")</f>
        <v/>
      </c>
      <c r="S4" s="112">
        <f>IF(15&lt;=DAY(EOMONTH(DATE($AL$5,$AP$2,1),0)),15,"")</f>
        <v/>
      </c>
      <c r="T4" s="112">
        <f>IF(16&lt;=DAY(EOMONTH(DATE($AL$5,$AP$2,1),0)),16,"")</f>
        <v/>
      </c>
      <c r="U4" s="112">
        <f>IF(17&lt;=DAY(EOMONTH(DATE($AL$5,$AP$2,1),0)),17,"")</f>
        <v/>
      </c>
      <c r="V4" s="112">
        <f>IF(18&lt;=DAY(EOMONTH(DATE($AL$5,$AP$2,1),0)),18,"")</f>
        <v/>
      </c>
      <c r="W4" s="112">
        <f>IF(19&lt;=DAY(EOMONTH(DATE($AL$5,$AP$2,1),0)),19,"")</f>
        <v/>
      </c>
      <c r="X4" s="112">
        <f>IF(20&lt;=DAY(EOMONTH(DATE($AL$5,$AP$2,1),0)),20,"")</f>
        <v/>
      </c>
      <c r="Y4" s="112">
        <f>IF(21&lt;=DAY(EOMONTH(DATE($AL$5,$AP$2,1),0)),21,"")</f>
        <v/>
      </c>
      <c r="Z4" s="112">
        <f>IF(22&lt;=DAY(EOMONTH(DATE($AL$5,$AP$2,1),0)),22,"")</f>
        <v/>
      </c>
      <c r="AA4" s="112">
        <f>IF(23&lt;=DAY(EOMONTH(DATE($AL$5,$AP$2,1),0)),23,"")</f>
        <v/>
      </c>
      <c r="AB4" s="112">
        <f>IF(24&lt;=DAY(EOMONTH(DATE($AL$5,$AP$2,1),0)),24,"")</f>
        <v/>
      </c>
      <c r="AC4" s="112">
        <f>IF(25&lt;=DAY(EOMONTH(DATE($AL$5,$AP$2,1),0)),25,"")</f>
        <v/>
      </c>
      <c r="AD4" s="112">
        <f>IF(26&lt;=DAY(EOMONTH(DATE($AL$5,$AP$2,1),0)),26,"")</f>
        <v/>
      </c>
      <c r="AE4" s="112">
        <f>IF(27&lt;=DAY(EOMONTH(DATE($AL$5,$AP$2,1),0)),27,"")</f>
        <v/>
      </c>
      <c r="AF4" s="112">
        <f>IF(28&lt;=DAY(EOMONTH(DATE($AL$5,$AP$2,1),0)),28,"")</f>
        <v/>
      </c>
      <c r="AG4" s="112">
        <f>IF(29&lt;=DAY(EOMONTH(DATE($AL$5,$AP$2,1),0)),29,"")</f>
        <v/>
      </c>
      <c r="AH4" s="112">
        <f>IF(30&lt;=DAY(EOMONTH(DATE($AL$5,$AP$2,1),0)),30,"")</f>
        <v/>
      </c>
      <c r="AI4" s="112">
        <f>IF(31&lt;=DAY(EOMONTH(DATE($AL$5,$AP$2,1),0)),31,"")</f>
        <v/>
      </c>
      <c r="AK4" s="113" t="inlineStr">
        <is>
          <t>MONTH</t>
        </is>
      </c>
      <c r="AL4" s="114" t="inlineStr">
        <is>
          <t>JUL</t>
        </is>
      </c>
      <c r="AM4" s="146" t="n"/>
      <c r="AN4" s="147" t="n"/>
    </row>
    <row r="5" ht="16.2" customHeight="1" thickBot="1">
      <c r="A5" s="5" t="n">
        <v>1</v>
      </c>
      <c r="B5" s="33" t="n">
        <v>13006435</v>
      </c>
      <c r="C5" s="33" t="inlineStr">
        <is>
          <t>HOMAID ALJAHDALI</t>
        </is>
      </c>
      <c r="D5" s="34" t="inlineStr">
        <is>
          <t>ACT/SUPV</t>
        </is>
      </c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13" t="inlineStr">
        <is>
          <t>YEAR</t>
        </is>
      </c>
      <c r="AL5" s="114" t="n">
        <v>2026</v>
      </c>
      <c r="AM5" s="146" t="n"/>
      <c r="AN5" s="147" t="n"/>
    </row>
    <row r="6" ht="16.2" customHeight="1" thickBot="1">
      <c r="A6" s="5" t="n">
        <v>2</v>
      </c>
      <c r="B6" s="33" t="n">
        <v>13008931</v>
      </c>
      <c r="C6" s="33" t="inlineStr">
        <is>
          <t>RONILO NOGADAS AMEN</t>
        </is>
      </c>
      <c r="D6" s="33" t="inlineStr">
        <is>
          <t>ACT/SUPV</t>
        </is>
      </c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  <c r="AK6" s="115" t="inlineStr">
        <is>
          <t>type JUL / JULY / 7</t>
        </is>
      </c>
    </row>
    <row r="7" ht="16.2" customHeight="1" thickBot="1">
      <c r="A7" s="5" t="n">
        <v>3</v>
      </c>
      <c r="B7" s="35" t="n">
        <v>13010279</v>
      </c>
      <c r="C7" s="33" t="inlineStr">
        <is>
          <t>AHMED M. ALWAHBI</t>
        </is>
      </c>
      <c r="D7" s="33" t="inlineStr">
        <is>
          <t>ACT/SUPV</t>
        </is>
      </c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33" t="n">
        <v>13007568</v>
      </c>
      <c r="C8" s="33" t="inlineStr">
        <is>
          <t>NAIF ALANEZI</t>
        </is>
      </c>
      <c r="D8" s="33" t="inlineStr">
        <is>
          <t>ACT/SUPV</t>
        </is>
      </c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36" t="n">
        <v>30005295</v>
      </c>
      <c r="C9" s="36" t="inlineStr">
        <is>
          <t>RODEL CLEMENTE</t>
        </is>
      </c>
      <c r="D9" s="37" t="inlineStr">
        <is>
          <t>TECH</t>
        </is>
      </c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38" t="n">
        <v>30001593</v>
      </c>
      <c r="C10" s="38" t="inlineStr">
        <is>
          <t>FYSAL M. ALEDAINI</t>
        </is>
      </c>
      <c r="D10" s="38" t="inlineStr">
        <is>
          <t>OJT</t>
        </is>
      </c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38" t="n">
        <v>30001338</v>
      </c>
      <c r="C11" s="38" t="inlineStr">
        <is>
          <t>MASHHOUR ALSULAIMANI</t>
        </is>
      </c>
      <c r="D11" s="38" t="inlineStr">
        <is>
          <t>OJT</t>
        </is>
      </c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38" t="n">
        <v>30001573</v>
      </c>
      <c r="C12" s="38" t="inlineStr">
        <is>
          <t>JEHAD M. HAKAMI</t>
        </is>
      </c>
      <c r="D12" s="38" t="inlineStr">
        <is>
          <t>OJT</t>
        </is>
      </c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38" t="n">
        <v>30001366</v>
      </c>
      <c r="C13" s="38" t="inlineStr">
        <is>
          <t>ABDULAZIZ ZAKOUR</t>
        </is>
      </c>
      <c r="D13" s="38" t="inlineStr">
        <is>
          <t>OJT</t>
        </is>
      </c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38" t="n">
        <v>30001450</v>
      </c>
      <c r="C14" s="38" t="inlineStr">
        <is>
          <t>MUHAMMED ALSHAIKH</t>
        </is>
      </c>
      <c r="D14" s="38" t="inlineStr">
        <is>
          <t>OJT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38" t="n">
        <v>30001602</v>
      </c>
      <c r="C15" s="38" t="inlineStr">
        <is>
          <t>AHMED M. ALYAMANI</t>
        </is>
      </c>
      <c r="D15" s="38" t="inlineStr">
        <is>
          <t>OJT</t>
        </is>
      </c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36" t="n">
        <v>40001135</v>
      </c>
      <c r="C16" s="36" t="inlineStr">
        <is>
          <t>SYAHLENDRA SYAMSOE</t>
        </is>
      </c>
      <c r="D16" s="39" t="inlineStr">
        <is>
          <t>FITTER</t>
        </is>
      </c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36" t="n">
        <v>70010082</v>
      </c>
      <c r="C17" s="36" t="inlineStr">
        <is>
          <t>MOHAMMAD KAIFI</t>
        </is>
      </c>
      <c r="D17" s="37" t="inlineStr">
        <is>
          <t>FITTER</t>
        </is>
      </c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36" t="n">
        <v>13009258</v>
      </c>
      <c r="C18" s="36" t="inlineStr">
        <is>
          <t>ALI ALAHMADI</t>
        </is>
      </c>
      <c r="D18" s="39" t="inlineStr">
        <is>
          <t>FITTER</t>
        </is>
      </c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36" t="n">
        <v>13009255</v>
      </c>
      <c r="C19" s="36" t="inlineStr">
        <is>
          <t>HOSSAM ALGHAMDI</t>
        </is>
      </c>
      <c r="D19" s="37" t="inlineStr">
        <is>
          <t>FITTER</t>
        </is>
      </c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36" t="n">
        <v>13009047</v>
      </c>
      <c r="C20" s="36" t="inlineStr">
        <is>
          <t>JIMRICKS AQINO</t>
        </is>
      </c>
      <c r="D20" s="37" t="inlineStr">
        <is>
          <t>FITTER</t>
        </is>
      </c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16" t="n"/>
      <c r="C22" s="116" t="n"/>
      <c r="D22" s="116" t="n"/>
      <c r="E22" s="109">
        <f>IF(1&lt;=DAY(EOMONTH(DATE($AL$5,$AP$2,1),0)),TEXT(DATE($AL$5,$AP$2,1),"ddd"),"")</f>
        <v/>
      </c>
      <c r="F22" s="109">
        <f>IF(2&lt;=DAY(EOMONTH(DATE($AL$5,$AP$2,1),0)),TEXT(DATE($AL$5,$AP$2,2),"ddd"),"")</f>
        <v/>
      </c>
      <c r="G22" s="109">
        <f>IF(3&lt;=DAY(EOMONTH(DATE($AL$5,$AP$2,1),0)),TEXT(DATE($AL$5,$AP$2,3),"ddd"),"")</f>
        <v/>
      </c>
      <c r="H22" s="109">
        <f>IF(4&lt;=DAY(EOMONTH(DATE($AL$5,$AP$2,1),0)),TEXT(DATE($AL$5,$AP$2,4),"ddd"),"")</f>
        <v/>
      </c>
      <c r="I22" s="109">
        <f>IF(5&lt;=DAY(EOMONTH(DATE($AL$5,$AP$2,1),0)),TEXT(DATE($AL$5,$AP$2,5),"ddd"),"")</f>
        <v/>
      </c>
      <c r="J22" s="109">
        <f>IF(6&lt;=DAY(EOMONTH(DATE($AL$5,$AP$2,1),0)),TEXT(DATE($AL$5,$AP$2,6),"ddd"),"")</f>
        <v/>
      </c>
      <c r="K22" s="109">
        <f>IF(7&lt;=DAY(EOMONTH(DATE($AL$5,$AP$2,1),0)),TEXT(DATE($AL$5,$AP$2,7),"ddd"),"")</f>
        <v/>
      </c>
      <c r="L22" s="109">
        <f>IF(8&lt;=DAY(EOMONTH(DATE($AL$5,$AP$2,1),0)),TEXT(DATE($AL$5,$AP$2,8),"ddd"),"")</f>
        <v/>
      </c>
      <c r="M22" s="109">
        <f>IF(9&lt;=DAY(EOMONTH(DATE($AL$5,$AP$2,1),0)),TEXT(DATE($AL$5,$AP$2,9),"ddd"),"")</f>
        <v/>
      </c>
      <c r="N22" s="109">
        <f>IF(10&lt;=DAY(EOMONTH(DATE($AL$5,$AP$2,1),0)),TEXT(DATE($AL$5,$AP$2,10),"ddd"),"")</f>
        <v/>
      </c>
      <c r="O22" s="109">
        <f>IF(11&lt;=DAY(EOMONTH(DATE($AL$5,$AP$2,1),0)),TEXT(DATE($AL$5,$AP$2,11),"ddd"),"")</f>
        <v/>
      </c>
      <c r="P22" s="109">
        <f>IF(12&lt;=DAY(EOMONTH(DATE($AL$5,$AP$2,1),0)),TEXT(DATE($AL$5,$AP$2,12),"ddd"),"")</f>
        <v/>
      </c>
      <c r="Q22" s="109">
        <f>IF(13&lt;=DAY(EOMONTH(DATE($AL$5,$AP$2,1),0)),TEXT(DATE($AL$5,$AP$2,13),"ddd"),"")</f>
        <v/>
      </c>
      <c r="R22" s="109">
        <f>IF(14&lt;=DAY(EOMONTH(DATE($AL$5,$AP$2,1),0)),TEXT(DATE($AL$5,$AP$2,14),"ddd"),"")</f>
        <v/>
      </c>
      <c r="S22" s="109">
        <f>IF(15&lt;=DAY(EOMONTH(DATE($AL$5,$AP$2,1),0)),TEXT(DATE($AL$5,$AP$2,15),"ddd"),"")</f>
        <v/>
      </c>
      <c r="T22" s="109">
        <f>IF(16&lt;=DAY(EOMONTH(DATE($AL$5,$AP$2,1),0)),TEXT(DATE($AL$5,$AP$2,16),"ddd"),"")</f>
        <v/>
      </c>
      <c r="U22" s="109">
        <f>IF(17&lt;=DAY(EOMONTH(DATE($AL$5,$AP$2,1),0)),TEXT(DATE($AL$5,$AP$2,17),"ddd"),"")</f>
        <v/>
      </c>
      <c r="V22" s="109">
        <f>IF(18&lt;=DAY(EOMONTH(DATE($AL$5,$AP$2,1),0)),TEXT(DATE($AL$5,$AP$2,18),"ddd"),"")</f>
        <v/>
      </c>
      <c r="W22" s="109">
        <f>IF(19&lt;=DAY(EOMONTH(DATE($AL$5,$AP$2,1),0)),TEXT(DATE($AL$5,$AP$2,19),"ddd"),"")</f>
        <v/>
      </c>
      <c r="X22" s="109">
        <f>IF(20&lt;=DAY(EOMONTH(DATE($AL$5,$AP$2,1),0)),TEXT(DATE($AL$5,$AP$2,20),"ddd"),"")</f>
        <v/>
      </c>
      <c r="Y22" s="109">
        <f>IF(21&lt;=DAY(EOMONTH(DATE($AL$5,$AP$2,1),0)),TEXT(DATE($AL$5,$AP$2,21),"ddd"),"")</f>
        <v/>
      </c>
      <c r="Z22" s="109">
        <f>IF(22&lt;=DAY(EOMONTH(DATE($AL$5,$AP$2,1),0)),TEXT(DATE($AL$5,$AP$2,22),"ddd"),"")</f>
        <v/>
      </c>
      <c r="AA22" s="109">
        <f>IF(23&lt;=DAY(EOMONTH(DATE($AL$5,$AP$2,1),0)),TEXT(DATE($AL$5,$AP$2,23),"ddd"),"")</f>
        <v/>
      </c>
      <c r="AB22" s="109">
        <f>IF(24&lt;=DAY(EOMONTH(DATE($AL$5,$AP$2,1),0)),TEXT(DATE($AL$5,$AP$2,24),"ddd"),"")</f>
        <v/>
      </c>
      <c r="AC22" s="109">
        <f>IF(25&lt;=DAY(EOMONTH(DATE($AL$5,$AP$2,1),0)),TEXT(DATE($AL$5,$AP$2,25),"ddd"),"")</f>
        <v/>
      </c>
      <c r="AD22" s="109">
        <f>IF(26&lt;=DAY(EOMONTH(DATE($AL$5,$AP$2,1),0)),TEXT(DATE($AL$5,$AP$2,26),"ddd"),"")</f>
        <v/>
      </c>
      <c r="AE22" s="109">
        <f>IF(27&lt;=DAY(EOMONTH(DATE($AL$5,$AP$2,1),0)),TEXT(DATE($AL$5,$AP$2,27),"ddd"),"")</f>
        <v/>
      </c>
      <c r="AF22" s="109">
        <f>IF(28&lt;=DAY(EOMONTH(DATE($AL$5,$AP$2,1),0)),TEXT(DATE($AL$5,$AP$2,28),"ddd"),"")</f>
        <v/>
      </c>
      <c r="AG22" s="109">
        <f>IF(29&lt;=DAY(EOMONTH(DATE($AL$5,$AP$2,1),0)),TEXT(DATE($AL$5,$AP$2,29),"ddd"),"")</f>
        <v/>
      </c>
      <c r="AH22" s="109">
        <f>IF(30&lt;=DAY(EOMONTH(DATE($AL$5,$AP$2,1),0)),TEXT(DATE($AL$5,$AP$2,30),"ddd"),"")</f>
        <v/>
      </c>
      <c r="AI22" s="109">
        <f>IF(31&lt;=DAY(EOMONTH(DATE($AL$5,$AP$2,1),0)),TEXT(DATE($AL$5,$AP$2,31),"ddd"),"")</f>
        <v/>
      </c>
    </row>
    <row r="23" ht="16.2" customHeight="1" thickBot="1">
      <c r="A23" s="117" t="n"/>
      <c r="B23" s="118" t="n"/>
      <c r="C23" s="118" t="n"/>
      <c r="D23" s="118" t="n"/>
      <c r="E23" s="112">
        <f>IF(1&lt;=DAY(EOMONTH(DATE($AL$5,$AP$2,1),0)),1,"")</f>
        <v/>
      </c>
      <c r="F23" s="112">
        <f>IF(2&lt;=DAY(EOMONTH(DATE($AL$5,$AP$2,1),0)),2,"")</f>
        <v/>
      </c>
      <c r="G23" s="112">
        <f>IF(3&lt;=DAY(EOMONTH(DATE($AL$5,$AP$2,1),0)),3,"")</f>
        <v/>
      </c>
      <c r="H23" s="112">
        <f>IF(4&lt;=DAY(EOMONTH(DATE($AL$5,$AP$2,1),0)),4,"")</f>
        <v/>
      </c>
      <c r="I23" s="112">
        <f>IF(5&lt;=DAY(EOMONTH(DATE($AL$5,$AP$2,1),0)),5,"")</f>
        <v/>
      </c>
      <c r="J23" s="112">
        <f>IF(6&lt;=DAY(EOMONTH(DATE($AL$5,$AP$2,1),0)),6,"")</f>
        <v/>
      </c>
      <c r="K23" s="112">
        <f>IF(7&lt;=DAY(EOMONTH(DATE($AL$5,$AP$2,1),0)),7,"")</f>
        <v/>
      </c>
      <c r="L23" s="112">
        <f>IF(8&lt;=DAY(EOMONTH(DATE($AL$5,$AP$2,1),0)),8,"")</f>
        <v/>
      </c>
      <c r="M23" s="112">
        <f>IF(9&lt;=DAY(EOMONTH(DATE($AL$5,$AP$2,1),0)),9,"")</f>
        <v/>
      </c>
      <c r="N23" s="112">
        <f>IF(10&lt;=DAY(EOMONTH(DATE($AL$5,$AP$2,1),0)),10,"")</f>
        <v/>
      </c>
      <c r="O23" s="112">
        <f>IF(11&lt;=DAY(EOMONTH(DATE($AL$5,$AP$2,1),0)),11,"")</f>
        <v/>
      </c>
      <c r="P23" s="112">
        <f>IF(12&lt;=DAY(EOMONTH(DATE($AL$5,$AP$2,1),0)),12,"")</f>
        <v/>
      </c>
      <c r="Q23" s="112">
        <f>IF(13&lt;=DAY(EOMONTH(DATE($AL$5,$AP$2,1),0)),13,"")</f>
        <v/>
      </c>
      <c r="R23" s="112">
        <f>IF(14&lt;=DAY(EOMONTH(DATE($AL$5,$AP$2,1),0)),14,"")</f>
        <v/>
      </c>
      <c r="S23" s="112">
        <f>IF(15&lt;=DAY(EOMONTH(DATE($AL$5,$AP$2,1),0)),15,"")</f>
        <v/>
      </c>
      <c r="T23" s="112">
        <f>IF(16&lt;=DAY(EOMONTH(DATE($AL$5,$AP$2,1),0)),16,"")</f>
        <v/>
      </c>
      <c r="U23" s="112">
        <f>IF(17&lt;=DAY(EOMONTH(DATE($AL$5,$AP$2,1),0)),17,"")</f>
        <v/>
      </c>
      <c r="V23" s="112">
        <f>IF(18&lt;=DAY(EOMONTH(DATE($AL$5,$AP$2,1),0)),18,"")</f>
        <v/>
      </c>
      <c r="W23" s="112">
        <f>IF(19&lt;=DAY(EOMONTH(DATE($AL$5,$AP$2,1),0)),19,"")</f>
        <v/>
      </c>
      <c r="X23" s="112">
        <f>IF(20&lt;=DAY(EOMONTH(DATE($AL$5,$AP$2,1),0)),20,"")</f>
        <v/>
      </c>
      <c r="Y23" s="112">
        <f>IF(21&lt;=DAY(EOMONTH(DATE($AL$5,$AP$2,1),0)),21,"")</f>
        <v/>
      </c>
      <c r="Z23" s="112">
        <f>IF(22&lt;=DAY(EOMONTH(DATE($AL$5,$AP$2,1),0)),22,"")</f>
        <v/>
      </c>
      <c r="AA23" s="112">
        <f>IF(23&lt;=DAY(EOMONTH(DATE($AL$5,$AP$2,1),0)),23,"")</f>
        <v/>
      </c>
      <c r="AB23" s="112">
        <f>IF(24&lt;=DAY(EOMONTH(DATE($AL$5,$AP$2,1),0)),24,"")</f>
        <v/>
      </c>
      <c r="AC23" s="112">
        <f>IF(25&lt;=DAY(EOMONTH(DATE($AL$5,$AP$2,1),0)),25,"")</f>
        <v/>
      </c>
      <c r="AD23" s="112">
        <f>IF(26&lt;=DAY(EOMONTH(DATE($AL$5,$AP$2,1),0)),26,"")</f>
        <v/>
      </c>
      <c r="AE23" s="112">
        <f>IF(27&lt;=DAY(EOMONTH(DATE($AL$5,$AP$2,1),0)),27,"")</f>
        <v/>
      </c>
      <c r="AF23" s="112">
        <f>IF(28&lt;=DAY(EOMONTH(DATE($AL$5,$AP$2,1),0)),28,"")</f>
        <v/>
      </c>
      <c r="AG23" s="112">
        <f>IF(29&lt;=DAY(EOMONTH(DATE($AL$5,$AP$2,1),0)),29,"")</f>
        <v/>
      </c>
      <c r="AH23" s="112">
        <f>IF(30&lt;=DAY(EOMONTH(DATE($AL$5,$AP$2,1),0)),30,"")</f>
        <v/>
      </c>
      <c r="AI23" s="112">
        <f>IF(31&lt;=DAY(EOMONTH(DATE($AL$5,$AP$2,1),0)),31,"")</f>
        <v/>
      </c>
    </row>
    <row r="24" ht="16.2" customHeight="1" thickBot="1">
      <c r="A24" s="5" t="n">
        <v>1</v>
      </c>
      <c r="B24" s="33" t="n">
        <v>13006567</v>
      </c>
      <c r="C24" s="33" t="inlineStr">
        <is>
          <t>AHMED AL-GHAMDI</t>
        </is>
      </c>
      <c r="D24" s="33" t="inlineStr">
        <is>
          <t>ACT/SUPV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33" t="n">
        <v>13010253</v>
      </c>
      <c r="C25" s="33" t="inlineStr">
        <is>
          <t>AHMED S. ALGHAMDI</t>
        </is>
      </c>
      <c r="D25" s="33" t="inlineStr">
        <is>
          <t>ACT/SUPV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36" t="n">
        <v>13007276</v>
      </c>
      <c r="C26" s="36" t="inlineStr">
        <is>
          <t>MOHAMMED BAROOM</t>
        </is>
      </c>
      <c r="D26" s="40" t="inlineStr">
        <is>
          <t>TECH</t>
        </is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36" t="n">
        <v>13010286</v>
      </c>
      <c r="C27" s="36" t="inlineStr">
        <is>
          <t>ABDULAZIZ F. ALBOUQ</t>
        </is>
      </c>
      <c r="D27" s="40" t="inlineStr">
        <is>
          <t>TECH</t>
        </is>
      </c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36" t="n">
        <v>30004221</v>
      </c>
      <c r="C28" s="36" t="inlineStr">
        <is>
          <t>YOUSEF BARIFAH</t>
        </is>
      </c>
      <c r="D28" s="40" t="inlineStr">
        <is>
          <t>TECH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38" t="n">
        <v>30001345</v>
      </c>
      <c r="C29" s="38" t="inlineStr">
        <is>
          <t>AHMED ALSHARIF</t>
        </is>
      </c>
      <c r="D29" s="38" t="inlineStr">
        <is>
          <t>OJT</t>
        </is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38" t="n">
        <v>30001351</v>
      </c>
      <c r="C30" s="38" t="inlineStr">
        <is>
          <t>KHALID ALSHUBRAMI</t>
        </is>
      </c>
      <c r="D30" s="38" t="inlineStr">
        <is>
          <t>OJT</t>
        </is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38" t="n">
        <v>30001451</v>
      </c>
      <c r="C31" s="38" t="inlineStr">
        <is>
          <t>MUHAMMED ALHARBI</t>
        </is>
      </c>
      <c r="D31" s="38" t="inlineStr">
        <is>
          <t>OJT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38" t="n">
        <v>30001452</v>
      </c>
      <c r="C32" s="38" t="inlineStr">
        <is>
          <t>SAAD ALDOSARI</t>
        </is>
      </c>
      <c r="D32" s="38" t="inlineStr">
        <is>
          <t>OJT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38" t="n">
        <v>30001461</v>
      </c>
      <c r="C33" s="38" t="inlineStr">
        <is>
          <t>HUSSAM ALTHUBAITI</t>
        </is>
      </c>
      <c r="D33" s="38" t="inlineStr">
        <is>
          <t>OJT</t>
        </is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38" t="n">
        <v>30001575</v>
      </c>
      <c r="C34" s="38" t="inlineStr">
        <is>
          <t>FADUL A. FADUL</t>
        </is>
      </c>
      <c r="D34" s="38" t="inlineStr">
        <is>
          <t>OJT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38" t="n">
        <v>30001577</v>
      </c>
      <c r="C35" s="38" t="inlineStr">
        <is>
          <t>FOUAD A. MOJALLY</t>
        </is>
      </c>
      <c r="D35" s="38" t="inlineStr">
        <is>
          <t>OJT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38" t="n">
        <v>30001774</v>
      </c>
      <c r="C36" s="38" t="inlineStr">
        <is>
          <t>SAAD A. ALQAHTANI</t>
        </is>
      </c>
      <c r="D36" s="38" t="inlineStr">
        <is>
          <t>OJT</t>
        </is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36" t="n">
        <v>40000188</v>
      </c>
      <c r="C37" s="36" t="inlineStr">
        <is>
          <t>RAKAN AGILY</t>
        </is>
      </c>
      <c r="D37" s="36" t="inlineStr">
        <is>
          <t>FITTER</t>
        </is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36" t="n">
        <v>13009042</v>
      </c>
      <c r="C38" s="36" t="inlineStr">
        <is>
          <t>OLANDRES JR BEINVENIDO</t>
        </is>
      </c>
      <c r="D38" s="36" t="inlineStr">
        <is>
          <t>FITTER</t>
        </is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36" t="n">
        <v>40000706</v>
      </c>
      <c r="C39" s="36" t="inlineStr">
        <is>
          <t>JASON C. GUEVARRA</t>
        </is>
      </c>
      <c r="D39" s="36" t="inlineStr">
        <is>
          <t>FITTER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36" t="n">
        <v>13009023</v>
      </c>
      <c r="C40" s="36" t="inlineStr">
        <is>
          <t>SAMEER ALDUSUQI</t>
        </is>
      </c>
      <c r="D40" s="36" t="inlineStr">
        <is>
          <t>FITTER</t>
        </is>
      </c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19" t="inlineStr">
        <is>
          <t>SPECIAL SHIFTING</t>
        </is>
      </c>
      <c r="B42" s="116" t="n"/>
      <c r="C42" s="116" t="n"/>
      <c r="D42" s="120" t="n"/>
      <c r="E42" s="109">
        <f>IF(1&lt;=DAY(EOMONTH(DATE($AL$5,$AP$2,1),0)),TEXT(DATE($AL$5,$AP$2,1),"ddd"),"")</f>
        <v/>
      </c>
      <c r="F42" s="109">
        <f>IF(2&lt;=DAY(EOMONTH(DATE($AL$5,$AP$2,1),0)),TEXT(DATE($AL$5,$AP$2,2),"ddd"),"")</f>
        <v/>
      </c>
      <c r="G42" s="109">
        <f>IF(3&lt;=DAY(EOMONTH(DATE($AL$5,$AP$2,1),0)),TEXT(DATE($AL$5,$AP$2,3),"ddd"),"")</f>
        <v/>
      </c>
      <c r="H42" s="109">
        <f>IF(4&lt;=DAY(EOMONTH(DATE($AL$5,$AP$2,1),0)),TEXT(DATE($AL$5,$AP$2,4),"ddd"),"")</f>
        <v/>
      </c>
      <c r="I42" s="109">
        <f>IF(5&lt;=DAY(EOMONTH(DATE($AL$5,$AP$2,1),0)),TEXT(DATE($AL$5,$AP$2,5),"ddd"),"")</f>
        <v/>
      </c>
      <c r="J42" s="109">
        <f>IF(6&lt;=DAY(EOMONTH(DATE($AL$5,$AP$2,1),0)),TEXT(DATE($AL$5,$AP$2,6),"ddd"),"")</f>
        <v/>
      </c>
      <c r="K42" s="109">
        <f>IF(7&lt;=DAY(EOMONTH(DATE($AL$5,$AP$2,1),0)),TEXT(DATE($AL$5,$AP$2,7),"ddd"),"")</f>
        <v/>
      </c>
      <c r="L42" s="109">
        <f>IF(8&lt;=DAY(EOMONTH(DATE($AL$5,$AP$2,1),0)),TEXT(DATE($AL$5,$AP$2,8),"ddd"),"")</f>
        <v/>
      </c>
      <c r="M42" s="109">
        <f>IF(9&lt;=DAY(EOMONTH(DATE($AL$5,$AP$2,1),0)),TEXT(DATE($AL$5,$AP$2,9),"ddd"),"")</f>
        <v/>
      </c>
      <c r="N42" s="109">
        <f>IF(10&lt;=DAY(EOMONTH(DATE($AL$5,$AP$2,1),0)),TEXT(DATE($AL$5,$AP$2,10),"ddd"),"")</f>
        <v/>
      </c>
      <c r="O42" s="109">
        <f>IF(11&lt;=DAY(EOMONTH(DATE($AL$5,$AP$2,1),0)),TEXT(DATE($AL$5,$AP$2,11),"ddd"),"")</f>
        <v/>
      </c>
      <c r="P42" s="109">
        <f>IF(12&lt;=DAY(EOMONTH(DATE($AL$5,$AP$2,1),0)),TEXT(DATE($AL$5,$AP$2,12),"ddd"),"")</f>
        <v/>
      </c>
      <c r="Q42" s="109">
        <f>IF(13&lt;=DAY(EOMONTH(DATE($AL$5,$AP$2,1),0)),TEXT(DATE($AL$5,$AP$2,13),"ddd"),"")</f>
        <v/>
      </c>
      <c r="R42" s="109">
        <f>IF(14&lt;=DAY(EOMONTH(DATE($AL$5,$AP$2,1),0)),TEXT(DATE($AL$5,$AP$2,14),"ddd"),"")</f>
        <v/>
      </c>
      <c r="S42" s="109">
        <f>IF(15&lt;=DAY(EOMONTH(DATE($AL$5,$AP$2,1),0)),TEXT(DATE($AL$5,$AP$2,15),"ddd"),"")</f>
        <v/>
      </c>
      <c r="T42" s="109">
        <f>IF(16&lt;=DAY(EOMONTH(DATE($AL$5,$AP$2,1),0)),TEXT(DATE($AL$5,$AP$2,16),"ddd"),"")</f>
        <v/>
      </c>
      <c r="U42" s="109">
        <f>IF(17&lt;=DAY(EOMONTH(DATE($AL$5,$AP$2,1),0)),TEXT(DATE($AL$5,$AP$2,17),"ddd"),"")</f>
        <v/>
      </c>
      <c r="V42" s="109">
        <f>IF(18&lt;=DAY(EOMONTH(DATE($AL$5,$AP$2,1),0)),TEXT(DATE($AL$5,$AP$2,18),"ddd"),"")</f>
        <v/>
      </c>
      <c r="W42" s="109">
        <f>IF(19&lt;=DAY(EOMONTH(DATE($AL$5,$AP$2,1),0)),TEXT(DATE($AL$5,$AP$2,19),"ddd"),"")</f>
        <v/>
      </c>
      <c r="X42" s="109">
        <f>IF(20&lt;=DAY(EOMONTH(DATE($AL$5,$AP$2,1),0)),TEXT(DATE($AL$5,$AP$2,20),"ddd"),"")</f>
        <v/>
      </c>
      <c r="Y42" s="109">
        <f>IF(21&lt;=DAY(EOMONTH(DATE($AL$5,$AP$2,1),0)),TEXT(DATE($AL$5,$AP$2,21),"ddd"),"")</f>
        <v/>
      </c>
      <c r="Z42" s="109">
        <f>IF(22&lt;=DAY(EOMONTH(DATE($AL$5,$AP$2,1),0)),TEXT(DATE($AL$5,$AP$2,22),"ddd"),"")</f>
        <v/>
      </c>
      <c r="AA42" s="109">
        <f>IF(23&lt;=DAY(EOMONTH(DATE($AL$5,$AP$2,1),0)),TEXT(DATE($AL$5,$AP$2,23),"ddd"),"")</f>
        <v/>
      </c>
      <c r="AB42" s="109">
        <f>IF(24&lt;=DAY(EOMONTH(DATE($AL$5,$AP$2,1),0)),TEXT(DATE($AL$5,$AP$2,24),"ddd"),"")</f>
        <v/>
      </c>
      <c r="AC42" s="109">
        <f>IF(25&lt;=DAY(EOMONTH(DATE($AL$5,$AP$2,1),0)),TEXT(DATE($AL$5,$AP$2,25),"ddd"),"")</f>
        <v/>
      </c>
      <c r="AD42" s="109">
        <f>IF(26&lt;=DAY(EOMONTH(DATE($AL$5,$AP$2,1),0)),TEXT(DATE($AL$5,$AP$2,26),"ddd"),"")</f>
        <v/>
      </c>
      <c r="AE42" s="109">
        <f>IF(27&lt;=DAY(EOMONTH(DATE($AL$5,$AP$2,1),0)),TEXT(DATE($AL$5,$AP$2,27),"ddd"),"")</f>
        <v/>
      </c>
      <c r="AF42" s="109">
        <f>IF(28&lt;=DAY(EOMONTH(DATE($AL$5,$AP$2,1),0)),TEXT(DATE($AL$5,$AP$2,28),"ddd"),"")</f>
        <v/>
      </c>
      <c r="AG42" s="109">
        <f>IF(29&lt;=DAY(EOMONTH(DATE($AL$5,$AP$2,1),0)),TEXT(DATE($AL$5,$AP$2,29),"ddd"),"")</f>
        <v/>
      </c>
      <c r="AH42" s="109">
        <f>IF(30&lt;=DAY(EOMONTH(DATE($AL$5,$AP$2,1),0)),TEXT(DATE($AL$5,$AP$2,30),"ddd"),"")</f>
        <v/>
      </c>
      <c r="AI42" s="109">
        <f>IF(31&lt;=DAY(EOMONTH(DATE($AL$5,$AP$2,1),0)),TEXT(DATE($AL$5,$AP$2,31),"ddd"),"")</f>
        <v/>
      </c>
    </row>
    <row r="43" ht="16.2" customHeight="1" thickBot="1">
      <c r="A43" s="117" t="n"/>
      <c r="B43" s="118" t="n"/>
      <c r="C43" s="118" t="n"/>
      <c r="D43" s="121" t="n"/>
      <c r="E43" s="112">
        <f>IF(1&lt;=DAY(EOMONTH(DATE($AL$5,$AP$2,1),0)),1,"")</f>
        <v/>
      </c>
      <c r="F43" s="112">
        <f>IF(2&lt;=DAY(EOMONTH(DATE($AL$5,$AP$2,1),0)),2,"")</f>
        <v/>
      </c>
      <c r="G43" s="112">
        <f>IF(3&lt;=DAY(EOMONTH(DATE($AL$5,$AP$2,1),0)),3,"")</f>
        <v/>
      </c>
      <c r="H43" s="112">
        <f>IF(4&lt;=DAY(EOMONTH(DATE($AL$5,$AP$2,1),0)),4,"")</f>
        <v/>
      </c>
      <c r="I43" s="112">
        <f>IF(5&lt;=DAY(EOMONTH(DATE($AL$5,$AP$2,1),0)),5,"")</f>
        <v/>
      </c>
      <c r="J43" s="112">
        <f>IF(6&lt;=DAY(EOMONTH(DATE($AL$5,$AP$2,1),0)),6,"")</f>
        <v/>
      </c>
      <c r="K43" s="112">
        <f>IF(7&lt;=DAY(EOMONTH(DATE($AL$5,$AP$2,1),0)),7,"")</f>
        <v/>
      </c>
      <c r="L43" s="112">
        <f>IF(8&lt;=DAY(EOMONTH(DATE($AL$5,$AP$2,1),0)),8,"")</f>
        <v/>
      </c>
      <c r="M43" s="112">
        <f>IF(9&lt;=DAY(EOMONTH(DATE($AL$5,$AP$2,1),0)),9,"")</f>
        <v/>
      </c>
      <c r="N43" s="112">
        <f>IF(10&lt;=DAY(EOMONTH(DATE($AL$5,$AP$2,1),0)),10,"")</f>
        <v/>
      </c>
      <c r="O43" s="112">
        <f>IF(11&lt;=DAY(EOMONTH(DATE($AL$5,$AP$2,1),0)),11,"")</f>
        <v/>
      </c>
      <c r="P43" s="112">
        <f>IF(12&lt;=DAY(EOMONTH(DATE($AL$5,$AP$2,1),0)),12,"")</f>
        <v/>
      </c>
      <c r="Q43" s="112">
        <f>IF(13&lt;=DAY(EOMONTH(DATE($AL$5,$AP$2,1),0)),13,"")</f>
        <v/>
      </c>
      <c r="R43" s="112">
        <f>IF(14&lt;=DAY(EOMONTH(DATE($AL$5,$AP$2,1),0)),14,"")</f>
        <v/>
      </c>
      <c r="S43" s="112">
        <f>IF(15&lt;=DAY(EOMONTH(DATE($AL$5,$AP$2,1),0)),15,"")</f>
        <v/>
      </c>
      <c r="T43" s="112">
        <f>IF(16&lt;=DAY(EOMONTH(DATE($AL$5,$AP$2,1),0)),16,"")</f>
        <v/>
      </c>
      <c r="U43" s="112">
        <f>IF(17&lt;=DAY(EOMONTH(DATE($AL$5,$AP$2,1),0)),17,"")</f>
        <v/>
      </c>
      <c r="V43" s="112">
        <f>IF(18&lt;=DAY(EOMONTH(DATE($AL$5,$AP$2,1),0)),18,"")</f>
        <v/>
      </c>
      <c r="W43" s="112">
        <f>IF(19&lt;=DAY(EOMONTH(DATE($AL$5,$AP$2,1),0)),19,"")</f>
        <v/>
      </c>
      <c r="X43" s="112">
        <f>IF(20&lt;=DAY(EOMONTH(DATE($AL$5,$AP$2,1),0)),20,"")</f>
        <v/>
      </c>
      <c r="Y43" s="112">
        <f>IF(21&lt;=DAY(EOMONTH(DATE($AL$5,$AP$2,1),0)),21,"")</f>
        <v/>
      </c>
      <c r="Z43" s="112">
        <f>IF(22&lt;=DAY(EOMONTH(DATE($AL$5,$AP$2,1),0)),22,"")</f>
        <v/>
      </c>
      <c r="AA43" s="112">
        <f>IF(23&lt;=DAY(EOMONTH(DATE($AL$5,$AP$2,1),0)),23,"")</f>
        <v/>
      </c>
      <c r="AB43" s="112">
        <f>IF(24&lt;=DAY(EOMONTH(DATE($AL$5,$AP$2,1),0)),24,"")</f>
        <v/>
      </c>
      <c r="AC43" s="112">
        <f>IF(25&lt;=DAY(EOMONTH(DATE($AL$5,$AP$2,1),0)),25,"")</f>
        <v/>
      </c>
      <c r="AD43" s="112">
        <f>IF(26&lt;=DAY(EOMONTH(DATE($AL$5,$AP$2,1),0)),26,"")</f>
        <v/>
      </c>
      <c r="AE43" s="112">
        <f>IF(27&lt;=DAY(EOMONTH(DATE($AL$5,$AP$2,1),0)),27,"")</f>
        <v/>
      </c>
      <c r="AF43" s="112">
        <f>IF(28&lt;=DAY(EOMONTH(DATE($AL$5,$AP$2,1),0)),28,"")</f>
        <v/>
      </c>
      <c r="AG43" s="112">
        <f>IF(29&lt;=DAY(EOMONTH(DATE($AL$5,$AP$2,1),0)),29,"")</f>
        <v/>
      </c>
      <c r="AH43" s="112">
        <f>IF(30&lt;=DAY(EOMONTH(DATE($AL$5,$AP$2,1),0)),30,"")</f>
        <v/>
      </c>
      <c r="AI43" s="112">
        <f>IF(31&lt;=DAY(EOMONTH(DATE($AL$5,$AP$2,1),0)),31,"")</f>
        <v/>
      </c>
    </row>
    <row r="44" ht="16.2" customHeight="1" thickBot="1">
      <c r="A44" s="5" t="n">
        <v>1</v>
      </c>
      <c r="B44" s="37" t="n">
        <v>13004037</v>
      </c>
      <c r="C44" s="37" t="inlineStr">
        <is>
          <t>KHALID FAISAL AL-ALAWI</t>
        </is>
      </c>
      <c r="D44" s="37" t="inlineStr">
        <is>
          <t>SUPV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3" t="n"/>
      <c r="C45" s="13" t="n"/>
      <c r="D45" s="13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19" t="inlineStr">
        <is>
          <t>TRANSFERRED-IN MANPOWER</t>
        </is>
      </c>
      <c r="B46" s="116" t="n"/>
      <c r="C46" s="116" t="n"/>
      <c r="D46" s="120" t="n"/>
      <c r="E46" s="109">
        <f>IF(1&lt;=DAY(EOMONTH(DATE($AL$5,$AP$2,1),0)),TEXT(DATE($AL$5,$AP$2,1),"ddd"),"")</f>
        <v/>
      </c>
      <c r="F46" s="109">
        <f>IF(2&lt;=DAY(EOMONTH(DATE($AL$5,$AP$2,1),0)),TEXT(DATE($AL$5,$AP$2,2),"ddd"),"")</f>
        <v/>
      </c>
      <c r="G46" s="109">
        <f>IF(3&lt;=DAY(EOMONTH(DATE($AL$5,$AP$2,1),0)),TEXT(DATE($AL$5,$AP$2,3),"ddd"),"")</f>
        <v/>
      </c>
      <c r="H46" s="109">
        <f>IF(4&lt;=DAY(EOMONTH(DATE($AL$5,$AP$2,1),0)),TEXT(DATE($AL$5,$AP$2,4),"ddd"),"")</f>
        <v/>
      </c>
      <c r="I46" s="109">
        <f>IF(5&lt;=DAY(EOMONTH(DATE($AL$5,$AP$2,1),0)),TEXT(DATE($AL$5,$AP$2,5),"ddd"),"")</f>
        <v/>
      </c>
      <c r="J46" s="109">
        <f>IF(6&lt;=DAY(EOMONTH(DATE($AL$5,$AP$2,1),0)),TEXT(DATE($AL$5,$AP$2,6),"ddd"),"")</f>
        <v/>
      </c>
      <c r="K46" s="109">
        <f>IF(7&lt;=DAY(EOMONTH(DATE($AL$5,$AP$2,1),0)),TEXT(DATE($AL$5,$AP$2,7),"ddd"),"")</f>
        <v/>
      </c>
      <c r="L46" s="109">
        <f>IF(8&lt;=DAY(EOMONTH(DATE($AL$5,$AP$2,1),0)),TEXT(DATE($AL$5,$AP$2,8),"ddd"),"")</f>
        <v/>
      </c>
      <c r="M46" s="109">
        <f>IF(9&lt;=DAY(EOMONTH(DATE($AL$5,$AP$2,1),0)),TEXT(DATE($AL$5,$AP$2,9),"ddd"),"")</f>
        <v/>
      </c>
      <c r="N46" s="109">
        <f>IF(10&lt;=DAY(EOMONTH(DATE($AL$5,$AP$2,1),0)),TEXT(DATE($AL$5,$AP$2,10),"ddd"),"")</f>
        <v/>
      </c>
      <c r="O46" s="109">
        <f>IF(11&lt;=DAY(EOMONTH(DATE($AL$5,$AP$2,1),0)),TEXT(DATE($AL$5,$AP$2,11),"ddd"),"")</f>
        <v/>
      </c>
      <c r="P46" s="109">
        <f>IF(12&lt;=DAY(EOMONTH(DATE($AL$5,$AP$2,1),0)),TEXT(DATE($AL$5,$AP$2,12),"ddd"),"")</f>
        <v/>
      </c>
      <c r="Q46" s="109">
        <f>IF(13&lt;=DAY(EOMONTH(DATE($AL$5,$AP$2,1),0)),TEXT(DATE($AL$5,$AP$2,13),"ddd"),"")</f>
        <v/>
      </c>
      <c r="R46" s="109">
        <f>IF(14&lt;=DAY(EOMONTH(DATE($AL$5,$AP$2,1),0)),TEXT(DATE($AL$5,$AP$2,14),"ddd"),"")</f>
        <v/>
      </c>
      <c r="S46" s="109">
        <f>IF(15&lt;=DAY(EOMONTH(DATE($AL$5,$AP$2,1),0)),TEXT(DATE($AL$5,$AP$2,15),"ddd"),"")</f>
        <v/>
      </c>
      <c r="T46" s="109">
        <f>IF(16&lt;=DAY(EOMONTH(DATE($AL$5,$AP$2,1),0)),TEXT(DATE($AL$5,$AP$2,16),"ddd"),"")</f>
        <v/>
      </c>
      <c r="U46" s="109">
        <f>IF(17&lt;=DAY(EOMONTH(DATE($AL$5,$AP$2,1),0)),TEXT(DATE($AL$5,$AP$2,17),"ddd"),"")</f>
        <v/>
      </c>
      <c r="V46" s="109">
        <f>IF(18&lt;=DAY(EOMONTH(DATE($AL$5,$AP$2,1),0)),TEXT(DATE($AL$5,$AP$2,18),"ddd"),"")</f>
        <v/>
      </c>
      <c r="W46" s="109">
        <f>IF(19&lt;=DAY(EOMONTH(DATE($AL$5,$AP$2,1),0)),TEXT(DATE($AL$5,$AP$2,19),"ddd"),"")</f>
        <v/>
      </c>
      <c r="X46" s="109">
        <f>IF(20&lt;=DAY(EOMONTH(DATE($AL$5,$AP$2,1),0)),TEXT(DATE($AL$5,$AP$2,20),"ddd"),"")</f>
        <v/>
      </c>
      <c r="Y46" s="109">
        <f>IF(21&lt;=DAY(EOMONTH(DATE($AL$5,$AP$2,1),0)),TEXT(DATE($AL$5,$AP$2,21),"ddd"),"")</f>
        <v/>
      </c>
      <c r="Z46" s="109">
        <f>IF(22&lt;=DAY(EOMONTH(DATE($AL$5,$AP$2,1),0)),TEXT(DATE($AL$5,$AP$2,22),"ddd"),"")</f>
        <v/>
      </c>
      <c r="AA46" s="109">
        <f>IF(23&lt;=DAY(EOMONTH(DATE($AL$5,$AP$2,1),0)),TEXT(DATE($AL$5,$AP$2,23),"ddd"),"")</f>
        <v/>
      </c>
      <c r="AB46" s="109">
        <f>IF(24&lt;=DAY(EOMONTH(DATE($AL$5,$AP$2,1),0)),TEXT(DATE($AL$5,$AP$2,24),"ddd"),"")</f>
        <v/>
      </c>
      <c r="AC46" s="109">
        <f>IF(25&lt;=DAY(EOMONTH(DATE($AL$5,$AP$2,1),0)),TEXT(DATE($AL$5,$AP$2,25),"ddd"),"")</f>
        <v/>
      </c>
      <c r="AD46" s="109">
        <f>IF(26&lt;=DAY(EOMONTH(DATE($AL$5,$AP$2,1),0)),TEXT(DATE($AL$5,$AP$2,26),"ddd"),"")</f>
        <v/>
      </c>
      <c r="AE46" s="109">
        <f>IF(27&lt;=DAY(EOMONTH(DATE($AL$5,$AP$2,1),0)),TEXT(DATE($AL$5,$AP$2,27),"ddd"),"")</f>
        <v/>
      </c>
      <c r="AF46" s="109">
        <f>IF(28&lt;=DAY(EOMONTH(DATE($AL$5,$AP$2,1),0)),TEXT(DATE($AL$5,$AP$2,28),"ddd"),"")</f>
        <v/>
      </c>
      <c r="AG46" s="109">
        <f>IF(29&lt;=DAY(EOMONTH(DATE($AL$5,$AP$2,1),0)),TEXT(DATE($AL$5,$AP$2,29),"ddd"),"")</f>
        <v/>
      </c>
      <c r="AH46" s="109">
        <f>IF(30&lt;=DAY(EOMONTH(DATE($AL$5,$AP$2,1),0)),TEXT(DATE($AL$5,$AP$2,30),"ddd"),"")</f>
        <v/>
      </c>
      <c r="AI46" s="109">
        <f>IF(31&lt;=DAY(EOMONTH(DATE($AL$5,$AP$2,1),0)),TEXT(DATE($AL$5,$AP$2,31),"ddd"),"")</f>
        <v/>
      </c>
    </row>
    <row r="47" ht="16.2" customHeight="1" thickBot="1">
      <c r="A47" s="117" t="n"/>
      <c r="B47" s="118" t="n"/>
      <c r="C47" s="118" t="n"/>
      <c r="D47" s="121" t="n"/>
      <c r="E47" s="112">
        <f>IF(1&lt;=DAY(EOMONTH(DATE($AL$5,$AP$2,1),0)),1,"")</f>
        <v/>
      </c>
      <c r="F47" s="112">
        <f>IF(2&lt;=DAY(EOMONTH(DATE($AL$5,$AP$2,1),0)),2,"")</f>
        <v/>
      </c>
      <c r="G47" s="112">
        <f>IF(3&lt;=DAY(EOMONTH(DATE($AL$5,$AP$2,1),0)),3,"")</f>
        <v/>
      </c>
      <c r="H47" s="112">
        <f>IF(4&lt;=DAY(EOMONTH(DATE($AL$5,$AP$2,1),0)),4,"")</f>
        <v/>
      </c>
      <c r="I47" s="112">
        <f>IF(5&lt;=DAY(EOMONTH(DATE($AL$5,$AP$2,1),0)),5,"")</f>
        <v/>
      </c>
      <c r="J47" s="112">
        <f>IF(6&lt;=DAY(EOMONTH(DATE($AL$5,$AP$2,1),0)),6,"")</f>
        <v/>
      </c>
      <c r="K47" s="112">
        <f>IF(7&lt;=DAY(EOMONTH(DATE($AL$5,$AP$2,1),0)),7,"")</f>
        <v/>
      </c>
      <c r="L47" s="112">
        <f>IF(8&lt;=DAY(EOMONTH(DATE($AL$5,$AP$2,1),0)),8,"")</f>
        <v/>
      </c>
      <c r="M47" s="112">
        <f>IF(9&lt;=DAY(EOMONTH(DATE($AL$5,$AP$2,1),0)),9,"")</f>
        <v/>
      </c>
      <c r="N47" s="112">
        <f>IF(10&lt;=DAY(EOMONTH(DATE($AL$5,$AP$2,1),0)),10,"")</f>
        <v/>
      </c>
      <c r="O47" s="112">
        <f>IF(11&lt;=DAY(EOMONTH(DATE($AL$5,$AP$2,1),0)),11,"")</f>
        <v/>
      </c>
      <c r="P47" s="112">
        <f>IF(12&lt;=DAY(EOMONTH(DATE($AL$5,$AP$2,1),0)),12,"")</f>
        <v/>
      </c>
      <c r="Q47" s="112">
        <f>IF(13&lt;=DAY(EOMONTH(DATE($AL$5,$AP$2,1),0)),13,"")</f>
        <v/>
      </c>
      <c r="R47" s="112">
        <f>IF(14&lt;=DAY(EOMONTH(DATE($AL$5,$AP$2,1),0)),14,"")</f>
        <v/>
      </c>
      <c r="S47" s="112">
        <f>IF(15&lt;=DAY(EOMONTH(DATE($AL$5,$AP$2,1),0)),15,"")</f>
        <v/>
      </c>
      <c r="T47" s="112">
        <f>IF(16&lt;=DAY(EOMONTH(DATE($AL$5,$AP$2,1),0)),16,"")</f>
        <v/>
      </c>
      <c r="U47" s="112">
        <f>IF(17&lt;=DAY(EOMONTH(DATE($AL$5,$AP$2,1),0)),17,"")</f>
        <v/>
      </c>
      <c r="V47" s="112">
        <f>IF(18&lt;=DAY(EOMONTH(DATE($AL$5,$AP$2,1),0)),18,"")</f>
        <v/>
      </c>
      <c r="W47" s="112">
        <f>IF(19&lt;=DAY(EOMONTH(DATE($AL$5,$AP$2,1),0)),19,"")</f>
        <v/>
      </c>
      <c r="X47" s="112">
        <f>IF(20&lt;=DAY(EOMONTH(DATE($AL$5,$AP$2,1),0)),20,"")</f>
        <v/>
      </c>
      <c r="Y47" s="112">
        <f>IF(21&lt;=DAY(EOMONTH(DATE($AL$5,$AP$2,1),0)),21,"")</f>
        <v/>
      </c>
      <c r="Z47" s="112">
        <f>IF(22&lt;=DAY(EOMONTH(DATE($AL$5,$AP$2,1),0)),22,"")</f>
        <v/>
      </c>
      <c r="AA47" s="112">
        <f>IF(23&lt;=DAY(EOMONTH(DATE($AL$5,$AP$2,1),0)),23,"")</f>
        <v/>
      </c>
      <c r="AB47" s="112">
        <f>IF(24&lt;=DAY(EOMONTH(DATE($AL$5,$AP$2,1),0)),24,"")</f>
        <v/>
      </c>
      <c r="AC47" s="112">
        <f>IF(25&lt;=DAY(EOMONTH(DATE($AL$5,$AP$2,1),0)),25,"")</f>
        <v/>
      </c>
      <c r="AD47" s="112">
        <f>IF(26&lt;=DAY(EOMONTH(DATE($AL$5,$AP$2,1),0)),26,"")</f>
        <v/>
      </c>
      <c r="AE47" s="112">
        <f>IF(27&lt;=DAY(EOMONTH(DATE($AL$5,$AP$2,1),0)),27,"")</f>
        <v/>
      </c>
      <c r="AF47" s="112">
        <f>IF(28&lt;=DAY(EOMONTH(DATE($AL$5,$AP$2,1),0)),28,"")</f>
        <v/>
      </c>
      <c r="AG47" s="112">
        <f>IF(29&lt;=DAY(EOMONTH(DATE($AL$5,$AP$2,1),0)),29,"")</f>
        <v/>
      </c>
      <c r="AH47" s="112">
        <f>IF(30&lt;=DAY(EOMONTH(DATE($AL$5,$AP$2,1),0)),30,"")</f>
        <v/>
      </c>
      <c r="AI47" s="112">
        <f>IF(31&lt;=DAY(EOMONTH(DATE($AL$5,$AP$2,1),0)),31,"")</f>
        <v/>
      </c>
    </row>
    <row r="48" ht="16.2" customHeight="1" thickBot="1">
      <c r="A48" s="9" t="n">
        <v>1</v>
      </c>
      <c r="B48" s="37" t="n">
        <v>13010931</v>
      </c>
      <c r="C48" s="37" t="inlineStr">
        <is>
          <t>SULTAN ALMASRI</t>
        </is>
      </c>
      <c r="D48" s="37" t="inlineStr">
        <is>
          <t>TECH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37" t="n">
        <v>30003319</v>
      </c>
      <c r="C49" s="37" t="inlineStr">
        <is>
          <t>MANSOUR ALHARBI</t>
        </is>
      </c>
      <c r="D49" s="37" t="inlineStr">
        <is>
          <t>TECH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37" t="n">
        <v>30003362</v>
      </c>
      <c r="C50" s="37" t="inlineStr">
        <is>
          <t>AYMAN HAMED</t>
        </is>
      </c>
      <c r="D50" s="37" t="inlineStr">
        <is>
          <t>TECH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37" t="n">
        <v>30003449</v>
      </c>
      <c r="C51" s="37" t="inlineStr">
        <is>
          <t>HAZEM ALSUBHI</t>
        </is>
      </c>
      <c r="D51" s="37" t="inlineStr">
        <is>
          <t>TECH</t>
        </is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37" t="n">
        <v>30003471</v>
      </c>
      <c r="C52" s="37" t="inlineStr">
        <is>
          <t>MOHAMMED ALOQBA</t>
        </is>
      </c>
      <c r="D52" s="37" t="inlineStr">
        <is>
          <t>TECH</t>
        </is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37" t="n">
        <v>30003607</v>
      </c>
      <c r="C53" s="37" t="inlineStr">
        <is>
          <t>SIRAJ KHAYAT</t>
        </is>
      </c>
      <c r="D53" s="37" t="inlineStr">
        <is>
          <t>TECH</t>
        </is>
      </c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37" t="n">
        <v>30004358</v>
      </c>
      <c r="C54" s="37" t="inlineStr">
        <is>
          <t>SALMAN ALJAADANI</t>
        </is>
      </c>
      <c r="D54" s="37" t="inlineStr">
        <is>
          <t>TECH</t>
        </is>
      </c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37" t="n">
        <v>30004434</v>
      </c>
      <c r="C55" s="37" t="inlineStr">
        <is>
          <t>EID ALRIFAI</t>
        </is>
      </c>
      <c r="D55" s="37" t="inlineStr">
        <is>
          <t>TECH</t>
        </is>
      </c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37" t="n">
        <v>30004838</v>
      </c>
      <c r="C56" s="37" t="inlineStr">
        <is>
          <t>MUAED MEERA</t>
        </is>
      </c>
      <c r="D56" s="37" t="inlineStr">
        <is>
          <t>TECH</t>
        </is>
      </c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37" t="n"/>
      <c r="C57" s="37" t="n"/>
      <c r="D57" s="40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37" t="n"/>
      <c r="C58" s="37" t="n"/>
      <c r="D58" s="40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37" t="n"/>
      <c r="C59" s="37" t="n"/>
      <c r="D59" s="40" t="n"/>
      <c r="E59" s="6" t="n"/>
      <c r="F59" s="123" t="n"/>
      <c r="G59" s="123" t="n"/>
      <c r="H59" s="124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37" t="n"/>
      <c r="C60" s="37" t="n"/>
      <c r="D60" s="40" t="n"/>
      <c r="E60" s="6" t="n"/>
      <c r="F60" s="123" t="n"/>
      <c r="G60" s="123" t="n"/>
      <c r="H60" s="124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37" t="n"/>
      <c r="C61" s="37" t="n"/>
      <c r="D61" s="40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37" t="n"/>
      <c r="C62" s="37" t="n"/>
      <c r="D62" s="40" t="n"/>
      <c r="E62" s="6" t="n"/>
      <c r="F62" s="123" t="n"/>
      <c r="G62" s="123" t="n"/>
      <c r="H62" s="124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37" t="n"/>
      <c r="C63" s="37" t="n"/>
      <c r="D63" s="40" t="n"/>
      <c r="E63" s="6" t="n"/>
      <c r="F63" s="123" t="n"/>
      <c r="G63" s="123" t="n"/>
      <c r="H63" s="124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37" t="n"/>
      <c r="C64" s="37" t="n"/>
      <c r="D64" s="40" t="n"/>
      <c r="E64" s="6" t="n"/>
      <c r="F64" s="123" t="n"/>
      <c r="G64" s="123" t="n"/>
      <c r="H64" s="124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37" t="n"/>
      <c r="C65" s="37" t="n"/>
      <c r="D65" s="40" t="n"/>
      <c r="E65" s="6" t="n"/>
      <c r="F65" s="123" t="n"/>
      <c r="G65" s="123" t="n"/>
      <c r="H65" s="124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37" t="n"/>
      <c r="C66" s="37" t="n"/>
      <c r="D66" s="40" t="n"/>
      <c r="E66" s="148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37" t="n"/>
      <c r="C67" s="37" t="n"/>
      <c r="D67" s="40" t="n"/>
      <c r="E67" s="148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37" t="n"/>
      <c r="C68" s="37" t="n"/>
      <c r="D68" s="40" t="n"/>
      <c r="E68" s="148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37" t="n"/>
      <c r="C69" s="37" t="n"/>
      <c r="D69" s="40" t="n"/>
      <c r="E69" s="148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37" t="n"/>
      <c r="C70" s="37" t="n"/>
      <c r="D70" s="40" t="n"/>
      <c r="E70" s="148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37" t="n"/>
      <c r="C71" s="37" t="n"/>
      <c r="D71" s="40" t="n"/>
      <c r="E71" s="148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37" t="n"/>
      <c r="C72" s="37" t="n"/>
      <c r="D72" s="40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3" t="n"/>
      <c r="C73" s="13" t="n"/>
      <c r="D73" s="13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25" t="inlineStr">
        <is>
          <t>TOTAL DAILY CREWS MANPOWER</t>
        </is>
      </c>
      <c r="B74" s="116" t="n"/>
      <c r="C74" s="120" t="n"/>
      <c r="D74" s="119" t="inlineStr">
        <is>
          <t>SHIFT</t>
        </is>
      </c>
      <c r="E74" s="109">
        <f>IF(1&lt;=DAY(EOMONTH(DATE($AL$5,$AP$2,1),0)),TEXT(DATE($AL$5,$AP$2,1),"ddd"),"")</f>
        <v/>
      </c>
      <c r="F74" s="109">
        <f>IF(2&lt;=DAY(EOMONTH(DATE($AL$5,$AP$2,1),0)),TEXT(DATE($AL$5,$AP$2,2),"ddd"),"")</f>
        <v/>
      </c>
      <c r="G74" s="109">
        <f>IF(3&lt;=DAY(EOMONTH(DATE($AL$5,$AP$2,1),0)),TEXT(DATE($AL$5,$AP$2,3),"ddd"),"")</f>
        <v/>
      </c>
      <c r="H74" s="109">
        <f>IF(4&lt;=DAY(EOMONTH(DATE($AL$5,$AP$2,1),0)),TEXT(DATE($AL$5,$AP$2,4),"ddd"),"")</f>
        <v/>
      </c>
      <c r="I74" s="109">
        <f>IF(5&lt;=DAY(EOMONTH(DATE($AL$5,$AP$2,1),0)),TEXT(DATE($AL$5,$AP$2,5),"ddd"),"")</f>
        <v/>
      </c>
      <c r="J74" s="109">
        <f>IF(6&lt;=DAY(EOMONTH(DATE($AL$5,$AP$2,1),0)),TEXT(DATE($AL$5,$AP$2,6),"ddd"),"")</f>
        <v/>
      </c>
      <c r="K74" s="109">
        <f>IF(7&lt;=DAY(EOMONTH(DATE($AL$5,$AP$2,1),0)),TEXT(DATE($AL$5,$AP$2,7),"ddd"),"")</f>
        <v/>
      </c>
      <c r="L74" s="109">
        <f>IF(8&lt;=DAY(EOMONTH(DATE($AL$5,$AP$2,1),0)),TEXT(DATE($AL$5,$AP$2,8),"ddd"),"")</f>
        <v/>
      </c>
      <c r="M74" s="109">
        <f>IF(9&lt;=DAY(EOMONTH(DATE($AL$5,$AP$2,1),0)),TEXT(DATE($AL$5,$AP$2,9),"ddd"),"")</f>
        <v/>
      </c>
      <c r="N74" s="109">
        <f>IF(10&lt;=DAY(EOMONTH(DATE($AL$5,$AP$2,1),0)),TEXT(DATE($AL$5,$AP$2,10),"ddd"),"")</f>
        <v/>
      </c>
      <c r="O74" s="109">
        <f>IF(11&lt;=DAY(EOMONTH(DATE($AL$5,$AP$2,1),0)),TEXT(DATE($AL$5,$AP$2,11),"ddd"),"")</f>
        <v/>
      </c>
      <c r="P74" s="109">
        <f>IF(12&lt;=DAY(EOMONTH(DATE($AL$5,$AP$2,1),0)),TEXT(DATE($AL$5,$AP$2,12),"ddd"),"")</f>
        <v/>
      </c>
      <c r="Q74" s="109">
        <f>IF(13&lt;=DAY(EOMONTH(DATE($AL$5,$AP$2,1),0)),TEXT(DATE($AL$5,$AP$2,13),"ddd"),"")</f>
        <v/>
      </c>
      <c r="R74" s="109">
        <f>IF(14&lt;=DAY(EOMONTH(DATE($AL$5,$AP$2,1),0)),TEXT(DATE($AL$5,$AP$2,14),"ddd"),"")</f>
        <v/>
      </c>
      <c r="S74" s="109">
        <f>IF(15&lt;=DAY(EOMONTH(DATE($AL$5,$AP$2,1),0)),TEXT(DATE($AL$5,$AP$2,15),"ddd"),"")</f>
        <v/>
      </c>
      <c r="T74" s="109">
        <f>IF(16&lt;=DAY(EOMONTH(DATE($AL$5,$AP$2,1),0)),TEXT(DATE($AL$5,$AP$2,16),"ddd"),"")</f>
        <v/>
      </c>
      <c r="U74" s="109">
        <f>IF(17&lt;=DAY(EOMONTH(DATE($AL$5,$AP$2,1),0)),TEXT(DATE($AL$5,$AP$2,17),"ddd"),"")</f>
        <v/>
      </c>
      <c r="V74" s="109">
        <f>IF(18&lt;=DAY(EOMONTH(DATE($AL$5,$AP$2,1),0)),TEXT(DATE($AL$5,$AP$2,18),"ddd"),"")</f>
        <v/>
      </c>
      <c r="W74" s="109">
        <f>IF(19&lt;=DAY(EOMONTH(DATE($AL$5,$AP$2,1),0)),TEXT(DATE($AL$5,$AP$2,19),"ddd"),"")</f>
        <v/>
      </c>
      <c r="X74" s="109">
        <f>IF(20&lt;=DAY(EOMONTH(DATE($AL$5,$AP$2,1),0)),TEXT(DATE($AL$5,$AP$2,20),"ddd"),"")</f>
        <v/>
      </c>
      <c r="Y74" s="109">
        <f>IF(21&lt;=DAY(EOMONTH(DATE($AL$5,$AP$2,1),0)),TEXT(DATE($AL$5,$AP$2,21),"ddd"),"")</f>
        <v/>
      </c>
      <c r="Z74" s="109">
        <f>IF(22&lt;=DAY(EOMONTH(DATE($AL$5,$AP$2,1),0)),TEXT(DATE($AL$5,$AP$2,22),"ddd"),"")</f>
        <v/>
      </c>
      <c r="AA74" s="109">
        <f>IF(23&lt;=DAY(EOMONTH(DATE($AL$5,$AP$2,1),0)),TEXT(DATE($AL$5,$AP$2,23),"ddd"),"")</f>
        <v/>
      </c>
      <c r="AB74" s="109">
        <f>IF(24&lt;=DAY(EOMONTH(DATE($AL$5,$AP$2,1),0)),TEXT(DATE($AL$5,$AP$2,24),"ddd"),"")</f>
        <v/>
      </c>
      <c r="AC74" s="109">
        <f>IF(25&lt;=DAY(EOMONTH(DATE($AL$5,$AP$2,1),0)),TEXT(DATE($AL$5,$AP$2,25),"ddd"),"")</f>
        <v/>
      </c>
      <c r="AD74" s="109">
        <f>IF(26&lt;=DAY(EOMONTH(DATE($AL$5,$AP$2,1),0)),TEXT(DATE($AL$5,$AP$2,26),"ddd"),"")</f>
        <v/>
      </c>
      <c r="AE74" s="109">
        <f>IF(27&lt;=DAY(EOMONTH(DATE($AL$5,$AP$2,1),0)),TEXT(DATE($AL$5,$AP$2,27),"ddd"),"")</f>
        <v/>
      </c>
      <c r="AF74" s="109">
        <f>IF(28&lt;=DAY(EOMONTH(DATE($AL$5,$AP$2,1),0)),TEXT(DATE($AL$5,$AP$2,28),"ddd"),"")</f>
        <v/>
      </c>
      <c r="AG74" s="109">
        <f>IF(29&lt;=DAY(EOMONTH(DATE($AL$5,$AP$2,1),0)),TEXT(DATE($AL$5,$AP$2,29),"ddd"),"")</f>
        <v/>
      </c>
      <c r="AH74" s="109">
        <f>IF(30&lt;=DAY(EOMONTH(DATE($AL$5,$AP$2,1),0)),TEXT(DATE($AL$5,$AP$2,30),"ddd"),"")</f>
        <v/>
      </c>
      <c r="AI74" s="109">
        <f>IF(31&lt;=DAY(EOMONTH(DATE($AL$5,$AP$2,1),0)),TEXT(DATE($AL$5,$AP$2,31),"ddd"),"")</f>
        <v/>
      </c>
    </row>
    <row r="75" ht="16.2" customHeight="1" thickBot="1">
      <c r="A75" s="111" t="n"/>
      <c r="C75" s="126" t="n"/>
      <c r="D75" s="105" t="n"/>
      <c r="E75" s="112">
        <f>IF(1&lt;=DAY(EOMONTH(DATE($AL$5,$AP$2,1),0)),1,"")</f>
        <v/>
      </c>
      <c r="F75" s="112">
        <f>IF(2&lt;=DAY(EOMONTH(DATE($AL$5,$AP$2,1),0)),2,"")</f>
        <v/>
      </c>
      <c r="G75" s="112">
        <f>IF(3&lt;=DAY(EOMONTH(DATE($AL$5,$AP$2,1),0)),3,"")</f>
        <v/>
      </c>
      <c r="H75" s="112">
        <f>IF(4&lt;=DAY(EOMONTH(DATE($AL$5,$AP$2,1),0)),4,"")</f>
        <v/>
      </c>
      <c r="I75" s="112">
        <f>IF(5&lt;=DAY(EOMONTH(DATE($AL$5,$AP$2,1),0)),5,"")</f>
        <v/>
      </c>
      <c r="J75" s="112">
        <f>IF(6&lt;=DAY(EOMONTH(DATE($AL$5,$AP$2,1),0)),6,"")</f>
        <v/>
      </c>
      <c r="K75" s="112">
        <f>IF(7&lt;=DAY(EOMONTH(DATE($AL$5,$AP$2,1),0)),7,"")</f>
        <v/>
      </c>
      <c r="L75" s="112">
        <f>IF(8&lt;=DAY(EOMONTH(DATE($AL$5,$AP$2,1),0)),8,"")</f>
        <v/>
      </c>
      <c r="M75" s="112">
        <f>IF(9&lt;=DAY(EOMONTH(DATE($AL$5,$AP$2,1),0)),9,"")</f>
        <v/>
      </c>
      <c r="N75" s="112">
        <f>IF(10&lt;=DAY(EOMONTH(DATE($AL$5,$AP$2,1),0)),10,"")</f>
        <v/>
      </c>
      <c r="O75" s="112">
        <f>IF(11&lt;=DAY(EOMONTH(DATE($AL$5,$AP$2,1),0)),11,"")</f>
        <v/>
      </c>
      <c r="P75" s="112">
        <f>IF(12&lt;=DAY(EOMONTH(DATE($AL$5,$AP$2,1),0)),12,"")</f>
        <v/>
      </c>
      <c r="Q75" s="112">
        <f>IF(13&lt;=DAY(EOMONTH(DATE($AL$5,$AP$2,1),0)),13,"")</f>
        <v/>
      </c>
      <c r="R75" s="112">
        <f>IF(14&lt;=DAY(EOMONTH(DATE($AL$5,$AP$2,1),0)),14,"")</f>
        <v/>
      </c>
      <c r="S75" s="112">
        <f>IF(15&lt;=DAY(EOMONTH(DATE($AL$5,$AP$2,1),0)),15,"")</f>
        <v/>
      </c>
      <c r="T75" s="112">
        <f>IF(16&lt;=DAY(EOMONTH(DATE($AL$5,$AP$2,1),0)),16,"")</f>
        <v/>
      </c>
      <c r="U75" s="112">
        <f>IF(17&lt;=DAY(EOMONTH(DATE($AL$5,$AP$2,1),0)),17,"")</f>
        <v/>
      </c>
      <c r="V75" s="112">
        <f>IF(18&lt;=DAY(EOMONTH(DATE($AL$5,$AP$2,1),0)),18,"")</f>
        <v/>
      </c>
      <c r="W75" s="112">
        <f>IF(19&lt;=DAY(EOMONTH(DATE($AL$5,$AP$2,1),0)),19,"")</f>
        <v/>
      </c>
      <c r="X75" s="112">
        <f>IF(20&lt;=DAY(EOMONTH(DATE($AL$5,$AP$2,1),0)),20,"")</f>
        <v/>
      </c>
      <c r="Y75" s="112">
        <f>IF(21&lt;=DAY(EOMONTH(DATE($AL$5,$AP$2,1),0)),21,"")</f>
        <v/>
      </c>
      <c r="Z75" s="112">
        <f>IF(22&lt;=DAY(EOMONTH(DATE($AL$5,$AP$2,1),0)),22,"")</f>
        <v/>
      </c>
      <c r="AA75" s="112">
        <f>IF(23&lt;=DAY(EOMONTH(DATE($AL$5,$AP$2,1),0)),23,"")</f>
        <v/>
      </c>
      <c r="AB75" s="112">
        <f>IF(24&lt;=DAY(EOMONTH(DATE($AL$5,$AP$2,1),0)),24,"")</f>
        <v/>
      </c>
      <c r="AC75" s="112">
        <f>IF(25&lt;=DAY(EOMONTH(DATE($AL$5,$AP$2,1),0)),25,"")</f>
        <v/>
      </c>
      <c r="AD75" s="112">
        <f>IF(26&lt;=DAY(EOMONTH(DATE($AL$5,$AP$2,1),0)),26,"")</f>
        <v/>
      </c>
      <c r="AE75" s="112">
        <f>IF(27&lt;=DAY(EOMONTH(DATE($AL$5,$AP$2,1),0)),27,"")</f>
        <v/>
      </c>
      <c r="AF75" s="112">
        <f>IF(28&lt;=DAY(EOMONTH(DATE($AL$5,$AP$2,1),0)),28,"")</f>
        <v/>
      </c>
      <c r="AG75" s="112">
        <f>IF(29&lt;=DAY(EOMONTH(DATE($AL$5,$AP$2,1),0)),29,"")</f>
        <v/>
      </c>
      <c r="AH75" s="112">
        <f>IF(30&lt;=DAY(EOMONTH(DATE($AL$5,$AP$2,1),0)),30,"")</f>
        <v/>
      </c>
      <c r="AI75" s="112">
        <f>IF(31&lt;=DAY(EOMONTH(DATE($AL$5,$AP$2,1),0)),31,"")</f>
        <v/>
      </c>
    </row>
    <row r="76" ht="16.2" customHeight="1" thickBot="1">
      <c r="A76" s="111" t="n"/>
      <c r="C76" s="126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1" t="n"/>
      <c r="C77" s="126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17" t="n"/>
      <c r="B78" s="118" t="n"/>
      <c r="C78" s="121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19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27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28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18" t="n"/>
      <c r="O82" s="118" t="n"/>
      <c r="P82" s="118" t="n"/>
      <c r="Q82" s="118" t="n"/>
      <c r="R82" s="118" t="n"/>
      <c r="S82" s="118" t="n"/>
      <c r="W82" s="96">
        <f>UPPER(TEXT(TODAY(),"DDDD dd/mm/yyyy"))</f>
        <v/>
      </c>
      <c r="X82" s="118" t="n"/>
      <c r="Y82" s="118" t="n"/>
      <c r="Z82" s="118" t="n"/>
      <c r="AA82" s="118" t="n"/>
      <c r="AB82" s="118" t="n"/>
      <c r="AC82" s="118" t="n"/>
    </row>
    <row r="83" ht="16.2" customHeight="1" thickBot="1">
      <c r="E83" s="129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0" t="inlineStr">
        <is>
          <t>CODE LEGEND — ALL CODES</t>
        </is>
      </c>
    </row>
    <row r="86" ht="16" customHeight="1">
      <c r="E86" s="131" t="inlineStr">
        <is>
          <t>D</t>
        </is>
      </c>
      <c r="F86" s="132" t="inlineStr">
        <is>
          <t>DAY</t>
        </is>
      </c>
      <c r="K86" s="133" t="inlineStr">
        <is>
          <t>T</t>
        </is>
      </c>
      <c r="L86" s="132" t="inlineStr">
        <is>
          <t>TWILIGHT</t>
        </is>
      </c>
      <c r="Q86" s="134" t="inlineStr">
        <is>
          <t>G</t>
        </is>
      </c>
      <c r="R86" s="132" t="inlineStr">
        <is>
          <t>GRAVEYARD</t>
        </is>
      </c>
      <c r="W86" s="135" t="inlineStr">
        <is>
          <t>TR</t>
        </is>
      </c>
      <c r="X86" s="132" t="inlineStr">
        <is>
          <t>TRAINING</t>
        </is>
      </c>
      <c r="AC86" s="136" t="inlineStr">
        <is>
          <t>V</t>
        </is>
      </c>
      <c r="AD86" s="132" t="inlineStr">
        <is>
          <t>VACATION</t>
        </is>
      </c>
    </row>
    <row r="87" ht="16" customHeight="1">
      <c r="E87" s="137" t="inlineStr">
        <is>
          <t>R</t>
        </is>
      </c>
      <c r="F87" s="132" t="inlineStr">
        <is>
          <t>REST/RDO</t>
        </is>
      </c>
      <c r="K87" s="138" t="inlineStr">
        <is>
          <t>A</t>
        </is>
      </c>
      <c r="L87" s="132" t="inlineStr">
        <is>
          <t>ABSENT</t>
        </is>
      </c>
      <c r="Q87" s="139" t="inlineStr">
        <is>
          <t>H</t>
        </is>
      </c>
      <c r="R87" s="132" t="inlineStr">
        <is>
          <t>HOLIDAY</t>
        </is>
      </c>
      <c r="W87" s="140" t="inlineStr">
        <is>
          <t>OT</t>
        </is>
      </c>
      <c r="X87" s="132" t="inlineStr">
        <is>
          <t>OVERTIME</t>
        </is>
      </c>
      <c r="AC87" s="141" t="inlineStr">
        <is>
          <t>OS</t>
        </is>
      </c>
      <c r="AD87" s="132" t="inlineStr">
        <is>
          <t>OUTSTATION</t>
        </is>
      </c>
    </row>
    <row r="88" ht="16" customHeight="1">
      <c r="E88" s="142" t="inlineStr">
        <is>
          <t>S/L</t>
        </is>
      </c>
      <c r="F88" s="132" t="inlineStr">
        <is>
          <t>SICK LEAVE</t>
        </is>
      </c>
      <c r="K88" s="143" t="inlineStr">
        <is>
          <t>C/T</t>
        </is>
      </c>
      <c r="L88" s="132" t="inlineStr">
        <is>
          <t>COMP TIME</t>
        </is>
      </c>
      <c r="Q88" s="144" t="inlineStr">
        <is>
          <t>L</t>
        </is>
      </c>
      <c r="R88" s="132" t="inlineStr">
        <is>
          <t>LATE/LEAVE</t>
        </is>
      </c>
      <c r="W88" s="145" t="inlineStr">
        <is>
          <t>N</t>
        </is>
      </c>
      <c r="X88" s="132" t="inlineStr">
        <is>
          <t>NOTE</t>
        </is>
      </c>
    </row>
  </sheetData>
  <mergeCells count="45">
    <mergeCell ref="X88:AA88"/>
    <mergeCell ref="E2:AC2"/>
    <mergeCell ref="C1:C2"/>
    <mergeCell ref="AD87:AG87"/>
    <mergeCell ref="AK6:AN6"/>
    <mergeCell ref="A74:C78"/>
    <mergeCell ref="W82:AC82"/>
    <mergeCell ref="E80:J80"/>
    <mergeCell ref="F83:J83"/>
    <mergeCell ref="F88:I88"/>
    <mergeCell ref="L86:O86"/>
    <mergeCell ref="AL5:AN5"/>
    <mergeCell ref="A46:D47"/>
    <mergeCell ref="AD1:AI2"/>
    <mergeCell ref="A3:D4"/>
    <mergeCell ref="F87:I87"/>
    <mergeCell ref="E62:H62"/>
    <mergeCell ref="B1:B2"/>
    <mergeCell ref="M83:S83"/>
    <mergeCell ref="X86:AA86"/>
    <mergeCell ref="AL4:AN4"/>
    <mergeCell ref="R88:U88"/>
    <mergeCell ref="E64:H64"/>
    <mergeCell ref="R87:U87"/>
    <mergeCell ref="F81:J81"/>
    <mergeCell ref="A22:D23"/>
    <mergeCell ref="D74:D75"/>
    <mergeCell ref="W83:AC83"/>
    <mergeCell ref="A42:D43"/>
    <mergeCell ref="AK3:AN3"/>
    <mergeCell ref="M82:S82"/>
    <mergeCell ref="L87:O87"/>
    <mergeCell ref="X87:AA87"/>
    <mergeCell ref="F86:I86"/>
    <mergeCell ref="E63:H6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5:AI73">
    <cfRule type="cellIs" priority="13" operator="equal" dxfId="12">
      <formula>"D"</formula>
    </cfRule>
    <cfRule type="cellIs" priority="14" operator="equal" dxfId="13">
      <formula>"T"</formula>
    </cfRule>
    <cfRule type="cellIs" priority="15" operator="equal" dxfId="14">
      <formula>"G"</formula>
    </cfRule>
    <cfRule type="cellIs" priority="16" operator="equal" dxfId="15">
      <formula>"TR"</formula>
    </cfRule>
    <cfRule type="cellIs" priority="17" operator="equal" dxfId="16">
      <formula>"V"</formula>
    </cfRule>
    <cfRule type="cellIs" priority="18" operator="equal" dxfId="17">
      <formula>"A"</formula>
    </cfRule>
    <cfRule type="cellIs" priority="19" operator="equal" dxfId="18">
      <formula>"H"</formula>
    </cfRule>
    <cfRule type="cellIs" priority="20" operator="equal" dxfId="19">
      <formula>"OT"</formula>
    </cfRule>
    <cfRule type="cellIs" priority="21" operator="equal" dxfId="20">
      <formula>"OS"</formula>
    </cfRule>
    <cfRule type="cellIs" priority="22" operator="equal" dxfId="21">
      <formula>"S/L"</formula>
    </cfRule>
    <cfRule type="cellIs" priority="23" operator="equal" dxfId="22">
      <formula>"C/T"</formula>
    </cfRule>
    <cfRule type="cellIs" priority="24" operator="equal" dxfId="23">
      <formula>"L"</formula>
    </cfRule>
    <cfRule type="cellIs" priority="25" operator="equal" dxfId="24">
      <formula>"N"</formula>
    </cfRule>
  </conditionalFormatting>
  <conditionalFormatting sqref="A5:D73">
    <cfRule type="expression" priority="26" dxfId="25">
      <formula>$D5="OJT"</formula>
    </cfRule>
    <cfRule type="expression" priority="27" dxfId="26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2026-09-09T17:41:36Z</dcterms:modified>
  <cp:lastModifiedBy>Ahmed Saeed Alghamdi</cp:lastModifiedBy>
</cp:coreProperties>
</file>