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40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FF000000"/>
      <sz val="10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  <font>
      <name val="Times New Roman"/>
      <b val="1"/>
      <color rgb="00FFFFFF"/>
      <sz val="8.5"/>
    </font>
    <font>
      <name val="Times New Roman"/>
      <b val="1"/>
      <color rgb="006B7280"/>
      <sz val="7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  <border/>
    <border>
      <right/>
      <bottom/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15" borderId="14" applyAlignment="1" pivotButton="0" quotePrefix="0" xfId="0">
      <alignment horizontal="center" vertical="center"/>
    </xf>
    <xf numFmtId="0" fontId="19" fillId="16" borderId="14" applyAlignment="1" pivotButton="0" quotePrefix="0" xfId="0">
      <alignment horizontal="center" vertical="center"/>
    </xf>
    <xf numFmtId="0" fontId="20" fillId="17" borderId="6" applyAlignment="1" pivotButton="0" quotePrefix="0" xfId="0">
      <alignment horizontal="center" vertical="center"/>
    </xf>
    <xf numFmtId="0" fontId="21" fillId="0" borderId="0" pivotButton="0" quotePrefix="0" xfId="0"/>
    <xf numFmtId="0" fontId="22" fillId="15" borderId="3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0" fontId="24" fillId="16" borderId="34" applyAlignment="1" pivotButton="0" quotePrefix="0" xfId="0">
      <alignment horizontal="center" vertical="center"/>
    </xf>
    <xf numFmtId="0" fontId="25" fillId="17" borderId="34" applyAlignment="1" pivotButton="0" quotePrefix="0" xfId="0">
      <alignment horizontal="center" vertical="center"/>
    </xf>
    <xf numFmtId="0" fontId="26" fillId="18" borderId="34" applyAlignment="1" pivotButton="0" quotePrefix="0" xfId="0">
      <alignment horizontal="center" vertical="center"/>
    </xf>
    <xf numFmtId="0" fontId="27" fillId="19" borderId="34" applyAlignment="1" pivotButton="0" quotePrefix="0" xfId="0">
      <alignment horizontal="center" vertical="center"/>
    </xf>
    <xf numFmtId="0" fontId="28" fillId="20" borderId="34" applyAlignment="1" pivotButton="0" quotePrefix="0" xfId="0">
      <alignment horizontal="center" vertical="center"/>
    </xf>
    <xf numFmtId="0" fontId="29" fillId="21" borderId="34" applyAlignment="1" pivotButton="0" quotePrefix="0" xfId="0">
      <alignment horizontal="center" vertical="center"/>
    </xf>
    <xf numFmtId="0" fontId="30" fillId="22" borderId="34" applyAlignment="1" pivotButton="0" quotePrefix="0" xfId="0">
      <alignment horizontal="center" vertical="center"/>
    </xf>
    <xf numFmtId="0" fontId="31" fillId="23" borderId="34" applyAlignment="1" pivotButton="0" quotePrefix="0" xfId="0">
      <alignment horizontal="center" vertical="center"/>
    </xf>
    <xf numFmtId="0" fontId="32" fillId="24" borderId="34" applyAlignment="1" pivotButton="0" quotePrefix="0" xfId="0">
      <alignment horizontal="center" vertical="center"/>
    </xf>
    <xf numFmtId="0" fontId="33" fillId="25" borderId="34" applyAlignment="1" pivotButton="0" quotePrefix="0" xfId="0">
      <alignment horizontal="center" vertical="center"/>
    </xf>
    <xf numFmtId="0" fontId="34" fillId="26" borderId="34" applyAlignment="1" pivotButton="0" quotePrefix="0" xfId="0">
      <alignment horizontal="center" vertical="center"/>
    </xf>
    <xf numFmtId="0" fontId="35" fillId="27" borderId="34" applyAlignment="1" pivotButton="0" quotePrefix="0" xfId="0">
      <alignment horizontal="center" vertical="center"/>
    </xf>
    <xf numFmtId="0" fontId="36" fillId="28" borderId="34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1" fillId="11" borderId="35" applyAlignment="1" pivotButton="0" quotePrefix="0" xfId="0">
      <alignment horizontal="center" vertical="center"/>
    </xf>
    <xf numFmtId="0" fontId="0" fillId="0" borderId="35" pivotButton="0" quotePrefix="0" xfId="0"/>
    <xf numFmtId="0" fontId="38" fillId="12" borderId="35" applyAlignment="1" pivotButton="0" quotePrefix="0" xfId="0">
      <alignment horizontal="center" vertical="center"/>
    </xf>
    <xf numFmtId="0" fontId="12" fillId="0" borderId="35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39" fillId="0" borderId="35" applyAlignment="1" pivotButton="0" quotePrefix="0" xfId="0">
      <alignment horizontal="center" vertical="center"/>
    </xf>
    <xf numFmtId="0" fontId="37" fillId="0" borderId="35" applyAlignment="1" pivotButton="0" quotePrefix="0" xfId="0">
      <alignment horizontal="center" vertical="center"/>
    </xf>
    <xf numFmtId="0" fontId="11" fillId="11" borderId="36" applyAlignment="1" pivotButton="0" quotePrefix="0" xfId="0">
      <alignment horizontal="center" vertical="center"/>
    </xf>
    <xf numFmtId="0" fontId="11" fillId="12" borderId="35" applyAlignment="1" pivotButton="0" quotePrefix="0" xfId="0">
      <alignment horizontal="center" vertical="center"/>
    </xf>
    <xf numFmtId="49" fontId="14" fillId="14" borderId="34" applyAlignment="1" pivotButton="0" quotePrefix="0" xfId="0">
      <alignment horizontal="center" vertical="center"/>
    </xf>
    <xf numFmtId="0" fontId="0" fillId="14" borderId="34" pivotButton="0" quotePrefix="0" xfId="0"/>
    <xf numFmtId="0" fontId="14" fillId="0" borderId="35" applyAlignment="1" pivotButton="0" quotePrefix="0" xfId="0">
      <alignment horizontal="center" vertical="center"/>
    </xf>
    <xf numFmtId="0" fontId="37" fillId="0" borderId="36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" customWidth="1" min="40" max="40"/>
    <col width="7" customWidth="1" min="41" max="41"/>
    <col width="7" customWidth="1" min="42" max="42"/>
    <col width="6.5" customWidth="1" min="43" max="43"/>
    <col width="2" customWidth="1" min="44" max="44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63" t="inlineStr">
        <is>
          <t>MONTHLY</t>
        </is>
      </c>
      <c r="AM1" s="157" t="n"/>
      <c r="AN1" s="164" t="inlineStr">
        <is>
          <t>CUSTOM PERIOD</t>
        </is>
      </c>
      <c r="AO1" s="108" t="n"/>
      <c r="AP1" s="108" t="n"/>
      <c r="AQ1" s="157" t="n"/>
      <c r="AR1" s="157" t="n"/>
      <c r="AS1" s="157" t="n"/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59" t="inlineStr">
        <is>
          <t>OR</t>
        </is>
      </c>
      <c r="AN2" s="113" t="inlineStr">
        <is>
          <t>START</t>
        </is>
      </c>
      <c r="AO2" s="165" t="n"/>
      <c r="AP2" s="166" t="n"/>
      <c r="AQ2" s="167" t="n"/>
      <c r="AR2" s="157" t="n"/>
      <c r="AS2" s="157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65" t="n"/>
      <c r="AP3" s="166" t="n"/>
      <c r="AQ3" s="157" t="n"/>
      <c r="AR3" s="157" t="n"/>
      <c r="AS3" s="157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60" t="n"/>
      <c r="AL4" s="157" t="n"/>
      <c r="AM4" s="157" t="n"/>
      <c r="AN4" s="157" t="n"/>
      <c r="AO4" s="161" t="n"/>
      <c r="AP4" s="161" t="n"/>
      <c r="AQ4" s="161" t="n"/>
      <c r="AR4" s="157" t="n"/>
      <c r="AS4" s="157" t="n"/>
      <c r="BA4">
        <f>IF($BA$1="P",MIN(31,IFERROR(VALUE($BA$12),IF(ISNUMBER($AO$3),$AO$3,30))),DAY(EOMONTH($BA$3,0)))</f>
        <v/>
      </c>
    </row>
    <row r="5" ht="16.2" customHeight="1" thickBot="1">
      <c r="A5" s="5" t="n">
        <v>1</v>
      </c>
      <c r="B5" s="119" t="n"/>
      <c r="C5" s="120" t="n"/>
      <c r="D5" s="121" t="n"/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68">
        <f>IF($BA$1="P","● PERIOD MODE — "&amp;TEXT($BA$3,"dd/mm/yyyy")&amp;" +"&amp;$BA$4&amp;"d","● MONTH MODE")</f>
        <v/>
      </c>
      <c r="AS5" s="157" t="n"/>
      <c r="BA5">
        <f>IF(ISNUMBER($AO$2),$AO$2,IFERROR(DATE(IF($BA$11&lt;100,2000+$BA$11,$BA$11),$BA$10,$BA$9),""))</f>
        <v/>
      </c>
    </row>
    <row r="6" ht="16.2" customHeight="1" thickBot="1">
      <c r="A6" s="5" t="n">
        <v>2</v>
      </c>
      <c r="B6" s="119" t="n"/>
      <c r="C6" s="120" t="n"/>
      <c r="D6" s="119" t="n"/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  <c r="BA6">
        <f>SUBSTITUTE(SUBSTITUTE(SUBSTITUTE(SUBSTITUTE(SUBSTITUTE(SUBSTITUTE(SUBSTITUTE(SUBSTITUTE(SUBSTITUTE(SUBSTITUTE(SUBSTITUTE(SUBSTITUTE(SUBSTITUTE(SUBSTITUTE(TRIM($AO$2&amp;""),"٠","0"),"١","1"),"٢","2"),"٣","3"),"٤","4"),"٥","5"),"٦","6"),"٧","7"),"٨","8"),"٩","9"),"-","/"),".","/"),"\\","/")," ","")</f>
        <v/>
      </c>
    </row>
    <row r="7" ht="16.2" customHeight="1" thickBot="1">
      <c r="A7" s="5" t="n">
        <v>3</v>
      </c>
      <c r="B7" s="119" t="n"/>
      <c r="C7" s="120" t="n"/>
      <c r="D7" s="119" t="n"/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  <c r="BA7">
        <f>IFERROR(FIND("/",$BA$6),0)</f>
        <v/>
      </c>
    </row>
    <row r="8" ht="16.2" customHeight="1" thickBot="1">
      <c r="A8" s="5" t="n">
        <v>4</v>
      </c>
      <c r="B8" s="119" t="n"/>
      <c r="C8" s="120" t="n"/>
      <c r="D8" s="119" t="n"/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  <c r="BA8">
        <f>IFERROR(FIND("/",$BA$6,$BA$7+1),0)</f>
        <v/>
      </c>
    </row>
    <row r="9" ht="16.2" customHeight="1" thickBot="1">
      <c r="A9" s="5" t="n">
        <v>5</v>
      </c>
      <c r="B9" s="119" t="n"/>
      <c r="C9" s="120" t="n"/>
      <c r="D9" s="119" t="n"/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  <c r="BA9">
        <f>IFERROR(VALUE(LEFT($BA$6,$BA$7-1)),"")</f>
        <v/>
      </c>
    </row>
    <row r="10" ht="16.2" customHeight="1" thickBot="1">
      <c r="A10" s="10" t="n">
        <v>6</v>
      </c>
      <c r="B10" s="119" t="n"/>
      <c r="C10" s="120" t="n"/>
      <c r="D10" s="119" t="n"/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  <c r="BA10">
        <f>IFERROR(VALUE(MID($BA$6,$BA$7+1,$BA$8-$BA$7-1)),"")</f>
        <v/>
      </c>
    </row>
    <row r="11" ht="16.2" customHeight="1" thickBot="1">
      <c r="A11" s="10" t="n">
        <v>7</v>
      </c>
      <c r="B11" s="119" t="n"/>
      <c r="C11" s="120" t="n"/>
      <c r="D11" s="119" t="n"/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  <c r="BA11">
        <f>IFERROR(VALUE(MID($BA$6,$BA$8+1,9)),"")</f>
        <v/>
      </c>
    </row>
    <row r="12" ht="16.2" customHeight="1" thickBot="1">
      <c r="A12" s="10" t="n">
        <v>8</v>
      </c>
      <c r="B12" s="119" t="n"/>
      <c r="C12" s="120" t="n"/>
      <c r="D12" s="119" t="n"/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  <c r="BA12">
        <f>SUBSTITUTE(SUBSTITUTE(SUBSTITUTE(SUBSTITUTE(SUBSTITUTE(SUBSTITUTE(SUBSTITUTE(SUBSTITUTE(SUBSTITUTE(SUBSTITUTE(SUBSTITUTE(SUBSTITUTE(SUBSTITUTE(SUBSTITUTE(TRIM($AO$3&amp;""),"٠","0"),"١","1"),"٢","2"),"٣","3"),"٤","4"),"٥","5"),"٦","6"),"٧","7"),"٨","8"),"٩","9"),"-","/"),".","/"),"\\","/")," ","")</f>
        <v/>
      </c>
    </row>
    <row r="13" ht="16.2" customHeight="1" thickBot="1">
      <c r="A13" s="10" t="n">
        <v>9</v>
      </c>
      <c r="B13" s="119" t="n"/>
      <c r="C13" s="120" t="n"/>
      <c r="D13" s="119" t="n"/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/>
      <c r="C14" s="120" t="n"/>
      <c r="D14" s="119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/>
      <c r="C15" s="120" t="n"/>
      <c r="D15" s="119" t="n"/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/>
      <c r="C16" s="120" t="n"/>
      <c r="D16" s="122" t="n"/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/>
      <c r="C17" s="120" t="n"/>
      <c r="D17" s="119" t="n"/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/>
      <c r="C18" s="120" t="n"/>
      <c r="D18" s="122" t="n"/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/>
      <c r="C19" s="120" t="n"/>
      <c r="D19" s="119" t="n"/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/>
      <c r="C20" s="120" t="n"/>
      <c r="D20" s="119" t="n"/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/>
      <c r="C24" s="120" t="n"/>
      <c r="D24" s="119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/>
      <c r="C25" s="120" t="n"/>
      <c r="D25" s="119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/>
      <c r="C26" s="120" t="n"/>
      <c r="D26" s="121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/>
      <c r="C27" s="120" t="n"/>
      <c r="D27" s="121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/>
      <c r="C28" s="120" t="n"/>
      <c r="D28" s="121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/>
      <c r="C29" s="120" t="n"/>
      <c r="D29" s="119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/>
      <c r="C30" s="120" t="n"/>
      <c r="D30" s="119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/>
      <c r="C31" s="120" t="n"/>
      <c r="D31" s="119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/>
      <c r="C32" s="120" t="n"/>
      <c r="D32" s="119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/>
      <c r="C33" s="120" t="n"/>
      <c r="D33" s="119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/>
      <c r="C34" s="120" t="n"/>
      <c r="D34" s="119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/>
      <c r="C35" s="120" t="n"/>
      <c r="D35" s="119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/>
      <c r="C36" s="120" t="n"/>
      <c r="D36" s="119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/>
      <c r="C37" s="120" t="n"/>
      <c r="D37" s="119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/>
      <c r="C38" s="120" t="n"/>
      <c r="D38" s="119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/>
      <c r="C39" s="120" t="n"/>
      <c r="D39" s="119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/>
      <c r="C40" s="120" t="n"/>
      <c r="D40" s="119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/>
      <c r="C44" s="120" t="n"/>
      <c r="D44" s="119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/>
      <c r="C48" s="120" t="n"/>
      <c r="D48" s="119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/>
      <c r="C49" s="120" t="n"/>
      <c r="D49" s="119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/>
      <c r="C50" s="120" t="n"/>
      <c r="D50" s="119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/>
      <c r="C51" s="120" t="n"/>
      <c r="D51" s="119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/>
      <c r="C52" s="120" t="n"/>
      <c r="D52" s="119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/>
      <c r="C53" s="120" t="n"/>
      <c r="D53" s="119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/>
      <c r="C54" s="120" t="n"/>
      <c r="D54" s="119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/>
      <c r="C55" s="120" t="n"/>
      <c r="D55" s="119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/>
      <c r="C56" s="120" t="n"/>
      <c r="D56" s="119" t="n"/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136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137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138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9" t="inlineStr">
        <is>
          <t>CODE LEGEND — ALL CODES</t>
        </is>
      </c>
    </row>
    <row r="86" ht="16" customHeight="1">
      <c r="E86" s="140" t="inlineStr">
        <is>
          <t>D</t>
        </is>
      </c>
      <c r="F86" s="141" t="inlineStr">
        <is>
          <t>DAY</t>
        </is>
      </c>
      <c r="K86" s="142" t="inlineStr">
        <is>
          <t>T</t>
        </is>
      </c>
      <c r="L86" s="141" t="inlineStr">
        <is>
          <t>TWILIGHT</t>
        </is>
      </c>
      <c r="Q86" s="143" t="inlineStr">
        <is>
          <t>G</t>
        </is>
      </c>
      <c r="R86" s="141" t="inlineStr">
        <is>
          <t>GRAVEYARD</t>
        </is>
      </c>
      <c r="W86" s="144" t="inlineStr">
        <is>
          <t>TR</t>
        </is>
      </c>
      <c r="X86" s="141" t="inlineStr">
        <is>
          <t>TRAINING</t>
        </is>
      </c>
      <c r="AC86" s="145" t="inlineStr">
        <is>
          <t>V</t>
        </is>
      </c>
      <c r="AD86" s="141" t="inlineStr">
        <is>
          <t>VACATION</t>
        </is>
      </c>
    </row>
    <row r="87" ht="16" customHeight="1">
      <c r="E87" s="146" t="inlineStr">
        <is>
          <t>R</t>
        </is>
      </c>
      <c r="F87" s="141" t="inlineStr">
        <is>
          <t>REST/RDO</t>
        </is>
      </c>
      <c r="K87" s="147" t="inlineStr">
        <is>
          <t>A</t>
        </is>
      </c>
      <c r="L87" s="141" t="inlineStr">
        <is>
          <t>ABSENT</t>
        </is>
      </c>
      <c r="Q87" s="148" t="inlineStr">
        <is>
          <t>H</t>
        </is>
      </c>
      <c r="R87" s="141" t="inlineStr">
        <is>
          <t>HOLIDAY</t>
        </is>
      </c>
      <c r="W87" s="149" t="inlineStr">
        <is>
          <t>OT</t>
        </is>
      </c>
      <c r="X87" s="141" t="inlineStr">
        <is>
          <t>OVERTIME</t>
        </is>
      </c>
      <c r="AC87" s="150" t="inlineStr">
        <is>
          <t>OS</t>
        </is>
      </c>
      <c r="AD87" s="141" t="inlineStr">
        <is>
          <t>OUTSTATION</t>
        </is>
      </c>
    </row>
    <row r="88" ht="16" customHeight="1">
      <c r="E88" s="151" t="inlineStr">
        <is>
          <t>S/L</t>
        </is>
      </c>
      <c r="F88" s="141" t="inlineStr">
        <is>
          <t>SICK LEAVE</t>
        </is>
      </c>
      <c r="K88" s="152" t="inlineStr">
        <is>
          <t>C/T</t>
        </is>
      </c>
      <c r="L88" s="141" t="inlineStr">
        <is>
          <t>COMP TIME</t>
        </is>
      </c>
      <c r="Q88" s="153" t="inlineStr">
        <is>
          <t>L</t>
        </is>
      </c>
      <c r="R88" s="141" t="inlineStr">
        <is>
          <t>LATE/LEAVE</t>
        </is>
      </c>
      <c r="W88" s="154" t="inlineStr">
        <is>
          <t>N</t>
        </is>
      </c>
      <c r="X88" s="141" t="inlineStr">
        <is>
          <t>NOTE</t>
        </is>
      </c>
    </row>
  </sheetData>
  <mergeCells count="47">
    <mergeCell ref="X88:AA88"/>
    <mergeCell ref="AN1:AP1"/>
    <mergeCell ref="AO2:AP2"/>
    <mergeCell ref="E2:AC2"/>
    <mergeCell ref="C1:C2"/>
    <mergeCell ref="AD87:AG87"/>
    <mergeCell ref="A74:C78"/>
    <mergeCell ref="W82:AC82"/>
    <mergeCell ref="E80:J80"/>
    <mergeCell ref="F83:J83"/>
    <mergeCell ref="F88:I88"/>
    <mergeCell ref="AO3:AP3"/>
    <mergeCell ref="L86:O86"/>
    <mergeCell ref="A46:D47"/>
    <mergeCell ref="AD1:AI2"/>
    <mergeCell ref="A3:D4"/>
    <mergeCell ref="F87:I87"/>
    <mergeCell ref="E62:H62"/>
    <mergeCell ref="B1:B2"/>
    <mergeCell ref="M83:S83"/>
    <mergeCell ref="X86:AA86"/>
    <mergeCell ref="AK5:AR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11" text="TR">
      <formula>NOT(ISERROR(SEARCH("TR",E21)))</formula>
    </cfRule>
    <cfRule type="containsText" priority="14" operator="containsText" dxfId="10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8" text="G">
      <formula>NOT(ISERROR(SEARCH("G",E21)))</formula>
    </cfRule>
    <cfRule type="containsText" priority="17" operator="containsText" dxfId="7" text="T">
      <formula>NOT(ISERROR(SEARCH("T",E21)))</formula>
    </cfRule>
    <cfRule type="containsText" priority="18" operator="containsText" dxfId="6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2026-09-09T19:02:27Z</dcterms:modified>
  <cp:lastModifiedBy>Ahmed Saeed Alghamdi</cp:lastModifiedBy>
</cp:coreProperties>
</file>