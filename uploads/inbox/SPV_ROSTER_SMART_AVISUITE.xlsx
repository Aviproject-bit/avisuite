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'ROSTER'!$A$1:$AI$88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mm\ yyyy"/>
    <numFmt numFmtId="165" formatCode="DD/MM/YYYY"/>
  </numFmts>
  <fonts count="38">
    <font>
      <name val="Aptos Narrow"/>
      <family val="2"/>
      <color theme="1"/>
      <sz val="11"/>
      <scheme val="minor"/>
    </font>
    <font>
      <name val="Times New Roman"/>
      <family val="1"/>
      <b val="1"/>
      <color rgb="FFFFFFFF"/>
      <sz val="16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24"/>
    </font>
    <font>
      <name val="Aptos Narrow"/>
      <family val="2"/>
      <sz val="8"/>
      <scheme val="minor"/>
    </font>
    <font>
      <name val="Times New Roman"/>
      <family val="1"/>
      <b val="1"/>
      <sz val="12"/>
    </font>
    <font>
      <name val="Times New Roman"/>
      <b val="1"/>
      <color rgb="00FFFFFF"/>
      <sz val="10"/>
    </font>
    <font>
      <name val="Times New Roman"/>
      <b val="1"/>
      <sz val="9"/>
    </font>
    <font>
      <name val="Times New Roman"/>
      <b val="1"/>
      <color rgb="00B45309"/>
      <sz val="12"/>
    </font>
    <font>
      <name val="Times New Roman"/>
      <b val="1"/>
      <color rgb="006B7280"/>
      <sz val="9"/>
    </font>
    <font>
      <name val="Times New Roman"/>
      <i val="1"/>
      <color rgb="006B7280"/>
      <sz val="7.5"/>
    </font>
    <font>
      <name val="Times New Roman"/>
      <sz val="10"/>
    </font>
    <font>
      <name val="Times New Roman"/>
      <sz val="11"/>
    </font>
    <font>
      <name val="Times New Roman"/>
      <sz val="12"/>
    </font>
    <font>
      <name val="Times New Roman"/>
      <b val="1"/>
      <color rgb="0092400E"/>
      <sz val="11"/>
    </font>
    <font>
      <name val="Times New Roman"/>
      <b val="1"/>
      <color rgb="001A56DB"/>
      <sz val="11"/>
    </font>
    <font>
      <name val="Times New Roman"/>
      <b val="1"/>
      <color rgb="00065F46"/>
      <sz val="11"/>
    </font>
    <font>
      <name val="Times New Roman"/>
      <b val="1"/>
      <color rgb="00196B24"/>
      <sz val="10"/>
    </font>
    <font>
      <name val="Times New Roman"/>
      <b val="1"/>
      <color rgb="0092400E"/>
      <sz val="10"/>
    </font>
    <font>
      <name val="Times New Roman"/>
      <sz val="9"/>
    </font>
    <font>
      <name val="Times New Roman"/>
      <b val="1"/>
      <color rgb="001A56DB"/>
      <sz val="10"/>
    </font>
    <font>
      <name val="Times New Roman"/>
      <b val="1"/>
      <color rgb="00065F46"/>
      <sz val="10"/>
    </font>
    <font>
      <name val="Times New Roman"/>
      <b val="1"/>
      <color rgb="005521B5"/>
      <sz val="10"/>
    </font>
    <font>
      <name val="Times New Roman"/>
      <b val="1"/>
      <color rgb="000E7490"/>
      <sz val="10"/>
    </font>
    <font>
      <name val="Times New Roman"/>
      <b val="1"/>
      <color rgb="FF000000"/>
      <sz val="10"/>
    </font>
    <font>
      <name val="Times New Roman"/>
      <b val="1"/>
      <color rgb="FFF9FAFB"/>
      <sz val="10"/>
    </font>
    <font>
      <name val="Times New Roman"/>
      <b val="1"/>
      <color rgb="FF7E22CE"/>
      <sz val="10"/>
    </font>
    <font>
      <name val="Times New Roman"/>
      <b val="1"/>
      <color rgb="FFC2410C"/>
      <sz val="10"/>
    </font>
    <font>
      <name val="Times New Roman"/>
      <b val="1"/>
      <color rgb="FF3730A3"/>
      <sz val="10"/>
    </font>
    <font>
      <name val="Times New Roman"/>
      <b val="1"/>
      <color rgb="FFBE123C"/>
      <sz val="10"/>
    </font>
    <font>
      <name val="Times New Roman"/>
      <b val="1"/>
      <color rgb="FF3F6212"/>
      <sz val="10"/>
    </font>
    <font>
      <name val="Times New Roman"/>
      <b val="1"/>
      <color rgb="FF475569"/>
      <sz val="10"/>
    </font>
    <font>
      <name val="Times New Roman"/>
      <b val="1"/>
      <color rgb="FF713F12"/>
      <sz val="10"/>
    </font>
  </fonts>
  <fills count="29">
    <fill>
      <patternFill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96B24"/>
      </patternFill>
    </fill>
    <fill>
      <patternFill patternType="solid">
        <fgColor rgb="00EEF2F0"/>
      </patternFill>
    </fill>
    <fill>
      <patternFill patternType="solid">
        <fgColor rgb="00FFF8E1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BFE"/>
      </patternFill>
    </fill>
    <fill>
      <patternFill patternType="solid">
        <fgColor rgb="00CFFAFE"/>
      </patternFill>
    </fill>
    <fill>
      <patternFill patternType="solid">
        <fgColor theme="0" tint="-0.249946592608417"/>
      </patternFill>
    </fill>
    <fill>
      <patternFill patternType="solid">
        <fgColor rgb="FF1F2937"/>
      </patternFill>
    </fill>
    <fill>
      <patternFill patternType="solid">
        <fgColor rgb="FFFDF4FF"/>
      </patternFill>
    </fill>
    <fill>
      <patternFill patternType="solid">
        <fgColor rgb="FFFFF7ED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ECFCCB"/>
      </patternFill>
    </fill>
    <fill>
      <patternFill patternType="solid">
        <fgColor rgb="FFF1F5F9"/>
      </patternFill>
    </fill>
    <fill>
      <patternFill patternType="solid">
        <fgColor rgb="FFFEF9C3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2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4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/>
    </xf>
    <xf numFmtId="0" fontId="5" fillId="5" borderId="14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16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6" fillId="9" borderId="15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164" fontId="1" fillId="2" borderId="7" applyAlignment="1" pivotButton="0" quotePrefix="0" xfId="0">
      <alignment horizontal="center" vertical="center"/>
    </xf>
    <xf numFmtId="164" fontId="1" fillId="2" borderId="8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164" fontId="1" fillId="2" borderId="10" applyAlignment="1" pivotButton="0" quotePrefix="0" xfId="0">
      <alignment horizontal="center" vertical="center"/>
    </xf>
    <xf numFmtId="16" fontId="1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164" fontId="1" fillId="2" borderId="1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5" pivotButton="0" quotePrefix="0" xfId="0"/>
    <xf numFmtId="0" fontId="16" fillId="0" borderId="14" applyAlignment="1" pivotButton="0" quotePrefix="0" xfId="0">
      <alignment horizontal="center" vertical="center"/>
    </xf>
    <xf numFmtId="0" fontId="17" fillId="0" borderId="14" applyAlignment="1" applyProtection="1" pivotButton="0" quotePrefix="0" xfId="0">
      <alignment horizontal="center" vertical="center"/>
      <protection locked="0" hidden="0"/>
    </xf>
    <xf numFmtId="0" fontId="18" fillId="0" borderId="14" applyAlignment="1" applyProtection="1" pivotButton="0" quotePrefix="0" xfId="0">
      <alignment horizontal="left" vertical="center" indent="1"/>
      <protection locked="0" hidden="0"/>
    </xf>
    <xf numFmtId="0" fontId="17" fillId="0" borderId="15" applyAlignment="1" applyProtection="1" pivotButton="0" quotePrefix="0" xfId="0">
      <alignment horizontal="center" vertical="center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6" fillId="0" borderId="21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center" vertical="center"/>
      <protection locked="0" hidden="0"/>
    </xf>
    <xf numFmtId="0" fontId="6" fillId="0" borderId="14" applyAlignment="1" applyProtection="1" pivotButton="0" quotePrefix="0" xfId="0">
      <alignment horizontal="center" vertical="center"/>
      <protection locked="0" hidden="0"/>
    </xf>
    <xf numFmtId="0" fontId="17" fillId="0" borderId="6" applyAlignment="1" applyProtection="1" pivotButton="0" quotePrefix="0" xfId="0">
      <alignment horizontal="center" vertical="center"/>
      <protection locked="0" hidden="0"/>
    </xf>
    <xf numFmtId="0" fontId="6" fillId="0" borderId="23" applyAlignment="1" applyProtection="1" pivotButton="0" quotePrefix="0" xfId="0">
      <alignment horizontal="center" vertical="center"/>
      <protection locked="0" hidden="0"/>
    </xf>
    <xf numFmtId="0" fontId="6" fillId="0" borderId="24" applyAlignment="1" applyProtection="1" pivotButton="0" quotePrefix="0" xfId="0">
      <alignment horizontal="center" vertical="center"/>
      <protection locked="0" hidden="0"/>
    </xf>
    <xf numFmtId="0" fontId="6" fillId="0" borderId="25" applyAlignment="1" applyProtection="1" pivotButton="0" quotePrefix="0" xfId="0">
      <alignment horizontal="center" vertical="center"/>
      <protection locked="0" hidden="0"/>
    </xf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6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4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horizontal="left" vertical="center" inden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0" fontId="0" fillId="0" borderId="19" pivotButton="0" quotePrefix="0" xfId="0"/>
    <xf numFmtId="0" fontId="6" fillId="0" borderId="28" applyAlignment="1" applyProtection="1" pivotButton="0" quotePrefix="0" xfId="0">
      <alignment horizontal="center" vertical="center"/>
      <protection locked="0" hidden="0"/>
    </xf>
    <xf numFmtId="0" fontId="8" fillId="6" borderId="14" applyAlignment="1" pivotButton="0" quotePrefix="0" xfId="0">
      <alignment horizontal="center" vertical="center" wrapText="1"/>
    </xf>
    <xf numFmtId="0" fontId="0" fillId="0" borderId="18" pivotButton="0" quotePrefix="0" xfId="0"/>
    <xf numFmtId="0" fontId="19" fillId="15" borderId="14" applyAlignment="1" pivotButton="0" quotePrefix="0" xfId="0">
      <alignment horizontal="center" vertical="center"/>
    </xf>
    <xf numFmtId="0" fontId="20" fillId="16" borderId="14" applyAlignment="1" pivotButton="0" quotePrefix="0" xfId="0">
      <alignment horizontal="center" vertical="center"/>
    </xf>
    <xf numFmtId="0" fontId="21" fillId="17" borderId="6" applyAlignment="1" pivotButton="0" quotePrefix="0" xfId="0">
      <alignment horizontal="center" vertical="center"/>
    </xf>
    <xf numFmtId="0" fontId="22" fillId="0" borderId="0" pivotButton="0" quotePrefix="0" xfId="0"/>
    <xf numFmtId="0" fontId="23" fillId="15" borderId="34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0" fontId="25" fillId="16" borderId="34" applyAlignment="1" pivotButton="0" quotePrefix="0" xfId="0">
      <alignment horizontal="center" vertical="center"/>
    </xf>
    <xf numFmtId="0" fontId="26" fillId="17" borderId="34" applyAlignment="1" pivotButton="0" quotePrefix="0" xfId="0">
      <alignment horizontal="center" vertical="center"/>
    </xf>
    <xf numFmtId="0" fontId="27" fillId="18" borderId="34" applyAlignment="1" pivotButton="0" quotePrefix="0" xfId="0">
      <alignment horizontal="center" vertical="center"/>
    </xf>
    <xf numFmtId="0" fontId="28" fillId="19" borderId="34" applyAlignment="1" pivotButton="0" quotePrefix="0" xfId="0">
      <alignment horizontal="center" vertical="center"/>
    </xf>
    <xf numFmtId="0" fontId="29" fillId="20" borderId="34" applyAlignment="1" pivotButton="0" quotePrefix="0" xfId="0">
      <alignment horizontal="center" vertical="center"/>
    </xf>
    <xf numFmtId="0" fontId="30" fillId="21" borderId="34" applyAlignment="1" pivotButton="0" quotePrefix="0" xfId="0">
      <alignment horizontal="center" vertical="center"/>
    </xf>
    <xf numFmtId="0" fontId="31" fillId="22" borderId="34" applyAlignment="1" pivotButton="0" quotePrefix="0" xfId="0">
      <alignment horizontal="center" vertical="center"/>
    </xf>
    <xf numFmtId="0" fontId="32" fillId="23" borderId="34" applyAlignment="1" pivotButton="0" quotePrefix="0" xfId="0">
      <alignment horizontal="center" vertical="center"/>
    </xf>
    <xf numFmtId="0" fontId="33" fillId="24" borderId="34" applyAlignment="1" pivotButton="0" quotePrefix="0" xfId="0">
      <alignment horizontal="center" vertical="center"/>
    </xf>
    <xf numFmtId="0" fontId="34" fillId="25" borderId="34" applyAlignment="1" pivotButton="0" quotePrefix="0" xfId="0">
      <alignment horizontal="center" vertical="center"/>
    </xf>
    <xf numFmtId="0" fontId="35" fillId="26" borderId="34" applyAlignment="1" pivotButton="0" quotePrefix="0" xfId="0">
      <alignment horizontal="center" vertical="center"/>
    </xf>
    <xf numFmtId="0" fontId="36" fillId="27" borderId="34" applyAlignment="1" pivotButton="0" quotePrefix="0" xfId="0">
      <alignment horizontal="center" vertical="center"/>
    </xf>
    <xf numFmtId="0" fontId="37" fillId="28" borderId="34" applyAlignment="1" pivotButton="0" quotePrefix="0" xfId="0">
      <alignment horizontal="center" vertical="center"/>
    </xf>
    <xf numFmtId="0" fontId="11" fillId="11" borderId="34" applyAlignment="1" pivotButton="0" quotePrefix="0" xfId="0">
      <alignment horizontal="center" vertical="center"/>
    </xf>
    <xf numFmtId="0" fontId="0" fillId="0" borderId="34" pivotButton="0" quotePrefix="0" xfId="0"/>
    <xf numFmtId="0" fontId="12" fillId="12" borderId="34" applyAlignment="1" pivotButton="0" quotePrefix="0" xfId="0">
      <alignment horizontal="center" vertical="center"/>
    </xf>
    <xf numFmtId="0" fontId="13" fillId="13" borderId="34" applyAlignment="1" applyProtection="1" pivotButton="0" quotePrefix="0" xfId="0">
      <alignment horizontal="center" vertical="center"/>
      <protection locked="0" hidden="0"/>
    </xf>
    <xf numFmtId="0" fontId="0" fillId="13" borderId="34" applyProtection="1" pivotButton="0" quotePrefix="0" xfId="0">
      <protection locked="0" hidden="0"/>
    </xf>
    <xf numFmtId="0" fontId="14" fillId="0" borderId="0" applyAlignment="1" pivotButton="0" quotePrefix="0" xfId="0">
      <alignment horizontal="center" vertical="center"/>
    </xf>
    <xf numFmtId="0" fontId="11" fillId="14" borderId="34" applyAlignment="1" pivotButton="0" quotePrefix="0" xfId="0">
      <alignment horizontal="center" vertical="center"/>
    </xf>
    <xf numFmtId="165" fontId="13" fillId="13" borderId="34" applyAlignment="1" applyProtection="1" pivotButton="0" quotePrefix="0" xfId="0">
      <alignment horizontal="center" vertical="center"/>
      <protection locked="0" hidden="0"/>
    </xf>
    <xf numFmtId="0" fontId="15" fillId="0" borderId="0" applyAlignment="1" pivotButton="0" quotePrefix="0" xfId="0">
      <alignment horizontal="center" vertical="center"/>
    </xf>
  </cellXfs>
  <cellStyles count="1">
    <cellStyle name="عادي" xfId="0" builtinId="0"/>
  </cellStyles>
  <dxfs count="22"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ont>
        <name val="Times New Roman"/>
        <b val="1"/>
        <color rgb="0092400E"/>
      </font>
      <fill>
        <patternFill>
          <bgColor rgb="00FEF3C7"/>
        </patternFill>
      </fill>
    </dxf>
    <dxf>
      <font>
        <name val="Times New Roman"/>
        <b val="1"/>
        <color rgb="001A56DB"/>
      </font>
      <fill>
        <patternFill>
          <bgColor rgb="00DBEAFE"/>
        </patternFill>
      </fill>
    </dxf>
    <dxf>
      <font>
        <name val="Times New Roman"/>
        <b val="1"/>
        <color rgb="00065F46"/>
      </font>
      <fill>
        <patternFill>
          <bgColor rgb="00D1FAE5"/>
        </patternFill>
      </fill>
    </dxf>
    <dxf>
      <fill>
        <patternFill>
          <bgColor theme="0" tint="-0.249946592608417"/>
        </patternFill>
      </fill>
    </dxf>
    <dxf>
      <font>
        <name val="Times New Roman"/>
        <b val="1"/>
        <color rgb="000E7490"/>
      </font>
      <fill>
        <patternFill>
          <bgColor rgb="00CFFAFE"/>
        </patternFill>
      </fill>
    </dxf>
    <dxf>
      <font>
        <name val="Times New Roman"/>
        <b val="1"/>
        <color rgb="005521B5"/>
      </font>
      <fill>
        <patternFill>
          <bgColor rgb="00EDEBFE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DAF2D0"/>
        </patternFill>
      </fill>
    </dxf>
    <dxf>
      <fill>
        <patternFill>
          <bgColor rgb="0083CCE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9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8" defaultRowHeight="14.4"/>
  <cols>
    <col width="7" customWidth="1" min="1" max="1"/>
    <col width="13" customWidth="1" min="2" max="2"/>
    <col width="34.6640625" customWidth="1" min="3" max="3"/>
    <col width="13.44140625" customWidth="1" min="4" max="4"/>
    <col width="4.5546875" customWidth="1" min="5" max="35"/>
    <col width="14.33203125" customWidth="1" min="37" max="37"/>
    <col width="28.33203125" customWidth="1" min="38" max="38"/>
    <col hidden="1" width="13" customWidth="1" min="42" max="42"/>
  </cols>
  <sheetData>
    <row r="1" ht="21" customHeight="1" thickBot="1">
      <c r="A1" s="101" t="inlineStr">
        <is>
          <t>#</t>
        </is>
      </c>
      <c r="B1" s="102" t="inlineStr">
        <is>
          <t>PRN</t>
        </is>
      </c>
      <c r="C1" s="102" t="inlineStr">
        <is>
          <t>NAME</t>
        </is>
      </c>
      <c r="D1" s="102" t="inlineStr">
        <is>
          <t>Posn</t>
        </is>
      </c>
      <c r="E1" s="102" t="inlineStr">
        <is>
          <t>SPV Cabin Employee Roster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4" t="n"/>
      <c r="AD1" s="80" t="inlineStr">
        <is>
          <t>CC: 264</t>
        </is>
      </c>
      <c r="AP1">
        <f>IF(ISNUMBER($AP$5),"P","M")</f>
        <v/>
      </c>
    </row>
    <row r="2" ht="21" customHeight="1" thickBot="1">
      <c r="A2" s="105" t="n"/>
      <c r="B2" s="105" t="n"/>
      <c r="C2" s="105" t="n"/>
      <c r="D2" s="105" t="n"/>
      <c r="E2" s="106">
        <f>IF($AP$1="P",UPPER(TEXT($AP$3,"dd mmm")&amp;" — "&amp;TEXT($AP$3+$AP$4-1,"dd mmm yyyy")),UPPER(TEXT($AP$3,"mmmm yyyy")))</f>
        <v/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4" t="n"/>
      <c r="AD2" s="107" t="n"/>
      <c r="AE2" s="108" t="n"/>
      <c r="AF2" s="108" t="n"/>
      <c r="AG2" s="108" t="n"/>
      <c r="AH2" s="108" t="n"/>
      <c r="AI2" s="108" t="n"/>
      <c r="AP2">
        <f>IFERROR(IF(ISNUMBER($B$92),$B$92,MATCH(LEFT(UPPER(TRIM($B$92)),3),{"JAN","FEB","MAR","APR","MAY","JUN","JUL","AUG","SEP","OCT","NOV","DEC"},0)),MONTH(TODAY()))</f>
        <v/>
      </c>
    </row>
    <row r="3" ht="15" customHeight="1" thickBot="1">
      <c r="A3" s="47" t="inlineStr">
        <is>
          <t>CREW 1</t>
        </is>
      </c>
      <c r="E3" s="1">
        <f>IF(1&lt;=$AP$4,TEXT($AP$3+0,"ddd"),"")</f>
        <v/>
      </c>
      <c r="F3" s="1">
        <f>IF(2&lt;=$AP$4,TEXT($AP$3+1,"ddd"),"")</f>
        <v/>
      </c>
      <c r="G3" s="1">
        <f>IF(3&lt;=$AP$4,TEXT($AP$3+2,"ddd"),"")</f>
        <v/>
      </c>
      <c r="H3" s="1">
        <f>IF(4&lt;=$AP$4,TEXT($AP$3+3,"ddd"),"")</f>
        <v/>
      </c>
      <c r="I3" s="1">
        <f>IF(5&lt;=$AP$4,TEXT($AP$3+4,"ddd"),"")</f>
        <v/>
      </c>
      <c r="J3" s="1">
        <f>IF(6&lt;=$AP$4,TEXT($AP$3+5,"ddd"),"")</f>
        <v/>
      </c>
      <c r="K3" s="1">
        <f>IF(7&lt;=$AP$4,TEXT($AP$3+6,"ddd"),"")</f>
        <v/>
      </c>
      <c r="L3" s="1">
        <f>IF(8&lt;=$AP$4,TEXT($AP$3+7,"ddd"),"")</f>
        <v/>
      </c>
      <c r="M3" s="1">
        <f>IF(9&lt;=$AP$4,TEXT($AP$3+8,"ddd"),"")</f>
        <v/>
      </c>
      <c r="N3" s="1">
        <f>IF(10&lt;=$AP$4,TEXT($AP$3+9,"ddd"),"")</f>
        <v/>
      </c>
      <c r="O3" s="1">
        <f>IF(11&lt;=$AP$4,TEXT($AP$3+10,"ddd"),"")</f>
        <v/>
      </c>
      <c r="P3" s="1">
        <f>IF(12&lt;=$AP$4,TEXT($AP$3+11,"ddd"),"")</f>
        <v/>
      </c>
      <c r="Q3" s="1">
        <f>IF(13&lt;=$AP$4,TEXT($AP$3+12,"ddd"),"")</f>
        <v/>
      </c>
      <c r="R3" s="1">
        <f>IF(14&lt;=$AP$4,TEXT($AP$3+13,"ddd"),"")</f>
        <v/>
      </c>
      <c r="S3" s="1">
        <f>IF(15&lt;=$AP$4,TEXT($AP$3+14,"ddd"),"")</f>
        <v/>
      </c>
      <c r="T3" s="1">
        <f>IF(16&lt;=$AP$4,TEXT($AP$3+15,"ddd"),"")</f>
        <v/>
      </c>
      <c r="U3" s="1">
        <f>IF(17&lt;=$AP$4,TEXT($AP$3+16,"ddd"),"")</f>
        <v/>
      </c>
      <c r="V3" s="1">
        <f>IF(18&lt;=$AP$4,TEXT($AP$3+17,"ddd"),"")</f>
        <v/>
      </c>
      <c r="W3" s="1">
        <f>IF(19&lt;=$AP$4,TEXT($AP$3+18,"ddd"),"")</f>
        <v/>
      </c>
      <c r="X3" s="1">
        <f>IF(20&lt;=$AP$4,TEXT($AP$3+19,"ddd"),"")</f>
        <v/>
      </c>
      <c r="Y3" s="1">
        <f>IF(21&lt;=$AP$4,TEXT($AP$3+20,"ddd"),"")</f>
        <v/>
      </c>
      <c r="Z3" s="1">
        <f>IF(22&lt;=$AP$4,TEXT($AP$3+21,"ddd"),"")</f>
        <v/>
      </c>
      <c r="AA3" s="1">
        <f>IF(23&lt;=$AP$4,TEXT($AP$3+22,"ddd"),"")</f>
        <v/>
      </c>
      <c r="AB3" s="1">
        <f>IF(24&lt;=$AP$4,TEXT($AP$3+23,"ddd"),"")</f>
        <v/>
      </c>
      <c r="AC3" s="1">
        <f>IF(25&lt;=$AP$4,TEXT($AP$3+24,"ddd"),"")</f>
        <v/>
      </c>
      <c r="AD3" s="1">
        <f>IF(26&lt;=$AP$4,TEXT($AP$3+25,"ddd"),"")</f>
        <v/>
      </c>
      <c r="AE3" s="1">
        <f>IF(27&lt;=$AP$4,TEXT($AP$3+26,"ddd"),"")</f>
        <v/>
      </c>
      <c r="AF3" s="1">
        <f>IF(28&lt;=$AP$4,TEXT($AP$3+27,"ddd"),"")</f>
        <v/>
      </c>
      <c r="AG3" s="1">
        <f>IF(29&lt;=$AP$4,TEXT($AP$3+28,"ddd"),"")</f>
        <v/>
      </c>
      <c r="AH3" s="24">
        <f>IF(30&lt;=$AP$4,TEXT($AP$3+29,"ddd"),"")</f>
        <v/>
      </c>
      <c r="AI3" s="21">
        <f>IF(31&lt;=$AP$4,TEXT($AP$3+30,"ddd"),"")</f>
        <v/>
      </c>
      <c r="AP3">
        <f>IF($AP$1="P",$AP$5,DATE(IF(ISNUMBER($B$93),$B$93,YEAR(TODAY())),$AP$2,1))</f>
        <v/>
      </c>
    </row>
    <row r="4" ht="16.2" customHeight="1" thickBot="1">
      <c r="A4" s="109" t="n"/>
      <c r="E4" s="2">
        <f>IF(1&lt;=$AP$4,IF($AP$1="P",DAY($AP$3+0),1),"")</f>
        <v/>
      </c>
      <c r="F4" s="2">
        <f>IF(2&lt;=$AP$4,IF($AP$1="P",DAY($AP$3+1),2),"")</f>
        <v/>
      </c>
      <c r="G4" s="2">
        <f>IF(3&lt;=$AP$4,IF($AP$1="P",DAY($AP$3+2),3),"")</f>
        <v/>
      </c>
      <c r="H4" s="2">
        <f>IF(4&lt;=$AP$4,IF($AP$1="P",DAY($AP$3+3),4),"")</f>
        <v/>
      </c>
      <c r="I4" s="3">
        <f>IF(5&lt;=$AP$4,IF($AP$1="P",DAY($AP$3+4),5),"")</f>
        <v/>
      </c>
      <c r="J4" s="4">
        <f>IF(6&lt;=$AP$4,IF($AP$1="P",DAY($AP$3+5),6),"")</f>
        <v/>
      </c>
      <c r="K4" s="4">
        <f>IF(7&lt;=$AP$4,IF($AP$1="P",DAY($AP$3+6),7),"")</f>
        <v/>
      </c>
      <c r="L4" s="3">
        <f>IF(8&lt;=$AP$4,IF($AP$1="P",DAY($AP$3+7),8),"")</f>
        <v/>
      </c>
      <c r="M4" s="4">
        <f>IF(9&lt;=$AP$4,IF($AP$1="P",DAY($AP$3+8),9),"")</f>
        <v/>
      </c>
      <c r="N4" s="2">
        <f>IF(10&lt;=$AP$4,IF($AP$1="P",DAY($AP$3+9),10),"")</f>
        <v/>
      </c>
      <c r="O4" s="2">
        <f>IF(11&lt;=$AP$4,IF($AP$1="P",DAY($AP$3+10),11),"")</f>
        <v/>
      </c>
      <c r="P4" s="2">
        <f>IF(12&lt;=$AP$4,IF($AP$1="P",DAY($AP$3+11),12),"")</f>
        <v/>
      </c>
      <c r="Q4" s="2">
        <f>IF(13&lt;=$AP$4,IF($AP$1="P",DAY($AP$3+12),13),"")</f>
        <v/>
      </c>
      <c r="R4" s="2">
        <f>IF(14&lt;=$AP$4,IF($AP$1="P",DAY($AP$3+13),14),"")</f>
        <v/>
      </c>
      <c r="S4" s="2">
        <f>IF(15&lt;=$AP$4,IF($AP$1="P",DAY($AP$3+14),15),"")</f>
        <v/>
      </c>
      <c r="T4" s="2">
        <f>IF(16&lt;=$AP$4,IF($AP$1="P",DAY($AP$3+15),16),"")</f>
        <v/>
      </c>
      <c r="U4" s="2">
        <f>IF(17&lt;=$AP$4,IF($AP$1="P",DAY($AP$3+16),17),"")</f>
        <v/>
      </c>
      <c r="V4" s="2">
        <f>IF(18&lt;=$AP$4,IF($AP$1="P",DAY($AP$3+17),18),"")</f>
        <v/>
      </c>
      <c r="W4" s="2">
        <f>IF(19&lt;=$AP$4,IF($AP$1="P",DAY($AP$3+18),19),"")</f>
        <v/>
      </c>
      <c r="X4" s="2">
        <f>IF(20&lt;=$AP$4,IF($AP$1="P",DAY($AP$3+19),20),"")</f>
        <v/>
      </c>
      <c r="Y4" s="2">
        <f>IF(21&lt;=$AP$4,IF($AP$1="P",DAY($AP$3+20),21),"")</f>
        <v/>
      </c>
      <c r="Z4" s="2">
        <f>IF(22&lt;=$AP$4,IF($AP$1="P",DAY($AP$3+21),22),"")</f>
        <v/>
      </c>
      <c r="AA4" s="2">
        <f>IF(23&lt;=$AP$4,IF($AP$1="P",DAY($AP$3+22),23),"")</f>
        <v/>
      </c>
      <c r="AB4" s="2">
        <f>IF(24&lt;=$AP$4,IF($AP$1="P",DAY($AP$3+23),24),"")</f>
        <v/>
      </c>
      <c r="AC4" s="2">
        <f>IF(25&lt;=$AP$4,IF($AP$1="P",DAY($AP$3+24),25),"")</f>
        <v/>
      </c>
      <c r="AD4" s="2">
        <f>IF(26&lt;=$AP$4,IF($AP$1="P",DAY($AP$3+25),26),"")</f>
        <v/>
      </c>
      <c r="AE4" s="2">
        <f>IF(27&lt;=$AP$4,IF($AP$1="P",DAY($AP$3+26),27),"")</f>
        <v/>
      </c>
      <c r="AF4" s="2">
        <f>IF(28&lt;=$AP$4,IF($AP$1="P",DAY($AP$3+27),28),"")</f>
        <v/>
      </c>
      <c r="AG4" s="2">
        <f>IF(29&lt;=$AP$4,IF($AP$1="P",DAY($AP$3+28),29),"")</f>
        <v/>
      </c>
      <c r="AH4" s="25">
        <f>IF(30&lt;=$AP$4,IF($AP$1="P",DAY($AP$3+29),30),"")</f>
        <v/>
      </c>
      <c r="AI4" s="22">
        <f>IF(31&lt;=$AP$4,IF($AP$1="P",DAY($AP$3+30),31),"")</f>
        <v/>
      </c>
      <c r="AP4">
        <f>IF($AP$1="P",MIN(31,IF(ISNUMBER($B$97),$B$97,30)),DAY(EOMONTH($AP$3,0)))</f>
        <v/>
      </c>
    </row>
    <row r="5" ht="16.2" customHeight="1" thickBot="1">
      <c r="A5" s="110">
        <f>IF($C5="","",ROW()-4)</f>
        <v/>
      </c>
      <c r="B5" s="111" t="n"/>
      <c r="C5" s="112" t="n"/>
      <c r="D5" s="113" t="n"/>
      <c r="E5" s="114" t="n"/>
      <c r="F5" s="114" t="n"/>
      <c r="G5" s="115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  <c r="T5" s="114" t="n"/>
      <c r="U5" s="114" t="n"/>
      <c r="V5" s="114" t="n"/>
      <c r="W5" s="114" t="n"/>
      <c r="X5" s="114" t="n"/>
      <c r="Y5" s="114" t="n"/>
      <c r="Z5" s="114" t="n"/>
      <c r="AA5" s="114" t="n"/>
      <c r="AB5" s="114" t="n"/>
      <c r="AC5" s="114" t="n"/>
      <c r="AD5" s="114" t="n"/>
      <c r="AE5" s="114" t="n"/>
      <c r="AF5" s="114" t="n"/>
      <c r="AG5" s="114" t="n"/>
      <c r="AH5" s="116" t="n"/>
      <c r="AI5" s="117" t="n"/>
      <c r="AP5">
        <f>IF(ISNUMBER($B$96),$B$96,IFERROR(DATEVALUE(TRIM($B$96&amp;"")),""))</f>
        <v/>
      </c>
    </row>
    <row r="6" ht="16.2" customHeight="1" thickBot="1">
      <c r="A6" s="110">
        <f>IF($C6="","",ROW()-4)</f>
        <v/>
      </c>
      <c r="B6" s="111" t="n"/>
      <c r="C6" s="112" t="n"/>
      <c r="D6" s="111" t="n"/>
      <c r="E6" s="114" t="n"/>
      <c r="F6" s="114" t="n"/>
      <c r="G6" s="115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  <c r="AB6" s="114" t="n"/>
      <c r="AC6" s="114" t="n"/>
      <c r="AD6" s="114" t="n"/>
      <c r="AE6" s="114" t="n"/>
      <c r="AF6" s="114" t="n"/>
      <c r="AG6" s="114" t="n"/>
      <c r="AH6" s="116" t="n"/>
      <c r="AI6" s="117" t="n"/>
    </row>
    <row r="7" ht="16.2" customHeight="1" thickBot="1">
      <c r="A7" s="110">
        <f>IF($C7="","",ROW()-4)</f>
        <v/>
      </c>
      <c r="B7" s="111" t="n"/>
      <c r="C7" s="112" t="n"/>
      <c r="D7" s="111" t="n"/>
      <c r="E7" s="114" t="n"/>
      <c r="F7" s="114" t="n"/>
      <c r="G7" s="115" t="n"/>
      <c r="H7" s="114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  <c r="AB7" s="114" t="n"/>
      <c r="AC7" s="114" t="n"/>
      <c r="AD7" s="114" t="n"/>
      <c r="AE7" s="114" t="n"/>
      <c r="AF7" s="114" t="n"/>
      <c r="AG7" s="114" t="n"/>
      <c r="AH7" s="116" t="n"/>
      <c r="AI7" s="117" t="n"/>
    </row>
    <row r="8" ht="16.2" customHeight="1" thickBot="1">
      <c r="A8" s="110">
        <f>IF($C8="","",ROW()-4)</f>
        <v/>
      </c>
      <c r="B8" s="111" t="n"/>
      <c r="C8" s="112" t="n"/>
      <c r="D8" s="111" t="n"/>
      <c r="E8" s="114" t="n"/>
      <c r="F8" s="114" t="n"/>
      <c r="G8" s="115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114" t="n"/>
      <c r="AF8" s="114" t="n"/>
      <c r="AG8" s="114" t="n"/>
      <c r="AH8" s="116" t="n"/>
      <c r="AI8" s="117" t="n"/>
    </row>
    <row r="9" ht="16.2" customHeight="1" thickBot="1">
      <c r="A9" s="110">
        <f>IF($C9="","",ROW()-4)</f>
        <v/>
      </c>
      <c r="B9" s="111" t="n"/>
      <c r="C9" s="112" t="n"/>
      <c r="D9" s="111" t="n"/>
      <c r="E9" s="114" t="n"/>
      <c r="F9" s="114" t="n"/>
      <c r="G9" s="115" t="n"/>
      <c r="H9" s="114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14" t="n"/>
      <c r="AF9" s="114" t="n"/>
      <c r="AG9" s="114" t="n"/>
      <c r="AH9" s="116" t="n"/>
      <c r="AI9" s="117" t="n"/>
    </row>
    <row r="10" ht="16.2" customHeight="1" thickBot="1">
      <c r="A10" s="110">
        <f>IF($C10="","",ROW()-4)</f>
        <v/>
      </c>
      <c r="B10" s="111" t="n"/>
      <c r="C10" s="112" t="n"/>
      <c r="D10" s="111" t="n"/>
      <c r="E10" s="114" t="n"/>
      <c r="F10" s="114" t="n"/>
      <c r="G10" s="115" t="n"/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  <c r="AB10" s="114" t="n"/>
      <c r="AC10" s="114" t="n"/>
      <c r="AD10" s="114" t="n"/>
      <c r="AE10" s="114" t="n"/>
      <c r="AF10" s="114" t="n"/>
      <c r="AG10" s="114" t="n"/>
      <c r="AH10" s="116" t="n"/>
      <c r="AI10" s="117" t="n"/>
    </row>
    <row r="11" ht="16.2" customHeight="1" thickBot="1">
      <c r="A11" s="110">
        <f>IF($C11="","",ROW()-4)</f>
        <v/>
      </c>
      <c r="B11" s="111" t="n"/>
      <c r="C11" s="112" t="n"/>
      <c r="D11" s="111" t="n"/>
      <c r="E11" s="114" t="n"/>
      <c r="F11" s="114" t="n"/>
      <c r="G11" s="115" t="n"/>
      <c r="H11" s="114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  <c r="AD11" s="114" t="n"/>
      <c r="AE11" s="114" t="n"/>
      <c r="AF11" s="114" t="n"/>
      <c r="AG11" s="114" t="n"/>
      <c r="AH11" s="116" t="n"/>
      <c r="AI11" s="117" t="n"/>
    </row>
    <row r="12" ht="16.2" customHeight="1" thickBot="1">
      <c r="A12" s="110">
        <f>IF($C12="","",ROW()-4)</f>
        <v/>
      </c>
      <c r="B12" s="111" t="n"/>
      <c r="C12" s="112" t="n"/>
      <c r="D12" s="111" t="n"/>
      <c r="E12" s="114" t="n"/>
      <c r="F12" s="114" t="n"/>
      <c r="G12" s="115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  <c r="AB12" s="114" t="n"/>
      <c r="AC12" s="114" t="n"/>
      <c r="AD12" s="114" t="n"/>
      <c r="AE12" s="114" t="n"/>
      <c r="AF12" s="114" t="n"/>
      <c r="AG12" s="114" t="n"/>
      <c r="AH12" s="116" t="n"/>
      <c r="AI12" s="117" t="n"/>
    </row>
    <row r="13" ht="16.2" customHeight="1" thickBot="1">
      <c r="A13" s="110">
        <f>IF($C13="","",ROW()-4)</f>
        <v/>
      </c>
      <c r="B13" s="111" t="n"/>
      <c r="C13" s="112" t="n"/>
      <c r="D13" s="111" t="n"/>
      <c r="E13" s="114" t="n"/>
      <c r="F13" s="114" t="n"/>
      <c r="G13" s="115" t="n"/>
      <c r="H13" s="114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  <c r="AB13" s="114" t="n"/>
      <c r="AC13" s="114" t="n"/>
      <c r="AD13" s="114" t="n"/>
      <c r="AE13" s="114" t="n"/>
      <c r="AF13" s="114" t="n"/>
      <c r="AG13" s="114" t="n"/>
      <c r="AH13" s="116" t="n"/>
      <c r="AI13" s="117" t="n"/>
    </row>
    <row r="14" ht="16.2" customHeight="1" thickBot="1">
      <c r="A14" s="110">
        <f>IF($C14="","",ROW()-4)</f>
        <v/>
      </c>
      <c r="B14" s="111" t="n"/>
      <c r="C14" s="112" t="n"/>
      <c r="D14" s="111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8" t="n"/>
      <c r="AC14" s="118" t="n"/>
      <c r="AD14" s="118" t="n"/>
      <c r="AE14" s="118" t="n"/>
      <c r="AF14" s="118" t="n"/>
      <c r="AG14" s="118" t="n"/>
      <c r="AH14" s="118" t="n"/>
      <c r="AI14" s="117" t="n"/>
    </row>
    <row r="15" ht="16.2" customHeight="1" thickBot="1">
      <c r="A15" s="110">
        <f>IF($C15="","",ROW()-4)</f>
        <v/>
      </c>
      <c r="B15" s="111" t="n"/>
      <c r="C15" s="112" t="n"/>
      <c r="D15" s="111" t="n"/>
      <c r="E15" s="114" t="n"/>
      <c r="F15" s="114" t="n"/>
      <c r="G15" s="115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  <c r="AB15" s="114" t="n"/>
      <c r="AC15" s="114" t="n"/>
      <c r="AD15" s="114" t="n"/>
      <c r="AE15" s="114" t="n"/>
      <c r="AF15" s="114" t="n"/>
      <c r="AG15" s="114" t="n"/>
      <c r="AH15" s="116" t="n"/>
      <c r="AI15" s="117" t="n"/>
    </row>
    <row r="16" ht="16.2" customHeight="1" thickBot="1">
      <c r="A16" s="110">
        <f>IF($C16="","",ROW()-4)</f>
        <v/>
      </c>
      <c r="B16" s="111" t="n"/>
      <c r="C16" s="112" t="n"/>
      <c r="D16" s="119" t="n"/>
      <c r="E16" s="114" t="n"/>
      <c r="F16" s="114" t="n"/>
      <c r="G16" s="115" t="n"/>
      <c r="H16" s="114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  <c r="AH16" s="116" t="n"/>
      <c r="AI16" s="117" t="n"/>
    </row>
    <row r="17" ht="16.2" customHeight="1" thickBot="1">
      <c r="A17" s="110">
        <f>IF($C17="","",ROW()-4)</f>
        <v/>
      </c>
      <c r="B17" s="111" t="n"/>
      <c r="C17" s="112" t="n"/>
      <c r="D17" s="111" t="n"/>
      <c r="E17" s="114" t="n"/>
      <c r="F17" s="114" t="n"/>
      <c r="G17" s="115" t="n"/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  <c r="AB17" s="114" t="n"/>
      <c r="AC17" s="114" t="n"/>
      <c r="AD17" s="114" t="n"/>
      <c r="AE17" s="114" t="n"/>
      <c r="AF17" s="114" t="n"/>
      <c r="AG17" s="114" t="n"/>
      <c r="AH17" s="116" t="n"/>
      <c r="AI17" s="117" t="n"/>
    </row>
    <row r="18" ht="16.2" customHeight="1" thickBot="1">
      <c r="A18" s="110">
        <f>IF($C18="","",ROW()-4)</f>
        <v/>
      </c>
      <c r="B18" s="111" t="n"/>
      <c r="C18" s="112" t="n"/>
      <c r="D18" s="119" t="n"/>
      <c r="E18" s="114" t="n"/>
      <c r="F18" s="114" t="n"/>
      <c r="G18" s="115" t="n"/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  <c r="AB18" s="114" t="n"/>
      <c r="AC18" s="114" t="n"/>
      <c r="AD18" s="114" t="n"/>
      <c r="AE18" s="114" t="n"/>
      <c r="AF18" s="114" t="n"/>
      <c r="AG18" s="114" t="n"/>
      <c r="AH18" s="116" t="n"/>
      <c r="AI18" s="117" t="n"/>
    </row>
    <row r="19" ht="16.2" customHeight="1" thickBot="1">
      <c r="A19" s="110">
        <f>IF($C19="","",ROW()-4)</f>
        <v/>
      </c>
      <c r="B19" s="111" t="n"/>
      <c r="C19" s="112" t="n"/>
      <c r="D19" s="111" t="n"/>
      <c r="E19" s="114" t="n"/>
      <c r="F19" s="114" t="n"/>
      <c r="G19" s="115" t="n"/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4" t="n"/>
      <c r="AF19" s="114" t="n"/>
      <c r="AG19" s="114" t="n"/>
      <c r="AH19" s="116" t="n"/>
      <c r="AI19" s="117" t="n"/>
    </row>
    <row r="20" ht="16.2" customHeight="1" thickBot="1">
      <c r="A20" s="110">
        <f>IF($C20="","",ROW()-4)</f>
        <v/>
      </c>
      <c r="B20" s="111" t="n"/>
      <c r="C20" s="112" t="n"/>
      <c r="D20" s="111" t="n"/>
      <c r="E20" s="120" t="n"/>
      <c r="F20" s="120" t="n"/>
      <c r="G20" s="121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B20" s="120" t="n"/>
      <c r="AC20" s="120" t="n"/>
      <c r="AD20" s="120" t="n"/>
      <c r="AE20" s="120" t="n"/>
      <c r="AF20" s="120" t="n"/>
      <c r="AG20" s="120" t="n"/>
      <c r="AH20" s="122" t="n"/>
      <c r="AI20" s="117" t="n"/>
    </row>
    <row r="21" ht="16.2" customHeight="1" thickBot="1">
      <c r="A21" s="12" t="n"/>
      <c r="C21" s="13" t="n"/>
      <c r="D21" s="13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15" customHeight="1" thickBot="1">
      <c r="A22" s="74" t="inlineStr">
        <is>
          <t>CREW 2</t>
        </is>
      </c>
      <c r="B22" s="123" t="n"/>
      <c r="C22" s="123" t="n"/>
      <c r="D22" s="123" t="n"/>
      <c r="E22" s="30">
        <f>IF(1&lt;=$AP$4,TEXT($AP$3+0,"ddd"),"")</f>
        <v/>
      </c>
      <c r="F22" s="30">
        <f>IF(2&lt;=$AP$4,TEXT($AP$3+1,"ddd"),"")</f>
        <v/>
      </c>
      <c r="G22" s="30">
        <f>IF(3&lt;=$AP$4,TEXT($AP$3+2,"ddd"),"")</f>
        <v/>
      </c>
      <c r="H22" s="30">
        <f>IF(4&lt;=$AP$4,TEXT($AP$3+3,"ddd"),"")</f>
        <v/>
      </c>
      <c r="I22" s="30">
        <f>IF(5&lt;=$AP$4,TEXT($AP$3+4,"ddd"),"")</f>
        <v/>
      </c>
      <c r="J22" s="30">
        <f>IF(6&lt;=$AP$4,TEXT($AP$3+5,"ddd"),"")</f>
        <v/>
      </c>
      <c r="K22" s="30">
        <f>IF(7&lt;=$AP$4,TEXT($AP$3+6,"ddd"),"")</f>
        <v/>
      </c>
      <c r="L22" s="30">
        <f>IF(8&lt;=$AP$4,TEXT($AP$3+7,"ddd"),"")</f>
        <v/>
      </c>
      <c r="M22" s="30">
        <f>IF(9&lt;=$AP$4,TEXT($AP$3+8,"ddd"),"")</f>
        <v/>
      </c>
      <c r="N22" s="30">
        <f>IF(10&lt;=$AP$4,TEXT($AP$3+9,"ddd"),"")</f>
        <v/>
      </c>
      <c r="O22" s="30">
        <f>IF(11&lt;=$AP$4,TEXT($AP$3+10,"ddd"),"")</f>
        <v/>
      </c>
      <c r="P22" s="30">
        <f>IF(12&lt;=$AP$4,TEXT($AP$3+11,"ddd"),"")</f>
        <v/>
      </c>
      <c r="Q22" s="30">
        <f>IF(13&lt;=$AP$4,TEXT($AP$3+12,"ddd"),"")</f>
        <v/>
      </c>
      <c r="R22" s="30">
        <f>IF(14&lt;=$AP$4,TEXT($AP$3+13,"ddd"),"")</f>
        <v/>
      </c>
      <c r="S22" s="30">
        <f>IF(15&lt;=$AP$4,TEXT($AP$3+14,"ddd"),"")</f>
        <v/>
      </c>
      <c r="T22" s="30">
        <f>IF(16&lt;=$AP$4,TEXT($AP$3+15,"ddd"),"")</f>
        <v/>
      </c>
      <c r="U22" s="30">
        <f>IF(17&lt;=$AP$4,TEXT($AP$3+16,"ddd"),"")</f>
        <v/>
      </c>
      <c r="V22" s="30">
        <f>IF(18&lt;=$AP$4,TEXT($AP$3+17,"ddd"),"")</f>
        <v/>
      </c>
      <c r="W22" s="30">
        <f>IF(19&lt;=$AP$4,TEXT($AP$3+18,"ddd"),"")</f>
        <v/>
      </c>
      <c r="X22" s="30">
        <f>IF(20&lt;=$AP$4,TEXT($AP$3+19,"ddd"),"")</f>
        <v/>
      </c>
      <c r="Y22" s="30">
        <f>IF(21&lt;=$AP$4,TEXT($AP$3+20,"ddd"),"")</f>
        <v/>
      </c>
      <c r="Z22" s="30">
        <f>IF(22&lt;=$AP$4,TEXT($AP$3+21,"ddd"),"")</f>
        <v/>
      </c>
      <c r="AA22" s="30">
        <f>IF(23&lt;=$AP$4,TEXT($AP$3+22,"ddd"),"")</f>
        <v/>
      </c>
      <c r="AB22" s="30">
        <f>IF(24&lt;=$AP$4,TEXT($AP$3+23,"ddd"),"")</f>
        <v/>
      </c>
      <c r="AC22" s="30">
        <f>IF(25&lt;=$AP$4,TEXT($AP$3+24,"ddd"),"")</f>
        <v/>
      </c>
      <c r="AD22" s="30">
        <f>IF(26&lt;=$AP$4,TEXT($AP$3+25,"ddd"),"")</f>
        <v/>
      </c>
      <c r="AE22" s="30">
        <f>IF(27&lt;=$AP$4,TEXT($AP$3+26,"ddd"),"")</f>
        <v/>
      </c>
      <c r="AF22" s="30">
        <f>IF(28&lt;=$AP$4,TEXT($AP$3+27,"ddd"),"")</f>
        <v/>
      </c>
      <c r="AG22" s="30">
        <f>IF(29&lt;=$AP$4,TEXT($AP$3+28,"ddd"),"")</f>
        <v/>
      </c>
      <c r="AH22" s="30">
        <f>IF(30&lt;=$AP$4,TEXT($AP$3+29,"ddd"),"")</f>
        <v/>
      </c>
      <c r="AI22" s="31">
        <f>IF(31&lt;=$AP$4,TEXT($AP$3+30,"ddd"),"")</f>
        <v/>
      </c>
    </row>
    <row r="23" ht="16.2" customHeight="1" thickBot="1">
      <c r="A23" s="124" t="n"/>
      <c r="B23" s="125" t="n"/>
      <c r="C23" s="125" t="n"/>
      <c r="D23" s="125" t="n"/>
      <c r="E23" s="2">
        <f>IF(1&lt;=$AP$4,IF($AP$1="P",DAY($AP$3+0),1),"")</f>
        <v/>
      </c>
      <c r="F23" s="2">
        <f>IF(2&lt;=$AP$4,IF($AP$1="P",DAY($AP$3+1),2),"")</f>
        <v/>
      </c>
      <c r="G23" s="2">
        <f>IF(3&lt;=$AP$4,IF($AP$1="P",DAY($AP$3+2),3),"")</f>
        <v/>
      </c>
      <c r="H23" s="2">
        <f>IF(4&lt;=$AP$4,IF($AP$1="P",DAY($AP$3+3),4),"")</f>
        <v/>
      </c>
      <c r="I23" s="3">
        <f>IF(5&lt;=$AP$4,IF($AP$1="P",DAY($AP$3+4),5),"")</f>
        <v/>
      </c>
      <c r="J23" s="4">
        <f>IF(6&lt;=$AP$4,IF($AP$1="P",DAY($AP$3+5),6),"")</f>
        <v/>
      </c>
      <c r="K23" s="4">
        <f>IF(7&lt;=$AP$4,IF($AP$1="P",DAY($AP$3+6),7),"")</f>
        <v/>
      </c>
      <c r="L23" s="3">
        <f>IF(8&lt;=$AP$4,IF($AP$1="P",DAY($AP$3+7),8),"")</f>
        <v/>
      </c>
      <c r="M23" s="4">
        <f>IF(9&lt;=$AP$4,IF($AP$1="P",DAY($AP$3+8),9),"")</f>
        <v/>
      </c>
      <c r="N23" s="2">
        <f>IF(10&lt;=$AP$4,IF($AP$1="P",DAY($AP$3+9),10),"")</f>
        <v/>
      </c>
      <c r="O23" s="2">
        <f>IF(11&lt;=$AP$4,IF($AP$1="P",DAY($AP$3+10),11),"")</f>
        <v/>
      </c>
      <c r="P23" s="2">
        <f>IF(12&lt;=$AP$4,IF($AP$1="P",DAY($AP$3+11),12),"")</f>
        <v/>
      </c>
      <c r="Q23" s="2">
        <f>IF(13&lt;=$AP$4,IF($AP$1="P",DAY($AP$3+12),13),"")</f>
        <v/>
      </c>
      <c r="R23" s="2">
        <f>IF(14&lt;=$AP$4,IF($AP$1="P",DAY($AP$3+13),14),"")</f>
        <v/>
      </c>
      <c r="S23" s="2">
        <f>IF(15&lt;=$AP$4,IF($AP$1="P",DAY($AP$3+14),15),"")</f>
        <v/>
      </c>
      <c r="T23" s="2">
        <f>IF(16&lt;=$AP$4,IF($AP$1="P",DAY($AP$3+15),16),"")</f>
        <v/>
      </c>
      <c r="U23" s="2">
        <f>IF(17&lt;=$AP$4,IF($AP$1="P",DAY($AP$3+16),17),"")</f>
        <v/>
      </c>
      <c r="V23" s="2">
        <f>IF(18&lt;=$AP$4,IF($AP$1="P",DAY($AP$3+17),18),"")</f>
        <v/>
      </c>
      <c r="W23" s="2">
        <f>IF(19&lt;=$AP$4,IF($AP$1="P",DAY($AP$3+18),19),"")</f>
        <v/>
      </c>
      <c r="X23" s="2">
        <f>IF(20&lt;=$AP$4,IF($AP$1="P",DAY($AP$3+19),20),"")</f>
        <v/>
      </c>
      <c r="Y23" s="2">
        <f>IF(21&lt;=$AP$4,IF($AP$1="P",DAY($AP$3+20),21),"")</f>
        <v/>
      </c>
      <c r="Z23" s="2">
        <f>IF(22&lt;=$AP$4,IF($AP$1="P",DAY($AP$3+21),22),"")</f>
        <v/>
      </c>
      <c r="AA23" s="2">
        <f>IF(23&lt;=$AP$4,IF($AP$1="P",DAY($AP$3+22),23),"")</f>
        <v/>
      </c>
      <c r="AB23" s="2">
        <f>IF(24&lt;=$AP$4,IF($AP$1="P",DAY($AP$3+23),24),"")</f>
        <v/>
      </c>
      <c r="AC23" s="2">
        <f>IF(25&lt;=$AP$4,IF($AP$1="P",DAY($AP$3+24),25),"")</f>
        <v/>
      </c>
      <c r="AD23" s="2">
        <f>IF(26&lt;=$AP$4,IF($AP$1="P",DAY($AP$3+25),26),"")</f>
        <v/>
      </c>
      <c r="AE23" s="2">
        <f>IF(27&lt;=$AP$4,IF($AP$1="P",DAY($AP$3+26),27),"")</f>
        <v/>
      </c>
      <c r="AF23" s="2">
        <f>IF(28&lt;=$AP$4,IF($AP$1="P",DAY($AP$3+27),28),"")</f>
        <v/>
      </c>
      <c r="AG23" s="2">
        <f>IF(29&lt;=$AP$4,IF($AP$1="P",DAY($AP$3+28),29),"")</f>
        <v/>
      </c>
      <c r="AH23" s="2">
        <f>IF(30&lt;=$AP$4,IF($AP$1="P",DAY($AP$3+29),30),"")</f>
        <v/>
      </c>
      <c r="AI23" s="25">
        <f>IF(31&lt;=$AP$4,IF($AP$1="P",DAY($AP$3+30),31),"")</f>
        <v/>
      </c>
    </row>
    <row r="24" ht="16.2" customHeight="1" thickBot="1">
      <c r="A24" s="110">
        <f>IF($C24="","",ROW()-23)</f>
        <v/>
      </c>
      <c r="B24" s="111" t="n"/>
      <c r="C24" s="112" t="n"/>
      <c r="D24" s="111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  <c r="AH24" s="114" t="n"/>
      <c r="AI24" s="116" t="n"/>
    </row>
    <row r="25" ht="16.2" customHeight="1" thickBot="1">
      <c r="A25" s="110">
        <f>IF($C25="","",ROW()-23)</f>
        <v/>
      </c>
      <c r="B25" s="111" t="n"/>
      <c r="C25" s="112" t="n"/>
      <c r="D25" s="111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  <c r="AB25" s="114" t="n"/>
      <c r="AC25" s="114" t="n"/>
      <c r="AD25" s="114" t="n"/>
      <c r="AE25" s="114" t="n"/>
      <c r="AF25" s="114" t="n"/>
      <c r="AG25" s="114" t="n"/>
      <c r="AH25" s="114" t="n"/>
      <c r="AI25" s="116" t="n"/>
    </row>
    <row r="26" ht="16.2" customHeight="1" thickBot="1">
      <c r="A26" s="110">
        <f>IF($C26="","",ROW()-23)</f>
        <v/>
      </c>
      <c r="B26" s="111" t="n"/>
      <c r="C26" s="112" t="n"/>
      <c r="D26" s="113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  <c r="AB26" s="114" t="n"/>
      <c r="AC26" s="114" t="n"/>
      <c r="AD26" s="114" t="n"/>
      <c r="AE26" s="114" t="n"/>
      <c r="AF26" s="114" t="n"/>
      <c r="AG26" s="114" t="n"/>
      <c r="AH26" s="114" t="n"/>
      <c r="AI26" s="116" t="n"/>
    </row>
    <row r="27" ht="16.2" customHeight="1" thickBot="1">
      <c r="A27" s="110">
        <f>IF($C27="","",ROW()-23)</f>
        <v/>
      </c>
      <c r="B27" s="111" t="n"/>
      <c r="C27" s="112" t="n"/>
      <c r="D27" s="113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  <c r="AB27" s="114" t="n"/>
      <c r="AC27" s="114" t="n"/>
      <c r="AD27" s="114" t="n"/>
      <c r="AE27" s="114" t="n"/>
      <c r="AF27" s="114" t="n"/>
      <c r="AG27" s="114" t="n"/>
      <c r="AH27" s="114" t="n"/>
      <c r="AI27" s="116" t="n"/>
    </row>
    <row r="28" ht="16.2" customHeight="1" thickBot="1">
      <c r="A28" s="110">
        <f>IF($C28="","",ROW()-23)</f>
        <v/>
      </c>
      <c r="B28" s="111" t="n"/>
      <c r="C28" s="112" t="n"/>
      <c r="D28" s="113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  <c r="AB28" s="114" t="n"/>
      <c r="AC28" s="114" t="n"/>
      <c r="AD28" s="114" t="n"/>
      <c r="AE28" s="114" t="n"/>
      <c r="AF28" s="114" t="n"/>
      <c r="AG28" s="114" t="n"/>
      <c r="AH28" s="114" t="n"/>
      <c r="AI28" s="116" t="n"/>
    </row>
    <row r="29" ht="16.2" customHeight="1" thickBot="1">
      <c r="A29" s="110">
        <f>IF($C29="","",ROW()-23)</f>
        <v/>
      </c>
      <c r="B29" s="111" t="n"/>
      <c r="C29" s="112" t="n"/>
      <c r="D29" s="111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  <c r="AB29" s="114" t="n"/>
      <c r="AC29" s="114" t="n"/>
      <c r="AD29" s="114" t="n"/>
      <c r="AE29" s="114" t="n"/>
      <c r="AF29" s="114" t="n"/>
      <c r="AG29" s="114" t="n"/>
      <c r="AH29" s="114" t="n"/>
      <c r="AI29" s="116" t="n"/>
    </row>
    <row r="30" ht="16.2" customHeight="1" thickBot="1">
      <c r="A30" s="110">
        <f>IF($C30="","",ROW()-23)</f>
        <v/>
      </c>
      <c r="B30" s="111" t="n"/>
      <c r="C30" s="112" t="n"/>
      <c r="D30" s="111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14" t="n"/>
      <c r="AF30" s="114" t="n"/>
      <c r="AG30" s="114" t="n"/>
      <c r="AH30" s="114" t="n"/>
      <c r="AI30" s="116" t="n"/>
    </row>
    <row r="31" ht="16.2" customHeight="1" thickBot="1">
      <c r="A31" s="110">
        <f>IF($C31="","",ROW()-23)</f>
        <v/>
      </c>
      <c r="B31" s="111" t="n"/>
      <c r="C31" s="112" t="n"/>
      <c r="D31" s="111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14" t="n"/>
      <c r="AH31" s="114" t="n"/>
      <c r="AI31" s="116" t="n"/>
    </row>
    <row r="32" ht="16.2" customHeight="1" thickBot="1">
      <c r="A32" s="110">
        <f>IF($C32="","",ROW()-23)</f>
        <v/>
      </c>
      <c r="B32" s="111" t="n"/>
      <c r="C32" s="112" t="n"/>
      <c r="D32" s="111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14" t="n"/>
      <c r="AH32" s="114" t="n"/>
      <c r="AI32" s="116" t="n"/>
    </row>
    <row r="33" ht="16.2" customHeight="1" thickBot="1">
      <c r="A33" s="110">
        <f>IF($C33="","",ROW()-23)</f>
        <v/>
      </c>
      <c r="B33" s="111" t="n"/>
      <c r="C33" s="112" t="n"/>
      <c r="D33" s="111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  <c r="AH33" s="114" t="n"/>
      <c r="AI33" s="116" t="n"/>
    </row>
    <row r="34" ht="16.2" customHeight="1" thickBot="1">
      <c r="A34" s="110">
        <f>IF($C34="","",ROW()-23)</f>
        <v/>
      </c>
      <c r="B34" s="111" t="n"/>
      <c r="C34" s="112" t="n"/>
      <c r="D34" s="111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  <c r="AH34" s="114" t="n"/>
      <c r="AI34" s="116" t="n"/>
    </row>
    <row r="35" ht="16.2" customHeight="1" thickBot="1">
      <c r="A35" s="110">
        <f>IF($C35="","",ROW()-23)</f>
        <v/>
      </c>
      <c r="B35" s="111" t="n"/>
      <c r="C35" s="112" t="n"/>
      <c r="D35" s="111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14" t="n"/>
      <c r="AD35" s="114" t="n"/>
      <c r="AE35" s="114" t="n"/>
      <c r="AF35" s="114" t="n"/>
      <c r="AG35" s="114" t="n"/>
      <c r="AH35" s="114" t="n"/>
      <c r="AI35" s="116" t="n"/>
    </row>
    <row r="36" ht="16.2" customHeight="1" thickBot="1">
      <c r="A36" s="110">
        <f>IF($C36="","",ROW()-23)</f>
        <v/>
      </c>
      <c r="B36" s="111" t="n"/>
      <c r="C36" s="112" t="n"/>
      <c r="D36" s="111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  <c r="AB36" s="114" t="n"/>
      <c r="AC36" s="114" t="n"/>
      <c r="AD36" s="114" t="n"/>
      <c r="AE36" s="114" t="n"/>
      <c r="AF36" s="114" t="n"/>
      <c r="AG36" s="114" t="n"/>
      <c r="AH36" s="114" t="n"/>
      <c r="AI36" s="116" t="n"/>
    </row>
    <row r="37" ht="16.2" customHeight="1" thickBot="1">
      <c r="A37" s="110">
        <f>IF($C37="","",ROW()-23)</f>
        <v/>
      </c>
      <c r="B37" s="111" t="n"/>
      <c r="C37" s="112" t="n"/>
      <c r="D37" s="111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  <c r="AD37" s="114" t="n"/>
      <c r="AE37" s="114" t="n"/>
      <c r="AF37" s="114" t="n"/>
      <c r="AG37" s="114" t="n"/>
      <c r="AH37" s="114" t="n"/>
      <c r="AI37" s="116" t="n"/>
    </row>
    <row r="38" ht="16.2" customHeight="1" thickBot="1">
      <c r="A38" s="110">
        <f>IF($C38="","",ROW()-23)</f>
        <v/>
      </c>
      <c r="B38" s="111" t="n"/>
      <c r="C38" s="112" t="n"/>
      <c r="D38" s="111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  <c r="AH38" s="114" t="n"/>
      <c r="AI38" s="116" t="n"/>
    </row>
    <row r="39" ht="16.2" customHeight="1" thickBot="1">
      <c r="A39" s="110">
        <f>IF($C39="","",ROW()-23)</f>
        <v/>
      </c>
      <c r="B39" s="111" t="n"/>
      <c r="C39" s="112" t="n"/>
      <c r="D39" s="111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6" t="n"/>
    </row>
    <row r="40" ht="16.2" customHeight="1" thickBot="1">
      <c r="A40" s="110">
        <f>IF($C40="","",ROW()-23)</f>
        <v/>
      </c>
      <c r="B40" s="111" t="n"/>
      <c r="C40" s="112" t="n"/>
      <c r="D40" s="111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  <c r="X40" s="120" t="n"/>
      <c r="Y40" s="120" t="n"/>
      <c r="Z40" s="120" t="n"/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2" t="n"/>
    </row>
    <row r="41" ht="15" customHeight="1" thickBot="1"/>
    <row r="42" ht="15" customHeight="1" thickBot="1">
      <c r="A42" s="126" t="inlineStr">
        <is>
          <t>SPECIAL SHIFTING</t>
        </is>
      </c>
      <c r="B42" s="123" t="n"/>
      <c r="C42" s="123" t="n"/>
      <c r="D42" s="127" t="n"/>
      <c r="E42" s="1">
        <f>IF(1&lt;=$AP$4,TEXT($AP$3+0,"ddd"),"")</f>
        <v/>
      </c>
      <c r="F42" s="1">
        <f>IF(2&lt;=$AP$4,TEXT($AP$3+1,"ddd"),"")</f>
        <v/>
      </c>
      <c r="G42" s="1">
        <f>IF(3&lt;=$AP$4,TEXT($AP$3+2,"ddd"),"")</f>
        <v/>
      </c>
      <c r="H42" s="1">
        <f>IF(4&lt;=$AP$4,TEXT($AP$3+3,"ddd"),"")</f>
        <v/>
      </c>
      <c r="I42" s="1">
        <f>IF(5&lt;=$AP$4,TEXT($AP$3+4,"ddd"),"")</f>
        <v/>
      </c>
      <c r="J42" s="1">
        <f>IF(6&lt;=$AP$4,TEXT($AP$3+5,"ddd"),"")</f>
        <v/>
      </c>
      <c r="K42" s="1">
        <f>IF(7&lt;=$AP$4,TEXT($AP$3+6,"ddd"),"")</f>
        <v/>
      </c>
      <c r="L42" s="1">
        <f>IF(8&lt;=$AP$4,TEXT($AP$3+7,"ddd"),"")</f>
        <v/>
      </c>
      <c r="M42" s="1">
        <f>IF(9&lt;=$AP$4,TEXT($AP$3+8,"ddd"),"")</f>
        <v/>
      </c>
      <c r="N42" s="1">
        <f>IF(10&lt;=$AP$4,TEXT($AP$3+9,"ddd"),"")</f>
        <v/>
      </c>
      <c r="O42" s="1">
        <f>IF(11&lt;=$AP$4,TEXT($AP$3+10,"ddd"),"")</f>
        <v/>
      </c>
      <c r="P42" s="1">
        <f>IF(12&lt;=$AP$4,TEXT($AP$3+11,"ddd"),"")</f>
        <v/>
      </c>
      <c r="Q42" s="1">
        <f>IF(13&lt;=$AP$4,TEXT($AP$3+12,"ddd"),"")</f>
        <v/>
      </c>
      <c r="R42" s="1">
        <f>IF(14&lt;=$AP$4,TEXT($AP$3+13,"ddd"),"")</f>
        <v/>
      </c>
      <c r="S42" s="1">
        <f>IF(15&lt;=$AP$4,TEXT($AP$3+14,"ddd"),"")</f>
        <v/>
      </c>
      <c r="T42" s="1">
        <f>IF(16&lt;=$AP$4,TEXT($AP$3+15,"ddd"),"")</f>
        <v/>
      </c>
      <c r="U42" s="1">
        <f>IF(17&lt;=$AP$4,TEXT($AP$3+16,"ddd"),"")</f>
        <v/>
      </c>
      <c r="V42" s="1">
        <f>IF(18&lt;=$AP$4,TEXT($AP$3+17,"ddd"),"")</f>
        <v/>
      </c>
      <c r="W42" s="1">
        <f>IF(19&lt;=$AP$4,TEXT($AP$3+18,"ddd"),"")</f>
        <v/>
      </c>
      <c r="X42" s="1">
        <f>IF(20&lt;=$AP$4,TEXT($AP$3+19,"ddd"),"")</f>
        <v/>
      </c>
      <c r="Y42" s="1">
        <f>IF(21&lt;=$AP$4,TEXT($AP$3+20,"ddd"),"")</f>
        <v/>
      </c>
      <c r="Z42" s="1">
        <f>IF(22&lt;=$AP$4,TEXT($AP$3+21,"ddd"),"")</f>
        <v/>
      </c>
      <c r="AA42" s="1">
        <f>IF(23&lt;=$AP$4,TEXT($AP$3+22,"ddd"),"")</f>
        <v/>
      </c>
      <c r="AB42" s="1">
        <f>IF(24&lt;=$AP$4,TEXT($AP$3+23,"ddd"),"")</f>
        <v/>
      </c>
      <c r="AC42" s="1">
        <f>IF(25&lt;=$AP$4,TEXT($AP$3+24,"ddd"),"")</f>
        <v/>
      </c>
      <c r="AD42" s="1">
        <f>IF(26&lt;=$AP$4,TEXT($AP$3+25,"ddd"),"")</f>
        <v/>
      </c>
      <c r="AE42" s="1">
        <f>IF(27&lt;=$AP$4,TEXT($AP$3+26,"ddd"),"")</f>
        <v/>
      </c>
      <c r="AF42" s="1">
        <f>IF(28&lt;=$AP$4,TEXT($AP$3+27,"ddd"),"")</f>
        <v/>
      </c>
      <c r="AG42" s="1">
        <f>IF(29&lt;=$AP$4,TEXT($AP$3+28,"ddd"),"")</f>
        <v/>
      </c>
      <c r="AH42" s="1">
        <f>IF(30&lt;=$AP$4,TEXT($AP$3+29,"ddd"),"")</f>
        <v/>
      </c>
      <c r="AI42" s="1">
        <f>IF(31&lt;=$AP$4,TEXT($AP$3+30,"ddd"),"")</f>
        <v/>
      </c>
    </row>
    <row r="43" ht="16.2" customHeight="1" thickBot="1">
      <c r="A43" s="124" t="n"/>
      <c r="B43" s="125" t="n"/>
      <c r="C43" s="125" t="n"/>
      <c r="D43" s="128" t="n"/>
      <c r="E43" s="2">
        <f>IF(1&lt;=$AP$4,IF($AP$1="P",DAY($AP$3+0),1),"")</f>
        <v/>
      </c>
      <c r="F43" s="2">
        <f>IF(2&lt;=$AP$4,IF($AP$1="P",DAY($AP$3+1),2),"")</f>
        <v/>
      </c>
      <c r="G43" s="2">
        <f>IF(3&lt;=$AP$4,IF($AP$1="P",DAY($AP$3+2),3),"")</f>
        <v/>
      </c>
      <c r="H43" s="2">
        <f>IF(4&lt;=$AP$4,IF($AP$1="P",DAY($AP$3+3),4),"")</f>
        <v/>
      </c>
      <c r="I43" s="3">
        <f>IF(5&lt;=$AP$4,IF($AP$1="P",DAY($AP$3+4),5),"")</f>
        <v/>
      </c>
      <c r="J43" s="4">
        <f>IF(6&lt;=$AP$4,IF($AP$1="P",DAY($AP$3+5),6),"")</f>
        <v/>
      </c>
      <c r="K43" s="4">
        <f>IF(7&lt;=$AP$4,IF($AP$1="P",DAY($AP$3+6),7),"")</f>
        <v/>
      </c>
      <c r="L43" s="3">
        <f>IF(8&lt;=$AP$4,IF($AP$1="P",DAY($AP$3+7),8),"")</f>
        <v/>
      </c>
      <c r="M43" s="4">
        <f>IF(9&lt;=$AP$4,IF($AP$1="P",DAY($AP$3+8),9),"")</f>
        <v/>
      </c>
      <c r="N43" s="2">
        <f>IF(10&lt;=$AP$4,IF($AP$1="P",DAY($AP$3+9),10),"")</f>
        <v/>
      </c>
      <c r="O43" s="2">
        <f>IF(11&lt;=$AP$4,IF($AP$1="P",DAY($AP$3+10),11),"")</f>
        <v/>
      </c>
      <c r="P43" s="2">
        <f>IF(12&lt;=$AP$4,IF($AP$1="P",DAY($AP$3+11),12),"")</f>
        <v/>
      </c>
      <c r="Q43" s="2">
        <f>IF(13&lt;=$AP$4,IF($AP$1="P",DAY($AP$3+12),13),"")</f>
        <v/>
      </c>
      <c r="R43" s="2">
        <f>IF(14&lt;=$AP$4,IF($AP$1="P",DAY($AP$3+13),14),"")</f>
        <v/>
      </c>
      <c r="S43" s="2">
        <f>IF(15&lt;=$AP$4,IF($AP$1="P",DAY($AP$3+14),15),"")</f>
        <v/>
      </c>
      <c r="T43" s="2">
        <f>IF(16&lt;=$AP$4,IF($AP$1="P",DAY($AP$3+15),16),"")</f>
        <v/>
      </c>
      <c r="U43" s="2">
        <f>IF(17&lt;=$AP$4,IF($AP$1="P",DAY($AP$3+16),17),"")</f>
        <v/>
      </c>
      <c r="V43" s="2">
        <f>IF(18&lt;=$AP$4,IF($AP$1="P",DAY($AP$3+17),18),"")</f>
        <v/>
      </c>
      <c r="W43" s="2">
        <f>IF(19&lt;=$AP$4,IF($AP$1="P",DAY($AP$3+18),19),"")</f>
        <v/>
      </c>
      <c r="X43" s="2">
        <f>IF(20&lt;=$AP$4,IF($AP$1="P",DAY($AP$3+19),20),"")</f>
        <v/>
      </c>
      <c r="Y43" s="2">
        <f>IF(21&lt;=$AP$4,IF($AP$1="P",DAY($AP$3+20),21),"")</f>
        <v/>
      </c>
      <c r="Z43" s="2">
        <f>IF(22&lt;=$AP$4,IF($AP$1="P",DAY($AP$3+21),22),"")</f>
        <v/>
      </c>
      <c r="AA43" s="2">
        <f>IF(23&lt;=$AP$4,IF($AP$1="P",DAY($AP$3+22),23),"")</f>
        <v/>
      </c>
      <c r="AB43" s="2">
        <f>IF(24&lt;=$AP$4,IF($AP$1="P",DAY($AP$3+23),24),"")</f>
        <v/>
      </c>
      <c r="AC43" s="2">
        <f>IF(25&lt;=$AP$4,IF($AP$1="P",DAY($AP$3+24),25),"")</f>
        <v/>
      </c>
      <c r="AD43" s="2">
        <f>IF(26&lt;=$AP$4,IF($AP$1="P",DAY($AP$3+25),26),"")</f>
        <v/>
      </c>
      <c r="AE43" s="2">
        <f>IF(27&lt;=$AP$4,IF($AP$1="P",DAY($AP$3+26),27),"")</f>
        <v/>
      </c>
      <c r="AF43" s="2">
        <f>IF(28&lt;=$AP$4,IF($AP$1="P",DAY($AP$3+27),28),"")</f>
        <v/>
      </c>
      <c r="AG43" s="2">
        <f>IF(29&lt;=$AP$4,IF($AP$1="P",DAY($AP$3+28),29),"")</f>
        <v/>
      </c>
      <c r="AH43" s="2">
        <f>IF(30&lt;=$AP$4,IF($AP$1="P",DAY($AP$3+29),30),"")</f>
        <v/>
      </c>
      <c r="AI43" s="2">
        <f>IF(31&lt;=$AP$4,IF($AP$1="P",DAY($AP$3+30),31),"")</f>
        <v/>
      </c>
    </row>
    <row r="44" ht="16.2" customHeight="1" thickBot="1">
      <c r="A44" s="110">
        <f>IF($C44="","",ROW()-43)</f>
        <v/>
      </c>
      <c r="B44" s="111" t="n"/>
      <c r="C44" s="112" t="n"/>
      <c r="D44" s="111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4" t="n"/>
      <c r="AF44" s="114" t="n"/>
      <c r="AG44" s="114" t="n"/>
      <c r="AH44" s="114" t="n"/>
      <c r="AI44" s="122" t="n"/>
    </row>
    <row r="45" ht="16.2" customHeight="1" thickBot="1">
      <c r="A45" s="129">
        <f>IF($C45="","",ROW()-43)</f>
        <v/>
      </c>
      <c r="B45" s="130" t="n"/>
      <c r="C45" s="131" t="n"/>
      <c r="D45" s="130" t="n"/>
      <c r="E45" s="132" t="n"/>
      <c r="F45" s="132" t="n"/>
      <c r="G45" s="132" t="n"/>
      <c r="H45" s="132" t="n"/>
      <c r="I45" s="132" t="n"/>
      <c r="J45" s="132" t="n"/>
      <c r="K45" s="132" t="n"/>
      <c r="L45" s="132" t="n"/>
      <c r="M45" s="132" t="n"/>
      <c r="N45" s="132" t="n"/>
      <c r="O45" s="132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  <c r="AA45" s="133" t="n"/>
      <c r="AB45" s="133" t="n"/>
      <c r="AC45" s="133" t="n"/>
      <c r="AD45" s="133" t="n"/>
      <c r="AE45" s="133" t="n"/>
      <c r="AF45" s="133" t="n"/>
      <c r="AG45" s="133" t="n"/>
      <c r="AH45" s="133" t="n"/>
      <c r="AI45" s="133" t="n"/>
    </row>
    <row r="46" ht="15" customHeight="1" thickBot="1">
      <c r="A46" s="126" t="inlineStr">
        <is>
          <t>TRANSFERRED-IN MANPOWER</t>
        </is>
      </c>
      <c r="B46" s="123" t="n"/>
      <c r="C46" s="123" t="n"/>
      <c r="D46" s="127" t="n"/>
      <c r="E46" s="1">
        <f>IF(1&lt;=$AP$4,TEXT($AP$3+0,"ddd"),"")</f>
        <v/>
      </c>
      <c r="F46" s="1">
        <f>IF(2&lt;=$AP$4,TEXT($AP$3+1,"ddd"),"")</f>
        <v/>
      </c>
      <c r="G46" s="1">
        <f>IF(3&lt;=$AP$4,TEXT($AP$3+2,"ddd"),"")</f>
        <v/>
      </c>
      <c r="H46" s="1">
        <f>IF(4&lt;=$AP$4,TEXT($AP$3+3,"ddd"),"")</f>
        <v/>
      </c>
      <c r="I46" s="1">
        <f>IF(5&lt;=$AP$4,TEXT($AP$3+4,"ddd"),"")</f>
        <v/>
      </c>
      <c r="J46" s="1">
        <f>IF(6&lt;=$AP$4,TEXT($AP$3+5,"ddd"),"")</f>
        <v/>
      </c>
      <c r="K46" s="1">
        <f>IF(7&lt;=$AP$4,TEXT($AP$3+6,"ddd"),"")</f>
        <v/>
      </c>
      <c r="L46" s="1">
        <f>IF(8&lt;=$AP$4,TEXT($AP$3+7,"ddd"),"")</f>
        <v/>
      </c>
      <c r="M46" s="1">
        <f>IF(9&lt;=$AP$4,TEXT($AP$3+8,"ddd"),"")</f>
        <v/>
      </c>
      <c r="N46" s="1">
        <f>IF(10&lt;=$AP$4,TEXT($AP$3+9,"ddd"),"")</f>
        <v/>
      </c>
      <c r="O46" s="1">
        <f>IF(11&lt;=$AP$4,TEXT($AP$3+10,"ddd"),"")</f>
        <v/>
      </c>
      <c r="P46" s="1">
        <f>IF(12&lt;=$AP$4,TEXT($AP$3+11,"ddd"),"")</f>
        <v/>
      </c>
      <c r="Q46" s="1">
        <f>IF(13&lt;=$AP$4,TEXT($AP$3+12,"ddd"),"")</f>
        <v/>
      </c>
      <c r="R46" s="1">
        <f>IF(14&lt;=$AP$4,TEXT($AP$3+13,"ddd"),"")</f>
        <v/>
      </c>
      <c r="S46" s="1">
        <f>IF(15&lt;=$AP$4,TEXT($AP$3+14,"ddd"),"")</f>
        <v/>
      </c>
      <c r="T46" s="1">
        <f>IF(16&lt;=$AP$4,TEXT($AP$3+15,"ddd"),"")</f>
        <v/>
      </c>
      <c r="U46" s="1">
        <f>IF(17&lt;=$AP$4,TEXT($AP$3+16,"ddd"),"")</f>
        <v/>
      </c>
      <c r="V46" s="1">
        <f>IF(18&lt;=$AP$4,TEXT($AP$3+17,"ddd"),"")</f>
        <v/>
      </c>
      <c r="W46" s="1">
        <f>IF(19&lt;=$AP$4,TEXT($AP$3+18,"ddd"),"")</f>
        <v/>
      </c>
      <c r="X46" s="1">
        <f>IF(20&lt;=$AP$4,TEXT($AP$3+19,"ddd"),"")</f>
        <v/>
      </c>
      <c r="Y46" s="1">
        <f>IF(21&lt;=$AP$4,TEXT($AP$3+20,"ddd"),"")</f>
        <v/>
      </c>
      <c r="Z46" s="1">
        <f>IF(22&lt;=$AP$4,TEXT($AP$3+21,"ddd"),"")</f>
        <v/>
      </c>
      <c r="AA46" s="1">
        <f>IF(23&lt;=$AP$4,TEXT($AP$3+22,"ddd"),"")</f>
        <v/>
      </c>
      <c r="AB46" s="1">
        <f>IF(24&lt;=$AP$4,TEXT($AP$3+23,"ddd"),"")</f>
        <v/>
      </c>
      <c r="AC46" s="1">
        <f>IF(25&lt;=$AP$4,TEXT($AP$3+24,"ddd"),"")</f>
        <v/>
      </c>
      <c r="AD46" s="1">
        <f>IF(26&lt;=$AP$4,TEXT($AP$3+25,"ddd"),"")</f>
        <v/>
      </c>
      <c r="AE46" s="1">
        <f>IF(27&lt;=$AP$4,TEXT($AP$3+26,"ddd"),"")</f>
        <v/>
      </c>
      <c r="AF46" s="1">
        <f>IF(28&lt;=$AP$4,TEXT($AP$3+27,"ddd"),"")</f>
        <v/>
      </c>
      <c r="AG46" s="1">
        <f>IF(29&lt;=$AP$4,TEXT($AP$3+28,"ddd"),"")</f>
        <v/>
      </c>
      <c r="AH46" s="1">
        <f>IF(30&lt;=$AP$4,TEXT($AP$3+29,"ddd"),"")</f>
        <v/>
      </c>
      <c r="AI46" s="1">
        <f>IF(31&lt;=$AP$4,TEXT($AP$3+30,"ddd"),"")</f>
        <v/>
      </c>
    </row>
    <row r="47" ht="16.2" customHeight="1" thickBot="1">
      <c r="A47" s="124" t="n"/>
      <c r="B47" s="125" t="n"/>
      <c r="C47" s="125" t="n"/>
      <c r="D47" s="128" t="n"/>
      <c r="E47" s="2">
        <f>IF(1&lt;=$AP$4,IF($AP$1="P",DAY($AP$3+0),1),"")</f>
        <v/>
      </c>
      <c r="F47" s="2">
        <f>IF(2&lt;=$AP$4,IF($AP$1="P",DAY($AP$3+1),2),"")</f>
        <v/>
      </c>
      <c r="G47" s="2">
        <f>IF(3&lt;=$AP$4,IF($AP$1="P",DAY($AP$3+2),3),"")</f>
        <v/>
      </c>
      <c r="H47" s="2">
        <f>IF(4&lt;=$AP$4,IF($AP$1="P",DAY($AP$3+3),4),"")</f>
        <v/>
      </c>
      <c r="I47" s="3">
        <f>IF(5&lt;=$AP$4,IF($AP$1="P",DAY($AP$3+4),5),"")</f>
        <v/>
      </c>
      <c r="J47" s="4">
        <f>IF(6&lt;=$AP$4,IF($AP$1="P",DAY($AP$3+5),6),"")</f>
        <v/>
      </c>
      <c r="K47" s="4">
        <f>IF(7&lt;=$AP$4,IF($AP$1="P",DAY($AP$3+6),7),"")</f>
        <v/>
      </c>
      <c r="L47" s="3">
        <f>IF(8&lt;=$AP$4,IF($AP$1="P",DAY($AP$3+7),8),"")</f>
        <v/>
      </c>
      <c r="M47" s="4">
        <f>IF(9&lt;=$AP$4,IF($AP$1="P",DAY($AP$3+8),9),"")</f>
        <v/>
      </c>
      <c r="N47" s="2">
        <f>IF(10&lt;=$AP$4,IF($AP$1="P",DAY($AP$3+9),10),"")</f>
        <v/>
      </c>
      <c r="O47" s="2">
        <f>IF(11&lt;=$AP$4,IF($AP$1="P",DAY($AP$3+10),11),"")</f>
        <v/>
      </c>
      <c r="P47" s="2">
        <f>IF(12&lt;=$AP$4,IF($AP$1="P",DAY($AP$3+11),12),"")</f>
        <v/>
      </c>
      <c r="Q47" s="2">
        <f>IF(13&lt;=$AP$4,IF($AP$1="P",DAY($AP$3+12),13),"")</f>
        <v/>
      </c>
      <c r="R47" s="2">
        <f>IF(14&lt;=$AP$4,IF($AP$1="P",DAY($AP$3+13),14),"")</f>
        <v/>
      </c>
      <c r="S47" s="2">
        <f>IF(15&lt;=$AP$4,IF($AP$1="P",DAY($AP$3+14),15),"")</f>
        <v/>
      </c>
      <c r="T47" s="2">
        <f>IF(16&lt;=$AP$4,IF($AP$1="P",DAY($AP$3+15),16),"")</f>
        <v/>
      </c>
      <c r="U47" s="2">
        <f>IF(17&lt;=$AP$4,IF($AP$1="P",DAY($AP$3+16),17),"")</f>
        <v/>
      </c>
      <c r="V47" s="2">
        <f>IF(18&lt;=$AP$4,IF($AP$1="P",DAY($AP$3+17),18),"")</f>
        <v/>
      </c>
      <c r="W47" s="2">
        <f>IF(19&lt;=$AP$4,IF($AP$1="P",DAY($AP$3+18),19),"")</f>
        <v/>
      </c>
      <c r="X47" s="2">
        <f>IF(20&lt;=$AP$4,IF($AP$1="P",DAY($AP$3+19),20),"")</f>
        <v/>
      </c>
      <c r="Y47" s="2">
        <f>IF(21&lt;=$AP$4,IF($AP$1="P",DAY($AP$3+20),21),"")</f>
        <v/>
      </c>
      <c r="Z47" s="2">
        <f>IF(22&lt;=$AP$4,IF($AP$1="P",DAY($AP$3+21),22),"")</f>
        <v/>
      </c>
      <c r="AA47" s="2">
        <f>IF(23&lt;=$AP$4,IF($AP$1="P",DAY($AP$3+22),23),"")</f>
        <v/>
      </c>
      <c r="AB47" s="2">
        <f>IF(24&lt;=$AP$4,IF($AP$1="P",DAY($AP$3+23),24),"")</f>
        <v/>
      </c>
      <c r="AC47" s="2">
        <f>IF(25&lt;=$AP$4,IF($AP$1="P",DAY($AP$3+24),25),"")</f>
        <v/>
      </c>
      <c r="AD47" s="2">
        <f>IF(26&lt;=$AP$4,IF($AP$1="P",DAY($AP$3+25),26),"")</f>
        <v/>
      </c>
      <c r="AE47" s="2">
        <f>IF(27&lt;=$AP$4,IF($AP$1="P",DAY($AP$3+26),27),"")</f>
        <v/>
      </c>
      <c r="AF47" s="2">
        <f>IF(28&lt;=$AP$4,IF($AP$1="P",DAY($AP$3+27),28),"")</f>
        <v/>
      </c>
      <c r="AG47" s="2">
        <f>IF(29&lt;=$AP$4,IF($AP$1="P",DAY($AP$3+28),29),"")</f>
        <v/>
      </c>
      <c r="AH47" s="2">
        <f>IF(30&lt;=$AP$4,IF($AP$1="P",DAY($AP$3+29),30),"")</f>
        <v/>
      </c>
      <c r="AI47" s="2">
        <f>IF(31&lt;=$AP$4,IF($AP$1="P",DAY($AP$3+30),31),"")</f>
        <v/>
      </c>
    </row>
    <row r="48" ht="16.2" customHeight="1" thickBot="1">
      <c r="A48" s="110">
        <f>IF($C48="","",ROW()-47)</f>
        <v/>
      </c>
      <c r="B48" s="111" t="n"/>
      <c r="C48" s="112" t="n"/>
      <c r="D48" s="111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14" t="n"/>
      <c r="AF48" s="114" t="n"/>
      <c r="AG48" s="114" t="n"/>
      <c r="AH48" s="114" t="n"/>
      <c r="AI48" s="114" t="n"/>
    </row>
    <row r="49" ht="16.2" customHeight="1" thickBot="1">
      <c r="A49" s="110">
        <f>IF($C49="","",ROW()-47)</f>
        <v/>
      </c>
      <c r="B49" s="111" t="n"/>
      <c r="C49" s="112" t="n"/>
      <c r="D49" s="111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  <c r="AB49" s="114" t="n"/>
      <c r="AC49" s="114" t="n"/>
      <c r="AD49" s="114" t="n"/>
      <c r="AE49" s="114" t="n"/>
      <c r="AF49" s="114" t="n"/>
      <c r="AG49" s="114" t="n"/>
      <c r="AH49" s="114" t="n"/>
      <c r="AI49" s="114" t="n"/>
    </row>
    <row r="50" ht="16.2" customHeight="1" thickBot="1">
      <c r="A50" s="110">
        <f>IF($C50="","",ROW()-47)</f>
        <v/>
      </c>
      <c r="B50" s="111" t="n"/>
      <c r="C50" s="112" t="n"/>
      <c r="D50" s="111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  <c r="AD50" s="114" t="n"/>
      <c r="AE50" s="114" t="n"/>
      <c r="AF50" s="114" t="n"/>
      <c r="AG50" s="114" t="n"/>
      <c r="AH50" s="114" t="n"/>
      <c r="AI50" s="114" t="n"/>
    </row>
    <row r="51" ht="16.2" customHeight="1" thickBot="1">
      <c r="A51" s="110">
        <f>IF($C51="","",ROW()-47)</f>
        <v/>
      </c>
      <c r="B51" s="111" t="n"/>
      <c r="C51" s="112" t="n"/>
      <c r="D51" s="111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14" t="n"/>
      <c r="AF51" s="114" t="n"/>
      <c r="AG51" s="114" t="n"/>
      <c r="AH51" s="114" t="n"/>
      <c r="AI51" s="114" t="n"/>
    </row>
    <row r="52" ht="16.2" customHeight="1" thickBot="1">
      <c r="A52" s="110">
        <f>IF($C52="","",ROW()-47)</f>
        <v/>
      </c>
      <c r="B52" s="111" t="n"/>
      <c r="C52" s="112" t="n"/>
      <c r="D52" s="111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4" t="n"/>
      <c r="AF52" s="114" t="n"/>
      <c r="AG52" s="114" t="n"/>
      <c r="AH52" s="114" t="n"/>
      <c r="AI52" s="114" t="n"/>
    </row>
    <row r="53" ht="16.2" customHeight="1" thickBot="1">
      <c r="A53" s="110">
        <f>IF($C53="","",ROW()-47)</f>
        <v/>
      </c>
      <c r="B53" s="111" t="n"/>
      <c r="C53" s="112" t="n"/>
      <c r="D53" s="111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114" t="n"/>
      <c r="AF53" s="114" t="n"/>
      <c r="AG53" s="114" t="n"/>
      <c r="AH53" s="114" t="n"/>
      <c r="AI53" s="114" t="n"/>
    </row>
    <row r="54" ht="16.2" customHeight="1" thickBot="1">
      <c r="A54" s="110">
        <f>IF($C54="","",ROW()-47)</f>
        <v/>
      </c>
      <c r="B54" s="111" t="n"/>
      <c r="C54" s="112" t="n"/>
      <c r="D54" s="111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114" t="n"/>
      <c r="AF54" s="114" t="n"/>
      <c r="AG54" s="114" t="n"/>
      <c r="AH54" s="114" t="n"/>
      <c r="AI54" s="114" t="n"/>
    </row>
    <row r="55" ht="16.2" customHeight="1" thickBot="1">
      <c r="A55" s="110">
        <f>IF($C55="","",ROW()-47)</f>
        <v/>
      </c>
      <c r="B55" s="111" t="n"/>
      <c r="C55" s="112" t="n"/>
      <c r="D55" s="111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14" t="n"/>
      <c r="AF55" s="114" t="n"/>
      <c r="AG55" s="114" t="n"/>
      <c r="AH55" s="114" t="n"/>
      <c r="AI55" s="114" t="n"/>
    </row>
    <row r="56" ht="16.2" customHeight="1" thickBot="1">
      <c r="A56" s="110">
        <f>IF($C56="","",ROW()-47)</f>
        <v/>
      </c>
      <c r="B56" s="111" t="n"/>
      <c r="C56" s="112" t="n"/>
      <c r="D56" s="111" t="n"/>
      <c r="E56" s="134" t="n"/>
      <c r="F56" s="134" t="n"/>
      <c r="G56" s="134" t="n"/>
      <c r="H56" s="13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4" t="n"/>
      <c r="AF56" s="114" t="n"/>
      <c r="AG56" s="114" t="n"/>
      <c r="AH56" s="114" t="n"/>
      <c r="AI56" s="114" t="n"/>
    </row>
    <row r="57" ht="16.2" customHeight="1" thickBot="1">
      <c r="A57" s="110">
        <f>IF($C57="","",ROW()-47)</f>
        <v/>
      </c>
      <c r="B57" s="111" t="n"/>
      <c r="C57" s="112" t="n"/>
      <c r="D57" s="113" t="n"/>
      <c r="E57" s="114" t="n"/>
      <c r="I57" s="117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  <c r="AD57" s="114" t="n"/>
      <c r="AE57" s="114" t="n"/>
      <c r="AF57" s="114" t="n"/>
      <c r="AG57" s="114" t="n"/>
      <c r="AH57" s="114" t="n"/>
      <c r="AI57" s="114" t="n"/>
    </row>
    <row r="58" ht="16.2" customHeight="1" thickBot="1">
      <c r="A58" s="110">
        <f>IF($C58="","",ROW()-47)</f>
        <v/>
      </c>
      <c r="B58" s="111" t="n"/>
      <c r="C58" s="112" t="n"/>
      <c r="D58" s="113" t="n"/>
      <c r="E58" s="114" t="n"/>
      <c r="I58" s="117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4" t="n"/>
      <c r="AF58" s="114" t="n"/>
      <c r="AG58" s="114" t="n"/>
      <c r="AH58" s="114" t="n"/>
      <c r="AI58" s="114" t="n"/>
    </row>
    <row r="59" ht="16.2" customHeight="1" thickBot="1">
      <c r="A59" s="110">
        <f>IF($C59="","",ROW()-47)</f>
        <v/>
      </c>
      <c r="B59" s="111" t="n"/>
      <c r="C59" s="112" t="n"/>
      <c r="D59" s="113" t="n"/>
      <c r="E59" s="114" t="n"/>
      <c r="F59" s="135" t="n"/>
      <c r="G59" s="135" t="n"/>
      <c r="H59" s="136" t="n"/>
      <c r="I59" s="117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</row>
    <row r="60" ht="16.2" customHeight="1" thickBot="1">
      <c r="A60" s="110">
        <f>IF($C60="","",ROW()-47)</f>
        <v/>
      </c>
      <c r="B60" s="111" t="n"/>
      <c r="C60" s="112" t="n"/>
      <c r="D60" s="113" t="n"/>
      <c r="E60" s="114" t="n"/>
      <c r="F60" s="135" t="n"/>
      <c r="G60" s="135" t="n"/>
      <c r="H60" s="136" t="n"/>
      <c r="I60" s="117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  <c r="AB60" s="114" t="n"/>
      <c r="AC60" s="114" t="n"/>
      <c r="AD60" s="114" t="n"/>
      <c r="AE60" s="114" t="n"/>
      <c r="AF60" s="114" t="n"/>
      <c r="AG60" s="114" t="n"/>
      <c r="AH60" s="114" t="n"/>
      <c r="AI60" s="114" t="n"/>
    </row>
    <row r="61" ht="16.2" customHeight="1" thickBot="1">
      <c r="A61" s="110">
        <f>IF($C61="","",ROW()-47)</f>
        <v/>
      </c>
      <c r="B61" s="111" t="n"/>
      <c r="C61" s="112" t="n"/>
      <c r="D61" s="113" t="n"/>
      <c r="E61" s="114" t="n"/>
      <c r="I61" s="117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4" t="n"/>
      <c r="AF61" s="114" t="n"/>
      <c r="AG61" s="114" t="n"/>
      <c r="AH61" s="114" t="n"/>
      <c r="AI61" s="114" t="n"/>
    </row>
    <row r="62" ht="16.2" customHeight="1" thickBot="1">
      <c r="A62" s="110">
        <f>IF($C62="","",ROW()-47)</f>
        <v/>
      </c>
      <c r="B62" s="111" t="n"/>
      <c r="C62" s="112" t="n"/>
      <c r="D62" s="113" t="n"/>
      <c r="E62" s="114" t="n"/>
      <c r="F62" s="135" t="n"/>
      <c r="G62" s="135" t="n"/>
      <c r="H62" s="136" t="n"/>
      <c r="I62" s="117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4" t="n"/>
      <c r="AF62" s="114" t="n"/>
      <c r="AG62" s="114" t="n"/>
      <c r="AH62" s="114" t="n"/>
      <c r="AI62" s="114" t="n"/>
    </row>
    <row r="63" ht="16.2" customHeight="1" thickBot="1">
      <c r="A63" s="110">
        <f>IF($C63="","",ROW()-47)</f>
        <v/>
      </c>
      <c r="B63" s="111" t="n"/>
      <c r="C63" s="112" t="n"/>
      <c r="D63" s="113" t="n"/>
      <c r="E63" s="114" t="n"/>
      <c r="F63" s="135" t="n"/>
      <c r="G63" s="135" t="n"/>
      <c r="H63" s="136" t="n"/>
      <c r="I63" s="117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  <c r="AB63" s="114" t="n"/>
      <c r="AC63" s="114" t="n"/>
      <c r="AD63" s="114" t="n"/>
      <c r="AE63" s="114" t="n"/>
      <c r="AF63" s="114" t="n"/>
      <c r="AG63" s="114" t="n"/>
      <c r="AH63" s="114" t="n"/>
      <c r="AI63" s="114" t="n"/>
    </row>
    <row r="64" ht="16.2" customHeight="1" thickBot="1">
      <c r="A64" s="110">
        <f>IF($C64="","",ROW()-47)</f>
        <v/>
      </c>
      <c r="B64" s="111" t="n"/>
      <c r="C64" s="112" t="n"/>
      <c r="D64" s="113" t="n"/>
      <c r="E64" s="114" t="n"/>
      <c r="F64" s="135" t="n"/>
      <c r="G64" s="135" t="n"/>
      <c r="H64" s="136" t="n"/>
      <c r="I64" s="117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114" t="n"/>
      <c r="AD64" s="114" t="n"/>
      <c r="AE64" s="114" t="n"/>
      <c r="AF64" s="114" t="n"/>
      <c r="AG64" s="114" t="n"/>
      <c r="AH64" s="114" t="n"/>
      <c r="AI64" s="114" t="n"/>
    </row>
    <row r="65" ht="16.2" customHeight="1" thickBot="1">
      <c r="A65" s="110">
        <f>IF($C65="","",ROW()-47)</f>
        <v/>
      </c>
      <c r="B65" s="111" t="n"/>
      <c r="C65" s="112" t="n"/>
      <c r="D65" s="113" t="n"/>
      <c r="E65" s="114" t="n"/>
      <c r="F65" s="135" t="n"/>
      <c r="G65" s="135" t="n"/>
      <c r="H65" s="136" t="n"/>
      <c r="I65" s="117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  <c r="AB65" s="114" t="n"/>
      <c r="AC65" s="114" t="n"/>
      <c r="AD65" s="114" t="n"/>
      <c r="AE65" s="114" t="n"/>
      <c r="AF65" s="114" t="n"/>
      <c r="AG65" s="114" t="n"/>
      <c r="AH65" s="114" t="n"/>
      <c r="AI65" s="114" t="n"/>
    </row>
    <row r="66" ht="16.2" customHeight="1" thickBot="1">
      <c r="A66" s="110">
        <f>IF($C66="","",ROW()-47)</f>
        <v/>
      </c>
      <c r="B66" s="111" t="n"/>
      <c r="C66" s="112" t="n"/>
      <c r="D66" s="113" t="n"/>
      <c r="E66" s="137" t="n"/>
      <c r="F66" s="115" t="n"/>
      <c r="G66" s="115" t="n"/>
      <c r="H66" s="117" t="n"/>
      <c r="I66" s="117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  <c r="AB66" s="114" t="n"/>
      <c r="AC66" s="114" t="n"/>
      <c r="AD66" s="114" t="n"/>
      <c r="AE66" s="114" t="n"/>
      <c r="AF66" s="114" t="n"/>
      <c r="AG66" s="114" t="n"/>
      <c r="AH66" s="114" t="n"/>
      <c r="AI66" s="114" t="n"/>
    </row>
    <row r="67" ht="16.2" customHeight="1" thickBot="1">
      <c r="A67" s="110">
        <f>IF($C67="","",ROW()-47)</f>
        <v/>
      </c>
      <c r="B67" s="111" t="n"/>
      <c r="C67" s="112" t="n"/>
      <c r="D67" s="113" t="n"/>
      <c r="E67" s="137" t="n"/>
      <c r="F67" s="115" t="n"/>
      <c r="G67" s="115" t="n"/>
      <c r="H67" s="117" t="n"/>
      <c r="I67" s="117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  <c r="AB67" s="114" t="n"/>
      <c r="AC67" s="114" t="n"/>
      <c r="AD67" s="114" t="n"/>
      <c r="AE67" s="114" t="n"/>
      <c r="AF67" s="114" t="n"/>
      <c r="AG67" s="114" t="n"/>
      <c r="AH67" s="114" t="n"/>
      <c r="AI67" s="114" t="n"/>
    </row>
    <row r="68" ht="16.2" customHeight="1" thickBot="1">
      <c r="A68" s="110">
        <f>IF($C68="","",ROW()-47)</f>
        <v/>
      </c>
      <c r="B68" s="111" t="n"/>
      <c r="C68" s="112" t="n"/>
      <c r="D68" s="113" t="n"/>
      <c r="E68" s="137" t="n"/>
      <c r="F68" s="115" t="n"/>
      <c r="G68" s="115" t="n"/>
      <c r="H68" s="117" t="n"/>
      <c r="I68" s="117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  <c r="AB68" s="114" t="n"/>
      <c r="AC68" s="114" t="n"/>
      <c r="AD68" s="114" t="n"/>
      <c r="AE68" s="114" t="n"/>
      <c r="AF68" s="114" t="n"/>
      <c r="AG68" s="114" t="n"/>
      <c r="AH68" s="114" t="n"/>
      <c r="AI68" s="114" t="n"/>
    </row>
    <row r="69" ht="16.2" customHeight="1" thickBot="1">
      <c r="A69" s="110">
        <f>IF($C69="","",ROW()-47)</f>
        <v/>
      </c>
      <c r="B69" s="111" t="n"/>
      <c r="C69" s="112" t="n"/>
      <c r="D69" s="113" t="n"/>
      <c r="E69" s="137" t="n"/>
      <c r="F69" s="115" t="n"/>
      <c r="G69" s="115" t="n"/>
      <c r="H69" s="117" t="n"/>
      <c r="I69" s="117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  <c r="AB69" s="114" t="n"/>
      <c r="AC69" s="114" t="n"/>
      <c r="AD69" s="114" t="n"/>
      <c r="AE69" s="114" t="n"/>
      <c r="AF69" s="114" t="n"/>
      <c r="AG69" s="114" t="n"/>
      <c r="AH69" s="114" t="n"/>
      <c r="AI69" s="114" t="n"/>
    </row>
    <row r="70" ht="16.2" customHeight="1" thickBot="1">
      <c r="A70" s="110">
        <f>IF($C70="","",ROW()-47)</f>
        <v/>
      </c>
      <c r="B70" s="111" t="n"/>
      <c r="C70" s="112" t="n"/>
      <c r="D70" s="113" t="n"/>
      <c r="E70" s="137" t="n"/>
      <c r="F70" s="115" t="n"/>
      <c r="G70" s="115" t="n"/>
      <c r="H70" s="117" t="n"/>
      <c r="I70" s="117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  <c r="AB70" s="114" t="n"/>
      <c r="AC70" s="114" t="n"/>
      <c r="AD70" s="114" t="n"/>
      <c r="AE70" s="114" t="n"/>
      <c r="AF70" s="114" t="n"/>
      <c r="AG70" s="114" t="n"/>
      <c r="AH70" s="114" t="n"/>
      <c r="AI70" s="114" t="n"/>
    </row>
    <row r="71" ht="16.2" customHeight="1" thickBot="1">
      <c r="A71" s="110">
        <f>IF($C71="","",ROW()-47)</f>
        <v/>
      </c>
      <c r="B71" s="111" t="n"/>
      <c r="C71" s="112" t="n"/>
      <c r="D71" s="113" t="n"/>
      <c r="E71" s="137" t="n"/>
      <c r="F71" s="115" t="n"/>
      <c r="G71" s="115" t="n"/>
      <c r="H71" s="117" t="n"/>
      <c r="I71" s="117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  <c r="AB71" s="114" t="n"/>
      <c r="AC71" s="114" t="n"/>
      <c r="AD71" s="114" t="n"/>
      <c r="AE71" s="114" t="n"/>
      <c r="AF71" s="114" t="n"/>
      <c r="AG71" s="114" t="n"/>
      <c r="AH71" s="114" t="n"/>
      <c r="AI71" s="114" t="n"/>
    </row>
    <row r="72" ht="16.2" customHeight="1" thickBot="1">
      <c r="A72" s="110">
        <f>IF($C72="","",ROW()-47)</f>
        <v/>
      </c>
      <c r="B72" s="111" t="n"/>
      <c r="C72" s="112" t="n"/>
      <c r="D72" s="113" t="n"/>
      <c r="E72" s="114" t="n"/>
      <c r="I72" s="117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  <c r="AB72" s="114" t="n"/>
      <c r="AC72" s="114" t="n"/>
      <c r="AD72" s="114" t="n"/>
      <c r="AE72" s="114" t="n"/>
      <c r="AF72" s="114" t="n"/>
      <c r="AG72" s="114" t="n"/>
      <c r="AH72" s="114" t="n"/>
      <c r="AI72" s="114" t="n"/>
    </row>
    <row r="73" ht="16.2" customHeight="1" thickBot="1">
      <c r="A73" s="129">
        <f>IF($C73="","",ROW()-47)</f>
        <v/>
      </c>
      <c r="B73" s="130" t="n"/>
      <c r="C73" s="131" t="n"/>
      <c r="D73" s="130" t="n"/>
      <c r="E73" s="132" t="n"/>
      <c r="F73" s="132" t="n"/>
      <c r="G73" s="132" t="n"/>
      <c r="H73" s="132" t="n"/>
      <c r="I73" s="132" t="n"/>
      <c r="J73" s="132" t="n"/>
      <c r="K73" s="132" t="n"/>
      <c r="L73" s="132" t="n"/>
      <c r="M73" s="132" t="n"/>
      <c r="N73" s="132" t="n"/>
      <c r="O73" s="132" t="n"/>
      <c r="P73" s="133" t="n"/>
      <c r="Q73" s="133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  <c r="AA73" s="133" t="n"/>
      <c r="AB73" s="133" t="n"/>
      <c r="AC73" s="133" t="n"/>
      <c r="AD73" s="133" t="n"/>
      <c r="AE73" s="133" t="n"/>
      <c r="AF73" s="133" t="n"/>
      <c r="AG73" s="133" t="n"/>
      <c r="AH73" s="133" t="n"/>
      <c r="AI73" s="133" t="n"/>
    </row>
    <row r="74" ht="15" customHeight="1" thickBot="1">
      <c r="A74" s="138" t="inlineStr">
        <is>
          <t>TOTAL DAILY CREWS MANPOWER</t>
        </is>
      </c>
      <c r="B74" s="123" t="n"/>
      <c r="C74" s="127" t="n"/>
      <c r="D74" s="126" t="inlineStr">
        <is>
          <t>SHIFT</t>
        </is>
      </c>
      <c r="E74" s="1">
        <f>IF(1&lt;=$AP$4,TEXT($AP$3+0,"ddd"),"")</f>
        <v/>
      </c>
      <c r="F74" s="1">
        <f>IF(2&lt;=$AP$4,TEXT($AP$3+1,"ddd"),"")</f>
        <v/>
      </c>
      <c r="G74" s="1">
        <f>IF(3&lt;=$AP$4,TEXT($AP$3+2,"ddd"),"")</f>
        <v/>
      </c>
      <c r="H74" s="1">
        <f>IF(4&lt;=$AP$4,TEXT($AP$3+3,"ddd"),"")</f>
        <v/>
      </c>
      <c r="I74" s="1">
        <f>IF(5&lt;=$AP$4,TEXT($AP$3+4,"ddd"),"")</f>
        <v/>
      </c>
      <c r="J74" s="1">
        <f>IF(6&lt;=$AP$4,TEXT($AP$3+5,"ddd"),"")</f>
        <v/>
      </c>
      <c r="K74" s="1">
        <f>IF(7&lt;=$AP$4,TEXT($AP$3+6,"ddd"),"")</f>
        <v/>
      </c>
      <c r="L74" s="1">
        <f>IF(8&lt;=$AP$4,TEXT($AP$3+7,"ddd"),"")</f>
        <v/>
      </c>
      <c r="M74" s="1">
        <f>IF(9&lt;=$AP$4,TEXT($AP$3+8,"ddd"),"")</f>
        <v/>
      </c>
      <c r="N74" s="1">
        <f>IF(10&lt;=$AP$4,TEXT($AP$3+9,"ddd"),"")</f>
        <v/>
      </c>
      <c r="O74" s="1">
        <f>IF(11&lt;=$AP$4,TEXT($AP$3+10,"ddd"),"")</f>
        <v/>
      </c>
      <c r="P74" s="1">
        <f>IF(12&lt;=$AP$4,TEXT($AP$3+11,"ddd"),"")</f>
        <v/>
      </c>
      <c r="Q74" s="1">
        <f>IF(13&lt;=$AP$4,TEXT($AP$3+12,"ddd"),"")</f>
        <v/>
      </c>
      <c r="R74" s="1">
        <f>IF(14&lt;=$AP$4,TEXT($AP$3+13,"ddd"),"")</f>
        <v/>
      </c>
      <c r="S74" s="1">
        <f>IF(15&lt;=$AP$4,TEXT($AP$3+14,"ddd"),"")</f>
        <v/>
      </c>
      <c r="T74" s="1">
        <f>IF(16&lt;=$AP$4,TEXT($AP$3+15,"ddd"),"")</f>
        <v/>
      </c>
      <c r="U74" s="1">
        <f>IF(17&lt;=$AP$4,TEXT($AP$3+16,"ddd"),"")</f>
        <v/>
      </c>
      <c r="V74" s="1">
        <f>IF(18&lt;=$AP$4,TEXT($AP$3+17,"ddd"),"")</f>
        <v/>
      </c>
      <c r="W74" s="1">
        <f>IF(19&lt;=$AP$4,TEXT($AP$3+18,"ddd"),"")</f>
        <v/>
      </c>
      <c r="X74" s="1">
        <f>IF(20&lt;=$AP$4,TEXT($AP$3+19,"ddd"),"")</f>
        <v/>
      </c>
      <c r="Y74" s="1">
        <f>IF(21&lt;=$AP$4,TEXT($AP$3+20,"ddd"),"")</f>
        <v/>
      </c>
      <c r="Z74" s="1">
        <f>IF(22&lt;=$AP$4,TEXT($AP$3+21,"ddd"),"")</f>
        <v/>
      </c>
      <c r="AA74" s="1">
        <f>IF(23&lt;=$AP$4,TEXT($AP$3+22,"ddd"),"")</f>
        <v/>
      </c>
      <c r="AB74" s="1">
        <f>IF(24&lt;=$AP$4,TEXT($AP$3+23,"ddd"),"")</f>
        <v/>
      </c>
      <c r="AC74" s="1">
        <f>IF(25&lt;=$AP$4,TEXT($AP$3+24,"ddd"),"")</f>
        <v/>
      </c>
      <c r="AD74" s="1">
        <f>IF(26&lt;=$AP$4,TEXT($AP$3+25,"ddd"),"")</f>
        <v/>
      </c>
      <c r="AE74" s="1">
        <f>IF(27&lt;=$AP$4,TEXT($AP$3+26,"ddd"),"")</f>
        <v/>
      </c>
      <c r="AF74" s="1">
        <f>IF(28&lt;=$AP$4,TEXT($AP$3+27,"ddd"),"")</f>
        <v/>
      </c>
      <c r="AG74" s="1">
        <f>IF(29&lt;=$AP$4,TEXT($AP$3+28,"ddd"),"")</f>
        <v/>
      </c>
      <c r="AH74" s="1">
        <f>IF(30&lt;=$AP$4,TEXT($AP$3+29,"ddd"),"")</f>
        <v/>
      </c>
      <c r="AI74" s="1">
        <f>IF(31&lt;=$AP$4,TEXT($AP$3+30,"ddd"),"")</f>
        <v/>
      </c>
    </row>
    <row r="75" ht="16.2" customHeight="1" thickBot="1">
      <c r="A75" s="109" t="n"/>
      <c r="C75" s="139" t="n"/>
      <c r="D75" s="105" t="n"/>
      <c r="E75" s="2">
        <f>IF(1&lt;=$AP$4,IF($AP$1="P",DAY($AP$3+0),1),"")</f>
        <v/>
      </c>
      <c r="F75" s="2">
        <f>IF(2&lt;=$AP$4,IF($AP$1="P",DAY($AP$3+1),2),"")</f>
        <v/>
      </c>
      <c r="G75" s="2">
        <f>IF(3&lt;=$AP$4,IF($AP$1="P",DAY($AP$3+2),3),"")</f>
        <v/>
      </c>
      <c r="H75" s="2">
        <f>IF(4&lt;=$AP$4,IF($AP$1="P",DAY($AP$3+3),4),"")</f>
        <v/>
      </c>
      <c r="I75" s="3">
        <f>IF(5&lt;=$AP$4,IF($AP$1="P",DAY($AP$3+4),5),"")</f>
        <v/>
      </c>
      <c r="J75" s="4">
        <f>IF(6&lt;=$AP$4,IF($AP$1="P",DAY($AP$3+5),6),"")</f>
        <v/>
      </c>
      <c r="K75" s="4">
        <f>IF(7&lt;=$AP$4,IF($AP$1="P",DAY($AP$3+6),7),"")</f>
        <v/>
      </c>
      <c r="L75" s="3">
        <f>IF(8&lt;=$AP$4,IF($AP$1="P",DAY($AP$3+7),8),"")</f>
        <v/>
      </c>
      <c r="M75" s="4">
        <f>IF(9&lt;=$AP$4,IF($AP$1="P",DAY($AP$3+8),9),"")</f>
        <v/>
      </c>
      <c r="N75" s="2">
        <f>IF(10&lt;=$AP$4,IF($AP$1="P",DAY($AP$3+9),10),"")</f>
        <v/>
      </c>
      <c r="O75" s="2">
        <f>IF(11&lt;=$AP$4,IF($AP$1="P",DAY($AP$3+10),11),"")</f>
        <v/>
      </c>
      <c r="P75" s="2">
        <f>IF(12&lt;=$AP$4,IF($AP$1="P",DAY($AP$3+11),12),"")</f>
        <v/>
      </c>
      <c r="Q75" s="2">
        <f>IF(13&lt;=$AP$4,IF($AP$1="P",DAY($AP$3+12),13),"")</f>
        <v/>
      </c>
      <c r="R75" s="2">
        <f>IF(14&lt;=$AP$4,IF($AP$1="P",DAY($AP$3+13),14),"")</f>
        <v/>
      </c>
      <c r="S75" s="2">
        <f>IF(15&lt;=$AP$4,IF($AP$1="P",DAY($AP$3+14),15),"")</f>
        <v/>
      </c>
      <c r="T75" s="2">
        <f>IF(16&lt;=$AP$4,IF($AP$1="P",DAY($AP$3+15),16),"")</f>
        <v/>
      </c>
      <c r="U75" s="2">
        <f>IF(17&lt;=$AP$4,IF($AP$1="P",DAY($AP$3+16),17),"")</f>
        <v/>
      </c>
      <c r="V75" s="2">
        <f>IF(18&lt;=$AP$4,IF($AP$1="P",DAY($AP$3+17),18),"")</f>
        <v/>
      </c>
      <c r="W75" s="2">
        <f>IF(19&lt;=$AP$4,IF($AP$1="P",DAY($AP$3+18),19),"")</f>
        <v/>
      </c>
      <c r="X75" s="2">
        <f>IF(20&lt;=$AP$4,IF($AP$1="P",DAY($AP$3+19),20),"")</f>
        <v/>
      </c>
      <c r="Y75" s="2">
        <f>IF(21&lt;=$AP$4,IF($AP$1="P",DAY($AP$3+20),21),"")</f>
        <v/>
      </c>
      <c r="Z75" s="2">
        <f>IF(22&lt;=$AP$4,IF($AP$1="P",DAY($AP$3+21),22),"")</f>
        <v/>
      </c>
      <c r="AA75" s="2">
        <f>IF(23&lt;=$AP$4,IF($AP$1="P",DAY($AP$3+22),23),"")</f>
        <v/>
      </c>
      <c r="AB75" s="2">
        <f>IF(24&lt;=$AP$4,IF($AP$1="P",DAY($AP$3+23),24),"")</f>
        <v/>
      </c>
      <c r="AC75" s="2">
        <f>IF(25&lt;=$AP$4,IF($AP$1="P",DAY($AP$3+24),25),"")</f>
        <v/>
      </c>
      <c r="AD75" s="2">
        <f>IF(26&lt;=$AP$4,IF($AP$1="P",DAY($AP$3+25),26),"")</f>
        <v/>
      </c>
      <c r="AE75" s="2">
        <f>IF(27&lt;=$AP$4,IF($AP$1="P",DAY($AP$3+26),27),"")</f>
        <v/>
      </c>
      <c r="AF75" s="2">
        <f>IF(28&lt;=$AP$4,IF($AP$1="P",DAY($AP$3+27),28),"")</f>
        <v/>
      </c>
      <c r="AG75" s="2">
        <f>IF(29&lt;=$AP$4,IF($AP$1="P",DAY($AP$3+28),29),"")</f>
        <v/>
      </c>
      <c r="AH75" s="2">
        <f>IF(30&lt;=$AP$4,IF($AP$1="P",DAY($AP$3+29),30),"")</f>
        <v/>
      </c>
      <c r="AI75" s="2">
        <f>IF(31&lt;=$AP$4,IF($AP$1="P",DAY($AP$3+30),31),"")</f>
        <v/>
      </c>
    </row>
    <row r="76" ht="16.2" customHeight="1" thickBot="1">
      <c r="A76" s="109" t="n"/>
      <c r="C76" s="139" t="n"/>
      <c r="D76" s="15" t="inlineStr">
        <is>
          <t>D</t>
        </is>
      </c>
      <c r="E76" s="16">
        <f>COUNTIF(E1:E73,"D")</f>
        <v/>
      </c>
      <c r="F76" s="16">
        <f>COUNTIF(F1:F73,"D")</f>
        <v/>
      </c>
      <c r="G76" s="16">
        <f>COUNTIF(G1:G73,"D")</f>
        <v/>
      </c>
      <c r="H76" s="16">
        <f>COUNTIF(H1:H73,"D")</f>
        <v/>
      </c>
      <c r="I76" s="16">
        <f>COUNTIF(I1:I73,"D")</f>
        <v/>
      </c>
      <c r="J76" s="16">
        <f>COUNTIF(J1:J73,"D")</f>
        <v/>
      </c>
      <c r="K76" s="16">
        <f>COUNTIF(K1:K73,"D")</f>
        <v/>
      </c>
      <c r="L76" s="16">
        <f>COUNTIF(L1:L73,"D")</f>
        <v/>
      </c>
      <c r="M76" s="16">
        <f>COUNTIF(M1:M73,"D")</f>
        <v/>
      </c>
      <c r="N76" s="16">
        <f>COUNTIF(N1:N73,"D")</f>
        <v/>
      </c>
      <c r="O76" s="16">
        <f>COUNTIF(O1:O73,"D")</f>
        <v/>
      </c>
      <c r="P76" s="16">
        <f>COUNTIF(P1:P73,"D")</f>
        <v/>
      </c>
      <c r="Q76" s="16">
        <f>COUNTIF(Q1:Q73,"D")</f>
        <v/>
      </c>
      <c r="R76" s="16">
        <f>COUNTIF(R1:R73,"D")</f>
        <v/>
      </c>
      <c r="S76" s="16">
        <f>COUNTIF(S1:S73,"D")</f>
        <v/>
      </c>
      <c r="T76" s="16">
        <f>COUNTIF(T1:T73,"D")</f>
        <v/>
      </c>
      <c r="U76" s="16">
        <f>COUNTIF(U1:U73,"D")</f>
        <v/>
      </c>
      <c r="V76" s="16">
        <f>COUNTIF(V1:V73,"D")</f>
        <v/>
      </c>
      <c r="W76" s="16">
        <f>COUNTIF(W1:W73,"D")</f>
        <v/>
      </c>
      <c r="X76" s="16">
        <f>COUNTIF(X1:X73,"D")</f>
        <v/>
      </c>
      <c r="Y76" s="16">
        <f>COUNTIF(Y1:Y73,"D")</f>
        <v/>
      </c>
      <c r="Z76" s="16">
        <f>COUNTIF(Z1:Z73,"D")</f>
        <v/>
      </c>
      <c r="AA76" s="16">
        <f>COUNTIF(AA1:AA73,"D")</f>
        <v/>
      </c>
      <c r="AB76" s="16">
        <f>COUNTIF(AB1:AB73,"D")</f>
        <v/>
      </c>
      <c r="AC76" s="16">
        <f>COUNTIF(AC1:AC73,"D")</f>
        <v/>
      </c>
      <c r="AD76" s="16">
        <f>COUNTIF(AD1:AD73,"D")</f>
        <v/>
      </c>
      <c r="AE76" s="16">
        <f>COUNTIF(AE1:AE73,"D")</f>
        <v/>
      </c>
      <c r="AF76" s="16">
        <f>COUNTIF(AF1:AF73,"D")</f>
        <v/>
      </c>
      <c r="AG76" s="16">
        <f>COUNTIF(AG1:AG73,"D")</f>
        <v/>
      </c>
      <c r="AH76" s="16">
        <f>COUNTIF(AH1:AH73,"D")</f>
        <v/>
      </c>
      <c r="AI76" s="16">
        <f>COUNTIF(AI1:AI73,"D")</f>
        <v/>
      </c>
    </row>
    <row r="77" ht="16.2" customHeight="1" thickBot="1">
      <c r="A77" s="109" t="n"/>
      <c r="C77" s="139" t="n"/>
      <c r="D77" s="17" t="inlineStr">
        <is>
          <t>T</t>
        </is>
      </c>
      <c r="E77" s="18">
        <f>COUNTIF(E1:E73,"T")</f>
        <v/>
      </c>
      <c r="F77" s="18">
        <f>COUNTIF(F1:F73,"T")</f>
        <v/>
      </c>
      <c r="G77" s="18">
        <f>COUNTIF(G1:G73,"T")</f>
        <v/>
      </c>
      <c r="H77" s="18">
        <f>COUNTIF(H1:H73,"T")</f>
        <v/>
      </c>
      <c r="I77" s="18">
        <f>COUNTIF(I1:I73,"T")</f>
        <v/>
      </c>
      <c r="J77" s="18">
        <f>COUNTIF(J1:J73,"T")</f>
        <v/>
      </c>
      <c r="K77" s="18">
        <f>COUNTIF(K1:K73,"T")</f>
        <v/>
      </c>
      <c r="L77" s="18">
        <f>COUNTIF(L1:L73,"T")</f>
        <v/>
      </c>
      <c r="M77" s="18">
        <f>COUNTIF(M1:M73,"T")</f>
        <v/>
      </c>
      <c r="N77" s="18">
        <f>COUNTIF(N1:N73,"T")</f>
        <v/>
      </c>
      <c r="O77" s="18">
        <f>COUNTIF(O1:O73,"T")</f>
        <v/>
      </c>
      <c r="P77" s="18">
        <f>COUNTIF(P1:P73,"T")</f>
        <v/>
      </c>
      <c r="Q77" s="18">
        <f>COUNTIF(Q1:Q73,"T")</f>
        <v/>
      </c>
      <c r="R77" s="18">
        <f>COUNTIF(R1:R73,"T")</f>
        <v/>
      </c>
      <c r="S77" s="18">
        <f>COUNTIF(S1:S73,"T")</f>
        <v/>
      </c>
      <c r="T77" s="18">
        <f>COUNTIF(T1:T73,"T")</f>
        <v/>
      </c>
      <c r="U77" s="18">
        <f>COUNTIF(U1:U73,"T")</f>
        <v/>
      </c>
      <c r="V77" s="18">
        <f>COUNTIF(V1:V73,"T")</f>
        <v/>
      </c>
      <c r="W77" s="18">
        <f>COUNTIF(W1:W73,"T")</f>
        <v/>
      </c>
      <c r="X77" s="18">
        <f>COUNTIF(X1:X73,"T")</f>
        <v/>
      </c>
      <c r="Y77" s="18">
        <f>COUNTIF(Y1:Y73,"T")</f>
        <v/>
      </c>
      <c r="Z77" s="18">
        <f>COUNTIF(Z1:Z73,"T")</f>
        <v/>
      </c>
      <c r="AA77" s="18">
        <f>COUNTIF(AA1:AA73,"T")</f>
        <v/>
      </c>
      <c r="AB77" s="18">
        <f>COUNTIF(AB1:AB73,"T")</f>
        <v/>
      </c>
      <c r="AC77" s="18">
        <f>COUNTIF(AC1:AC73,"T")</f>
        <v/>
      </c>
      <c r="AD77" s="18">
        <f>COUNTIF(AD1:AD73,"T")</f>
        <v/>
      </c>
      <c r="AE77" s="18">
        <f>COUNTIF(AE1:AE73,"T")</f>
        <v/>
      </c>
      <c r="AF77" s="18">
        <f>COUNTIF(AF1:AF73,"T")</f>
        <v/>
      </c>
      <c r="AG77" s="18">
        <f>COUNTIF(AG1:AG73,"T")</f>
        <v/>
      </c>
      <c r="AH77" s="18">
        <f>COUNTIF(AH1:AH73,"T")</f>
        <v/>
      </c>
      <c r="AI77" s="18">
        <f>COUNTIF(AI1:AI73,"T")</f>
        <v/>
      </c>
    </row>
    <row r="78" ht="16.2" customHeight="1" thickBot="1">
      <c r="A78" s="124" t="n"/>
      <c r="B78" s="125" t="n"/>
      <c r="C78" s="128" t="n"/>
      <c r="D78" s="19" t="inlineStr">
        <is>
          <t>G</t>
        </is>
      </c>
      <c r="E78" s="20">
        <f>COUNTIF(E1:E73,"G")</f>
        <v/>
      </c>
      <c r="F78" s="20">
        <f>COUNTIF(F1:F73,"G")</f>
        <v/>
      </c>
      <c r="G78" s="20">
        <f>COUNTIF(G1:G73,"G")</f>
        <v/>
      </c>
      <c r="H78" s="20">
        <f>COUNTIF(H1:H73,"G")</f>
        <v/>
      </c>
      <c r="I78" s="20">
        <f>COUNTIF(I1:I73,"G")</f>
        <v/>
      </c>
      <c r="J78" s="20">
        <f>COUNTIF(J1:J73,"G")</f>
        <v/>
      </c>
      <c r="K78" s="20">
        <f>COUNTIF(K1:K73,"G")</f>
        <v/>
      </c>
      <c r="L78" s="20">
        <f>COUNTIF(L1:L73,"G")</f>
        <v/>
      </c>
      <c r="M78" s="20">
        <f>COUNTIF(M1:M73,"G")</f>
        <v/>
      </c>
      <c r="N78" s="20">
        <f>COUNTIF(N1:N73,"G")</f>
        <v/>
      </c>
      <c r="O78" s="20">
        <f>COUNTIF(O1:O73,"G")</f>
        <v/>
      </c>
      <c r="P78" s="20">
        <f>COUNTIF(P1:P73,"G")</f>
        <v/>
      </c>
      <c r="Q78" s="20">
        <f>COUNTIF(Q1:Q73,"G")</f>
        <v/>
      </c>
      <c r="R78" s="20">
        <f>COUNTIF(R1:R73,"G")</f>
        <v/>
      </c>
      <c r="S78" s="20">
        <f>COUNTIF(S1:S73,"G")</f>
        <v/>
      </c>
      <c r="T78" s="20">
        <f>COUNTIF(T1:T73,"G")</f>
        <v/>
      </c>
      <c r="U78" s="20">
        <f>COUNTIF(U1:U73,"G")</f>
        <v/>
      </c>
      <c r="V78" s="20">
        <f>COUNTIF(V1:V73,"G")</f>
        <v/>
      </c>
      <c r="W78" s="20">
        <f>COUNTIF(W1:W73,"G")</f>
        <v/>
      </c>
      <c r="X78" s="20">
        <f>COUNTIF(X1:X73,"G")</f>
        <v/>
      </c>
      <c r="Y78" s="20">
        <f>COUNTIF(Y1:Y73,"G")</f>
        <v/>
      </c>
      <c r="Z78" s="20">
        <f>COUNTIF(Z1:Z73,"G")</f>
        <v/>
      </c>
      <c r="AA78" s="20">
        <f>COUNTIF(AA1:AA73,"G")</f>
        <v/>
      </c>
      <c r="AB78" s="20">
        <f>COUNTIF(AB1:AB73,"G")</f>
        <v/>
      </c>
      <c r="AC78" s="20">
        <f>COUNTIF(AC1:AC73,"G")</f>
        <v/>
      </c>
      <c r="AD78" s="20">
        <f>COUNTIF(AD1:AD73,"G")</f>
        <v/>
      </c>
      <c r="AE78" s="20">
        <f>COUNTIF(AE1:AE73,"G")</f>
        <v/>
      </c>
      <c r="AF78" s="20">
        <f>COUNTIF(AF1:AF73,"G")</f>
        <v/>
      </c>
      <c r="AG78" s="20">
        <f>COUNTIF(AG1:AG73,"G")</f>
        <v/>
      </c>
      <c r="AH78" s="20">
        <f>COUNTIF(AH1:AH73,"G")</f>
        <v/>
      </c>
      <c r="AI78" s="20">
        <f>COUNTIF(AI1:AI73,"G")</f>
        <v/>
      </c>
    </row>
    <row r="79" ht="15" customHeight="1" thickBot="1"/>
    <row r="80" ht="21" customHeight="1" thickBot="1">
      <c r="E80" s="126" t="inlineStr">
        <is>
          <t>SHIFT</t>
        </is>
      </c>
      <c r="F80" s="103" t="n"/>
      <c r="G80" s="103" t="n"/>
      <c r="H80" s="103" t="n"/>
      <c r="I80" s="103" t="n"/>
      <c r="J80" s="104" t="n"/>
    </row>
    <row r="81" ht="16.2" customHeight="1" thickBot="1">
      <c r="E81" s="140" t="inlineStr">
        <is>
          <t>D</t>
        </is>
      </c>
      <c r="F81" s="44" t="inlineStr">
        <is>
          <t>DAY (07:00 - 15:00)</t>
        </is>
      </c>
      <c r="G81" s="103" t="n"/>
      <c r="H81" s="103" t="n"/>
      <c r="I81" s="103" t="n"/>
      <c r="J81" s="104" t="n"/>
    </row>
    <row r="82" ht="16.2" customHeight="1" thickBot="1">
      <c r="E82" s="141" t="inlineStr">
        <is>
          <t>T</t>
        </is>
      </c>
      <c r="F82" s="45" t="inlineStr">
        <is>
          <t>TWI (15:00 - 23:00)</t>
        </is>
      </c>
      <c r="G82" s="103" t="n"/>
      <c r="H82" s="103" t="n"/>
      <c r="I82" s="103" t="n"/>
      <c r="J82" s="104" t="n"/>
      <c r="M82" s="95" t="inlineStr">
        <is>
          <t>ABDULLAH A. ALSHEHRY</t>
        </is>
      </c>
      <c r="N82" s="125" t="n"/>
      <c r="O82" s="125" t="n"/>
      <c r="P82" s="125" t="n"/>
      <c r="Q82" s="125" t="n"/>
      <c r="R82" s="125" t="n"/>
      <c r="S82" s="125" t="n"/>
      <c r="W82" s="96">
        <f>UPPER(TEXT(TODAY(),"DDDD dd/mm/yyyy"))</f>
        <v/>
      </c>
      <c r="X82" s="125" t="n"/>
      <c r="Y82" s="125" t="n"/>
      <c r="Z82" s="125" t="n"/>
      <c r="AA82" s="125" t="n"/>
      <c r="AB82" s="125" t="n"/>
      <c r="AC82" s="125" t="n"/>
    </row>
    <row r="83" ht="16.2" customHeight="1" thickBot="1">
      <c r="E83" s="142" t="inlineStr">
        <is>
          <t>G</t>
        </is>
      </c>
      <c r="F83" s="20" t="inlineStr">
        <is>
          <t>GRV (23:00 - 07:00)</t>
        </is>
      </c>
      <c r="G83" s="103" t="n"/>
      <c r="H83" s="103" t="n"/>
      <c r="I83" s="103" t="n"/>
      <c r="J83" s="104" t="n"/>
      <c r="M83" s="94" t="inlineStr">
        <is>
          <t>SPV CABIN SEC MGR</t>
        </is>
      </c>
      <c r="W83" s="94" t="inlineStr">
        <is>
          <t>DATE</t>
        </is>
      </c>
    </row>
    <row r="85">
      <c r="E85" s="143" t="inlineStr">
        <is>
          <t>CODE LEGEND — ALL CODES</t>
        </is>
      </c>
    </row>
    <row r="86" ht="16" customHeight="1">
      <c r="E86" s="144" t="inlineStr">
        <is>
          <t>D</t>
        </is>
      </c>
      <c r="F86" s="145" t="inlineStr">
        <is>
          <t>DAY</t>
        </is>
      </c>
      <c r="K86" s="146" t="inlineStr">
        <is>
          <t>T</t>
        </is>
      </c>
      <c r="L86" s="145" t="inlineStr">
        <is>
          <t>TWILIGHT</t>
        </is>
      </c>
      <c r="Q86" s="147" t="inlineStr">
        <is>
          <t>G</t>
        </is>
      </c>
      <c r="R86" s="145" t="inlineStr">
        <is>
          <t>GRAVEYARD</t>
        </is>
      </c>
      <c r="W86" s="148" t="inlineStr">
        <is>
          <t>TR</t>
        </is>
      </c>
      <c r="X86" s="145" t="inlineStr">
        <is>
          <t>TRAINING</t>
        </is>
      </c>
      <c r="AC86" s="149" t="inlineStr">
        <is>
          <t>V</t>
        </is>
      </c>
      <c r="AD86" s="145" t="inlineStr">
        <is>
          <t>VACATION</t>
        </is>
      </c>
    </row>
    <row r="87" ht="16" customHeight="1">
      <c r="E87" s="150" t="inlineStr">
        <is>
          <t>R</t>
        </is>
      </c>
      <c r="F87" s="145" t="inlineStr">
        <is>
          <t>REST/RDO</t>
        </is>
      </c>
      <c r="K87" s="151" t="inlineStr">
        <is>
          <t>A</t>
        </is>
      </c>
      <c r="L87" s="145" t="inlineStr">
        <is>
          <t>ABSENT</t>
        </is>
      </c>
      <c r="Q87" s="152" t="inlineStr">
        <is>
          <t>H</t>
        </is>
      </c>
      <c r="R87" s="145" t="inlineStr">
        <is>
          <t>HOLIDAY</t>
        </is>
      </c>
      <c r="W87" s="153" t="inlineStr">
        <is>
          <t>OT</t>
        </is>
      </c>
      <c r="X87" s="145" t="inlineStr">
        <is>
          <t>OVERTIME</t>
        </is>
      </c>
      <c r="AC87" s="154" t="inlineStr">
        <is>
          <t>OS</t>
        </is>
      </c>
      <c r="AD87" s="145" t="inlineStr">
        <is>
          <t>OUTSTATION</t>
        </is>
      </c>
    </row>
    <row r="88" ht="16" customHeight="1">
      <c r="E88" s="155" t="inlineStr">
        <is>
          <t>S/L</t>
        </is>
      </c>
      <c r="F88" s="145" t="inlineStr">
        <is>
          <t>SICK LEAVE</t>
        </is>
      </c>
      <c r="K88" s="156" t="inlineStr">
        <is>
          <t>C/T</t>
        </is>
      </c>
      <c r="L88" s="145" t="inlineStr">
        <is>
          <t>COMP TIME</t>
        </is>
      </c>
      <c r="Q88" s="157" t="inlineStr">
        <is>
          <t>L</t>
        </is>
      </c>
      <c r="R88" s="145" t="inlineStr">
        <is>
          <t>LATE/LEAVE</t>
        </is>
      </c>
      <c r="W88" s="158" t="inlineStr">
        <is>
          <t>N</t>
        </is>
      </c>
      <c r="X88" s="145" t="inlineStr">
        <is>
          <t>NOTE</t>
        </is>
      </c>
    </row>
    <row r="91">
      <c r="A91" s="159" t="inlineStr">
        <is>
          <t>MONTHLY</t>
        </is>
      </c>
      <c r="B91" s="160" t="n"/>
      <c r="C91" s="160" t="n"/>
      <c r="D91" s="160" t="n"/>
    </row>
    <row r="92" ht="17" customHeight="1">
      <c r="A92" s="161" t="inlineStr">
        <is>
          <t>MONTH</t>
        </is>
      </c>
      <c r="B92" s="162" t="inlineStr">
        <is>
          <t>JUL</t>
        </is>
      </c>
      <c r="C92" s="163" t="n"/>
      <c r="D92" s="163" t="n"/>
    </row>
    <row r="93" ht="17" customHeight="1">
      <c r="A93" s="161" t="inlineStr">
        <is>
          <t>YEAR</t>
        </is>
      </c>
      <c r="B93" s="162" t="n">
        <v>2026</v>
      </c>
      <c r="C93" s="163" t="n"/>
      <c r="D93" s="163" t="n"/>
    </row>
    <row r="94">
      <c r="A94" s="164" t="inlineStr">
        <is>
          <t>— OR —</t>
        </is>
      </c>
    </row>
    <row r="95">
      <c r="A95" s="165" t="inlineStr">
        <is>
          <t>CUSTOM PERIOD</t>
        </is>
      </c>
      <c r="B95" s="160" t="n"/>
      <c r="C95" s="160" t="n"/>
      <c r="D95" s="160" t="n"/>
    </row>
    <row r="96" ht="17" customHeight="1">
      <c r="A96" s="161" t="inlineStr">
        <is>
          <t>START</t>
        </is>
      </c>
      <c r="B96" s="166" t="n"/>
      <c r="C96" s="163" t="n"/>
      <c r="D96" s="163" t="n"/>
    </row>
    <row r="97" ht="17" customHeight="1">
      <c r="A97" s="161" t="inlineStr">
        <is>
          <t>DAYS</t>
        </is>
      </c>
      <c r="B97" s="162" t="n"/>
      <c r="C97" s="163" t="n"/>
      <c r="D97" s="163" t="n"/>
    </row>
    <row r="98">
      <c r="A98" s="167" t="inlineStr">
        <is>
          <t>fill START to switch to period</t>
        </is>
      </c>
    </row>
  </sheetData>
  <mergeCells count="49">
    <mergeCell ref="X88:AA88"/>
    <mergeCell ref="A91:D91"/>
    <mergeCell ref="E2:AC2"/>
    <mergeCell ref="C1:C2"/>
    <mergeCell ref="AD87:AG87"/>
    <mergeCell ref="A74:C78"/>
    <mergeCell ref="W82:AC82"/>
    <mergeCell ref="E80:J80"/>
    <mergeCell ref="F83:J83"/>
    <mergeCell ref="F88:I88"/>
    <mergeCell ref="L86:O86"/>
    <mergeCell ref="A46:D47"/>
    <mergeCell ref="AD1:AI2"/>
    <mergeCell ref="A3:D4"/>
    <mergeCell ref="F87:I87"/>
    <mergeCell ref="B92:D92"/>
    <mergeCell ref="E62:H62"/>
    <mergeCell ref="B1:B2"/>
    <mergeCell ref="M83:S83"/>
    <mergeCell ref="X86:AA86"/>
    <mergeCell ref="A98:D98"/>
    <mergeCell ref="A94:D94"/>
    <mergeCell ref="R88:U88"/>
    <mergeCell ref="E64:H64"/>
    <mergeCell ref="R87:U87"/>
    <mergeCell ref="F81:J81"/>
    <mergeCell ref="A22:D23"/>
    <mergeCell ref="D74:D75"/>
    <mergeCell ref="W83:AC83"/>
    <mergeCell ref="A42:D43"/>
    <mergeCell ref="L87:O87"/>
    <mergeCell ref="M82:S82"/>
    <mergeCell ref="B97:D97"/>
    <mergeCell ref="X87:AA87"/>
    <mergeCell ref="F86:I86"/>
    <mergeCell ref="E63:H63"/>
    <mergeCell ref="E60:H60"/>
    <mergeCell ref="E1:AC1"/>
    <mergeCell ref="E65:H65"/>
    <mergeCell ref="L88:O88"/>
    <mergeCell ref="B93:D93"/>
    <mergeCell ref="F82:J82"/>
    <mergeCell ref="B96:D96"/>
    <mergeCell ref="R86:U86"/>
    <mergeCell ref="D1:D2"/>
    <mergeCell ref="E59:H59"/>
    <mergeCell ref="A95:D95"/>
    <mergeCell ref="AD86:AG86"/>
    <mergeCell ref="A1:A2"/>
  </mergeCells>
  <conditionalFormatting sqref="E21:O21 E24:AI40 E44:AI44 E45:O45 E48:AI56 E57:E72 E73:O73 I57:AI72">
    <cfRule type="containsText" priority="13" operator="containsText" dxfId="11" text="TR">
      <formula>NOT(ISERROR(SEARCH("TR",E21)))</formula>
    </cfRule>
    <cfRule type="containsText" priority="14" operator="containsText" dxfId="10" text="V">
      <formula>NOT(ISERROR(SEARCH("V",E21)))</formula>
    </cfRule>
    <cfRule type="containsText" priority="15" operator="containsText" dxfId="3" text="R">
      <formula>NOT(ISERROR(SEARCH("R",E21)))</formula>
    </cfRule>
    <cfRule type="containsText" priority="16" operator="containsText" dxfId="8" text="G">
      <formula>NOT(ISERROR(SEARCH("G",E21)))</formula>
    </cfRule>
    <cfRule type="containsText" priority="17" operator="containsText" dxfId="7" text="T">
      <formula>NOT(ISERROR(SEARCH("T",E21)))</formula>
    </cfRule>
    <cfRule type="containsText" priority="18" operator="containsText" dxfId="6" text="D">
      <formula>NOT(ISERROR(SEARCH("D",E21)))</formula>
    </cfRule>
  </conditionalFormatting>
  <conditionalFormatting sqref="E5:AI20">
    <cfRule type="containsText" priority="1" operator="containsText" dxfId="5" text="TR">
      <formula>NOT(ISERROR(SEARCH("TR",E5)))</formula>
    </cfRule>
    <cfRule type="containsText" priority="2" operator="containsText" dxfId="4" text="V">
      <formula>NOT(ISERROR(SEARCH("V",E5)))</formula>
    </cfRule>
    <cfRule type="containsText" priority="3" operator="containsText" dxfId="3" text="R">
      <formula>NOT(ISERROR(SEARCH("R",E5)))</formula>
    </cfRule>
    <cfRule type="containsText" priority="4" operator="containsText" dxfId="2" text="G">
      <formula>NOT(ISERROR(SEARCH("G",E5)))</formula>
    </cfRule>
    <cfRule type="containsText" priority="5" operator="containsText" dxfId="1" text="T">
      <formula>NOT(ISERROR(SEARCH("T",E5)))</formula>
    </cfRule>
    <cfRule type="containsText" priority="6" operator="containsText" dxfId="0" text="D">
      <formula>NOT(ISERROR(SEARCH("D",E5)))</formula>
    </cfRule>
  </conditionalFormatting>
  <conditionalFormatting sqref="E5:AI73">
    <cfRule type="cellIs" priority="13" operator="equal" dxfId="12">
      <formula>"A"</formula>
    </cfRule>
    <cfRule type="cellIs" priority="14" operator="equal" dxfId="13">
      <formula>"H"</formula>
    </cfRule>
    <cfRule type="cellIs" priority="15" operator="equal" dxfId="14">
      <formula>"OT"</formula>
    </cfRule>
    <cfRule type="cellIs" priority="16" operator="equal" dxfId="15">
      <formula>"OS"</formula>
    </cfRule>
    <cfRule type="cellIs" priority="17" operator="equal" dxfId="16">
      <formula>"S/L"</formula>
    </cfRule>
    <cfRule type="cellIs" priority="18" operator="equal" dxfId="17">
      <formula>"C/T"</formula>
    </cfRule>
    <cfRule type="cellIs" priority="19" operator="equal" dxfId="18">
      <formula>"L"</formula>
    </cfRule>
    <cfRule type="cellIs" priority="20" operator="equal" dxfId="19">
      <formula>"N"</formula>
    </cfRule>
  </conditionalFormatting>
  <conditionalFormatting sqref="A5:D73">
    <cfRule type="expression" priority="21" dxfId="20">
      <formula>$D5="OJT"</formula>
    </cfRule>
    <cfRule type="expression" priority="22" dxfId="21">
      <formula>$D5="ACT/SUPV"</formula>
    </cfRule>
  </conditionalFormatting>
  <printOptions horizontalCentered="1"/>
  <pageMargins left="0.25" right="0.25" top="0.3" bottom="0.3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Saeed Alghamdi</dc:creator>
  <dcterms:created xmlns:dcterms="http://purl.org/dc/terms/" xmlns:xsi="http://www.w3.org/2001/XMLSchema-instance" xsi:type="dcterms:W3CDTF">2026-07-02T08:03:38Z</dcterms:created>
  <dcterms:modified xmlns:dcterms="http://purl.org/dc/terms/" xmlns:xsi="http://www.w3.org/2001/XMLSchema-instance" xsi:type="dcterms:W3CDTF">2026-09-09T18:38:05Z</dcterms:modified>
  <cp:lastModifiedBy>Ahmed Saeed Alghamdi</cp:lastModifiedBy>
</cp:coreProperties>
</file>