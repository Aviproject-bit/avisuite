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4D69BEDB-C11C-4A07-A4D3-740F1D4EE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TER" sheetId="1" r:id="rId1"/>
  </sheets>
  <definedNames>
    <definedName name="_xlnm.Print_Area" localSheetId="0">ROSTER!$A$1:$AI$79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3" i="1" l="1"/>
  <c r="BA12" i="1"/>
  <c r="BA6" i="1"/>
  <c r="BA2" i="1"/>
  <c r="BA7" i="1" l="1"/>
  <c r="BA8" i="1" l="1"/>
  <c r="BA9" i="1"/>
  <c r="BA11" i="1" l="1"/>
  <c r="BA10" i="1"/>
  <c r="BA5" i="1" l="1"/>
  <c r="BA1" i="1" s="1"/>
  <c r="AK4" i="1" l="1"/>
  <c r="BA3" i="1"/>
  <c r="E2" i="1" s="1"/>
  <c r="BA4" i="1" l="1"/>
  <c r="E39" i="1" l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E40" i="1"/>
  <c r="F40" i="1"/>
  <c r="G40" i="1"/>
  <c r="H40" i="1"/>
  <c r="J40" i="1"/>
  <c r="K40" i="1"/>
  <c r="L40" i="1"/>
  <c r="M40" i="1"/>
  <c r="N40" i="1"/>
  <c r="O40" i="1"/>
  <c r="P40" i="1"/>
  <c r="Q40" i="1"/>
  <c r="R40" i="1"/>
  <c r="S40" i="1"/>
  <c r="T40" i="1"/>
  <c r="U40" i="1"/>
  <c r="W40" i="1"/>
  <c r="X40" i="1"/>
  <c r="Y40" i="1"/>
  <c r="AA40" i="1"/>
  <c r="AB40" i="1"/>
  <c r="AD40" i="1"/>
  <c r="AH40" i="1"/>
  <c r="I40" i="1"/>
  <c r="Z40" i="1"/>
  <c r="AC40" i="1"/>
  <c r="AF40" i="1"/>
  <c r="AI40" i="1"/>
  <c r="V40" i="1"/>
  <c r="AE40" i="1"/>
  <c r="AG40" i="1"/>
  <c r="O23" i="1"/>
  <c r="AI66" i="1"/>
  <c r="T4" i="1"/>
  <c r="E56" i="1"/>
  <c r="H56" i="1"/>
  <c r="K56" i="1"/>
  <c r="U22" i="1"/>
  <c r="F23" i="1"/>
  <c r="I23" i="1"/>
  <c r="M23" i="1"/>
  <c r="Q23" i="1"/>
  <c r="AG66" i="1"/>
  <c r="E4" i="1"/>
  <c r="H22" i="1"/>
  <c r="G23" i="1"/>
  <c r="K23" i="1"/>
  <c r="T23" i="1"/>
  <c r="N56" i="1"/>
  <c r="P56" i="1"/>
  <c r="T56" i="1"/>
  <c r="W56" i="1"/>
  <c r="Z56" i="1"/>
  <c r="O4" i="1"/>
  <c r="Q4" i="1"/>
  <c r="V4" i="1"/>
  <c r="G56" i="1"/>
  <c r="J56" i="1"/>
  <c r="M56" i="1"/>
  <c r="Q56" i="1"/>
  <c r="R56" i="1"/>
  <c r="U56" i="1"/>
  <c r="X56" i="1"/>
  <c r="AA56" i="1"/>
  <c r="AD56" i="1"/>
  <c r="AG56" i="1"/>
  <c r="E57" i="1"/>
  <c r="O22" i="1"/>
  <c r="X22" i="1"/>
  <c r="W4" i="1"/>
  <c r="I57" i="1"/>
  <c r="Y57" i="1"/>
  <c r="Z66" i="1"/>
  <c r="AE66" i="1"/>
  <c r="F4" i="1"/>
  <c r="I4" i="1"/>
  <c r="M4" i="1"/>
  <c r="P4" i="1"/>
  <c r="F56" i="1"/>
  <c r="I56" i="1"/>
  <c r="L56" i="1"/>
  <c r="O56" i="1"/>
  <c r="S56" i="1"/>
  <c r="V56" i="1"/>
  <c r="Y56" i="1"/>
  <c r="AB56" i="1"/>
  <c r="Z3" i="1"/>
  <c r="AC3" i="1"/>
  <c r="AC66" i="1"/>
  <c r="H4" i="1"/>
  <c r="U4" i="1"/>
  <c r="AB4" i="1"/>
  <c r="AH4" i="1"/>
  <c r="J22" i="1"/>
  <c r="R22" i="1"/>
  <c r="Y22" i="1"/>
  <c r="AB22" i="1"/>
  <c r="AF56" i="1"/>
  <c r="AH56" i="1"/>
  <c r="F57" i="1"/>
  <c r="H57" i="1"/>
  <c r="K57" i="1"/>
  <c r="M57" i="1"/>
  <c r="N57" i="1"/>
  <c r="P57" i="1"/>
  <c r="R57" i="1"/>
  <c r="S57" i="1"/>
  <c r="T57" i="1"/>
  <c r="U57" i="1"/>
  <c r="V57" i="1"/>
  <c r="W57" i="1"/>
  <c r="X57" i="1"/>
  <c r="Z57" i="1"/>
  <c r="AA57" i="1"/>
  <c r="AB57" i="1"/>
  <c r="W3" i="1"/>
  <c r="AD3" i="1"/>
  <c r="AI3" i="1"/>
  <c r="L4" i="1"/>
  <c r="X4" i="1"/>
  <c r="AA4" i="1"/>
  <c r="AF4" i="1"/>
  <c r="AC57" i="1"/>
  <c r="AD57" i="1"/>
  <c r="AE57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K3" i="1"/>
  <c r="AI4" i="1"/>
  <c r="V22" i="1"/>
  <c r="W22" i="1"/>
  <c r="W23" i="1"/>
  <c r="AA23" i="1"/>
  <c r="AB23" i="1"/>
  <c r="AE23" i="1"/>
  <c r="AG23" i="1"/>
  <c r="AI23" i="1"/>
  <c r="V65" i="1"/>
  <c r="Y65" i="1"/>
  <c r="AB65" i="1"/>
  <c r="AG65" i="1"/>
  <c r="M3" i="1"/>
  <c r="O3" i="1"/>
  <c r="Q3" i="1"/>
  <c r="S3" i="1"/>
  <c r="U3" i="1"/>
  <c r="X3" i="1"/>
  <c r="AA3" i="1"/>
  <c r="AE3" i="1"/>
  <c r="H3" i="1"/>
  <c r="S4" i="1"/>
  <c r="Z4" i="1"/>
  <c r="AD4" i="1"/>
  <c r="AG4" i="1"/>
  <c r="AD66" i="1"/>
  <c r="L22" i="1"/>
  <c r="AA22" i="1"/>
  <c r="F3" i="1"/>
  <c r="R4" i="1"/>
  <c r="T66" i="1"/>
  <c r="U66" i="1"/>
  <c r="V66" i="1"/>
  <c r="W66" i="1"/>
  <c r="X66" i="1"/>
  <c r="Y66" i="1"/>
  <c r="AB66" i="1"/>
  <c r="E3" i="1"/>
  <c r="I3" i="1"/>
  <c r="J3" i="1"/>
  <c r="L3" i="1"/>
  <c r="N3" i="1"/>
  <c r="P3" i="1"/>
  <c r="R3" i="1"/>
  <c r="T3" i="1"/>
  <c r="V3" i="1"/>
  <c r="Y3" i="1"/>
  <c r="AB3" i="1"/>
  <c r="AF3" i="1"/>
  <c r="AH3" i="1"/>
  <c r="N4" i="1"/>
  <c r="Y4" i="1"/>
  <c r="AC4" i="1"/>
  <c r="AE4" i="1"/>
  <c r="G22" i="1"/>
  <c r="Z22" i="1"/>
  <c r="AC22" i="1"/>
  <c r="K4" i="1"/>
  <c r="AG3" i="1"/>
  <c r="Y23" i="1"/>
  <c r="AC23" i="1"/>
  <c r="AF23" i="1"/>
  <c r="W65" i="1"/>
  <c r="Z65" i="1"/>
  <c r="AC65" i="1"/>
  <c r="AE65" i="1"/>
  <c r="AH65" i="1"/>
  <c r="AE22" i="1"/>
  <c r="AF22" i="1"/>
  <c r="AG22" i="1"/>
  <c r="F22" i="1"/>
  <c r="I22" i="1"/>
  <c r="N22" i="1"/>
  <c r="P22" i="1"/>
  <c r="S22" i="1"/>
  <c r="AH22" i="1"/>
  <c r="AI22" i="1"/>
  <c r="E23" i="1"/>
  <c r="H23" i="1"/>
  <c r="J23" i="1"/>
  <c r="L23" i="1"/>
  <c r="N23" i="1"/>
  <c r="P23" i="1"/>
  <c r="R23" i="1"/>
  <c r="S23" i="1"/>
  <c r="X23" i="1"/>
  <c r="E22" i="1"/>
  <c r="K22" i="1"/>
  <c r="M22" i="1"/>
  <c r="Q22" i="1"/>
  <c r="T22" i="1"/>
  <c r="AD22" i="1"/>
  <c r="U23" i="1"/>
  <c r="V23" i="1"/>
  <c r="Z23" i="1"/>
  <c r="AD23" i="1"/>
  <c r="AH23" i="1"/>
  <c r="U65" i="1"/>
  <c r="AA65" i="1"/>
  <c r="AD65" i="1"/>
  <c r="AI65" i="1"/>
  <c r="AC56" i="1"/>
  <c r="AE56" i="1"/>
  <c r="AI56" i="1"/>
  <c r="G57" i="1"/>
  <c r="J57" i="1"/>
  <c r="L57" i="1"/>
  <c r="O57" i="1"/>
  <c r="Q57" i="1"/>
  <c r="AA66" i="1"/>
  <c r="AF66" i="1"/>
  <c r="AH66" i="1"/>
  <c r="G3" i="1"/>
  <c r="G4" i="1"/>
  <c r="J4" i="1"/>
  <c r="AF57" i="1"/>
  <c r="AG57" i="1"/>
  <c r="AH57" i="1"/>
  <c r="AI57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X65" i="1"/>
  <c r="AF65" i="1"/>
  <c r="L68" i="1" l="1"/>
  <c r="R67" i="1"/>
  <c r="R68" i="1"/>
  <c r="I69" i="1"/>
  <c r="W69" i="1"/>
  <c r="K69" i="1"/>
  <c r="R69" i="1"/>
  <c r="AF68" i="1"/>
  <c r="G68" i="1"/>
  <c r="J67" i="1"/>
  <c r="N67" i="1"/>
  <c r="N69" i="1"/>
  <c r="N68" i="1"/>
  <c r="P69" i="1"/>
  <c r="P68" i="1"/>
  <c r="P67" i="1"/>
  <c r="AB69" i="1"/>
  <c r="AB67" i="1"/>
  <c r="AB68" i="1"/>
  <c r="AF67" i="1"/>
  <c r="AF69" i="1"/>
  <c r="K68" i="1"/>
  <c r="K67" i="1"/>
  <c r="S68" i="1"/>
  <c r="S69" i="1"/>
  <c r="S67" i="1"/>
  <c r="U68" i="1"/>
  <c r="U67" i="1"/>
  <c r="U69" i="1"/>
  <c r="X69" i="1"/>
  <c r="X67" i="1"/>
  <c r="X68" i="1"/>
  <c r="AA67" i="1"/>
  <c r="AA68" i="1"/>
  <c r="AA69" i="1"/>
  <c r="AD67" i="1"/>
  <c r="AD69" i="1"/>
  <c r="AD68" i="1"/>
  <c r="T68" i="1"/>
  <c r="T69" i="1"/>
  <c r="T67" i="1"/>
  <c r="V67" i="1"/>
  <c r="V69" i="1"/>
  <c r="V68" i="1"/>
  <c r="Y68" i="1"/>
  <c r="Y67" i="1"/>
  <c r="Y69" i="1"/>
  <c r="AH67" i="1"/>
  <c r="AH68" i="1"/>
  <c r="AH69" i="1"/>
  <c r="AC68" i="1"/>
  <c r="AC69" i="1"/>
  <c r="AC67" i="1"/>
  <c r="AE69" i="1"/>
  <c r="AE68" i="1"/>
  <c r="AE67" i="1"/>
  <c r="Z68" i="1"/>
  <c r="Z69" i="1"/>
  <c r="Z67" i="1"/>
  <c r="AG68" i="1"/>
  <c r="AG69" i="1"/>
  <c r="AG67" i="1"/>
  <c r="F67" i="1"/>
  <c r="F68" i="1"/>
  <c r="F69" i="1"/>
  <c r="I67" i="1"/>
  <c r="I68" i="1"/>
  <c r="AI68" i="1"/>
  <c r="AI67" i="1"/>
  <c r="AI69" i="1"/>
  <c r="H68" i="1"/>
  <c r="H67" i="1"/>
  <c r="H69" i="1"/>
  <c r="J68" i="1"/>
  <c r="J69" i="1"/>
  <c r="L69" i="1"/>
  <c r="L67" i="1"/>
  <c r="E69" i="1"/>
  <c r="E68" i="1"/>
  <c r="E67" i="1"/>
  <c r="M68" i="1"/>
  <c r="M69" i="1"/>
  <c r="M67" i="1"/>
  <c r="Q67" i="1"/>
  <c r="Q69" i="1"/>
  <c r="Q68" i="1"/>
  <c r="O68" i="1"/>
  <c r="O69" i="1"/>
  <c r="O67" i="1"/>
  <c r="W68" i="1"/>
  <c r="W67" i="1"/>
  <c r="G67" i="1"/>
  <c r="G69" i="1"/>
</calcChain>
</file>

<file path=xl/sharedStrings.xml><?xml version="1.0" encoding="utf-8"?>
<sst xmlns="http://schemas.openxmlformats.org/spreadsheetml/2006/main" count="163" uniqueCount="102">
  <si>
    <t>#</t>
  </si>
  <si>
    <t>PRN</t>
  </si>
  <si>
    <t>NAME</t>
  </si>
  <si>
    <t>Posn</t>
  </si>
  <si>
    <t>SPV Cabin Employee Roster</t>
  </si>
  <si>
    <t>CC: 264</t>
  </si>
  <si>
    <t>MONTHLY</t>
  </si>
  <si>
    <t>CUSTOM PERIOD</t>
  </si>
  <si>
    <t>MONTH</t>
  </si>
  <si>
    <t>OR</t>
  </si>
  <si>
    <t>START</t>
  </si>
  <si>
    <t>CREW 1</t>
  </si>
  <si>
    <t>YEAR</t>
  </si>
  <si>
    <t>DAYS</t>
  </si>
  <si>
    <t>HOMAID ALJAHDALI</t>
  </si>
  <si>
    <t>ACT/SUPV</t>
  </si>
  <si>
    <t>RONILO NOGADAS AMEN</t>
  </si>
  <si>
    <t>AHMED M. ALWAHBI</t>
  </si>
  <si>
    <t>NAIF ALANEZI</t>
  </si>
  <si>
    <t>RODEL CLEMENTE</t>
  </si>
  <si>
    <t>TECH</t>
  </si>
  <si>
    <t>FYSAL M. ALEDAINI</t>
  </si>
  <si>
    <t>OJT</t>
  </si>
  <si>
    <t>MASHHOUR ALSULAIMANI</t>
  </si>
  <si>
    <t>JEHAD M. HAKAMI</t>
  </si>
  <si>
    <t>ABDULAZIZ ZAKOUR</t>
  </si>
  <si>
    <t>MUHAMMED ALSHAIKH</t>
  </si>
  <si>
    <t>AHMED M. ALYAMANI</t>
  </si>
  <si>
    <t>SYAHLENDRA SYAMSOE</t>
  </si>
  <si>
    <t>FITTER</t>
  </si>
  <si>
    <t>MOHAMMAD KAIFI</t>
  </si>
  <si>
    <t>ALI ALAHMADI</t>
  </si>
  <si>
    <t>HOSSAM ALGHAMDI</t>
  </si>
  <si>
    <t>JIMRICKS AQINO</t>
  </si>
  <si>
    <t>CREW 2</t>
  </si>
  <si>
    <t>AHMED AL-GHAMDI</t>
  </si>
  <si>
    <t>AHMED S. ALGHAMDI</t>
  </si>
  <si>
    <t>MOHAMMED BAROOM</t>
  </si>
  <si>
    <t>ABDULAZIZ F. ALBOUQ</t>
  </si>
  <si>
    <t>YOUSEF BARIFAH</t>
  </si>
  <si>
    <t>AHMED ALSHARIF</t>
  </si>
  <si>
    <t>HUSSAM ALTHUBAITI</t>
  </si>
  <si>
    <t>FADUL A. FADUL</t>
  </si>
  <si>
    <t>FOUAD A. MOJALLY</t>
  </si>
  <si>
    <t>SAAD A. ALQAHTANI</t>
  </si>
  <si>
    <t>RAKAN AGILY</t>
  </si>
  <si>
    <t>OLANDRES JR BEINVENIDO</t>
  </si>
  <si>
    <t>JASON C. GUEVARRA</t>
  </si>
  <si>
    <t>SAMEER ALDUSUQI</t>
  </si>
  <si>
    <t>SPECIAL SHIFTING</t>
  </si>
  <si>
    <t>KHALID FAISAL AL-ALAWI</t>
  </si>
  <si>
    <t>SUPV</t>
  </si>
  <si>
    <t>MANSOUR ALHARBI</t>
  </si>
  <si>
    <t>AYMAN HAMED</t>
  </si>
  <si>
    <t>HAZEM ALSUBHI</t>
  </si>
  <si>
    <t>SIRAJ KHAYAT</t>
  </si>
  <si>
    <t>SALMAN ALJAADANI</t>
  </si>
  <si>
    <t>EID ALRIFAI</t>
  </si>
  <si>
    <t>MUAED MEERA</t>
  </si>
  <si>
    <t>TOTAL DAILY CREWS MANPOWER</t>
  </si>
  <si>
    <t>SHIFT</t>
  </si>
  <si>
    <t>D</t>
  </si>
  <si>
    <t>T</t>
  </si>
  <si>
    <t>G</t>
  </si>
  <si>
    <t>DATE</t>
  </si>
  <si>
    <t>CODE LEGEND — ALL CODES</t>
  </si>
  <si>
    <t>DAY</t>
  </si>
  <si>
    <t>TWILIGHT</t>
  </si>
  <si>
    <t>GRAVEYARD</t>
  </si>
  <si>
    <t>TR</t>
  </si>
  <si>
    <t>TRAINING</t>
  </si>
  <si>
    <t>V</t>
  </si>
  <si>
    <t>VACATION</t>
  </si>
  <si>
    <t>R</t>
  </si>
  <si>
    <t>REST/RDO</t>
  </si>
  <si>
    <t>A</t>
  </si>
  <si>
    <t>ABSENT</t>
  </si>
  <si>
    <t>H</t>
  </si>
  <si>
    <t>HOLIDAY</t>
  </si>
  <si>
    <t>OT</t>
  </si>
  <si>
    <t>OVERTIME</t>
  </si>
  <si>
    <t>OS</t>
  </si>
  <si>
    <t>OUTSTATION</t>
  </si>
  <si>
    <t>S/L</t>
  </si>
  <si>
    <t>SICK LEAVE</t>
  </si>
  <si>
    <t>C/T</t>
  </si>
  <si>
    <t>COMP TIME</t>
  </si>
  <si>
    <t>L</t>
  </si>
  <si>
    <t>LATE/LEAVE</t>
  </si>
  <si>
    <t>N</t>
  </si>
  <si>
    <t>NOTE</t>
  </si>
  <si>
    <t>FAHAD ALZAHRANI</t>
  </si>
  <si>
    <t>FAISAL MAQBUL</t>
  </si>
  <si>
    <t>WALEED ALGHAMDI</t>
  </si>
  <si>
    <t>FAISAL ALHARTHI</t>
  </si>
  <si>
    <t>AMAR ALHEJAILI</t>
  </si>
  <si>
    <t>AHMED ALAHMADI</t>
  </si>
  <si>
    <t>MOHAMMED ALOQBI</t>
  </si>
  <si>
    <t>CREW 3</t>
  </si>
  <si>
    <t>DAY (06:00 - 14:00)</t>
  </si>
  <si>
    <t>TWI (14:00 - 22:00)</t>
  </si>
  <si>
    <t>GRV (22:00 - 06:00)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</si>
</sst>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8" x14ac:knownFonts="1">
    <font>
      <sz val="11"/>
      <color theme="1"/>
      <name val="Aptos Narrow"/>
      <family val="2"/>
      <scheme val="minor"/>
    </font>
    <font>
      <b/>
      <sz val="16"/>
      <color rgb="FFFFFFFF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6"/>
      <color theme="0"/>
      <name val="Times New Roman"/>
      <family val="1"/>
    </font>
    <font>
      <b/>
      <sz val="24"/>
      <color theme="0"/>
      <name val="Times New Roman"/>
      <family val="1"/>
    </font>
    <font>
      <b/>
      <sz val="12"/>
      <name val="Times New Roman"/>
      <family val="1"/>
    </font>
    <font>
      <b/>
      <sz val="9"/>
      <color rgb="FFFFFFFF"/>
      <name val="Times New Roman"/>
    </font>
    <font>
      <b/>
      <sz val="9"/>
      <color rgb="FF6B7280"/>
      <name val="Times New Roman"/>
    </font>
    <font>
      <b/>
      <sz val="8.5"/>
      <name val="Times New Roman"/>
    </font>
    <font>
      <b/>
      <sz val="11"/>
      <color rgb="FFB45309"/>
      <name val="Times New Roman"/>
    </font>
    <font>
      <sz val="11"/>
      <name val="Times New Roman"/>
    </font>
    <font>
      <sz val="12"/>
      <name val="Times New Roman"/>
    </font>
    <font>
      <b/>
      <sz val="10"/>
      <color rgb="FF196B24"/>
      <name val="Times New Roman"/>
    </font>
    <font>
      <b/>
      <sz val="8.5"/>
      <color rgb="FF196B24"/>
      <name val="Times New Roman"/>
    </font>
    <font>
      <b/>
      <sz val="11"/>
      <color theme="1"/>
      <name val="Aptos Narrow"/>
      <family val="2"/>
      <scheme val="minor"/>
    </font>
    <font>
      <b/>
      <sz val="9"/>
      <name val="Times New Roman"/>
      <family val="1"/>
    </font>
    <font>
      <b/>
      <sz val="10"/>
      <color rgb="FFF9FAFB"/>
      <name val="Times New Roman"/>
      <family val="1"/>
    </font>
    <font>
      <b/>
      <sz val="10"/>
      <color rgb="FF7E22CE"/>
      <name val="Times New Roman"/>
      <family val="1"/>
    </font>
    <font>
      <b/>
      <sz val="10"/>
      <color rgb="FFC2410C"/>
      <name val="Times New Roman"/>
      <family val="1"/>
    </font>
    <font>
      <b/>
      <sz val="10"/>
      <color rgb="FF3730A3"/>
      <name val="Times New Roman"/>
      <family val="1"/>
    </font>
    <font>
      <b/>
      <sz val="10"/>
      <color rgb="FFBE123C"/>
      <name val="Times New Roman"/>
      <family val="1"/>
    </font>
    <font>
      <b/>
      <sz val="10"/>
      <color rgb="FF3F6212"/>
      <name val="Times New Roman"/>
      <family val="1"/>
    </font>
    <font>
      <b/>
      <sz val="10"/>
      <color rgb="FF475569"/>
      <name val="Times New Roman"/>
      <family val="1"/>
    </font>
    <font>
      <b/>
      <sz val="10"/>
      <color rgb="FF713F12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96B24"/>
      </patternFill>
    </fill>
    <fill>
      <patternFill patternType="solid">
        <fgColor rgb="FFEEF2F0"/>
      </patternFill>
    </fill>
    <fill>
      <patternFill patternType="solid">
        <fgColor rgb="FFFFF8E1"/>
      </patternFill>
    </fill>
    <fill>
      <patternFill patternType="solid">
        <fgColor rgb="FFFFFF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499984740745262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0" tint="-0.24994659260841701"/>
        <bgColor indexed="65"/>
      </patternFill>
    </fill>
    <fill>
      <patternFill patternType="solid">
        <fgColor rgb="FF1F2937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ECFCCB"/>
      </patternFill>
    </fill>
    <fill>
      <patternFill patternType="solid">
        <fgColor rgb="FFF1F5F9"/>
      </patternFill>
    </fill>
    <fill>
      <patternFill patternType="solid">
        <fgColor rgb="FFFEF9C3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/>
    <xf numFmtId="0" fontId="0" fillId="0" borderId="28" xfId="0" applyBorder="1"/>
    <xf numFmtId="0" fontId="13" fillId="0" borderId="28" xfId="0" applyFont="1" applyBorder="1" applyAlignment="1">
      <alignment horizontal="center" vertical="center"/>
    </xf>
    <xf numFmtId="0" fontId="0" fillId="0" borderId="0" xfId="0"/>
    <xf numFmtId="49" fontId="13" fillId="10" borderId="27" xfId="0" applyNumberFormat="1" applyFont="1" applyFill="1" applyBorder="1" applyAlignment="1">
      <alignment horizontal="center" vertical="center"/>
    </xf>
    <xf numFmtId="0" fontId="0" fillId="10" borderId="27" xfId="0" applyFill="1" applyBorder="1"/>
    <xf numFmtId="164" fontId="1" fillId="2" borderId="12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12" xfId="0" applyFont="1" applyFill="1" applyBorder="1" applyAlignment="1">
      <alignment horizontal="center" vertical="center"/>
    </xf>
    <xf numFmtId="0" fontId="0" fillId="0" borderId="5" xfId="0" applyBorder="1"/>
    <xf numFmtId="0" fontId="8" fillId="4" borderId="1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3" fillId="0" borderId="2" xfId="0" applyNumberFormat="1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8" borderId="3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2" fillId="11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indent="1"/>
    </xf>
    <xf numFmtId="0" fontId="18" fillId="0" borderId="0" xfId="0" applyFont="1"/>
    <xf numFmtId="0" fontId="18" fillId="0" borderId="0" xfId="0" applyFont="1"/>
    <xf numFmtId="0" fontId="2" fillId="12" borderId="27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15" borderId="27" xfId="0" applyFont="1" applyFill="1" applyBorder="1" applyAlignment="1">
      <alignment horizontal="center" vertical="center"/>
    </xf>
    <xf numFmtId="0" fontId="2" fillId="16" borderId="27" xfId="0" applyFont="1" applyFill="1" applyBorder="1" applyAlignment="1">
      <alignment horizontal="center" vertical="center"/>
    </xf>
    <xf numFmtId="0" fontId="20" fillId="17" borderId="27" xfId="0" applyFont="1" applyFill="1" applyBorder="1" applyAlignment="1">
      <alignment horizontal="center" vertical="center"/>
    </xf>
    <xf numFmtId="0" fontId="21" fillId="18" borderId="27" xfId="0" applyFont="1" applyFill="1" applyBorder="1" applyAlignment="1">
      <alignment horizontal="center" vertical="center"/>
    </xf>
    <xf numFmtId="0" fontId="22" fillId="19" borderId="27" xfId="0" applyFont="1" applyFill="1" applyBorder="1" applyAlignment="1">
      <alignment horizontal="center" vertical="center"/>
    </xf>
    <xf numFmtId="0" fontId="23" fillId="20" borderId="27" xfId="0" applyFont="1" applyFill="1" applyBorder="1" applyAlignment="1">
      <alignment horizontal="center" vertical="center"/>
    </xf>
    <xf numFmtId="0" fontId="24" fillId="21" borderId="27" xfId="0" applyFont="1" applyFill="1" applyBorder="1" applyAlignment="1">
      <alignment horizontal="center" vertical="center"/>
    </xf>
    <xf numFmtId="0" fontId="25" fillId="22" borderId="27" xfId="0" applyFont="1" applyFill="1" applyBorder="1" applyAlignment="1">
      <alignment horizontal="center" vertical="center"/>
    </xf>
    <xf numFmtId="0" fontId="26" fillId="23" borderId="27" xfId="0" applyFont="1" applyFill="1" applyBorder="1" applyAlignment="1">
      <alignment horizontal="center" vertical="center"/>
    </xf>
    <xf numFmtId="0" fontId="27" fillId="24" borderId="27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1" fillId="0" borderId="28" xfId="0" applyFont="1" applyBorder="1" applyAlignment="1">
      <alignment vertical="center"/>
    </xf>
  </cellXfs>
  <cellStyles count="1">
    <cellStyle name="عادي" xfId="0" builtinId="0"/>
  </cellStyles>
  <dxfs count="28">
    <dxf>
      <fill>
        <patternFill>
          <bgColor rgb="FF83CCEB"/>
        </patternFill>
      </fill>
    </dxf>
    <dxf>
      <fill>
        <patternFill>
          <bgColor rgb="FFDAF2D0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color rgb="FF713F12"/>
        <name val="Times New Roman"/>
      </font>
      <fill>
        <patternFill>
          <bgColor rgb="FFFEF9C3"/>
        </patternFill>
      </fill>
    </dxf>
    <dxf>
      <font>
        <b/>
        <color rgb="FF475569"/>
        <name val="Times New Roman"/>
      </font>
      <fill>
        <patternFill>
          <bgColor rgb="FFF1F5F9"/>
        </patternFill>
      </fill>
    </dxf>
    <dxf>
      <font>
        <b/>
        <color rgb="FF3F6212"/>
        <name val="Times New Roman"/>
      </font>
      <fill>
        <patternFill>
          <bgColor rgb="FFECFCCB"/>
        </patternFill>
      </fill>
    </dxf>
    <dxf>
      <font>
        <b/>
        <color rgb="FFBE123C"/>
        <name val="Times New Roman"/>
      </font>
      <fill>
        <patternFill>
          <bgColor rgb="FFFFE4E6"/>
        </patternFill>
      </fill>
    </dxf>
    <dxf>
      <font>
        <b/>
        <color rgb="FF3730A3"/>
        <name val="Times New Roman"/>
      </font>
      <fill>
        <patternFill>
          <bgColor rgb="FFE0E7FF"/>
        </patternFill>
      </fill>
    </dxf>
    <dxf>
      <font>
        <b/>
        <color rgb="FFC2410C"/>
        <name val="Times New Roman"/>
      </font>
      <fill>
        <patternFill>
          <bgColor rgb="FFFFF7ED"/>
        </patternFill>
      </fill>
    </dxf>
    <dxf>
      <font>
        <b/>
        <color rgb="FF7E22CE"/>
        <name val="Times New Roman"/>
      </font>
      <fill>
        <patternFill>
          <bgColor rgb="FFFDF4FF"/>
        </patternFill>
      </fill>
    </dxf>
    <dxf>
      <font>
        <b/>
        <color rgb="FFF9FAFB"/>
        <name val="Times New Roman"/>
      </font>
      <fill>
        <patternFill>
          <bgColor rgb="FF1F2937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79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N8" sqref="AN8"/>
    </sheetView>
  </sheetViews>
  <sheetFormatPr defaultRowHeight="14.4" x14ac:dyDescent="0.3"/>
  <cols>
    <col min="1" max="1" width="7" customWidth="1"/>
    <col min="2" max="2" width="13" customWidth="1"/>
    <col min="3" max="3" width="34.6640625" customWidth="1"/>
    <col min="4" max="4" width="13.44140625" customWidth="1"/>
    <col min="5" max="35" width="4.5546875" customWidth="1"/>
    <col min="37" max="37" width="7.88671875" customWidth="1"/>
    <col min="38" max="38" width="8.44140625" customWidth="1"/>
    <col min="39" max="39" width="3.44140625" customWidth="1"/>
    <col min="40" max="40" width="7.21875" customWidth="1"/>
    <col min="41" max="42" width="7" customWidth="1"/>
    <col min="43" max="43" width="6.44140625" customWidth="1"/>
    <col min="44" max="44" width="2" customWidth="1"/>
    <col min="53" max="53" width="13" hidden="1" customWidth="1"/>
  </cols>
  <sheetData>
    <row r="1" spans="1:53" ht="21" customHeight="1" thickBot="1" x14ac:dyDescent="0.35">
      <c r="A1" s="69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  <c r="AD1" s="59" t="s">
        <v>5</v>
      </c>
      <c r="AE1" s="41"/>
      <c r="AF1" s="41"/>
      <c r="AG1" s="41"/>
      <c r="AH1" s="41"/>
      <c r="AI1" s="41"/>
      <c r="AK1" s="67" t="s">
        <v>6</v>
      </c>
      <c r="AL1" s="41"/>
      <c r="AM1" s="39"/>
      <c r="AN1" s="71" t="s">
        <v>7</v>
      </c>
      <c r="AO1" s="71"/>
      <c r="AP1" s="71"/>
      <c r="AQ1" s="39"/>
      <c r="AR1" s="39"/>
      <c r="AS1" s="39"/>
      <c r="BA1" t="str">
        <f>IF(ISNUMBER($BA$5),"P","M")</f>
        <v>M</v>
      </c>
    </row>
    <row r="2" spans="1:53" ht="21" customHeight="1" thickBot="1" x14ac:dyDescent="0.35">
      <c r="A2" s="48"/>
      <c r="B2" s="48"/>
      <c r="C2" s="48"/>
      <c r="D2" s="48"/>
      <c r="E2" s="44" t="str">
        <f ca="1">IF($BA$1="P",UPPER(TEXT($BA$3,"dd mmm")&amp;" — "&amp;TEXT($BA$3+$BA$4-1,"dd mmm yyyy")),UPPER(TEXT($BA$3,"mmmm yyyy")))</f>
        <v>SEPTEMBER 2026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6"/>
      <c r="AD2" s="60"/>
      <c r="AE2" s="61"/>
      <c r="AF2" s="61"/>
      <c r="AG2" s="61"/>
      <c r="AH2" s="61"/>
      <c r="AI2" s="61"/>
      <c r="AK2" s="30" t="s">
        <v>8</v>
      </c>
      <c r="AL2" s="31">
        <v>9</v>
      </c>
      <c r="AM2" s="93" t="s">
        <v>9</v>
      </c>
      <c r="AN2" s="30" t="s">
        <v>10</v>
      </c>
      <c r="AO2" s="42"/>
      <c r="AP2" s="43"/>
      <c r="AQ2" s="40"/>
      <c r="AR2" s="39"/>
      <c r="AS2" s="39"/>
      <c r="BA2">
        <f ca="1">IFERROR(IF(ISNUMBER($AL$2),$AL$2,MATCH(LEFT(UPPER(TRIM($AL$2)),3),{"JAN","FEB","MAR","APR","MAY","JUN","JUL","AUG","SEP","OCT","NOV","DEC"},0)),MONTH(TODAY()))</f>
        <v>9</v>
      </c>
    </row>
    <row r="3" spans="1:53" ht="15" customHeight="1" thickBot="1" x14ac:dyDescent="0.35">
      <c r="A3" s="62" t="s">
        <v>11</v>
      </c>
      <c r="B3" s="41"/>
      <c r="C3" s="41"/>
      <c r="D3" s="41"/>
      <c r="E3" s="1" t="str">
        <f ca="1">IF(1&lt;=$BA$4,TEXT($BA$3+0,"ddd"),"")</f>
        <v>Tue</v>
      </c>
      <c r="F3" s="1" t="str">
        <f ca="1">IF(2&lt;=$BA$4,TEXT($BA$3+1,"ddd"),"")</f>
        <v>Wed</v>
      </c>
      <c r="G3" s="1" t="str">
        <f ca="1">IF(3&lt;=$BA$4,TEXT($BA$3+2,"ddd"),"")</f>
        <v>Thu</v>
      </c>
      <c r="H3" s="1" t="str">
        <f ca="1">IF(4&lt;=$BA$4,TEXT($BA$3+3,"ddd"),"")</f>
        <v>Fri</v>
      </c>
      <c r="I3" s="1" t="str">
        <f ca="1">IF(5&lt;=$BA$4,TEXT($BA$3+4,"ddd"),"")</f>
        <v>Sat</v>
      </c>
      <c r="J3" s="1" t="str">
        <f ca="1">IF(6&lt;=$BA$4,TEXT($BA$3+5,"ddd"),"")</f>
        <v>Sun</v>
      </c>
      <c r="K3" s="1" t="str">
        <f ca="1">IF(7&lt;=$BA$4,TEXT($BA$3+6,"ddd"),"")</f>
        <v>Mon</v>
      </c>
      <c r="L3" s="1" t="str">
        <f ca="1">IF(8&lt;=$BA$4,TEXT($BA$3+7,"ddd"),"")</f>
        <v>Tue</v>
      </c>
      <c r="M3" s="1" t="str">
        <f ca="1">IF(9&lt;=$BA$4,TEXT($BA$3+8,"ddd"),"")</f>
        <v>Wed</v>
      </c>
      <c r="N3" s="1" t="str">
        <f ca="1">IF(10&lt;=$BA$4,TEXT($BA$3+9,"ddd"),"")</f>
        <v>Thu</v>
      </c>
      <c r="O3" s="1" t="str">
        <f ca="1">IF(11&lt;=$BA$4,TEXT($BA$3+10,"ddd"),"")</f>
        <v>Fri</v>
      </c>
      <c r="P3" s="1" t="str">
        <f ca="1">IF(12&lt;=$BA$4,TEXT($BA$3+11,"ddd"),"")</f>
        <v>Sat</v>
      </c>
      <c r="Q3" s="1" t="str">
        <f ca="1">IF(13&lt;=$BA$4,TEXT($BA$3+12,"ddd"),"")</f>
        <v>Sun</v>
      </c>
      <c r="R3" s="1" t="str">
        <f ca="1">IF(14&lt;=$BA$4,TEXT($BA$3+13,"ddd"),"")</f>
        <v>Mon</v>
      </c>
      <c r="S3" s="1" t="str">
        <f ca="1">IF(15&lt;=$BA$4,TEXT($BA$3+14,"ddd"),"")</f>
        <v>Tue</v>
      </c>
      <c r="T3" s="1" t="str">
        <f ca="1">IF(16&lt;=$BA$4,TEXT($BA$3+15,"ddd"),"")</f>
        <v>Wed</v>
      </c>
      <c r="U3" s="1" t="str">
        <f ca="1">IF(17&lt;=$BA$4,TEXT($BA$3+16,"ddd"),"")</f>
        <v>Thu</v>
      </c>
      <c r="V3" s="1" t="str">
        <f ca="1">IF(18&lt;=$BA$4,TEXT($BA$3+17,"ddd"),"")</f>
        <v>Fri</v>
      </c>
      <c r="W3" s="1" t="str">
        <f ca="1">IF(19&lt;=$BA$4,TEXT($BA$3+18,"ddd"),"")</f>
        <v>Sat</v>
      </c>
      <c r="X3" s="1" t="str">
        <f ca="1">IF(20&lt;=$BA$4,TEXT($BA$3+19,"ddd"),"")</f>
        <v>Sun</v>
      </c>
      <c r="Y3" s="1" t="str">
        <f ca="1">IF(21&lt;=$BA$4,TEXT($BA$3+20,"ddd"),"")</f>
        <v>Mon</v>
      </c>
      <c r="Z3" s="1" t="str">
        <f ca="1">IF(22&lt;=$BA$4,TEXT($BA$3+21,"ddd"),"")</f>
        <v>Tue</v>
      </c>
      <c r="AA3" s="1" t="str">
        <f ca="1">IF(23&lt;=$BA$4,TEXT($BA$3+22,"ddd"),"")</f>
        <v>Wed</v>
      </c>
      <c r="AB3" s="1" t="str">
        <f ca="1">IF(24&lt;=$BA$4,TEXT($BA$3+23,"ddd"),"")</f>
        <v>Thu</v>
      </c>
      <c r="AC3" s="1" t="str">
        <f ca="1">IF(25&lt;=$BA$4,TEXT($BA$3+24,"ddd"),"")</f>
        <v>Fri</v>
      </c>
      <c r="AD3" s="1" t="str">
        <f ca="1">IF(26&lt;=$BA$4,TEXT($BA$3+25,"ddd"),"")</f>
        <v>Sat</v>
      </c>
      <c r="AE3" s="1" t="str">
        <f ca="1">IF(27&lt;=$BA$4,TEXT($BA$3+26,"ddd"),"")</f>
        <v>Sun</v>
      </c>
      <c r="AF3" s="1" t="str">
        <f ca="1">IF(28&lt;=$BA$4,TEXT($BA$3+27,"ddd"),"")</f>
        <v>Mon</v>
      </c>
      <c r="AG3" s="1" t="str">
        <f ca="1">IF(29&lt;=$BA$4,TEXT($BA$3+28,"ddd"),"")</f>
        <v>Tue</v>
      </c>
      <c r="AH3" s="20" t="str">
        <f ca="1">IF(30&lt;=$BA$4,TEXT($BA$3+29,"ddd"),"")</f>
        <v>Wed</v>
      </c>
      <c r="AI3" s="17" t="str">
        <f ca="1">IF(31&lt;=$BA$4,TEXT($BA$3+30,"ddd"),"")</f>
        <v/>
      </c>
      <c r="AK3" s="30" t="s">
        <v>12</v>
      </c>
      <c r="AL3" s="31">
        <v>2026</v>
      </c>
      <c r="AM3" s="92"/>
      <c r="AN3" s="30" t="s">
        <v>13</v>
      </c>
      <c r="AO3" s="42"/>
      <c r="AP3" s="43"/>
      <c r="AQ3" s="39"/>
      <c r="AR3" s="39"/>
      <c r="AS3" s="39"/>
      <c r="BA3">
        <f ca="1">IF($BA$1="P",$BA$5,DATE(IF(ISNUMBER($AL$3),$AL$3,YEAR(TODAY())),$BA$2,1))</f>
        <v>46266</v>
      </c>
    </row>
    <row r="4" spans="1:53" ht="16.2" customHeight="1" thickBot="1" x14ac:dyDescent="0.35">
      <c r="A4" s="52"/>
      <c r="B4" s="41"/>
      <c r="C4" s="41"/>
      <c r="D4" s="41"/>
      <c r="E4" s="2">
        <f ca="1">IF(1&lt;=$BA$4,IF($BA$1="P",DAY($BA$3+0),1),"")</f>
        <v>1</v>
      </c>
      <c r="F4" s="2">
        <f ca="1">IF(2&lt;=$BA$4,IF($BA$1="P",DAY($BA$3+1),2),"")</f>
        <v>2</v>
      </c>
      <c r="G4" s="2">
        <f ca="1">IF(3&lt;=$BA$4,IF($BA$1="P",DAY($BA$3+2),3),"")</f>
        <v>3</v>
      </c>
      <c r="H4" s="2">
        <f ca="1">IF(4&lt;=$BA$4,IF($BA$1="P",DAY($BA$3+3),4),"")</f>
        <v>4</v>
      </c>
      <c r="I4" s="3">
        <f ca="1">IF(5&lt;=$BA$4,IF($BA$1="P",DAY($BA$3+4),5),"")</f>
        <v>5</v>
      </c>
      <c r="J4" s="4">
        <f ca="1">IF(6&lt;=$BA$4,IF($BA$1="P",DAY($BA$3+5),6),"")</f>
        <v>6</v>
      </c>
      <c r="K4" s="4">
        <f ca="1">IF(7&lt;=$BA$4,IF($BA$1="P",DAY($BA$3+6),7),"")</f>
        <v>7</v>
      </c>
      <c r="L4" s="3">
        <f ca="1">IF(8&lt;=$BA$4,IF($BA$1="P",DAY($BA$3+7),8),"")</f>
        <v>8</v>
      </c>
      <c r="M4" s="4">
        <f ca="1">IF(9&lt;=$BA$4,IF($BA$1="P",DAY($BA$3+8),9),"")</f>
        <v>9</v>
      </c>
      <c r="N4" s="2">
        <f ca="1">IF(10&lt;=$BA$4,IF($BA$1="P",DAY($BA$3+9),10),"")</f>
        <v>10</v>
      </c>
      <c r="O4" s="2">
        <f ca="1">IF(11&lt;=$BA$4,IF($BA$1="P",DAY($BA$3+10),11),"")</f>
        <v>11</v>
      </c>
      <c r="P4" s="2">
        <f ca="1">IF(12&lt;=$BA$4,IF($BA$1="P",DAY($BA$3+11),12),"")</f>
        <v>12</v>
      </c>
      <c r="Q4" s="2">
        <f ca="1">IF(13&lt;=$BA$4,IF($BA$1="P",DAY($BA$3+12),13),"")</f>
        <v>13</v>
      </c>
      <c r="R4" s="2">
        <f ca="1">IF(14&lt;=$BA$4,IF($BA$1="P",DAY($BA$3+13),14),"")</f>
        <v>14</v>
      </c>
      <c r="S4" s="2">
        <f ca="1">IF(15&lt;=$BA$4,IF($BA$1="P",DAY($BA$3+14),15),"")</f>
        <v>15</v>
      </c>
      <c r="T4" s="2">
        <f ca="1">IF(16&lt;=$BA$4,IF($BA$1="P",DAY($BA$3+15),16),"")</f>
        <v>16</v>
      </c>
      <c r="U4" s="2">
        <f ca="1">IF(17&lt;=$BA$4,IF($BA$1="P",DAY($BA$3+16),17),"")</f>
        <v>17</v>
      </c>
      <c r="V4" s="2">
        <f ca="1">IF(18&lt;=$BA$4,IF($BA$1="P",DAY($BA$3+17),18),"")</f>
        <v>18</v>
      </c>
      <c r="W4" s="2">
        <f ca="1">IF(19&lt;=$BA$4,IF($BA$1="P",DAY($BA$3+18),19),"")</f>
        <v>19</v>
      </c>
      <c r="X4" s="2">
        <f ca="1">IF(20&lt;=$BA$4,IF($BA$1="P",DAY($BA$3+19),20),"")</f>
        <v>20</v>
      </c>
      <c r="Y4" s="2">
        <f ca="1">IF(21&lt;=$BA$4,IF($BA$1="P",DAY($BA$3+20),21),"")</f>
        <v>21</v>
      </c>
      <c r="Z4" s="2">
        <f ca="1">IF(22&lt;=$BA$4,IF($BA$1="P",DAY($BA$3+21),22),"")</f>
        <v>22</v>
      </c>
      <c r="AA4" s="2">
        <f ca="1">IF(23&lt;=$BA$4,IF($BA$1="P",DAY($BA$3+22),23),"")</f>
        <v>23</v>
      </c>
      <c r="AB4" s="2">
        <f ca="1">IF(24&lt;=$BA$4,IF($BA$1="P",DAY($BA$3+23),24),"")</f>
        <v>24</v>
      </c>
      <c r="AC4" s="2">
        <f ca="1">IF(25&lt;=$BA$4,IF($BA$1="P",DAY($BA$3+24),25),"")</f>
        <v>25</v>
      </c>
      <c r="AD4" s="2">
        <f ca="1">IF(26&lt;=$BA$4,IF($BA$1="P",DAY($BA$3+25),26),"")</f>
        <v>26</v>
      </c>
      <c r="AE4" s="2">
        <f ca="1">IF(27&lt;=$BA$4,IF($BA$1="P",DAY($BA$3+26),27),"")</f>
        <v>27</v>
      </c>
      <c r="AF4" s="2">
        <f ca="1">IF(28&lt;=$BA$4,IF($BA$1="P",DAY($BA$3+27),28),"")</f>
        <v>28</v>
      </c>
      <c r="AG4" s="2">
        <f ca="1">IF(29&lt;=$BA$4,IF($BA$1="P",DAY($BA$3+28),29),"")</f>
        <v>29</v>
      </c>
      <c r="AH4" s="21">
        <f ca="1">IF(30&lt;=$BA$4,IF($BA$1="P",DAY($BA$3+29),30),"")</f>
        <v>30</v>
      </c>
      <c r="AI4" s="18" t="str">
        <f ca="1">IF(31&lt;=$BA$4,IF($BA$1="P",DAY($BA$3+30),31),"")</f>
        <v/>
      </c>
      <c r="AK4" s="64" t="str">
        <f>IF($BA$1="P","● PERIOD MODE — "&amp;TEXT($BA$3,"dd/mm/yyyy")&amp;" +"&amp;$BA$4&amp;"d","● MONTH MODE")</f>
        <v>● MONTH MODE</v>
      </c>
      <c r="AL4" s="41"/>
      <c r="AM4" s="41"/>
      <c r="AN4" s="41"/>
      <c r="AO4" s="41"/>
      <c r="AP4" s="41"/>
      <c r="AQ4" s="41"/>
      <c r="AR4" s="41"/>
      <c r="AS4" s="39"/>
      <c r="BA4">
        <f ca="1">IF($BA$1="P",MIN(31,IFERROR(VALUE($BA$12),IF(ISNUMBER($AO$3),$AO$3,30))),DAY(EOMONTH($BA$3,0)))</f>
        <v>30</v>
      </c>
    </row>
    <row r="5" spans="1:53" ht="16.2" customHeight="1" thickBot="1" x14ac:dyDescent="0.35">
      <c r="A5" s="5">
        <v>1</v>
      </c>
      <c r="B5" s="32">
        <v>13006435</v>
      </c>
      <c r="C5" s="33" t="s">
        <v>14</v>
      </c>
      <c r="D5" s="34" t="s">
        <v>15</v>
      </c>
      <c r="E5" s="6" t="s">
        <v>71</v>
      </c>
      <c r="F5" s="6" t="s">
        <v>85</v>
      </c>
      <c r="G5" s="6" t="s">
        <v>75</v>
      </c>
      <c r="H5" s="6" t="s">
        <v>81</v>
      </c>
      <c r="I5" s="6" t="s">
        <v>79</v>
      </c>
      <c r="J5" s="6" t="s">
        <v>77</v>
      </c>
      <c r="K5" s="6" t="s">
        <v>69</v>
      </c>
      <c r="L5" s="6" t="s">
        <v>83</v>
      </c>
      <c r="M5" s="6" t="s">
        <v>87</v>
      </c>
      <c r="N5" s="6" t="s">
        <v>89</v>
      </c>
      <c r="O5" s="6" t="s">
        <v>61</v>
      </c>
      <c r="P5" s="6" t="s">
        <v>62</v>
      </c>
      <c r="Q5" s="6" t="s">
        <v>63</v>
      </c>
      <c r="R5" s="6" t="s">
        <v>73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S5" s="39"/>
      <c r="BA5" t="str">
        <f>IF(ISNUMBER($AO$2),$AO$2,IFERROR(DATE(IF($BA$11&lt;100,2000+$BA$11,$BA$11),$BA$10,$BA$9),""))</f>
        <v/>
      </c>
    </row>
    <row r="6" spans="1:53" ht="16.2" customHeight="1" thickBot="1" x14ac:dyDescent="0.35">
      <c r="A6" s="5">
        <v>2</v>
      </c>
      <c r="B6" s="32">
        <v>13008931</v>
      </c>
      <c r="C6" s="33" t="s">
        <v>16</v>
      </c>
      <c r="D6" s="32" t="s">
        <v>15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19"/>
      <c r="BA6" t="str">
        <f>SUBSTITUTE(SUBSTITUTE(SUBSTITUTE(SUBSTITUTE(SUBSTITUTE(SUBSTITUTE(SUBSTITUTE(SUBSTITUTE(SUBSTITUTE(SUBSTITUTE(SUBSTITUTE(SUBSTITUTE(SUBSTITUTE(SUBSTITUTE(TRIM($AO$2&amp;""),"٠","0"),"١","1"),"٢","2"),"٣","3"),"٤","4"),"٥","5"),"٦","6"),"٧","7"),"٨","8"),"٩","9"),"-","/"),".","/"),"\\","/")," ","")</f>
        <v/>
      </c>
    </row>
    <row r="7" spans="1:53" ht="16.2" customHeight="1" thickBot="1" x14ac:dyDescent="0.35">
      <c r="A7" s="5">
        <v>3</v>
      </c>
      <c r="B7" s="32">
        <v>13010279</v>
      </c>
      <c r="C7" s="33" t="s">
        <v>17</v>
      </c>
      <c r="D7" s="32" t="s">
        <v>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19"/>
      <c r="AP7" s="70"/>
      <c r="BA7">
        <f>IFERROR(FIND("/",$BA$6),0)</f>
        <v>0</v>
      </c>
    </row>
    <row r="8" spans="1:53" ht="16.2" customHeight="1" thickBot="1" x14ac:dyDescent="0.35">
      <c r="A8" s="5">
        <v>4</v>
      </c>
      <c r="B8" s="32">
        <v>13007568</v>
      </c>
      <c r="C8" s="33" t="s">
        <v>18</v>
      </c>
      <c r="D8" s="32" t="s">
        <v>15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19"/>
      <c r="BA8">
        <f>IFERROR(FIND("/",$BA$6,$BA$7+1),0)</f>
        <v>0</v>
      </c>
    </row>
    <row r="9" spans="1:53" ht="16.2" thickBot="1" x14ac:dyDescent="0.35">
      <c r="A9" s="5">
        <v>5</v>
      </c>
      <c r="B9" s="32">
        <v>30005295</v>
      </c>
      <c r="C9" s="33" t="s">
        <v>19</v>
      </c>
      <c r="D9" s="32" t="s">
        <v>20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19"/>
      <c r="BA9" t="str">
        <f>IFERROR(VALUE(LEFT($BA$6,$BA$7-1)),"")</f>
        <v/>
      </c>
    </row>
    <row r="10" spans="1:53" ht="16.2" customHeight="1" thickBot="1" x14ac:dyDescent="0.35">
      <c r="A10" s="5">
        <v>6</v>
      </c>
      <c r="B10" s="32">
        <v>30001593</v>
      </c>
      <c r="C10" s="33" t="s">
        <v>21</v>
      </c>
      <c r="D10" s="32" t="s">
        <v>22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9"/>
      <c r="BA10" t="str">
        <f>IFERROR(VALUE(MID($BA$6,$BA$7+1,$BA$8-$BA$7-1)),"")</f>
        <v/>
      </c>
    </row>
    <row r="11" spans="1:53" ht="16.2" customHeight="1" thickBot="1" x14ac:dyDescent="0.35">
      <c r="A11" s="5">
        <v>7</v>
      </c>
      <c r="B11" s="32">
        <v>30001338</v>
      </c>
      <c r="C11" s="33" t="s">
        <v>23</v>
      </c>
      <c r="D11" s="32" t="s">
        <v>22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9"/>
      <c r="BA11" t="str">
        <f>IFERROR(VALUE(MID($BA$6,$BA$8+1,9)),"")</f>
        <v/>
      </c>
    </row>
    <row r="12" spans="1:53" ht="16.2" customHeight="1" thickBot="1" x14ac:dyDescent="0.35">
      <c r="A12" s="5">
        <v>8</v>
      </c>
      <c r="B12" s="32">
        <v>30001573</v>
      </c>
      <c r="C12" s="33" t="s">
        <v>24</v>
      </c>
      <c r="D12" s="32" t="s">
        <v>22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19"/>
      <c r="BA12" t="str">
        <f>SUBSTITUTE(SUBSTITUTE(SUBSTITUTE(SUBSTITUTE(SUBSTITUTE(SUBSTITUTE(SUBSTITUTE(SUBSTITUTE(SUBSTITUTE(SUBSTITUTE(SUBSTITUTE(SUBSTITUTE(SUBSTITUTE(SUBSTITUTE(TRIM($AO$3&amp;""),"٠","0"),"١","1"),"٢","2"),"٣","3"),"٤","4"),"٥","5"),"٦","6"),"٧","7"),"٨","8"),"٩","9"),"-","/"),".","/"),"\\","/")," ","")</f>
        <v/>
      </c>
    </row>
    <row r="13" spans="1:53" ht="16.2" customHeight="1" thickBot="1" x14ac:dyDescent="0.35">
      <c r="A13" s="5">
        <v>9</v>
      </c>
      <c r="B13" s="32">
        <v>30001366</v>
      </c>
      <c r="C13" s="33" t="s">
        <v>25</v>
      </c>
      <c r="D13" s="32" t="s">
        <v>20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19"/>
    </row>
    <row r="14" spans="1:53" ht="16.2" customHeight="1" thickBot="1" x14ac:dyDescent="0.35">
      <c r="A14" s="5">
        <v>10</v>
      </c>
      <c r="B14" s="32">
        <v>30001450</v>
      </c>
      <c r="C14" s="33" t="s">
        <v>26</v>
      </c>
      <c r="D14" s="32" t="s">
        <v>20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19"/>
    </row>
    <row r="15" spans="1:53" ht="16.2" customHeight="1" thickBot="1" x14ac:dyDescent="0.35">
      <c r="A15" s="5">
        <v>11</v>
      </c>
      <c r="B15" s="32">
        <v>30001602</v>
      </c>
      <c r="C15" s="33" t="s">
        <v>27</v>
      </c>
      <c r="D15" s="32" t="s">
        <v>22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19"/>
    </row>
    <row r="16" spans="1:53" ht="16.2" customHeight="1" thickBot="1" x14ac:dyDescent="0.35">
      <c r="A16" s="5">
        <v>12</v>
      </c>
      <c r="B16" s="32">
        <v>40001135</v>
      </c>
      <c r="C16" s="33" t="s">
        <v>28</v>
      </c>
      <c r="D16" s="35" t="s">
        <v>20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19"/>
    </row>
    <row r="17" spans="1:35" ht="16.2" customHeight="1" thickBot="1" x14ac:dyDescent="0.35">
      <c r="A17" s="5">
        <v>13</v>
      </c>
      <c r="B17" s="32">
        <v>70010082</v>
      </c>
      <c r="C17" s="33" t="s">
        <v>30</v>
      </c>
      <c r="D17" s="32" t="s">
        <v>20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19"/>
    </row>
    <row r="18" spans="1:35" ht="16.2" customHeight="1" thickBot="1" x14ac:dyDescent="0.35">
      <c r="A18" s="5">
        <v>14</v>
      </c>
      <c r="B18" s="32">
        <v>13009258</v>
      </c>
      <c r="C18" s="33" t="s">
        <v>31</v>
      </c>
      <c r="D18" s="35" t="s">
        <v>20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19"/>
    </row>
    <row r="19" spans="1:35" ht="16.2" customHeight="1" thickBot="1" x14ac:dyDescent="0.35">
      <c r="A19" s="5">
        <v>15</v>
      </c>
      <c r="B19" s="32">
        <v>13009255</v>
      </c>
      <c r="C19" s="33" t="s">
        <v>32</v>
      </c>
      <c r="D19" s="32" t="s">
        <v>20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19"/>
    </row>
    <row r="20" spans="1:35" ht="16.2" customHeight="1" thickBot="1" x14ac:dyDescent="0.35">
      <c r="A20" s="5">
        <v>16</v>
      </c>
      <c r="B20" s="32">
        <v>13009047</v>
      </c>
      <c r="C20" s="33" t="s">
        <v>33</v>
      </c>
      <c r="D20" s="32" t="s">
        <v>20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19"/>
    </row>
    <row r="21" spans="1:35" ht="16.2" customHeight="1" thickBot="1" x14ac:dyDescent="0.35">
      <c r="A21" s="8"/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35" ht="15" customHeight="1" thickBot="1" x14ac:dyDescent="0.35">
      <c r="A22" s="66" t="s">
        <v>34</v>
      </c>
      <c r="B22" s="50"/>
      <c r="C22" s="50"/>
      <c r="D22" s="50"/>
      <c r="E22" s="25" t="str">
        <f ca="1">IF(1&lt;=$BA$4,TEXT($BA$3+0,"ddd"),"")</f>
        <v>Tue</v>
      </c>
      <c r="F22" s="25" t="str">
        <f ca="1">IF(2&lt;=$BA$4,TEXT($BA$3+1,"ddd"),"")</f>
        <v>Wed</v>
      </c>
      <c r="G22" s="25" t="str">
        <f ca="1">IF(3&lt;=$BA$4,TEXT($BA$3+2,"ddd"),"")</f>
        <v>Thu</v>
      </c>
      <c r="H22" s="25" t="str">
        <f ca="1">IF(4&lt;=$BA$4,TEXT($BA$3+3,"ddd"),"")</f>
        <v>Fri</v>
      </c>
      <c r="I22" s="25" t="str">
        <f ca="1">IF(5&lt;=$BA$4,TEXT($BA$3+4,"ddd"),"")</f>
        <v>Sat</v>
      </c>
      <c r="J22" s="25" t="str">
        <f ca="1">IF(6&lt;=$BA$4,TEXT($BA$3+5,"ddd"),"")</f>
        <v>Sun</v>
      </c>
      <c r="K22" s="25" t="str">
        <f ca="1">IF(7&lt;=$BA$4,TEXT($BA$3+6,"ddd"),"")</f>
        <v>Mon</v>
      </c>
      <c r="L22" s="25" t="str">
        <f ca="1">IF(8&lt;=$BA$4,TEXT($BA$3+7,"ddd"),"")</f>
        <v>Tue</v>
      </c>
      <c r="M22" s="25" t="str">
        <f ca="1">IF(9&lt;=$BA$4,TEXT($BA$3+8,"ddd"),"")</f>
        <v>Wed</v>
      </c>
      <c r="N22" s="25" t="str">
        <f ca="1">IF(10&lt;=$BA$4,TEXT($BA$3+9,"ddd"),"")</f>
        <v>Thu</v>
      </c>
      <c r="O22" s="25" t="str">
        <f ca="1">IF(11&lt;=$BA$4,TEXT($BA$3+10,"ddd"),"")</f>
        <v>Fri</v>
      </c>
      <c r="P22" s="25" t="str">
        <f ca="1">IF(12&lt;=$BA$4,TEXT($BA$3+11,"ddd"),"")</f>
        <v>Sat</v>
      </c>
      <c r="Q22" s="25" t="str">
        <f ca="1">IF(13&lt;=$BA$4,TEXT($BA$3+12,"ddd"),"")</f>
        <v>Sun</v>
      </c>
      <c r="R22" s="25" t="str">
        <f ca="1">IF(14&lt;=$BA$4,TEXT($BA$3+13,"ddd"),"")</f>
        <v>Mon</v>
      </c>
      <c r="S22" s="25" t="str">
        <f ca="1">IF(15&lt;=$BA$4,TEXT($BA$3+14,"ddd"),"")</f>
        <v>Tue</v>
      </c>
      <c r="T22" s="25" t="str">
        <f ca="1">IF(16&lt;=$BA$4,TEXT($BA$3+15,"ddd"),"")</f>
        <v>Wed</v>
      </c>
      <c r="U22" s="25" t="str">
        <f ca="1">IF(17&lt;=$BA$4,TEXT($BA$3+16,"ddd"),"")</f>
        <v>Thu</v>
      </c>
      <c r="V22" s="25" t="str">
        <f ca="1">IF(18&lt;=$BA$4,TEXT($BA$3+17,"ddd"),"")</f>
        <v>Fri</v>
      </c>
      <c r="W22" s="25" t="str">
        <f ca="1">IF(19&lt;=$BA$4,TEXT($BA$3+18,"ddd"),"")</f>
        <v>Sat</v>
      </c>
      <c r="X22" s="25" t="str">
        <f ca="1">IF(20&lt;=$BA$4,TEXT($BA$3+19,"ddd"),"")</f>
        <v>Sun</v>
      </c>
      <c r="Y22" s="25" t="str">
        <f ca="1">IF(21&lt;=$BA$4,TEXT($BA$3+20,"ddd"),"")</f>
        <v>Mon</v>
      </c>
      <c r="Z22" s="25" t="str">
        <f ca="1">IF(22&lt;=$BA$4,TEXT($BA$3+21,"ddd"),"")</f>
        <v>Tue</v>
      </c>
      <c r="AA22" s="25" t="str">
        <f ca="1">IF(23&lt;=$BA$4,TEXT($BA$3+22,"ddd"),"")</f>
        <v>Wed</v>
      </c>
      <c r="AB22" s="25" t="str">
        <f ca="1">IF(24&lt;=$BA$4,TEXT($BA$3+23,"ddd"),"")</f>
        <v>Thu</v>
      </c>
      <c r="AC22" s="25" t="str">
        <f ca="1">IF(25&lt;=$BA$4,TEXT($BA$3+24,"ddd"),"")</f>
        <v>Fri</v>
      </c>
      <c r="AD22" s="25" t="str">
        <f ca="1">IF(26&lt;=$BA$4,TEXT($BA$3+25,"ddd"),"")</f>
        <v>Sat</v>
      </c>
      <c r="AE22" s="25" t="str">
        <f ca="1">IF(27&lt;=$BA$4,TEXT($BA$3+26,"ddd"),"")</f>
        <v>Sun</v>
      </c>
      <c r="AF22" s="25" t="str">
        <f ca="1">IF(28&lt;=$BA$4,TEXT($BA$3+27,"ddd"),"")</f>
        <v>Mon</v>
      </c>
      <c r="AG22" s="25" t="str">
        <f ca="1">IF(29&lt;=$BA$4,TEXT($BA$3+28,"ddd"),"")</f>
        <v>Tue</v>
      </c>
      <c r="AH22" s="25" t="str">
        <f ca="1">IF(30&lt;=$BA$4,TEXT($BA$3+29,"ddd"),"")</f>
        <v>Wed</v>
      </c>
      <c r="AI22" s="26" t="str">
        <f ca="1">IF(31&lt;=$BA$4,TEXT($BA$3+30,"ddd"),"")</f>
        <v/>
      </c>
    </row>
    <row r="23" spans="1:35" ht="16.2" customHeight="1" thickBot="1" x14ac:dyDescent="0.35">
      <c r="A23" s="54"/>
      <c r="B23" s="55"/>
      <c r="C23" s="55"/>
      <c r="D23" s="55"/>
      <c r="E23" s="2">
        <f ca="1">IF(1&lt;=$BA$4,IF($BA$1="P",DAY($BA$3+0),1),"")</f>
        <v>1</v>
      </c>
      <c r="F23" s="2">
        <f ca="1">IF(2&lt;=$BA$4,IF($BA$1="P",DAY($BA$3+1),2),"")</f>
        <v>2</v>
      </c>
      <c r="G23" s="2">
        <f ca="1">IF(3&lt;=$BA$4,IF($BA$1="P",DAY($BA$3+2),3),"")</f>
        <v>3</v>
      </c>
      <c r="H23" s="2">
        <f ca="1">IF(4&lt;=$BA$4,IF($BA$1="P",DAY($BA$3+3),4),"")</f>
        <v>4</v>
      </c>
      <c r="I23" s="3">
        <f ca="1">IF(5&lt;=$BA$4,IF($BA$1="P",DAY($BA$3+4),5),"")</f>
        <v>5</v>
      </c>
      <c r="J23" s="4">
        <f ca="1">IF(6&lt;=$BA$4,IF($BA$1="P",DAY($BA$3+5),6),"")</f>
        <v>6</v>
      </c>
      <c r="K23" s="4">
        <f ca="1">IF(7&lt;=$BA$4,IF($BA$1="P",DAY($BA$3+6),7),"")</f>
        <v>7</v>
      </c>
      <c r="L23" s="3">
        <f ca="1">IF(8&lt;=$BA$4,IF($BA$1="P",DAY($BA$3+7),8),"")</f>
        <v>8</v>
      </c>
      <c r="M23" s="4">
        <f ca="1">IF(9&lt;=$BA$4,IF($BA$1="P",DAY($BA$3+8),9),"")</f>
        <v>9</v>
      </c>
      <c r="N23" s="2">
        <f ca="1">IF(10&lt;=$BA$4,IF($BA$1="P",DAY($BA$3+9),10),"")</f>
        <v>10</v>
      </c>
      <c r="O23" s="2">
        <f ca="1">IF(11&lt;=$BA$4,IF($BA$1="P",DAY($BA$3+10),11),"")</f>
        <v>11</v>
      </c>
      <c r="P23" s="2">
        <f ca="1">IF(12&lt;=$BA$4,IF($BA$1="P",DAY($BA$3+11),12),"")</f>
        <v>12</v>
      </c>
      <c r="Q23" s="2">
        <f ca="1">IF(13&lt;=$BA$4,IF($BA$1="P",DAY($BA$3+12),13),"")</f>
        <v>13</v>
      </c>
      <c r="R23" s="2">
        <f ca="1">IF(14&lt;=$BA$4,IF($BA$1="P",DAY($BA$3+13),14),"")</f>
        <v>14</v>
      </c>
      <c r="S23" s="2">
        <f ca="1">IF(15&lt;=$BA$4,IF($BA$1="P",DAY($BA$3+14),15),"")</f>
        <v>15</v>
      </c>
      <c r="T23" s="2">
        <f ca="1">IF(16&lt;=$BA$4,IF($BA$1="P",DAY($BA$3+15),16),"")</f>
        <v>16</v>
      </c>
      <c r="U23" s="2">
        <f ca="1">IF(17&lt;=$BA$4,IF($BA$1="P",DAY($BA$3+16),17),"")</f>
        <v>17</v>
      </c>
      <c r="V23" s="2">
        <f ca="1">IF(18&lt;=$BA$4,IF($BA$1="P",DAY($BA$3+17),18),"")</f>
        <v>18</v>
      </c>
      <c r="W23" s="2">
        <f ca="1">IF(19&lt;=$BA$4,IF($BA$1="P",DAY($BA$3+18),19),"")</f>
        <v>19</v>
      </c>
      <c r="X23" s="2">
        <f ca="1">IF(20&lt;=$BA$4,IF($BA$1="P",DAY($BA$3+19),20),"")</f>
        <v>20</v>
      </c>
      <c r="Y23" s="2">
        <f ca="1">IF(21&lt;=$BA$4,IF($BA$1="P",DAY($BA$3+20),21),"")</f>
        <v>21</v>
      </c>
      <c r="Z23" s="2">
        <f ca="1">IF(22&lt;=$BA$4,IF($BA$1="P",DAY($BA$3+21),22),"")</f>
        <v>22</v>
      </c>
      <c r="AA23" s="2">
        <f ca="1">IF(23&lt;=$BA$4,IF($BA$1="P",DAY($BA$3+22),23),"")</f>
        <v>23</v>
      </c>
      <c r="AB23" s="2">
        <f ca="1">IF(24&lt;=$BA$4,IF($BA$1="P",DAY($BA$3+23),24),"")</f>
        <v>24</v>
      </c>
      <c r="AC23" s="2">
        <f ca="1">IF(25&lt;=$BA$4,IF($BA$1="P",DAY($BA$3+24),25),"")</f>
        <v>25</v>
      </c>
      <c r="AD23" s="2">
        <f ca="1">IF(26&lt;=$BA$4,IF($BA$1="P",DAY($BA$3+25),26),"")</f>
        <v>26</v>
      </c>
      <c r="AE23" s="2">
        <f ca="1">IF(27&lt;=$BA$4,IF($BA$1="P",DAY($BA$3+26),27),"")</f>
        <v>27</v>
      </c>
      <c r="AF23" s="2">
        <f ca="1">IF(28&lt;=$BA$4,IF($BA$1="P",DAY($BA$3+27),28),"")</f>
        <v>28</v>
      </c>
      <c r="AG23" s="2">
        <f ca="1">IF(29&lt;=$BA$4,IF($BA$1="P",DAY($BA$3+28),29),"")</f>
        <v>29</v>
      </c>
      <c r="AH23" s="2">
        <f ca="1">IF(30&lt;=$BA$4,IF($BA$1="P",DAY($BA$3+29),30),"")</f>
        <v>30</v>
      </c>
      <c r="AI23" s="21" t="str">
        <f ca="1">IF(31&lt;=$BA$4,IF($BA$1="P",DAY($BA$3+30),31),"")</f>
        <v/>
      </c>
    </row>
    <row r="24" spans="1:35" ht="16.2" customHeight="1" thickBot="1" x14ac:dyDescent="0.35">
      <c r="A24" s="5">
        <v>1</v>
      </c>
      <c r="B24" s="32">
        <v>13006567</v>
      </c>
      <c r="C24" s="33" t="s">
        <v>35</v>
      </c>
      <c r="D24" s="32" t="s">
        <v>15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2"/>
    </row>
    <row r="25" spans="1:35" ht="16.2" customHeight="1" thickBot="1" x14ac:dyDescent="0.35">
      <c r="A25" s="5">
        <v>2</v>
      </c>
      <c r="B25" s="32">
        <v>13010253</v>
      </c>
      <c r="C25" s="33" t="s">
        <v>36</v>
      </c>
      <c r="D25" s="32" t="s">
        <v>15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2"/>
    </row>
    <row r="26" spans="1:35" ht="16.2" customHeight="1" thickBot="1" x14ac:dyDescent="0.35">
      <c r="A26" s="5">
        <v>3</v>
      </c>
      <c r="B26" s="32">
        <v>13010286</v>
      </c>
      <c r="C26" s="33" t="s">
        <v>38</v>
      </c>
      <c r="D26" s="34" t="s">
        <v>15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2"/>
    </row>
    <row r="27" spans="1:35" ht="16.2" customHeight="1" thickBot="1" x14ac:dyDescent="0.35">
      <c r="A27" s="5">
        <v>4</v>
      </c>
      <c r="B27" s="32">
        <v>13007276</v>
      </c>
      <c r="C27" s="33" t="s">
        <v>37</v>
      </c>
      <c r="D27" s="34" t="s">
        <v>20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2"/>
    </row>
    <row r="28" spans="1:35" ht="16.2" customHeight="1" thickBot="1" x14ac:dyDescent="0.35">
      <c r="A28" s="5">
        <v>5</v>
      </c>
      <c r="B28" s="32">
        <v>30004221</v>
      </c>
      <c r="C28" s="33" t="s">
        <v>39</v>
      </c>
      <c r="D28" s="34" t="s">
        <v>20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2"/>
    </row>
    <row r="29" spans="1:35" ht="16.2" customHeight="1" thickBot="1" x14ac:dyDescent="0.35">
      <c r="A29" s="5">
        <v>6</v>
      </c>
      <c r="B29" s="32">
        <v>30001345</v>
      </c>
      <c r="C29" s="33" t="s">
        <v>40</v>
      </c>
      <c r="D29" s="32" t="s">
        <v>20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2"/>
    </row>
    <row r="30" spans="1:35" ht="16.2" customHeight="1" thickBot="1" x14ac:dyDescent="0.35">
      <c r="A30" s="5">
        <v>7</v>
      </c>
      <c r="B30" s="32">
        <v>30001461</v>
      </c>
      <c r="C30" s="33" t="s">
        <v>41</v>
      </c>
      <c r="D30" s="32" t="s">
        <v>20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2"/>
    </row>
    <row r="31" spans="1:35" ht="16.2" customHeight="1" thickBot="1" x14ac:dyDescent="0.35">
      <c r="A31" s="5">
        <v>8</v>
      </c>
      <c r="B31" s="32">
        <v>30001575</v>
      </c>
      <c r="C31" s="33" t="s">
        <v>42</v>
      </c>
      <c r="D31" s="32" t="s">
        <v>22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2"/>
    </row>
    <row r="32" spans="1:35" ht="16.2" customHeight="1" thickBot="1" x14ac:dyDescent="0.35">
      <c r="A32" s="5">
        <v>9</v>
      </c>
      <c r="B32" s="32">
        <v>30001577</v>
      </c>
      <c r="C32" s="33" t="s">
        <v>43</v>
      </c>
      <c r="D32" s="32" t="s">
        <v>22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2"/>
    </row>
    <row r="33" spans="1:35" ht="16.2" customHeight="1" thickBot="1" x14ac:dyDescent="0.35">
      <c r="A33" s="5">
        <v>10</v>
      </c>
      <c r="B33" s="32">
        <v>30001774</v>
      </c>
      <c r="C33" s="33" t="s">
        <v>44</v>
      </c>
      <c r="D33" s="32" t="s">
        <v>22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2"/>
    </row>
    <row r="34" spans="1:35" ht="16.2" customHeight="1" thickBot="1" x14ac:dyDescent="0.35">
      <c r="A34" s="5">
        <v>11</v>
      </c>
      <c r="B34" s="32">
        <v>40000188</v>
      </c>
      <c r="C34" s="33" t="s">
        <v>45</v>
      </c>
      <c r="D34" s="32" t="s">
        <v>20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2"/>
    </row>
    <row r="35" spans="1:35" ht="16.2" customHeight="1" thickBot="1" x14ac:dyDescent="0.35">
      <c r="A35" s="5">
        <v>12</v>
      </c>
      <c r="B35" s="32">
        <v>13009042</v>
      </c>
      <c r="C35" s="33" t="s">
        <v>46</v>
      </c>
      <c r="D35" s="32" t="s">
        <v>20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2"/>
    </row>
    <row r="36" spans="1:35" ht="16.2" customHeight="1" thickBot="1" x14ac:dyDescent="0.35">
      <c r="A36" s="5">
        <v>13</v>
      </c>
      <c r="B36" s="32">
        <v>40000706</v>
      </c>
      <c r="C36" s="33" t="s">
        <v>47</v>
      </c>
      <c r="D36" s="32" t="s">
        <v>29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2"/>
    </row>
    <row r="37" spans="1:35" ht="16.2" customHeight="1" thickBot="1" x14ac:dyDescent="0.35">
      <c r="A37" s="5">
        <v>14</v>
      </c>
      <c r="B37" s="32">
        <v>13009023</v>
      </c>
      <c r="C37" s="33" t="s">
        <v>48</v>
      </c>
      <c r="D37" s="32" t="s">
        <v>29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4"/>
    </row>
    <row r="38" spans="1:35" ht="15" customHeight="1" thickBot="1" x14ac:dyDescent="0.35"/>
    <row r="39" spans="1:35" ht="15" customHeight="1" thickBot="1" x14ac:dyDescent="0.35">
      <c r="A39" s="58" t="s">
        <v>98</v>
      </c>
      <c r="B39" s="50"/>
      <c r="C39" s="50"/>
      <c r="D39" s="51"/>
      <c r="E39" s="1" t="str">
        <f ca="1">IF(1&lt;=$BA$4,TEXT($BA$3+0,"ddd"),"")</f>
        <v>Tue</v>
      </c>
      <c r="F39" s="1" t="str">
        <f ca="1">IF(2&lt;=$BA$4,TEXT($BA$3+1,"ddd"),"")</f>
        <v>Wed</v>
      </c>
      <c r="G39" s="1" t="str">
        <f ca="1">IF(3&lt;=$BA$4,TEXT($BA$3+2,"ddd"),"")</f>
        <v>Thu</v>
      </c>
      <c r="H39" s="1" t="str">
        <f ca="1">IF(4&lt;=$BA$4,TEXT($BA$3+3,"ddd"),"")</f>
        <v>Fri</v>
      </c>
      <c r="I39" s="1" t="str">
        <f ca="1">IF(5&lt;=$BA$4,TEXT($BA$3+4,"ddd"),"")</f>
        <v>Sat</v>
      </c>
      <c r="J39" s="1" t="str">
        <f ca="1">IF(6&lt;=$BA$4,TEXT($BA$3+5,"ddd"),"")</f>
        <v>Sun</v>
      </c>
      <c r="K39" s="1" t="str">
        <f ca="1">IF(7&lt;=$BA$4,TEXT($BA$3+6,"ddd"),"")</f>
        <v>Mon</v>
      </c>
      <c r="L39" s="1" t="str">
        <f ca="1">IF(8&lt;=$BA$4,TEXT($BA$3+7,"ddd"),"")</f>
        <v>Tue</v>
      </c>
      <c r="M39" s="1" t="str">
        <f ca="1">IF(9&lt;=$BA$4,TEXT($BA$3+8,"ddd"),"")</f>
        <v>Wed</v>
      </c>
      <c r="N39" s="1" t="str">
        <f ca="1">IF(10&lt;=$BA$4,TEXT($BA$3+9,"ddd"),"")</f>
        <v>Thu</v>
      </c>
      <c r="O39" s="1" t="str">
        <f ca="1">IF(11&lt;=$BA$4,TEXT($BA$3+10,"ddd"),"")</f>
        <v>Fri</v>
      </c>
      <c r="P39" s="1" t="str">
        <f ca="1">IF(12&lt;=$BA$4,TEXT($BA$3+11,"ddd"),"")</f>
        <v>Sat</v>
      </c>
      <c r="Q39" s="1" t="str">
        <f ca="1">IF(13&lt;=$BA$4,TEXT($BA$3+12,"ddd"),"")</f>
        <v>Sun</v>
      </c>
      <c r="R39" s="1" t="str">
        <f ca="1">IF(14&lt;=$BA$4,TEXT($BA$3+13,"ddd"),"")</f>
        <v>Mon</v>
      </c>
      <c r="S39" s="1" t="str">
        <f ca="1">IF(15&lt;=$BA$4,TEXT($BA$3+14,"ddd"),"")</f>
        <v>Tue</v>
      </c>
      <c r="T39" s="1" t="str">
        <f ca="1">IF(16&lt;=$BA$4,TEXT($BA$3+15,"ddd"),"")</f>
        <v>Wed</v>
      </c>
      <c r="U39" s="1" t="str">
        <f ca="1">IF(17&lt;=$BA$4,TEXT($BA$3+16,"ddd"),"")</f>
        <v>Thu</v>
      </c>
      <c r="V39" s="1" t="str">
        <f ca="1">IF(18&lt;=$BA$4,TEXT($BA$3+17,"ddd"),"")</f>
        <v>Fri</v>
      </c>
      <c r="W39" s="1" t="str">
        <f ca="1">IF(19&lt;=$BA$4,TEXT($BA$3+18,"ddd"),"")</f>
        <v>Sat</v>
      </c>
      <c r="X39" s="1" t="str">
        <f ca="1">IF(20&lt;=$BA$4,TEXT($BA$3+19,"ddd"),"")</f>
        <v>Sun</v>
      </c>
      <c r="Y39" s="1" t="str">
        <f ca="1">IF(21&lt;=$BA$4,TEXT($BA$3+20,"ddd"),"")</f>
        <v>Mon</v>
      </c>
      <c r="Z39" s="1" t="str">
        <f ca="1">IF(22&lt;=$BA$4,TEXT($BA$3+21,"ddd"),"")</f>
        <v>Tue</v>
      </c>
      <c r="AA39" s="1" t="str">
        <f ca="1">IF(23&lt;=$BA$4,TEXT($BA$3+22,"ddd"),"")</f>
        <v>Wed</v>
      </c>
      <c r="AB39" s="1" t="str">
        <f ca="1">IF(24&lt;=$BA$4,TEXT($BA$3+23,"ddd"),"")</f>
        <v>Thu</v>
      </c>
      <c r="AC39" s="1" t="str">
        <f ca="1">IF(25&lt;=$BA$4,TEXT($BA$3+24,"ddd"),"")</f>
        <v>Fri</v>
      </c>
      <c r="AD39" s="1" t="str">
        <f ca="1">IF(26&lt;=$BA$4,TEXT($BA$3+25,"ddd"),"")</f>
        <v>Sat</v>
      </c>
      <c r="AE39" s="1" t="str">
        <f ca="1">IF(27&lt;=$BA$4,TEXT($BA$3+26,"ddd"),"")</f>
        <v>Sun</v>
      </c>
      <c r="AF39" s="1" t="str">
        <f ca="1">IF(28&lt;=$BA$4,TEXT($BA$3+27,"ddd"),"")</f>
        <v>Mon</v>
      </c>
      <c r="AG39" s="1" t="str">
        <f ca="1">IF(29&lt;=$BA$4,TEXT($BA$3+28,"ddd"),"")</f>
        <v>Tue</v>
      </c>
      <c r="AH39" s="1" t="str">
        <f ca="1">IF(30&lt;=$BA$4,TEXT($BA$3+29,"ddd"),"")</f>
        <v>Wed</v>
      </c>
      <c r="AI39" s="1" t="str">
        <f ca="1">IF(31&lt;=$BA$4,TEXT($BA$3+30,"ddd"),"")</f>
        <v/>
      </c>
    </row>
    <row r="40" spans="1:35" ht="16.2" customHeight="1" thickBot="1" x14ac:dyDescent="0.35">
      <c r="A40" s="54"/>
      <c r="B40" s="55"/>
      <c r="C40" s="55"/>
      <c r="D40" s="56"/>
      <c r="E40" s="2">
        <f ca="1">IF(1&lt;=$BA$4,IF($BA$1="P",DAY($BA$3+0),1),"")</f>
        <v>1</v>
      </c>
      <c r="F40" s="2">
        <f ca="1">IF(2&lt;=$BA$4,IF($BA$1="P",DAY($BA$3+1),2),"")</f>
        <v>2</v>
      </c>
      <c r="G40" s="2">
        <f ca="1">IF(3&lt;=$BA$4,IF($BA$1="P",DAY($BA$3+2),3),"")</f>
        <v>3</v>
      </c>
      <c r="H40" s="2">
        <f ca="1">IF(4&lt;=$BA$4,IF($BA$1="P",DAY($BA$3+3),4),"")</f>
        <v>4</v>
      </c>
      <c r="I40" s="3">
        <f ca="1">IF(5&lt;=$BA$4,IF($BA$1="P",DAY($BA$3+4),5),"")</f>
        <v>5</v>
      </c>
      <c r="J40" s="4">
        <f ca="1">IF(6&lt;=$BA$4,IF($BA$1="P",DAY($BA$3+5),6),"")</f>
        <v>6</v>
      </c>
      <c r="K40" s="4">
        <f ca="1">IF(7&lt;=$BA$4,IF($BA$1="P",DAY($BA$3+6),7),"")</f>
        <v>7</v>
      </c>
      <c r="L40" s="3">
        <f ca="1">IF(8&lt;=$BA$4,IF($BA$1="P",DAY($BA$3+7),8),"")</f>
        <v>8</v>
      </c>
      <c r="M40" s="4">
        <f ca="1">IF(9&lt;=$BA$4,IF($BA$1="P",DAY($BA$3+8),9),"")</f>
        <v>9</v>
      </c>
      <c r="N40" s="2">
        <f ca="1">IF(10&lt;=$BA$4,IF($BA$1="P",DAY($BA$3+9),10),"")</f>
        <v>10</v>
      </c>
      <c r="O40" s="2">
        <f ca="1">IF(11&lt;=$BA$4,IF($BA$1="P",DAY($BA$3+10),11),"")</f>
        <v>11</v>
      </c>
      <c r="P40" s="2">
        <f ca="1">IF(12&lt;=$BA$4,IF($BA$1="P",DAY($BA$3+11),12),"")</f>
        <v>12</v>
      </c>
      <c r="Q40" s="2">
        <f ca="1">IF(13&lt;=$BA$4,IF($BA$1="P",DAY($BA$3+12),13),"")</f>
        <v>13</v>
      </c>
      <c r="R40" s="2">
        <f ca="1">IF(14&lt;=$BA$4,IF($BA$1="P",DAY($BA$3+13),14),"")</f>
        <v>14</v>
      </c>
      <c r="S40" s="2">
        <f ca="1">IF(15&lt;=$BA$4,IF($BA$1="P",DAY($BA$3+14),15),"")</f>
        <v>15</v>
      </c>
      <c r="T40" s="2">
        <f ca="1">IF(16&lt;=$BA$4,IF($BA$1="P",DAY($BA$3+15),16),"")</f>
        <v>16</v>
      </c>
      <c r="U40" s="2">
        <f ca="1">IF(17&lt;=$BA$4,IF($BA$1="P",DAY($BA$3+16),17),"")</f>
        <v>17</v>
      </c>
      <c r="V40" s="2">
        <f ca="1">IF(18&lt;=$BA$4,IF($BA$1="P",DAY($BA$3+17),18),"")</f>
        <v>18</v>
      </c>
      <c r="W40" s="2">
        <f ca="1">IF(19&lt;=$BA$4,IF($BA$1="P",DAY($BA$3+18),19),"")</f>
        <v>19</v>
      </c>
      <c r="X40" s="2">
        <f ca="1">IF(20&lt;=$BA$4,IF($BA$1="P",DAY($BA$3+19),20),"")</f>
        <v>20</v>
      </c>
      <c r="Y40" s="2">
        <f ca="1">IF(21&lt;=$BA$4,IF($BA$1="P",DAY($BA$3+20),21),"")</f>
        <v>21</v>
      </c>
      <c r="Z40" s="2">
        <f ca="1">IF(22&lt;=$BA$4,IF($BA$1="P",DAY($BA$3+21),22),"")</f>
        <v>22</v>
      </c>
      <c r="AA40" s="2">
        <f ca="1">IF(23&lt;=$BA$4,IF($BA$1="P",DAY($BA$3+22),23),"")</f>
        <v>23</v>
      </c>
      <c r="AB40" s="2">
        <f ca="1">IF(24&lt;=$BA$4,IF($BA$1="P",DAY($BA$3+23),24),"")</f>
        <v>24</v>
      </c>
      <c r="AC40" s="2">
        <f ca="1">IF(25&lt;=$BA$4,IF($BA$1="P",DAY($BA$3+24),25),"")</f>
        <v>25</v>
      </c>
      <c r="AD40" s="2">
        <f ca="1">IF(26&lt;=$BA$4,IF($BA$1="P",DAY($BA$3+25),26),"")</f>
        <v>26</v>
      </c>
      <c r="AE40" s="2">
        <f ca="1">IF(27&lt;=$BA$4,IF($BA$1="P",DAY($BA$3+26),27),"")</f>
        <v>27</v>
      </c>
      <c r="AF40" s="2">
        <f ca="1">IF(28&lt;=$BA$4,IF($BA$1="P",DAY($BA$3+27),28),"")</f>
        <v>28</v>
      </c>
      <c r="AG40" s="2">
        <f ca="1">IF(29&lt;=$BA$4,IF($BA$1="P",DAY($BA$3+28),29),"")</f>
        <v>29</v>
      </c>
      <c r="AH40" s="2">
        <f ca="1">IF(30&lt;=$BA$4,IF($BA$1="P",DAY($BA$3+29),30),"")</f>
        <v>30</v>
      </c>
      <c r="AI40" s="2" t="str">
        <f ca="1">IF(31&lt;=$BA$4,IF($BA$1="P",DAY($BA$3+30),31),"")</f>
        <v/>
      </c>
    </row>
    <row r="41" spans="1:35" ht="16.2" customHeight="1" thickBot="1" x14ac:dyDescent="0.35">
      <c r="A41" s="5">
        <v>1</v>
      </c>
      <c r="B41" s="32">
        <v>30003319</v>
      </c>
      <c r="C41" s="33" t="s">
        <v>52</v>
      </c>
      <c r="D41" s="32" t="s">
        <v>20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6.2" customHeight="1" thickBot="1" x14ac:dyDescent="0.35">
      <c r="A42" s="5">
        <v>2</v>
      </c>
      <c r="B42" s="32">
        <v>30003362</v>
      </c>
      <c r="C42" s="33" t="s">
        <v>53</v>
      </c>
      <c r="D42" s="32" t="s">
        <v>20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6.2" customHeight="1" thickBot="1" x14ac:dyDescent="0.35">
      <c r="A43" s="5">
        <v>3</v>
      </c>
      <c r="B43" s="32">
        <v>30003449</v>
      </c>
      <c r="C43" s="33" t="s">
        <v>54</v>
      </c>
      <c r="D43" s="32" t="s">
        <v>20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6.2" customHeight="1" thickBot="1" x14ac:dyDescent="0.35">
      <c r="A44" s="5">
        <v>4</v>
      </c>
      <c r="B44" s="32">
        <v>30003471</v>
      </c>
      <c r="C44" s="33" t="s">
        <v>97</v>
      </c>
      <c r="D44" s="32" t="s">
        <v>20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6.2" customHeight="1" thickBot="1" x14ac:dyDescent="0.35">
      <c r="A45" s="5">
        <v>5</v>
      </c>
      <c r="B45" s="32">
        <v>30003607</v>
      </c>
      <c r="C45" s="33" t="s">
        <v>55</v>
      </c>
      <c r="D45" s="32" t="s">
        <v>20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6.2" customHeight="1" thickBot="1" x14ac:dyDescent="0.35">
      <c r="A46" s="5">
        <v>6</v>
      </c>
      <c r="B46" s="32">
        <v>30004358</v>
      </c>
      <c r="C46" s="33" t="s">
        <v>56</v>
      </c>
      <c r="D46" s="32" t="s">
        <v>20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6.2" customHeight="1" thickBot="1" x14ac:dyDescent="0.35">
      <c r="A47" s="5">
        <v>7</v>
      </c>
      <c r="B47" s="32">
        <v>30004434</v>
      </c>
      <c r="C47" s="33" t="s">
        <v>57</v>
      </c>
      <c r="D47" s="32" t="s">
        <v>20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6.2" customHeight="1" thickBot="1" x14ac:dyDescent="0.35">
      <c r="A48" s="5">
        <v>8</v>
      </c>
      <c r="B48" s="32">
        <v>30004838</v>
      </c>
      <c r="C48" s="33" t="s">
        <v>58</v>
      </c>
      <c r="D48" s="32" t="s">
        <v>20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6.2" customHeight="1" thickBot="1" x14ac:dyDescent="0.35">
      <c r="A49" s="5">
        <v>9</v>
      </c>
      <c r="B49" s="32">
        <v>30003332</v>
      </c>
      <c r="C49" s="33" t="s">
        <v>91</v>
      </c>
      <c r="D49" s="32" t="s">
        <v>20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6.2" customHeight="1" thickBot="1" x14ac:dyDescent="0.35">
      <c r="A50" s="5">
        <v>10</v>
      </c>
      <c r="B50" s="32">
        <v>30003505</v>
      </c>
      <c r="C50" s="33" t="s">
        <v>92</v>
      </c>
      <c r="D50" s="32" t="s">
        <v>20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6.2" customHeight="1" thickBot="1" x14ac:dyDescent="0.35">
      <c r="A51" s="5">
        <v>11</v>
      </c>
      <c r="B51" s="32">
        <v>30004387</v>
      </c>
      <c r="C51" s="33" t="s">
        <v>93</v>
      </c>
      <c r="D51" s="32" t="s">
        <v>20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6.2" customHeight="1" thickBot="1" x14ac:dyDescent="0.35">
      <c r="A52" s="5">
        <v>12</v>
      </c>
      <c r="B52" s="32">
        <v>30003357</v>
      </c>
      <c r="C52" s="33" t="s">
        <v>94</v>
      </c>
      <c r="D52" s="32" t="s">
        <v>20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6.2" customHeight="1" thickBot="1" x14ac:dyDescent="0.35">
      <c r="A53" s="5">
        <v>13</v>
      </c>
      <c r="B53" s="32">
        <v>30004224</v>
      </c>
      <c r="C53" s="33" t="s">
        <v>95</v>
      </c>
      <c r="D53" s="32" t="s">
        <v>20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6.2" customHeight="1" thickBot="1" x14ac:dyDescent="0.35">
      <c r="A54" s="5">
        <v>14</v>
      </c>
      <c r="B54" s="32"/>
      <c r="C54" s="33" t="s">
        <v>96</v>
      </c>
      <c r="D54" s="32" t="s">
        <v>20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6.2" customHeight="1" thickBot="1" x14ac:dyDescent="0.35">
      <c r="A55" s="8"/>
      <c r="B55" s="36"/>
      <c r="C55" s="37"/>
      <c r="D55" s="3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35" ht="15" customHeight="1" thickBot="1" x14ac:dyDescent="0.35">
      <c r="A56" s="58" t="s">
        <v>49</v>
      </c>
      <c r="B56" s="50"/>
      <c r="C56" s="50"/>
      <c r="D56" s="51"/>
      <c r="E56" s="1" t="str">
        <f ca="1">IF(1&lt;=$BA$4,TEXT($BA$3+0,"ddd"),"")</f>
        <v>Tue</v>
      </c>
      <c r="F56" s="1" t="str">
        <f ca="1">IF(2&lt;=$BA$4,TEXT($BA$3+1,"ddd"),"")</f>
        <v>Wed</v>
      </c>
      <c r="G56" s="1" t="str">
        <f ca="1">IF(3&lt;=$BA$4,TEXT($BA$3+2,"ddd"),"")</f>
        <v>Thu</v>
      </c>
      <c r="H56" s="1" t="str">
        <f ca="1">IF(4&lt;=$BA$4,TEXT($BA$3+3,"ddd"),"")</f>
        <v>Fri</v>
      </c>
      <c r="I56" s="1" t="str">
        <f ca="1">IF(5&lt;=$BA$4,TEXT($BA$3+4,"ddd"),"")</f>
        <v>Sat</v>
      </c>
      <c r="J56" s="1" t="str">
        <f ca="1">IF(6&lt;=$BA$4,TEXT($BA$3+5,"ddd"),"")</f>
        <v>Sun</v>
      </c>
      <c r="K56" s="1" t="str">
        <f ca="1">IF(7&lt;=$BA$4,TEXT($BA$3+6,"ddd"),"")</f>
        <v>Mon</v>
      </c>
      <c r="L56" s="1" t="str">
        <f ca="1">IF(8&lt;=$BA$4,TEXT($BA$3+7,"ddd"),"")</f>
        <v>Tue</v>
      </c>
      <c r="M56" s="1" t="str">
        <f ca="1">IF(9&lt;=$BA$4,TEXT($BA$3+8,"ddd"),"")</f>
        <v>Wed</v>
      </c>
      <c r="N56" s="1" t="str">
        <f ca="1">IF(10&lt;=$BA$4,TEXT($BA$3+9,"ddd"),"")</f>
        <v>Thu</v>
      </c>
      <c r="O56" s="1" t="str">
        <f ca="1">IF(11&lt;=$BA$4,TEXT($BA$3+10,"ddd"),"")</f>
        <v>Fri</v>
      </c>
      <c r="P56" s="1" t="str">
        <f ca="1">IF(12&lt;=$BA$4,TEXT($BA$3+11,"ddd"),"")</f>
        <v>Sat</v>
      </c>
      <c r="Q56" s="1" t="str">
        <f ca="1">IF(13&lt;=$BA$4,TEXT($BA$3+12,"ddd"),"")</f>
        <v>Sun</v>
      </c>
      <c r="R56" s="1" t="str">
        <f ca="1">IF(14&lt;=$BA$4,TEXT($BA$3+13,"ddd"),"")</f>
        <v>Mon</v>
      </c>
      <c r="S56" s="1" t="str">
        <f ca="1">IF(15&lt;=$BA$4,TEXT($BA$3+14,"ddd"),"")</f>
        <v>Tue</v>
      </c>
      <c r="T56" s="1" t="str">
        <f ca="1">IF(16&lt;=$BA$4,TEXT($BA$3+15,"ddd"),"")</f>
        <v>Wed</v>
      </c>
      <c r="U56" s="1" t="str">
        <f ca="1">IF(17&lt;=$BA$4,TEXT($BA$3+16,"ddd"),"")</f>
        <v>Thu</v>
      </c>
      <c r="V56" s="1" t="str">
        <f ca="1">IF(18&lt;=$BA$4,TEXT($BA$3+17,"ddd"),"")</f>
        <v>Fri</v>
      </c>
      <c r="W56" s="1" t="str">
        <f ca="1">IF(19&lt;=$BA$4,TEXT($BA$3+18,"ddd"),"")</f>
        <v>Sat</v>
      </c>
      <c r="X56" s="1" t="str">
        <f ca="1">IF(20&lt;=$BA$4,TEXT($BA$3+19,"ddd"),"")</f>
        <v>Sun</v>
      </c>
      <c r="Y56" s="1" t="str">
        <f ca="1">IF(21&lt;=$BA$4,TEXT($BA$3+20,"ddd"),"")</f>
        <v>Mon</v>
      </c>
      <c r="Z56" s="1" t="str">
        <f ca="1">IF(22&lt;=$BA$4,TEXT($BA$3+21,"ddd"),"")</f>
        <v>Tue</v>
      </c>
      <c r="AA56" s="1" t="str">
        <f ca="1">IF(23&lt;=$BA$4,TEXT($BA$3+22,"ddd"),"")</f>
        <v>Wed</v>
      </c>
      <c r="AB56" s="1" t="str">
        <f ca="1">IF(24&lt;=$BA$4,TEXT($BA$3+23,"ddd"),"")</f>
        <v>Thu</v>
      </c>
      <c r="AC56" s="1" t="str">
        <f ca="1">IF(25&lt;=$BA$4,TEXT($BA$3+24,"ddd"),"")</f>
        <v>Fri</v>
      </c>
      <c r="AD56" s="1" t="str">
        <f ca="1">IF(26&lt;=$BA$4,TEXT($BA$3+25,"ddd"),"")</f>
        <v>Sat</v>
      </c>
      <c r="AE56" s="1" t="str">
        <f ca="1">IF(27&lt;=$BA$4,TEXT($BA$3+26,"ddd"),"")</f>
        <v>Sun</v>
      </c>
      <c r="AF56" s="1" t="str">
        <f ca="1">IF(28&lt;=$BA$4,TEXT($BA$3+27,"ddd"),"")</f>
        <v>Mon</v>
      </c>
      <c r="AG56" s="1" t="str">
        <f ca="1">IF(29&lt;=$BA$4,TEXT($BA$3+28,"ddd"),"")</f>
        <v>Tue</v>
      </c>
      <c r="AH56" s="1" t="str">
        <f ca="1">IF(30&lt;=$BA$4,TEXT($BA$3+29,"ddd"),"")</f>
        <v>Wed</v>
      </c>
      <c r="AI56" s="1" t="str">
        <f ca="1">IF(31&lt;=$BA$4,TEXT($BA$3+30,"ddd"),"")</f>
        <v/>
      </c>
    </row>
    <row r="57" spans="1:35" ht="16.2" customHeight="1" thickBot="1" x14ac:dyDescent="0.35">
      <c r="A57" s="54"/>
      <c r="B57" s="55"/>
      <c r="C57" s="55"/>
      <c r="D57" s="56"/>
      <c r="E57" s="2">
        <f ca="1">IF(1&lt;=$BA$4,IF($BA$1="P",DAY($BA$3+0),1),"")</f>
        <v>1</v>
      </c>
      <c r="F57" s="2">
        <f ca="1">IF(2&lt;=$BA$4,IF($BA$1="P",DAY($BA$3+1),2),"")</f>
        <v>2</v>
      </c>
      <c r="G57" s="2">
        <f ca="1">IF(3&lt;=$BA$4,IF($BA$1="P",DAY($BA$3+2),3),"")</f>
        <v>3</v>
      </c>
      <c r="H57" s="2">
        <f ca="1">IF(4&lt;=$BA$4,IF($BA$1="P",DAY($BA$3+3),4),"")</f>
        <v>4</v>
      </c>
      <c r="I57" s="3">
        <f ca="1">IF(5&lt;=$BA$4,IF($BA$1="P",DAY($BA$3+4),5),"")</f>
        <v>5</v>
      </c>
      <c r="J57" s="4">
        <f ca="1">IF(6&lt;=$BA$4,IF($BA$1="P",DAY($BA$3+5),6),"")</f>
        <v>6</v>
      </c>
      <c r="K57" s="4">
        <f ca="1">IF(7&lt;=$BA$4,IF($BA$1="P",DAY($BA$3+6),7),"")</f>
        <v>7</v>
      </c>
      <c r="L57" s="3">
        <f ca="1">IF(8&lt;=$BA$4,IF($BA$1="P",DAY($BA$3+7),8),"")</f>
        <v>8</v>
      </c>
      <c r="M57" s="4">
        <f ca="1">IF(9&lt;=$BA$4,IF($BA$1="P",DAY($BA$3+8),9),"")</f>
        <v>9</v>
      </c>
      <c r="N57" s="2">
        <f ca="1">IF(10&lt;=$BA$4,IF($BA$1="P",DAY($BA$3+9),10),"")</f>
        <v>10</v>
      </c>
      <c r="O57" s="2">
        <f ca="1">IF(11&lt;=$BA$4,IF($BA$1="P",DAY($BA$3+10),11),"")</f>
        <v>11</v>
      </c>
      <c r="P57" s="2">
        <f ca="1">IF(12&lt;=$BA$4,IF($BA$1="P",DAY($BA$3+11),12),"")</f>
        <v>12</v>
      </c>
      <c r="Q57" s="2">
        <f ca="1">IF(13&lt;=$BA$4,IF($BA$1="P",DAY($BA$3+12),13),"")</f>
        <v>13</v>
      </c>
      <c r="R57" s="2">
        <f ca="1">IF(14&lt;=$BA$4,IF($BA$1="P",DAY($BA$3+13),14),"")</f>
        <v>14</v>
      </c>
      <c r="S57" s="2">
        <f ca="1">IF(15&lt;=$BA$4,IF($BA$1="P",DAY($BA$3+14),15),"")</f>
        <v>15</v>
      </c>
      <c r="T57" s="2">
        <f ca="1">IF(16&lt;=$BA$4,IF($BA$1="P",DAY($BA$3+15),16),"")</f>
        <v>16</v>
      </c>
      <c r="U57" s="2">
        <f ca="1">IF(17&lt;=$BA$4,IF($BA$1="P",DAY($BA$3+16),17),"")</f>
        <v>17</v>
      </c>
      <c r="V57" s="2">
        <f ca="1">IF(18&lt;=$BA$4,IF($BA$1="P",DAY($BA$3+17),18),"")</f>
        <v>18</v>
      </c>
      <c r="W57" s="2">
        <f ca="1">IF(19&lt;=$BA$4,IF($BA$1="P",DAY($BA$3+18),19),"")</f>
        <v>19</v>
      </c>
      <c r="X57" s="2">
        <f ca="1">IF(20&lt;=$BA$4,IF($BA$1="P",DAY($BA$3+19),20),"")</f>
        <v>20</v>
      </c>
      <c r="Y57" s="2">
        <f ca="1">IF(21&lt;=$BA$4,IF($BA$1="P",DAY($BA$3+20),21),"")</f>
        <v>21</v>
      </c>
      <c r="Z57" s="2">
        <f ca="1">IF(22&lt;=$BA$4,IF($BA$1="P",DAY($BA$3+21),22),"")</f>
        <v>22</v>
      </c>
      <c r="AA57" s="2">
        <f ca="1">IF(23&lt;=$BA$4,IF($BA$1="P",DAY($BA$3+22),23),"")</f>
        <v>23</v>
      </c>
      <c r="AB57" s="2">
        <f ca="1">IF(24&lt;=$BA$4,IF($BA$1="P",DAY($BA$3+23),24),"")</f>
        <v>24</v>
      </c>
      <c r="AC57" s="2">
        <f ca="1">IF(25&lt;=$BA$4,IF($BA$1="P",DAY($BA$3+24),25),"")</f>
        <v>25</v>
      </c>
      <c r="AD57" s="2">
        <f ca="1">IF(26&lt;=$BA$4,IF($BA$1="P",DAY($BA$3+25),26),"")</f>
        <v>26</v>
      </c>
      <c r="AE57" s="2">
        <f ca="1">IF(27&lt;=$BA$4,IF($BA$1="P",DAY($BA$3+26),27),"")</f>
        <v>27</v>
      </c>
      <c r="AF57" s="2">
        <f ca="1">IF(28&lt;=$BA$4,IF($BA$1="P",DAY($BA$3+27),28),"")</f>
        <v>28</v>
      </c>
      <c r="AG57" s="2">
        <f ca="1">IF(29&lt;=$BA$4,IF($BA$1="P",DAY($BA$3+28),29),"")</f>
        <v>29</v>
      </c>
      <c r="AH57" s="2">
        <f ca="1">IF(30&lt;=$BA$4,IF($BA$1="P",DAY($BA$3+29),30),"")</f>
        <v>30</v>
      </c>
      <c r="AI57" s="2" t="str">
        <f ca="1">IF(31&lt;=$BA$4,IF($BA$1="P",DAY($BA$3+30),31),"")</f>
        <v/>
      </c>
    </row>
    <row r="58" spans="1:35" ht="16.2" customHeight="1" thickBot="1" x14ac:dyDescent="0.35">
      <c r="A58" s="5">
        <v>1</v>
      </c>
      <c r="B58" s="32">
        <v>13004037</v>
      </c>
      <c r="C58" s="33" t="s">
        <v>50</v>
      </c>
      <c r="D58" s="32" t="s">
        <v>51</v>
      </c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22"/>
      <c r="AI58" s="19"/>
    </row>
    <row r="59" spans="1:35" ht="16.2" customHeight="1" thickBot="1" x14ac:dyDescent="0.35">
      <c r="A59" s="33"/>
      <c r="B59" s="33"/>
      <c r="C59" s="33"/>
      <c r="D59" s="33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22"/>
      <c r="AI59" s="19"/>
    </row>
    <row r="60" spans="1:35" ht="16.2" customHeight="1" thickBot="1" x14ac:dyDescent="0.35">
      <c r="A60" s="33"/>
      <c r="B60" s="33"/>
      <c r="C60" s="33"/>
      <c r="D60" s="33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22"/>
      <c r="AI60" s="19"/>
    </row>
    <row r="61" spans="1:35" ht="16.2" customHeight="1" thickBot="1" x14ac:dyDescent="0.35">
      <c r="A61" s="33"/>
      <c r="B61" s="33"/>
      <c r="C61" s="33"/>
      <c r="D61" s="33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22"/>
      <c r="AI61" s="19"/>
    </row>
    <row r="62" spans="1:35" ht="16.2" customHeight="1" thickBot="1" x14ac:dyDescent="0.35">
      <c r="A62" s="33"/>
      <c r="B62" s="33"/>
      <c r="C62" s="33"/>
      <c r="D62" s="33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22"/>
      <c r="AI62" s="19"/>
    </row>
    <row r="63" spans="1:35" ht="16.2" thickBot="1" x14ac:dyDescent="0.35">
      <c r="A63" s="33"/>
      <c r="B63" s="33"/>
      <c r="C63" s="33"/>
      <c r="D63" s="33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22"/>
      <c r="AI63" s="19"/>
    </row>
    <row r="64" spans="1:35" ht="16.2" customHeight="1" thickBot="1" x14ac:dyDescent="0.35">
      <c r="A64" s="9"/>
      <c r="B64" s="36"/>
      <c r="C64" s="37"/>
      <c r="D64" s="3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35" ht="15" customHeight="1" thickBot="1" x14ac:dyDescent="0.35">
      <c r="A65" s="49" t="s">
        <v>59</v>
      </c>
      <c r="B65" s="50"/>
      <c r="C65" s="51"/>
      <c r="D65" s="58" t="s">
        <v>60</v>
      </c>
      <c r="E65" s="1" t="str">
        <f ca="1">IF(1&lt;=$BA$4,TEXT($BA$3+0,"ddd"),"")</f>
        <v>Tue</v>
      </c>
      <c r="F65" s="1" t="str">
        <f ca="1">IF(2&lt;=$BA$4,TEXT($BA$3+1,"ddd"),"")</f>
        <v>Wed</v>
      </c>
      <c r="G65" s="1" t="str">
        <f ca="1">IF(3&lt;=$BA$4,TEXT($BA$3+2,"ddd"),"")</f>
        <v>Thu</v>
      </c>
      <c r="H65" s="1" t="str">
        <f ca="1">IF(4&lt;=$BA$4,TEXT($BA$3+3,"ddd"),"")</f>
        <v>Fri</v>
      </c>
      <c r="I65" s="1" t="str">
        <f ca="1">IF(5&lt;=$BA$4,TEXT($BA$3+4,"ddd"),"")</f>
        <v>Sat</v>
      </c>
      <c r="J65" s="1" t="str">
        <f ca="1">IF(6&lt;=$BA$4,TEXT($BA$3+5,"ddd"),"")</f>
        <v>Sun</v>
      </c>
      <c r="K65" s="1" t="str">
        <f ca="1">IF(7&lt;=$BA$4,TEXT($BA$3+6,"ddd"),"")</f>
        <v>Mon</v>
      </c>
      <c r="L65" s="1" t="str">
        <f ca="1">IF(8&lt;=$BA$4,TEXT($BA$3+7,"ddd"),"")</f>
        <v>Tue</v>
      </c>
      <c r="M65" s="1" t="str">
        <f ca="1">IF(9&lt;=$BA$4,TEXT($BA$3+8,"ddd"),"")</f>
        <v>Wed</v>
      </c>
      <c r="N65" s="1" t="str">
        <f ca="1">IF(10&lt;=$BA$4,TEXT($BA$3+9,"ddd"),"")</f>
        <v>Thu</v>
      </c>
      <c r="O65" s="1" t="str">
        <f ca="1">IF(11&lt;=$BA$4,TEXT($BA$3+10,"ddd"),"")</f>
        <v>Fri</v>
      </c>
      <c r="P65" s="1" t="str">
        <f ca="1">IF(12&lt;=$BA$4,TEXT($BA$3+11,"ddd"),"")</f>
        <v>Sat</v>
      </c>
      <c r="Q65" s="1" t="str">
        <f ca="1">IF(13&lt;=$BA$4,TEXT($BA$3+12,"ddd"),"")</f>
        <v>Sun</v>
      </c>
      <c r="R65" s="1" t="str">
        <f ca="1">IF(14&lt;=$BA$4,TEXT($BA$3+13,"ddd"),"")</f>
        <v>Mon</v>
      </c>
      <c r="S65" s="1" t="str">
        <f ca="1">IF(15&lt;=$BA$4,TEXT($BA$3+14,"ddd"),"")</f>
        <v>Tue</v>
      </c>
      <c r="T65" s="1" t="str">
        <f ca="1">IF(16&lt;=$BA$4,TEXT($BA$3+15,"ddd"),"")</f>
        <v>Wed</v>
      </c>
      <c r="U65" s="1" t="str">
        <f ca="1">IF(17&lt;=$BA$4,TEXT($BA$3+16,"ddd"),"")</f>
        <v>Thu</v>
      </c>
      <c r="V65" s="1" t="str">
        <f ca="1">IF(18&lt;=$BA$4,TEXT($BA$3+17,"ddd"),"")</f>
        <v>Fri</v>
      </c>
      <c r="W65" s="1" t="str">
        <f ca="1">IF(19&lt;=$BA$4,TEXT($BA$3+18,"ddd"),"")</f>
        <v>Sat</v>
      </c>
      <c r="X65" s="1" t="str">
        <f ca="1">IF(20&lt;=$BA$4,TEXT($BA$3+19,"ddd"),"")</f>
        <v>Sun</v>
      </c>
      <c r="Y65" s="1" t="str">
        <f ca="1">IF(21&lt;=$BA$4,TEXT($BA$3+20,"ddd"),"")</f>
        <v>Mon</v>
      </c>
      <c r="Z65" s="1" t="str">
        <f ca="1">IF(22&lt;=$BA$4,TEXT($BA$3+21,"ddd"),"")</f>
        <v>Tue</v>
      </c>
      <c r="AA65" s="1" t="str">
        <f ca="1">IF(23&lt;=$BA$4,TEXT($BA$3+22,"ddd"),"")</f>
        <v>Wed</v>
      </c>
      <c r="AB65" s="1" t="str">
        <f ca="1">IF(24&lt;=$BA$4,TEXT($BA$3+23,"ddd"),"")</f>
        <v>Thu</v>
      </c>
      <c r="AC65" s="1" t="str">
        <f ca="1">IF(25&lt;=$BA$4,TEXT($BA$3+24,"ddd"),"")</f>
        <v>Fri</v>
      </c>
      <c r="AD65" s="1" t="str">
        <f ca="1">IF(26&lt;=$BA$4,TEXT($BA$3+25,"ddd"),"")</f>
        <v>Sat</v>
      </c>
      <c r="AE65" s="1" t="str">
        <f ca="1">IF(27&lt;=$BA$4,TEXT($BA$3+26,"ddd"),"")</f>
        <v>Sun</v>
      </c>
      <c r="AF65" s="1" t="str">
        <f ca="1">IF(28&lt;=$BA$4,TEXT($BA$3+27,"ddd"),"")</f>
        <v>Mon</v>
      </c>
      <c r="AG65" s="1" t="str">
        <f ca="1">IF(29&lt;=$BA$4,TEXT($BA$3+28,"ddd"),"")</f>
        <v>Tue</v>
      </c>
      <c r="AH65" s="1" t="str">
        <f ca="1">IF(30&lt;=$BA$4,TEXT($BA$3+29,"ddd"),"")</f>
        <v>Wed</v>
      </c>
      <c r="AI65" s="1" t="str">
        <f ca="1">IF(31&lt;=$BA$4,TEXT($BA$3+30,"ddd"),"")</f>
        <v/>
      </c>
    </row>
    <row r="66" spans="1:35" ht="16.2" customHeight="1" thickBot="1" x14ac:dyDescent="0.35">
      <c r="A66" s="52"/>
      <c r="B66" s="41"/>
      <c r="C66" s="53"/>
      <c r="D66" s="48"/>
      <c r="E66" s="2">
        <f ca="1">IF(1&lt;=$BA$4,IF($BA$1="P",DAY($BA$3+0),1),"")</f>
        <v>1</v>
      </c>
      <c r="F66" s="2">
        <f ca="1">IF(2&lt;=$BA$4,IF($BA$1="P",DAY($BA$3+1),2),"")</f>
        <v>2</v>
      </c>
      <c r="G66" s="2">
        <f ca="1">IF(3&lt;=$BA$4,IF($BA$1="P",DAY($BA$3+2),3),"")</f>
        <v>3</v>
      </c>
      <c r="H66" s="2">
        <f ca="1">IF(4&lt;=$BA$4,IF($BA$1="P",DAY($BA$3+3),4),"")</f>
        <v>4</v>
      </c>
      <c r="I66" s="3">
        <f ca="1">IF(5&lt;=$BA$4,IF($BA$1="P",DAY($BA$3+4),5),"")</f>
        <v>5</v>
      </c>
      <c r="J66" s="4">
        <f ca="1">IF(6&lt;=$BA$4,IF($BA$1="P",DAY($BA$3+5),6),"")</f>
        <v>6</v>
      </c>
      <c r="K66" s="4">
        <f ca="1">IF(7&lt;=$BA$4,IF($BA$1="P",DAY($BA$3+6),7),"")</f>
        <v>7</v>
      </c>
      <c r="L66" s="3">
        <f ca="1">IF(8&lt;=$BA$4,IF($BA$1="P",DAY($BA$3+7),8),"")</f>
        <v>8</v>
      </c>
      <c r="M66" s="4">
        <f ca="1">IF(9&lt;=$BA$4,IF($BA$1="P",DAY($BA$3+8),9),"")</f>
        <v>9</v>
      </c>
      <c r="N66" s="2">
        <f ca="1">IF(10&lt;=$BA$4,IF($BA$1="P",DAY($BA$3+9),10),"")</f>
        <v>10</v>
      </c>
      <c r="O66" s="2">
        <f ca="1">IF(11&lt;=$BA$4,IF($BA$1="P",DAY($BA$3+10),11),"")</f>
        <v>11</v>
      </c>
      <c r="P66" s="2">
        <f ca="1">IF(12&lt;=$BA$4,IF($BA$1="P",DAY($BA$3+11),12),"")</f>
        <v>12</v>
      </c>
      <c r="Q66" s="2">
        <f ca="1">IF(13&lt;=$BA$4,IF($BA$1="P",DAY($BA$3+12),13),"")</f>
        <v>13</v>
      </c>
      <c r="R66" s="2">
        <f ca="1">IF(14&lt;=$BA$4,IF($BA$1="P",DAY($BA$3+13),14),"")</f>
        <v>14</v>
      </c>
      <c r="S66" s="2">
        <f ca="1">IF(15&lt;=$BA$4,IF($BA$1="P",DAY($BA$3+14),15),"")</f>
        <v>15</v>
      </c>
      <c r="T66" s="2">
        <f ca="1">IF(16&lt;=$BA$4,IF($BA$1="P",DAY($BA$3+15),16),"")</f>
        <v>16</v>
      </c>
      <c r="U66" s="2">
        <f ca="1">IF(17&lt;=$BA$4,IF($BA$1="P",DAY($BA$3+16),17),"")</f>
        <v>17</v>
      </c>
      <c r="V66" s="2">
        <f ca="1">IF(18&lt;=$BA$4,IF($BA$1="P",DAY($BA$3+17),18),"")</f>
        <v>18</v>
      </c>
      <c r="W66" s="2">
        <f ca="1">IF(19&lt;=$BA$4,IF($BA$1="P",DAY($BA$3+18),19),"")</f>
        <v>19</v>
      </c>
      <c r="X66" s="2">
        <f ca="1">IF(20&lt;=$BA$4,IF($BA$1="P",DAY($BA$3+19),20),"")</f>
        <v>20</v>
      </c>
      <c r="Y66" s="2">
        <f ca="1">IF(21&lt;=$BA$4,IF($BA$1="P",DAY($BA$3+20),21),"")</f>
        <v>21</v>
      </c>
      <c r="Z66" s="2">
        <f ca="1">IF(22&lt;=$BA$4,IF($BA$1="P",DAY($BA$3+21),22),"")</f>
        <v>22</v>
      </c>
      <c r="AA66" s="2">
        <f ca="1">IF(23&lt;=$BA$4,IF($BA$1="P",DAY($BA$3+22),23),"")</f>
        <v>23</v>
      </c>
      <c r="AB66" s="2">
        <f ca="1">IF(24&lt;=$BA$4,IF($BA$1="P",DAY($BA$3+23),24),"")</f>
        <v>24</v>
      </c>
      <c r="AC66" s="2">
        <f ca="1">IF(25&lt;=$BA$4,IF($BA$1="P",DAY($BA$3+24),25),"")</f>
        <v>25</v>
      </c>
      <c r="AD66" s="2">
        <f ca="1">IF(26&lt;=$BA$4,IF($BA$1="P",DAY($BA$3+25),26),"")</f>
        <v>26</v>
      </c>
      <c r="AE66" s="2">
        <f ca="1">IF(27&lt;=$BA$4,IF($BA$1="P",DAY($BA$3+26),27),"")</f>
        <v>27</v>
      </c>
      <c r="AF66" s="2">
        <f ca="1">IF(28&lt;=$BA$4,IF($BA$1="P",DAY($BA$3+27),28),"")</f>
        <v>28</v>
      </c>
      <c r="AG66" s="2">
        <f ca="1">IF(29&lt;=$BA$4,IF($BA$1="P",DAY($BA$3+28),29),"")</f>
        <v>29</v>
      </c>
      <c r="AH66" s="2">
        <f ca="1">IF(30&lt;=$BA$4,IF($BA$1="P",DAY($BA$3+29),30),"")</f>
        <v>30</v>
      </c>
      <c r="AI66" s="2" t="str">
        <f ca="1">IF(31&lt;=$BA$4,IF($BA$1="P",DAY($BA$3+30),31),"")</f>
        <v/>
      </c>
    </row>
    <row r="67" spans="1:35" ht="16.2" customHeight="1" thickBot="1" x14ac:dyDescent="0.35">
      <c r="A67" s="52"/>
      <c r="B67" s="41"/>
      <c r="C67" s="53"/>
      <c r="D67" s="11" t="s">
        <v>61</v>
      </c>
      <c r="E67" s="12">
        <f ca="1">COUNTIF(E1:E64,"D")</f>
        <v>0</v>
      </c>
      <c r="F67" s="12">
        <f ca="1">COUNTIF(F1:F64,"D")</f>
        <v>0</v>
      </c>
      <c r="G67" s="12">
        <f ca="1">COUNTIF(G1:G64,"D")</f>
        <v>0</v>
      </c>
      <c r="H67" s="12">
        <f ca="1">COUNTIF(H1:H64,"D")</f>
        <v>0</v>
      </c>
      <c r="I67" s="12">
        <f ca="1">COUNTIF(I1:I64,"D")</f>
        <v>0</v>
      </c>
      <c r="J67" s="12">
        <f ca="1">COUNTIF(J1:J64,"D")</f>
        <v>0</v>
      </c>
      <c r="K67" s="12">
        <f ca="1">COUNTIF(K1:K64,"D")</f>
        <v>0</v>
      </c>
      <c r="L67" s="12">
        <f ca="1">COUNTIF(L1:L64,"D")</f>
        <v>0</v>
      </c>
      <c r="M67" s="12">
        <f ca="1">COUNTIF(M1:M64,"D")</f>
        <v>0</v>
      </c>
      <c r="N67" s="12">
        <f ca="1">COUNTIF(N1:N64,"D")</f>
        <v>0</v>
      </c>
      <c r="O67" s="12">
        <f ca="1">COUNTIF(O1:O64,"D")</f>
        <v>1</v>
      </c>
      <c r="P67" s="12">
        <f ca="1">COUNTIF(P1:P64,"D")</f>
        <v>0</v>
      </c>
      <c r="Q67" s="12">
        <f ca="1">COUNTIF(Q1:Q64,"D")</f>
        <v>0</v>
      </c>
      <c r="R67" s="12">
        <f ca="1">COUNTIF(R1:R64,"D")</f>
        <v>0</v>
      </c>
      <c r="S67" s="12">
        <f ca="1">COUNTIF(S1:S64,"D")</f>
        <v>0</v>
      </c>
      <c r="T67" s="12">
        <f ca="1">COUNTIF(T1:T64,"D")</f>
        <v>0</v>
      </c>
      <c r="U67" s="12">
        <f ca="1">COUNTIF(U1:U64,"D")</f>
        <v>0</v>
      </c>
      <c r="V67" s="12">
        <f ca="1">COUNTIF(V1:V64,"D")</f>
        <v>0</v>
      </c>
      <c r="W67" s="12">
        <f ca="1">COUNTIF(W1:W64,"D")</f>
        <v>0</v>
      </c>
      <c r="X67" s="12">
        <f ca="1">COUNTIF(X1:X64,"D")</f>
        <v>0</v>
      </c>
      <c r="Y67" s="12">
        <f ca="1">COUNTIF(Y1:Y64,"D")</f>
        <v>0</v>
      </c>
      <c r="Z67" s="12">
        <f ca="1">COUNTIF(Z1:Z64,"D")</f>
        <v>0</v>
      </c>
      <c r="AA67" s="12">
        <f ca="1">COUNTIF(AA1:AA64,"D")</f>
        <v>0</v>
      </c>
      <c r="AB67" s="12">
        <f ca="1">COUNTIF(AB1:AB64,"D")</f>
        <v>0</v>
      </c>
      <c r="AC67" s="12">
        <f ca="1">COUNTIF(AC1:AC64,"D")</f>
        <v>0</v>
      </c>
      <c r="AD67" s="12">
        <f ca="1">COUNTIF(AD1:AD64,"D")</f>
        <v>0</v>
      </c>
      <c r="AE67" s="12">
        <f ca="1">COUNTIF(AE1:AE64,"D")</f>
        <v>0</v>
      </c>
      <c r="AF67" s="12">
        <f ca="1">COUNTIF(AF1:AF64,"D")</f>
        <v>0</v>
      </c>
      <c r="AG67" s="12">
        <f ca="1">COUNTIF(AG1:AG64,"D")</f>
        <v>0</v>
      </c>
      <c r="AH67" s="12">
        <f ca="1">COUNTIF(AH1:AH64,"D")</f>
        <v>0</v>
      </c>
      <c r="AI67" s="12">
        <f ca="1">COUNTIF(AI1:AI64,"D")</f>
        <v>0</v>
      </c>
    </row>
    <row r="68" spans="1:35" ht="16.2" customHeight="1" thickBot="1" x14ac:dyDescent="0.35">
      <c r="A68" s="52"/>
      <c r="B68" s="41"/>
      <c r="C68" s="53"/>
      <c r="D68" s="13" t="s">
        <v>62</v>
      </c>
      <c r="E68" s="14">
        <f ca="1">COUNTIF(E1:E64,"T")</f>
        <v>0</v>
      </c>
      <c r="F68" s="14">
        <f ca="1">COUNTIF(F1:F64,"T")</f>
        <v>0</v>
      </c>
      <c r="G68" s="14">
        <f ca="1">COUNTIF(G1:G64,"T")</f>
        <v>0</v>
      </c>
      <c r="H68" s="14">
        <f ca="1">COUNTIF(H1:H64,"T")</f>
        <v>0</v>
      </c>
      <c r="I68" s="14">
        <f ca="1">COUNTIF(I1:I64,"T")</f>
        <v>0</v>
      </c>
      <c r="J68" s="14">
        <f ca="1">COUNTIF(J1:J64,"T")</f>
        <v>0</v>
      </c>
      <c r="K68" s="14">
        <f ca="1">COUNTIF(K1:K64,"T")</f>
        <v>0</v>
      </c>
      <c r="L68" s="14">
        <f ca="1">COUNTIF(L1:L64,"T")</f>
        <v>0</v>
      </c>
      <c r="M68" s="14">
        <f ca="1">COUNTIF(M1:M64,"T")</f>
        <v>0</v>
      </c>
      <c r="N68" s="14">
        <f ca="1">COUNTIF(N1:N64,"T")</f>
        <v>0</v>
      </c>
      <c r="O68" s="14">
        <f ca="1">COUNTIF(O1:O64,"T")</f>
        <v>0</v>
      </c>
      <c r="P68" s="14">
        <f ca="1">COUNTIF(P1:P64,"T")</f>
        <v>1</v>
      </c>
      <c r="Q68" s="14">
        <f ca="1">COUNTIF(Q1:Q64,"T")</f>
        <v>0</v>
      </c>
      <c r="R68" s="14">
        <f ca="1">COUNTIF(R1:R64,"T")</f>
        <v>0</v>
      </c>
      <c r="S68" s="14">
        <f ca="1">COUNTIF(S1:S64,"T")</f>
        <v>0</v>
      </c>
      <c r="T68" s="14">
        <f ca="1">COUNTIF(T1:T64,"T")</f>
        <v>0</v>
      </c>
      <c r="U68" s="14">
        <f ca="1">COUNTIF(U1:U64,"T")</f>
        <v>0</v>
      </c>
      <c r="V68" s="14">
        <f ca="1">COUNTIF(V1:V64,"T")</f>
        <v>0</v>
      </c>
      <c r="W68" s="14">
        <f ca="1">COUNTIF(W1:W64,"T")</f>
        <v>0</v>
      </c>
      <c r="X68" s="14">
        <f ca="1">COUNTIF(X1:X64,"T")</f>
        <v>0</v>
      </c>
      <c r="Y68" s="14">
        <f ca="1">COUNTIF(Y1:Y64,"T")</f>
        <v>0</v>
      </c>
      <c r="Z68" s="14">
        <f ca="1">COUNTIF(Z1:Z64,"T")</f>
        <v>0</v>
      </c>
      <c r="AA68" s="14">
        <f ca="1">COUNTIF(AA1:AA64,"T")</f>
        <v>0</v>
      </c>
      <c r="AB68" s="14">
        <f ca="1">COUNTIF(AB1:AB64,"T")</f>
        <v>0</v>
      </c>
      <c r="AC68" s="14">
        <f ca="1">COUNTIF(AC1:AC64,"T")</f>
        <v>0</v>
      </c>
      <c r="AD68" s="14">
        <f ca="1">COUNTIF(AD1:AD64,"T")</f>
        <v>0</v>
      </c>
      <c r="AE68" s="14">
        <f ca="1">COUNTIF(AE1:AE64,"T")</f>
        <v>0</v>
      </c>
      <c r="AF68" s="14">
        <f ca="1">COUNTIF(AF1:AF64,"T")</f>
        <v>0</v>
      </c>
      <c r="AG68" s="14">
        <f ca="1">COUNTIF(AG1:AG64,"T")</f>
        <v>0</v>
      </c>
      <c r="AH68" s="14">
        <f ca="1">COUNTIF(AH1:AH64,"T")</f>
        <v>0</v>
      </c>
      <c r="AI68" s="14">
        <f ca="1">COUNTIF(AI1:AI64,"T")</f>
        <v>0</v>
      </c>
    </row>
    <row r="69" spans="1:35" ht="16.2" customHeight="1" thickBot="1" x14ac:dyDescent="0.35">
      <c r="A69" s="54"/>
      <c r="B69" s="55"/>
      <c r="C69" s="56"/>
      <c r="D69" s="15" t="s">
        <v>63</v>
      </c>
      <c r="E69" s="16">
        <f ca="1">COUNTIF(E1:E64,"G")</f>
        <v>0</v>
      </c>
      <c r="F69" s="16">
        <f ca="1">COUNTIF(F1:F64,"G")</f>
        <v>0</v>
      </c>
      <c r="G69" s="16">
        <f ca="1">COUNTIF(G1:G64,"G")</f>
        <v>0</v>
      </c>
      <c r="H69" s="16">
        <f ca="1">COUNTIF(H1:H64,"G")</f>
        <v>0</v>
      </c>
      <c r="I69" s="16">
        <f ca="1">COUNTIF(I1:I64,"G")</f>
        <v>0</v>
      </c>
      <c r="J69" s="16">
        <f ca="1">COUNTIF(J1:J64,"G")</f>
        <v>0</v>
      </c>
      <c r="K69" s="16">
        <f ca="1">COUNTIF(K1:K64,"G")</f>
        <v>0</v>
      </c>
      <c r="L69" s="16">
        <f ca="1">COUNTIF(L1:L64,"G")</f>
        <v>0</v>
      </c>
      <c r="M69" s="16">
        <f ca="1">COUNTIF(M1:M64,"G")</f>
        <v>0</v>
      </c>
      <c r="N69" s="16">
        <f ca="1">COUNTIF(N1:N64,"G")</f>
        <v>0</v>
      </c>
      <c r="O69" s="16">
        <f ca="1">COUNTIF(O1:O64,"G")</f>
        <v>0</v>
      </c>
      <c r="P69" s="16">
        <f ca="1">COUNTIF(P1:P64,"G")</f>
        <v>0</v>
      </c>
      <c r="Q69" s="16">
        <f ca="1">COUNTIF(Q1:Q64,"G")</f>
        <v>1</v>
      </c>
      <c r="R69" s="16">
        <f ca="1">COUNTIF(R1:R64,"G")</f>
        <v>0</v>
      </c>
      <c r="S69" s="16">
        <f ca="1">COUNTIF(S1:S64,"G")</f>
        <v>0</v>
      </c>
      <c r="T69" s="16">
        <f ca="1">COUNTIF(T1:T64,"G")</f>
        <v>0</v>
      </c>
      <c r="U69" s="16">
        <f ca="1">COUNTIF(U1:U64,"G")</f>
        <v>0</v>
      </c>
      <c r="V69" s="16">
        <f ca="1">COUNTIF(V1:V64,"G")</f>
        <v>0</v>
      </c>
      <c r="W69" s="16">
        <f ca="1">COUNTIF(W1:W64,"G")</f>
        <v>0</v>
      </c>
      <c r="X69" s="16">
        <f ca="1">COUNTIF(X1:X64,"G")</f>
        <v>0</v>
      </c>
      <c r="Y69" s="16">
        <f ca="1">COUNTIF(Y1:Y64,"G")</f>
        <v>0</v>
      </c>
      <c r="Z69" s="16">
        <f ca="1">COUNTIF(Z1:Z64,"G")</f>
        <v>0</v>
      </c>
      <c r="AA69" s="16">
        <f ca="1">COUNTIF(AA1:AA64,"G")</f>
        <v>0</v>
      </c>
      <c r="AB69" s="16">
        <f ca="1">COUNTIF(AB1:AB64,"G")</f>
        <v>0</v>
      </c>
      <c r="AC69" s="16">
        <f ca="1">COUNTIF(AC1:AC64,"G")</f>
        <v>0</v>
      </c>
      <c r="AD69" s="16">
        <f ca="1">COUNTIF(AD1:AD64,"G")</f>
        <v>0</v>
      </c>
      <c r="AE69" s="16">
        <f ca="1">COUNTIF(AE1:AE64,"G")</f>
        <v>0</v>
      </c>
      <c r="AF69" s="16">
        <f ca="1">COUNTIF(AF1:AF64,"G")</f>
        <v>0</v>
      </c>
      <c r="AG69" s="16">
        <f ca="1">COUNTIF(AG1:AG64,"G")</f>
        <v>0</v>
      </c>
      <c r="AH69" s="16">
        <f ca="1">COUNTIF(AH1:AH64,"G")</f>
        <v>0</v>
      </c>
      <c r="AI69" s="16">
        <f ca="1">COUNTIF(AI1:AI64,"G")</f>
        <v>0</v>
      </c>
    </row>
    <row r="70" spans="1:35" ht="15" customHeight="1" thickBot="1" x14ac:dyDescent="0.35"/>
    <row r="71" spans="1:35" ht="21" customHeight="1" thickBot="1" x14ac:dyDescent="0.35">
      <c r="E71" s="58" t="s">
        <v>60</v>
      </c>
      <c r="F71" s="45"/>
      <c r="G71" s="45"/>
      <c r="H71" s="45"/>
      <c r="I71" s="45"/>
      <c r="J71" s="46"/>
    </row>
    <row r="72" spans="1:35" ht="16.2" customHeight="1" thickBot="1" x14ac:dyDescent="0.35">
      <c r="E72" s="27" t="s">
        <v>61</v>
      </c>
      <c r="F72" s="65" t="s">
        <v>99</v>
      </c>
      <c r="G72" s="45"/>
      <c r="H72" s="45"/>
      <c r="I72" s="45"/>
      <c r="J72" s="46"/>
    </row>
    <row r="73" spans="1:35" ht="16.2" customHeight="1" thickBot="1" x14ac:dyDescent="0.35">
      <c r="E73" s="28" t="s">
        <v>62</v>
      </c>
      <c r="F73" s="68" t="s">
        <v>100</v>
      </c>
      <c r="G73" s="45"/>
      <c r="H73" s="45"/>
      <c r="I73" s="45"/>
      <c r="J73" s="46"/>
      <c r="W73" s="57" t="str">
        <f ca="1">UPPER(TEXT(TODAY(),"DDDD dd/mm/yyyy"))</f>
        <v>WEDNESDAY 09/09/2026</v>
      </c>
      <c r="X73" s="55"/>
      <c r="Y73" s="55"/>
      <c r="Z73" s="55"/>
      <c r="AA73" s="55"/>
      <c r="AB73" s="55"/>
      <c r="AC73" s="55"/>
    </row>
    <row r="74" spans="1:35" ht="16.2" customHeight="1" thickBot="1" x14ac:dyDescent="0.35">
      <c r="E74" s="29" t="s">
        <v>63</v>
      </c>
      <c r="F74" s="72" t="s">
        <v>101</v>
      </c>
      <c r="G74" s="73"/>
      <c r="H74" s="73"/>
      <c r="I74" s="73"/>
      <c r="J74" s="74"/>
      <c r="W74" s="63" t="s">
        <v>64</v>
      </c>
      <c r="X74" s="41"/>
      <c r="Y74" s="41"/>
      <c r="Z74" s="41"/>
      <c r="AA74" s="41"/>
      <c r="AB74" s="41"/>
      <c r="AC74" s="41"/>
    </row>
    <row r="76" spans="1:35" x14ac:dyDescent="0.3">
      <c r="E76" s="38" t="s">
        <v>65</v>
      </c>
    </row>
    <row r="77" spans="1:35" ht="16.05" customHeight="1" x14ac:dyDescent="0.3">
      <c r="E77" s="75" t="s">
        <v>61</v>
      </c>
      <c r="F77" s="76" t="s">
        <v>66</v>
      </c>
      <c r="G77" s="77"/>
      <c r="H77" s="77"/>
      <c r="I77" s="77"/>
      <c r="J77" s="78"/>
      <c r="K77" s="79" t="s">
        <v>62</v>
      </c>
      <c r="L77" s="76" t="s">
        <v>67</v>
      </c>
      <c r="M77" s="77"/>
      <c r="N77" s="77"/>
      <c r="O77" s="77"/>
      <c r="P77" s="78"/>
      <c r="Q77" s="80" t="s">
        <v>63</v>
      </c>
      <c r="R77" s="76" t="s">
        <v>68</v>
      </c>
      <c r="S77" s="77"/>
      <c r="T77" s="77"/>
      <c r="U77" s="77"/>
      <c r="V77" s="78"/>
      <c r="W77" s="81" t="s">
        <v>69</v>
      </c>
      <c r="X77" s="76" t="s">
        <v>70</v>
      </c>
      <c r="Y77" s="77"/>
      <c r="Z77" s="77"/>
      <c r="AA77" s="77"/>
      <c r="AB77" s="78"/>
      <c r="AC77" s="82" t="s">
        <v>71</v>
      </c>
      <c r="AD77" s="76" t="s">
        <v>72</v>
      </c>
      <c r="AE77" s="77"/>
      <c r="AF77" s="77"/>
      <c r="AG77" s="77"/>
    </row>
    <row r="78" spans="1:35" ht="16.05" customHeight="1" x14ac:dyDescent="0.3">
      <c r="E78" s="83" t="s">
        <v>73</v>
      </c>
      <c r="F78" s="76" t="s">
        <v>74</v>
      </c>
      <c r="G78" s="77"/>
      <c r="H78" s="77"/>
      <c r="I78" s="77"/>
      <c r="J78" s="78"/>
      <c r="K78" s="84" t="s">
        <v>75</v>
      </c>
      <c r="L78" s="76" t="s">
        <v>76</v>
      </c>
      <c r="M78" s="77"/>
      <c r="N78" s="77"/>
      <c r="O78" s="77"/>
      <c r="P78" s="78"/>
      <c r="Q78" s="85" t="s">
        <v>77</v>
      </c>
      <c r="R78" s="76" t="s">
        <v>78</v>
      </c>
      <c r="S78" s="77"/>
      <c r="T78" s="77"/>
      <c r="U78" s="77"/>
      <c r="V78" s="78"/>
      <c r="W78" s="86" t="s">
        <v>79</v>
      </c>
      <c r="X78" s="76" t="s">
        <v>80</v>
      </c>
      <c r="Y78" s="77"/>
      <c r="Z78" s="77"/>
      <c r="AA78" s="77"/>
      <c r="AB78" s="78"/>
      <c r="AC78" s="87" t="s">
        <v>81</v>
      </c>
      <c r="AD78" s="76" t="s">
        <v>82</v>
      </c>
      <c r="AE78" s="77"/>
      <c r="AF78" s="77"/>
      <c r="AG78" s="77"/>
    </row>
    <row r="79" spans="1:35" ht="16.05" customHeight="1" x14ac:dyDescent="0.3">
      <c r="E79" s="88" t="s">
        <v>83</v>
      </c>
      <c r="F79" s="76" t="s">
        <v>84</v>
      </c>
      <c r="G79" s="77"/>
      <c r="H79" s="77"/>
      <c r="I79" s="77"/>
      <c r="J79" s="78"/>
      <c r="K79" s="89" t="s">
        <v>85</v>
      </c>
      <c r="L79" s="76" t="s">
        <v>86</v>
      </c>
      <c r="M79" s="77"/>
      <c r="N79" s="77"/>
      <c r="O79" s="77"/>
      <c r="P79" s="78"/>
      <c r="Q79" s="90" t="s">
        <v>87</v>
      </c>
      <c r="R79" s="76" t="s">
        <v>88</v>
      </c>
      <c r="S79" s="77"/>
      <c r="T79" s="77"/>
      <c r="U79" s="77"/>
      <c r="V79" s="78"/>
      <c r="W79" s="91" t="s">
        <v>89</v>
      </c>
      <c r="X79" s="76" t="s">
        <v>90</v>
      </c>
      <c r="Y79" s="77"/>
      <c r="Z79" s="77"/>
      <c r="AA79" s="77"/>
      <c r="AB79" s="78"/>
      <c r="AC79" s="78"/>
      <c r="AD79" s="78"/>
      <c r="AE79" s="78"/>
      <c r="AF79" s="78"/>
      <c r="AG79" s="78"/>
    </row>
  </sheetData>
  <mergeCells count="38">
    <mergeCell ref="E1:AC1"/>
    <mergeCell ref="L79:O79"/>
    <mergeCell ref="F73:J73"/>
    <mergeCell ref="R77:U77"/>
    <mergeCell ref="AD77:AG77"/>
    <mergeCell ref="AK4:AR4"/>
    <mergeCell ref="AK1:AL1"/>
    <mergeCell ref="L78:O78"/>
    <mergeCell ref="X78:AA78"/>
    <mergeCell ref="F77:I77"/>
    <mergeCell ref="R79:U79"/>
    <mergeCell ref="R78:U78"/>
    <mergeCell ref="F72:J72"/>
    <mergeCell ref="W74:AC74"/>
    <mergeCell ref="F78:I78"/>
    <mergeCell ref="B1:B2"/>
    <mergeCell ref="X77:AA77"/>
    <mergeCell ref="A22:D23"/>
    <mergeCell ref="D65:D66"/>
    <mergeCell ref="A39:D40"/>
    <mergeCell ref="D1:D2"/>
    <mergeCell ref="A1:A2"/>
    <mergeCell ref="X79:AA79"/>
    <mergeCell ref="AN1:AP1"/>
    <mergeCell ref="AO2:AP2"/>
    <mergeCell ref="E2:AC2"/>
    <mergeCell ref="C1:C2"/>
    <mergeCell ref="AD78:AG78"/>
    <mergeCell ref="A65:C69"/>
    <mergeCell ref="W73:AC73"/>
    <mergeCell ref="E71:J71"/>
    <mergeCell ref="F74:J74"/>
    <mergeCell ref="F79:I79"/>
    <mergeCell ref="AO3:AP3"/>
    <mergeCell ref="L77:O77"/>
    <mergeCell ref="A56:D57"/>
    <mergeCell ref="AD1:AI2"/>
    <mergeCell ref="A3:D4"/>
  </mergeCells>
  <conditionalFormatting sqref="A5:D64">
    <cfRule type="expression" dxfId="1" priority="29">
      <formula>$D5="OJT"</formula>
    </cfRule>
    <cfRule type="expression" dxfId="0" priority="30">
      <formula>$D5="ACT/SUPV"</formula>
    </cfRule>
  </conditionalFormatting>
  <conditionalFormatting sqref="E21:O21 E55:O55 E64:O64 E41:AI54 E24:AI37">
    <cfRule type="containsText" dxfId="27" priority="21" operator="containsText" text="TR">
      <formula>NOT(ISERROR(SEARCH("TR",E21)))</formula>
    </cfRule>
    <cfRule type="containsText" dxfId="26" priority="22" operator="containsText" text="V">
      <formula>NOT(ISERROR(SEARCH("V",E21)))</formula>
    </cfRule>
    <cfRule type="containsText" dxfId="25" priority="23" operator="containsText" text="R">
      <formula>NOT(ISERROR(SEARCH("R",E21)))</formula>
    </cfRule>
    <cfRule type="containsText" dxfId="24" priority="24" operator="containsText" text="G">
      <formula>NOT(ISERROR(SEARCH("G",E21)))</formula>
    </cfRule>
    <cfRule type="containsText" dxfId="23" priority="25" operator="containsText" text="T">
      <formula>NOT(ISERROR(SEARCH("T",E21)))</formula>
    </cfRule>
    <cfRule type="containsText" dxfId="22" priority="26" operator="containsText" text="D">
      <formula>NOT(ISERROR(SEARCH("D",E21)))</formula>
    </cfRule>
  </conditionalFormatting>
  <conditionalFormatting sqref="E5:AI20">
    <cfRule type="containsText" dxfId="21" priority="9" operator="containsText" text="TR">
      <formula>NOT(ISERROR(SEARCH("TR",E5)))</formula>
    </cfRule>
    <cfRule type="containsText" dxfId="20" priority="10" operator="containsText" text="V">
      <formula>NOT(ISERROR(SEARCH("V",E5)))</formula>
    </cfRule>
    <cfRule type="containsText" dxfId="19" priority="11" operator="containsText" text="R">
      <formula>NOT(ISERROR(SEARCH("R",E5)))</formula>
    </cfRule>
    <cfRule type="containsText" dxfId="18" priority="12" operator="containsText" text="G">
      <formula>NOT(ISERROR(SEARCH("G",E5)))</formula>
    </cfRule>
    <cfRule type="containsText" dxfId="17" priority="13" operator="containsText" text="T">
      <formula>NOT(ISERROR(SEARCH("T",E5)))</formula>
    </cfRule>
    <cfRule type="containsText" dxfId="16" priority="14" operator="containsText" text="D">
      <formula>NOT(ISERROR(SEARCH("D",E5)))</formula>
    </cfRule>
  </conditionalFormatting>
  <conditionalFormatting sqref="E5:AI64">
    <cfRule type="cellIs" dxfId="15" priority="27" operator="equal">
      <formula>"A"</formula>
    </cfRule>
    <cfRule type="cellIs" dxfId="14" priority="27" operator="equal">
      <formula>"H"</formula>
    </cfRule>
    <cfRule type="cellIs" dxfId="13" priority="27" operator="equal">
      <formula>"OT"</formula>
    </cfRule>
    <cfRule type="cellIs" dxfId="12" priority="27" operator="equal">
      <formula>"OS"</formula>
    </cfRule>
    <cfRule type="cellIs" dxfId="11" priority="27" operator="equal">
      <formula>"S/L"</formula>
    </cfRule>
    <cfRule type="cellIs" dxfId="10" priority="27" operator="equal">
      <formula>"C/T"</formula>
    </cfRule>
    <cfRule type="cellIs" dxfId="9" priority="27" operator="equal">
      <formula>"L"</formula>
    </cfRule>
    <cfRule type="cellIs" dxfId="8" priority="28" operator="equal">
      <formula>"N"</formula>
    </cfRule>
  </conditionalFormatting>
  <conditionalFormatting sqref="E58:AI63">
    <cfRule type="containsText" dxfId="7" priority="1" operator="containsText" text="TR">
      <formula>NOT(ISERROR(SEARCH("TR",E58)))</formula>
    </cfRule>
    <cfRule type="containsText" dxfId="6" priority="2" operator="containsText" text="V">
      <formula>NOT(ISERROR(SEARCH("V",E58)))</formula>
    </cfRule>
    <cfRule type="containsText" dxfId="5" priority="3" operator="containsText" text="R">
      <formula>NOT(ISERROR(SEARCH("R",E58)))</formula>
    </cfRule>
    <cfRule type="containsText" dxfId="4" priority="4" operator="containsText" text="G">
      <formula>NOT(ISERROR(SEARCH("G",E58)))</formula>
    </cfRule>
    <cfRule type="containsText" dxfId="3" priority="5" operator="containsText" text="T">
      <formula>NOT(ISERROR(SEARCH("T",E58)))</formula>
    </cfRule>
    <cfRule type="containsText" dxfId="2" priority="6" operator="containsText" text="D">
      <formula>NOT(ISERROR(SEARCH("D",E58)))</formula>
    </cfRule>
  </conditionalFormatting>
  <printOptions horizontalCentered="1"/>
  <pageMargins left="0.25" right="0.25" top="0.3" bottom="0.3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ROSTER</vt:lpstr>
      <vt:lpstr>ROSTER!Print_Area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</cp:lastModifiedBy>
  <dcterms:created xsi:type="dcterms:W3CDTF">2026-07-02T08:03:38Z</dcterms:created>
  <dcterms:modified xsi:type="dcterms:W3CDTF">2026-09-09T19:33:45Z</dcterms:modified>
</cp:coreProperties>
</file>